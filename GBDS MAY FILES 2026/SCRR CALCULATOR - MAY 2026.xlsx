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0.xml" ContentType="application/vnd.openxmlformats-officedocument.spreadsheetml.worksheet+xml"/>
  <Override PartName="/xl/worksheets/sheet91.xml" ContentType="application/vnd.openxmlformats-officedocument.spreadsheetml.worksheet+xml"/>
  <Override PartName="/xl/worksheets/sheet92.xml" ContentType="application/vnd.openxmlformats-officedocument.spreadsheetml.worksheet+xml"/>
  <Override PartName="/xl/worksheets/sheet93.xml" ContentType="application/vnd.openxmlformats-officedocument.spreadsheetml.worksheet+xml"/>
  <Override PartName="/xl/worksheets/sheet94.xml" ContentType="application/vnd.openxmlformats-officedocument.spreadsheetml.worksheet+xml"/>
  <Override PartName="/xl/worksheets/sheet95.xml" ContentType="application/vnd.openxmlformats-officedocument.spreadsheetml.worksheet+xml"/>
  <Override PartName="/xl/worksheets/sheet96.xml" ContentType="application/vnd.openxmlformats-officedocument.spreadsheetml.worksheet+xml"/>
  <Override PartName="/xl/worksheets/sheet97.xml" ContentType="application/vnd.openxmlformats-officedocument.spreadsheetml.worksheet+xml"/>
  <Override PartName="/xl/worksheets/sheet98.xml" ContentType="application/vnd.openxmlformats-officedocument.spreadsheetml.worksheet+xml"/>
  <Override PartName="/xl/worksheets/sheet99.xml" ContentType="application/vnd.openxmlformats-officedocument.spreadsheetml.worksheet+xml"/>
  <Override PartName="/xl/worksheets/sheet100.xml" ContentType="application/vnd.openxmlformats-officedocument.spreadsheetml.worksheet+xml"/>
  <Override PartName="/xl/worksheets/sheet101.xml" ContentType="application/vnd.openxmlformats-officedocument.spreadsheetml.worksheet+xml"/>
  <Override PartName="/xl/worksheets/sheet102.xml" ContentType="application/vnd.openxmlformats-officedocument.spreadsheetml.worksheet+xml"/>
  <Override PartName="/xl/worksheets/sheet10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drawings/drawing12.xml" ContentType="application/vnd.openxmlformats-officedocument.drawing+xml"/>
  <Override PartName="/xl/drawings/drawing13.xml" ContentType="application/vnd.openxmlformats-officedocument.drawing+xml"/>
  <Override PartName="/xl/drawings/drawing14.xml" ContentType="application/vnd.openxmlformats-officedocument.drawing+xml"/>
  <Override PartName="/xl/drawings/drawing15.xml" ContentType="application/vnd.openxmlformats-officedocument.drawing+xml"/>
  <Override PartName="/xl/drawings/drawing16.xml" ContentType="application/vnd.openxmlformats-officedocument.drawing+xml"/>
  <Override PartName="/xl/drawings/drawing17.xml" ContentType="application/vnd.openxmlformats-officedocument.drawing+xml"/>
  <Override PartName="/xl/drawings/drawing18.xml" ContentType="application/vnd.openxmlformats-officedocument.drawing+xml"/>
  <Override PartName="/xl/drawings/drawing19.xml" ContentType="application/vnd.openxmlformats-officedocument.drawing+xml"/>
  <Override PartName="/xl/drawings/drawing20.xml" ContentType="application/vnd.openxmlformats-officedocument.drawing+xml"/>
  <Override PartName="/xl/drawings/drawing21.xml" ContentType="application/vnd.openxmlformats-officedocument.drawing+xml"/>
  <Override PartName="/xl/drawings/drawing22.xml" ContentType="application/vnd.openxmlformats-officedocument.drawing+xml"/>
  <Override PartName="/xl/drawings/drawing23.xml" ContentType="application/vnd.openxmlformats-officedocument.drawing+xml"/>
  <Override PartName="/xl/drawings/drawing24.xml" ContentType="application/vnd.openxmlformats-officedocument.drawing+xml"/>
  <Override PartName="/xl/drawings/drawing25.xml" ContentType="application/vnd.openxmlformats-officedocument.drawing+xml"/>
  <Override PartName="/xl/drawings/drawing26.xml" ContentType="application/vnd.openxmlformats-officedocument.drawing+xml"/>
  <Override PartName="/xl/drawings/drawing27.xml" ContentType="application/vnd.openxmlformats-officedocument.drawing+xml"/>
  <Override PartName="/xl/drawings/drawing28.xml" ContentType="application/vnd.openxmlformats-officedocument.drawing+xml"/>
  <Override PartName="/xl/drawings/drawing29.xml" ContentType="application/vnd.openxmlformats-officedocument.drawing+xml"/>
  <Override PartName="/xl/drawings/drawing30.xml" ContentType="application/vnd.openxmlformats-officedocument.drawing+xml"/>
  <Override PartName="/xl/drawings/drawing31.xml" ContentType="application/vnd.openxmlformats-officedocument.drawing+xml"/>
  <Override PartName="/xl/drawings/drawing32.xml" ContentType="application/vnd.openxmlformats-officedocument.drawing+xml"/>
  <Override PartName="/xl/drawings/drawing33.xml" ContentType="application/vnd.openxmlformats-officedocument.drawing+xml"/>
  <Override PartName="/xl/drawings/drawing34.xml" ContentType="application/vnd.openxmlformats-officedocument.drawing+xml"/>
  <Override PartName="/xl/drawings/drawing35.xml" ContentType="application/vnd.openxmlformats-officedocument.drawing+xml"/>
  <Override PartName="/xl/drawings/drawing36.xml" ContentType="application/vnd.openxmlformats-officedocument.drawing+xml"/>
  <Override PartName="/xl/drawings/drawing37.xml" ContentType="application/vnd.openxmlformats-officedocument.drawing+xml"/>
  <Override PartName="/xl/drawings/drawing38.xml" ContentType="application/vnd.openxmlformats-officedocument.drawing+xml"/>
  <Override PartName="/xl/drawings/drawing39.xml" ContentType="application/vnd.openxmlformats-officedocument.drawing+xml"/>
  <Override PartName="/xl/drawings/drawing40.xml" ContentType="application/vnd.openxmlformats-officedocument.drawing+xml"/>
  <Override PartName="/xl/drawings/drawing41.xml" ContentType="application/vnd.openxmlformats-officedocument.drawing+xml"/>
  <Override PartName="/xl/drawings/drawing42.xml" ContentType="application/vnd.openxmlformats-officedocument.drawing+xml"/>
  <Override PartName="/xl/drawings/drawing43.xml" ContentType="application/vnd.openxmlformats-officedocument.drawing+xml"/>
  <Override PartName="/xl/drawings/drawing44.xml" ContentType="application/vnd.openxmlformats-officedocument.drawing+xml"/>
  <Override PartName="/xl/drawings/drawing45.xml" ContentType="application/vnd.openxmlformats-officedocument.drawing+xml"/>
  <Override PartName="/xl/drawings/drawing46.xml" ContentType="application/vnd.openxmlformats-officedocument.drawing+xml"/>
  <Override PartName="/xl/drawings/drawing47.xml" ContentType="application/vnd.openxmlformats-officedocument.drawing+xml"/>
  <Override PartName="/xl/drawings/drawing48.xml" ContentType="application/vnd.openxmlformats-officedocument.drawing+xml"/>
  <Override PartName="/xl/drawings/drawing49.xml" ContentType="application/vnd.openxmlformats-officedocument.drawing+xml"/>
  <Override PartName="/xl/drawings/drawing50.xml" ContentType="application/vnd.openxmlformats-officedocument.drawing+xml"/>
  <Override PartName="/xl/drawings/drawing51.xml" ContentType="application/vnd.openxmlformats-officedocument.drawing+xml"/>
  <Override PartName="/xl/drawings/drawing52.xml" ContentType="application/vnd.openxmlformats-officedocument.drawing+xml"/>
  <Override PartName="/xl/drawings/drawing53.xml" ContentType="application/vnd.openxmlformats-officedocument.drawing+xml"/>
  <Override PartName="/xl/drawings/drawing54.xml" ContentType="application/vnd.openxmlformats-officedocument.drawing+xml"/>
  <Override PartName="/xl/drawings/drawing55.xml" ContentType="application/vnd.openxmlformats-officedocument.drawing+xml"/>
  <Override PartName="/xl/drawings/drawing56.xml" ContentType="application/vnd.openxmlformats-officedocument.drawing+xml"/>
  <Override PartName="/xl/drawings/drawing57.xml" ContentType="application/vnd.openxmlformats-officedocument.drawing+xml"/>
  <Override PartName="/xl/drawings/drawing58.xml" ContentType="application/vnd.openxmlformats-officedocument.drawing+xml"/>
  <Override PartName="/xl/drawings/drawing59.xml" ContentType="application/vnd.openxmlformats-officedocument.drawing+xml"/>
  <Override PartName="/xl/drawings/drawing60.xml" ContentType="application/vnd.openxmlformats-officedocument.drawing+xml"/>
  <Override PartName="/xl/drawings/drawing61.xml" ContentType="application/vnd.openxmlformats-officedocument.drawing+xml"/>
  <Override PartName="/xl/drawings/drawing62.xml" ContentType="application/vnd.openxmlformats-officedocument.drawing+xml"/>
  <Override PartName="/xl/drawings/drawing63.xml" ContentType="application/vnd.openxmlformats-officedocument.drawing+xml"/>
  <Override PartName="/xl/drawings/drawing64.xml" ContentType="application/vnd.openxmlformats-officedocument.drawing+xml"/>
  <Override PartName="/xl/drawings/drawing65.xml" ContentType="application/vnd.openxmlformats-officedocument.drawing+xml"/>
  <Override PartName="/xl/drawings/drawing66.xml" ContentType="application/vnd.openxmlformats-officedocument.drawing+xml"/>
  <Override PartName="/xl/drawings/drawing67.xml" ContentType="application/vnd.openxmlformats-officedocument.drawing+xml"/>
  <Override PartName="/xl/drawings/drawing68.xml" ContentType="application/vnd.openxmlformats-officedocument.drawing+xml"/>
  <Override PartName="/xl/drawings/drawing69.xml" ContentType="application/vnd.openxmlformats-officedocument.drawing+xml"/>
  <Override PartName="/xl/drawings/drawing70.xml" ContentType="application/vnd.openxmlformats-officedocument.drawing+xml"/>
  <Override PartName="/xl/drawings/drawing71.xml" ContentType="application/vnd.openxmlformats-officedocument.drawing+xml"/>
  <Override PartName="/xl/drawings/drawing72.xml" ContentType="application/vnd.openxmlformats-officedocument.drawing+xml"/>
  <Override PartName="/xl/drawings/drawing73.xml" ContentType="application/vnd.openxmlformats-officedocument.drawing+xml"/>
  <Override PartName="/xl/drawings/drawing74.xml" ContentType="application/vnd.openxmlformats-officedocument.drawing+xml"/>
  <Override PartName="/xl/drawings/drawing75.xml" ContentType="application/vnd.openxmlformats-officedocument.drawing+xml"/>
  <Override PartName="/xl/drawings/drawing76.xml" ContentType="application/vnd.openxmlformats-officedocument.drawing+xml"/>
  <Override PartName="/xl/drawings/drawing77.xml" ContentType="application/vnd.openxmlformats-officedocument.drawing+xml"/>
  <Override PartName="/xl/drawings/drawing78.xml" ContentType="application/vnd.openxmlformats-officedocument.drawing+xml"/>
  <Override PartName="/xl/drawings/drawing79.xml" ContentType="application/vnd.openxmlformats-officedocument.drawing+xml"/>
  <Override PartName="/xl/drawings/drawing80.xml" ContentType="application/vnd.openxmlformats-officedocument.drawing+xml"/>
  <Override PartName="/xl/drawings/drawing81.xml" ContentType="application/vnd.openxmlformats-officedocument.drawing+xml"/>
  <Override PartName="/xl/drawings/drawing82.xml" ContentType="application/vnd.openxmlformats-officedocument.drawing+xml"/>
  <Override PartName="/xl/drawings/drawing83.xml" ContentType="application/vnd.openxmlformats-officedocument.drawing+xml"/>
  <Override PartName="/xl/drawings/drawing84.xml" ContentType="application/vnd.openxmlformats-officedocument.drawing+xml"/>
  <Override PartName="/xl/drawings/drawing85.xml" ContentType="application/vnd.openxmlformats-officedocument.drawing+xml"/>
  <Override PartName="/xl/drawings/drawing86.xml" ContentType="application/vnd.openxmlformats-officedocument.drawing+xml"/>
  <Override PartName="/xl/drawings/drawing87.xml" ContentType="application/vnd.openxmlformats-officedocument.drawing+xml"/>
  <Override PartName="/xl/drawings/drawing88.xml" ContentType="application/vnd.openxmlformats-officedocument.drawing+xml"/>
  <Override PartName="/xl/drawings/drawing89.xml" ContentType="application/vnd.openxmlformats-officedocument.drawing+xml"/>
  <Override PartName="/xl/drawings/drawing90.xml" ContentType="application/vnd.openxmlformats-officedocument.drawing+xml"/>
  <Override PartName="/xl/drawings/drawing91.xml" ContentType="application/vnd.openxmlformats-officedocument.drawing+xml"/>
  <Override PartName="/xl/drawings/drawing92.xml" ContentType="application/vnd.openxmlformats-officedocument.drawing+xml"/>
  <Override PartName="/xl/drawings/drawing93.xml" ContentType="application/vnd.openxmlformats-officedocument.drawing+xml"/>
  <Override PartName="/xl/drawings/drawing94.xml" ContentType="application/vnd.openxmlformats-officedocument.drawing+xml"/>
  <Override PartName="/xl/drawings/drawing95.xml" ContentType="application/vnd.openxmlformats-officedocument.drawing+xml"/>
  <Override PartName="/xl/drawings/drawing96.xml" ContentType="application/vnd.openxmlformats-officedocument.drawing+xml"/>
  <Override PartName="/xl/drawings/drawing97.xml" ContentType="application/vnd.openxmlformats-officedocument.drawing+xml"/>
  <Override PartName="/xl/drawings/drawing98.xml" ContentType="application/vnd.openxmlformats-officedocument.drawing+xml"/>
  <Override PartName="/xl/drawings/drawing99.xml" ContentType="application/vnd.openxmlformats-officedocument.drawing+xml"/>
  <Override PartName="/xl/drawings/drawing100.xml" ContentType="application/vnd.openxmlformats-officedocument.drawing+xml"/>
  <Override PartName="/xl/drawings/drawing101.xml" ContentType="application/vnd.openxmlformats-officedocument.drawing+xml"/>
  <Override PartName="/xl/drawings/drawing10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GBDS MAY FILES 2026\"/>
    </mc:Choice>
  </mc:AlternateContent>
  <xr:revisionPtr revIDLastSave="0" documentId="13_ncr:1_{02DC8349-8E31-4396-8715-6D8EC8CE608E}" xr6:coauthVersionLast="45" xr6:coauthVersionMax="47" xr10:uidLastSave="{00000000-0000-0000-0000-000000000000}"/>
  <bookViews>
    <workbookView xWindow="-120" yWindow="-120" windowWidth="29040" windowHeight="15840" firstSheet="86" activeTab="92" xr2:uid="{00000000-000D-0000-FFFF-FFFF00000000}"/>
  </bookViews>
  <sheets>
    <sheet name="(MAY 2026)" sheetId="814" r:id="rId1"/>
    <sheet name="(01)" sheetId="2026" r:id="rId2"/>
    <sheet name="05,01 R1" sheetId="2027" r:id="rId3"/>
    <sheet name="05,01 R2" sheetId="2028" r:id="rId4"/>
    <sheet name="05,01 R3" sheetId="2029" r:id="rId5"/>
    <sheet name="(2)" sheetId="2054" r:id="rId6"/>
    <sheet name="05,02 R3" sheetId="2055" r:id="rId7"/>
    <sheet name="(4)" sheetId="2030" r:id="rId8"/>
    <sheet name="05,04 R1" sheetId="2031" r:id="rId9"/>
    <sheet name="05,04 R2" sheetId="2032" r:id="rId10"/>
    <sheet name="05,04 R3" sheetId="2033" r:id="rId11"/>
    <sheet name="(5)" sheetId="2034" r:id="rId12"/>
    <sheet name="05,05 R1" sheetId="2035" r:id="rId13"/>
    <sheet name="05,05 R2" sheetId="2036" r:id="rId14"/>
    <sheet name="05,05 R3" sheetId="2037" r:id="rId15"/>
    <sheet name="(6)" sheetId="2038" r:id="rId16"/>
    <sheet name="05,06 R1" sheetId="2039" r:id="rId17"/>
    <sheet name="05,06 R2" sheetId="2040" r:id="rId18"/>
    <sheet name="05,06 R3" sheetId="2041" r:id="rId19"/>
    <sheet name="(7)" sheetId="2042" r:id="rId20"/>
    <sheet name="05,07 R1" sheetId="2043" r:id="rId21"/>
    <sheet name="05,07 R1 (2)" sheetId="2073" r:id="rId22"/>
    <sheet name="05,07 R2" sheetId="2044" r:id="rId23"/>
    <sheet name="05,07 R3" sheetId="2045" r:id="rId24"/>
    <sheet name="(8)" sheetId="2046" r:id="rId25"/>
    <sheet name="05,08 R1 NO TRIP" sheetId="2047" r:id="rId26"/>
    <sheet name="05,08 R2" sheetId="2048" r:id="rId27"/>
    <sheet name="05,08 R3" sheetId="2049" r:id="rId28"/>
    <sheet name="(11)" sheetId="2050" r:id="rId29"/>
    <sheet name="05,11 R1" sheetId="2051" r:id="rId30"/>
    <sheet name="05,11 R2" sheetId="2052" r:id="rId31"/>
    <sheet name="05,11 R3" sheetId="2053" r:id="rId32"/>
    <sheet name="(12)" sheetId="2056" r:id="rId33"/>
    <sheet name="05,12 R1" sheetId="2057" r:id="rId34"/>
    <sheet name="05,12 R2" sheetId="2058" r:id="rId35"/>
    <sheet name="05,12 R3" sheetId="2059" r:id="rId36"/>
    <sheet name="(13)" sheetId="2060" r:id="rId37"/>
    <sheet name="05,13 R1" sheetId="2061" r:id="rId38"/>
    <sheet name="05,13 R2" sheetId="2062" r:id="rId39"/>
    <sheet name="05,13 R3 NO TRIP" sheetId="2063" r:id="rId40"/>
    <sheet name="(14)" sheetId="2064" r:id="rId41"/>
    <sheet name="05,14 R1" sheetId="2065" r:id="rId42"/>
    <sheet name="05,14 R2 NO TRIP" sheetId="2066" r:id="rId43"/>
    <sheet name="05,14 R3" sheetId="2067" r:id="rId44"/>
    <sheet name="(15)" sheetId="2068" r:id="rId45"/>
    <sheet name="05,15 R1" sheetId="2069" r:id="rId46"/>
    <sheet name="05,15 R2" sheetId="2070" r:id="rId47"/>
    <sheet name="05,15 R3" sheetId="2071" r:id="rId48"/>
    <sheet name="(16)" sheetId="2072" r:id="rId49"/>
    <sheet name="05,15 R1 NO TRIP" sheetId="2077" r:id="rId50"/>
    <sheet name="05,16 R2" sheetId="2075" r:id="rId51"/>
    <sheet name="05,16 R3 NO TRIP" sheetId="2076" r:id="rId52"/>
    <sheet name="(18)" sheetId="2078" r:id="rId53"/>
    <sheet name="05,18 R1 NO TRIP" sheetId="2079" r:id="rId54"/>
    <sheet name="05,18 R2" sheetId="2080" r:id="rId55"/>
    <sheet name="05,18 R3" sheetId="2081" r:id="rId56"/>
    <sheet name="(19)" sheetId="2082" r:id="rId57"/>
    <sheet name="05,19 R1 ORG" sheetId="2106" r:id="rId58"/>
    <sheet name="05,19 R1 NEW" sheetId="2128" r:id="rId59"/>
    <sheet name="05,19 R1 COLLECTION" sheetId="2083" r:id="rId60"/>
    <sheet name="05,19 R2" sheetId="2084" r:id="rId61"/>
    <sheet name="05,19 R3" sheetId="2085" r:id="rId62"/>
    <sheet name="(20)" sheetId="2086" r:id="rId63"/>
    <sheet name="05,20 R1" sheetId="2087" r:id="rId64"/>
    <sheet name="05,20 R2" sheetId="2088" r:id="rId65"/>
    <sheet name="05,20 R3" sheetId="2089" r:id="rId66"/>
    <sheet name="(21)" sheetId="2090" r:id="rId67"/>
    <sheet name="05,21 R1" sheetId="2091" r:id="rId68"/>
    <sheet name="05,21 R2" sheetId="2092" r:id="rId69"/>
    <sheet name="05,21 R3" sheetId="2093" r:id="rId70"/>
    <sheet name="(22)" sheetId="2094" r:id="rId71"/>
    <sheet name="05,22 R1" sheetId="2095" r:id="rId72"/>
    <sheet name="05,22 R1 Collection" sheetId="2107" r:id="rId73"/>
    <sheet name="05,22 R2" sheetId="2096" r:id="rId74"/>
    <sheet name="05,22 R3 NO TRIP" sheetId="2097" r:id="rId75"/>
    <sheet name="(23)" sheetId="2098" r:id="rId76"/>
    <sheet name="05,23 R1" sheetId="2099" r:id="rId77"/>
    <sheet name="05,23 R2" sheetId="2100" r:id="rId78"/>
    <sheet name="05,23 R3" sheetId="2101" r:id="rId79"/>
    <sheet name="(25)" sheetId="2102" r:id="rId80"/>
    <sheet name="05,25 R1" sheetId="2103" r:id="rId81"/>
    <sheet name="05,25 R2" sheetId="2104" r:id="rId82"/>
    <sheet name="05,25 R3" sheetId="2105" r:id="rId83"/>
    <sheet name="(26)" sheetId="2108" r:id="rId84"/>
    <sheet name="05,26 R1" sheetId="2109" r:id="rId85"/>
    <sheet name="05,26 R2" sheetId="2110" r:id="rId86"/>
    <sheet name="05,26 R3" sheetId="2111" r:id="rId87"/>
    <sheet name="(27)" sheetId="2112" r:id="rId88"/>
    <sheet name="05,27 R1" sheetId="2113" r:id="rId89"/>
    <sheet name="05,27 R2" sheetId="2114" r:id="rId90"/>
    <sheet name="05,27 R3" sheetId="2115" r:id="rId91"/>
    <sheet name="(28)" sheetId="2116" r:id="rId92"/>
    <sheet name="05,28 R1" sheetId="2117" r:id="rId93"/>
    <sheet name="05,28 R2" sheetId="2118" r:id="rId94"/>
    <sheet name="05,28 R3" sheetId="2119" r:id="rId95"/>
    <sheet name="(29)" sheetId="2120" r:id="rId96"/>
    <sheet name="05,29 R1" sheetId="2121" r:id="rId97"/>
    <sheet name="05,29 R2" sheetId="2122" r:id="rId98"/>
    <sheet name="05,29 R3" sheetId="2123" r:id="rId99"/>
    <sheet name="(30)" sheetId="2124" r:id="rId100"/>
    <sheet name="05,30 R1" sheetId="2125" r:id="rId101"/>
    <sheet name="05,30 R2" sheetId="2126" r:id="rId102"/>
    <sheet name="05,30 R3" sheetId="2127" r:id="rId103"/>
  </sheets>
  <definedNames>
    <definedName name="_xlnm.Print_Area" localSheetId="1">'(01)'!$A$1:$J$60</definedName>
    <definedName name="_xlnm.Print_Area" localSheetId="28">'(11)'!$A$1:$J$60</definedName>
    <definedName name="_xlnm.Print_Area" localSheetId="32">'(12)'!$A$1:$J$60</definedName>
    <definedName name="_xlnm.Print_Area" localSheetId="36">'(13)'!$A$1:$J$60</definedName>
    <definedName name="_xlnm.Print_Area" localSheetId="40">'(14)'!$A$1:$J$60</definedName>
    <definedName name="_xlnm.Print_Area" localSheetId="44">'(15)'!$A$1:$J$60</definedName>
    <definedName name="_xlnm.Print_Area" localSheetId="48">'(16)'!$A$1:$J$60</definedName>
    <definedName name="_xlnm.Print_Area" localSheetId="52">'(18)'!$A$1:$J$60</definedName>
    <definedName name="_xlnm.Print_Area" localSheetId="56">'(19)'!$A$1:$J$60</definedName>
    <definedName name="_xlnm.Print_Area" localSheetId="5">'(2)'!$A$1:$J$60</definedName>
    <definedName name="_xlnm.Print_Area" localSheetId="62">'(20)'!$A$1:$J$60</definedName>
    <definedName name="_xlnm.Print_Area" localSheetId="66">'(21)'!$A$1:$J$60</definedName>
    <definedName name="_xlnm.Print_Area" localSheetId="70">'(22)'!$A$1:$J$60</definedName>
    <definedName name="_xlnm.Print_Area" localSheetId="75">'(23)'!$A$1:$J$60</definedName>
    <definedName name="_xlnm.Print_Area" localSheetId="79">'(25)'!$A$1:$J$60</definedName>
    <definedName name="_xlnm.Print_Area" localSheetId="83">'(26)'!$A$1:$J$60</definedName>
    <definedName name="_xlnm.Print_Area" localSheetId="87">'(27)'!$A$1:$J$60</definedName>
    <definedName name="_xlnm.Print_Area" localSheetId="91">'(28)'!$A$1:$J$60</definedName>
    <definedName name="_xlnm.Print_Area" localSheetId="95">'(29)'!$A$1:$J$60</definedName>
    <definedName name="_xlnm.Print_Area" localSheetId="99">'(30)'!$A$1:$J$60</definedName>
    <definedName name="_xlnm.Print_Area" localSheetId="7">'(4)'!$A$1:$J$60</definedName>
    <definedName name="_xlnm.Print_Area" localSheetId="11">'(5)'!$A$1:$J$60</definedName>
    <definedName name="_xlnm.Print_Area" localSheetId="15">'(6)'!$A$1:$J$60</definedName>
    <definedName name="_xlnm.Print_Area" localSheetId="19">'(7)'!$A$1:$J$60</definedName>
    <definedName name="_xlnm.Print_Area" localSheetId="24">'(8)'!$A$1:$J$60</definedName>
    <definedName name="_xlnm.Print_Area" localSheetId="2">'05,01 R1'!$A$1:$J$60</definedName>
    <definedName name="_xlnm.Print_Area" localSheetId="3">'05,01 R2'!$A$1:$J$60</definedName>
    <definedName name="_xlnm.Print_Area" localSheetId="4">'05,01 R3'!$A$1:$J$60</definedName>
    <definedName name="_xlnm.Print_Area" localSheetId="6">'05,02 R3'!$A$1:$J$60</definedName>
    <definedName name="_xlnm.Print_Area" localSheetId="8">'05,04 R1'!$A$1:$J$60</definedName>
    <definedName name="_xlnm.Print_Area" localSheetId="9">'05,04 R2'!$A$1:$J$60</definedName>
    <definedName name="_xlnm.Print_Area" localSheetId="10">'05,04 R3'!$A$1:$J$60</definedName>
    <definedName name="_xlnm.Print_Area" localSheetId="12">'05,05 R1'!$A$1:$J$60</definedName>
    <definedName name="_xlnm.Print_Area" localSheetId="13">'05,05 R2'!$A$1:$J$60</definedName>
    <definedName name="_xlnm.Print_Area" localSheetId="14">'05,05 R3'!$A$1:$J$60</definedName>
    <definedName name="_xlnm.Print_Area" localSheetId="16">'05,06 R1'!$A$1:$J$60</definedName>
    <definedName name="_xlnm.Print_Area" localSheetId="17">'05,06 R2'!$A$1:$J$60</definedName>
    <definedName name="_xlnm.Print_Area" localSheetId="18">'05,06 R3'!$A$1:$J$60</definedName>
    <definedName name="_xlnm.Print_Area" localSheetId="20">'05,07 R1'!$A$1:$J$60</definedName>
    <definedName name="_xlnm.Print_Area" localSheetId="21">'05,07 R1 (2)'!$A$1:$J$60</definedName>
    <definedName name="_xlnm.Print_Area" localSheetId="22">'05,07 R2'!$A$1:$J$60</definedName>
    <definedName name="_xlnm.Print_Area" localSheetId="23">'05,07 R3'!$A$1:$J$60</definedName>
    <definedName name="_xlnm.Print_Area" localSheetId="25">'05,08 R1 NO TRIP'!$A$1:$J$60</definedName>
    <definedName name="_xlnm.Print_Area" localSheetId="26">'05,08 R2'!$A$1:$J$60</definedName>
    <definedName name="_xlnm.Print_Area" localSheetId="27">'05,08 R3'!$A$1:$J$60</definedName>
    <definedName name="_xlnm.Print_Area" localSheetId="29">'05,11 R1'!$A$1:$J$60</definedName>
    <definedName name="_xlnm.Print_Area" localSheetId="30">'05,11 R2'!$A$1:$J$60</definedName>
    <definedName name="_xlnm.Print_Area" localSheetId="31">'05,11 R3'!$A$1:$J$60</definedName>
    <definedName name="_xlnm.Print_Area" localSheetId="33">'05,12 R1'!$A$1:$J$60</definedName>
    <definedName name="_xlnm.Print_Area" localSheetId="34">'05,12 R2'!$A$1:$J$60</definedName>
    <definedName name="_xlnm.Print_Area" localSheetId="35">'05,12 R3'!$A$1:$J$60</definedName>
    <definedName name="_xlnm.Print_Area" localSheetId="37">'05,13 R1'!$A$1:$J$60</definedName>
    <definedName name="_xlnm.Print_Area" localSheetId="38">'05,13 R2'!$A$1:$J$60</definedName>
    <definedName name="_xlnm.Print_Area" localSheetId="39">'05,13 R3 NO TRIP'!$A$1:$J$60</definedName>
    <definedName name="_xlnm.Print_Area" localSheetId="41">'05,14 R1'!$A$1:$J$60</definedName>
    <definedName name="_xlnm.Print_Area" localSheetId="42">'05,14 R2 NO TRIP'!$A$1:$J$60</definedName>
    <definedName name="_xlnm.Print_Area" localSheetId="43">'05,14 R3'!$A$1:$J$60</definedName>
    <definedName name="_xlnm.Print_Area" localSheetId="45">'05,15 R1'!$A$1:$J$60</definedName>
    <definedName name="_xlnm.Print_Area" localSheetId="49">'05,15 R1 NO TRIP'!$A$1:$J$60</definedName>
    <definedName name="_xlnm.Print_Area" localSheetId="46">'05,15 R2'!$A$1:$J$60</definedName>
    <definedName name="_xlnm.Print_Area" localSheetId="47">'05,15 R3'!$A$1:$J$60</definedName>
    <definedName name="_xlnm.Print_Area" localSheetId="50">'05,16 R2'!$A$1:$J$60</definedName>
    <definedName name="_xlnm.Print_Area" localSheetId="51">'05,16 R3 NO TRIP'!$A$1:$J$60</definedName>
    <definedName name="_xlnm.Print_Area" localSheetId="53">'05,18 R1 NO TRIP'!$A$1:$J$60</definedName>
    <definedName name="_xlnm.Print_Area" localSheetId="54">'05,18 R2'!$A$1:$J$60</definedName>
    <definedName name="_xlnm.Print_Area" localSheetId="55">'05,18 R3'!$A$1:$J$60</definedName>
    <definedName name="_xlnm.Print_Area" localSheetId="59">'05,19 R1 COLLECTION'!$A$1:$J$60</definedName>
    <definedName name="_xlnm.Print_Area" localSheetId="58">'05,19 R1 NEW'!$A$1:$J$60</definedName>
    <definedName name="_xlnm.Print_Area" localSheetId="57">'05,19 R1 ORG'!$A$1:$J$60</definedName>
    <definedName name="_xlnm.Print_Area" localSheetId="60">'05,19 R2'!$A$1:$J$60</definedName>
    <definedName name="_xlnm.Print_Area" localSheetId="61">'05,19 R3'!$A$1:$J$60</definedName>
    <definedName name="_xlnm.Print_Area" localSheetId="63">'05,20 R1'!$A$1:$J$60</definedName>
    <definedName name="_xlnm.Print_Area" localSheetId="64">'05,20 R2'!$A$1:$J$60</definedName>
    <definedName name="_xlnm.Print_Area" localSheetId="65">'05,20 R3'!$A$1:$J$60</definedName>
    <definedName name="_xlnm.Print_Area" localSheetId="67">'05,21 R1'!$A$1:$J$60</definedName>
    <definedName name="_xlnm.Print_Area" localSheetId="68">'05,21 R2'!$A$1:$J$60</definedName>
    <definedName name="_xlnm.Print_Area" localSheetId="69">'05,21 R3'!$A$1:$J$60</definedName>
    <definedName name="_xlnm.Print_Area" localSheetId="71">'05,22 R1'!$A$1:$J$60</definedName>
    <definedName name="_xlnm.Print_Area" localSheetId="72">'05,22 R1 Collection'!$A$1:$J$60</definedName>
    <definedName name="_xlnm.Print_Area" localSheetId="73">'05,22 R2'!$A$1:$J$60</definedName>
    <definedName name="_xlnm.Print_Area" localSheetId="74">'05,22 R3 NO TRIP'!$A$1:$J$60</definedName>
    <definedName name="_xlnm.Print_Area" localSheetId="76">'05,23 R1'!$A$1:$J$60</definedName>
    <definedName name="_xlnm.Print_Area" localSheetId="77">'05,23 R2'!$A$1:$J$60</definedName>
    <definedName name="_xlnm.Print_Area" localSheetId="78">'05,23 R3'!$A$1:$J$60</definedName>
    <definedName name="_xlnm.Print_Area" localSheetId="80">'05,25 R1'!$A$1:$J$60</definedName>
    <definedName name="_xlnm.Print_Area" localSheetId="81">'05,25 R2'!$A$1:$J$60</definedName>
    <definedName name="_xlnm.Print_Area" localSheetId="82">'05,25 R3'!$A$1:$J$60</definedName>
    <definedName name="_xlnm.Print_Area" localSheetId="84">'05,26 R1'!$A$1:$J$60</definedName>
    <definedName name="_xlnm.Print_Area" localSheetId="85">'05,26 R2'!$A$1:$J$60</definedName>
    <definedName name="_xlnm.Print_Area" localSheetId="86">'05,26 R3'!$A$1:$J$60</definedName>
    <definedName name="_xlnm.Print_Area" localSheetId="88">'05,27 R1'!$A$1:$J$60</definedName>
    <definedName name="_xlnm.Print_Area" localSheetId="89">'05,27 R2'!$A$1:$J$60</definedName>
    <definedName name="_xlnm.Print_Area" localSheetId="90">'05,27 R3'!$A$1:$J$60</definedName>
    <definedName name="_xlnm.Print_Area" localSheetId="92">'05,28 R1'!$A$1:$J$60</definedName>
    <definedName name="_xlnm.Print_Area" localSheetId="93">'05,28 R2'!$A$1:$J$60</definedName>
    <definedName name="_xlnm.Print_Area" localSheetId="94">'05,28 R3'!$A$1:$J$60</definedName>
    <definedName name="_xlnm.Print_Area" localSheetId="96">'05,29 R1'!$A$1:$J$60</definedName>
    <definedName name="_xlnm.Print_Area" localSheetId="97">'05,29 R2'!$A$1:$J$60</definedName>
    <definedName name="_xlnm.Print_Area" localSheetId="98">'05,29 R3'!$A$1:$J$60</definedName>
    <definedName name="_xlnm.Print_Area" localSheetId="100">'05,30 R1'!$A$1:$J$60</definedName>
    <definedName name="_xlnm.Print_Area" localSheetId="101">'05,30 R2'!$A$1:$J$60</definedName>
    <definedName name="_xlnm.Print_Area" localSheetId="102">'05,30 R3'!$A$1:$J$60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L25" i="2115" l="1"/>
  <c r="H16" i="2111" l="1"/>
  <c r="C37" i="2111"/>
  <c r="C16" i="2111" l="1"/>
  <c r="C16" i="2110"/>
  <c r="D37" i="2109"/>
  <c r="C16" i="2109"/>
  <c r="H16" i="2105" l="1"/>
  <c r="G42" i="2128" l="1"/>
  <c r="L42" i="2128"/>
  <c r="G38" i="2128"/>
  <c r="G37" i="2128"/>
  <c r="G35" i="2128"/>
  <c r="G34" i="2128"/>
  <c r="C37" i="2128"/>
  <c r="C48" i="2128"/>
  <c r="H34" i="2128" l="1"/>
  <c r="H35" i="2128"/>
  <c r="H37" i="2128"/>
  <c r="R52" i="2128"/>
  <c r="R51" i="2128"/>
  <c r="D50" i="2128"/>
  <c r="R49" i="2128"/>
  <c r="D49" i="2128"/>
  <c r="R48" i="2128"/>
  <c r="D48" i="2128"/>
  <c r="D46" i="2128"/>
  <c r="D45" i="2128"/>
  <c r="R44" i="2128"/>
  <c r="L28" i="2128" s="1"/>
  <c r="D28" i="2128" s="1"/>
  <c r="D44" i="2128"/>
  <c r="R42" i="2128"/>
  <c r="D42" i="2128"/>
  <c r="R41" i="2128"/>
  <c r="L7" i="2128" s="1"/>
  <c r="D7" i="2128" s="1"/>
  <c r="D41" i="2128"/>
  <c r="R40" i="2128"/>
  <c r="D40" i="2128"/>
  <c r="R39" i="2128"/>
  <c r="H39" i="2128"/>
  <c r="D39" i="2128"/>
  <c r="R38" i="2128"/>
  <c r="L38" i="2128"/>
  <c r="H38" i="2128"/>
  <c r="D38" i="2128"/>
  <c r="R37" i="2128"/>
  <c r="L37" i="2128"/>
  <c r="D37" i="2128"/>
  <c r="R36" i="2128"/>
  <c r="H36" i="2128"/>
  <c r="D36" i="2128"/>
  <c r="R35" i="2128"/>
  <c r="L18" i="2128" s="1"/>
  <c r="D18" i="2128" s="1"/>
  <c r="L35" i="2128"/>
  <c r="D35" i="2128"/>
  <c r="R34" i="2128"/>
  <c r="L12" i="2128" s="1"/>
  <c r="D12" i="2128" s="1"/>
  <c r="L34" i="2128"/>
  <c r="D34" i="2128"/>
  <c r="R33" i="2128"/>
  <c r="L19" i="2128" s="1"/>
  <c r="D19" i="2128" s="1"/>
  <c r="R32" i="2128"/>
  <c r="L11" i="2128" s="1"/>
  <c r="D11" i="2128" s="1"/>
  <c r="R31" i="2128"/>
  <c r="R30" i="2128"/>
  <c r="R29" i="2128"/>
  <c r="R28" i="2128"/>
  <c r="R27" i="2128"/>
  <c r="L27" i="2128"/>
  <c r="D27" i="2128"/>
  <c r="R26" i="2128"/>
  <c r="L26" i="2128"/>
  <c r="D26" i="2128"/>
  <c r="R25" i="2128"/>
  <c r="L25" i="2128"/>
  <c r="D25" i="2128"/>
  <c r="R24" i="2128"/>
  <c r="L24" i="2128"/>
  <c r="D24" i="2128"/>
  <c r="R23" i="2128"/>
  <c r="L23" i="2128"/>
  <c r="D23" i="2128"/>
  <c r="R22" i="2128"/>
  <c r="L22" i="2128"/>
  <c r="D22" i="2128"/>
  <c r="R21" i="2128"/>
  <c r="L17" i="2128" s="1"/>
  <c r="D17" i="2128" s="1"/>
  <c r="L21" i="2128"/>
  <c r="D21" i="2128"/>
  <c r="R20" i="2128"/>
  <c r="L20" i="2128"/>
  <c r="D20" i="2128"/>
  <c r="R19" i="2128"/>
  <c r="R18" i="2128"/>
  <c r="R17" i="2128"/>
  <c r="R16" i="2128"/>
  <c r="L16" i="2128"/>
  <c r="D16" i="2128"/>
  <c r="R15" i="2128"/>
  <c r="L15" i="2128"/>
  <c r="D15" i="2128"/>
  <c r="R14" i="2128"/>
  <c r="D14" i="2128"/>
  <c r="R13" i="2128"/>
  <c r="D13" i="2128"/>
  <c r="R12" i="2128"/>
  <c r="R11" i="2128"/>
  <c r="L10" i="2128"/>
  <c r="D10" i="2128"/>
  <c r="L9" i="2128"/>
  <c r="D9" i="2128"/>
  <c r="L8" i="2128"/>
  <c r="D8" i="2128" s="1"/>
  <c r="R6" i="2128"/>
  <c r="L6" i="2128"/>
  <c r="D6" i="2128"/>
  <c r="D29" i="2128" s="1"/>
  <c r="H13" i="2128" s="1"/>
  <c r="R5" i="2128"/>
  <c r="R4" i="2128"/>
  <c r="L38" i="2106"/>
  <c r="L37" i="2106"/>
  <c r="L35" i="2106"/>
  <c r="L34" i="2106"/>
  <c r="D54" i="2128" l="1"/>
  <c r="H14" i="2128" s="1"/>
  <c r="H15" i="2128" s="1"/>
  <c r="H29" i="2128" s="1"/>
  <c r="G49" i="2128"/>
  <c r="R52" i="2127"/>
  <c r="R51" i="2127"/>
  <c r="D50" i="2127"/>
  <c r="R49" i="2127"/>
  <c r="G49" i="2127"/>
  <c r="D49" i="2127"/>
  <c r="R48" i="2127"/>
  <c r="D48" i="2127"/>
  <c r="D46" i="2127"/>
  <c r="D45" i="2127"/>
  <c r="R44" i="2127"/>
  <c r="L28" i="2127" s="1"/>
  <c r="D28" i="2127" s="1"/>
  <c r="D44" i="2127"/>
  <c r="R42" i="2127"/>
  <c r="D42" i="2127"/>
  <c r="R41" i="2127"/>
  <c r="D41" i="2127"/>
  <c r="R40" i="2127"/>
  <c r="D40" i="2127"/>
  <c r="R39" i="2127"/>
  <c r="H39" i="2127"/>
  <c r="D39" i="2127"/>
  <c r="R38" i="2127"/>
  <c r="H38" i="2127"/>
  <c r="D38" i="2127"/>
  <c r="R37" i="2127"/>
  <c r="H37" i="2127"/>
  <c r="D37" i="2127"/>
  <c r="R36" i="2127"/>
  <c r="L10" i="2127" s="1"/>
  <c r="D10" i="2127" s="1"/>
  <c r="H36" i="2127"/>
  <c r="D36" i="2127"/>
  <c r="R35" i="2127"/>
  <c r="H35" i="2127"/>
  <c r="D35" i="2127"/>
  <c r="R34" i="2127"/>
  <c r="H34" i="2127"/>
  <c r="D34" i="2127"/>
  <c r="D54" i="2127" s="1"/>
  <c r="H14" i="2127" s="1"/>
  <c r="R33" i="2127"/>
  <c r="L19" i="2127" s="1"/>
  <c r="D19" i="2127" s="1"/>
  <c r="R32" i="2127"/>
  <c r="L11" i="2127" s="1"/>
  <c r="D11" i="2127" s="1"/>
  <c r="R31" i="2127"/>
  <c r="R30" i="2127"/>
  <c r="R29" i="2127"/>
  <c r="R28" i="2127"/>
  <c r="R27" i="2127"/>
  <c r="L27" i="2127"/>
  <c r="D27" i="2127"/>
  <c r="R26" i="2127"/>
  <c r="L26" i="2127"/>
  <c r="D26" i="2127"/>
  <c r="R25" i="2127"/>
  <c r="L25" i="2127"/>
  <c r="D25" i="2127"/>
  <c r="R24" i="2127"/>
  <c r="L24" i="2127"/>
  <c r="D24" i="2127" s="1"/>
  <c r="R23" i="2127"/>
  <c r="L23" i="2127"/>
  <c r="D23" i="2127" s="1"/>
  <c r="R22" i="2127"/>
  <c r="L20" i="2127" s="1"/>
  <c r="D20" i="2127" s="1"/>
  <c r="L22" i="2127"/>
  <c r="D22" i="2127"/>
  <c r="R21" i="2127"/>
  <c r="L21" i="2127"/>
  <c r="D21" i="2127"/>
  <c r="R20" i="2127"/>
  <c r="R19" i="2127"/>
  <c r="R18" i="2127"/>
  <c r="L18" i="2127"/>
  <c r="D18" i="2127"/>
  <c r="R17" i="2127"/>
  <c r="L17" i="2127"/>
  <c r="D17" i="2127" s="1"/>
  <c r="R16" i="2127"/>
  <c r="R15" i="2127"/>
  <c r="L15" i="2127"/>
  <c r="D15" i="2127"/>
  <c r="R14" i="2127"/>
  <c r="D14" i="2127"/>
  <c r="R13" i="2127"/>
  <c r="D13" i="2127"/>
  <c r="R12" i="2127"/>
  <c r="L12" i="2127"/>
  <c r="D12" i="2127" s="1"/>
  <c r="R11" i="2127"/>
  <c r="L9" i="2127"/>
  <c r="D9" i="2127" s="1"/>
  <c r="L8" i="2127"/>
  <c r="D8" i="2127"/>
  <c r="L7" i="2127"/>
  <c r="D7" i="2127" s="1"/>
  <c r="R6" i="2127"/>
  <c r="L16" i="2127" s="1"/>
  <c r="D16" i="2127" s="1"/>
  <c r="L6" i="2127"/>
  <c r="D6" i="2127" s="1"/>
  <c r="R5" i="2127"/>
  <c r="R4" i="2127"/>
  <c r="R52" i="2126"/>
  <c r="R51" i="2126"/>
  <c r="D50" i="2126"/>
  <c r="R49" i="2126"/>
  <c r="D49" i="2126"/>
  <c r="R48" i="2126"/>
  <c r="D48" i="2126"/>
  <c r="D46" i="2126"/>
  <c r="D45" i="2126"/>
  <c r="R44" i="2126"/>
  <c r="D44" i="2126"/>
  <c r="R42" i="2126"/>
  <c r="D42" i="2126"/>
  <c r="R41" i="2126"/>
  <c r="L7" i="2126" s="1"/>
  <c r="D7" i="2126" s="1"/>
  <c r="D41" i="2126"/>
  <c r="R40" i="2126"/>
  <c r="L8" i="2126" s="1"/>
  <c r="D8" i="2126" s="1"/>
  <c r="D40" i="2126"/>
  <c r="R39" i="2126"/>
  <c r="H39" i="2126"/>
  <c r="D39" i="2126"/>
  <c r="R38" i="2126"/>
  <c r="H38" i="2126"/>
  <c r="D38" i="2126"/>
  <c r="R37" i="2126"/>
  <c r="H37" i="2126"/>
  <c r="D37" i="2126"/>
  <c r="R36" i="2126"/>
  <c r="H36" i="2126"/>
  <c r="D36" i="2126"/>
  <c r="R35" i="2126"/>
  <c r="H35" i="2126"/>
  <c r="D35" i="2126"/>
  <c r="R34" i="2126"/>
  <c r="L12" i="2126" s="1"/>
  <c r="D12" i="2126" s="1"/>
  <c r="H34" i="2126"/>
  <c r="G49" i="2126" s="1"/>
  <c r="D34" i="2126"/>
  <c r="D54" i="2126" s="1"/>
  <c r="H14" i="2126" s="1"/>
  <c r="R33" i="2126"/>
  <c r="L19" i="2126" s="1"/>
  <c r="D19" i="2126" s="1"/>
  <c r="R32" i="2126"/>
  <c r="R31" i="2126"/>
  <c r="R30" i="2126"/>
  <c r="R29" i="2126"/>
  <c r="R28" i="2126"/>
  <c r="L28" i="2126"/>
  <c r="D28" i="2126"/>
  <c r="R27" i="2126"/>
  <c r="L27" i="2126"/>
  <c r="D27" i="2126" s="1"/>
  <c r="R26" i="2126"/>
  <c r="L26" i="2126"/>
  <c r="D26" i="2126" s="1"/>
  <c r="R25" i="2126"/>
  <c r="L25" i="2126"/>
  <c r="D25" i="2126"/>
  <c r="R24" i="2126"/>
  <c r="L24" i="2126"/>
  <c r="D24" i="2126"/>
  <c r="R23" i="2126"/>
  <c r="L23" i="2126"/>
  <c r="D23" i="2126" s="1"/>
  <c r="R22" i="2126"/>
  <c r="L22" i="2126"/>
  <c r="D22" i="2126" s="1"/>
  <c r="R21" i="2126"/>
  <c r="L17" i="2126" s="1"/>
  <c r="D17" i="2126" s="1"/>
  <c r="D21" i="2126"/>
  <c r="R20" i="2126"/>
  <c r="L20" i="2126"/>
  <c r="D20" i="2126"/>
  <c r="R19" i="2126"/>
  <c r="R18" i="2126"/>
  <c r="L18" i="2126"/>
  <c r="D18" i="2126" s="1"/>
  <c r="R17" i="2126"/>
  <c r="R16" i="2126"/>
  <c r="R15" i="2126"/>
  <c r="L15" i="2126"/>
  <c r="D15" i="2126" s="1"/>
  <c r="R14" i="2126"/>
  <c r="D14" i="2126"/>
  <c r="R13" i="2126"/>
  <c r="D13" i="2126"/>
  <c r="R12" i="2126"/>
  <c r="R11" i="2126"/>
  <c r="L11" i="2126"/>
  <c r="D11" i="2126" s="1"/>
  <c r="L10" i="2126"/>
  <c r="D10" i="2126"/>
  <c r="L9" i="2126"/>
  <c r="D9" i="2126"/>
  <c r="R6" i="2126"/>
  <c r="L16" i="2126" s="1"/>
  <c r="D16" i="2126" s="1"/>
  <c r="L6" i="2126"/>
  <c r="D6" i="2126"/>
  <c r="D29" i="2126" s="1"/>
  <c r="H13" i="2126" s="1"/>
  <c r="H15" i="2126" s="1"/>
  <c r="H29" i="2126" s="1"/>
  <c r="R5" i="2126"/>
  <c r="R4" i="2126"/>
  <c r="R52" i="2125"/>
  <c r="R51" i="2125"/>
  <c r="D50" i="2125"/>
  <c r="R49" i="2125"/>
  <c r="D49" i="2125"/>
  <c r="R48" i="2125"/>
  <c r="D48" i="2125"/>
  <c r="D46" i="2125"/>
  <c r="D45" i="2125"/>
  <c r="R44" i="2125"/>
  <c r="L28" i="2125" s="1"/>
  <c r="D28" i="2125" s="1"/>
  <c r="D44" i="2125"/>
  <c r="R42" i="2125"/>
  <c r="D42" i="2125"/>
  <c r="R41" i="2125"/>
  <c r="D41" i="2125"/>
  <c r="R40" i="2125"/>
  <c r="D40" i="2125"/>
  <c r="R39" i="2125"/>
  <c r="H39" i="2125"/>
  <c r="D39" i="2125"/>
  <c r="R38" i="2125"/>
  <c r="L9" i="2125" s="1"/>
  <c r="D9" i="2125" s="1"/>
  <c r="H38" i="2125"/>
  <c r="D38" i="2125"/>
  <c r="R37" i="2125"/>
  <c r="H37" i="2125"/>
  <c r="D37" i="2125"/>
  <c r="R36" i="2125"/>
  <c r="L10" i="2125" s="1"/>
  <c r="D10" i="2125" s="1"/>
  <c r="H36" i="2125"/>
  <c r="D36" i="2125"/>
  <c r="R35" i="2125"/>
  <c r="H35" i="2125"/>
  <c r="D35" i="2125"/>
  <c r="R34" i="2125"/>
  <c r="H34" i="2125"/>
  <c r="G49" i="2125" s="1"/>
  <c r="D34" i="2125"/>
  <c r="D54" i="2125" s="1"/>
  <c r="H14" i="2125" s="1"/>
  <c r="R33" i="2125"/>
  <c r="R32" i="2125"/>
  <c r="L11" i="2125" s="1"/>
  <c r="D11" i="2125" s="1"/>
  <c r="R31" i="2125"/>
  <c r="R30" i="2125"/>
  <c r="R29" i="2125"/>
  <c r="R28" i="2125"/>
  <c r="R27" i="2125"/>
  <c r="L27" i="2125"/>
  <c r="D27" i="2125" s="1"/>
  <c r="R26" i="2125"/>
  <c r="L26" i="2125"/>
  <c r="D26" i="2125"/>
  <c r="R25" i="2125"/>
  <c r="L25" i="2125"/>
  <c r="D25" i="2125" s="1"/>
  <c r="R24" i="2125"/>
  <c r="L24" i="2125"/>
  <c r="D24" i="2125"/>
  <c r="R23" i="2125"/>
  <c r="L23" i="2125"/>
  <c r="D23" i="2125" s="1"/>
  <c r="R22" i="2125"/>
  <c r="L20" i="2125" s="1"/>
  <c r="D20" i="2125" s="1"/>
  <c r="L22" i="2125"/>
  <c r="D22" i="2125"/>
  <c r="R21" i="2125"/>
  <c r="L21" i="2125"/>
  <c r="D21" i="2125"/>
  <c r="R20" i="2125"/>
  <c r="R19" i="2125"/>
  <c r="L19" i="2125"/>
  <c r="D19" i="2125" s="1"/>
  <c r="R18" i="2125"/>
  <c r="L18" i="2125"/>
  <c r="D18" i="2125"/>
  <c r="R17" i="2125"/>
  <c r="L17" i="2125"/>
  <c r="D17" i="2125" s="1"/>
  <c r="R16" i="2125"/>
  <c r="R15" i="2125"/>
  <c r="L15" i="2125"/>
  <c r="D15" i="2125" s="1"/>
  <c r="R14" i="2125"/>
  <c r="D14" i="2125"/>
  <c r="R13" i="2125"/>
  <c r="D13" i="2125"/>
  <c r="R12" i="2125"/>
  <c r="L12" i="2125"/>
  <c r="D12" i="2125" s="1"/>
  <c r="R11" i="2125"/>
  <c r="L8" i="2125"/>
  <c r="D8" i="2125"/>
  <c r="L7" i="2125"/>
  <c r="D7" i="2125"/>
  <c r="R6" i="2125"/>
  <c r="L16" i="2125" s="1"/>
  <c r="D16" i="2125" s="1"/>
  <c r="L6" i="2125"/>
  <c r="D6" i="2125" s="1"/>
  <c r="R5" i="2125"/>
  <c r="R4" i="2125"/>
  <c r="R52" i="2124"/>
  <c r="R51" i="2124"/>
  <c r="D50" i="2124"/>
  <c r="R49" i="2124"/>
  <c r="G49" i="2124"/>
  <c r="D49" i="2124"/>
  <c r="R48" i="2124"/>
  <c r="D48" i="2124"/>
  <c r="D46" i="2124"/>
  <c r="D45" i="2124"/>
  <c r="D44" i="2124"/>
  <c r="R42" i="2124"/>
  <c r="D42" i="2124"/>
  <c r="R41" i="2124"/>
  <c r="L7" i="2124" s="1"/>
  <c r="D7" i="2124" s="1"/>
  <c r="D41" i="2124"/>
  <c r="R40" i="2124"/>
  <c r="L8" i="2124" s="1"/>
  <c r="D8" i="2124" s="1"/>
  <c r="D40" i="2124"/>
  <c r="R39" i="2124"/>
  <c r="D39" i="2124"/>
  <c r="R38" i="2124"/>
  <c r="D38" i="2124"/>
  <c r="R37" i="2124"/>
  <c r="D37" i="2124"/>
  <c r="R36" i="2124"/>
  <c r="L10" i="2124" s="1"/>
  <c r="D10" i="2124" s="1"/>
  <c r="D36" i="2124"/>
  <c r="R35" i="2124"/>
  <c r="D35" i="2124"/>
  <c r="R34" i="2124"/>
  <c r="L12" i="2124" s="1"/>
  <c r="D12" i="2124" s="1"/>
  <c r="D34" i="2124"/>
  <c r="D54" i="2124" s="1"/>
  <c r="H14" i="2124" s="1"/>
  <c r="R33" i="2124"/>
  <c r="L23" i="2124" s="1"/>
  <c r="D23" i="2124" s="1"/>
  <c r="R32" i="2124"/>
  <c r="R31" i="2124"/>
  <c r="R30" i="2124"/>
  <c r="R29" i="2124"/>
  <c r="R28" i="2124"/>
  <c r="L16" i="2124" s="1"/>
  <c r="D16" i="2124" s="1"/>
  <c r="D28" i="2124"/>
  <c r="R27" i="2124"/>
  <c r="D27" i="2124"/>
  <c r="R26" i="2124"/>
  <c r="L26" i="2124"/>
  <c r="D26" i="2124"/>
  <c r="R25" i="2124"/>
  <c r="L25" i="2124"/>
  <c r="D25" i="2124"/>
  <c r="R24" i="2124"/>
  <c r="D24" i="2124"/>
  <c r="R23" i="2124"/>
  <c r="R22" i="2124"/>
  <c r="L22" i="2124"/>
  <c r="D22" i="2124"/>
  <c r="R21" i="2124"/>
  <c r="D21" i="2124"/>
  <c r="R20" i="2124"/>
  <c r="L20" i="2124"/>
  <c r="D20" i="2124"/>
  <c r="R19" i="2124"/>
  <c r="L19" i="2124"/>
  <c r="D19" i="2124"/>
  <c r="R18" i="2124"/>
  <c r="D18" i="2124"/>
  <c r="R17" i="2124"/>
  <c r="D17" i="2124"/>
  <c r="R16" i="2124"/>
  <c r="S15" i="2124"/>
  <c r="R15" i="2124"/>
  <c r="D15" i="2124"/>
  <c r="S14" i="2124"/>
  <c r="R14" i="2124"/>
  <c r="D14" i="2124"/>
  <c r="R13" i="2124"/>
  <c r="D13" i="2124"/>
  <c r="R12" i="2124"/>
  <c r="R11" i="2124"/>
  <c r="L11" i="2124"/>
  <c r="D11" i="2124"/>
  <c r="L9" i="2124"/>
  <c r="D9" i="2124"/>
  <c r="R6" i="2124"/>
  <c r="L6" i="2124"/>
  <c r="D6" i="2124" s="1"/>
  <c r="R5" i="2124"/>
  <c r="R4" i="2124"/>
  <c r="D54" i="2123"/>
  <c r="H14" i="2123" s="1"/>
  <c r="R52" i="2123"/>
  <c r="R51" i="2123"/>
  <c r="D50" i="2123"/>
  <c r="R49" i="2123"/>
  <c r="G49" i="2123"/>
  <c r="D49" i="2123"/>
  <c r="R48" i="2123"/>
  <c r="D48" i="2123"/>
  <c r="D46" i="2123"/>
  <c r="D45" i="2123"/>
  <c r="R44" i="2123"/>
  <c r="D44" i="2123"/>
  <c r="R42" i="2123"/>
  <c r="D42" i="2123"/>
  <c r="R41" i="2123"/>
  <c r="L7" i="2123" s="1"/>
  <c r="D7" i="2123" s="1"/>
  <c r="D41" i="2123"/>
  <c r="R40" i="2123"/>
  <c r="D40" i="2123"/>
  <c r="R39" i="2123"/>
  <c r="H39" i="2123"/>
  <c r="D39" i="2123"/>
  <c r="R38" i="2123"/>
  <c r="H38" i="2123"/>
  <c r="D38" i="2123"/>
  <c r="R37" i="2123"/>
  <c r="H37" i="2123"/>
  <c r="D37" i="2123"/>
  <c r="R36" i="2123"/>
  <c r="L10" i="2123" s="1"/>
  <c r="D10" i="2123" s="1"/>
  <c r="H36" i="2123"/>
  <c r="D36" i="2123"/>
  <c r="R35" i="2123"/>
  <c r="L18" i="2123" s="1"/>
  <c r="D18" i="2123" s="1"/>
  <c r="H35" i="2123"/>
  <c r="D35" i="2123"/>
  <c r="R34" i="2123"/>
  <c r="H34" i="2123"/>
  <c r="D34" i="2123"/>
  <c r="R33" i="2123"/>
  <c r="L19" i="2123" s="1"/>
  <c r="D19" i="2123" s="1"/>
  <c r="R32" i="2123"/>
  <c r="L11" i="2123" s="1"/>
  <c r="D11" i="2123" s="1"/>
  <c r="R31" i="2123"/>
  <c r="R30" i="2123"/>
  <c r="R29" i="2123"/>
  <c r="R28" i="2123"/>
  <c r="L28" i="2123"/>
  <c r="D28" i="2123"/>
  <c r="R27" i="2123"/>
  <c r="L27" i="2123"/>
  <c r="D27" i="2123" s="1"/>
  <c r="R26" i="2123"/>
  <c r="L26" i="2123"/>
  <c r="D26" i="2123"/>
  <c r="R25" i="2123"/>
  <c r="L25" i="2123"/>
  <c r="D25" i="2123"/>
  <c r="R24" i="2123"/>
  <c r="L24" i="2123"/>
  <c r="D24" i="2123"/>
  <c r="R23" i="2123"/>
  <c r="L23" i="2123"/>
  <c r="D23" i="2123" s="1"/>
  <c r="R22" i="2123"/>
  <c r="L22" i="2123"/>
  <c r="D22" i="2123" s="1"/>
  <c r="R21" i="2123"/>
  <c r="L21" i="2123"/>
  <c r="D21" i="2123"/>
  <c r="R20" i="2123"/>
  <c r="L20" i="2123"/>
  <c r="D20" i="2123" s="1"/>
  <c r="R19" i="2123"/>
  <c r="R18" i="2123"/>
  <c r="R17" i="2123"/>
  <c r="L17" i="2123"/>
  <c r="D17" i="2123"/>
  <c r="R16" i="2123"/>
  <c r="R15" i="2123"/>
  <c r="R14" i="2123"/>
  <c r="D14" i="2123"/>
  <c r="R13" i="2123"/>
  <c r="D13" i="2123"/>
  <c r="R12" i="2123"/>
  <c r="L12" i="2123"/>
  <c r="D12" i="2123"/>
  <c r="R11" i="2123"/>
  <c r="L9" i="2123"/>
  <c r="D9" i="2123" s="1"/>
  <c r="L8" i="2123"/>
  <c r="D8" i="2123" s="1"/>
  <c r="R6" i="2123"/>
  <c r="L16" i="2123" s="1"/>
  <c r="D16" i="2123" s="1"/>
  <c r="L6" i="2123"/>
  <c r="D6" i="2123" s="1"/>
  <c r="R5" i="2123"/>
  <c r="R4" i="2123"/>
  <c r="L15" i="2123" s="1"/>
  <c r="D15" i="2123" s="1"/>
  <c r="R52" i="2122"/>
  <c r="R51" i="2122"/>
  <c r="D50" i="2122"/>
  <c r="R49" i="2122"/>
  <c r="D49" i="2122"/>
  <c r="R48" i="2122"/>
  <c r="D48" i="2122"/>
  <c r="D46" i="2122"/>
  <c r="D45" i="2122"/>
  <c r="R44" i="2122"/>
  <c r="D44" i="2122"/>
  <c r="R42" i="2122"/>
  <c r="L6" i="2122" s="1"/>
  <c r="D6" i="2122" s="1"/>
  <c r="D42" i="2122"/>
  <c r="R41" i="2122"/>
  <c r="L7" i="2122" s="1"/>
  <c r="D7" i="2122" s="1"/>
  <c r="D41" i="2122"/>
  <c r="R40" i="2122"/>
  <c r="L8" i="2122" s="1"/>
  <c r="D8" i="2122" s="1"/>
  <c r="D40" i="2122"/>
  <c r="R39" i="2122"/>
  <c r="H39" i="2122"/>
  <c r="D39" i="2122"/>
  <c r="R38" i="2122"/>
  <c r="H38" i="2122"/>
  <c r="D38" i="2122"/>
  <c r="R37" i="2122"/>
  <c r="H37" i="2122"/>
  <c r="D37" i="2122"/>
  <c r="R36" i="2122"/>
  <c r="H36" i="2122"/>
  <c r="D36" i="2122"/>
  <c r="R35" i="2122"/>
  <c r="H35" i="2122"/>
  <c r="D35" i="2122"/>
  <c r="D54" i="2122" s="1"/>
  <c r="H14" i="2122" s="1"/>
  <c r="R34" i="2122"/>
  <c r="H34" i="2122"/>
  <c r="G49" i="2122" s="1"/>
  <c r="D34" i="2122"/>
  <c r="R33" i="2122"/>
  <c r="R32" i="2122"/>
  <c r="R31" i="2122"/>
  <c r="R30" i="2122"/>
  <c r="R29" i="2122"/>
  <c r="R28" i="2122"/>
  <c r="L28" i="2122"/>
  <c r="D28" i="2122"/>
  <c r="R27" i="2122"/>
  <c r="L27" i="2122"/>
  <c r="D27" i="2122"/>
  <c r="R26" i="2122"/>
  <c r="L26" i="2122"/>
  <c r="D26" i="2122" s="1"/>
  <c r="R25" i="2122"/>
  <c r="L25" i="2122"/>
  <c r="D25" i="2122"/>
  <c r="R24" i="2122"/>
  <c r="L24" i="2122"/>
  <c r="D24" i="2122"/>
  <c r="R23" i="2122"/>
  <c r="L23" i="2122"/>
  <c r="D23" i="2122"/>
  <c r="R22" i="2122"/>
  <c r="L20" i="2122" s="1"/>
  <c r="D20" i="2122" s="1"/>
  <c r="L22" i="2122"/>
  <c r="D22" i="2122" s="1"/>
  <c r="R21" i="2122"/>
  <c r="D21" i="2122"/>
  <c r="R20" i="2122"/>
  <c r="R19" i="2122"/>
  <c r="L19" i="2122"/>
  <c r="D19" i="2122" s="1"/>
  <c r="R18" i="2122"/>
  <c r="L18" i="2122"/>
  <c r="D18" i="2122" s="1"/>
  <c r="R17" i="2122"/>
  <c r="L17" i="2122"/>
  <c r="D17" i="2122"/>
  <c r="R16" i="2122"/>
  <c r="R15" i="2122"/>
  <c r="R14" i="2122"/>
  <c r="D14" i="2122"/>
  <c r="R13" i="2122"/>
  <c r="D13" i="2122"/>
  <c r="R12" i="2122"/>
  <c r="L12" i="2122"/>
  <c r="D12" i="2122"/>
  <c r="R11" i="2122"/>
  <c r="L11" i="2122"/>
  <c r="D11" i="2122"/>
  <c r="L10" i="2122"/>
  <c r="D10" i="2122"/>
  <c r="L9" i="2122"/>
  <c r="D9" i="2122"/>
  <c r="R6" i="2122"/>
  <c r="L16" i="2122" s="1"/>
  <c r="D16" i="2122" s="1"/>
  <c r="R5" i="2122"/>
  <c r="R4" i="2122"/>
  <c r="L15" i="2122" s="1"/>
  <c r="D15" i="2122" s="1"/>
  <c r="R52" i="2121"/>
  <c r="R51" i="2121"/>
  <c r="D50" i="2121"/>
  <c r="R49" i="2121"/>
  <c r="D49" i="2121"/>
  <c r="R48" i="2121"/>
  <c r="D48" i="2121"/>
  <c r="D46" i="2121"/>
  <c r="D45" i="2121"/>
  <c r="R44" i="2121"/>
  <c r="L28" i="2121" s="1"/>
  <c r="D28" i="2121" s="1"/>
  <c r="D44" i="2121"/>
  <c r="R42" i="2121"/>
  <c r="D42" i="2121"/>
  <c r="R41" i="2121"/>
  <c r="D41" i="2121"/>
  <c r="R40" i="2121"/>
  <c r="D40" i="2121"/>
  <c r="R39" i="2121"/>
  <c r="H39" i="2121"/>
  <c r="D39" i="2121"/>
  <c r="R38" i="2121"/>
  <c r="H38" i="2121"/>
  <c r="D38" i="2121"/>
  <c r="R37" i="2121"/>
  <c r="H37" i="2121"/>
  <c r="D37" i="2121"/>
  <c r="R36" i="2121"/>
  <c r="L10" i="2121" s="1"/>
  <c r="D10" i="2121" s="1"/>
  <c r="H36" i="2121"/>
  <c r="D36" i="2121"/>
  <c r="D54" i="2121" s="1"/>
  <c r="H14" i="2121" s="1"/>
  <c r="R35" i="2121"/>
  <c r="H35" i="2121"/>
  <c r="G49" i="2121" s="1"/>
  <c r="D35" i="2121"/>
  <c r="R34" i="2121"/>
  <c r="H34" i="2121"/>
  <c r="D34" i="2121"/>
  <c r="R33" i="2121"/>
  <c r="R32" i="2121"/>
  <c r="R31" i="2121"/>
  <c r="R30" i="2121"/>
  <c r="R29" i="2121"/>
  <c r="R28" i="2121"/>
  <c r="R27" i="2121"/>
  <c r="L27" i="2121"/>
  <c r="D27" i="2121" s="1"/>
  <c r="R26" i="2121"/>
  <c r="L26" i="2121"/>
  <c r="D26" i="2121"/>
  <c r="R25" i="2121"/>
  <c r="L25" i="2121"/>
  <c r="D25" i="2121"/>
  <c r="R24" i="2121"/>
  <c r="L24" i="2121"/>
  <c r="D24" i="2121"/>
  <c r="R23" i="2121"/>
  <c r="L23" i="2121"/>
  <c r="D23" i="2121" s="1"/>
  <c r="R22" i="2121"/>
  <c r="L20" i="2121" s="1"/>
  <c r="D20" i="2121" s="1"/>
  <c r="L22" i="2121"/>
  <c r="D22" i="2121" s="1"/>
  <c r="R21" i="2121"/>
  <c r="L21" i="2121"/>
  <c r="D21" i="2121"/>
  <c r="R20" i="2121"/>
  <c r="R19" i="2121"/>
  <c r="L19" i="2121"/>
  <c r="D19" i="2121"/>
  <c r="R18" i="2121"/>
  <c r="L18" i="2121"/>
  <c r="D18" i="2121"/>
  <c r="R17" i="2121"/>
  <c r="L17" i="2121"/>
  <c r="D17" i="2121" s="1"/>
  <c r="R16" i="2121"/>
  <c r="R15" i="2121"/>
  <c r="R14" i="2121"/>
  <c r="D14" i="2121"/>
  <c r="R13" i="2121"/>
  <c r="D13" i="2121"/>
  <c r="R12" i="2121"/>
  <c r="L12" i="2121"/>
  <c r="D12" i="2121" s="1"/>
  <c r="R11" i="2121"/>
  <c r="L11" i="2121"/>
  <c r="D11" i="2121" s="1"/>
  <c r="L9" i="2121"/>
  <c r="D9" i="2121"/>
  <c r="L8" i="2121"/>
  <c r="D8" i="2121" s="1"/>
  <c r="L7" i="2121"/>
  <c r="D7" i="2121"/>
  <c r="R6" i="2121"/>
  <c r="L16" i="2121" s="1"/>
  <c r="D16" i="2121" s="1"/>
  <c r="L6" i="2121"/>
  <c r="D6" i="2121" s="1"/>
  <c r="R5" i="2121"/>
  <c r="R4" i="2121"/>
  <c r="L15" i="2121" s="1"/>
  <c r="D15" i="2121" s="1"/>
  <c r="R52" i="2120"/>
  <c r="R51" i="2120"/>
  <c r="D50" i="2120"/>
  <c r="R49" i="2120"/>
  <c r="G49" i="2120"/>
  <c r="D49" i="2120"/>
  <c r="R48" i="2120"/>
  <c r="D48" i="2120"/>
  <c r="D46" i="2120"/>
  <c r="D45" i="2120"/>
  <c r="D44" i="2120"/>
  <c r="R42" i="2120"/>
  <c r="D42" i="2120"/>
  <c r="R41" i="2120"/>
  <c r="L7" i="2120" s="1"/>
  <c r="D7" i="2120" s="1"/>
  <c r="D41" i="2120"/>
  <c r="R40" i="2120"/>
  <c r="L8" i="2120" s="1"/>
  <c r="D8" i="2120" s="1"/>
  <c r="D40" i="2120"/>
  <c r="R39" i="2120"/>
  <c r="D39" i="2120"/>
  <c r="R38" i="2120"/>
  <c r="D38" i="2120"/>
  <c r="R37" i="2120"/>
  <c r="D37" i="2120"/>
  <c r="D54" i="2120" s="1"/>
  <c r="H14" i="2120" s="1"/>
  <c r="R36" i="2120"/>
  <c r="D36" i="2120"/>
  <c r="R35" i="2120"/>
  <c r="D35" i="2120"/>
  <c r="R34" i="2120"/>
  <c r="D34" i="2120"/>
  <c r="R33" i="2120"/>
  <c r="R32" i="2120"/>
  <c r="L11" i="2120" s="1"/>
  <c r="D11" i="2120" s="1"/>
  <c r="R31" i="2120"/>
  <c r="R30" i="2120"/>
  <c r="R29" i="2120"/>
  <c r="R28" i="2120"/>
  <c r="D28" i="2120"/>
  <c r="R27" i="2120"/>
  <c r="D27" i="2120"/>
  <c r="R26" i="2120"/>
  <c r="L26" i="2120"/>
  <c r="D26" i="2120"/>
  <c r="R25" i="2120"/>
  <c r="L25" i="2120"/>
  <c r="D25" i="2120"/>
  <c r="R24" i="2120"/>
  <c r="D24" i="2120"/>
  <c r="R23" i="2120"/>
  <c r="L23" i="2120"/>
  <c r="D23" i="2120" s="1"/>
  <c r="R22" i="2120"/>
  <c r="L22" i="2120"/>
  <c r="D22" i="2120"/>
  <c r="R21" i="2120"/>
  <c r="D21" i="2120"/>
  <c r="R20" i="2120"/>
  <c r="L20" i="2120"/>
  <c r="D20" i="2120"/>
  <c r="R19" i="2120"/>
  <c r="L19" i="2120"/>
  <c r="D19" i="2120"/>
  <c r="R18" i="2120"/>
  <c r="D18" i="2120"/>
  <c r="R17" i="2120"/>
  <c r="D17" i="2120"/>
  <c r="R16" i="2120"/>
  <c r="L16" i="2120"/>
  <c r="D16" i="2120" s="1"/>
  <c r="S15" i="2120"/>
  <c r="R15" i="2120"/>
  <c r="D15" i="2120"/>
  <c r="S14" i="2120"/>
  <c r="R14" i="2120"/>
  <c r="D14" i="2120"/>
  <c r="R13" i="2120"/>
  <c r="D13" i="2120"/>
  <c r="R12" i="2120"/>
  <c r="L12" i="2120"/>
  <c r="D12" i="2120" s="1"/>
  <c r="R11" i="2120"/>
  <c r="L10" i="2120"/>
  <c r="D10" i="2120"/>
  <c r="L9" i="2120"/>
  <c r="D9" i="2120" s="1"/>
  <c r="R6" i="2120"/>
  <c r="L6" i="2120"/>
  <c r="D6" i="2120" s="1"/>
  <c r="R5" i="2120"/>
  <c r="R4" i="2120"/>
  <c r="R52" i="2119"/>
  <c r="R51" i="2119"/>
  <c r="D50" i="2119"/>
  <c r="R49" i="2119"/>
  <c r="D49" i="2119"/>
  <c r="R48" i="2119"/>
  <c r="D48" i="2119"/>
  <c r="D46" i="2119"/>
  <c r="D45" i="2119"/>
  <c r="R44" i="2119"/>
  <c r="L28" i="2119" s="1"/>
  <c r="D28" i="2119" s="1"/>
  <c r="D44" i="2119"/>
  <c r="R42" i="2119"/>
  <c r="L6" i="2119" s="1"/>
  <c r="D6" i="2119" s="1"/>
  <c r="D42" i="2119"/>
  <c r="R41" i="2119"/>
  <c r="D41" i="2119"/>
  <c r="R40" i="2119"/>
  <c r="L8" i="2119" s="1"/>
  <c r="D8" i="2119" s="1"/>
  <c r="D40" i="2119"/>
  <c r="R39" i="2119"/>
  <c r="H39" i="2119"/>
  <c r="D39" i="2119"/>
  <c r="R38" i="2119"/>
  <c r="L9" i="2119" s="1"/>
  <c r="D9" i="2119" s="1"/>
  <c r="H38" i="2119"/>
  <c r="D38" i="2119"/>
  <c r="R37" i="2119"/>
  <c r="H37" i="2119"/>
  <c r="D37" i="2119"/>
  <c r="R36" i="2119"/>
  <c r="H36" i="2119"/>
  <c r="D36" i="2119"/>
  <c r="R35" i="2119"/>
  <c r="H35" i="2119"/>
  <c r="D35" i="2119"/>
  <c r="R34" i="2119"/>
  <c r="L12" i="2119" s="1"/>
  <c r="D12" i="2119" s="1"/>
  <c r="H34" i="2119"/>
  <c r="G49" i="2119" s="1"/>
  <c r="D34" i="2119"/>
  <c r="D54" i="2119" s="1"/>
  <c r="H14" i="2119" s="1"/>
  <c r="R33" i="2119"/>
  <c r="L19" i="2119" s="1"/>
  <c r="D19" i="2119" s="1"/>
  <c r="R32" i="2119"/>
  <c r="R31" i="2119"/>
  <c r="R30" i="2119"/>
  <c r="R29" i="2119"/>
  <c r="R28" i="2119"/>
  <c r="R27" i="2119"/>
  <c r="L27" i="2119"/>
  <c r="D27" i="2119"/>
  <c r="R26" i="2119"/>
  <c r="L26" i="2119"/>
  <c r="D26" i="2119" s="1"/>
  <c r="R25" i="2119"/>
  <c r="L25" i="2119"/>
  <c r="D25" i="2119" s="1"/>
  <c r="R24" i="2119"/>
  <c r="L24" i="2119"/>
  <c r="D24" i="2119"/>
  <c r="R23" i="2119"/>
  <c r="L23" i="2119"/>
  <c r="D23" i="2119"/>
  <c r="R22" i="2119"/>
  <c r="L20" i="2119" s="1"/>
  <c r="D20" i="2119" s="1"/>
  <c r="L22" i="2119"/>
  <c r="D22" i="2119"/>
  <c r="R21" i="2119"/>
  <c r="L21" i="2119"/>
  <c r="D21" i="2119"/>
  <c r="R20" i="2119"/>
  <c r="R19" i="2119"/>
  <c r="R18" i="2119"/>
  <c r="L18" i="2119"/>
  <c r="D18" i="2119" s="1"/>
  <c r="R17" i="2119"/>
  <c r="L17" i="2119"/>
  <c r="D17" i="2119" s="1"/>
  <c r="R16" i="2119"/>
  <c r="R15" i="2119"/>
  <c r="L15" i="2119"/>
  <c r="D15" i="2119"/>
  <c r="R14" i="2119"/>
  <c r="D14" i="2119"/>
  <c r="R13" i="2119"/>
  <c r="D13" i="2119"/>
  <c r="R12" i="2119"/>
  <c r="R11" i="2119"/>
  <c r="L11" i="2119"/>
  <c r="D11" i="2119"/>
  <c r="L10" i="2119"/>
  <c r="D10" i="2119" s="1"/>
  <c r="L7" i="2119"/>
  <c r="D7" i="2119"/>
  <c r="R6" i="2119"/>
  <c r="L16" i="2119" s="1"/>
  <c r="D16" i="2119" s="1"/>
  <c r="R5" i="2119"/>
  <c r="R4" i="2119"/>
  <c r="R52" i="2118"/>
  <c r="R51" i="2118"/>
  <c r="D50" i="2118"/>
  <c r="R49" i="2118"/>
  <c r="D49" i="2118"/>
  <c r="R48" i="2118"/>
  <c r="D48" i="2118"/>
  <c r="D46" i="2118"/>
  <c r="D45" i="2118"/>
  <c r="R44" i="2118"/>
  <c r="D44" i="2118"/>
  <c r="R42" i="2118"/>
  <c r="D42" i="2118"/>
  <c r="R41" i="2118"/>
  <c r="L7" i="2118" s="1"/>
  <c r="D7" i="2118" s="1"/>
  <c r="D41" i="2118"/>
  <c r="R40" i="2118"/>
  <c r="L8" i="2118" s="1"/>
  <c r="D8" i="2118" s="1"/>
  <c r="D40" i="2118"/>
  <c r="R39" i="2118"/>
  <c r="H39" i="2118"/>
  <c r="D39" i="2118"/>
  <c r="D54" i="2118" s="1"/>
  <c r="H14" i="2118" s="1"/>
  <c r="R38" i="2118"/>
  <c r="H38" i="2118"/>
  <c r="D38" i="2118"/>
  <c r="R37" i="2118"/>
  <c r="H37" i="2118"/>
  <c r="G49" i="2118" s="1"/>
  <c r="D37" i="2118"/>
  <c r="R36" i="2118"/>
  <c r="H36" i="2118"/>
  <c r="D36" i="2118"/>
  <c r="R35" i="2118"/>
  <c r="H35" i="2118"/>
  <c r="D35" i="2118"/>
  <c r="R34" i="2118"/>
  <c r="L12" i="2118" s="1"/>
  <c r="D12" i="2118" s="1"/>
  <c r="H34" i="2118"/>
  <c r="D34" i="2118"/>
  <c r="R33" i="2118"/>
  <c r="L19" i="2118" s="1"/>
  <c r="D19" i="2118" s="1"/>
  <c r="R32" i="2118"/>
  <c r="L11" i="2118" s="1"/>
  <c r="D11" i="2118" s="1"/>
  <c r="R31" i="2118"/>
  <c r="R30" i="2118"/>
  <c r="R29" i="2118"/>
  <c r="R28" i="2118"/>
  <c r="L28" i="2118"/>
  <c r="D28" i="2118"/>
  <c r="R27" i="2118"/>
  <c r="L27" i="2118"/>
  <c r="D27" i="2118"/>
  <c r="R26" i="2118"/>
  <c r="L26" i="2118"/>
  <c r="D26" i="2118"/>
  <c r="R25" i="2118"/>
  <c r="L25" i="2118"/>
  <c r="D25" i="2118"/>
  <c r="R24" i="2118"/>
  <c r="L24" i="2118"/>
  <c r="D24" i="2118"/>
  <c r="R23" i="2118"/>
  <c r="L23" i="2118"/>
  <c r="D23" i="2118" s="1"/>
  <c r="R22" i="2118"/>
  <c r="L22" i="2118"/>
  <c r="D22" i="2118" s="1"/>
  <c r="R21" i="2118"/>
  <c r="L17" i="2118" s="1"/>
  <c r="D17" i="2118" s="1"/>
  <c r="D21" i="2118"/>
  <c r="R20" i="2118"/>
  <c r="L20" i="2118"/>
  <c r="D20" i="2118"/>
  <c r="R19" i="2118"/>
  <c r="R18" i="2118"/>
  <c r="L18" i="2118"/>
  <c r="D18" i="2118" s="1"/>
  <c r="R17" i="2118"/>
  <c r="R16" i="2118"/>
  <c r="R15" i="2118"/>
  <c r="R14" i="2118"/>
  <c r="D14" i="2118"/>
  <c r="R13" i="2118"/>
  <c r="D13" i="2118"/>
  <c r="R12" i="2118"/>
  <c r="R11" i="2118"/>
  <c r="L10" i="2118"/>
  <c r="D10" i="2118" s="1"/>
  <c r="L9" i="2118"/>
  <c r="D9" i="2118"/>
  <c r="R6" i="2118"/>
  <c r="L16" i="2118" s="1"/>
  <c r="D16" i="2118" s="1"/>
  <c r="L6" i="2118"/>
  <c r="D6" i="2118"/>
  <c r="R5" i="2118"/>
  <c r="R4" i="2118"/>
  <c r="L15" i="2118" s="1"/>
  <c r="D15" i="2118" s="1"/>
  <c r="R52" i="2117"/>
  <c r="R51" i="2117"/>
  <c r="D50" i="2117"/>
  <c r="R49" i="2117"/>
  <c r="D49" i="2117"/>
  <c r="R48" i="2117"/>
  <c r="D48" i="2117"/>
  <c r="D46" i="2117"/>
  <c r="D45" i="2117"/>
  <c r="R44" i="2117"/>
  <c r="D44" i="2117"/>
  <c r="R42" i="2117"/>
  <c r="L6" i="2117" s="1"/>
  <c r="D6" i="2117" s="1"/>
  <c r="D42" i="2117"/>
  <c r="R41" i="2117"/>
  <c r="D41" i="2117"/>
  <c r="R40" i="2117"/>
  <c r="L8" i="2117" s="1"/>
  <c r="D8" i="2117" s="1"/>
  <c r="D40" i="2117"/>
  <c r="R39" i="2117"/>
  <c r="H39" i="2117"/>
  <c r="D39" i="2117"/>
  <c r="R38" i="2117"/>
  <c r="L9" i="2117" s="1"/>
  <c r="D9" i="2117" s="1"/>
  <c r="H38" i="2117"/>
  <c r="D38" i="2117"/>
  <c r="R37" i="2117"/>
  <c r="H37" i="2117"/>
  <c r="D37" i="2117"/>
  <c r="R36" i="2117"/>
  <c r="H36" i="2117"/>
  <c r="D36" i="2117"/>
  <c r="R35" i="2117"/>
  <c r="H35" i="2117"/>
  <c r="D35" i="2117"/>
  <c r="R34" i="2117"/>
  <c r="L12" i="2117" s="1"/>
  <c r="D12" i="2117" s="1"/>
  <c r="H34" i="2117"/>
  <c r="D34" i="2117"/>
  <c r="D54" i="2117" s="1"/>
  <c r="H14" i="2117" s="1"/>
  <c r="R33" i="2117"/>
  <c r="R32" i="2117"/>
  <c r="R31" i="2117"/>
  <c r="R30" i="2117"/>
  <c r="R29" i="2117"/>
  <c r="R28" i="2117"/>
  <c r="L28" i="2117"/>
  <c r="D28" i="2117"/>
  <c r="R27" i="2117"/>
  <c r="L27" i="2117"/>
  <c r="D27" i="2117"/>
  <c r="R26" i="2117"/>
  <c r="L26" i="2117"/>
  <c r="D26" i="2117" s="1"/>
  <c r="R25" i="2117"/>
  <c r="L25" i="2117"/>
  <c r="D25" i="2117" s="1"/>
  <c r="R24" i="2117"/>
  <c r="L24" i="2117"/>
  <c r="D24" i="2117"/>
  <c r="R23" i="2117"/>
  <c r="L23" i="2117"/>
  <c r="D23" i="2117"/>
  <c r="R22" i="2117"/>
  <c r="L20" i="2117" s="1"/>
  <c r="D20" i="2117" s="1"/>
  <c r="L22" i="2117"/>
  <c r="D22" i="2117"/>
  <c r="R21" i="2117"/>
  <c r="L21" i="2117"/>
  <c r="D21" i="2117" s="1"/>
  <c r="R20" i="2117"/>
  <c r="R19" i="2117"/>
  <c r="L19" i="2117"/>
  <c r="D19" i="2117" s="1"/>
  <c r="R18" i="2117"/>
  <c r="L18" i="2117"/>
  <c r="D18" i="2117"/>
  <c r="R17" i="2117"/>
  <c r="L17" i="2117"/>
  <c r="D17" i="2117" s="1"/>
  <c r="R16" i="2117"/>
  <c r="L16" i="2117"/>
  <c r="D16" i="2117"/>
  <c r="R15" i="2117"/>
  <c r="L15" i="2117"/>
  <c r="D15" i="2117" s="1"/>
  <c r="R14" i="2117"/>
  <c r="D14" i="2117"/>
  <c r="R13" i="2117"/>
  <c r="D13" i="2117"/>
  <c r="R12" i="2117"/>
  <c r="R11" i="2117"/>
  <c r="L11" i="2117"/>
  <c r="D11" i="2117"/>
  <c r="L10" i="2117"/>
  <c r="D10" i="2117" s="1"/>
  <c r="L7" i="2117"/>
  <c r="D7" i="2117"/>
  <c r="R6" i="2117"/>
  <c r="R5" i="2117"/>
  <c r="R4" i="2117"/>
  <c r="R52" i="2116"/>
  <c r="R51" i="2116"/>
  <c r="D50" i="2116"/>
  <c r="R49" i="2116"/>
  <c r="G49" i="2116"/>
  <c r="D49" i="2116"/>
  <c r="R48" i="2116"/>
  <c r="D48" i="2116"/>
  <c r="D46" i="2116"/>
  <c r="D45" i="2116"/>
  <c r="D44" i="2116"/>
  <c r="R42" i="2116"/>
  <c r="L6" i="2116" s="1"/>
  <c r="D6" i="2116" s="1"/>
  <c r="D42" i="2116"/>
  <c r="R41" i="2116"/>
  <c r="L7" i="2116" s="1"/>
  <c r="D7" i="2116" s="1"/>
  <c r="D41" i="2116"/>
  <c r="D54" i="2116" s="1"/>
  <c r="H14" i="2116" s="1"/>
  <c r="R40" i="2116"/>
  <c r="D40" i="2116"/>
  <c r="R39" i="2116"/>
  <c r="D39" i="2116"/>
  <c r="R38" i="2116"/>
  <c r="L9" i="2116" s="1"/>
  <c r="D9" i="2116" s="1"/>
  <c r="D38" i="2116"/>
  <c r="R37" i="2116"/>
  <c r="D37" i="2116"/>
  <c r="R36" i="2116"/>
  <c r="D36" i="2116"/>
  <c r="R35" i="2116"/>
  <c r="D35" i="2116"/>
  <c r="R34" i="2116"/>
  <c r="L12" i="2116" s="1"/>
  <c r="D12" i="2116" s="1"/>
  <c r="D34" i="2116"/>
  <c r="R33" i="2116"/>
  <c r="L23" i="2116" s="1"/>
  <c r="D23" i="2116" s="1"/>
  <c r="R32" i="2116"/>
  <c r="L11" i="2116" s="1"/>
  <c r="D11" i="2116" s="1"/>
  <c r="R31" i="2116"/>
  <c r="R30" i="2116"/>
  <c r="R29" i="2116"/>
  <c r="R28" i="2116"/>
  <c r="D28" i="2116"/>
  <c r="R27" i="2116"/>
  <c r="D27" i="2116"/>
  <c r="R26" i="2116"/>
  <c r="L26" i="2116"/>
  <c r="D26" i="2116"/>
  <c r="R25" i="2116"/>
  <c r="L25" i="2116"/>
  <c r="D25" i="2116"/>
  <c r="R24" i="2116"/>
  <c r="D24" i="2116"/>
  <c r="R23" i="2116"/>
  <c r="R22" i="2116"/>
  <c r="L22" i="2116"/>
  <c r="D22" i="2116" s="1"/>
  <c r="R21" i="2116"/>
  <c r="D21" i="2116"/>
  <c r="R20" i="2116"/>
  <c r="L20" i="2116"/>
  <c r="D20" i="2116"/>
  <c r="R19" i="2116"/>
  <c r="L19" i="2116"/>
  <c r="D19" i="2116"/>
  <c r="R18" i="2116"/>
  <c r="D18" i="2116"/>
  <c r="R17" i="2116"/>
  <c r="D17" i="2116"/>
  <c r="R16" i="2116"/>
  <c r="L16" i="2116"/>
  <c r="D16" i="2116" s="1"/>
  <c r="S15" i="2116"/>
  <c r="R15" i="2116"/>
  <c r="D15" i="2116"/>
  <c r="S14" i="2116"/>
  <c r="R14" i="2116"/>
  <c r="D14" i="2116"/>
  <c r="R13" i="2116"/>
  <c r="D13" i="2116"/>
  <c r="R12" i="2116"/>
  <c r="R11" i="2116"/>
  <c r="L10" i="2116"/>
  <c r="D10" i="2116" s="1"/>
  <c r="L8" i="2116"/>
  <c r="D8" i="2116"/>
  <c r="R6" i="2116"/>
  <c r="R5" i="2116"/>
  <c r="R4" i="2116"/>
  <c r="R52" i="2115"/>
  <c r="R51" i="2115"/>
  <c r="D50" i="2115"/>
  <c r="R49" i="2115"/>
  <c r="D49" i="2115"/>
  <c r="R48" i="2115"/>
  <c r="D48" i="2115"/>
  <c r="D46" i="2115"/>
  <c r="D45" i="2115"/>
  <c r="R44" i="2115"/>
  <c r="D44" i="2115"/>
  <c r="R42" i="2115"/>
  <c r="D42" i="2115"/>
  <c r="R41" i="2115"/>
  <c r="D41" i="2115"/>
  <c r="R40" i="2115"/>
  <c r="D40" i="2115"/>
  <c r="R39" i="2115"/>
  <c r="H39" i="2115"/>
  <c r="D39" i="2115"/>
  <c r="R38" i="2115"/>
  <c r="L9" i="2115" s="1"/>
  <c r="D9" i="2115" s="1"/>
  <c r="H38" i="2115"/>
  <c r="D38" i="2115"/>
  <c r="R37" i="2115"/>
  <c r="H37" i="2115"/>
  <c r="D37" i="2115"/>
  <c r="R36" i="2115"/>
  <c r="H36" i="2115"/>
  <c r="D36" i="2115"/>
  <c r="R35" i="2115"/>
  <c r="L18" i="2115" s="1"/>
  <c r="D18" i="2115" s="1"/>
  <c r="H35" i="2115"/>
  <c r="D35" i="2115"/>
  <c r="R34" i="2115"/>
  <c r="H34" i="2115"/>
  <c r="D34" i="2115"/>
  <c r="R33" i="2115"/>
  <c r="R32" i="2115"/>
  <c r="L11" i="2115" s="1"/>
  <c r="D11" i="2115" s="1"/>
  <c r="R31" i="2115"/>
  <c r="R30" i="2115"/>
  <c r="R29" i="2115"/>
  <c r="R28" i="2115"/>
  <c r="L28" i="2115"/>
  <c r="D28" i="2115"/>
  <c r="R27" i="2115"/>
  <c r="L27" i="2115"/>
  <c r="D27" i="2115" s="1"/>
  <c r="R26" i="2115"/>
  <c r="L26" i="2115"/>
  <c r="D26" i="2115"/>
  <c r="R25" i="2115"/>
  <c r="D25" i="2115"/>
  <c r="R24" i="2115"/>
  <c r="L24" i="2115"/>
  <c r="D24" i="2115" s="1"/>
  <c r="R23" i="2115"/>
  <c r="L23" i="2115"/>
  <c r="D23" i="2115" s="1"/>
  <c r="R22" i="2115"/>
  <c r="L22" i="2115"/>
  <c r="D22" i="2115"/>
  <c r="R21" i="2115"/>
  <c r="L21" i="2115"/>
  <c r="D21" i="2115"/>
  <c r="R20" i="2115"/>
  <c r="L20" i="2115"/>
  <c r="D20" i="2115"/>
  <c r="R19" i="2115"/>
  <c r="L19" i="2115"/>
  <c r="D19" i="2115" s="1"/>
  <c r="R18" i="2115"/>
  <c r="R17" i="2115"/>
  <c r="L17" i="2115"/>
  <c r="D17" i="2115"/>
  <c r="R16" i="2115"/>
  <c r="R15" i="2115"/>
  <c r="R14" i="2115"/>
  <c r="D14" i="2115"/>
  <c r="R13" i="2115"/>
  <c r="D13" i="2115"/>
  <c r="R12" i="2115"/>
  <c r="L12" i="2115"/>
  <c r="D12" i="2115"/>
  <c r="R11" i="2115"/>
  <c r="L10" i="2115"/>
  <c r="D10" i="2115"/>
  <c r="L8" i="2115"/>
  <c r="D8" i="2115"/>
  <c r="L7" i="2115"/>
  <c r="D7" i="2115" s="1"/>
  <c r="R6" i="2115"/>
  <c r="L16" i="2115" s="1"/>
  <c r="D16" i="2115" s="1"/>
  <c r="L6" i="2115"/>
  <c r="D6" i="2115" s="1"/>
  <c r="R5" i="2115"/>
  <c r="R4" i="2115"/>
  <c r="L15" i="2115" s="1"/>
  <c r="D15" i="2115" s="1"/>
  <c r="R52" i="2114"/>
  <c r="R51" i="2114"/>
  <c r="D50" i="2114"/>
  <c r="R49" i="2114"/>
  <c r="D49" i="2114"/>
  <c r="R48" i="2114"/>
  <c r="D48" i="2114"/>
  <c r="D46" i="2114"/>
  <c r="D45" i="2114"/>
  <c r="R44" i="2114"/>
  <c r="D44" i="2114"/>
  <c r="R42" i="2114"/>
  <c r="L6" i="2114" s="1"/>
  <c r="D6" i="2114" s="1"/>
  <c r="D42" i="2114"/>
  <c r="R41" i="2114"/>
  <c r="D41" i="2114"/>
  <c r="R40" i="2114"/>
  <c r="L8" i="2114" s="1"/>
  <c r="D8" i="2114" s="1"/>
  <c r="D40" i="2114"/>
  <c r="R39" i="2114"/>
  <c r="H39" i="2114"/>
  <c r="D39" i="2114"/>
  <c r="R38" i="2114"/>
  <c r="L9" i="2114" s="1"/>
  <c r="D9" i="2114" s="1"/>
  <c r="H38" i="2114"/>
  <c r="D38" i="2114"/>
  <c r="R37" i="2114"/>
  <c r="H37" i="2114"/>
  <c r="D37" i="2114"/>
  <c r="R36" i="2114"/>
  <c r="L10" i="2114" s="1"/>
  <c r="D10" i="2114" s="1"/>
  <c r="H36" i="2114"/>
  <c r="D36" i="2114"/>
  <c r="R35" i="2114"/>
  <c r="H35" i="2114"/>
  <c r="D35" i="2114"/>
  <c r="R34" i="2114"/>
  <c r="H34" i="2114"/>
  <c r="D34" i="2114"/>
  <c r="R33" i="2114"/>
  <c r="L19" i="2114" s="1"/>
  <c r="D19" i="2114" s="1"/>
  <c r="R32" i="2114"/>
  <c r="R31" i="2114"/>
  <c r="R30" i="2114"/>
  <c r="R29" i="2114"/>
  <c r="R28" i="2114"/>
  <c r="L28" i="2114"/>
  <c r="D28" i="2114"/>
  <c r="R27" i="2114"/>
  <c r="L27" i="2114"/>
  <c r="D27" i="2114"/>
  <c r="R26" i="2114"/>
  <c r="L26" i="2114"/>
  <c r="D26" i="2114"/>
  <c r="R25" i="2114"/>
  <c r="L25" i="2114"/>
  <c r="D25" i="2114" s="1"/>
  <c r="R24" i="2114"/>
  <c r="L24" i="2114"/>
  <c r="D24" i="2114"/>
  <c r="R23" i="2114"/>
  <c r="L23" i="2114"/>
  <c r="D23" i="2114"/>
  <c r="R22" i="2114"/>
  <c r="L20" i="2114" s="1"/>
  <c r="D20" i="2114" s="1"/>
  <c r="L22" i="2114"/>
  <c r="D22" i="2114"/>
  <c r="R21" i="2114"/>
  <c r="L17" i="2114" s="1"/>
  <c r="D17" i="2114" s="1"/>
  <c r="D21" i="2114"/>
  <c r="R20" i="2114"/>
  <c r="R19" i="2114"/>
  <c r="R18" i="2114"/>
  <c r="L18" i="2114"/>
  <c r="D18" i="2114" s="1"/>
  <c r="R17" i="2114"/>
  <c r="R16" i="2114"/>
  <c r="L16" i="2114"/>
  <c r="D16" i="2114"/>
  <c r="R15" i="2114"/>
  <c r="R14" i="2114"/>
  <c r="D14" i="2114"/>
  <c r="R13" i="2114"/>
  <c r="D13" i="2114"/>
  <c r="R12" i="2114"/>
  <c r="L12" i="2114"/>
  <c r="D12" i="2114"/>
  <c r="R11" i="2114"/>
  <c r="L11" i="2114"/>
  <c r="D11" i="2114"/>
  <c r="L7" i="2114"/>
  <c r="D7" i="2114" s="1"/>
  <c r="R6" i="2114"/>
  <c r="R5" i="2114"/>
  <c r="R4" i="2114"/>
  <c r="L15" i="2114" s="1"/>
  <c r="D15" i="2114" s="1"/>
  <c r="R52" i="2113"/>
  <c r="R51" i="2113"/>
  <c r="D50" i="2113"/>
  <c r="R49" i="2113"/>
  <c r="D49" i="2113"/>
  <c r="R48" i="2113"/>
  <c r="D48" i="2113"/>
  <c r="D46" i="2113"/>
  <c r="D45" i="2113"/>
  <c r="R44" i="2113"/>
  <c r="D44" i="2113"/>
  <c r="R42" i="2113"/>
  <c r="D42" i="2113"/>
  <c r="R41" i="2113"/>
  <c r="D41" i="2113"/>
  <c r="R40" i="2113"/>
  <c r="D40" i="2113"/>
  <c r="R39" i="2113"/>
  <c r="H39" i="2113"/>
  <c r="D39" i="2113"/>
  <c r="R38" i="2113"/>
  <c r="L9" i="2113" s="1"/>
  <c r="D9" i="2113" s="1"/>
  <c r="H38" i="2113"/>
  <c r="D38" i="2113"/>
  <c r="R37" i="2113"/>
  <c r="H37" i="2113"/>
  <c r="D37" i="2113"/>
  <c r="R36" i="2113"/>
  <c r="L10" i="2113" s="1"/>
  <c r="D10" i="2113" s="1"/>
  <c r="H36" i="2113"/>
  <c r="D36" i="2113"/>
  <c r="R35" i="2113"/>
  <c r="H35" i="2113"/>
  <c r="D35" i="2113"/>
  <c r="R34" i="2113"/>
  <c r="H34" i="2113"/>
  <c r="D34" i="2113"/>
  <c r="R33" i="2113"/>
  <c r="R32" i="2113"/>
  <c r="L11" i="2113" s="1"/>
  <c r="D11" i="2113" s="1"/>
  <c r="R31" i="2113"/>
  <c r="R30" i="2113"/>
  <c r="R29" i="2113"/>
  <c r="R28" i="2113"/>
  <c r="L28" i="2113"/>
  <c r="D28" i="2113"/>
  <c r="R27" i="2113"/>
  <c r="L27" i="2113"/>
  <c r="D27" i="2113" s="1"/>
  <c r="R26" i="2113"/>
  <c r="L26" i="2113"/>
  <c r="D26" i="2113"/>
  <c r="R25" i="2113"/>
  <c r="L25" i="2113"/>
  <c r="D25" i="2113"/>
  <c r="R24" i="2113"/>
  <c r="L24" i="2113"/>
  <c r="D24" i="2113"/>
  <c r="R23" i="2113"/>
  <c r="L23" i="2113"/>
  <c r="D23" i="2113" s="1"/>
  <c r="R22" i="2113"/>
  <c r="L20" i="2113" s="1"/>
  <c r="D20" i="2113" s="1"/>
  <c r="L22" i="2113"/>
  <c r="D22" i="2113"/>
  <c r="R21" i="2113"/>
  <c r="L21" i="2113"/>
  <c r="D21" i="2113"/>
  <c r="R20" i="2113"/>
  <c r="R19" i="2113"/>
  <c r="L19" i="2113"/>
  <c r="D19" i="2113"/>
  <c r="R18" i="2113"/>
  <c r="L18" i="2113"/>
  <c r="D18" i="2113"/>
  <c r="R17" i="2113"/>
  <c r="L17" i="2113"/>
  <c r="D17" i="2113" s="1"/>
  <c r="R16" i="2113"/>
  <c r="R15" i="2113"/>
  <c r="L15" i="2113"/>
  <c r="D15" i="2113"/>
  <c r="R14" i="2113"/>
  <c r="D14" i="2113"/>
  <c r="R13" i="2113"/>
  <c r="D13" i="2113"/>
  <c r="R12" i="2113"/>
  <c r="L12" i="2113"/>
  <c r="D12" i="2113" s="1"/>
  <c r="R11" i="2113"/>
  <c r="L8" i="2113"/>
  <c r="D8" i="2113" s="1"/>
  <c r="L7" i="2113"/>
  <c r="D7" i="2113"/>
  <c r="R6" i="2113"/>
  <c r="L16" i="2113" s="1"/>
  <c r="D16" i="2113" s="1"/>
  <c r="L6" i="2113"/>
  <c r="D6" i="2113" s="1"/>
  <c r="R5" i="2113"/>
  <c r="R4" i="2113"/>
  <c r="R52" i="2112"/>
  <c r="R51" i="2112"/>
  <c r="D50" i="2112"/>
  <c r="R49" i="2112"/>
  <c r="G49" i="2112"/>
  <c r="D49" i="2112"/>
  <c r="R48" i="2112"/>
  <c r="D48" i="2112"/>
  <c r="D46" i="2112"/>
  <c r="D45" i="2112"/>
  <c r="D44" i="2112"/>
  <c r="R42" i="2112"/>
  <c r="D42" i="2112"/>
  <c r="R41" i="2112"/>
  <c r="L7" i="2112" s="1"/>
  <c r="D7" i="2112" s="1"/>
  <c r="D41" i="2112"/>
  <c r="R40" i="2112"/>
  <c r="L8" i="2112" s="1"/>
  <c r="D8" i="2112" s="1"/>
  <c r="D40" i="2112"/>
  <c r="R39" i="2112"/>
  <c r="D39" i="2112"/>
  <c r="R38" i="2112"/>
  <c r="L9" i="2112" s="1"/>
  <c r="D9" i="2112" s="1"/>
  <c r="D38" i="2112"/>
  <c r="D54" i="2112" s="1"/>
  <c r="H14" i="2112" s="1"/>
  <c r="R37" i="2112"/>
  <c r="D37" i="2112"/>
  <c r="R36" i="2112"/>
  <c r="L10" i="2112" s="1"/>
  <c r="D10" i="2112" s="1"/>
  <c r="D36" i="2112"/>
  <c r="R35" i="2112"/>
  <c r="D35" i="2112"/>
  <c r="R34" i="2112"/>
  <c r="L12" i="2112" s="1"/>
  <c r="D12" i="2112" s="1"/>
  <c r="D34" i="2112"/>
  <c r="R33" i="2112"/>
  <c r="L23" i="2112" s="1"/>
  <c r="D23" i="2112" s="1"/>
  <c r="R32" i="2112"/>
  <c r="R31" i="2112"/>
  <c r="R30" i="2112"/>
  <c r="R29" i="2112"/>
  <c r="R28" i="2112"/>
  <c r="L16" i="2112" s="1"/>
  <c r="D16" i="2112" s="1"/>
  <c r="D28" i="2112"/>
  <c r="R27" i="2112"/>
  <c r="D27" i="2112"/>
  <c r="R26" i="2112"/>
  <c r="L26" i="2112"/>
  <c r="D26" i="2112"/>
  <c r="R25" i="2112"/>
  <c r="L25" i="2112"/>
  <c r="D25" i="2112"/>
  <c r="R24" i="2112"/>
  <c r="D24" i="2112"/>
  <c r="R23" i="2112"/>
  <c r="R22" i="2112"/>
  <c r="L22" i="2112"/>
  <c r="D22" i="2112" s="1"/>
  <c r="R21" i="2112"/>
  <c r="D21" i="2112"/>
  <c r="R20" i="2112"/>
  <c r="L20" i="2112"/>
  <c r="D20" i="2112"/>
  <c r="R19" i="2112"/>
  <c r="L19" i="2112"/>
  <c r="D19" i="2112"/>
  <c r="R18" i="2112"/>
  <c r="D18" i="2112"/>
  <c r="R17" i="2112"/>
  <c r="D17" i="2112"/>
  <c r="R16" i="2112"/>
  <c r="S15" i="2112"/>
  <c r="R15" i="2112"/>
  <c r="D15" i="2112"/>
  <c r="S14" i="2112"/>
  <c r="R14" i="2112"/>
  <c r="D14" i="2112"/>
  <c r="R13" i="2112"/>
  <c r="D13" i="2112"/>
  <c r="R12" i="2112"/>
  <c r="R11" i="2112"/>
  <c r="L11" i="2112"/>
  <c r="D11" i="2112" s="1"/>
  <c r="R6" i="2112"/>
  <c r="L6" i="2112"/>
  <c r="D6" i="2112" s="1"/>
  <c r="R5" i="2112"/>
  <c r="R4" i="2112"/>
  <c r="R52" i="2111"/>
  <c r="R51" i="2111"/>
  <c r="D50" i="2111"/>
  <c r="R49" i="2111"/>
  <c r="D49" i="2111"/>
  <c r="R48" i="2111"/>
  <c r="D48" i="2111"/>
  <c r="D46" i="2111"/>
  <c r="D45" i="2111"/>
  <c r="R44" i="2111"/>
  <c r="L28" i="2111" s="1"/>
  <c r="D28" i="2111" s="1"/>
  <c r="D44" i="2111"/>
  <c r="R42" i="2111"/>
  <c r="D42" i="2111"/>
  <c r="R41" i="2111"/>
  <c r="D41" i="2111"/>
  <c r="R40" i="2111"/>
  <c r="L8" i="2111" s="1"/>
  <c r="D8" i="2111" s="1"/>
  <c r="D40" i="2111"/>
  <c r="R39" i="2111"/>
  <c r="H39" i="2111"/>
  <c r="D39" i="2111"/>
  <c r="R38" i="2111"/>
  <c r="L9" i="2111" s="1"/>
  <c r="D9" i="2111" s="1"/>
  <c r="H38" i="2111"/>
  <c r="D38" i="2111"/>
  <c r="R37" i="2111"/>
  <c r="H37" i="2111"/>
  <c r="D37" i="2111"/>
  <c r="R36" i="2111"/>
  <c r="L10" i="2111" s="1"/>
  <c r="D10" i="2111" s="1"/>
  <c r="H36" i="2111"/>
  <c r="D36" i="2111"/>
  <c r="R35" i="2111"/>
  <c r="H35" i="2111"/>
  <c r="D35" i="2111"/>
  <c r="R34" i="2111"/>
  <c r="H34" i="2111"/>
  <c r="D34" i="2111"/>
  <c r="R33" i="2111"/>
  <c r="R32" i="2111"/>
  <c r="L11" i="2111" s="1"/>
  <c r="D11" i="2111" s="1"/>
  <c r="R31" i="2111"/>
  <c r="R30" i="2111"/>
  <c r="R29" i="2111"/>
  <c r="R28" i="2111"/>
  <c r="R27" i="2111"/>
  <c r="L27" i="2111"/>
  <c r="D27" i="2111"/>
  <c r="R26" i="2111"/>
  <c r="L26" i="2111"/>
  <c r="D26" i="2111"/>
  <c r="R25" i="2111"/>
  <c r="L25" i="2111"/>
  <c r="D25" i="2111" s="1"/>
  <c r="R24" i="2111"/>
  <c r="L24" i="2111"/>
  <c r="D24" i="2111"/>
  <c r="R23" i="2111"/>
  <c r="L23" i="2111"/>
  <c r="D23" i="2111" s="1"/>
  <c r="R22" i="2111"/>
  <c r="L20" i="2111" s="1"/>
  <c r="D20" i="2111" s="1"/>
  <c r="L22" i="2111"/>
  <c r="D22" i="2111"/>
  <c r="R21" i="2111"/>
  <c r="L21" i="2111"/>
  <c r="D21" i="2111"/>
  <c r="R20" i="2111"/>
  <c r="R19" i="2111"/>
  <c r="L19" i="2111"/>
  <c r="D19" i="2111"/>
  <c r="R18" i="2111"/>
  <c r="L18" i="2111"/>
  <c r="D18" i="2111"/>
  <c r="R17" i="2111"/>
  <c r="L17" i="2111"/>
  <c r="D17" i="2111" s="1"/>
  <c r="R16" i="2111"/>
  <c r="R15" i="2111"/>
  <c r="L15" i="2111"/>
  <c r="D15" i="2111" s="1"/>
  <c r="R14" i="2111"/>
  <c r="D14" i="2111"/>
  <c r="R13" i="2111"/>
  <c r="D13" i="2111"/>
  <c r="R12" i="2111"/>
  <c r="L12" i="2111"/>
  <c r="D12" i="2111" s="1"/>
  <c r="R11" i="2111"/>
  <c r="L7" i="2111"/>
  <c r="D7" i="2111"/>
  <c r="R6" i="2111"/>
  <c r="L16" i="2111" s="1"/>
  <c r="D16" i="2111" s="1"/>
  <c r="L6" i="2111"/>
  <c r="D6" i="2111" s="1"/>
  <c r="R5" i="2111"/>
  <c r="R4" i="2111"/>
  <c r="R52" i="2110"/>
  <c r="R51" i="2110"/>
  <c r="D50" i="2110"/>
  <c r="R49" i="2110"/>
  <c r="D49" i="2110"/>
  <c r="R48" i="2110"/>
  <c r="D48" i="2110"/>
  <c r="D46" i="2110"/>
  <c r="D45" i="2110"/>
  <c r="R44" i="2110"/>
  <c r="D44" i="2110"/>
  <c r="R42" i="2110"/>
  <c r="L6" i="2110" s="1"/>
  <c r="D6" i="2110" s="1"/>
  <c r="D42" i="2110"/>
  <c r="R41" i="2110"/>
  <c r="D41" i="2110"/>
  <c r="R40" i="2110"/>
  <c r="L8" i="2110" s="1"/>
  <c r="D8" i="2110" s="1"/>
  <c r="D40" i="2110"/>
  <c r="R39" i="2110"/>
  <c r="H39" i="2110"/>
  <c r="D39" i="2110"/>
  <c r="R38" i="2110"/>
  <c r="H38" i="2110"/>
  <c r="D38" i="2110"/>
  <c r="R37" i="2110"/>
  <c r="H37" i="2110"/>
  <c r="D37" i="2110"/>
  <c r="R36" i="2110"/>
  <c r="H36" i="2110"/>
  <c r="D36" i="2110"/>
  <c r="R35" i="2110"/>
  <c r="H35" i="2110"/>
  <c r="D35" i="2110"/>
  <c r="R34" i="2110"/>
  <c r="L12" i="2110" s="1"/>
  <c r="D12" i="2110" s="1"/>
  <c r="H34" i="2110"/>
  <c r="D34" i="2110"/>
  <c r="R33" i="2110"/>
  <c r="L19" i="2110" s="1"/>
  <c r="D19" i="2110" s="1"/>
  <c r="R32" i="2110"/>
  <c r="L11" i="2110" s="1"/>
  <c r="D11" i="2110" s="1"/>
  <c r="R31" i="2110"/>
  <c r="R30" i="2110"/>
  <c r="R29" i="2110"/>
  <c r="R28" i="2110"/>
  <c r="L28" i="2110"/>
  <c r="D28" i="2110"/>
  <c r="R27" i="2110"/>
  <c r="L27" i="2110"/>
  <c r="D27" i="2110"/>
  <c r="R26" i="2110"/>
  <c r="L26" i="2110"/>
  <c r="D26" i="2110"/>
  <c r="R25" i="2110"/>
  <c r="L25" i="2110"/>
  <c r="D25" i="2110" s="1"/>
  <c r="R24" i="2110"/>
  <c r="L24" i="2110"/>
  <c r="D24" i="2110"/>
  <c r="R23" i="2110"/>
  <c r="L23" i="2110"/>
  <c r="D23" i="2110"/>
  <c r="R22" i="2110"/>
  <c r="L22" i="2110"/>
  <c r="D22" i="2110"/>
  <c r="R21" i="2110"/>
  <c r="L17" i="2110" s="1"/>
  <c r="D17" i="2110" s="1"/>
  <c r="D21" i="2110"/>
  <c r="R20" i="2110"/>
  <c r="L20" i="2110"/>
  <c r="D20" i="2110"/>
  <c r="R19" i="2110"/>
  <c r="R18" i="2110"/>
  <c r="L18" i="2110"/>
  <c r="D18" i="2110"/>
  <c r="R17" i="2110"/>
  <c r="R16" i="2110"/>
  <c r="L16" i="2110"/>
  <c r="D16" i="2110"/>
  <c r="R15" i="2110"/>
  <c r="L15" i="2110"/>
  <c r="D15" i="2110"/>
  <c r="R14" i="2110"/>
  <c r="D14" i="2110"/>
  <c r="R13" i="2110"/>
  <c r="D13" i="2110"/>
  <c r="R12" i="2110"/>
  <c r="R11" i="2110"/>
  <c r="L10" i="2110"/>
  <c r="D10" i="2110"/>
  <c r="L9" i="2110"/>
  <c r="D9" i="2110"/>
  <c r="L7" i="2110"/>
  <c r="D7" i="2110"/>
  <c r="R6" i="2110"/>
  <c r="R5" i="2110"/>
  <c r="R4" i="2110"/>
  <c r="R52" i="2109"/>
  <c r="R51" i="2109"/>
  <c r="D50" i="2109"/>
  <c r="R49" i="2109"/>
  <c r="D49" i="2109"/>
  <c r="R48" i="2109"/>
  <c r="D48" i="2109"/>
  <c r="D46" i="2109"/>
  <c r="D45" i="2109"/>
  <c r="R44" i="2109"/>
  <c r="D44" i="2109"/>
  <c r="R42" i="2109"/>
  <c r="L6" i="2109" s="1"/>
  <c r="D6" i="2109" s="1"/>
  <c r="D42" i="2109"/>
  <c r="R41" i="2109"/>
  <c r="L7" i="2109" s="1"/>
  <c r="D7" i="2109" s="1"/>
  <c r="D41" i="2109"/>
  <c r="R40" i="2109"/>
  <c r="L8" i="2109" s="1"/>
  <c r="D8" i="2109" s="1"/>
  <c r="D40" i="2109"/>
  <c r="R39" i="2109"/>
  <c r="H39" i="2109"/>
  <c r="D39" i="2109"/>
  <c r="R38" i="2109"/>
  <c r="H38" i="2109"/>
  <c r="D38" i="2109"/>
  <c r="R37" i="2109"/>
  <c r="H37" i="2109"/>
  <c r="R36" i="2109"/>
  <c r="L10" i="2109" s="1"/>
  <c r="D10" i="2109" s="1"/>
  <c r="H36" i="2109"/>
  <c r="D36" i="2109"/>
  <c r="R35" i="2109"/>
  <c r="L18" i="2109" s="1"/>
  <c r="D18" i="2109" s="1"/>
  <c r="H35" i="2109"/>
  <c r="D35" i="2109"/>
  <c r="R34" i="2109"/>
  <c r="H34" i="2109"/>
  <c r="D34" i="2109"/>
  <c r="R33" i="2109"/>
  <c r="R32" i="2109"/>
  <c r="R31" i="2109"/>
  <c r="R30" i="2109"/>
  <c r="R29" i="2109"/>
  <c r="R28" i="2109"/>
  <c r="L28" i="2109"/>
  <c r="D28" i="2109"/>
  <c r="R27" i="2109"/>
  <c r="L27" i="2109"/>
  <c r="D27" i="2109"/>
  <c r="R26" i="2109"/>
  <c r="L26" i="2109"/>
  <c r="D26" i="2109"/>
  <c r="R25" i="2109"/>
  <c r="L25" i="2109"/>
  <c r="D25" i="2109"/>
  <c r="R24" i="2109"/>
  <c r="L24" i="2109"/>
  <c r="D24" i="2109"/>
  <c r="R23" i="2109"/>
  <c r="L23" i="2109"/>
  <c r="D23" i="2109"/>
  <c r="R22" i="2109"/>
  <c r="L20" i="2109" s="1"/>
  <c r="D20" i="2109" s="1"/>
  <c r="L22" i="2109"/>
  <c r="D22" i="2109"/>
  <c r="R21" i="2109"/>
  <c r="L17" i="2109" s="1"/>
  <c r="D17" i="2109" s="1"/>
  <c r="L21" i="2109"/>
  <c r="D21" i="2109" s="1"/>
  <c r="R20" i="2109"/>
  <c r="R19" i="2109"/>
  <c r="L19" i="2109"/>
  <c r="D19" i="2109"/>
  <c r="R18" i="2109"/>
  <c r="R17" i="2109"/>
  <c r="R16" i="2109"/>
  <c r="L16" i="2109"/>
  <c r="D16" i="2109" s="1"/>
  <c r="R15" i="2109"/>
  <c r="R14" i="2109"/>
  <c r="D14" i="2109"/>
  <c r="R13" i="2109"/>
  <c r="D13" i="2109"/>
  <c r="R12" i="2109"/>
  <c r="L12" i="2109"/>
  <c r="D12" i="2109"/>
  <c r="R11" i="2109"/>
  <c r="L11" i="2109"/>
  <c r="D11" i="2109" s="1"/>
  <c r="L9" i="2109"/>
  <c r="D9" i="2109" s="1"/>
  <c r="R6" i="2109"/>
  <c r="R5" i="2109"/>
  <c r="R4" i="2109"/>
  <c r="L15" i="2109" s="1"/>
  <c r="D15" i="2109" s="1"/>
  <c r="R52" i="2108"/>
  <c r="R51" i="2108"/>
  <c r="D50" i="2108"/>
  <c r="R49" i="2108"/>
  <c r="G49" i="2108"/>
  <c r="D49" i="2108"/>
  <c r="D54" i="2108" s="1"/>
  <c r="H14" i="2108" s="1"/>
  <c r="R48" i="2108"/>
  <c r="D48" i="2108"/>
  <c r="D46" i="2108"/>
  <c r="D45" i="2108"/>
  <c r="D44" i="2108"/>
  <c r="R42" i="2108"/>
  <c r="D42" i="2108"/>
  <c r="R41" i="2108"/>
  <c r="L7" i="2108" s="1"/>
  <c r="D7" i="2108" s="1"/>
  <c r="D41" i="2108"/>
  <c r="R40" i="2108"/>
  <c r="L8" i="2108" s="1"/>
  <c r="D8" i="2108" s="1"/>
  <c r="D40" i="2108"/>
  <c r="R39" i="2108"/>
  <c r="D39" i="2108"/>
  <c r="R38" i="2108"/>
  <c r="D38" i="2108"/>
  <c r="R37" i="2108"/>
  <c r="D37" i="2108"/>
  <c r="R36" i="2108"/>
  <c r="D36" i="2108"/>
  <c r="R35" i="2108"/>
  <c r="D35" i="2108"/>
  <c r="R34" i="2108"/>
  <c r="D34" i="2108"/>
  <c r="R33" i="2108"/>
  <c r="R32" i="2108"/>
  <c r="L11" i="2108" s="1"/>
  <c r="D11" i="2108" s="1"/>
  <c r="R31" i="2108"/>
  <c r="R30" i="2108"/>
  <c r="R29" i="2108"/>
  <c r="R28" i="2108"/>
  <c r="D28" i="2108"/>
  <c r="R27" i="2108"/>
  <c r="D27" i="2108"/>
  <c r="R26" i="2108"/>
  <c r="L26" i="2108"/>
  <c r="D26" i="2108"/>
  <c r="R25" i="2108"/>
  <c r="L25" i="2108"/>
  <c r="D25" i="2108"/>
  <c r="R24" i="2108"/>
  <c r="D24" i="2108"/>
  <c r="R23" i="2108"/>
  <c r="L23" i="2108"/>
  <c r="D23" i="2108" s="1"/>
  <c r="R22" i="2108"/>
  <c r="L22" i="2108"/>
  <c r="D22" i="2108"/>
  <c r="R21" i="2108"/>
  <c r="D21" i="2108"/>
  <c r="R20" i="2108"/>
  <c r="L20" i="2108"/>
  <c r="D20" i="2108"/>
  <c r="R19" i="2108"/>
  <c r="L19" i="2108"/>
  <c r="D19" i="2108"/>
  <c r="R18" i="2108"/>
  <c r="D18" i="2108"/>
  <c r="R17" i="2108"/>
  <c r="D17" i="2108"/>
  <c r="R16" i="2108"/>
  <c r="L16" i="2108"/>
  <c r="D16" i="2108" s="1"/>
  <c r="S15" i="2108"/>
  <c r="R15" i="2108"/>
  <c r="D15" i="2108"/>
  <c r="S14" i="2108"/>
  <c r="R14" i="2108"/>
  <c r="D14" i="2108"/>
  <c r="R13" i="2108"/>
  <c r="D13" i="2108"/>
  <c r="R12" i="2108"/>
  <c r="L12" i="2108"/>
  <c r="D12" i="2108" s="1"/>
  <c r="R11" i="2108"/>
  <c r="L10" i="2108"/>
  <c r="D10" i="2108" s="1"/>
  <c r="L9" i="2108"/>
  <c r="D9" i="2108"/>
  <c r="R6" i="2108"/>
  <c r="L6" i="2108"/>
  <c r="D6" i="2108"/>
  <c r="D29" i="2108" s="1"/>
  <c r="H13" i="2108" s="1"/>
  <c r="R5" i="2108"/>
  <c r="R4" i="2108"/>
  <c r="G49" i="2117" l="1"/>
  <c r="G49" i="2115"/>
  <c r="D54" i="2115"/>
  <c r="H14" i="2115" s="1"/>
  <c r="G49" i="2114"/>
  <c r="D54" i="2114"/>
  <c r="H14" i="2114" s="1"/>
  <c r="G49" i="2113"/>
  <c r="D54" i="2113"/>
  <c r="H14" i="2113" s="1"/>
  <c r="G49" i="2110"/>
  <c r="G49" i="2111"/>
  <c r="G49" i="2109"/>
  <c r="D54" i="2111"/>
  <c r="H14" i="2111" s="1"/>
  <c r="D54" i="2110"/>
  <c r="H14" i="2110" s="1"/>
  <c r="D54" i="2109"/>
  <c r="H14" i="2109" s="1"/>
  <c r="G51" i="2128"/>
  <c r="D29" i="2127"/>
  <c r="H13" i="2127" s="1"/>
  <c r="H15" i="2127" s="1"/>
  <c r="H29" i="2127" s="1"/>
  <c r="G51" i="2127"/>
  <c r="G51" i="2126"/>
  <c r="D29" i="2125"/>
  <c r="H13" i="2125" s="1"/>
  <c r="H15" i="2125" s="1"/>
  <c r="H29" i="2125" s="1"/>
  <c r="G51" i="2125" s="1"/>
  <c r="D29" i="2124"/>
  <c r="H13" i="2124" s="1"/>
  <c r="H15" i="2124" s="1"/>
  <c r="H29" i="2124" s="1"/>
  <c r="G51" i="2124"/>
  <c r="G51" i="2123"/>
  <c r="D29" i="2123"/>
  <c r="H13" i="2123" s="1"/>
  <c r="H15" i="2123" s="1"/>
  <c r="H29" i="2123" s="1"/>
  <c r="D29" i="2122"/>
  <c r="H13" i="2122" s="1"/>
  <c r="H15" i="2122" s="1"/>
  <c r="H29" i="2122" s="1"/>
  <c r="G51" i="2122" s="1"/>
  <c r="D29" i="2121"/>
  <c r="H13" i="2121" s="1"/>
  <c r="H15" i="2121" s="1"/>
  <c r="H29" i="2121" s="1"/>
  <c r="G51" i="2121" s="1"/>
  <c r="D29" i="2120"/>
  <c r="H13" i="2120" s="1"/>
  <c r="H15" i="2120" s="1"/>
  <c r="H29" i="2120" s="1"/>
  <c r="G51" i="2120" s="1"/>
  <c r="D29" i="2119"/>
  <c r="H13" i="2119" s="1"/>
  <c r="H15" i="2119" s="1"/>
  <c r="H29" i="2119" s="1"/>
  <c r="G51" i="2119"/>
  <c r="D29" i="2118"/>
  <c r="H13" i="2118" s="1"/>
  <c r="H15" i="2118" s="1"/>
  <c r="H29" i="2118" s="1"/>
  <c r="G51" i="2118" s="1"/>
  <c r="D29" i="2117"/>
  <c r="H13" i="2117" s="1"/>
  <c r="H15" i="2117" s="1"/>
  <c r="H29" i="2117" s="1"/>
  <c r="D29" i="2116"/>
  <c r="H13" i="2116" s="1"/>
  <c r="H15" i="2116" s="1"/>
  <c r="H29" i="2116" s="1"/>
  <c r="G51" i="2116" s="1"/>
  <c r="D29" i="2115"/>
  <c r="H13" i="2115" s="1"/>
  <c r="D29" i="2114"/>
  <c r="H13" i="2114" s="1"/>
  <c r="H15" i="2114" s="1"/>
  <c r="H29" i="2114" s="1"/>
  <c r="D29" i="2113"/>
  <c r="H13" i="2113" s="1"/>
  <c r="D29" i="2112"/>
  <c r="H13" i="2112" s="1"/>
  <c r="H15" i="2112" s="1"/>
  <c r="H29" i="2112" s="1"/>
  <c r="G51" i="2112"/>
  <c r="D29" i="2111"/>
  <c r="H13" i="2111" s="1"/>
  <c r="D29" i="2110"/>
  <c r="H13" i="2110" s="1"/>
  <c r="D29" i="2109"/>
  <c r="H13" i="2109" s="1"/>
  <c r="H15" i="2108"/>
  <c r="H29" i="2108" s="1"/>
  <c r="G51" i="2108" s="1"/>
  <c r="G42" i="2095"/>
  <c r="G35" i="2095"/>
  <c r="G34" i="2095"/>
  <c r="H29" i="2095"/>
  <c r="G51" i="2117" l="1"/>
  <c r="H15" i="2115"/>
  <c r="H29" i="2115" s="1"/>
  <c r="G51" i="2115" s="1"/>
  <c r="G51" i="2114"/>
  <c r="H15" i="2113"/>
  <c r="H29" i="2113" s="1"/>
  <c r="G51" i="2113" s="1"/>
  <c r="H15" i="2111"/>
  <c r="H29" i="2111" s="1"/>
  <c r="G51" i="2111" s="1"/>
  <c r="H15" i="2110"/>
  <c r="H29" i="2110" s="1"/>
  <c r="G51" i="2110" s="1"/>
  <c r="H15" i="2109"/>
  <c r="H29" i="2109" s="1"/>
  <c r="G51" i="2109" s="1"/>
  <c r="H16" i="2101"/>
  <c r="H16" i="2100"/>
  <c r="R52" i="2107"/>
  <c r="R51" i="2107"/>
  <c r="D50" i="2107"/>
  <c r="R49" i="2107"/>
  <c r="D49" i="2107"/>
  <c r="R48" i="2107"/>
  <c r="D48" i="2107"/>
  <c r="D46" i="2107"/>
  <c r="D45" i="2107"/>
  <c r="R44" i="2107"/>
  <c r="D44" i="2107"/>
  <c r="R42" i="2107"/>
  <c r="D42" i="2107"/>
  <c r="R41" i="2107"/>
  <c r="D41" i="2107"/>
  <c r="R40" i="2107"/>
  <c r="D40" i="2107"/>
  <c r="R39" i="2107"/>
  <c r="H39" i="2107"/>
  <c r="D39" i="2107"/>
  <c r="R38" i="2107"/>
  <c r="L9" i="2107" s="1"/>
  <c r="D9" i="2107" s="1"/>
  <c r="H38" i="2107"/>
  <c r="D38" i="2107"/>
  <c r="R37" i="2107"/>
  <c r="H37" i="2107"/>
  <c r="D37" i="2107"/>
  <c r="R36" i="2107"/>
  <c r="H36" i="2107"/>
  <c r="D36" i="2107"/>
  <c r="R35" i="2107"/>
  <c r="H35" i="2107"/>
  <c r="D35" i="2107"/>
  <c r="R34" i="2107"/>
  <c r="L12" i="2107" s="1"/>
  <c r="D12" i="2107" s="1"/>
  <c r="H34" i="2107"/>
  <c r="D34" i="2107"/>
  <c r="R33" i="2107"/>
  <c r="R32" i="2107"/>
  <c r="R31" i="2107"/>
  <c r="R30" i="2107"/>
  <c r="R29" i="2107"/>
  <c r="R28" i="2107"/>
  <c r="L28" i="2107"/>
  <c r="D28" i="2107"/>
  <c r="R27" i="2107"/>
  <c r="L27" i="2107"/>
  <c r="D27" i="2107"/>
  <c r="R26" i="2107"/>
  <c r="L26" i="2107"/>
  <c r="D26" i="2107" s="1"/>
  <c r="R25" i="2107"/>
  <c r="L25" i="2107"/>
  <c r="D25" i="2107"/>
  <c r="R24" i="2107"/>
  <c r="L24" i="2107"/>
  <c r="D24" i="2107"/>
  <c r="R23" i="2107"/>
  <c r="L23" i="2107"/>
  <c r="D23" i="2107"/>
  <c r="R22" i="2107"/>
  <c r="L22" i="2107"/>
  <c r="D22" i="2107" s="1"/>
  <c r="R21" i="2107"/>
  <c r="L21" i="2107"/>
  <c r="D21" i="2107"/>
  <c r="R20" i="2107"/>
  <c r="L20" i="2107"/>
  <c r="D20" i="2107"/>
  <c r="R19" i="2107"/>
  <c r="L19" i="2107"/>
  <c r="D19" i="2107"/>
  <c r="R18" i="2107"/>
  <c r="L18" i="2107"/>
  <c r="D18" i="2107"/>
  <c r="R17" i="2107"/>
  <c r="L17" i="2107"/>
  <c r="D17" i="2107"/>
  <c r="R16" i="2107"/>
  <c r="L16" i="2107"/>
  <c r="D16" i="2107" s="1"/>
  <c r="R15" i="2107"/>
  <c r="R14" i="2107"/>
  <c r="D14" i="2107"/>
  <c r="R13" i="2107"/>
  <c r="D13" i="2107"/>
  <c r="R12" i="2107"/>
  <c r="R11" i="2107"/>
  <c r="L11" i="2107"/>
  <c r="D11" i="2107" s="1"/>
  <c r="L10" i="2107"/>
  <c r="D10" i="2107"/>
  <c r="L8" i="2107"/>
  <c r="D8" i="2107"/>
  <c r="L7" i="2107"/>
  <c r="D7" i="2107" s="1"/>
  <c r="R6" i="2107"/>
  <c r="L6" i="2107"/>
  <c r="D6" i="2107" s="1"/>
  <c r="R5" i="2107"/>
  <c r="R4" i="2107"/>
  <c r="L15" i="2107" s="1"/>
  <c r="D15" i="2107" s="1"/>
  <c r="H16" i="2095"/>
  <c r="L22" i="2092"/>
  <c r="H16" i="2093"/>
  <c r="C19" i="2092"/>
  <c r="C7" i="2092"/>
  <c r="C18" i="2092"/>
  <c r="C16" i="2092"/>
  <c r="C22" i="2092"/>
  <c r="L21" i="2091"/>
  <c r="C12" i="2091"/>
  <c r="C16" i="2091"/>
  <c r="C15" i="2091"/>
  <c r="G49" i="2107" l="1"/>
  <c r="D54" i="2107"/>
  <c r="H14" i="2107" s="1"/>
  <c r="D29" i="2107"/>
  <c r="H13" i="2107" s="1"/>
  <c r="H15" i="2107" s="1"/>
  <c r="H29" i="2107" s="1"/>
  <c r="C12" i="2089"/>
  <c r="C16" i="2089"/>
  <c r="C16" i="2087"/>
  <c r="G51" i="2107" l="1"/>
  <c r="H16" i="2085"/>
  <c r="C15" i="2085" l="1"/>
  <c r="C37" i="2085"/>
  <c r="C12" i="2085"/>
  <c r="R52" i="2106" l="1"/>
  <c r="R51" i="2106"/>
  <c r="D50" i="2106"/>
  <c r="R49" i="2106"/>
  <c r="D49" i="2106"/>
  <c r="R48" i="2106"/>
  <c r="D48" i="2106"/>
  <c r="D46" i="2106"/>
  <c r="D45" i="2106"/>
  <c r="R44" i="2106"/>
  <c r="L28" i="2106" s="1"/>
  <c r="D28" i="2106" s="1"/>
  <c r="D44" i="2106"/>
  <c r="R42" i="2106"/>
  <c r="L6" i="2106" s="1"/>
  <c r="D6" i="2106" s="1"/>
  <c r="D42" i="2106"/>
  <c r="R41" i="2106"/>
  <c r="L7" i="2106" s="1"/>
  <c r="D7" i="2106" s="1"/>
  <c r="D41" i="2106"/>
  <c r="R40" i="2106"/>
  <c r="L8" i="2106" s="1"/>
  <c r="D8" i="2106" s="1"/>
  <c r="D40" i="2106"/>
  <c r="R39" i="2106"/>
  <c r="H39" i="2106"/>
  <c r="D39" i="2106"/>
  <c r="R38" i="2106"/>
  <c r="H38" i="2106"/>
  <c r="D38" i="2106"/>
  <c r="R37" i="2106"/>
  <c r="H37" i="2106"/>
  <c r="D37" i="2106"/>
  <c r="R36" i="2106"/>
  <c r="H36" i="2106"/>
  <c r="D36" i="2106"/>
  <c r="R35" i="2106"/>
  <c r="L18" i="2106" s="1"/>
  <c r="D18" i="2106" s="1"/>
  <c r="H35" i="2106"/>
  <c r="D35" i="2106"/>
  <c r="R34" i="2106"/>
  <c r="L12" i="2106" s="1"/>
  <c r="D12" i="2106" s="1"/>
  <c r="H34" i="2106"/>
  <c r="D34" i="2106"/>
  <c r="R33" i="2106"/>
  <c r="L19" i="2106" s="1"/>
  <c r="D19" i="2106" s="1"/>
  <c r="R32" i="2106"/>
  <c r="R31" i="2106"/>
  <c r="R30" i="2106"/>
  <c r="R29" i="2106"/>
  <c r="R28" i="2106"/>
  <c r="R27" i="2106"/>
  <c r="L27" i="2106"/>
  <c r="D27" i="2106"/>
  <c r="R26" i="2106"/>
  <c r="L26" i="2106"/>
  <c r="D26" i="2106" s="1"/>
  <c r="R25" i="2106"/>
  <c r="L25" i="2106"/>
  <c r="D25" i="2106" s="1"/>
  <c r="R24" i="2106"/>
  <c r="L24" i="2106"/>
  <c r="D24" i="2106"/>
  <c r="R23" i="2106"/>
  <c r="L23" i="2106"/>
  <c r="D23" i="2106"/>
  <c r="R22" i="2106"/>
  <c r="L20" i="2106" s="1"/>
  <c r="D20" i="2106" s="1"/>
  <c r="L22" i="2106"/>
  <c r="D22" i="2106"/>
  <c r="R21" i="2106"/>
  <c r="L17" i="2106" s="1"/>
  <c r="D17" i="2106" s="1"/>
  <c r="L21" i="2106"/>
  <c r="D21" i="2106"/>
  <c r="R20" i="2106"/>
  <c r="R19" i="2106"/>
  <c r="R18" i="2106"/>
  <c r="R17" i="2106"/>
  <c r="R16" i="2106"/>
  <c r="R15" i="2106"/>
  <c r="R14" i="2106"/>
  <c r="D14" i="2106"/>
  <c r="R13" i="2106"/>
  <c r="D13" i="2106"/>
  <c r="R12" i="2106"/>
  <c r="R11" i="2106"/>
  <c r="L11" i="2106"/>
  <c r="D11" i="2106"/>
  <c r="L10" i="2106"/>
  <c r="D10" i="2106" s="1"/>
  <c r="L9" i="2106"/>
  <c r="D9" i="2106"/>
  <c r="R6" i="2106"/>
  <c r="L16" i="2106" s="1"/>
  <c r="D16" i="2106" s="1"/>
  <c r="R5" i="2106"/>
  <c r="R4" i="2106"/>
  <c r="L15" i="2106" s="1"/>
  <c r="D15" i="2106" s="1"/>
  <c r="G49" i="2106" l="1"/>
  <c r="D54" i="2106"/>
  <c r="H14" i="2106" s="1"/>
  <c r="D29" i="2106"/>
  <c r="H13" i="2106" s="1"/>
  <c r="R52" i="2105"/>
  <c r="R51" i="2105"/>
  <c r="D50" i="2105"/>
  <c r="R49" i="2105"/>
  <c r="D49" i="2105"/>
  <c r="R48" i="2105"/>
  <c r="D48" i="2105"/>
  <c r="D46" i="2105"/>
  <c r="D45" i="2105"/>
  <c r="R44" i="2105"/>
  <c r="L28" i="2105" s="1"/>
  <c r="D28" i="2105" s="1"/>
  <c r="D44" i="2105"/>
  <c r="R42" i="2105"/>
  <c r="L6" i="2105" s="1"/>
  <c r="D6" i="2105" s="1"/>
  <c r="D42" i="2105"/>
  <c r="R41" i="2105"/>
  <c r="L7" i="2105" s="1"/>
  <c r="D7" i="2105" s="1"/>
  <c r="D41" i="2105"/>
  <c r="R40" i="2105"/>
  <c r="L8" i="2105" s="1"/>
  <c r="D8" i="2105" s="1"/>
  <c r="D40" i="2105"/>
  <c r="R39" i="2105"/>
  <c r="H39" i="2105"/>
  <c r="D39" i="2105"/>
  <c r="R38" i="2105"/>
  <c r="L9" i="2105" s="1"/>
  <c r="D9" i="2105" s="1"/>
  <c r="H38" i="2105"/>
  <c r="D38" i="2105"/>
  <c r="R37" i="2105"/>
  <c r="H37" i="2105"/>
  <c r="D37" i="2105"/>
  <c r="R36" i="2105"/>
  <c r="L10" i="2105" s="1"/>
  <c r="D10" i="2105" s="1"/>
  <c r="H36" i="2105"/>
  <c r="D36" i="2105"/>
  <c r="R35" i="2105"/>
  <c r="L18" i="2105" s="1"/>
  <c r="D18" i="2105" s="1"/>
  <c r="H35" i="2105"/>
  <c r="D35" i="2105"/>
  <c r="R34" i="2105"/>
  <c r="L12" i="2105" s="1"/>
  <c r="D12" i="2105" s="1"/>
  <c r="H34" i="2105"/>
  <c r="D34" i="2105"/>
  <c r="R33" i="2105"/>
  <c r="L19" i="2105" s="1"/>
  <c r="D19" i="2105" s="1"/>
  <c r="R32" i="2105"/>
  <c r="R31" i="2105"/>
  <c r="R30" i="2105"/>
  <c r="R29" i="2105"/>
  <c r="R28" i="2105"/>
  <c r="R27" i="2105"/>
  <c r="L27" i="2105"/>
  <c r="D27" i="2105" s="1"/>
  <c r="R26" i="2105"/>
  <c r="L26" i="2105"/>
  <c r="D26" i="2105"/>
  <c r="R25" i="2105"/>
  <c r="L25" i="2105"/>
  <c r="D25" i="2105"/>
  <c r="R24" i="2105"/>
  <c r="L24" i="2105"/>
  <c r="D24" i="2105" s="1"/>
  <c r="R23" i="2105"/>
  <c r="L23" i="2105"/>
  <c r="D23" i="2105" s="1"/>
  <c r="R22" i="2105"/>
  <c r="L20" i="2105" s="1"/>
  <c r="D20" i="2105" s="1"/>
  <c r="L22" i="2105"/>
  <c r="D22" i="2105" s="1"/>
  <c r="R21" i="2105"/>
  <c r="L17" i="2105" s="1"/>
  <c r="D17" i="2105" s="1"/>
  <c r="L21" i="2105"/>
  <c r="D21" i="2105"/>
  <c r="R20" i="2105"/>
  <c r="R19" i="2105"/>
  <c r="R18" i="2105"/>
  <c r="R17" i="2105"/>
  <c r="R16" i="2105"/>
  <c r="R15" i="2105"/>
  <c r="L15" i="2105"/>
  <c r="D15" i="2105" s="1"/>
  <c r="R14" i="2105"/>
  <c r="D14" i="2105"/>
  <c r="R13" i="2105"/>
  <c r="D13" i="2105"/>
  <c r="R12" i="2105"/>
  <c r="R11" i="2105"/>
  <c r="L11" i="2105"/>
  <c r="D11" i="2105"/>
  <c r="R6" i="2105"/>
  <c r="L16" i="2105" s="1"/>
  <c r="D16" i="2105" s="1"/>
  <c r="R5" i="2105"/>
  <c r="R4" i="2105"/>
  <c r="R52" i="2104"/>
  <c r="R51" i="2104"/>
  <c r="D50" i="2104"/>
  <c r="R49" i="2104"/>
  <c r="D49" i="2104"/>
  <c r="R48" i="2104"/>
  <c r="D48" i="2104"/>
  <c r="D46" i="2104"/>
  <c r="D45" i="2104"/>
  <c r="R44" i="2104"/>
  <c r="L28" i="2104" s="1"/>
  <c r="D28" i="2104" s="1"/>
  <c r="D44" i="2104"/>
  <c r="R42" i="2104"/>
  <c r="L6" i="2104" s="1"/>
  <c r="D6" i="2104" s="1"/>
  <c r="D42" i="2104"/>
  <c r="R41" i="2104"/>
  <c r="D41" i="2104"/>
  <c r="R40" i="2104"/>
  <c r="L8" i="2104" s="1"/>
  <c r="D8" i="2104" s="1"/>
  <c r="D40" i="2104"/>
  <c r="R39" i="2104"/>
  <c r="H39" i="2104"/>
  <c r="D39" i="2104"/>
  <c r="R38" i="2104"/>
  <c r="L9" i="2104" s="1"/>
  <c r="D9" i="2104" s="1"/>
  <c r="H38" i="2104"/>
  <c r="D38" i="2104"/>
  <c r="R37" i="2104"/>
  <c r="H37" i="2104"/>
  <c r="D37" i="2104"/>
  <c r="R36" i="2104"/>
  <c r="L10" i="2104" s="1"/>
  <c r="D10" i="2104" s="1"/>
  <c r="H36" i="2104"/>
  <c r="D36" i="2104"/>
  <c r="R35" i="2104"/>
  <c r="L18" i="2104" s="1"/>
  <c r="D18" i="2104" s="1"/>
  <c r="H35" i="2104"/>
  <c r="D35" i="2104"/>
  <c r="R34" i="2104"/>
  <c r="L12" i="2104" s="1"/>
  <c r="D12" i="2104" s="1"/>
  <c r="H34" i="2104"/>
  <c r="D34" i="2104"/>
  <c r="R33" i="2104"/>
  <c r="L19" i="2104" s="1"/>
  <c r="D19" i="2104" s="1"/>
  <c r="R32" i="2104"/>
  <c r="R31" i="2104"/>
  <c r="R30" i="2104"/>
  <c r="R29" i="2104"/>
  <c r="R28" i="2104"/>
  <c r="R27" i="2104"/>
  <c r="L27" i="2104"/>
  <c r="D27" i="2104" s="1"/>
  <c r="R26" i="2104"/>
  <c r="L26" i="2104"/>
  <c r="D26" i="2104" s="1"/>
  <c r="R25" i="2104"/>
  <c r="L25" i="2104"/>
  <c r="D25" i="2104" s="1"/>
  <c r="R24" i="2104"/>
  <c r="L24" i="2104"/>
  <c r="D24" i="2104" s="1"/>
  <c r="R23" i="2104"/>
  <c r="L23" i="2104"/>
  <c r="D23" i="2104" s="1"/>
  <c r="R22" i="2104"/>
  <c r="L20" i="2104" s="1"/>
  <c r="D20" i="2104" s="1"/>
  <c r="L22" i="2104"/>
  <c r="D22" i="2104" s="1"/>
  <c r="R21" i="2104"/>
  <c r="L17" i="2104" s="1"/>
  <c r="D17" i="2104" s="1"/>
  <c r="D21" i="2104"/>
  <c r="R20" i="2104"/>
  <c r="R19" i="2104"/>
  <c r="R18" i="2104"/>
  <c r="R17" i="2104"/>
  <c r="R16" i="2104"/>
  <c r="R15" i="2104"/>
  <c r="R14" i="2104"/>
  <c r="D14" i="2104"/>
  <c r="R13" i="2104"/>
  <c r="D13" i="2104"/>
  <c r="R12" i="2104"/>
  <c r="R11" i="2104"/>
  <c r="L11" i="2104"/>
  <c r="D11" i="2104" s="1"/>
  <c r="L7" i="2104"/>
  <c r="D7" i="2104"/>
  <c r="R6" i="2104"/>
  <c r="L16" i="2104" s="1"/>
  <c r="D16" i="2104" s="1"/>
  <c r="R5" i="2104"/>
  <c r="R4" i="2104"/>
  <c r="L15" i="2104" s="1"/>
  <c r="D15" i="2104" s="1"/>
  <c r="R52" i="2103"/>
  <c r="R51" i="2103"/>
  <c r="D50" i="2103"/>
  <c r="R49" i="2103"/>
  <c r="D49" i="2103"/>
  <c r="R48" i="2103"/>
  <c r="D48" i="2103"/>
  <c r="D46" i="2103"/>
  <c r="D45" i="2103"/>
  <c r="R44" i="2103"/>
  <c r="L28" i="2103" s="1"/>
  <c r="D28" i="2103" s="1"/>
  <c r="D44" i="2103"/>
  <c r="R42" i="2103"/>
  <c r="L6" i="2103" s="1"/>
  <c r="D6" i="2103" s="1"/>
  <c r="D42" i="2103"/>
  <c r="R41" i="2103"/>
  <c r="D41" i="2103"/>
  <c r="R40" i="2103"/>
  <c r="L8" i="2103" s="1"/>
  <c r="D8" i="2103" s="1"/>
  <c r="D40" i="2103"/>
  <c r="R39" i="2103"/>
  <c r="H39" i="2103"/>
  <c r="D39" i="2103"/>
  <c r="R38" i="2103"/>
  <c r="L9" i="2103" s="1"/>
  <c r="D9" i="2103" s="1"/>
  <c r="H38" i="2103"/>
  <c r="D38" i="2103"/>
  <c r="R37" i="2103"/>
  <c r="H37" i="2103"/>
  <c r="D37" i="2103"/>
  <c r="R36" i="2103"/>
  <c r="L10" i="2103" s="1"/>
  <c r="D10" i="2103" s="1"/>
  <c r="H36" i="2103"/>
  <c r="D36" i="2103"/>
  <c r="R35" i="2103"/>
  <c r="L18" i="2103" s="1"/>
  <c r="D18" i="2103" s="1"/>
  <c r="H35" i="2103"/>
  <c r="D35" i="2103"/>
  <c r="R34" i="2103"/>
  <c r="L12" i="2103" s="1"/>
  <c r="D12" i="2103" s="1"/>
  <c r="H34" i="2103"/>
  <c r="D34" i="2103"/>
  <c r="R33" i="2103"/>
  <c r="L19" i="2103" s="1"/>
  <c r="D19" i="2103" s="1"/>
  <c r="R32" i="2103"/>
  <c r="R31" i="2103"/>
  <c r="R30" i="2103"/>
  <c r="R29" i="2103"/>
  <c r="R28" i="2103"/>
  <c r="R27" i="2103"/>
  <c r="L27" i="2103"/>
  <c r="D27" i="2103"/>
  <c r="R26" i="2103"/>
  <c r="L26" i="2103"/>
  <c r="D26" i="2103"/>
  <c r="R25" i="2103"/>
  <c r="L25" i="2103"/>
  <c r="D25" i="2103" s="1"/>
  <c r="R24" i="2103"/>
  <c r="L24" i="2103"/>
  <c r="D24" i="2103" s="1"/>
  <c r="R23" i="2103"/>
  <c r="L23" i="2103"/>
  <c r="D23" i="2103" s="1"/>
  <c r="R22" i="2103"/>
  <c r="L20" i="2103" s="1"/>
  <c r="D20" i="2103" s="1"/>
  <c r="L22" i="2103"/>
  <c r="D22" i="2103"/>
  <c r="R21" i="2103"/>
  <c r="L17" i="2103" s="1"/>
  <c r="D17" i="2103" s="1"/>
  <c r="L21" i="2103"/>
  <c r="D21" i="2103"/>
  <c r="R20" i="2103"/>
  <c r="R19" i="2103"/>
  <c r="R18" i="2103"/>
  <c r="R17" i="2103"/>
  <c r="R16" i="2103"/>
  <c r="R15" i="2103"/>
  <c r="R14" i="2103"/>
  <c r="D14" i="2103"/>
  <c r="R13" i="2103"/>
  <c r="D13" i="2103"/>
  <c r="R12" i="2103"/>
  <c r="R11" i="2103"/>
  <c r="L11" i="2103"/>
  <c r="D11" i="2103" s="1"/>
  <c r="L7" i="2103"/>
  <c r="D7" i="2103" s="1"/>
  <c r="R6" i="2103"/>
  <c r="L16" i="2103" s="1"/>
  <c r="D16" i="2103" s="1"/>
  <c r="R5" i="2103"/>
  <c r="R4" i="2103"/>
  <c r="L15" i="2103" s="1"/>
  <c r="D15" i="2103" s="1"/>
  <c r="R52" i="2102"/>
  <c r="R51" i="2102"/>
  <c r="D50" i="2102"/>
  <c r="R49" i="2102"/>
  <c r="G49" i="2102"/>
  <c r="D49" i="2102"/>
  <c r="R48" i="2102"/>
  <c r="D48" i="2102"/>
  <c r="D46" i="2102"/>
  <c r="D45" i="2102"/>
  <c r="D44" i="2102"/>
  <c r="R42" i="2102"/>
  <c r="L6" i="2102" s="1"/>
  <c r="D6" i="2102" s="1"/>
  <c r="D42" i="2102"/>
  <c r="R41" i="2102"/>
  <c r="L7" i="2102" s="1"/>
  <c r="D7" i="2102" s="1"/>
  <c r="D41" i="2102"/>
  <c r="R40" i="2102"/>
  <c r="D40" i="2102"/>
  <c r="R39" i="2102"/>
  <c r="D39" i="2102"/>
  <c r="R38" i="2102"/>
  <c r="D38" i="2102"/>
  <c r="R37" i="2102"/>
  <c r="D37" i="2102"/>
  <c r="R36" i="2102"/>
  <c r="L10" i="2102" s="1"/>
  <c r="D10" i="2102" s="1"/>
  <c r="D36" i="2102"/>
  <c r="R35" i="2102"/>
  <c r="L19" i="2102" s="1"/>
  <c r="D19" i="2102" s="1"/>
  <c r="D35" i="2102"/>
  <c r="R34" i="2102"/>
  <c r="L12" i="2102" s="1"/>
  <c r="D12" i="2102" s="1"/>
  <c r="D34" i="2102"/>
  <c r="R33" i="2102"/>
  <c r="L23" i="2102" s="1"/>
  <c r="D23" i="2102" s="1"/>
  <c r="R32" i="2102"/>
  <c r="R31" i="2102"/>
  <c r="R30" i="2102"/>
  <c r="R29" i="2102"/>
  <c r="R28" i="2102"/>
  <c r="D28" i="2102"/>
  <c r="R27" i="2102"/>
  <c r="D27" i="2102"/>
  <c r="R26" i="2102"/>
  <c r="L26" i="2102"/>
  <c r="D26" i="2102" s="1"/>
  <c r="R25" i="2102"/>
  <c r="L25" i="2102"/>
  <c r="D25" i="2102" s="1"/>
  <c r="R24" i="2102"/>
  <c r="D24" i="2102"/>
  <c r="R23" i="2102"/>
  <c r="R22" i="2102"/>
  <c r="L22" i="2102"/>
  <c r="D22" i="2102" s="1"/>
  <c r="R21" i="2102"/>
  <c r="D21" i="2102"/>
  <c r="R20" i="2102"/>
  <c r="L20" i="2102"/>
  <c r="D20" i="2102" s="1"/>
  <c r="R19" i="2102"/>
  <c r="R18" i="2102"/>
  <c r="D18" i="2102"/>
  <c r="R17" i="2102"/>
  <c r="D17" i="2102"/>
  <c r="R16" i="2102"/>
  <c r="L16" i="2102"/>
  <c r="D16" i="2102" s="1"/>
  <c r="S15" i="2102"/>
  <c r="R15" i="2102"/>
  <c r="D15" i="2102"/>
  <c r="S14" i="2102"/>
  <c r="R14" i="2102"/>
  <c r="D14" i="2102"/>
  <c r="R13" i="2102"/>
  <c r="D13" i="2102"/>
  <c r="R12" i="2102"/>
  <c r="R11" i="2102"/>
  <c r="L11" i="2102"/>
  <c r="D11" i="2102" s="1"/>
  <c r="L9" i="2102"/>
  <c r="D9" i="2102"/>
  <c r="L8" i="2102"/>
  <c r="D8" i="2102" s="1"/>
  <c r="R6" i="2102"/>
  <c r="R5" i="2102"/>
  <c r="R4" i="2102"/>
  <c r="R52" i="2101"/>
  <c r="R51" i="2101"/>
  <c r="D50" i="2101"/>
  <c r="R49" i="2101"/>
  <c r="D49" i="2101"/>
  <c r="R48" i="2101"/>
  <c r="D48" i="2101"/>
  <c r="D46" i="2101"/>
  <c r="D45" i="2101"/>
  <c r="R44" i="2101"/>
  <c r="D44" i="2101"/>
  <c r="R42" i="2101"/>
  <c r="L6" i="2101" s="1"/>
  <c r="D6" i="2101" s="1"/>
  <c r="D42" i="2101"/>
  <c r="R41" i="2101"/>
  <c r="D41" i="2101"/>
  <c r="R40" i="2101"/>
  <c r="L8" i="2101" s="1"/>
  <c r="D8" i="2101" s="1"/>
  <c r="D40" i="2101"/>
  <c r="R39" i="2101"/>
  <c r="H39" i="2101"/>
  <c r="D39" i="2101"/>
  <c r="R38" i="2101"/>
  <c r="L9" i="2101" s="1"/>
  <c r="D9" i="2101" s="1"/>
  <c r="H38" i="2101"/>
  <c r="D38" i="2101"/>
  <c r="R37" i="2101"/>
  <c r="H37" i="2101"/>
  <c r="D37" i="2101"/>
  <c r="R36" i="2101"/>
  <c r="H36" i="2101"/>
  <c r="D36" i="2101"/>
  <c r="R35" i="2101"/>
  <c r="L18" i="2101" s="1"/>
  <c r="D18" i="2101" s="1"/>
  <c r="H35" i="2101"/>
  <c r="D35" i="2101"/>
  <c r="R34" i="2101"/>
  <c r="L12" i="2101" s="1"/>
  <c r="D12" i="2101" s="1"/>
  <c r="H34" i="2101"/>
  <c r="D34" i="2101"/>
  <c r="R33" i="2101"/>
  <c r="L19" i="2101" s="1"/>
  <c r="D19" i="2101" s="1"/>
  <c r="R32" i="2101"/>
  <c r="R31" i="2101"/>
  <c r="R30" i="2101"/>
  <c r="R29" i="2101"/>
  <c r="R28" i="2101"/>
  <c r="L28" i="2101"/>
  <c r="D28" i="2101" s="1"/>
  <c r="R27" i="2101"/>
  <c r="L27" i="2101"/>
  <c r="D27" i="2101" s="1"/>
  <c r="R26" i="2101"/>
  <c r="L26" i="2101"/>
  <c r="D26" i="2101" s="1"/>
  <c r="R25" i="2101"/>
  <c r="L25" i="2101"/>
  <c r="D25" i="2101" s="1"/>
  <c r="R24" i="2101"/>
  <c r="L24" i="2101"/>
  <c r="D24" i="2101" s="1"/>
  <c r="R23" i="2101"/>
  <c r="L23" i="2101"/>
  <c r="D23" i="2101" s="1"/>
  <c r="R22" i="2101"/>
  <c r="L20" i="2101" s="1"/>
  <c r="D20" i="2101" s="1"/>
  <c r="L22" i="2101"/>
  <c r="D22" i="2101" s="1"/>
  <c r="R21" i="2101"/>
  <c r="L17" i="2101" s="1"/>
  <c r="D17" i="2101" s="1"/>
  <c r="L21" i="2101"/>
  <c r="D21" i="2101"/>
  <c r="R20" i="2101"/>
  <c r="R19" i="2101"/>
  <c r="R18" i="2101"/>
  <c r="R17" i="2101"/>
  <c r="R16" i="2101"/>
  <c r="L16" i="2101"/>
  <c r="D16" i="2101" s="1"/>
  <c r="R15" i="2101"/>
  <c r="R14" i="2101"/>
  <c r="D14" i="2101"/>
  <c r="R13" i="2101"/>
  <c r="D13" i="2101"/>
  <c r="R12" i="2101"/>
  <c r="R11" i="2101"/>
  <c r="L11" i="2101"/>
  <c r="D11" i="2101" s="1"/>
  <c r="L10" i="2101"/>
  <c r="D10" i="2101" s="1"/>
  <c r="L7" i="2101"/>
  <c r="D7" i="2101" s="1"/>
  <c r="R6" i="2101"/>
  <c r="R5" i="2101"/>
  <c r="R4" i="2101"/>
  <c r="L15" i="2101" s="1"/>
  <c r="D15" i="2101" s="1"/>
  <c r="R52" i="2100"/>
  <c r="R51" i="2100"/>
  <c r="D50" i="2100"/>
  <c r="R49" i="2100"/>
  <c r="D49" i="2100"/>
  <c r="R48" i="2100"/>
  <c r="D48" i="2100"/>
  <c r="D46" i="2100"/>
  <c r="D45" i="2100"/>
  <c r="R44" i="2100"/>
  <c r="D44" i="2100"/>
  <c r="R42" i="2100"/>
  <c r="D42" i="2100"/>
  <c r="R41" i="2100"/>
  <c r="L7" i="2100" s="1"/>
  <c r="D7" i="2100" s="1"/>
  <c r="D41" i="2100"/>
  <c r="R40" i="2100"/>
  <c r="L8" i="2100" s="1"/>
  <c r="D8" i="2100" s="1"/>
  <c r="D40" i="2100"/>
  <c r="R39" i="2100"/>
  <c r="H39" i="2100"/>
  <c r="D39" i="2100"/>
  <c r="R38" i="2100"/>
  <c r="L9" i="2100" s="1"/>
  <c r="D9" i="2100" s="1"/>
  <c r="H38" i="2100"/>
  <c r="D38" i="2100"/>
  <c r="R37" i="2100"/>
  <c r="H37" i="2100"/>
  <c r="D37" i="2100"/>
  <c r="R36" i="2100"/>
  <c r="H36" i="2100"/>
  <c r="D36" i="2100"/>
  <c r="R35" i="2100"/>
  <c r="H35" i="2100"/>
  <c r="D35" i="2100"/>
  <c r="R34" i="2100"/>
  <c r="L12" i="2100" s="1"/>
  <c r="D12" i="2100" s="1"/>
  <c r="H34" i="2100"/>
  <c r="D34" i="2100"/>
  <c r="R33" i="2100"/>
  <c r="R32" i="2100"/>
  <c r="L11" i="2100" s="1"/>
  <c r="D11" i="2100" s="1"/>
  <c r="R31" i="2100"/>
  <c r="R30" i="2100"/>
  <c r="R29" i="2100"/>
  <c r="R28" i="2100"/>
  <c r="L28" i="2100"/>
  <c r="D28" i="2100" s="1"/>
  <c r="R27" i="2100"/>
  <c r="L27" i="2100"/>
  <c r="D27" i="2100" s="1"/>
  <c r="R26" i="2100"/>
  <c r="L26" i="2100"/>
  <c r="D26" i="2100" s="1"/>
  <c r="R25" i="2100"/>
  <c r="L25" i="2100"/>
  <c r="D25" i="2100" s="1"/>
  <c r="R24" i="2100"/>
  <c r="L24" i="2100"/>
  <c r="D24" i="2100"/>
  <c r="R23" i="2100"/>
  <c r="L23" i="2100"/>
  <c r="D23" i="2100" s="1"/>
  <c r="R22" i="2100"/>
  <c r="L20" i="2100" s="1"/>
  <c r="D20" i="2100" s="1"/>
  <c r="L22" i="2100"/>
  <c r="D22" i="2100" s="1"/>
  <c r="R21" i="2100"/>
  <c r="L17" i="2100" s="1"/>
  <c r="D17" i="2100" s="1"/>
  <c r="D21" i="2100"/>
  <c r="R20" i="2100"/>
  <c r="R19" i="2100"/>
  <c r="L19" i="2100"/>
  <c r="D19" i="2100" s="1"/>
  <c r="R18" i="2100"/>
  <c r="L18" i="2100"/>
  <c r="D18" i="2100" s="1"/>
  <c r="R17" i="2100"/>
  <c r="R16" i="2100"/>
  <c r="R15" i="2100"/>
  <c r="L15" i="2100"/>
  <c r="D15" i="2100" s="1"/>
  <c r="R14" i="2100"/>
  <c r="D14" i="2100"/>
  <c r="R13" i="2100"/>
  <c r="D13" i="2100"/>
  <c r="R12" i="2100"/>
  <c r="R11" i="2100"/>
  <c r="L10" i="2100"/>
  <c r="D10" i="2100" s="1"/>
  <c r="R6" i="2100"/>
  <c r="L16" i="2100" s="1"/>
  <c r="D16" i="2100" s="1"/>
  <c r="L6" i="2100"/>
  <c r="D6" i="2100"/>
  <c r="R5" i="2100"/>
  <c r="R4" i="2100"/>
  <c r="R52" i="2099"/>
  <c r="R51" i="2099"/>
  <c r="D50" i="2099"/>
  <c r="R49" i="2099"/>
  <c r="D49" i="2099"/>
  <c r="R48" i="2099"/>
  <c r="D48" i="2099"/>
  <c r="D46" i="2099"/>
  <c r="D45" i="2099"/>
  <c r="R44" i="2099"/>
  <c r="D44" i="2099"/>
  <c r="R42" i="2099"/>
  <c r="D42" i="2099"/>
  <c r="R41" i="2099"/>
  <c r="L7" i="2099" s="1"/>
  <c r="D7" i="2099" s="1"/>
  <c r="D41" i="2099"/>
  <c r="R40" i="2099"/>
  <c r="L8" i="2099" s="1"/>
  <c r="D8" i="2099" s="1"/>
  <c r="D40" i="2099"/>
  <c r="R39" i="2099"/>
  <c r="H39" i="2099"/>
  <c r="D39" i="2099"/>
  <c r="R38" i="2099"/>
  <c r="H38" i="2099"/>
  <c r="D38" i="2099"/>
  <c r="R37" i="2099"/>
  <c r="H37" i="2099"/>
  <c r="D37" i="2099"/>
  <c r="R36" i="2099"/>
  <c r="H36" i="2099"/>
  <c r="D36" i="2099"/>
  <c r="R35" i="2099"/>
  <c r="L18" i="2099" s="1"/>
  <c r="D18" i="2099" s="1"/>
  <c r="H35" i="2099"/>
  <c r="D35" i="2099"/>
  <c r="R34" i="2099"/>
  <c r="L12" i="2099" s="1"/>
  <c r="D12" i="2099" s="1"/>
  <c r="H34" i="2099"/>
  <c r="D34" i="2099"/>
  <c r="R33" i="2099"/>
  <c r="L19" i="2099" s="1"/>
  <c r="D19" i="2099" s="1"/>
  <c r="R32" i="2099"/>
  <c r="R31" i="2099"/>
  <c r="R30" i="2099"/>
  <c r="R29" i="2099"/>
  <c r="R28" i="2099"/>
  <c r="L28" i="2099"/>
  <c r="D28" i="2099" s="1"/>
  <c r="R27" i="2099"/>
  <c r="L27" i="2099"/>
  <c r="D27" i="2099" s="1"/>
  <c r="R26" i="2099"/>
  <c r="L26" i="2099"/>
  <c r="D26" i="2099" s="1"/>
  <c r="R25" i="2099"/>
  <c r="L25" i="2099"/>
  <c r="D25" i="2099" s="1"/>
  <c r="R24" i="2099"/>
  <c r="L24" i="2099"/>
  <c r="D24" i="2099" s="1"/>
  <c r="R23" i="2099"/>
  <c r="L23" i="2099"/>
  <c r="D23" i="2099" s="1"/>
  <c r="R22" i="2099"/>
  <c r="L22" i="2099"/>
  <c r="D22" i="2099" s="1"/>
  <c r="R21" i="2099"/>
  <c r="L17" i="2099" s="1"/>
  <c r="D17" i="2099" s="1"/>
  <c r="L21" i="2099"/>
  <c r="D21" i="2099" s="1"/>
  <c r="R20" i="2099"/>
  <c r="L20" i="2099"/>
  <c r="D20" i="2099" s="1"/>
  <c r="R19" i="2099"/>
  <c r="R18" i="2099"/>
  <c r="R17" i="2099"/>
  <c r="R16" i="2099"/>
  <c r="R15" i="2099"/>
  <c r="R14" i="2099"/>
  <c r="D14" i="2099"/>
  <c r="R13" i="2099"/>
  <c r="D13" i="2099"/>
  <c r="R12" i="2099"/>
  <c r="R11" i="2099"/>
  <c r="L11" i="2099"/>
  <c r="D11" i="2099" s="1"/>
  <c r="L10" i="2099"/>
  <c r="D10" i="2099" s="1"/>
  <c r="L9" i="2099"/>
  <c r="D9" i="2099" s="1"/>
  <c r="R6" i="2099"/>
  <c r="L16" i="2099" s="1"/>
  <c r="D16" i="2099" s="1"/>
  <c r="L6" i="2099"/>
  <c r="D6" i="2099" s="1"/>
  <c r="R5" i="2099"/>
  <c r="R4" i="2099"/>
  <c r="L15" i="2099" s="1"/>
  <c r="D15" i="2099" s="1"/>
  <c r="R52" i="2098"/>
  <c r="R51" i="2098"/>
  <c r="D50" i="2098"/>
  <c r="R49" i="2098"/>
  <c r="G49" i="2098"/>
  <c r="D49" i="2098"/>
  <c r="R48" i="2098"/>
  <c r="D48" i="2098"/>
  <c r="D46" i="2098"/>
  <c r="D45" i="2098"/>
  <c r="D44" i="2098"/>
  <c r="R42" i="2098"/>
  <c r="D42" i="2098"/>
  <c r="R41" i="2098"/>
  <c r="L7" i="2098" s="1"/>
  <c r="D7" i="2098" s="1"/>
  <c r="D41" i="2098"/>
  <c r="R40" i="2098"/>
  <c r="L8" i="2098" s="1"/>
  <c r="D8" i="2098" s="1"/>
  <c r="D40" i="2098"/>
  <c r="R39" i="2098"/>
  <c r="D39" i="2098"/>
  <c r="R38" i="2098"/>
  <c r="L9" i="2098" s="1"/>
  <c r="D9" i="2098" s="1"/>
  <c r="D38" i="2098"/>
  <c r="R37" i="2098"/>
  <c r="D37" i="2098"/>
  <c r="R36" i="2098"/>
  <c r="L10" i="2098" s="1"/>
  <c r="D10" i="2098" s="1"/>
  <c r="D36" i="2098"/>
  <c r="R35" i="2098"/>
  <c r="D35" i="2098"/>
  <c r="R34" i="2098"/>
  <c r="L12" i="2098" s="1"/>
  <c r="D12" i="2098" s="1"/>
  <c r="D34" i="2098"/>
  <c r="R33" i="2098"/>
  <c r="L23" i="2098" s="1"/>
  <c r="D23" i="2098" s="1"/>
  <c r="R32" i="2098"/>
  <c r="L11" i="2098" s="1"/>
  <c r="D11" i="2098" s="1"/>
  <c r="R31" i="2098"/>
  <c r="R30" i="2098"/>
  <c r="R29" i="2098"/>
  <c r="R28" i="2098"/>
  <c r="L16" i="2098" s="1"/>
  <c r="D16" i="2098" s="1"/>
  <c r="D28" i="2098"/>
  <c r="R27" i="2098"/>
  <c r="D27" i="2098"/>
  <c r="R26" i="2098"/>
  <c r="L26" i="2098"/>
  <c r="D26" i="2098" s="1"/>
  <c r="R25" i="2098"/>
  <c r="L25" i="2098"/>
  <c r="D25" i="2098" s="1"/>
  <c r="R24" i="2098"/>
  <c r="D24" i="2098"/>
  <c r="R23" i="2098"/>
  <c r="R22" i="2098"/>
  <c r="L22" i="2098"/>
  <c r="D22" i="2098" s="1"/>
  <c r="R21" i="2098"/>
  <c r="D21" i="2098"/>
  <c r="R20" i="2098"/>
  <c r="L20" i="2098"/>
  <c r="D20" i="2098" s="1"/>
  <c r="R19" i="2098"/>
  <c r="L19" i="2098"/>
  <c r="D19" i="2098"/>
  <c r="R18" i="2098"/>
  <c r="D18" i="2098"/>
  <c r="R17" i="2098"/>
  <c r="D17" i="2098"/>
  <c r="R16" i="2098"/>
  <c r="S15" i="2098"/>
  <c r="R15" i="2098"/>
  <c r="D15" i="2098"/>
  <c r="S14" i="2098"/>
  <c r="R14" i="2098"/>
  <c r="D14" i="2098"/>
  <c r="R13" i="2098"/>
  <c r="D13" i="2098"/>
  <c r="R12" i="2098"/>
  <c r="R11" i="2098"/>
  <c r="R6" i="2098"/>
  <c r="L6" i="2098"/>
  <c r="D6" i="2098"/>
  <c r="R5" i="2098"/>
  <c r="R4" i="2098"/>
  <c r="R52" i="2097"/>
  <c r="R51" i="2097"/>
  <c r="D50" i="2097"/>
  <c r="R49" i="2097"/>
  <c r="D49" i="2097"/>
  <c r="R48" i="2097"/>
  <c r="D48" i="2097"/>
  <c r="D46" i="2097"/>
  <c r="D45" i="2097"/>
  <c r="R44" i="2097"/>
  <c r="L28" i="2097" s="1"/>
  <c r="D28" i="2097" s="1"/>
  <c r="D44" i="2097"/>
  <c r="R42" i="2097"/>
  <c r="D42" i="2097"/>
  <c r="R41" i="2097"/>
  <c r="D41" i="2097"/>
  <c r="R40" i="2097"/>
  <c r="D40" i="2097"/>
  <c r="R39" i="2097"/>
  <c r="H39" i="2097"/>
  <c r="D39" i="2097"/>
  <c r="R38" i="2097"/>
  <c r="L9" i="2097" s="1"/>
  <c r="D9" i="2097" s="1"/>
  <c r="H38" i="2097"/>
  <c r="D38" i="2097"/>
  <c r="R37" i="2097"/>
  <c r="H37" i="2097"/>
  <c r="D37" i="2097"/>
  <c r="R36" i="2097"/>
  <c r="L10" i="2097" s="1"/>
  <c r="D10" i="2097" s="1"/>
  <c r="H36" i="2097"/>
  <c r="D36" i="2097"/>
  <c r="R35" i="2097"/>
  <c r="L18" i="2097" s="1"/>
  <c r="D18" i="2097" s="1"/>
  <c r="H35" i="2097"/>
  <c r="D35" i="2097"/>
  <c r="R34" i="2097"/>
  <c r="L12" i="2097" s="1"/>
  <c r="D12" i="2097" s="1"/>
  <c r="H34" i="2097"/>
  <c r="G49" i="2097" s="1"/>
  <c r="D34" i="2097"/>
  <c r="R33" i="2097"/>
  <c r="L19" i="2097" s="1"/>
  <c r="D19" i="2097" s="1"/>
  <c r="R32" i="2097"/>
  <c r="L11" i="2097" s="1"/>
  <c r="D11" i="2097" s="1"/>
  <c r="R31" i="2097"/>
  <c r="R30" i="2097"/>
  <c r="R29" i="2097"/>
  <c r="R28" i="2097"/>
  <c r="R27" i="2097"/>
  <c r="L27" i="2097"/>
  <c r="D27" i="2097" s="1"/>
  <c r="R26" i="2097"/>
  <c r="L26" i="2097"/>
  <c r="D26" i="2097" s="1"/>
  <c r="R25" i="2097"/>
  <c r="L25" i="2097"/>
  <c r="D25" i="2097" s="1"/>
  <c r="R24" i="2097"/>
  <c r="L24" i="2097"/>
  <c r="D24" i="2097"/>
  <c r="R23" i="2097"/>
  <c r="L23" i="2097"/>
  <c r="D23" i="2097" s="1"/>
  <c r="R22" i="2097"/>
  <c r="L20" i="2097" s="1"/>
  <c r="D20" i="2097" s="1"/>
  <c r="L22" i="2097"/>
  <c r="D22" i="2097"/>
  <c r="R21" i="2097"/>
  <c r="L17" i="2097" s="1"/>
  <c r="D17" i="2097" s="1"/>
  <c r="L21" i="2097"/>
  <c r="D21" i="2097" s="1"/>
  <c r="R20" i="2097"/>
  <c r="R19" i="2097"/>
  <c r="R18" i="2097"/>
  <c r="R17" i="2097"/>
  <c r="R16" i="2097"/>
  <c r="R15" i="2097"/>
  <c r="L15" i="2097"/>
  <c r="D15" i="2097" s="1"/>
  <c r="R14" i="2097"/>
  <c r="D14" i="2097"/>
  <c r="R13" i="2097"/>
  <c r="D13" i="2097"/>
  <c r="R12" i="2097"/>
  <c r="R11" i="2097"/>
  <c r="L8" i="2097"/>
  <c r="D8" i="2097"/>
  <c r="L7" i="2097"/>
  <c r="D7" i="2097" s="1"/>
  <c r="R6" i="2097"/>
  <c r="L16" i="2097" s="1"/>
  <c r="D16" i="2097" s="1"/>
  <c r="L6" i="2097"/>
  <c r="D6" i="2097" s="1"/>
  <c r="R5" i="2097"/>
  <c r="R4" i="2097"/>
  <c r="R52" i="2096"/>
  <c r="R51" i="2096"/>
  <c r="D50" i="2096"/>
  <c r="R49" i="2096"/>
  <c r="D49" i="2096"/>
  <c r="R48" i="2096"/>
  <c r="D48" i="2096"/>
  <c r="D46" i="2096"/>
  <c r="D45" i="2096"/>
  <c r="R44" i="2096"/>
  <c r="L28" i="2096" s="1"/>
  <c r="D28" i="2096" s="1"/>
  <c r="D44" i="2096"/>
  <c r="R42" i="2096"/>
  <c r="L6" i="2096" s="1"/>
  <c r="D6" i="2096" s="1"/>
  <c r="D42" i="2096"/>
  <c r="R41" i="2096"/>
  <c r="L7" i="2096" s="1"/>
  <c r="D7" i="2096" s="1"/>
  <c r="D41" i="2096"/>
  <c r="R40" i="2096"/>
  <c r="L8" i="2096" s="1"/>
  <c r="D8" i="2096" s="1"/>
  <c r="D40" i="2096"/>
  <c r="R39" i="2096"/>
  <c r="H39" i="2096"/>
  <c r="D39" i="2096"/>
  <c r="R38" i="2096"/>
  <c r="H38" i="2096"/>
  <c r="D38" i="2096"/>
  <c r="R37" i="2096"/>
  <c r="H37" i="2096"/>
  <c r="D37" i="2096"/>
  <c r="R36" i="2096"/>
  <c r="L10" i="2096" s="1"/>
  <c r="D10" i="2096" s="1"/>
  <c r="H36" i="2096"/>
  <c r="D36" i="2096"/>
  <c r="R35" i="2096"/>
  <c r="L18" i="2096" s="1"/>
  <c r="D18" i="2096" s="1"/>
  <c r="H35" i="2096"/>
  <c r="D35" i="2096"/>
  <c r="R34" i="2096"/>
  <c r="L12" i="2096" s="1"/>
  <c r="D12" i="2096" s="1"/>
  <c r="H34" i="2096"/>
  <c r="D34" i="2096"/>
  <c r="R33" i="2096"/>
  <c r="L19" i="2096" s="1"/>
  <c r="D19" i="2096" s="1"/>
  <c r="R32" i="2096"/>
  <c r="R31" i="2096"/>
  <c r="R30" i="2096"/>
  <c r="R29" i="2096"/>
  <c r="R28" i="2096"/>
  <c r="R27" i="2096"/>
  <c r="L27" i="2096"/>
  <c r="D27" i="2096" s="1"/>
  <c r="R26" i="2096"/>
  <c r="L26" i="2096"/>
  <c r="D26" i="2096"/>
  <c r="R25" i="2096"/>
  <c r="L25" i="2096"/>
  <c r="D25" i="2096" s="1"/>
  <c r="R24" i="2096"/>
  <c r="L24" i="2096"/>
  <c r="D24" i="2096" s="1"/>
  <c r="R23" i="2096"/>
  <c r="L23" i="2096"/>
  <c r="D23" i="2096" s="1"/>
  <c r="R22" i="2096"/>
  <c r="L20" i="2096" s="1"/>
  <c r="D20" i="2096" s="1"/>
  <c r="L22" i="2096"/>
  <c r="D22" i="2096" s="1"/>
  <c r="R21" i="2096"/>
  <c r="L17" i="2096" s="1"/>
  <c r="D17" i="2096" s="1"/>
  <c r="D21" i="2096"/>
  <c r="R20" i="2096"/>
  <c r="R19" i="2096"/>
  <c r="R18" i="2096"/>
  <c r="R17" i="2096"/>
  <c r="R16" i="2096"/>
  <c r="R15" i="2096"/>
  <c r="R14" i="2096"/>
  <c r="D14" i="2096"/>
  <c r="R13" i="2096"/>
  <c r="D13" i="2096"/>
  <c r="R12" i="2096"/>
  <c r="R11" i="2096"/>
  <c r="L11" i="2096"/>
  <c r="D11" i="2096" s="1"/>
  <c r="L9" i="2096"/>
  <c r="D9" i="2096" s="1"/>
  <c r="R6" i="2096"/>
  <c r="L16" i="2096" s="1"/>
  <c r="D16" i="2096" s="1"/>
  <c r="R5" i="2096"/>
  <c r="R4" i="2096"/>
  <c r="L15" i="2096" s="1"/>
  <c r="D15" i="2096" s="1"/>
  <c r="R52" i="2095"/>
  <c r="R51" i="2095"/>
  <c r="D50" i="2095"/>
  <c r="R49" i="2095"/>
  <c r="D49" i="2095"/>
  <c r="R48" i="2095"/>
  <c r="D48" i="2095"/>
  <c r="D46" i="2095"/>
  <c r="D45" i="2095"/>
  <c r="R44" i="2095"/>
  <c r="L28" i="2095" s="1"/>
  <c r="D28" i="2095" s="1"/>
  <c r="D44" i="2095"/>
  <c r="R42" i="2095"/>
  <c r="D42" i="2095"/>
  <c r="R41" i="2095"/>
  <c r="L7" i="2095" s="1"/>
  <c r="D7" i="2095" s="1"/>
  <c r="D41" i="2095"/>
  <c r="R40" i="2095"/>
  <c r="L8" i="2095" s="1"/>
  <c r="D8" i="2095" s="1"/>
  <c r="D40" i="2095"/>
  <c r="R39" i="2095"/>
  <c r="H39" i="2095"/>
  <c r="D39" i="2095"/>
  <c r="R38" i="2095"/>
  <c r="L9" i="2095" s="1"/>
  <c r="D9" i="2095" s="1"/>
  <c r="H38" i="2095"/>
  <c r="D38" i="2095"/>
  <c r="R37" i="2095"/>
  <c r="H37" i="2095"/>
  <c r="D37" i="2095"/>
  <c r="R36" i="2095"/>
  <c r="L10" i="2095" s="1"/>
  <c r="D10" i="2095" s="1"/>
  <c r="H36" i="2095"/>
  <c r="D36" i="2095"/>
  <c r="R35" i="2095"/>
  <c r="L18" i="2095" s="1"/>
  <c r="D18" i="2095" s="1"/>
  <c r="H35" i="2095"/>
  <c r="D35" i="2095"/>
  <c r="R34" i="2095"/>
  <c r="L12" i="2095" s="1"/>
  <c r="D12" i="2095" s="1"/>
  <c r="H34" i="2095"/>
  <c r="D34" i="2095"/>
  <c r="R33" i="2095"/>
  <c r="R32" i="2095"/>
  <c r="L11" i="2095" s="1"/>
  <c r="D11" i="2095" s="1"/>
  <c r="R31" i="2095"/>
  <c r="R30" i="2095"/>
  <c r="R29" i="2095"/>
  <c r="R28" i="2095"/>
  <c r="R27" i="2095"/>
  <c r="L27" i="2095"/>
  <c r="D27" i="2095"/>
  <c r="R26" i="2095"/>
  <c r="L26" i="2095"/>
  <c r="D26" i="2095"/>
  <c r="R25" i="2095"/>
  <c r="L25" i="2095"/>
  <c r="D25" i="2095" s="1"/>
  <c r="R24" i="2095"/>
  <c r="L24" i="2095"/>
  <c r="D24" i="2095" s="1"/>
  <c r="R23" i="2095"/>
  <c r="L23" i="2095"/>
  <c r="D23" i="2095" s="1"/>
  <c r="R22" i="2095"/>
  <c r="L20" i="2095" s="1"/>
  <c r="D20" i="2095" s="1"/>
  <c r="L22" i="2095"/>
  <c r="D22" i="2095" s="1"/>
  <c r="R21" i="2095"/>
  <c r="L17" i="2095" s="1"/>
  <c r="D17" i="2095" s="1"/>
  <c r="L21" i="2095"/>
  <c r="D21" i="2095" s="1"/>
  <c r="R20" i="2095"/>
  <c r="R19" i="2095"/>
  <c r="L19" i="2095"/>
  <c r="D19" i="2095" s="1"/>
  <c r="R18" i="2095"/>
  <c r="R17" i="2095"/>
  <c r="R16" i="2095"/>
  <c r="R15" i="2095"/>
  <c r="R14" i="2095"/>
  <c r="D14" i="2095"/>
  <c r="R13" i="2095"/>
  <c r="D13" i="2095"/>
  <c r="R12" i="2095"/>
  <c r="R11" i="2095"/>
  <c r="R6" i="2095"/>
  <c r="L16" i="2095" s="1"/>
  <c r="D16" i="2095" s="1"/>
  <c r="L6" i="2095"/>
  <c r="D6" i="2095" s="1"/>
  <c r="R5" i="2095"/>
  <c r="R4" i="2095"/>
  <c r="L15" i="2095" s="1"/>
  <c r="D15" i="2095" s="1"/>
  <c r="R52" i="2094"/>
  <c r="R51" i="2094"/>
  <c r="D50" i="2094"/>
  <c r="R49" i="2094"/>
  <c r="G49" i="2094"/>
  <c r="D49" i="2094"/>
  <c r="R48" i="2094"/>
  <c r="D48" i="2094"/>
  <c r="D46" i="2094"/>
  <c r="D45" i="2094"/>
  <c r="D44" i="2094"/>
  <c r="R42" i="2094"/>
  <c r="L6" i="2094" s="1"/>
  <c r="D6" i="2094" s="1"/>
  <c r="D42" i="2094"/>
  <c r="R41" i="2094"/>
  <c r="L7" i="2094" s="1"/>
  <c r="D7" i="2094" s="1"/>
  <c r="D41" i="2094"/>
  <c r="R40" i="2094"/>
  <c r="L8" i="2094" s="1"/>
  <c r="D8" i="2094" s="1"/>
  <c r="D40" i="2094"/>
  <c r="R39" i="2094"/>
  <c r="D39" i="2094"/>
  <c r="R38" i="2094"/>
  <c r="D38" i="2094"/>
  <c r="R37" i="2094"/>
  <c r="D37" i="2094"/>
  <c r="R36" i="2094"/>
  <c r="L10" i="2094" s="1"/>
  <c r="D10" i="2094" s="1"/>
  <c r="D36" i="2094"/>
  <c r="R35" i="2094"/>
  <c r="L19" i="2094" s="1"/>
  <c r="D19" i="2094" s="1"/>
  <c r="D35" i="2094"/>
  <c r="R34" i="2094"/>
  <c r="D34" i="2094"/>
  <c r="R33" i="2094"/>
  <c r="R32" i="2094"/>
  <c r="L11" i="2094" s="1"/>
  <c r="D11" i="2094" s="1"/>
  <c r="R31" i="2094"/>
  <c r="R30" i="2094"/>
  <c r="R29" i="2094"/>
  <c r="R28" i="2094"/>
  <c r="D28" i="2094"/>
  <c r="R27" i="2094"/>
  <c r="D27" i="2094"/>
  <c r="R26" i="2094"/>
  <c r="L26" i="2094"/>
  <c r="D26" i="2094"/>
  <c r="R25" i="2094"/>
  <c r="L25" i="2094"/>
  <c r="D25" i="2094" s="1"/>
  <c r="R24" i="2094"/>
  <c r="D24" i="2094"/>
  <c r="R23" i="2094"/>
  <c r="L23" i="2094"/>
  <c r="D23" i="2094" s="1"/>
  <c r="R22" i="2094"/>
  <c r="L22" i="2094"/>
  <c r="D22" i="2094"/>
  <c r="R21" i="2094"/>
  <c r="D21" i="2094"/>
  <c r="R20" i="2094"/>
  <c r="L20" i="2094"/>
  <c r="D20" i="2094" s="1"/>
  <c r="R19" i="2094"/>
  <c r="R18" i="2094"/>
  <c r="D18" i="2094"/>
  <c r="R17" i="2094"/>
  <c r="D17" i="2094"/>
  <c r="R16" i="2094"/>
  <c r="L16" i="2094"/>
  <c r="D16" i="2094" s="1"/>
  <c r="S15" i="2094"/>
  <c r="R15" i="2094"/>
  <c r="D15" i="2094"/>
  <c r="S14" i="2094"/>
  <c r="R14" i="2094"/>
  <c r="D14" i="2094"/>
  <c r="R13" i="2094"/>
  <c r="D13" i="2094"/>
  <c r="R12" i="2094"/>
  <c r="L12" i="2094"/>
  <c r="D12" i="2094" s="1"/>
  <c r="R11" i="2094"/>
  <c r="L9" i="2094"/>
  <c r="D9" i="2094" s="1"/>
  <c r="R6" i="2094"/>
  <c r="R5" i="2094"/>
  <c r="R4" i="2094"/>
  <c r="R52" i="2093"/>
  <c r="R51" i="2093"/>
  <c r="D50" i="2093"/>
  <c r="R49" i="2093"/>
  <c r="D49" i="2093"/>
  <c r="R48" i="2093"/>
  <c r="D48" i="2093"/>
  <c r="D46" i="2093"/>
  <c r="D45" i="2093"/>
  <c r="R44" i="2093"/>
  <c r="L28" i="2093" s="1"/>
  <c r="D28" i="2093" s="1"/>
  <c r="D44" i="2093"/>
  <c r="R42" i="2093"/>
  <c r="L6" i="2093" s="1"/>
  <c r="D6" i="2093" s="1"/>
  <c r="D42" i="2093"/>
  <c r="R41" i="2093"/>
  <c r="D41" i="2093"/>
  <c r="R40" i="2093"/>
  <c r="L8" i="2093" s="1"/>
  <c r="D8" i="2093" s="1"/>
  <c r="D40" i="2093"/>
  <c r="R39" i="2093"/>
  <c r="H39" i="2093"/>
  <c r="D39" i="2093"/>
  <c r="R38" i="2093"/>
  <c r="L9" i="2093" s="1"/>
  <c r="D9" i="2093" s="1"/>
  <c r="H38" i="2093"/>
  <c r="D38" i="2093"/>
  <c r="R37" i="2093"/>
  <c r="H37" i="2093"/>
  <c r="D37" i="2093"/>
  <c r="R36" i="2093"/>
  <c r="L10" i="2093" s="1"/>
  <c r="D10" i="2093" s="1"/>
  <c r="H36" i="2093"/>
  <c r="D36" i="2093"/>
  <c r="R35" i="2093"/>
  <c r="L18" i="2093" s="1"/>
  <c r="D18" i="2093" s="1"/>
  <c r="H35" i="2093"/>
  <c r="D35" i="2093"/>
  <c r="R34" i="2093"/>
  <c r="L12" i="2093" s="1"/>
  <c r="D12" i="2093" s="1"/>
  <c r="H34" i="2093"/>
  <c r="D34" i="2093"/>
  <c r="R33" i="2093"/>
  <c r="L19" i="2093" s="1"/>
  <c r="D19" i="2093" s="1"/>
  <c r="R32" i="2093"/>
  <c r="L11" i="2093" s="1"/>
  <c r="D11" i="2093" s="1"/>
  <c r="R31" i="2093"/>
  <c r="R30" i="2093"/>
  <c r="R29" i="2093"/>
  <c r="R28" i="2093"/>
  <c r="R27" i="2093"/>
  <c r="L27" i="2093"/>
  <c r="D27" i="2093"/>
  <c r="R26" i="2093"/>
  <c r="L26" i="2093"/>
  <c r="D26" i="2093" s="1"/>
  <c r="R25" i="2093"/>
  <c r="L25" i="2093"/>
  <c r="D25" i="2093" s="1"/>
  <c r="R24" i="2093"/>
  <c r="L24" i="2093"/>
  <c r="D24" i="2093" s="1"/>
  <c r="R23" i="2093"/>
  <c r="L23" i="2093"/>
  <c r="D23" i="2093" s="1"/>
  <c r="R22" i="2093"/>
  <c r="L20" i="2093" s="1"/>
  <c r="D20" i="2093" s="1"/>
  <c r="L22" i="2093"/>
  <c r="D22" i="2093"/>
  <c r="R21" i="2093"/>
  <c r="L17" i="2093" s="1"/>
  <c r="D17" i="2093" s="1"/>
  <c r="L21" i="2093"/>
  <c r="D21" i="2093" s="1"/>
  <c r="R20" i="2093"/>
  <c r="R19" i="2093"/>
  <c r="R18" i="2093"/>
  <c r="R17" i="2093"/>
  <c r="R16" i="2093"/>
  <c r="R15" i="2093"/>
  <c r="R14" i="2093"/>
  <c r="D14" i="2093"/>
  <c r="R13" i="2093"/>
  <c r="D13" i="2093"/>
  <c r="R12" i="2093"/>
  <c r="R11" i="2093"/>
  <c r="L7" i="2093"/>
  <c r="D7" i="2093"/>
  <c r="R6" i="2093"/>
  <c r="L16" i="2093" s="1"/>
  <c r="D16" i="2093" s="1"/>
  <c r="R5" i="2093"/>
  <c r="R4" i="2093"/>
  <c r="L15" i="2093" s="1"/>
  <c r="D15" i="2093" s="1"/>
  <c r="R52" i="2092"/>
  <c r="R51" i="2092"/>
  <c r="D50" i="2092"/>
  <c r="R49" i="2092"/>
  <c r="D49" i="2092"/>
  <c r="R48" i="2092"/>
  <c r="D48" i="2092"/>
  <c r="D46" i="2092"/>
  <c r="D45" i="2092"/>
  <c r="R44" i="2092"/>
  <c r="L28" i="2092" s="1"/>
  <c r="D28" i="2092" s="1"/>
  <c r="D44" i="2092"/>
  <c r="R42" i="2092"/>
  <c r="L6" i="2092" s="1"/>
  <c r="D6" i="2092" s="1"/>
  <c r="D42" i="2092"/>
  <c r="R41" i="2092"/>
  <c r="D41" i="2092"/>
  <c r="R40" i="2092"/>
  <c r="D40" i="2092"/>
  <c r="R39" i="2092"/>
  <c r="H39" i="2092"/>
  <c r="D39" i="2092"/>
  <c r="R38" i="2092"/>
  <c r="L9" i="2092" s="1"/>
  <c r="D9" i="2092" s="1"/>
  <c r="H38" i="2092"/>
  <c r="D38" i="2092"/>
  <c r="R37" i="2092"/>
  <c r="H37" i="2092"/>
  <c r="D37" i="2092"/>
  <c r="R36" i="2092"/>
  <c r="H36" i="2092"/>
  <c r="D36" i="2092"/>
  <c r="R35" i="2092"/>
  <c r="L18" i="2092" s="1"/>
  <c r="D18" i="2092" s="1"/>
  <c r="H35" i="2092"/>
  <c r="D35" i="2092"/>
  <c r="R34" i="2092"/>
  <c r="L12" i="2092" s="1"/>
  <c r="D12" i="2092" s="1"/>
  <c r="H34" i="2092"/>
  <c r="D34" i="2092"/>
  <c r="R33" i="2092"/>
  <c r="L19" i="2092" s="1"/>
  <c r="D19" i="2092" s="1"/>
  <c r="R32" i="2092"/>
  <c r="L11" i="2092" s="1"/>
  <c r="D11" i="2092" s="1"/>
  <c r="R31" i="2092"/>
  <c r="R30" i="2092"/>
  <c r="R29" i="2092"/>
  <c r="R28" i="2092"/>
  <c r="R27" i="2092"/>
  <c r="L27" i="2092"/>
  <c r="D27" i="2092"/>
  <c r="R26" i="2092"/>
  <c r="L26" i="2092"/>
  <c r="D26" i="2092"/>
  <c r="R25" i="2092"/>
  <c r="L25" i="2092"/>
  <c r="D25" i="2092" s="1"/>
  <c r="R24" i="2092"/>
  <c r="L24" i="2092"/>
  <c r="D24" i="2092" s="1"/>
  <c r="R23" i="2092"/>
  <c r="L23" i="2092"/>
  <c r="D23" i="2092" s="1"/>
  <c r="R22" i="2092"/>
  <c r="D22" i="2092"/>
  <c r="R21" i="2092"/>
  <c r="L17" i="2092" s="1"/>
  <c r="D17" i="2092" s="1"/>
  <c r="D21" i="2092"/>
  <c r="R20" i="2092"/>
  <c r="L20" i="2092"/>
  <c r="D20" i="2092" s="1"/>
  <c r="R19" i="2092"/>
  <c r="R18" i="2092"/>
  <c r="R17" i="2092"/>
  <c r="R16" i="2092"/>
  <c r="R15" i="2092"/>
  <c r="L15" i="2092"/>
  <c r="D15" i="2092" s="1"/>
  <c r="R14" i="2092"/>
  <c r="D14" i="2092"/>
  <c r="R13" i="2092"/>
  <c r="D13" i="2092"/>
  <c r="R12" i="2092"/>
  <c r="R11" i="2092"/>
  <c r="L10" i="2092"/>
  <c r="D10" i="2092" s="1"/>
  <c r="L8" i="2092"/>
  <c r="D8" i="2092" s="1"/>
  <c r="L7" i="2092"/>
  <c r="D7" i="2092"/>
  <c r="R6" i="2092"/>
  <c r="L16" i="2092" s="1"/>
  <c r="D16" i="2092" s="1"/>
  <c r="R5" i="2092"/>
  <c r="R4" i="2092"/>
  <c r="R52" i="2091"/>
  <c r="R51" i="2091"/>
  <c r="D50" i="2091"/>
  <c r="R49" i="2091"/>
  <c r="D49" i="2091"/>
  <c r="R48" i="2091"/>
  <c r="D48" i="2091"/>
  <c r="D46" i="2091"/>
  <c r="D45" i="2091"/>
  <c r="R44" i="2091"/>
  <c r="D44" i="2091"/>
  <c r="R42" i="2091"/>
  <c r="L6" i="2091" s="1"/>
  <c r="D6" i="2091" s="1"/>
  <c r="D42" i="2091"/>
  <c r="R41" i="2091"/>
  <c r="L7" i="2091" s="1"/>
  <c r="D7" i="2091" s="1"/>
  <c r="D41" i="2091"/>
  <c r="R40" i="2091"/>
  <c r="D40" i="2091"/>
  <c r="R39" i="2091"/>
  <c r="H39" i="2091"/>
  <c r="D39" i="2091"/>
  <c r="R38" i="2091"/>
  <c r="L9" i="2091" s="1"/>
  <c r="D9" i="2091" s="1"/>
  <c r="H38" i="2091"/>
  <c r="D38" i="2091"/>
  <c r="R37" i="2091"/>
  <c r="H37" i="2091"/>
  <c r="D37" i="2091"/>
  <c r="R36" i="2091"/>
  <c r="L10" i="2091" s="1"/>
  <c r="D10" i="2091" s="1"/>
  <c r="H36" i="2091"/>
  <c r="D36" i="2091"/>
  <c r="R35" i="2091"/>
  <c r="L18" i="2091" s="1"/>
  <c r="D18" i="2091" s="1"/>
  <c r="H35" i="2091"/>
  <c r="D35" i="2091"/>
  <c r="R34" i="2091"/>
  <c r="L12" i="2091" s="1"/>
  <c r="D12" i="2091" s="1"/>
  <c r="H34" i="2091"/>
  <c r="D34" i="2091"/>
  <c r="R33" i="2091"/>
  <c r="R32" i="2091"/>
  <c r="R31" i="2091"/>
  <c r="R30" i="2091"/>
  <c r="R29" i="2091"/>
  <c r="R28" i="2091"/>
  <c r="L28" i="2091"/>
  <c r="D28" i="2091" s="1"/>
  <c r="R27" i="2091"/>
  <c r="L27" i="2091"/>
  <c r="D27" i="2091" s="1"/>
  <c r="R26" i="2091"/>
  <c r="L26" i="2091"/>
  <c r="D26" i="2091" s="1"/>
  <c r="R25" i="2091"/>
  <c r="L25" i="2091"/>
  <c r="D25" i="2091"/>
  <c r="R24" i="2091"/>
  <c r="L24" i="2091"/>
  <c r="D24" i="2091" s="1"/>
  <c r="R23" i="2091"/>
  <c r="L23" i="2091"/>
  <c r="D23" i="2091" s="1"/>
  <c r="R22" i="2091"/>
  <c r="L20" i="2091" s="1"/>
  <c r="D20" i="2091" s="1"/>
  <c r="L22" i="2091"/>
  <c r="D22" i="2091" s="1"/>
  <c r="R21" i="2091"/>
  <c r="L17" i="2091" s="1"/>
  <c r="D17" i="2091" s="1"/>
  <c r="D21" i="2091"/>
  <c r="R20" i="2091"/>
  <c r="R19" i="2091"/>
  <c r="L19" i="2091"/>
  <c r="D19" i="2091" s="1"/>
  <c r="R18" i="2091"/>
  <c r="R17" i="2091"/>
  <c r="R16" i="2091"/>
  <c r="R15" i="2091"/>
  <c r="R14" i="2091"/>
  <c r="D14" i="2091"/>
  <c r="R13" i="2091"/>
  <c r="D13" i="2091"/>
  <c r="R12" i="2091"/>
  <c r="R11" i="2091"/>
  <c r="L11" i="2091"/>
  <c r="D11" i="2091" s="1"/>
  <c r="L8" i="2091"/>
  <c r="D8" i="2091" s="1"/>
  <c r="R6" i="2091"/>
  <c r="L16" i="2091" s="1"/>
  <c r="D16" i="2091" s="1"/>
  <c r="R5" i="2091"/>
  <c r="R4" i="2091"/>
  <c r="L15" i="2091" s="1"/>
  <c r="D15" i="2091" s="1"/>
  <c r="R52" i="2090"/>
  <c r="R51" i="2090"/>
  <c r="D50" i="2090"/>
  <c r="R49" i="2090"/>
  <c r="G49" i="2090"/>
  <c r="D49" i="2090"/>
  <c r="R48" i="2090"/>
  <c r="D48" i="2090"/>
  <c r="D46" i="2090"/>
  <c r="D45" i="2090"/>
  <c r="D44" i="2090"/>
  <c r="R42" i="2090"/>
  <c r="L6" i="2090" s="1"/>
  <c r="D6" i="2090" s="1"/>
  <c r="D42" i="2090"/>
  <c r="R41" i="2090"/>
  <c r="L7" i="2090" s="1"/>
  <c r="D7" i="2090" s="1"/>
  <c r="D41" i="2090"/>
  <c r="R40" i="2090"/>
  <c r="D40" i="2090"/>
  <c r="R39" i="2090"/>
  <c r="D39" i="2090"/>
  <c r="R38" i="2090"/>
  <c r="D38" i="2090"/>
  <c r="R37" i="2090"/>
  <c r="D37" i="2090"/>
  <c r="R36" i="2090"/>
  <c r="L10" i="2090" s="1"/>
  <c r="D10" i="2090" s="1"/>
  <c r="D36" i="2090"/>
  <c r="R35" i="2090"/>
  <c r="D35" i="2090"/>
  <c r="R34" i="2090"/>
  <c r="L12" i="2090" s="1"/>
  <c r="D12" i="2090" s="1"/>
  <c r="D34" i="2090"/>
  <c r="R33" i="2090"/>
  <c r="L23" i="2090" s="1"/>
  <c r="D23" i="2090" s="1"/>
  <c r="R32" i="2090"/>
  <c r="R31" i="2090"/>
  <c r="R30" i="2090"/>
  <c r="R29" i="2090"/>
  <c r="R28" i="2090"/>
  <c r="L16" i="2090" s="1"/>
  <c r="D16" i="2090" s="1"/>
  <c r="D28" i="2090"/>
  <c r="R27" i="2090"/>
  <c r="D27" i="2090"/>
  <c r="R26" i="2090"/>
  <c r="L26" i="2090"/>
  <c r="D26" i="2090" s="1"/>
  <c r="R25" i="2090"/>
  <c r="L25" i="2090"/>
  <c r="D25" i="2090" s="1"/>
  <c r="R24" i="2090"/>
  <c r="D24" i="2090"/>
  <c r="R23" i="2090"/>
  <c r="R22" i="2090"/>
  <c r="L22" i="2090"/>
  <c r="D22" i="2090" s="1"/>
  <c r="R21" i="2090"/>
  <c r="D21" i="2090"/>
  <c r="R20" i="2090"/>
  <c r="L20" i="2090"/>
  <c r="D20" i="2090" s="1"/>
  <c r="R19" i="2090"/>
  <c r="L19" i="2090"/>
  <c r="D19" i="2090" s="1"/>
  <c r="R18" i="2090"/>
  <c r="D18" i="2090"/>
  <c r="R17" i="2090"/>
  <c r="D17" i="2090"/>
  <c r="R16" i="2090"/>
  <c r="S15" i="2090"/>
  <c r="R15" i="2090"/>
  <c r="D15" i="2090"/>
  <c r="S14" i="2090"/>
  <c r="R14" i="2090"/>
  <c r="D14" i="2090"/>
  <c r="R13" i="2090"/>
  <c r="D13" i="2090"/>
  <c r="R12" i="2090"/>
  <c r="R11" i="2090"/>
  <c r="L11" i="2090"/>
  <c r="D11" i="2090" s="1"/>
  <c r="L9" i="2090"/>
  <c r="D9" i="2090"/>
  <c r="L8" i="2090"/>
  <c r="D8" i="2090"/>
  <c r="R6" i="2090"/>
  <c r="R5" i="2090"/>
  <c r="R4" i="2090"/>
  <c r="R52" i="2089"/>
  <c r="R51" i="2089"/>
  <c r="D50" i="2089"/>
  <c r="R49" i="2089"/>
  <c r="D49" i="2089"/>
  <c r="R48" i="2089"/>
  <c r="D48" i="2089"/>
  <c r="D46" i="2089"/>
  <c r="D45" i="2089"/>
  <c r="R44" i="2089"/>
  <c r="L28" i="2089" s="1"/>
  <c r="D28" i="2089" s="1"/>
  <c r="D44" i="2089"/>
  <c r="R42" i="2089"/>
  <c r="L6" i="2089" s="1"/>
  <c r="D6" i="2089" s="1"/>
  <c r="D42" i="2089"/>
  <c r="R41" i="2089"/>
  <c r="D41" i="2089"/>
  <c r="R40" i="2089"/>
  <c r="L8" i="2089" s="1"/>
  <c r="D8" i="2089" s="1"/>
  <c r="D40" i="2089"/>
  <c r="R39" i="2089"/>
  <c r="H39" i="2089"/>
  <c r="D39" i="2089"/>
  <c r="R38" i="2089"/>
  <c r="L9" i="2089" s="1"/>
  <c r="D9" i="2089" s="1"/>
  <c r="H38" i="2089"/>
  <c r="D38" i="2089"/>
  <c r="R37" i="2089"/>
  <c r="H37" i="2089"/>
  <c r="D37" i="2089"/>
  <c r="R36" i="2089"/>
  <c r="L10" i="2089" s="1"/>
  <c r="D10" i="2089" s="1"/>
  <c r="H36" i="2089"/>
  <c r="D36" i="2089"/>
  <c r="R35" i="2089"/>
  <c r="L18" i="2089" s="1"/>
  <c r="D18" i="2089" s="1"/>
  <c r="H35" i="2089"/>
  <c r="D35" i="2089"/>
  <c r="R34" i="2089"/>
  <c r="H34" i="2089"/>
  <c r="D34" i="2089"/>
  <c r="R33" i="2089"/>
  <c r="R32" i="2089"/>
  <c r="L11" i="2089" s="1"/>
  <c r="D11" i="2089" s="1"/>
  <c r="R31" i="2089"/>
  <c r="R30" i="2089"/>
  <c r="R29" i="2089"/>
  <c r="R28" i="2089"/>
  <c r="R27" i="2089"/>
  <c r="L27" i="2089"/>
  <c r="D27" i="2089" s="1"/>
  <c r="R26" i="2089"/>
  <c r="L26" i="2089"/>
  <c r="D26" i="2089" s="1"/>
  <c r="R25" i="2089"/>
  <c r="L25" i="2089"/>
  <c r="D25" i="2089" s="1"/>
  <c r="R24" i="2089"/>
  <c r="L24" i="2089"/>
  <c r="D24" i="2089" s="1"/>
  <c r="R23" i="2089"/>
  <c r="L23" i="2089"/>
  <c r="D23" i="2089" s="1"/>
  <c r="R22" i="2089"/>
  <c r="L20" i="2089" s="1"/>
  <c r="D20" i="2089" s="1"/>
  <c r="L22" i="2089"/>
  <c r="D22" i="2089" s="1"/>
  <c r="R21" i="2089"/>
  <c r="L21" i="2089"/>
  <c r="D21" i="2089" s="1"/>
  <c r="R20" i="2089"/>
  <c r="R19" i="2089"/>
  <c r="L19" i="2089"/>
  <c r="D19" i="2089"/>
  <c r="R18" i="2089"/>
  <c r="R17" i="2089"/>
  <c r="L17" i="2089"/>
  <c r="D17" i="2089" s="1"/>
  <c r="R16" i="2089"/>
  <c r="R15" i="2089"/>
  <c r="R14" i="2089"/>
  <c r="D14" i="2089"/>
  <c r="R13" i="2089"/>
  <c r="D13" i="2089"/>
  <c r="R12" i="2089"/>
  <c r="L12" i="2089"/>
  <c r="D12" i="2089" s="1"/>
  <c r="R11" i="2089"/>
  <c r="L7" i="2089"/>
  <c r="D7" i="2089" s="1"/>
  <c r="R6" i="2089"/>
  <c r="L16" i="2089" s="1"/>
  <c r="D16" i="2089" s="1"/>
  <c r="R5" i="2089"/>
  <c r="R4" i="2089"/>
  <c r="L15" i="2089" s="1"/>
  <c r="D15" i="2089" s="1"/>
  <c r="R52" i="2088"/>
  <c r="R51" i="2088"/>
  <c r="D50" i="2088"/>
  <c r="R49" i="2088"/>
  <c r="D49" i="2088"/>
  <c r="R48" i="2088"/>
  <c r="D48" i="2088"/>
  <c r="D46" i="2088"/>
  <c r="D45" i="2088"/>
  <c r="R44" i="2088"/>
  <c r="L28" i="2088" s="1"/>
  <c r="D28" i="2088" s="1"/>
  <c r="D44" i="2088"/>
  <c r="R42" i="2088"/>
  <c r="L6" i="2088" s="1"/>
  <c r="D6" i="2088" s="1"/>
  <c r="D42" i="2088"/>
  <c r="R41" i="2088"/>
  <c r="L7" i="2088" s="1"/>
  <c r="D7" i="2088" s="1"/>
  <c r="D41" i="2088"/>
  <c r="R40" i="2088"/>
  <c r="D40" i="2088"/>
  <c r="R39" i="2088"/>
  <c r="H39" i="2088"/>
  <c r="D39" i="2088"/>
  <c r="R38" i="2088"/>
  <c r="H38" i="2088"/>
  <c r="D38" i="2088"/>
  <c r="R37" i="2088"/>
  <c r="H37" i="2088"/>
  <c r="D37" i="2088"/>
  <c r="R36" i="2088"/>
  <c r="L10" i="2088" s="1"/>
  <c r="D10" i="2088" s="1"/>
  <c r="H36" i="2088"/>
  <c r="D36" i="2088"/>
  <c r="R35" i="2088"/>
  <c r="L18" i="2088" s="1"/>
  <c r="D18" i="2088" s="1"/>
  <c r="H35" i="2088"/>
  <c r="D35" i="2088"/>
  <c r="R34" i="2088"/>
  <c r="H34" i="2088"/>
  <c r="D34" i="2088"/>
  <c r="R33" i="2088"/>
  <c r="L19" i="2088" s="1"/>
  <c r="D19" i="2088" s="1"/>
  <c r="R32" i="2088"/>
  <c r="L11" i="2088" s="1"/>
  <c r="D11" i="2088" s="1"/>
  <c r="R31" i="2088"/>
  <c r="R30" i="2088"/>
  <c r="R29" i="2088"/>
  <c r="R28" i="2088"/>
  <c r="R27" i="2088"/>
  <c r="L27" i="2088"/>
  <c r="D27" i="2088" s="1"/>
  <c r="R26" i="2088"/>
  <c r="L26" i="2088"/>
  <c r="D26" i="2088"/>
  <c r="R25" i="2088"/>
  <c r="L25" i="2088"/>
  <c r="D25" i="2088"/>
  <c r="R24" i="2088"/>
  <c r="L24" i="2088"/>
  <c r="D24" i="2088"/>
  <c r="R23" i="2088"/>
  <c r="L23" i="2088"/>
  <c r="D23" i="2088" s="1"/>
  <c r="R22" i="2088"/>
  <c r="L20" i="2088" s="1"/>
  <c r="D20" i="2088" s="1"/>
  <c r="L22" i="2088"/>
  <c r="D22" i="2088" s="1"/>
  <c r="R21" i="2088"/>
  <c r="L17" i="2088" s="1"/>
  <c r="D17" i="2088" s="1"/>
  <c r="D21" i="2088"/>
  <c r="R20" i="2088"/>
  <c r="R19" i="2088"/>
  <c r="R18" i="2088"/>
  <c r="R17" i="2088"/>
  <c r="R16" i="2088"/>
  <c r="R15" i="2088"/>
  <c r="R14" i="2088"/>
  <c r="D14" i="2088"/>
  <c r="R13" i="2088"/>
  <c r="D13" i="2088"/>
  <c r="R12" i="2088"/>
  <c r="L12" i="2088"/>
  <c r="D12" i="2088"/>
  <c r="R11" i="2088"/>
  <c r="L9" i="2088"/>
  <c r="D9" i="2088"/>
  <c r="L8" i="2088"/>
  <c r="D8" i="2088" s="1"/>
  <c r="R6" i="2088"/>
  <c r="L16" i="2088" s="1"/>
  <c r="D16" i="2088" s="1"/>
  <c r="R5" i="2088"/>
  <c r="R4" i="2088"/>
  <c r="L15" i="2088" s="1"/>
  <c r="D15" i="2088" s="1"/>
  <c r="R52" i="2087"/>
  <c r="R51" i="2087"/>
  <c r="D50" i="2087"/>
  <c r="R49" i="2087"/>
  <c r="D49" i="2087"/>
  <c r="R48" i="2087"/>
  <c r="D48" i="2087"/>
  <c r="D46" i="2087"/>
  <c r="D45" i="2087"/>
  <c r="R44" i="2087"/>
  <c r="L28" i="2087" s="1"/>
  <c r="D28" i="2087" s="1"/>
  <c r="D44" i="2087"/>
  <c r="R42" i="2087"/>
  <c r="D42" i="2087"/>
  <c r="R41" i="2087"/>
  <c r="L7" i="2087" s="1"/>
  <c r="D7" i="2087" s="1"/>
  <c r="D41" i="2087"/>
  <c r="R40" i="2087"/>
  <c r="L8" i="2087" s="1"/>
  <c r="D8" i="2087" s="1"/>
  <c r="D40" i="2087"/>
  <c r="R39" i="2087"/>
  <c r="H39" i="2087"/>
  <c r="D39" i="2087"/>
  <c r="R38" i="2087"/>
  <c r="H38" i="2087"/>
  <c r="D38" i="2087"/>
  <c r="R37" i="2087"/>
  <c r="H37" i="2087"/>
  <c r="G49" i="2087" s="1"/>
  <c r="D37" i="2087"/>
  <c r="R36" i="2087"/>
  <c r="L10" i="2087" s="1"/>
  <c r="D10" i="2087" s="1"/>
  <c r="H36" i="2087"/>
  <c r="D36" i="2087"/>
  <c r="R35" i="2087"/>
  <c r="H35" i="2087"/>
  <c r="D35" i="2087"/>
  <c r="R34" i="2087"/>
  <c r="H34" i="2087"/>
  <c r="D34" i="2087"/>
  <c r="R33" i="2087"/>
  <c r="L19" i="2087" s="1"/>
  <c r="D19" i="2087" s="1"/>
  <c r="R32" i="2087"/>
  <c r="L11" i="2087" s="1"/>
  <c r="D11" i="2087" s="1"/>
  <c r="R31" i="2087"/>
  <c r="R30" i="2087"/>
  <c r="R29" i="2087"/>
  <c r="R28" i="2087"/>
  <c r="R27" i="2087"/>
  <c r="L27" i="2087"/>
  <c r="D27" i="2087"/>
  <c r="R26" i="2087"/>
  <c r="L26" i="2087"/>
  <c r="D26" i="2087"/>
  <c r="R25" i="2087"/>
  <c r="L25" i="2087"/>
  <c r="D25" i="2087" s="1"/>
  <c r="R24" i="2087"/>
  <c r="L24" i="2087"/>
  <c r="D24" i="2087"/>
  <c r="R23" i="2087"/>
  <c r="L23" i="2087"/>
  <c r="D23" i="2087"/>
  <c r="R22" i="2087"/>
  <c r="L22" i="2087"/>
  <c r="D22" i="2087"/>
  <c r="R21" i="2087"/>
  <c r="L17" i="2087" s="1"/>
  <c r="D17" i="2087" s="1"/>
  <c r="L21" i="2087"/>
  <c r="D21" i="2087" s="1"/>
  <c r="R20" i="2087"/>
  <c r="L20" i="2087"/>
  <c r="D20" i="2087"/>
  <c r="R19" i="2087"/>
  <c r="R18" i="2087"/>
  <c r="L18" i="2087"/>
  <c r="D18" i="2087" s="1"/>
  <c r="R17" i="2087"/>
  <c r="R16" i="2087"/>
  <c r="R15" i="2087"/>
  <c r="L15" i="2087"/>
  <c r="D15" i="2087" s="1"/>
  <c r="R14" i="2087"/>
  <c r="D14" i="2087"/>
  <c r="R13" i="2087"/>
  <c r="D13" i="2087"/>
  <c r="R12" i="2087"/>
  <c r="L12" i="2087"/>
  <c r="D12" i="2087" s="1"/>
  <c r="R11" i="2087"/>
  <c r="L9" i="2087"/>
  <c r="D9" i="2087" s="1"/>
  <c r="R6" i="2087"/>
  <c r="L16" i="2087" s="1"/>
  <c r="D16" i="2087" s="1"/>
  <c r="L6" i="2087"/>
  <c r="D6" i="2087" s="1"/>
  <c r="R5" i="2087"/>
  <c r="R4" i="2087"/>
  <c r="G49" i="2101" l="1"/>
  <c r="D54" i="2096"/>
  <c r="H14" i="2096" s="1"/>
  <c r="D29" i="2105"/>
  <c r="H13" i="2105" s="1"/>
  <c r="D54" i="2102"/>
  <c r="H14" i="2102" s="1"/>
  <c r="G49" i="2095"/>
  <c r="D54" i="2094"/>
  <c r="H14" i="2094" s="1"/>
  <c r="D54" i="2099"/>
  <c r="H14" i="2099" s="1"/>
  <c r="D54" i="2100"/>
  <c r="H14" i="2100" s="1"/>
  <c r="G49" i="2099"/>
  <c r="G49" i="2100"/>
  <c r="D54" i="2095"/>
  <c r="H14" i="2095" s="1"/>
  <c r="D54" i="2090"/>
  <c r="H14" i="2090" s="1"/>
  <c r="D54" i="2097"/>
  <c r="H14" i="2097" s="1"/>
  <c r="D54" i="2101"/>
  <c r="H14" i="2101" s="1"/>
  <c r="D54" i="2103"/>
  <c r="H14" i="2103" s="1"/>
  <c r="D54" i="2104"/>
  <c r="H14" i="2104" s="1"/>
  <c r="D54" i="2105"/>
  <c r="H14" i="2105" s="1"/>
  <c r="G49" i="2096"/>
  <c r="D54" i="2098"/>
  <c r="H14" i="2098" s="1"/>
  <c r="G49" i="2103"/>
  <c r="G49" i="2104"/>
  <c r="G49" i="2105"/>
  <c r="G49" i="2093"/>
  <c r="G49" i="2092"/>
  <c r="G49" i="2091"/>
  <c r="D54" i="2093"/>
  <c r="H14" i="2093" s="1"/>
  <c r="D54" i="2092"/>
  <c r="H14" i="2092" s="1"/>
  <c r="D29" i="2092"/>
  <c r="H13" i="2092" s="1"/>
  <c r="D54" i="2091"/>
  <c r="H14" i="2091" s="1"/>
  <c r="G49" i="2089"/>
  <c r="D54" i="2089"/>
  <c r="H14" i="2089" s="1"/>
  <c r="D29" i="2089"/>
  <c r="H13" i="2089" s="1"/>
  <c r="G49" i="2088"/>
  <c r="D54" i="2088"/>
  <c r="H14" i="2088" s="1"/>
  <c r="D54" i="2087"/>
  <c r="H14" i="2087" s="1"/>
  <c r="D29" i="2087"/>
  <c r="H13" i="2087" s="1"/>
  <c r="H15" i="2106"/>
  <c r="H29" i="2106" s="1"/>
  <c r="G51" i="2106" s="1"/>
  <c r="D29" i="2104"/>
  <c r="H13" i="2104" s="1"/>
  <c r="D29" i="2103"/>
  <c r="H13" i="2103" s="1"/>
  <c r="D29" i="2102"/>
  <c r="H13" i="2102" s="1"/>
  <c r="H15" i="2102" s="1"/>
  <c r="H29" i="2102" s="1"/>
  <c r="G51" i="2102" s="1"/>
  <c r="D29" i="2101"/>
  <c r="H13" i="2101" s="1"/>
  <c r="D29" i="2100"/>
  <c r="H13" i="2100" s="1"/>
  <c r="D29" i="2099"/>
  <c r="H13" i="2099" s="1"/>
  <c r="D29" i="2098"/>
  <c r="H13" i="2098" s="1"/>
  <c r="H15" i="2098" s="1"/>
  <c r="H29" i="2098" s="1"/>
  <c r="G51" i="2098" s="1"/>
  <c r="D29" i="2097"/>
  <c r="H13" i="2097" s="1"/>
  <c r="D29" i="2096"/>
  <c r="H13" i="2096" s="1"/>
  <c r="D29" i="2095"/>
  <c r="H13" i="2095" s="1"/>
  <c r="D29" i="2094"/>
  <c r="H13" i="2094" s="1"/>
  <c r="H15" i="2094" s="1"/>
  <c r="H29" i="2094" s="1"/>
  <c r="G51" i="2094" s="1"/>
  <c r="D29" i="2093"/>
  <c r="H13" i="2093" s="1"/>
  <c r="D29" i="2091"/>
  <c r="H13" i="2091" s="1"/>
  <c r="D29" i="2090"/>
  <c r="H13" i="2090" s="1"/>
  <c r="H15" i="2090" s="1"/>
  <c r="H29" i="2090" s="1"/>
  <c r="G51" i="2090"/>
  <c r="D29" i="2088"/>
  <c r="H13" i="2088" s="1"/>
  <c r="H16" i="2081"/>
  <c r="H15" i="2104" l="1"/>
  <c r="H29" i="2104" s="1"/>
  <c r="G51" i="2104" s="1"/>
  <c r="H15" i="2103"/>
  <c r="H29" i="2103" s="1"/>
  <c r="G51" i="2103" s="1"/>
  <c r="H15" i="2099"/>
  <c r="H29" i="2099" s="1"/>
  <c r="G51" i="2099" s="1"/>
  <c r="H15" i="2100"/>
  <c r="H29" i="2100" s="1"/>
  <c r="G51" i="2100" s="1"/>
  <c r="H15" i="2101"/>
  <c r="H29" i="2101" s="1"/>
  <c r="G51" i="2101" s="1"/>
  <c r="H15" i="2095"/>
  <c r="G51" i="2095" s="1"/>
  <c r="H15" i="2096"/>
  <c r="H29" i="2096" s="1"/>
  <c r="G51" i="2096" s="1"/>
  <c r="H15" i="2097"/>
  <c r="H29" i="2097" s="1"/>
  <c r="G51" i="2097" s="1"/>
  <c r="H15" i="2105"/>
  <c r="H29" i="2105" s="1"/>
  <c r="G51" i="2105" s="1"/>
  <c r="H15" i="2093"/>
  <c r="H29" i="2093" s="1"/>
  <c r="G51" i="2093" s="1"/>
  <c r="H15" i="2092"/>
  <c r="H29" i="2092" s="1"/>
  <c r="G51" i="2092" s="1"/>
  <c r="H15" i="2091"/>
  <c r="H29" i="2091" s="1"/>
  <c r="G51" i="2091" s="1"/>
  <c r="H15" i="2089"/>
  <c r="H29" i="2089" s="1"/>
  <c r="G51" i="2089" s="1"/>
  <c r="H15" i="2088"/>
  <c r="H29" i="2088" s="1"/>
  <c r="G51" i="2088" s="1"/>
  <c r="H15" i="2087"/>
  <c r="H29" i="2087" s="1"/>
  <c r="G51" i="2087" s="1"/>
  <c r="R52" i="2086"/>
  <c r="R51" i="2086"/>
  <c r="D50" i="2086"/>
  <c r="R49" i="2086"/>
  <c r="G49" i="2086"/>
  <c r="D49" i="2086"/>
  <c r="R48" i="2086"/>
  <c r="D48" i="2086"/>
  <c r="D46" i="2086"/>
  <c r="D45" i="2086"/>
  <c r="D44" i="2086"/>
  <c r="R42" i="2086"/>
  <c r="L6" i="2086" s="1"/>
  <c r="D6" i="2086" s="1"/>
  <c r="D42" i="2086"/>
  <c r="R41" i="2086"/>
  <c r="L7" i="2086" s="1"/>
  <c r="D7" i="2086" s="1"/>
  <c r="D41" i="2086"/>
  <c r="R40" i="2086"/>
  <c r="D40" i="2086"/>
  <c r="R39" i="2086"/>
  <c r="D39" i="2086"/>
  <c r="R38" i="2086"/>
  <c r="L9" i="2086" s="1"/>
  <c r="D9" i="2086" s="1"/>
  <c r="D38" i="2086"/>
  <c r="R37" i="2086"/>
  <c r="D37" i="2086"/>
  <c r="R36" i="2086"/>
  <c r="D36" i="2086"/>
  <c r="R35" i="2086"/>
  <c r="L19" i="2086" s="1"/>
  <c r="D19" i="2086" s="1"/>
  <c r="D35" i="2086"/>
  <c r="R34" i="2086"/>
  <c r="D34" i="2086"/>
  <c r="R33" i="2086"/>
  <c r="L23" i="2086" s="1"/>
  <c r="D23" i="2086" s="1"/>
  <c r="R32" i="2086"/>
  <c r="R31" i="2086"/>
  <c r="R30" i="2086"/>
  <c r="R29" i="2086"/>
  <c r="R28" i="2086"/>
  <c r="D28" i="2086"/>
  <c r="R27" i="2086"/>
  <c r="D27" i="2086"/>
  <c r="R26" i="2086"/>
  <c r="L26" i="2086"/>
  <c r="D26" i="2086"/>
  <c r="R25" i="2086"/>
  <c r="L25" i="2086"/>
  <c r="D25" i="2086"/>
  <c r="R24" i="2086"/>
  <c r="D24" i="2086"/>
  <c r="R23" i="2086"/>
  <c r="R22" i="2086"/>
  <c r="L22" i="2086"/>
  <c r="D22" i="2086" s="1"/>
  <c r="R21" i="2086"/>
  <c r="D21" i="2086"/>
  <c r="R20" i="2086"/>
  <c r="L20" i="2086"/>
  <c r="D20" i="2086"/>
  <c r="R19" i="2086"/>
  <c r="R18" i="2086"/>
  <c r="D18" i="2086"/>
  <c r="R17" i="2086"/>
  <c r="D17" i="2086"/>
  <c r="R16" i="2086"/>
  <c r="L16" i="2086"/>
  <c r="D16" i="2086" s="1"/>
  <c r="S15" i="2086"/>
  <c r="R15" i="2086"/>
  <c r="D15" i="2086"/>
  <c r="S14" i="2086"/>
  <c r="R14" i="2086"/>
  <c r="D14" i="2086"/>
  <c r="R13" i="2086"/>
  <c r="D13" i="2086"/>
  <c r="R12" i="2086"/>
  <c r="L12" i="2086"/>
  <c r="D12" i="2086"/>
  <c r="R11" i="2086"/>
  <c r="L11" i="2086"/>
  <c r="D11" i="2086"/>
  <c r="L10" i="2086"/>
  <c r="D10" i="2086" s="1"/>
  <c r="L8" i="2086"/>
  <c r="D8" i="2086"/>
  <c r="R6" i="2086"/>
  <c r="R5" i="2086"/>
  <c r="R4" i="2086"/>
  <c r="R52" i="2085"/>
  <c r="R51" i="2085"/>
  <c r="D50" i="2085"/>
  <c r="R49" i="2085"/>
  <c r="D49" i="2085"/>
  <c r="R48" i="2085"/>
  <c r="D48" i="2085"/>
  <c r="D46" i="2085"/>
  <c r="D45" i="2085"/>
  <c r="R44" i="2085"/>
  <c r="L28" i="2085" s="1"/>
  <c r="D28" i="2085" s="1"/>
  <c r="D44" i="2085"/>
  <c r="R42" i="2085"/>
  <c r="L6" i="2085" s="1"/>
  <c r="D6" i="2085" s="1"/>
  <c r="D42" i="2085"/>
  <c r="R41" i="2085"/>
  <c r="D41" i="2085"/>
  <c r="R40" i="2085"/>
  <c r="L8" i="2085" s="1"/>
  <c r="D8" i="2085" s="1"/>
  <c r="D40" i="2085"/>
  <c r="R39" i="2085"/>
  <c r="H39" i="2085"/>
  <c r="D39" i="2085"/>
  <c r="R38" i="2085"/>
  <c r="L9" i="2085" s="1"/>
  <c r="D9" i="2085" s="1"/>
  <c r="H38" i="2085"/>
  <c r="D38" i="2085"/>
  <c r="R37" i="2085"/>
  <c r="H37" i="2085"/>
  <c r="D37" i="2085"/>
  <c r="R36" i="2085"/>
  <c r="L10" i="2085" s="1"/>
  <c r="D10" i="2085" s="1"/>
  <c r="H36" i="2085"/>
  <c r="D36" i="2085"/>
  <c r="R35" i="2085"/>
  <c r="L18" i="2085" s="1"/>
  <c r="D18" i="2085" s="1"/>
  <c r="H35" i="2085"/>
  <c r="D35" i="2085"/>
  <c r="R34" i="2085"/>
  <c r="L12" i="2085" s="1"/>
  <c r="D12" i="2085" s="1"/>
  <c r="H34" i="2085"/>
  <c r="D34" i="2085"/>
  <c r="R33" i="2085"/>
  <c r="L19" i="2085" s="1"/>
  <c r="D19" i="2085" s="1"/>
  <c r="R32" i="2085"/>
  <c r="R31" i="2085"/>
  <c r="R30" i="2085"/>
  <c r="R29" i="2085"/>
  <c r="R28" i="2085"/>
  <c r="R27" i="2085"/>
  <c r="L27" i="2085"/>
  <c r="D27" i="2085" s="1"/>
  <c r="R26" i="2085"/>
  <c r="L26" i="2085"/>
  <c r="D26" i="2085" s="1"/>
  <c r="R25" i="2085"/>
  <c r="L25" i="2085"/>
  <c r="D25" i="2085" s="1"/>
  <c r="R24" i="2085"/>
  <c r="L24" i="2085"/>
  <c r="D24" i="2085" s="1"/>
  <c r="R23" i="2085"/>
  <c r="L23" i="2085"/>
  <c r="D23" i="2085" s="1"/>
  <c r="R22" i="2085"/>
  <c r="L20" i="2085" s="1"/>
  <c r="D20" i="2085" s="1"/>
  <c r="L22" i="2085"/>
  <c r="D22" i="2085" s="1"/>
  <c r="R21" i="2085"/>
  <c r="L17" i="2085" s="1"/>
  <c r="D17" i="2085" s="1"/>
  <c r="L21" i="2085"/>
  <c r="D21" i="2085" s="1"/>
  <c r="R20" i="2085"/>
  <c r="R19" i="2085"/>
  <c r="R18" i="2085"/>
  <c r="R17" i="2085"/>
  <c r="R16" i="2085"/>
  <c r="R15" i="2085"/>
  <c r="R14" i="2085"/>
  <c r="D14" i="2085"/>
  <c r="R13" i="2085"/>
  <c r="D13" i="2085"/>
  <c r="R12" i="2085"/>
  <c r="R11" i="2085"/>
  <c r="L11" i="2085"/>
  <c r="D11" i="2085" s="1"/>
  <c r="L7" i="2085"/>
  <c r="D7" i="2085" s="1"/>
  <c r="R6" i="2085"/>
  <c r="L16" i="2085" s="1"/>
  <c r="D16" i="2085" s="1"/>
  <c r="R5" i="2085"/>
  <c r="R4" i="2085"/>
  <c r="L15" i="2085" s="1"/>
  <c r="D15" i="2085" s="1"/>
  <c r="R52" i="2084"/>
  <c r="R51" i="2084"/>
  <c r="D50" i="2084"/>
  <c r="R49" i="2084"/>
  <c r="D49" i="2084"/>
  <c r="R48" i="2084"/>
  <c r="D48" i="2084"/>
  <c r="D46" i="2084"/>
  <c r="D45" i="2084"/>
  <c r="R44" i="2084"/>
  <c r="L28" i="2084" s="1"/>
  <c r="D28" i="2084" s="1"/>
  <c r="D44" i="2084"/>
  <c r="R42" i="2084"/>
  <c r="D42" i="2084"/>
  <c r="R41" i="2084"/>
  <c r="D41" i="2084"/>
  <c r="R40" i="2084"/>
  <c r="L8" i="2084" s="1"/>
  <c r="D8" i="2084" s="1"/>
  <c r="D40" i="2084"/>
  <c r="R39" i="2084"/>
  <c r="H39" i="2084"/>
  <c r="D39" i="2084"/>
  <c r="R38" i="2084"/>
  <c r="L9" i="2084" s="1"/>
  <c r="D9" i="2084" s="1"/>
  <c r="H38" i="2084"/>
  <c r="D38" i="2084"/>
  <c r="R37" i="2084"/>
  <c r="H37" i="2084"/>
  <c r="D37" i="2084"/>
  <c r="R36" i="2084"/>
  <c r="L10" i="2084" s="1"/>
  <c r="D10" i="2084" s="1"/>
  <c r="H36" i="2084"/>
  <c r="D36" i="2084"/>
  <c r="R35" i="2084"/>
  <c r="L18" i="2084" s="1"/>
  <c r="D18" i="2084" s="1"/>
  <c r="H35" i="2084"/>
  <c r="D35" i="2084"/>
  <c r="R34" i="2084"/>
  <c r="H34" i="2084"/>
  <c r="D34" i="2084"/>
  <c r="R33" i="2084"/>
  <c r="L19" i="2084" s="1"/>
  <c r="D19" i="2084" s="1"/>
  <c r="R32" i="2084"/>
  <c r="L11" i="2084" s="1"/>
  <c r="D11" i="2084" s="1"/>
  <c r="R31" i="2084"/>
  <c r="R30" i="2084"/>
  <c r="R29" i="2084"/>
  <c r="R28" i="2084"/>
  <c r="R27" i="2084"/>
  <c r="L27" i="2084"/>
  <c r="D27" i="2084" s="1"/>
  <c r="R26" i="2084"/>
  <c r="L26" i="2084"/>
  <c r="D26" i="2084" s="1"/>
  <c r="R25" i="2084"/>
  <c r="L25" i="2084"/>
  <c r="D25" i="2084"/>
  <c r="R24" i="2084"/>
  <c r="L24" i="2084"/>
  <c r="D24" i="2084"/>
  <c r="R23" i="2084"/>
  <c r="L23" i="2084"/>
  <c r="D23" i="2084" s="1"/>
  <c r="R22" i="2084"/>
  <c r="L20" i="2084" s="1"/>
  <c r="D20" i="2084" s="1"/>
  <c r="L22" i="2084"/>
  <c r="D22" i="2084"/>
  <c r="R21" i="2084"/>
  <c r="D21" i="2084"/>
  <c r="R20" i="2084"/>
  <c r="R19" i="2084"/>
  <c r="R18" i="2084"/>
  <c r="R17" i="2084"/>
  <c r="L17" i="2084"/>
  <c r="D17" i="2084"/>
  <c r="R16" i="2084"/>
  <c r="L16" i="2084"/>
  <c r="D16" i="2084" s="1"/>
  <c r="R15" i="2084"/>
  <c r="R14" i="2084"/>
  <c r="D14" i="2084"/>
  <c r="R13" i="2084"/>
  <c r="D13" i="2084"/>
  <c r="R12" i="2084"/>
  <c r="L12" i="2084"/>
  <c r="D12" i="2084" s="1"/>
  <c r="R11" i="2084"/>
  <c r="L7" i="2084"/>
  <c r="D7" i="2084" s="1"/>
  <c r="R6" i="2084"/>
  <c r="L6" i="2084"/>
  <c r="D6" i="2084" s="1"/>
  <c r="R5" i="2084"/>
  <c r="R4" i="2084"/>
  <c r="L15" i="2084" s="1"/>
  <c r="D15" i="2084" s="1"/>
  <c r="R52" i="2083"/>
  <c r="R51" i="2083"/>
  <c r="D50" i="2083"/>
  <c r="R49" i="2083"/>
  <c r="D49" i="2083"/>
  <c r="R48" i="2083"/>
  <c r="D48" i="2083"/>
  <c r="D46" i="2083"/>
  <c r="D45" i="2083"/>
  <c r="R44" i="2083"/>
  <c r="L28" i="2083" s="1"/>
  <c r="D28" i="2083" s="1"/>
  <c r="D44" i="2083"/>
  <c r="R42" i="2083"/>
  <c r="L6" i="2083" s="1"/>
  <c r="D6" i="2083" s="1"/>
  <c r="D42" i="2083"/>
  <c r="R41" i="2083"/>
  <c r="D41" i="2083"/>
  <c r="R40" i="2083"/>
  <c r="L8" i="2083" s="1"/>
  <c r="D8" i="2083" s="1"/>
  <c r="D40" i="2083"/>
  <c r="R39" i="2083"/>
  <c r="H39" i="2083"/>
  <c r="D39" i="2083"/>
  <c r="R38" i="2083"/>
  <c r="L9" i="2083" s="1"/>
  <c r="D9" i="2083" s="1"/>
  <c r="H38" i="2083"/>
  <c r="D38" i="2083"/>
  <c r="R37" i="2083"/>
  <c r="H37" i="2083"/>
  <c r="D37" i="2083"/>
  <c r="R36" i="2083"/>
  <c r="L10" i="2083" s="1"/>
  <c r="D10" i="2083" s="1"/>
  <c r="H36" i="2083"/>
  <c r="D36" i="2083"/>
  <c r="R35" i="2083"/>
  <c r="H35" i="2083"/>
  <c r="D35" i="2083"/>
  <c r="R34" i="2083"/>
  <c r="H34" i="2083"/>
  <c r="D34" i="2083"/>
  <c r="R33" i="2083"/>
  <c r="R32" i="2083"/>
  <c r="R31" i="2083"/>
  <c r="R30" i="2083"/>
  <c r="R29" i="2083"/>
  <c r="R28" i="2083"/>
  <c r="R27" i="2083"/>
  <c r="L27" i="2083"/>
  <c r="D27" i="2083"/>
  <c r="R26" i="2083"/>
  <c r="L26" i="2083"/>
  <c r="D26" i="2083"/>
  <c r="R25" i="2083"/>
  <c r="L25" i="2083"/>
  <c r="D25" i="2083" s="1"/>
  <c r="R24" i="2083"/>
  <c r="L24" i="2083"/>
  <c r="D24" i="2083" s="1"/>
  <c r="R23" i="2083"/>
  <c r="L23" i="2083"/>
  <c r="D23" i="2083" s="1"/>
  <c r="R22" i="2083"/>
  <c r="L20" i="2083" s="1"/>
  <c r="D20" i="2083" s="1"/>
  <c r="L22" i="2083"/>
  <c r="D22" i="2083" s="1"/>
  <c r="R21" i="2083"/>
  <c r="L17" i="2083" s="1"/>
  <c r="D17" i="2083" s="1"/>
  <c r="L21" i="2083"/>
  <c r="D21" i="2083" s="1"/>
  <c r="R20" i="2083"/>
  <c r="R19" i="2083"/>
  <c r="L19" i="2083"/>
  <c r="D19" i="2083"/>
  <c r="R18" i="2083"/>
  <c r="L18" i="2083"/>
  <c r="D18" i="2083" s="1"/>
  <c r="R17" i="2083"/>
  <c r="R16" i="2083"/>
  <c r="R15" i="2083"/>
  <c r="R14" i="2083"/>
  <c r="D14" i="2083"/>
  <c r="R13" i="2083"/>
  <c r="D13" i="2083"/>
  <c r="R12" i="2083"/>
  <c r="L12" i="2083"/>
  <c r="D12" i="2083" s="1"/>
  <c r="R11" i="2083"/>
  <c r="L11" i="2083"/>
  <c r="D11" i="2083" s="1"/>
  <c r="L7" i="2083"/>
  <c r="D7" i="2083"/>
  <c r="R6" i="2083"/>
  <c r="L16" i="2083" s="1"/>
  <c r="D16" i="2083" s="1"/>
  <c r="R5" i="2083"/>
  <c r="R4" i="2083"/>
  <c r="L15" i="2083" s="1"/>
  <c r="D15" i="2083" s="1"/>
  <c r="R52" i="2082"/>
  <c r="R51" i="2082"/>
  <c r="D50" i="2082"/>
  <c r="R49" i="2082"/>
  <c r="G49" i="2082"/>
  <c r="D49" i="2082"/>
  <c r="R48" i="2082"/>
  <c r="D48" i="2082"/>
  <c r="D46" i="2082"/>
  <c r="D45" i="2082"/>
  <c r="D44" i="2082"/>
  <c r="R42" i="2082"/>
  <c r="L6" i="2082" s="1"/>
  <c r="D6" i="2082" s="1"/>
  <c r="D42" i="2082"/>
  <c r="R41" i="2082"/>
  <c r="L7" i="2082" s="1"/>
  <c r="D7" i="2082" s="1"/>
  <c r="D41" i="2082"/>
  <c r="R40" i="2082"/>
  <c r="L8" i="2082" s="1"/>
  <c r="D8" i="2082" s="1"/>
  <c r="D40" i="2082"/>
  <c r="R39" i="2082"/>
  <c r="D39" i="2082"/>
  <c r="R38" i="2082"/>
  <c r="L9" i="2082" s="1"/>
  <c r="D9" i="2082" s="1"/>
  <c r="D38" i="2082"/>
  <c r="R37" i="2082"/>
  <c r="D37" i="2082"/>
  <c r="R36" i="2082"/>
  <c r="L10" i="2082" s="1"/>
  <c r="D10" i="2082" s="1"/>
  <c r="D36" i="2082"/>
  <c r="R35" i="2082"/>
  <c r="D35" i="2082"/>
  <c r="R34" i="2082"/>
  <c r="L12" i="2082" s="1"/>
  <c r="D12" i="2082" s="1"/>
  <c r="D34" i="2082"/>
  <c r="R33" i="2082"/>
  <c r="L23" i="2082" s="1"/>
  <c r="D23" i="2082" s="1"/>
  <c r="R32" i="2082"/>
  <c r="R31" i="2082"/>
  <c r="R30" i="2082"/>
  <c r="R29" i="2082"/>
  <c r="R28" i="2082"/>
  <c r="L16" i="2082" s="1"/>
  <c r="D16" i="2082" s="1"/>
  <c r="D28" i="2082"/>
  <c r="R27" i="2082"/>
  <c r="D27" i="2082"/>
  <c r="R26" i="2082"/>
  <c r="L26" i="2082"/>
  <c r="D26" i="2082"/>
  <c r="R25" i="2082"/>
  <c r="L25" i="2082"/>
  <c r="D25" i="2082"/>
  <c r="R24" i="2082"/>
  <c r="D24" i="2082"/>
  <c r="R23" i="2082"/>
  <c r="R22" i="2082"/>
  <c r="L22" i="2082"/>
  <c r="D22" i="2082" s="1"/>
  <c r="R21" i="2082"/>
  <c r="D21" i="2082"/>
  <c r="R20" i="2082"/>
  <c r="L20" i="2082"/>
  <c r="D20" i="2082" s="1"/>
  <c r="R19" i="2082"/>
  <c r="L19" i="2082"/>
  <c r="D19" i="2082" s="1"/>
  <c r="R18" i="2082"/>
  <c r="D18" i="2082"/>
  <c r="R17" i="2082"/>
  <c r="D17" i="2082"/>
  <c r="R16" i="2082"/>
  <c r="S15" i="2082"/>
  <c r="R15" i="2082"/>
  <c r="D15" i="2082"/>
  <c r="S14" i="2082"/>
  <c r="R14" i="2082"/>
  <c r="D14" i="2082"/>
  <c r="R13" i="2082"/>
  <c r="D13" i="2082"/>
  <c r="R12" i="2082"/>
  <c r="R11" i="2082"/>
  <c r="L11" i="2082"/>
  <c r="D11" i="2082"/>
  <c r="R6" i="2082"/>
  <c r="R5" i="2082"/>
  <c r="R4" i="2082"/>
  <c r="R52" i="2081"/>
  <c r="R51" i="2081"/>
  <c r="D50" i="2081"/>
  <c r="R49" i="2081"/>
  <c r="D49" i="2081"/>
  <c r="R48" i="2081"/>
  <c r="D48" i="2081"/>
  <c r="D46" i="2081"/>
  <c r="D45" i="2081"/>
  <c r="R44" i="2081"/>
  <c r="L28" i="2081" s="1"/>
  <c r="D28" i="2081" s="1"/>
  <c r="D44" i="2081"/>
  <c r="R42" i="2081"/>
  <c r="D42" i="2081"/>
  <c r="R41" i="2081"/>
  <c r="D41" i="2081"/>
  <c r="R40" i="2081"/>
  <c r="L8" i="2081" s="1"/>
  <c r="D8" i="2081" s="1"/>
  <c r="D40" i="2081"/>
  <c r="R39" i="2081"/>
  <c r="H39" i="2081"/>
  <c r="D39" i="2081"/>
  <c r="R38" i="2081"/>
  <c r="H38" i="2081"/>
  <c r="D38" i="2081"/>
  <c r="R37" i="2081"/>
  <c r="H37" i="2081"/>
  <c r="D37" i="2081"/>
  <c r="R36" i="2081"/>
  <c r="L10" i="2081" s="1"/>
  <c r="D10" i="2081" s="1"/>
  <c r="H36" i="2081"/>
  <c r="D36" i="2081"/>
  <c r="R35" i="2081"/>
  <c r="L18" i="2081" s="1"/>
  <c r="D18" i="2081" s="1"/>
  <c r="H35" i="2081"/>
  <c r="D35" i="2081"/>
  <c r="R34" i="2081"/>
  <c r="L12" i="2081" s="1"/>
  <c r="D12" i="2081" s="1"/>
  <c r="H34" i="2081"/>
  <c r="D34" i="2081"/>
  <c r="R33" i="2081"/>
  <c r="L19" i="2081" s="1"/>
  <c r="D19" i="2081" s="1"/>
  <c r="R32" i="2081"/>
  <c r="R31" i="2081"/>
  <c r="R30" i="2081"/>
  <c r="R29" i="2081"/>
  <c r="R28" i="2081"/>
  <c r="R27" i="2081"/>
  <c r="L27" i="2081"/>
  <c r="D27" i="2081"/>
  <c r="R26" i="2081"/>
  <c r="L26" i="2081"/>
  <c r="D26" i="2081"/>
  <c r="R25" i="2081"/>
  <c r="L25" i="2081"/>
  <c r="D25" i="2081"/>
  <c r="R24" i="2081"/>
  <c r="L24" i="2081"/>
  <c r="D24" i="2081" s="1"/>
  <c r="R23" i="2081"/>
  <c r="L23" i="2081"/>
  <c r="D23" i="2081" s="1"/>
  <c r="R22" i="2081"/>
  <c r="L20" i="2081" s="1"/>
  <c r="D20" i="2081" s="1"/>
  <c r="L22" i="2081"/>
  <c r="D22" i="2081" s="1"/>
  <c r="R21" i="2081"/>
  <c r="L17" i="2081" s="1"/>
  <c r="D17" i="2081" s="1"/>
  <c r="L21" i="2081"/>
  <c r="D21" i="2081"/>
  <c r="R20" i="2081"/>
  <c r="R19" i="2081"/>
  <c r="R18" i="2081"/>
  <c r="R17" i="2081"/>
  <c r="R16" i="2081"/>
  <c r="R15" i="2081"/>
  <c r="R14" i="2081"/>
  <c r="D14" i="2081"/>
  <c r="R13" i="2081"/>
  <c r="D13" i="2081"/>
  <c r="R12" i="2081"/>
  <c r="R11" i="2081"/>
  <c r="L11" i="2081"/>
  <c r="D11" i="2081"/>
  <c r="L9" i="2081"/>
  <c r="D9" i="2081" s="1"/>
  <c r="L7" i="2081"/>
  <c r="D7" i="2081" s="1"/>
  <c r="R6" i="2081"/>
  <c r="L16" i="2081" s="1"/>
  <c r="D16" i="2081" s="1"/>
  <c r="L6" i="2081"/>
  <c r="D6" i="2081" s="1"/>
  <c r="R5" i="2081"/>
  <c r="R4" i="2081"/>
  <c r="L15" i="2081" s="1"/>
  <c r="D15" i="2081" s="1"/>
  <c r="R52" i="2080"/>
  <c r="R51" i="2080"/>
  <c r="D50" i="2080"/>
  <c r="R49" i="2080"/>
  <c r="D49" i="2080"/>
  <c r="R48" i="2080"/>
  <c r="D48" i="2080"/>
  <c r="D46" i="2080"/>
  <c r="D45" i="2080"/>
  <c r="R44" i="2080"/>
  <c r="L28" i="2080" s="1"/>
  <c r="D28" i="2080" s="1"/>
  <c r="D44" i="2080"/>
  <c r="R42" i="2080"/>
  <c r="L6" i="2080" s="1"/>
  <c r="D6" i="2080" s="1"/>
  <c r="D42" i="2080"/>
  <c r="R41" i="2080"/>
  <c r="L7" i="2080" s="1"/>
  <c r="D7" i="2080" s="1"/>
  <c r="D41" i="2080"/>
  <c r="R40" i="2080"/>
  <c r="L8" i="2080" s="1"/>
  <c r="D8" i="2080" s="1"/>
  <c r="D40" i="2080"/>
  <c r="R39" i="2080"/>
  <c r="H39" i="2080"/>
  <c r="D39" i="2080"/>
  <c r="R38" i="2080"/>
  <c r="H38" i="2080"/>
  <c r="D38" i="2080"/>
  <c r="R37" i="2080"/>
  <c r="H37" i="2080"/>
  <c r="D37" i="2080"/>
  <c r="R36" i="2080"/>
  <c r="L10" i="2080" s="1"/>
  <c r="D10" i="2080" s="1"/>
  <c r="H36" i="2080"/>
  <c r="D36" i="2080"/>
  <c r="R35" i="2080"/>
  <c r="H35" i="2080"/>
  <c r="D35" i="2080"/>
  <c r="R34" i="2080"/>
  <c r="L12" i="2080" s="1"/>
  <c r="D12" i="2080" s="1"/>
  <c r="H34" i="2080"/>
  <c r="D34" i="2080"/>
  <c r="R33" i="2080"/>
  <c r="L19" i="2080" s="1"/>
  <c r="D19" i="2080" s="1"/>
  <c r="R32" i="2080"/>
  <c r="L11" i="2080" s="1"/>
  <c r="D11" i="2080" s="1"/>
  <c r="R31" i="2080"/>
  <c r="R30" i="2080"/>
  <c r="R29" i="2080"/>
  <c r="R28" i="2080"/>
  <c r="R27" i="2080"/>
  <c r="L27" i="2080"/>
  <c r="D27" i="2080" s="1"/>
  <c r="R26" i="2080"/>
  <c r="L26" i="2080"/>
  <c r="D26" i="2080" s="1"/>
  <c r="R25" i="2080"/>
  <c r="L25" i="2080"/>
  <c r="D25" i="2080" s="1"/>
  <c r="R24" i="2080"/>
  <c r="L24" i="2080"/>
  <c r="D24" i="2080" s="1"/>
  <c r="R23" i="2080"/>
  <c r="L23" i="2080"/>
  <c r="D23" i="2080" s="1"/>
  <c r="R22" i="2080"/>
  <c r="L20" i="2080" s="1"/>
  <c r="D20" i="2080" s="1"/>
  <c r="L22" i="2080"/>
  <c r="D22" i="2080"/>
  <c r="R21" i="2080"/>
  <c r="D21" i="2080"/>
  <c r="R20" i="2080"/>
  <c r="R19" i="2080"/>
  <c r="R18" i="2080"/>
  <c r="L18" i="2080"/>
  <c r="D18" i="2080" s="1"/>
  <c r="R17" i="2080"/>
  <c r="L17" i="2080"/>
  <c r="D17" i="2080" s="1"/>
  <c r="R16" i="2080"/>
  <c r="R15" i="2080"/>
  <c r="R14" i="2080"/>
  <c r="D14" i="2080"/>
  <c r="R13" i="2080"/>
  <c r="D13" i="2080"/>
  <c r="R12" i="2080"/>
  <c r="R11" i="2080"/>
  <c r="L9" i="2080"/>
  <c r="D9" i="2080"/>
  <c r="R6" i="2080"/>
  <c r="L16" i="2080" s="1"/>
  <c r="D16" i="2080" s="1"/>
  <c r="R5" i="2080"/>
  <c r="R4" i="2080"/>
  <c r="L15" i="2080" s="1"/>
  <c r="D15" i="2080" s="1"/>
  <c r="R52" i="2079"/>
  <c r="R51" i="2079"/>
  <c r="D50" i="2079"/>
  <c r="R49" i="2079"/>
  <c r="D49" i="2079"/>
  <c r="R48" i="2079"/>
  <c r="D48" i="2079"/>
  <c r="D46" i="2079"/>
  <c r="D45" i="2079"/>
  <c r="R44" i="2079"/>
  <c r="D44" i="2079"/>
  <c r="R42" i="2079"/>
  <c r="L6" i="2079" s="1"/>
  <c r="D6" i="2079" s="1"/>
  <c r="D42" i="2079"/>
  <c r="R41" i="2079"/>
  <c r="D41" i="2079"/>
  <c r="R40" i="2079"/>
  <c r="L8" i="2079" s="1"/>
  <c r="D8" i="2079" s="1"/>
  <c r="D40" i="2079"/>
  <c r="R39" i="2079"/>
  <c r="H39" i="2079"/>
  <c r="D39" i="2079"/>
  <c r="R38" i="2079"/>
  <c r="L9" i="2079" s="1"/>
  <c r="D9" i="2079" s="1"/>
  <c r="H38" i="2079"/>
  <c r="D38" i="2079"/>
  <c r="R37" i="2079"/>
  <c r="H37" i="2079"/>
  <c r="D37" i="2079"/>
  <c r="R36" i="2079"/>
  <c r="H36" i="2079"/>
  <c r="D36" i="2079"/>
  <c r="R35" i="2079"/>
  <c r="L18" i="2079" s="1"/>
  <c r="D18" i="2079" s="1"/>
  <c r="H35" i="2079"/>
  <c r="D35" i="2079"/>
  <c r="R34" i="2079"/>
  <c r="L12" i="2079" s="1"/>
  <c r="D12" i="2079" s="1"/>
  <c r="H34" i="2079"/>
  <c r="D34" i="2079"/>
  <c r="R33" i="2079"/>
  <c r="L19" i="2079" s="1"/>
  <c r="D19" i="2079" s="1"/>
  <c r="R32" i="2079"/>
  <c r="L11" i="2079" s="1"/>
  <c r="D11" i="2079" s="1"/>
  <c r="R31" i="2079"/>
  <c r="R30" i="2079"/>
  <c r="R29" i="2079"/>
  <c r="R28" i="2079"/>
  <c r="L28" i="2079"/>
  <c r="D28" i="2079"/>
  <c r="R27" i="2079"/>
  <c r="L27" i="2079"/>
  <c r="D27" i="2079" s="1"/>
  <c r="R26" i="2079"/>
  <c r="L26" i="2079"/>
  <c r="D26" i="2079" s="1"/>
  <c r="R25" i="2079"/>
  <c r="L25" i="2079"/>
  <c r="D25" i="2079"/>
  <c r="R24" i="2079"/>
  <c r="L24" i="2079"/>
  <c r="D24" i="2079"/>
  <c r="R23" i="2079"/>
  <c r="L23" i="2079"/>
  <c r="D23" i="2079" s="1"/>
  <c r="R22" i="2079"/>
  <c r="L22" i="2079"/>
  <c r="D22" i="2079"/>
  <c r="R21" i="2079"/>
  <c r="L17" i="2079" s="1"/>
  <c r="D17" i="2079" s="1"/>
  <c r="L21" i="2079"/>
  <c r="D21" i="2079" s="1"/>
  <c r="R20" i="2079"/>
  <c r="L20" i="2079"/>
  <c r="D20" i="2079" s="1"/>
  <c r="R19" i="2079"/>
  <c r="R18" i="2079"/>
  <c r="R17" i="2079"/>
  <c r="R16" i="2079"/>
  <c r="L16" i="2079"/>
  <c r="D16" i="2079"/>
  <c r="R15" i="2079"/>
  <c r="L15" i="2079"/>
  <c r="D15" i="2079"/>
  <c r="R14" i="2079"/>
  <c r="D14" i="2079"/>
  <c r="R13" i="2079"/>
  <c r="D13" i="2079"/>
  <c r="R12" i="2079"/>
  <c r="R11" i="2079"/>
  <c r="L10" i="2079"/>
  <c r="D10" i="2079" s="1"/>
  <c r="L7" i="2079"/>
  <c r="D7" i="2079"/>
  <c r="R6" i="2079"/>
  <c r="R5" i="2079"/>
  <c r="R4" i="2079"/>
  <c r="R52" i="2078"/>
  <c r="R51" i="2078"/>
  <c r="D50" i="2078"/>
  <c r="R49" i="2078"/>
  <c r="G49" i="2078"/>
  <c r="D49" i="2078"/>
  <c r="R48" i="2078"/>
  <c r="D48" i="2078"/>
  <c r="D46" i="2078"/>
  <c r="D45" i="2078"/>
  <c r="D44" i="2078"/>
  <c r="R42" i="2078"/>
  <c r="D42" i="2078"/>
  <c r="R41" i="2078"/>
  <c r="L7" i="2078" s="1"/>
  <c r="D7" i="2078" s="1"/>
  <c r="D41" i="2078"/>
  <c r="R40" i="2078"/>
  <c r="L8" i="2078" s="1"/>
  <c r="D8" i="2078" s="1"/>
  <c r="D40" i="2078"/>
  <c r="R39" i="2078"/>
  <c r="D39" i="2078"/>
  <c r="R38" i="2078"/>
  <c r="L9" i="2078" s="1"/>
  <c r="D9" i="2078" s="1"/>
  <c r="D38" i="2078"/>
  <c r="R37" i="2078"/>
  <c r="D37" i="2078"/>
  <c r="R36" i="2078"/>
  <c r="L10" i="2078" s="1"/>
  <c r="D10" i="2078" s="1"/>
  <c r="D36" i="2078"/>
  <c r="R35" i="2078"/>
  <c r="L19" i="2078" s="1"/>
  <c r="D19" i="2078" s="1"/>
  <c r="D35" i="2078"/>
  <c r="R34" i="2078"/>
  <c r="D34" i="2078"/>
  <c r="R33" i="2078"/>
  <c r="R32" i="2078"/>
  <c r="L11" i="2078" s="1"/>
  <c r="D11" i="2078" s="1"/>
  <c r="R31" i="2078"/>
  <c r="R30" i="2078"/>
  <c r="R29" i="2078"/>
  <c r="R28" i="2078"/>
  <c r="L16" i="2078" s="1"/>
  <c r="D16" i="2078" s="1"/>
  <c r="D28" i="2078"/>
  <c r="R27" i="2078"/>
  <c r="D27" i="2078"/>
  <c r="R26" i="2078"/>
  <c r="L26" i="2078"/>
  <c r="D26" i="2078" s="1"/>
  <c r="R25" i="2078"/>
  <c r="L25" i="2078"/>
  <c r="D25" i="2078"/>
  <c r="R24" i="2078"/>
  <c r="D24" i="2078"/>
  <c r="R23" i="2078"/>
  <c r="L23" i="2078"/>
  <c r="D23" i="2078" s="1"/>
  <c r="R22" i="2078"/>
  <c r="L22" i="2078"/>
  <c r="D22" i="2078"/>
  <c r="R21" i="2078"/>
  <c r="D21" i="2078"/>
  <c r="R20" i="2078"/>
  <c r="L20" i="2078"/>
  <c r="D20" i="2078" s="1"/>
  <c r="R19" i="2078"/>
  <c r="R18" i="2078"/>
  <c r="D18" i="2078"/>
  <c r="R17" i="2078"/>
  <c r="D17" i="2078"/>
  <c r="R16" i="2078"/>
  <c r="S15" i="2078"/>
  <c r="R15" i="2078"/>
  <c r="D15" i="2078"/>
  <c r="S14" i="2078"/>
  <c r="R14" i="2078"/>
  <c r="D14" i="2078"/>
  <c r="R13" i="2078"/>
  <c r="D13" i="2078"/>
  <c r="R12" i="2078"/>
  <c r="L12" i="2078"/>
  <c r="D12" i="2078" s="1"/>
  <c r="R11" i="2078"/>
  <c r="R6" i="2078"/>
  <c r="L6" i="2078"/>
  <c r="D6" i="2078"/>
  <c r="R5" i="2078"/>
  <c r="R4" i="2078"/>
  <c r="R52" i="2077"/>
  <c r="R51" i="2077"/>
  <c r="D50" i="2077"/>
  <c r="R49" i="2077"/>
  <c r="D49" i="2077"/>
  <c r="R48" i="2077"/>
  <c r="D48" i="2077"/>
  <c r="D46" i="2077"/>
  <c r="D45" i="2077"/>
  <c r="R44" i="2077"/>
  <c r="L28" i="2077" s="1"/>
  <c r="D28" i="2077" s="1"/>
  <c r="D44" i="2077"/>
  <c r="R42" i="2077"/>
  <c r="L6" i="2077" s="1"/>
  <c r="D6" i="2077" s="1"/>
  <c r="D42" i="2077"/>
  <c r="R41" i="2077"/>
  <c r="D41" i="2077"/>
  <c r="R40" i="2077"/>
  <c r="L8" i="2077" s="1"/>
  <c r="D8" i="2077" s="1"/>
  <c r="D40" i="2077"/>
  <c r="R39" i="2077"/>
  <c r="H39" i="2077"/>
  <c r="D39" i="2077"/>
  <c r="R38" i="2077"/>
  <c r="L9" i="2077" s="1"/>
  <c r="D9" i="2077" s="1"/>
  <c r="H38" i="2077"/>
  <c r="D38" i="2077"/>
  <c r="R37" i="2077"/>
  <c r="H37" i="2077"/>
  <c r="D37" i="2077"/>
  <c r="R36" i="2077"/>
  <c r="L10" i="2077" s="1"/>
  <c r="D10" i="2077" s="1"/>
  <c r="H36" i="2077"/>
  <c r="D36" i="2077"/>
  <c r="R35" i="2077"/>
  <c r="L18" i="2077" s="1"/>
  <c r="D18" i="2077" s="1"/>
  <c r="H35" i="2077"/>
  <c r="D35" i="2077"/>
  <c r="R34" i="2077"/>
  <c r="H34" i="2077"/>
  <c r="D34" i="2077"/>
  <c r="R33" i="2077"/>
  <c r="R32" i="2077"/>
  <c r="L11" i="2077" s="1"/>
  <c r="D11" i="2077" s="1"/>
  <c r="R31" i="2077"/>
  <c r="R30" i="2077"/>
  <c r="R29" i="2077"/>
  <c r="R28" i="2077"/>
  <c r="R27" i="2077"/>
  <c r="L27" i="2077"/>
  <c r="D27" i="2077"/>
  <c r="R26" i="2077"/>
  <c r="L26" i="2077"/>
  <c r="D26" i="2077" s="1"/>
  <c r="R25" i="2077"/>
  <c r="L25" i="2077"/>
  <c r="D25" i="2077" s="1"/>
  <c r="R24" i="2077"/>
  <c r="L24" i="2077"/>
  <c r="D24" i="2077" s="1"/>
  <c r="R23" i="2077"/>
  <c r="L23" i="2077"/>
  <c r="D23" i="2077"/>
  <c r="R22" i="2077"/>
  <c r="L20" i="2077" s="1"/>
  <c r="D20" i="2077" s="1"/>
  <c r="L22" i="2077"/>
  <c r="D22" i="2077" s="1"/>
  <c r="R21" i="2077"/>
  <c r="L17" i="2077" s="1"/>
  <c r="D17" i="2077" s="1"/>
  <c r="L21" i="2077"/>
  <c r="D21" i="2077" s="1"/>
  <c r="R20" i="2077"/>
  <c r="R19" i="2077"/>
  <c r="L19" i="2077"/>
  <c r="D19" i="2077" s="1"/>
  <c r="R18" i="2077"/>
  <c r="R17" i="2077"/>
  <c r="R16" i="2077"/>
  <c r="R15" i="2077"/>
  <c r="R14" i="2077"/>
  <c r="D14" i="2077"/>
  <c r="R13" i="2077"/>
  <c r="D13" i="2077"/>
  <c r="R12" i="2077"/>
  <c r="L12" i="2077"/>
  <c r="D12" i="2077" s="1"/>
  <c r="R11" i="2077"/>
  <c r="L7" i="2077"/>
  <c r="D7" i="2077" s="1"/>
  <c r="R6" i="2077"/>
  <c r="L16" i="2077" s="1"/>
  <c r="D16" i="2077" s="1"/>
  <c r="R5" i="2077"/>
  <c r="R4" i="2077"/>
  <c r="L15" i="2077" s="1"/>
  <c r="D15" i="2077" s="1"/>
  <c r="D54" i="2083" l="1"/>
  <c r="H14" i="2083" s="1"/>
  <c r="D54" i="2078"/>
  <c r="H14" i="2078" s="1"/>
  <c r="D54" i="2086"/>
  <c r="H14" i="2086" s="1"/>
  <c r="D54" i="2079"/>
  <c r="H14" i="2079" s="1"/>
  <c r="D54" i="2082"/>
  <c r="H14" i="2082" s="1"/>
  <c r="G49" i="2085"/>
  <c r="D54" i="2085"/>
  <c r="H14" i="2085" s="1"/>
  <c r="G49" i="2084"/>
  <c r="D54" i="2084"/>
  <c r="H14" i="2084" s="1"/>
  <c r="G49" i="2081"/>
  <c r="G49" i="2080"/>
  <c r="D54" i="2081"/>
  <c r="H14" i="2081" s="1"/>
  <c r="G49" i="2079"/>
  <c r="D29" i="2086"/>
  <c r="H13" i="2086" s="1"/>
  <c r="G49" i="2083"/>
  <c r="D29" i="2085"/>
  <c r="H13" i="2085" s="1"/>
  <c r="D29" i="2084"/>
  <c r="H13" i="2084" s="1"/>
  <c r="D29" i="2083"/>
  <c r="H13" i="2083" s="1"/>
  <c r="D29" i="2082"/>
  <c r="H13" i="2082" s="1"/>
  <c r="H15" i="2082" s="1"/>
  <c r="H29" i="2082" s="1"/>
  <c r="G51" i="2082" s="1"/>
  <c r="D54" i="2080"/>
  <c r="H14" i="2080" s="1"/>
  <c r="D29" i="2081"/>
  <c r="H13" i="2081" s="1"/>
  <c r="D29" i="2080"/>
  <c r="H13" i="2080" s="1"/>
  <c r="D29" i="2079"/>
  <c r="H13" i="2079" s="1"/>
  <c r="H15" i="2079" s="1"/>
  <c r="H29" i="2079" s="1"/>
  <c r="D29" i="2078"/>
  <c r="H13" i="2078" s="1"/>
  <c r="H15" i="2078" s="1"/>
  <c r="H29" i="2078" s="1"/>
  <c r="G51" i="2078"/>
  <c r="D54" i="2077"/>
  <c r="H14" i="2077" s="1"/>
  <c r="G49" i="2077"/>
  <c r="D29" i="2077"/>
  <c r="H13" i="2077" s="1"/>
  <c r="H15" i="2077" s="1"/>
  <c r="H29" i="2077" s="1"/>
  <c r="R52" i="2076"/>
  <c r="R51" i="2076"/>
  <c r="D50" i="2076"/>
  <c r="R49" i="2076"/>
  <c r="D49" i="2076"/>
  <c r="R48" i="2076"/>
  <c r="D48" i="2076"/>
  <c r="D46" i="2076"/>
  <c r="D45" i="2076"/>
  <c r="R44" i="2076"/>
  <c r="L28" i="2076" s="1"/>
  <c r="D28" i="2076" s="1"/>
  <c r="D44" i="2076"/>
  <c r="R42" i="2076"/>
  <c r="L6" i="2076" s="1"/>
  <c r="D6" i="2076" s="1"/>
  <c r="D42" i="2076"/>
  <c r="R41" i="2076"/>
  <c r="L7" i="2076" s="1"/>
  <c r="D7" i="2076" s="1"/>
  <c r="D41" i="2076"/>
  <c r="R40" i="2076"/>
  <c r="L8" i="2076" s="1"/>
  <c r="D8" i="2076" s="1"/>
  <c r="D40" i="2076"/>
  <c r="R39" i="2076"/>
  <c r="H39" i="2076"/>
  <c r="D39" i="2076"/>
  <c r="R38" i="2076"/>
  <c r="L9" i="2076" s="1"/>
  <c r="D9" i="2076" s="1"/>
  <c r="H38" i="2076"/>
  <c r="D38" i="2076"/>
  <c r="R37" i="2076"/>
  <c r="H37" i="2076"/>
  <c r="D37" i="2076"/>
  <c r="R36" i="2076"/>
  <c r="L10" i="2076" s="1"/>
  <c r="D10" i="2076" s="1"/>
  <c r="H36" i="2076"/>
  <c r="D36" i="2076"/>
  <c r="R35" i="2076"/>
  <c r="L18" i="2076" s="1"/>
  <c r="D18" i="2076" s="1"/>
  <c r="H35" i="2076"/>
  <c r="D35" i="2076"/>
  <c r="R34" i="2076"/>
  <c r="L12" i="2076" s="1"/>
  <c r="D12" i="2076" s="1"/>
  <c r="H34" i="2076"/>
  <c r="D34" i="2076"/>
  <c r="R33" i="2076"/>
  <c r="R32" i="2076"/>
  <c r="R31" i="2076"/>
  <c r="R30" i="2076"/>
  <c r="R29" i="2076"/>
  <c r="R28" i="2076"/>
  <c r="R27" i="2076"/>
  <c r="L27" i="2076"/>
  <c r="D27" i="2076"/>
  <c r="R26" i="2076"/>
  <c r="L26" i="2076"/>
  <c r="D26" i="2076"/>
  <c r="R25" i="2076"/>
  <c r="L25" i="2076"/>
  <c r="D25" i="2076"/>
  <c r="R24" i="2076"/>
  <c r="L24" i="2076"/>
  <c r="D24" i="2076" s="1"/>
  <c r="R23" i="2076"/>
  <c r="L23" i="2076"/>
  <c r="D23" i="2076" s="1"/>
  <c r="R22" i="2076"/>
  <c r="L20" i="2076" s="1"/>
  <c r="D20" i="2076" s="1"/>
  <c r="L22" i="2076"/>
  <c r="D22" i="2076"/>
  <c r="R21" i="2076"/>
  <c r="L17" i="2076" s="1"/>
  <c r="D17" i="2076" s="1"/>
  <c r="L21" i="2076"/>
  <c r="D21" i="2076" s="1"/>
  <c r="R20" i="2076"/>
  <c r="R19" i="2076"/>
  <c r="L19" i="2076"/>
  <c r="D19" i="2076"/>
  <c r="R18" i="2076"/>
  <c r="R17" i="2076"/>
  <c r="R16" i="2076"/>
  <c r="R15" i="2076"/>
  <c r="R14" i="2076"/>
  <c r="D14" i="2076"/>
  <c r="R13" i="2076"/>
  <c r="D13" i="2076"/>
  <c r="R12" i="2076"/>
  <c r="R11" i="2076"/>
  <c r="L11" i="2076"/>
  <c r="D11" i="2076" s="1"/>
  <c r="R6" i="2076"/>
  <c r="L16" i="2076" s="1"/>
  <c r="D16" i="2076" s="1"/>
  <c r="R5" i="2076"/>
  <c r="R4" i="2076"/>
  <c r="L15" i="2076" s="1"/>
  <c r="D15" i="2076" s="1"/>
  <c r="R52" i="2075"/>
  <c r="R51" i="2075"/>
  <c r="D50" i="2075"/>
  <c r="R49" i="2075"/>
  <c r="D49" i="2075"/>
  <c r="R48" i="2075"/>
  <c r="D48" i="2075"/>
  <c r="D46" i="2075"/>
  <c r="D45" i="2075"/>
  <c r="R44" i="2075"/>
  <c r="L28" i="2075" s="1"/>
  <c r="D28" i="2075" s="1"/>
  <c r="D44" i="2075"/>
  <c r="R42" i="2075"/>
  <c r="D42" i="2075"/>
  <c r="R41" i="2075"/>
  <c r="L7" i="2075" s="1"/>
  <c r="D7" i="2075" s="1"/>
  <c r="D41" i="2075"/>
  <c r="R40" i="2075"/>
  <c r="L8" i="2075" s="1"/>
  <c r="D8" i="2075" s="1"/>
  <c r="D40" i="2075"/>
  <c r="R39" i="2075"/>
  <c r="H39" i="2075"/>
  <c r="D39" i="2075"/>
  <c r="R38" i="2075"/>
  <c r="L9" i="2075" s="1"/>
  <c r="D9" i="2075" s="1"/>
  <c r="H38" i="2075"/>
  <c r="D38" i="2075"/>
  <c r="R37" i="2075"/>
  <c r="H37" i="2075"/>
  <c r="D37" i="2075"/>
  <c r="R36" i="2075"/>
  <c r="H36" i="2075"/>
  <c r="D36" i="2075"/>
  <c r="R35" i="2075"/>
  <c r="H35" i="2075"/>
  <c r="D35" i="2075"/>
  <c r="R34" i="2075"/>
  <c r="L12" i="2075" s="1"/>
  <c r="D12" i="2075" s="1"/>
  <c r="H34" i="2075"/>
  <c r="D34" i="2075"/>
  <c r="R33" i="2075"/>
  <c r="L19" i="2075" s="1"/>
  <c r="D19" i="2075" s="1"/>
  <c r="R32" i="2075"/>
  <c r="R31" i="2075"/>
  <c r="R30" i="2075"/>
  <c r="R29" i="2075"/>
  <c r="R28" i="2075"/>
  <c r="R27" i="2075"/>
  <c r="L27" i="2075"/>
  <c r="D27" i="2075"/>
  <c r="R26" i="2075"/>
  <c r="L26" i="2075"/>
  <c r="D26" i="2075"/>
  <c r="R25" i="2075"/>
  <c r="L25" i="2075"/>
  <c r="D25" i="2075"/>
  <c r="R24" i="2075"/>
  <c r="L24" i="2075"/>
  <c r="D24" i="2075" s="1"/>
  <c r="R23" i="2075"/>
  <c r="L23" i="2075"/>
  <c r="D23" i="2075"/>
  <c r="R22" i="2075"/>
  <c r="L20" i="2075" s="1"/>
  <c r="D20" i="2075" s="1"/>
  <c r="L22" i="2075"/>
  <c r="D22" i="2075"/>
  <c r="R21" i="2075"/>
  <c r="L17" i="2075" s="1"/>
  <c r="D17" i="2075" s="1"/>
  <c r="D21" i="2075"/>
  <c r="R20" i="2075"/>
  <c r="R19" i="2075"/>
  <c r="R18" i="2075"/>
  <c r="L18" i="2075"/>
  <c r="D18" i="2075" s="1"/>
  <c r="R17" i="2075"/>
  <c r="R16" i="2075"/>
  <c r="L16" i="2075"/>
  <c r="D16" i="2075" s="1"/>
  <c r="R15" i="2075"/>
  <c r="R14" i="2075"/>
  <c r="D14" i="2075"/>
  <c r="R13" i="2075"/>
  <c r="D13" i="2075"/>
  <c r="R12" i="2075"/>
  <c r="R11" i="2075"/>
  <c r="L11" i="2075"/>
  <c r="D11" i="2075"/>
  <c r="L10" i="2075"/>
  <c r="D10" i="2075" s="1"/>
  <c r="R6" i="2075"/>
  <c r="L6" i="2075"/>
  <c r="D6" i="2075" s="1"/>
  <c r="R5" i="2075"/>
  <c r="R4" i="2075"/>
  <c r="L15" i="2075" s="1"/>
  <c r="D15" i="2075" s="1"/>
  <c r="H15" i="2083" l="1"/>
  <c r="H29" i="2083" s="1"/>
  <c r="G51" i="2083" s="1"/>
  <c r="D29" i="2076"/>
  <c r="H13" i="2076" s="1"/>
  <c r="D54" i="2076"/>
  <c r="H14" i="2076" s="1"/>
  <c r="H15" i="2081"/>
  <c r="H29" i="2081" s="1"/>
  <c r="H15" i="2084"/>
  <c r="H29" i="2084" s="1"/>
  <c r="G49" i="2076"/>
  <c r="H15" i="2086"/>
  <c r="H29" i="2086" s="1"/>
  <c r="G51" i="2086" s="1"/>
  <c r="H15" i="2085"/>
  <c r="H29" i="2085" s="1"/>
  <c r="G51" i="2085" s="1"/>
  <c r="G51" i="2084"/>
  <c r="G51" i="2081"/>
  <c r="H15" i="2080"/>
  <c r="H29" i="2080" s="1"/>
  <c r="G51" i="2080" s="1"/>
  <c r="G51" i="2079"/>
  <c r="G51" i="2077"/>
  <c r="G49" i="2075"/>
  <c r="D54" i="2075"/>
  <c r="H14" i="2075" s="1"/>
  <c r="D29" i="2075"/>
  <c r="H13" i="2075" s="1"/>
  <c r="H16" i="2071"/>
  <c r="H15" i="2076" l="1"/>
  <c r="H29" i="2076" s="1"/>
  <c r="G51" i="2076" s="1"/>
  <c r="H15" i="2075"/>
  <c r="H29" i="2075" s="1"/>
  <c r="G51" i="2075" s="1"/>
  <c r="H16" i="2059"/>
  <c r="H16" i="2053" l="1"/>
  <c r="L21" i="2051" l="1"/>
  <c r="C12" i="2051"/>
  <c r="L24" i="2039" l="1"/>
  <c r="L25" i="2039"/>
  <c r="L26" i="2039"/>
  <c r="D26" i="2039" s="1"/>
  <c r="D14" i="2043"/>
  <c r="H16" i="2049" l="1"/>
  <c r="H34" i="2043" l="1"/>
  <c r="R52" i="2073"/>
  <c r="R51" i="2073"/>
  <c r="D50" i="2073"/>
  <c r="R49" i="2073"/>
  <c r="D49" i="2073"/>
  <c r="R48" i="2073"/>
  <c r="D48" i="2073"/>
  <c r="D46" i="2073"/>
  <c r="D45" i="2073"/>
  <c r="R44" i="2073"/>
  <c r="L28" i="2073" s="1"/>
  <c r="D28" i="2073" s="1"/>
  <c r="D44" i="2073"/>
  <c r="R42" i="2073"/>
  <c r="L6" i="2073" s="1"/>
  <c r="D6" i="2073" s="1"/>
  <c r="D42" i="2073"/>
  <c r="R41" i="2073"/>
  <c r="D41" i="2073"/>
  <c r="R40" i="2073"/>
  <c r="L8" i="2073" s="1"/>
  <c r="D8" i="2073" s="1"/>
  <c r="D40" i="2073"/>
  <c r="R39" i="2073"/>
  <c r="H39" i="2073"/>
  <c r="D39" i="2073"/>
  <c r="R38" i="2073"/>
  <c r="H38" i="2073"/>
  <c r="D38" i="2073"/>
  <c r="R37" i="2073"/>
  <c r="H37" i="2073"/>
  <c r="D37" i="2073"/>
  <c r="R36" i="2073"/>
  <c r="L10" i="2073" s="1"/>
  <c r="D10" i="2073" s="1"/>
  <c r="H36" i="2073"/>
  <c r="D36" i="2073"/>
  <c r="R35" i="2073"/>
  <c r="L18" i="2073" s="1"/>
  <c r="D18" i="2073" s="1"/>
  <c r="H35" i="2073"/>
  <c r="D35" i="2073"/>
  <c r="R34" i="2073"/>
  <c r="L12" i="2073" s="1"/>
  <c r="D12" i="2073" s="1"/>
  <c r="H34" i="2073"/>
  <c r="D34" i="2073"/>
  <c r="D54" i="2073" s="1"/>
  <c r="H14" i="2073" s="1"/>
  <c r="R33" i="2073"/>
  <c r="L19" i="2073" s="1"/>
  <c r="D19" i="2073" s="1"/>
  <c r="R32" i="2073"/>
  <c r="R31" i="2073"/>
  <c r="R30" i="2073"/>
  <c r="R29" i="2073"/>
  <c r="R28" i="2073"/>
  <c r="R27" i="2073"/>
  <c r="L27" i="2073"/>
  <c r="D27" i="2073"/>
  <c r="R26" i="2073"/>
  <c r="L26" i="2073"/>
  <c r="D26" i="2073"/>
  <c r="R25" i="2073"/>
  <c r="L25" i="2073"/>
  <c r="D25" i="2073" s="1"/>
  <c r="R24" i="2073"/>
  <c r="L24" i="2073"/>
  <c r="D24" i="2073"/>
  <c r="R23" i="2073"/>
  <c r="L23" i="2073"/>
  <c r="D23" i="2073"/>
  <c r="R22" i="2073"/>
  <c r="L20" i="2073" s="1"/>
  <c r="D20" i="2073" s="1"/>
  <c r="L22" i="2073"/>
  <c r="D22" i="2073" s="1"/>
  <c r="R21" i="2073"/>
  <c r="L17" i="2073" s="1"/>
  <c r="D17" i="2073" s="1"/>
  <c r="L21" i="2073"/>
  <c r="D21" i="2073" s="1"/>
  <c r="R20" i="2073"/>
  <c r="R19" i="2073"/>
  <c r="R18" i="2073"/>
  <c r="R17" i="2073"/>
  <c r="R16" i="2073"/>
  <c r="R15" i="2073"/>
  <c r="L15" i="2073"/>
  <c r="D15" i="2073" s="1"/>
  <c r="R14" i="2073"/>
  <c r="D14" i="2073"/>
  <c r="R13" i="2073"/>
  <c r="D13" i="2073"/>
  <c r="R12" i="2073"/>
  <c r="R11" i="2073"/>
  <c r="L11" i="2073"/>
  <c r="D11" i="2073"/>
  <c r="L9" i="2073"/>
  <c r="D9" i="2073" s="1"/>
  <c r="L7" i="2073"/>
  <c r="D7" i="2073"/>
  <c r="R6" i="2073"/>
  <c r="L16" i="2073" s="1"/>
  <c r="D16" i="2073" s="1"/>
  <c r="R5" i="2073"/>
  <c r="R4" i="2073"/>
  <c r="H16" i="2045"/>
  <c r="C18" i="2045"/>
  <c r="C15" i="2045"/>
  <c r="G49" i="2073" l="1"/>
  <c r="D29" i="2073"/>
  <c r="H13" i="2073" s="1"/>
  <c r="H15" i="2073" s="1"/>
  <c r="H29" i="2073" s="1"/>
  <c r="G51" i="2073" s="1"/>
  <c r="R52" i="2072"/>
  <c r="R51" i="2072"/>
  <c r="D50" i="2072"/>
  <c r="R49" i="2072"/>
  <c r="G49" i="2072"/>
  <c r="D49" i="2072"/>
  <c r="R48" i="2072"/>
  <c r="D48" i="2072"/>
  <c r="D46" i="2072"/>
  <c r="D45" i="2072"/>
  <c r="D44" i="2072"/>
  <c r="R42" i="2072"/>
  <c r="L6" i="2072" s="1"/>
  <c r="D6" i="2072" s="1"/>
  <c r="D42" i="2072"/>
  <c r="R41" i="2072"/>
  <c r="L7" i="2072" s="1"/>
  <c r="D7" i="2072" s="1"/>
  <c r="D41" i="2072"/>
  <c r="R40" i="2072"/>
  <c r="D40" i="2072"/>
  <c r="R39" i="2072"/>
  <c r="D39" i="2072"/>
  <c r="R38" i="2072"/>
  <c r="L9" i="2072" s="1"/>
  <c r="D9" i="2072" s="1"/>
  <c r="D38" i="2072"/>
  <c r="R37" i="2072"/>
  <c r="D37" i="2072"/>
  <c r="R36" i="2072"/>
  <c r="L10" i="2072" s="1"/>
  <c r="D10" i="2072" s="1"/>
  <c r="D36" i="2072"/>
  <c r="R35" i="2072"/>
  <c r="D35" i="2072"/>
  <c r="R34" i="2072"/>
  <c r="L12" i="2072" s="1"/>
  <c r="D12" i="2072" s="1"/>
  <c r="D34" i="2072"/>
  <c r="R33" i="2072"/>
  <c r="L23" i="2072" s="1"/>
  <c r="D23" i="2072" s="1"/>
  <c r="R32" i="2072"/>
  <c r="L11" i="2072" s="1"/>
  <c r="D11" i="2072" s="1"/>
  <c r="R31" i="2072"/>
  <c r="R30" i="2072"/>
  <c r="R29" i="2072"/>
  <c r="R28" i="2072"/>
  <c r="D28" i="2072"/>
  <c r="R27" i="2072"/>
  <c r="D27" i="2072"/>
  <c r="R26" i="2072"/>
  <c r="L26" i="2072"/>
  <c r="D26" i="2072"/>
  <c r="R25" i="2072"/>
  <c r="L25" i="2072"/>
  <c r="D25" i="2072" s="1"/>
  <c r="R24" i="2072"/>
  <c r="D24" i="2072"/>
  <c r="R23" i="2072"/>
  <c r="R22" i="2072"/>
  <c r="L22" i="2072"/>
  <c r="D22" i="2072"/>
  <c r="R21" i="2072"/>
  <c r="D21" i="2072"/>
  <c r="R20" i="2072"/>
  <c r="L20" i="2072"/>
  <c r="D20" i="2072"/>
  <c r="R19" i="2072"/>
  <c r="L19" i="2072"/>
  <c r="D19" i="2072"/>
  <c r="R18" i="2072"/>
  <c r="D18" i="2072"/>
  <c r="R17" i="2072"/>
  <c r="D17" i="2072"/>
  <c r="R16" i="2072"/>
  <c r="L16" i="2072"/>
  <c r="D16" i="2072" s="1"/>
  <c r="S15" i="2072"/>
  <c r="R15" i="2072"/>
  <c r="D15" i="2072"/>
  <c r="S14" i="2072"/>
  <c r="R14" i="2072"/>
  <c r="D14" i="2072"/>
  <c r="R13" i="2072"/>
  <c r="D13" i="2072"/>
  <c r="R12" i="2072"/>
  <c r="R11" i="2072"/>
  <c r="L8" i="2072"/>
  <c r="D8" i="2072" s="1"/>
  <c r="R6" i="2072"/>
  <c r="R5" i="2072"/>
  <c r="R4" i="2072"/>
  <c r="R52" i="2071"/>
  <c r="R51" i="2071"/>
  <c r="D50" i="2071"/>
  <c r="R49" i="2071"/>
  <c r="D49" i="2071"/>
  <c r="R48" i="2071"/>
  <c r="D48" i="2071"/>
  <c r="D46" i="2071"/>
  <c r="D45" i="2071"/>
  <c r="R44" i="2071"/>
  <c r="L28" i="2071" s="1"/>
  <c r="D28" i="2071" s="1"/>
  <c r="D44" i="2071"/>
  <c r="R42" i="2071"/>
  <c r="L6" i="2071" s="1"/>
  <c r="D6" i="2071" s="1"/>
  <c r="D42" i="2071"/>
  <c r="R41" i="2071"/>
  <c r="D41" i="2071"/>
  <c r="R40" i="2071"/>
  <c r="L8" i="2071" s="1"/>
  <c r="D8" i="2071" s="1"/>
  <c r="D40" i="2071"/>
  <c r="R39" i="2071"/>
  <c r="H39" i="2071"/>
  <c r="D39" i="2071"/>
  <c r="R38" i="2071"/>
  <c r="H38" i="2071"/>
  <c r="D38" i="2071"/>
  <c r="R37" i="2071"/>
  <c r="H37" i="2071"/>
  <c r="D37" i="2071"/>
  <c r="R36" i="2071"/>
  <c r="L10" i="2071" s="1"/>
  <c r="D10" i="2071" s="1"/>
  <c r="H36" i="2071"/>
  <c r="D36" i="2071"/>
  <c r="R35" i="2071"/>
  <c r="L18" i="2071" s="1"/>
  <c r="D18" i="2071" s="1"/>
  <c r="H35" i="2071"/>
  <c r="D35" i="2071"/>
  <c r="R34" i="2071"/>
  <c r="L12" i="2071" s="1"/>
  <c r="D12" i="2071" s="1"/>
  <c r="H34" i="2071"/>
  <c r="D34" i="2071"/>
  <c r="R33" i="2071"/>
  <c r="L19" i="2071" s="1"/>
  <c r="D19" i="2071" s="1"/>
  <c r="R32" i="2071"/>
  <c r="L11" i="2071" s="1"/>
  <c r="D11" i="2071" s="1"/>
  <c r="R31" i="2071"/>
  <c r="R30" i="2071"/>
  <c r="R29" i="2071"/>
  <c r="R28" i="2071"/>
  <c r="R27" i="2071"/>
  <c r="L27" i="2071"/>
  <c r="D27" i="2071" s="1"/>
  <c r="R26" i="2071"/>
  <c r="L26" i="2071"/>
  <c r="D26" i="2071" s="1"/>
  <c r="R25" i="2071"/>
  <c r="L25" i="2071"/>
  <c r="D25" i="2071" s="1"/>
  <c r="R24" i="2071"/>
  <c r="L24" i="2071"/>
  <c r="D24" i="2071" s="1"/>
  <c r="R23" i="2071"/>
  <c r="L23" i="2071"/>
  <c r="D23" i="2071"/>
  <c r="R22" i="2071"/>
  <c r="L20" i="2071" s="1"/>
  <c r="D20" i="2071" s="1"/>
  <c r="L22" i="2071"/>
  <c r="D22" i="2071" s="1"/>
  <c r="R21" i="2071"/>
  <c r="L17" i="2071" s="1"/>
  <c r="D17" i="2071" s="1"/>
  <c r="L21" i="2071"/>
  <c r="D21" i="2071"/>
  <c r="R20" i="2071"/>
  <c r="R19" i="2071"/>
  <c r="R18" i="2071"/>
  <c r="R17" i="2071"/>
  <c r="R16" i="2071"/>
  <c r="L16" i="2071"/>
  <c r="D16" i="2071"/>
  <c r="R15" i="2071"/>
  <c r="R14" i="2071"/>
  <c r="D14" i="2071"/>
  <c r="R13" i="2071"/>
  <c r="D13" i="2071"/>
  <c r="R12" i="2071"/>
  <c r="R11" i="2071"/>
  <c r="L9" i="2071"/>
  <c r="D9" i="2071" s="1"/>
  <c r="L7" i="2071"/>
  <c r="D7" i="2071"/>
  <c r="R6" i="2071"/>
  <c r="R5" i="2071"/>
  <c r="R4" i="2071"/>
  <c r="L15" i="2071" s="1"/>
  <c r="D15" i="2071" s="1"/>
  <c r="R52" i="2070"/>
  <c r="R51" i="2070"/>
  <c r="D50" i="2070"/>
  <c r="R49" i="2070"/>
  <c r="D49" i="2070"/>
  <c r="R48" i="2070"/>
  <c r="D48" i="2070"/>
  <c r="D46" i="2070"/>
  <c r="D45" i="2070"/>
  <c r="R44" i="2070"/>
  <c r="L28" i="2070" s="1"/>
  <c r="D28" i="2070" s="1"/>
  <c r="D44" i="2070"/>
  <c r="R42" i="2070"/>
  <c r="D42" i="2070"/>
  <c r="R41" i="2070"/>
  <c r="L7" i="2070" s="1"/>
  <c r="D7" i="2070" s="1"/>
  <c r="D41" i="2070"/>
  <c r="R40" i="2070"/>
  <c r="L8" i="2070" s="1"/>
  <c r="D8" i="2070" s="1"/>
  <c r="D40" i="2070"/>
  <c r="R39" i="2070"/>
  <c r="H39" i="2070"/>
  <c r="D39" i="2070"/>
  <c r="R38" i="2070"/>
  <c r="L9" i="2070" s="1"/>
  <c r="D9" i="2070" s="1"/>
  <c r="H38" i="2070"/>
  <c r="D38" i="2070"/>
  <c r="R37" i="2070"/>
  <c r="H37" i="2070"/>
  <c r="D37" i="2070"/>
  <c r="R36" i="2070"/>
  <c r="L10" i="2070" s="1"/>
  <c r="D10" i="2070" s="1"/>
  <c r="H36" i="2070"/>
  <c r="D36" i="2070"/>
  <c r="R35" i="2070"/>
  <c r="L18" i="2070" s="1"/>
  <c r="D18" i="2070" s="1"/>
  <c r="H35" i="2070"/>
  <c r="D35" i="2070"/>
  <c r="R34" i="2070"/>
  <c r="L12" i="2070" s="1"/>
  <c r="D12" i="2070" s="1"/>
  <c r="H34" i="2070"/>
  <c r="D34" i="2070"/>
  <c r="R33" i="2070"/>
  <c r="R32" i="2070"/>
  <c r="R31" i="2070"/>
  <c r="R30" i="2070"/>
  <c r="R29" i="2070"/>
  <c r="R28" i="2070"/>
  <c r="R27" i="2070"/>
  <c r="L27" i="2070"/>
  <c r="D27" i="2070"/>
  <c r="R26" i="2070"/>
  <c r="L26" i="2070"/>
  <c r="D26" i="2070"/>
  <c r="R25" i="2070"/>
  <c r="L25" i="2070"/>
  <c r="D25" i="2070"/>
  <c r="R24" i="2070"/>
  <c r="L24" i="2070"/>
  <c r="D24" i="2070"/>
  <c r="R23" i="2070"/>
  <c r="L23" i="2070"/>
  <c r="D23" i="2070" s="1"/>
  <c r="R22" i="2070"/>
  <c r="L20" i="2070" s="1"/>
  <c r="D20" i="2070" s="1"/>
  <c r="L22" i="2070"/>
  <c r="D22" i="2070" s="1"/>
  <c r="R21" i="2070"/>
  <c r="L17" i="2070" s="1"/>
  <c r="D17" i="2070" s="1"/>
  <c r="L21" i="2070"/>
  <c r="D21" i="2070"/>
  <c r="R20" i="2070"/>
  <c r="R19" i="2070"/>
  <c r="L19" i="2070"/>
  <c r="D19" i="2070" s="1"/>
  <c r="R18" i="2070"/>
  <c r="R17" i="2070"/>
  <c r="R16" i="2070"/>
  <c r="R15" i="2070"/>
  <c r="R14" i="2070"/>
  <c r="D14" i="2070"/>
  <c r="R13" i="2070"/>
  <c r="D13" i="2070"/>
  <c r="R12" i="2070"/>
  <c r="R11" i="2070"/>
  <c r="L11" i="2070"/>
  <c r="D11" i="2070" s="1"/>
  <c r="R6" i="2070"/>
  <c r="L16" i="2070" s="1"/>
  <c r="D16" i="2070" s="1"/>
  <c r="L6" i="2070"/>
  <c r="D6" i="2070" s="1"/>
  <c r="R5" i="2070"/>
  <c r="R4" i="2070"/>
  <c r="L15" i="2070" s="1"/>
  <c r="D15" i="2070" s="1"/>
  <c r="R52" i="2069"/>
  <c r="R51" i="2069"/>
  <c r="D50" i="2069"/>
  <c r="R49" i="2069"/>
  <c r="D49" i="2069"/>
  <c r="R48" i="2069"/>
  <c r="D48" i="2069"/>
  <c r="D46" i="2069"/>
  <c r="D45" i="2069"/>
  <c r="R44" i="2069"/>
  <c r="L28" i="2069" s="1"/>
  <c r="D28" i="2069" s="1"/>
  <c r="D44" i="2069"/>
  <c r="R42" i="2069"/>
  <c r="D42" i="2069"/>
  <c r="R41" i="2069"/>
  <c r="D41" i="2069"/>
  <c r="R40" i="2069"/>
  <c r="L8" i="2069" s="1"/>
  <c r="D8" i="2069" s="1"/>
  <c r="D40" i="2069"/>
  <c r="R39" i="2069"/>
  <c r="H39" i="2069"/>
  <c r="D39" i="2069"/>
  <c r="R38" i="2069"/>
  <c r="L9" i="2069" s="1"/>
  <c r="D9" i="2069" s="1"/>
  <c r="H38" i="2069"/>
  <c r="D38" i="2069"/>
  <c r="R37" i="2069"/>
  <c r="H37" i="2069"/>
  <c r="D37" i="2069"/>
  <c r="R36" i="2069"/>
  <c r="H36" i="2069"/>
  <c r="D36" i="2069"/>
  <c r="R35" i="2069"/>
  <c r="L18" i="2069" s="1"/>
  <c r="D18" i="2069" s="1"/>
  <c r="H35" i="2069"/>
  <c r="D35" i="2069"/>
  <c r="R34" i="2069"/>
  <c r="L12" i="2069" s="1"/>
  <c r="D12" i="2069" s="1"/>
  <c r="H34" i="2069"/>
  <c r="D34" i="2069"/>
  <c r="R33" i="2069"/>
  <c r="L19" i="2069" s="1"/>
  <c r="D19" i="2069" s="1"/>
  <c r="R32" i="2069"/>
  <c r="R31" i="2069"/>
  <c r="R30" i="2069"/>
  <c r="R29" i="2069"/>
  <c r="R28" i="2069"/>
  <c r="R27" i="2069"/>
  <c r="L27" i="2069"/>
  <c r="D27" i="2069" s="1"/>
  <c r="R26" i="2069"/>
  <c r="L26" i="2069"/>
  <c r="D26" i="2069" s="1"/>
  <c r="R25" i="2069"/>
  <c r="L25" i="2069"/>
  <c r="D25" i="2069" s="1"/>
  <c r="R24" i="2069"/>
  <c r="L24" i="2069"/>
  <c r="D24" i="2069" s="1"/>
  <c r="R23" i="2069"/>
  <c r="L23" i="2069"/>
  <c r="D23" i="2069" s="1"/>
  <c r="R22" i="2069"/>
  <c r="L20" i="2069" s="1"/>
  <c r="D20" i="2069" s="1"/>
  <c r="L22" i="2069"/>
  <c r="D22" i="2069" s="1"/>
  <c r="R21" i="2069"/>
  <c r="L17" i="2069" s="1"/>
  <c r="D17" i="2069" s="1"/>
  <c r="L21" i="2069"/>
  <c r="D21" i="2069" s="1"/>
  <c r="R20" i="2069"/>
  <c r="R19" i="2069"/>
  <c r="R18" i="2069"/>
  <c r="R17" i="2069"/>
  <c r="R16" i="2069"/>
  <c r="R15" i="2069"/>
  <c r="L15" i="2069"/>
  <c r="D15" i="2069" s="1"/>
  <c r="R14" i="2069"/>
  <c r="D14" i="2069"/>
  <c r="R13" i="2069"/>
  <c r="D13" i="2069"/>
  <c r="R12" i="2069"/>
  <c r="R11" i="2069"/>
  <c r="L11" i="2069"/>
  <c r="D11" i="2069" s="1"/>
  <c r="L10" i="2069"/>
  <c r="D10" i="2069" s="1"/>
  <c r="L7" i="2069"/>
  <c r="D7" i="2069" s="1"/>
  <c r="R6" i="2069"/>
  <c r="L16" i="2069" s="1"/>
  <c r="D16" i="2069" s="1"/>
  <c r="L6" i="2069"/>
  <c r="D6" i="2069" s="1"/>
  <c r="R5" i="2069"/>
  <c r="R4" i="2069"/>
  <c r="R52" i="2068"/>
  <c r="R51" i="2068"/>
  <c r="D50" i="2068"/>
  <c r="R49" i="2068"/>
  <c r="G49" i="2068"/>
  <c r="D49" i="2068"/>
  <c r="R48" i="2068"/>
  <c r="D48" i="2068"/>
  <c r="D46" i="2068"/>
  <c r="D45" i="2068"/>
  <c r="D44" i="2068"/>
  <c r="R42" i="2068"/>
  <c r="L6" i="2068" s="1"/>
  <c r="D6" i="2068" s="1"/>
  <c r="D42" i="2068"/>
  <c r="R41" i="2068"/>
  <c r="L7" i="2068" s="1"/>
  <c r="D7" i="2068" s="1"/>
  <c r="D41" i="2068"/>
  <c r="R40" i="2068"/>
  <c r="D40" i="2068"/>
  <c r="R39" i="2068"/>
  <c r="D39" i="2068"/>
  <c r="R38" i="2068"/>
  <c r="D38" i="2068"/>
  <c r="R37" i="2068"/>
  <c r="D37" i="2068"/>
  <c r="R36" i="2068"/>
  <c r="L10" i="2068" s="1"/>
  <c r="D10" i="2068" s="1"/>
  <c r="D36" i="2068"/>
  <c r="R35" i="2068"/>
  <c r="D35" i="2068"/>
  <c r="R34" i="2068"/>
  <c r="D34" i="2068"/>
  <c r="R33" i="2068"/>
  <c r="R32" i="2068"/>
  <c r="L11" i="2068" s="1"/>
  <c r="D11" i="2068" s="1"/>
  <c r="R31" i="2068"/>
  <c r="R30" i="2068"/>
  <c r="R29" i="2068"/>
  <c r="R28" i="2068"/>
  <c r="D28" i="2068"/>
  <c r="R27" i="2068"/>
  <c r="D27" i="2068"/>
  <c r="R26" i="2068"/>
  <c r="L26" i="2068"/>
  <c r="D26" i="2068"/>
  <c r="R25" i="2068"/>
  <c r="L25" i="2068"/>
  <c r="D25" i="2068" s="1"/>
  <c r="R24" i="2068"/>
  <c r="D24" i="2068"/>
  <c r="R23" i="2068"/>
  <c r="L23" i="2068"/>
  <c r="D23" i="2068" s="1"/>
  <c r="R22" i="2068"/>
  <c r="L22" i="2068"/>
  <c r="D22" i="2068" s="1"/>
  <c r="R21" i="2068"/>
  <c r="D21" i="2068"/>
  <c r="R20" i="2068"/>
  <c r="L20" i="2068"/>
  <c r="D20" i="2068" s="1"/>
  <c r="R19" i="2068"/>
  <c r="L19" i="2068"/>
  <c r="D19" i="2068" s="1"/>
  <c r="R18" i="2068"/>
  <c r="D18" i="2068"/>
  <c r="R17" i="2068"/>
  <c r="D17" i="2068"/>
  <c r="R16" i="2068"/>
  <c r="L16" i="2068"/>
  <c r="D16" i="2068" s="1"/>
  <c r="S15" i="2068"/>
  <c r="R15" i="2068"/>
  <c r="D15" i="2068"/>
  <c r="S14" i="2068"/>
  <c r="R14" i="2068"/>
  <c r="D14" i="2068"/>
  <c r="R13" i="2068"/>
  <c r="D13" i="2068"/>
  <c r="R12" i="2068"/>
  <c r="L12" i="2068"/>
  <c r="D12" i="2068" s="1"/>
  <c r="R11" i="2068"/>
  <c r="L9" i="2068"/>
  <c r="D9" i="2068" s="1"/>
  <c r="L8" i="2068"/>
  <c r="D8" i="2068"/>
  <c r="R6" i="2068"/>
  <c r="R5" i="2068"/>
  <c r="R4" i="2068"/>
  <c r="R52" i="2067"/>
  <c r="R51" i="2067"/>
  <c r="D50" i="2067"/>
  <c r="R49" i="2067"/>
  <c r="D49" i="2067"/>
  <c r="R48" i="2067"/>
  <c r="D48" i="2067"/>
  <c r="D46" i="2067"/>
  <c r="D45" i="2067"/>
  <c r="R44" i="2067"/>
  <c r="L28" i="2067" s="1"/>
  <c r="D28" i="2067" s="1"/>
  <c r="D44" i="2067"/>
  <c r="R42" i="2067"/>
  <c r="L6" i="2067" s="1"/>
  <c r="D6" i="2067" s="1"/>
  <c r="D42" i="2067"/>
  <c r="R41" i="2067"/>
  <c r="D41" i="2067"/>
  <c r="R40" i="2067"/>
  <c r="D40" i="2067"/>
  <c r="R39" i="2067"/>
  <c r="H39" i="2067"/>
  <c r="D39" i="2067"/>
  <c r="R38" i="2067"/>
  <c r="H38" i="2067"/>
  <c r="D38" i="2067"/>
  <c r="R37" i="2067"/>
  <c r="H37" i="2067"/>
  <c r="D37" i="2067"/>
  <c r="R36" i="2067"/>
  <c r="L10" i="2067" s="1"/>
  <c r="D10" i="2067" s="1"/>
  <c r="H36" i="2067"/>
  <c r="D36" i="2067"/>
  <c r="R35" i="2067"/>
  <c r="H35" i="2067"/>
  <c r="D35" i="2067"/>
  <c r="R34" i="2067"/>
  <c r="H34" i="2067"/>
  <c r="D34" i="2067"/>
  <c r="R33" i="2067"/>
  <c r="L19" i="2067" s="1"/>
  <c r="D19" i="2067" s="1"/>
  <c r="R32" i="2067"/>
  <c r="L11" i="2067" s="1"/>
  <c r="D11" i="2067" s="1"/>
  <c r="R31" i="2067"/>
  <c r="R30" i="2067"/>
  <c r="R29" i="2067"/>
  <c r="R28" i="2067"/>
  <c r="R27" i="2067"/>
  <c r="L27" i="2067"/>
  <c r="D27" i="2067" s="1"/>
  <c r="R26" i="2067"/>
  <c r="L26" i="2067"/>
  <c r="D26" i="2067" s="1"/>
  <c r="R25" i="2067"/>
  <c r="L25" i="2067"/>
  <c r="D25" i="2067" s="1"/>
  <c r="R24" i="2067"/>
  <c r="L24" i="2067"/>
  <c r="D24" i="2067"/>
  <c r="R23" i="2067"/>
  <c r="L23" i="2067"/>
  <c r="D23" i="2067"/>
  <c r="R22" i="2067"/>
  <c r="L20" i="2067" s="1"/>
  <c r="D20" i="2067" s="1"/>
  <c r="L22" i="2067"/>
  <c r="D22" i="2067" s="1"/>
  <c r="R21" i="2067"/>
  <c r="L17" i="2067" s="1"/>
  <c r="D17" i="2067" s="1"/>
  <c r="L21" i="2067"/>
  <c r="D21" i="2067"/>
  <c r="R20" i="2067"/>
  <c r="R19" i="2067"/>
  <c r="R18" i="2067"/>
  <c r="L18" i="2067"/>
  <c r="D18" i="2067" s="1"/>
  <c r="R17" i="2067"/>
  <c r="R16" i="2067"/>
  <c r="R15" i="2067"/>
  <c r="L15" i="2067"/>
  <c r="D15" i="2067" s="1"/>
  <c r="R14" i="2067"/>
  <c r="D14" i="2067"/>
  <c r="R13" i="2067"/>
  <c r="D13" i="2067"/>
  <c r="R12" i="2067"/>
  <c r="L12" i="2067"/>
  <c r="D12" i="2067" s="1"/>
  <c r="R11" i="2067"/>
  <c r="L9" i="2067"/>
  <c r="D9" i="2067" s="1"/>
  <c r="L8" i="2067"/>
  <c r="D8" i="2067"/>
  <c r="L7" i="2067"/>
  <c r="D7" i="2067" s="1"/>
  <c r="R6" i="2067"/>
  <c r="L16" i="2067" s="1"/>
  <c r="D16" i="2067" s="1"/>
  <c r="R5" i="2067"/>
  <c r="R4" i="2067"/>
  <c r="R52" i="2066"/>
  <c r="R51" i="2066"/>
  <c r="D50" i="2066"/>
  <c r="R49" i="2066"/>
  <c r="D49" i="2066"/>
  <c r="R48" i="2066"/>
  <c r="D48" i="2066"/>
  <c r="D46" i="2066"/>
  <c r="D45" i="2066"/>
  <c r="R44" i="2066"/>
  <c r="L28" i="2066" s="1"/>
  <c r="D28" i="2066" s="1"/>
  <c r="D44" i="2066"/>
  <c r="R42" i="2066"/>
  <c r="L6" i="2066" s="1"/>
  <c r="D6" i="2066" s="1"/>
  <c r="D42" i="2066"/>
  <c r="R41" i="2066"/>
  <c r="L7" i="2066" s="1"/>
  <c r="D7" i="2066" s="1"/>
  <c r="D41" i="2066"/>
  <c r="R40" i="2066"/>
  <c r="D40" i="2066"/>
  <c r="R39" i="2066"/>
  <c r="H39" i="2066"/>
  <c r="D39" i="2066"/>
  <c r="R38" i="2066"/>
  <c r="H38" i="2066"/>
  <c r="D38" i="2066"/>
  <c r="R37" i="2066"/>
  <c r="H37" i="2066"/>
  <c r="D37" i="2066"/>
  <c r="R36" i="2066"/>
  <c r="L10" i="2066" s="1"/>
  <c r="D10" i="2066" s="1"/>
  <c r="H36" i="2066"/>
  <c r="D36" i="2066"/>
  <c r="R35" i="2066"/>
  <c r="L18" i="2066" s="1"/>
  <c r="D18" i="2066" s="1"/>
  <c r="H35" i="2066"/>
  <c r="D35" i="2066"/>
  <c r="R34" i="2066"/>
  <c r="H34" i="2066"/>
  <c r="D34" i="2066"/>
  <c r="R33" i="2066"/>
  <c r="R32" i="2066"/>
  <c r="R31" i="2066"/>
  <c r="R30" i="2066"/>
  <c r="R29" i="2066"/>
  <c r="R28" i="2066"/>
  <c r="R27" i="2066"/>
  <c r="L27" i="2066"/>
  <c r="D27" i="2066"/>
  <c r="R26" i="2066"/>
  <c r="L26" i="2066"/>
  <c r="D26" i="2066" s="1"/>
  <c r="R25" i="2066"/>
  <c r="L25" i="2066"/>
  <c r="D25" i="2066"/>
  <c r="R24" i="2066"/>
  <c r="L24" i="2066"/>
  <c r="D24" i="2066" s="1"/>
  <c r="R23" i="2066"/>
  <c r="L23" i="2066"/>
  <c r="D23" i="2066"/>
  <c r="R22" i="2066"/>
  <c r="L20" i="2066" s="1"/>
  <c r="D20" i="2066" s="1"/>
  <c r="L22" i="2066"/>
  <c r="D22" i="2066" s="1"/>
  <c r="R21" i="2066"/>
  <c r="L21" i="2066"/>
  <c r="D21" i="2066" s="1"/>
  <c r="R20" i="2066"/>
  <c r="R19" i="2066"/>
  <c r="L19" i="2066"/>
  <c r="D19" i="2066" s="1"/>
  <c r="R18" i="2066"/>
  <c r="R17" i="2066"/>
  <c r="L17" i="2066"/>
  <c r="D17" i="2066" s="1"/>
  <c r="R16" i="2066"/>
  <c r="R15" i="2066"/>
  <c r="R14" i="2066"/>
  <c r="D14" i="2066"/>
  <c r="R13" i="2066"/>
  <c r="D13" i="2066"/>
  <c r="R12" i="2066"/>
  <c r="L12" i="2066"/>
  <c r="D12" i="2066" s="1"/>
  <c r="R11" i="2066"/>
  <c r="L11" i="2066"/>
  <c r="D11" i="2066"/>
  <c r="L9" i="2066"/>
  <c r="D9" i="2066" s="1"/>
  <c r="L8" i="2066"/>
  <c r="D8" i="2066"/>
  <c r="R6" i="2066"/>
  <c r="L16" i="2066" s="1"/>
  <c r="D16" i="2066" s="1"/>
  <c r="R5" i="2066"/>
  <c r="R4" i="2066"/>
  <c r="L15" i="2066" s="1"/>
  <c r="D15" i="2066" s="1"/>
  <c r="R52" i="2065"/>
  <c r="R51" i="2065"/>
  <c r="D50" i="2065"/>
  <c r="R49" i="2065"/>
  <c r="D49" i="2065"/>
  <c r="R48" i="2065"/>
  <c r="D48" i="2065"/>
  <c r="D46" i="2065"/>
  <c r="D45" i="2065"/>
  <c r="R44" i="2065"/>
  <c r="L28" i="2065" s="1"/>
  <c r="D28" i="2065" s="1"/>
  <c r="D44" i="2065"/>
  <c r="R42" i="2065"/>
  <c r="L6" i="2065" s="1"/>
  <c r="D6" i="2065" s="1"/>
  <c r="D42" i="2065"/>
  <c r="R41" i="2065"/>
  <c r="L7" i="2065" s="1"/>
  <c r="D7" i="2065" s="1"/>
  <c r="D41" i="2065"/>
  <c r="R40" i="2065"/>
  <c r="D40" i="2065"/>
  <c r="R39" i="2065"/>
  <c r="H39" i="2065"/>
  <c r="D39" i="2065"/>
  <c r="R38" i="2065"/>
  <c r="H38" i="2065"/>
  <c r="D38" i="2065"/>
  <c r="R37" i="2065"/>
  <c r="H37" i="2065"/>
  <c r="D37" i="2065"/>
  <c r="R36" i="2065"/>
  <c r="H36" i="2065"/>
  <c r="D36" i="2065"/>
  <c r="R35" i="2065"/>
  <c r="L18" i="2065" s="1"/>
  <c r="D18" i="2065" s="1"/>
  <c r="H35" i="2065"/>
  <c r="D35" i="2065"/>
  <c r="R34" i="2065"/>
  <c r="H34" i="2065"/>
  <c r="D34" i="2065"/>
  <c r="R33" i="2065"/>
  <c r="L19" i="2065" s="1"/>
  <c r="D19" i="2065" s="1"/>
  <c r="R32" i="2065"/>
  <c r="L11" i="2065" s="1"/>
  <c r="D11" i="2065" s="1"/>
  <c r="R31" i="2065"/>
  <c r="R30" i="2065"/>
  <c r="R29" i="2065"/>
  <c r="R28" i="2065"/>
  <c r="R27" i="2065"/>
  <c r="L27" i="2065"/>
  <c r="D27" i="2065" s="1"/>
  <c r="R26" i="2065"/>
  <c r="L26" i="2065"/>
  <c r="D26" i="2065"/>
  <c r="R25" i="2065"/>
  <c r="L25" i="2065"/>
  <c r="D25" i="2065" s="1"/>
  <c r="R24" i="2065"/>
  <c r="L24" i="2065"/>
  <c r="D24" i="2065" s="1"/>
  <c r="R23" i="2065"/>
  <c r="L23" i="2065"/>
  <c r="D23" i="2065" s="1"/>
  <c r="R22" i="2065"/>
  <c r="L20" i="2065" s="1"/>
  <c r="D20" i="2065" s="1"/>
  <c r="L22" i="2065"/>
  <c r="D22" i="2065" s="1"/>
  <c r="R21" i="2065"/>
  <c r="L17" i="2065" s="1"/>
  <c r="D17" i="2065" s="1"/>
  <c r="L21" i="2065"/>
  <c r="D21" i="2065"/>
  <c r="R20" i="2065"/>
  <c r="R19" i="2065"/>
  <c r="R18" i="2065"/>
  <c r="R17" i="2065"/>
  <c r="R16" i="2065"/>
  <c r="R15" i="2065"/>
  <c r="R14" i="2065"/>
  <c r="D14" i="2065"/>
  <c r="R13" i="2065"/>
  <c r="D13" i="2065"/>
  <c r="R12" i="2065"/>
  <c r="L12" i="2065"/>
  <c r="D12" i="2065"/>
  <c r="R11" i="2065"/>
  <c r="L10" i="2065"/>
  <c r="D10" i="2065"/>
  <c r="L9" i="2065"/>
  <c r="D9" i="2065" s="1"/>
  <c r="L8" i="2065"/>
  <c r="D8" i="2065" s="1"/>
  <c r="R6" i="2065"/>
  <c r="L16" i="2065" s="1"/>
  <c r="D16" i="2065" s="1"/>
  <c r="R5" i="2065"/>
  <c r="R4" i="2065"/>
  <c r="L15" i="2065" s="1"/>
  <c r="D15" i="2065" s="1"/>
  <c r="R52" i="2064"/>
  <c r="R51" i="2064"/>
  <c r="D50" i="2064"/>
  <c r="R49" i="2064"/>
  <c r="G49" i="2064"/>
  <c r="D49" i="2064"/>
  <c r="R48" i="2064"/>
  <c r="D48" i="2064"/>
  <c r="D46" i="2064"/>
  <c r="D45" i="2064"/>
  <c r="D44" i="2064"/>
  <c r="R42" i="2064"/>
  <c r="D42" i="2064"/>
  <c r="R41" i="2064"/>
  <c r="L7" i="2064" s="1"/>
  <c r="D7" i="2064" s="1"/>
  <c r="D41" i="2064"/>
  <c r="R40" i="2064"/>
  <c r="L8" i="2064" s="1"/>
  <c r="D8" i="2064" s="1"/>
  <c r="D40" i="2064"/>
  <c r="R39" i="2064"/>
  <c r="D39" i="2064"/>
  <c r="R38" i="2064"/>
  <c r="D38" i="2064"/>
  <c r="R37" i="2064"/>
  <c r="D37" i="2064"/>
  <c r="R36" i="2064"/>
  <c r="D36" i="2064"/>
  <c r="R35" i="2064"/>
  <c r="L19" i="2064" s="1"/>
  <c r="D19" i="2064" s="1"/>
  <c r="D35" i="2064"/>
  <c r="R34" i="2064"/>
  <c r="L12" i="2064" s="1"/>
  <c r="D12" i="2064" s="1"/>
  <c r="D34" i="2064"/>
  <c r="D54" i="2064" s="1"/>
  <c r="H14" i="2064" s="1"/>
  <c r="R33" i="2064"/>
  <c r="L23" i="2064" s="1"/>
  <c r="D23" i="2064" s="1"/>
  <c r="R32" i="2064"/>
  <c r="L11" i="2064" s="1"/>
  <c r="D11" i="2064" s="1"/>
  <c r="R31" i="2064"/>
  <c r="R30" i="2064"/>
  <c r="R29" i="2064"/>
  <c r="R28" i="2064"/>
  <c r="L16" i="2064" s="1"/>
  <c r="D16" i="2064" s="1"/>
  <c r="D28" i="2064"/>
  <c r="R27" i="2064"/>
  <c r="D27" i="2064"/>
  <c r="R26" i="2064"/>
  <c r="L26" i="2064"/>
  <c r="D26" i="2064"/>
  <c r="R25" i="2064"/>
  <c r="L25" i="2064"/>
  <c r="D25" i="2064" s="1"/>
  <c r="R24" i="2064"/>
  <c r="D24" i="2064"/>
  <c r="R23" i="2064"/>
  <c r="R22" i="2064"/>
  <c r="L22" i="2064"/>
  <c r="D22" i="2064" s="1"/>
  <c r="R21" i="2064"/>
  <c r="D21" i="2064"/>
  <c r="R20" i="2064"/>
  <c r="L20" i="2064"/>
  <c r="D20" i="2064" s="1"/>
  <c r="R19" i="2064"/>
  <c r="R18" i="2064"/>
  <c r="D18" i="2064"/>
  <c r="R17" i="2064"/>
  <c r="D17" i="2064"/>
  <c r="R16" i="2064"/>
  <c r="S15" i="2064"/>
  <c r="R15" i="2064"/>
  <c r="D15" i="2064"/>
  <c r="S14" i="2064"/>
  <c r="R14" i="2064"/>
  <c r="D14" i="2064"/>
  <c r="R13" i="2064"/>
  <c r="D13" i="2064"/>
  <c r="R12" i="2064"/>
  <c r="R11" i="2064"/>
  <c r="L10" i="2064"/>
  <c r="D10" i="2064" s="1"/>
  <c r="L9" i="2064"/>
  <c r="D9" i="2064" s="1"/>
  <c r="R6" i="2064"/>
  <c r="L6" i="2064"/>
  <c r="D6" i="2064"/>
  <c r="R5" i="2064"/>
  <c r="R4" i="2064"/>
  <c r="R52" i="2063"/>
  <c r="R51" i="2063"/>
  <c r="D50" i="2063"/>
  <c r="R49" i="2063"/>
  <c r="D49" i="2063"/>
  <c r="R48" i="2063"/>
  <c r="D48" i="2063"/>
  <c r="D46" i="2063"/>
  <c r="D45" i="2063"/>
  <c r="R44" i="2063"/>
  <c r="L28" i="2063" s="1"/>
  <c r="D28" i="2063" s="1"/>
  <c r="D44" i="2063"/>
  <c r="R42" i="2063"/>
  <c r="D42" i="2063"/>
  <c r="R41" i="2063"/>
  <c r="D41" i="2063"/>
  <c r="R40" i="2063"/>
  <c r="L8" i="2063" s="1"/>
  <c r="D8" i="2063" s="1"/>
  <c r="D40" i="2063"/>
  <c r="R39" i="2063"/>
  <c r="H39" i="2063"/>
  <c r="D39" i="2063"/>
  <c r="R38" i="2063"/>
  <c r="L9" i="2063" s="1"/>
  <c r="D9" i="2063" s="1"/>
  <c r="H38" i="2063"/>
  <c r="D38" i="2063"/>
  <c r="R37" i="2063"/>
  <c r="H37" i="2063"/>
  <c r="D37" i="2063"/>
  <c r="R36" i="2063"/>
  <c r="L10" i="2063" s="1"/>
  <c r="D10" i="2063" s="1"/>
  <c r="H36" i="2063"/>
  <c r="D36" i="2063"/>
  <c r="R35" i="2063"/>
  <c r="H35" i="2063"/>
  <c r="D35" i="2063"/>
  <c r="R34" i="2063"/>
  <c r="L12" i="2063" s="1"/>
  <c r="D12" i="2063" s="1"/>
  <c r="H34" i="2063"/>
  <c r="G49" i="2063" s="1"/>
  <c r="D34" i="2063"/>
  <c r="R33" i="2063"/>
  <c r="L19" i="2063" s="1"/>
  <c r="D19" i="2063" s="1"/>
  <c r="R32" i="2063"/>
  <c r="R31" i="2063"/>
  <c r="R30" i="2063"/>
  <c r="R29" i="2063"/>
  <c r="R28" i="2063"/>
  <c r="R27" i="2063"/>
  <c r="L27" i="2063"/>
  <c r="D27" i="2063" s="1"/>
  <c r="R26" i="2063"/>
  <c r="L26" i="2063"/>
  <c r="D26" i="2063" s="1"/>
  <c r="R25" i="2063"/>
  <c r="L25" i="2063"/>
  <c r="D25" i="2063"/>
  <c r="R24" i="2063"/>
  <c r="L24" i="2063"/>
  <c r="D24" i="2063"/>
  <c r="R23" i="2063"/>
  <c r="L23" i="2063"/>
  <c r="D23" i="2063" s="1"/>
  <c r="R22" i="2063"/>
  <c r="L20" i="2063" s="1"/>
  <c r="D20" i="2063" s="1"/>
  <c r="L22" i="2063"/>
  <c r="D22" i="2063" s="1"/>
  <c r="R21" i="2063"/>
  <c r="L17" i="2063" s="1"/>
  <c r="D17" i="2063" s="1"/>
  <c r="L21" i="2063"/>
  <c r="D21" i="2063" s="1"/>
  <c r="R20" i="2063"/>
  <c r="R19" i="2063"/>
  <c r="R18" i="2063"/>
  <c r="L18" i="2063"/>
  <c r="D18" i="2063" s="1"/>
  <c r="R17" i="2063"/>
  <c r="R16" i="2063"/>
  <c r="R15" i="2063"/>
  <c r="R14" i="2063"/>
  <c r="D14" i="2063"/>
  <c r="R13" i="2063"/>
  <c r="D13" i="2063"/>
  <c r="R12" i="2063"/>
  <c r="R11" i="2063"/>
  <c r="L11" i="2063"/>
  <c r="D11" i="2063" s="1"/>
  <c r="L7" i="2063"/>
  <c r="D7" i="2063" s="1"/>
  <c r="R6" i="2063"/>
  <c r="L16" i="2063" s="1"/>
  <c r="D16" i="2063" s="1"/>
  <c r="L6" i="2063"/>
  <c r="D6" i="2063" s="1"/>
  <c r="R5" i="2063"/>
  <c r="R4" i="2063"/>
  <c r="L15" i="2063" s="1"/>
  <c r="D15" i="2063" s="1"/>
  <c r="R52" i="2062"/>
  <c r="R51" i="2062"/>
  <c r="D50" i="2062"/>
  <c r="R49" i="2062"/>
  <c r="D49" i="2062"/>
  <c r="R48" i="2062"/>
  <c r="D48" i="2062"/>
  <c r="D46" i="2062"/>
  <c r="D45" i="2062"/>
  <c r="R44" i="2062"/>
  <c r="D44" i="2062"/>
  <c r="R42" i="2062"/>
  <c r="L6" i="2062" s="1"/>
  <c r="D6" i="2062" s="1"/>
  <c r="D42" i="2062"/>
  <c r="R41" i="2062"/>
  <c r="D41" i="2062"/>
  <c r="R40" i="2062"/>
  <c r="L8" i="2062" s="1"/>
  <c r="D8" i="2062" s="1"/>
  <c r="D40" i="2062"/>
  <c r="R39" i="2062"/>
  <c r="H39" i="2062"/>
  <c r="D39" i="2062"/>
  <c r="R38" i="2062"/>
  <c r="L9" i="2062" s="1"/>
  <c r="D9" i="2062" s="1"/>
  <c r="H38" i="2062"/>
  <c r="D38" i="2062"/>
  <c r="R37" i="2062"/>
  <c r="H37" i="2062"/>
  <c r="D37" i="2062"/>
  <c r="R36" i="2062"/>
  <c r="L10" i="2062" s="1"/>
  <c r="D10" i="2062" s="1"/>
  <c r="H36" i="2062"/>
  <c r="G49" i="2062" s="1"/>
  <c r="D36" i="2062"/>
  <c r="R35" i="2062"/>
  <c r="L18" i="2062" s="1"/>
  <c r="D18" i="2062" s="1"/>
  <c r="H35" i="2062"/>
  <c r="D35" i="2062"/>
  <c r="R34" i="2062"/>
  <c r="L12" i="2062" s="1"/>
  <c r="D12" i="2062" s="1"/>
  <c r="H34" i="2062"/>
  <c r="D34" i="2062"/>
  <c r="R33" i="2062"/>
  <c r="R32" i="2062"/>
  <c r="R31" i="2062"/>
  <c r="R30" i="2062"/>
  <c r="R29" i="2062"/>
  <c r="R28" i="2062"/>
  <c r="L28" i="2062"/>
  <c r="D28" i="2062" s="1"/>
  <c r="R27" i="2062"/>
  <c r="L27" i="2062"/>
  <c r="D27" i="2062" s="1"/>
  <c r="R26" i="2062"/>
  <c r="L26" i="2062"/>
  <c r="D26" i="2062"/>
  <c r="R25" i="2062"/>
  <c r="L25" i="2062"/>
  <c r="D25" i="2062" s="1"/>
  <c r="R24" i="2062"/>
  <c r="L24" i="2062"/>
  <c r="D24" i="2062" s="1"/>
  <c r="R23" i="2062"/>
  <c r="L23" i="2062"/>
  <c r="D23" i="2062"/>
  <c r="R22" i="2062"/>
  <c r="L20" i="2062" s="1"/>
  <c r="D20" i="2062" s="1"/>
  <c r="L22" i="2062"/>
  <c r="D22" i="2062" s="1"/>
  <c r="R21" i="2062"/>
  <c r="L17" i="2062" s="1"/>
  <c r="D17" i="2062" s="1"/>
  <c r="L21" i="2062"/>
  <c r="D21" i="2062" s="1"/>
  <c r="R20" i="2062"/>
  <c r="R19" i="2062"/>
  <c r="L19" i="2062"/>
  <c r="D19" i="2062"/>
  <c r="R18" i="2062"/>
  <c r="R17" i="2062"/>
  <c r="R16" i="2062"/>
  <c r="L16" i="2062"/>
  <c r="D16" i="2062" s="1"/>
  <c r="R15" i="2062"/>
  <c r="R14" i="2062"/>
  <c r="D14" i="2062"/>
  <c r="R13" i="2062"/>
  <c r="D13" i="2062"/>
  <c r="R12" i="2062"/>
  <c r="R11" i="2062"/>
  <c r="L11" i="2062"/>
  <c r="D11" i="2062"/>
  <c r="L7" i="2062"/>
  <c r="D7" i="2062" s="1"/>
  <c r="R6" i="2062"/>
  <c r="R5" i="2062"/>
  <c r="R4" i="2062"/>
  <c r="L15" i="2062" s="1"/>
  <c r="D15" i="2062" s="1"/>
  <c r="R52" i="2061"/>
  <c r="R51" i="2061"/>
  <c r="D50" i="2061"/>
  <c r="R49" i="2061"/>
  <c r="D49" i="2061"/>
  <c r="R48" i="2061"/>
  <c r="D48" i="2061"/>
  <c r="D46" i="2061"/>
  <c r="D45" i="2061"/>
  <c r="R44" i="2061"/>
  <c r="L28" i="2061" s="1"/>
  <c r="D28" i="2061" s="1"/>
  <c r="D44" i="2061"/>
  <c r="R42" i="2061"/>
  <c r="D42" i="2061"/>
  <c r="R41" i="2061"/>
  <c r="L7" i="2061" s="1"/>
  <c r="D7" i="2061" s="1"/>
  <c r="D41" i="2061"/>
  <c r="R40" i="2061"/>
  <c r="L8" i="2061" s="1"/>
  <c r="D8" i="2061" s="1"/>
  <c r="D40" i="2061"/>
  <c r="R39" i="2061"/>
  <c r="H39" i="2061"/>
  <c r="D39" i="2061"/>
  <c r="R38" i="2061"/>
  <c r="L9" i="2061" s="1"/>
  <c r="D9" i="2061" s="1"/>
  <c r="H38" i="2061"/>
  <c r="D38" i="2061"/>
  <c r="R37" i="2061"/>
  <c r="H37" i="2061"/>
  <c r="D37" i="2061"/>
  <c r="R36" i="2061"/>
  <c r="L10" i="2061" s="1"/>
  <c r="D10" i="2061" s="1"/>
  <c r="H36" i="2061"/>
  <c r="D36" i="2061"/>
  <c r="R35" i="2061"/>
  <c r="L18" i="2061" s="1"/>
  <c r="D18" i="2061" s="1"/>
  <c r="H35" i="2061"/>
  <c r="D35" i="2061"/>
  <c r="R34" i="2061"/>
  <c r="L12" i="2061" s="1"/>
  <c r="D12" i="2061" s="1"/>
  <c r="H34" i="2061"/>
  <c r="D34" i="2061"/>
  <c r="R33" i="2061"/>
  <c r="L19" i="2061" s="1"/>
  <c r="D19" i="2061" s="1"/>
  <c r="R32" i="2061"/>
  <c r="L11" i="2061" s="1"/>
  <c r="D11" i="2061" s="1"/>
  <c r="R31" i="2061"/>
  <c r="R30" i="2061"/>
  <c r="R29" i="2061"/>
  <c r="R28" i="2061"/>
  <c r="R27" i="2061"/>
  <c r="L27" i="2061"/>
  <c r="D27" i="2061"/>
  <c r="R26" i="2061"/>
  <c r="L26" i="2061"/>
  <c r="D26" i="2061"/>
  <c r="R25" i="2061"/>
  <c r="L25" i="2061"/>
  <c r="D25" i="2061" s="1"/>
  <c r="R24" i="2061"/>
  <c r="L24" i="2061"/>
  <c r="D24" i="2061" s="1"/>
  <c r="R23" i="2061"/>
  <c r="L23" i="2061"/>
  <c r="D23" i="2061" s="1"/>
  <c r="R22" i="2061"/>
  <c r="L20" i="2061" s="1"/>
  <c r="D20" i="2061" s="1"/>
  <c r="L22" i="2061"/>
  <c r="D22" i="2061" s="1"/>
  <c r="R21" i="2061"/>
  <c r="L17" i="2061" s="1"/>
  <c r="D17" i="2061" s="1"/>
  <c r="L21" i="2061"/>
  <c r="D21" i="2061"/>
  <c r="R20" i="2061"/>
  <c r="R19" i="2061"/>
  <c r="R18" i="2061"/>
  <c r="R17" i="2061"/>
  <c r="R16" i="2061"/>
  <c r="R15" i="2061"/>
  <c r="R14" i="2061"/>
  <c r="D14" i="2061"/>
  <c r="R13" i="2061"/>
  <c r="D13" i="2061"/>
  <c r="R12" i="2061"/>
  <c r="R11" i="2061"/>
  <c r="R6" i="2061"/>
  <c r="L16" i="2061" s="1"/>
  <c r="D16" i="2061" s="1"/>
  <c r="L6" i="2061"/>
  <c r="D6" i="2061" s="1"/>
  <c r="R5" i="2061"/>
  <c r="R4" i="2061"/>
  <c r="L15" i="2061" s="1"/>
  <c r="D15" i="2061" s="1"/>
  <c r="R52" i="2060"/>
  <c r="R51" i="2060"/>
  <c r="D50" i="2060"/>
  <c r="R49" i="2060"/>
  <c r="G49" i="2060"/>
  <c r="D49" i="2060"/>
  <c r="R48" i="2060"/>
  <c r="D48" i="2060"/>
  <c r="D46" i="2060"/>
  <c r="D45" i="2060"/>
  <c r="D44" i="2060"/>
  <c r="R42" i="2060"/>
  <c r="L6" i="2060" s="1"/>
  <c r="D6" i="2060" s="1"/>
  <c r="D42" i="2060"/>
  <c r="R41" i="2060"/>
  <c r="L7" i="2060" s="1"/>
  <c r="D7" i="2060" s="1"/>
  <c r="D41" i="2060"/>
  <c r="R40" i="2060"/>
  <c r="D40" i="2060"/>
  <c r="R39" i="2060"/>
  <c r="D39" i="2060"/>
  <c r="R38" i="2060"/>
  <c r="L9" i="2060" s="1"/>
  <c r="D9" i="2060" s="1"/>
  <c r="D38" i="2060"/>
  <c r="R37" i="2060"/>
  <c r="D37" i="2060"/>
  <c r="R36" i="2060"/>
  <c r="L10" i="2060" s="1"/>
  <c r="D10" i="2060" s="1"/>
  <c r="D36" i="2060"/>
  <c r="R35" i="2060"/>
  <c r="D35" i="2060"/>
  <c r="R34" i="2060"/>
  <c r="L12" i="2060" s="1"/>
  <c r="D12" i="2060" s="1"/>
  <c r="D34" i="2060"/>
  <c r="R33" i="2060"/>
  <c r="L23" i="2060" s="1"/>
  <c r="D23" i="2060" s="1"/>
  <c r="R32" i="2060"/>
  <c r="L11" i="2060" s="1"/>
  <c r="D11" i="2060" s="1"/>
  <c r="R31" i="2060"/>
  <c r="R30" i="2060"/>
  <c r="R29" i="2060"/>
  <c r="R28" i="2060"/>
  <c r="L16" i="2060" s="1"/>
  <c r="D16" i="2060" s="1"/>
  <c r="D28" i="2060"/>
  <c r="R27" i="2060"/>
  <c r="D27" i="2060"/>
  <c r="R26" i="2060"/>
  <c r="L26" i="2060"/>
  <c r="D26" i="2060"/>
  <c r="R25" i="2060"/>
  <c r="L25" i="2060"/>
  <c r="D25" i="2060"/>
  <c r="R24" i="2060"/>
  <c r="D24" i="2060"/>
  <c r="R23" i="2060"/>
  <c r="R22" i="2060"/>
  <c r="L22" i="2060"/>
  <c r="D22" i="2060" s="1"/>
  <c r="R21" i="2060"/>
  <c r="D21" i="2060"/>
  <c r="R20" i="2060"/>
  <c r="L20" i="2060"/>
  <c r="D20" i="2060" s="1"/>
  <c r="R19" i="2060"/>
  <c r="L19" i="2060"/>
  <c r="D19" i="2060"/>
  <c r="R18" i="2060"/>
  <c r="D18" i="2060"/>
  <c r="R17" i="2060"/>
  <c r="D17" i="2060"/>
  <c r="R16" i="2060"/>
  <c r="S15" i="2060"/>
  <c r="R15" i="2060"/>
  <c r="D15" i="2060"/>
  <c r="S14" i="2060"/>
  <c r="R14" i="2060"/>
  <c r="D14" i="2060"/>
  <c r="R13" i="2060"/>
  <c r="D13" i="2060"/>
  <c r="R12" i="2060"/>
  <c r="R11" i="2060"/>
  <c r="L8" i="2060"/>
  <c r="D8" i="2060" s="1"/>
  <c r="R6" i="2060"/>
  <c r="R5" i="2060"/>
  <c r="R4" i="2060"/>
  <c r="R52" i="2059"/>
  <c r="R51" i="2059"/>
  <c r="D50" i="2059"/>
  <c r="R49" i="2059"/>
  <c r="D49" i="2059"/>
  <c r="R48" i="2059"/>
  <c r="D48" i="2059"/>
  <c r="D46" i="2059"/>
  <c r="D45" i="2059"/>
  <c r="R44" i="2059"/>
  <c r="L28" i="2059" s="1"/>
  <c r="D28" i="2059" s="1"/>
  <c r="D44" i="2059"/>
  <c r="R42" i="2059"/>
  <c r="L6" i="2059" s="1"/>
  <c r="D6" i="2059" s="1"/>
  <c r="D42" i="2059"/>
  <c r="R41" i="2059"/>
  <c r="L7" i="2059" s="1"/>
  <c r="D7" i="2059" s="1"/>
  <c r="D41" i="2059"/>
  <c r="R40" i="2059"/>
  <c r="D40" i="2059"/>
  <c r="R39" i="2059"/>
  <c r="H39" i="2059"/>
  <c r="D39" i="2059"/>
  <c r="R38" i="2059"/>
  <c r="H38" i="2059"/>
  <c r="D38" i="2059"/>
  <c r="R37" i="2059"/>
  <c r="H37" i="2059"/>
  <c r="D37" i="2059"/>
  <c r="R36" i="2059"/>
  <c r="L10" i="2059" s="1"/>
  <c r="D10" i="2059" s="1"/>
  <c r="H36" i="2059"/>
  <c r="D36" i="2059"/>
  <c r="R35" i="2059"/>
  <c r="L18" i="2059" s="1"/>
  <c r="D18" i="2059" s="1"/>
  <c r="H35" i="2059"/>
  <c r="D35" i="2059"/>
  <c r="R34" i="2059"/>
  <c r="H34" i="2059"/>
  <c r="D34" i="2059"/>
  <c r="R33" i="2059"/>
  <c r="L19" i="2059" s="1"/>
  <c r="D19" i="2059" s="1"/>
  <c r="R32" i="2059"/>
  <c r="L11" i="2059" s="1"/>
  <c r="D11" i="2059" s="1"/>
  <c r="R31" i="2059"/>
  <c r="R30" i="2059"/>
  <c r="R29" i="2059"/>
  <c r="R28" i="2059"/>
  <c r="R27" i="2059"/>
  <c r="L27" i="2059"/>
  <c r="D27" i="2059" s="1"/>
  <c r="R26" i="2059"/>
  <c r="L26" i="2059"/>
  <c r="D26" i="2059"/>
  <c r="R25" i="2059"/>
  <c r="L25" i="2059"/>
  <c r="D25" i="2059"/>
  <c r="R24" i="2059"/>
  <c r="L24" i="2059"/>
  <c r="D24" i="2059" s="1"/>
  <c r="R23" i="2059"/>
  <c r="L23" i="2059"/>
  <c r="D23" i="2059" s="1"/>
  <c r="R22" i="2059"/>
  <c r="L20" i="2059" s="1"/>
  <c r="D20" i="2059" s="1"/>
  <c r="L22" i="2059"/>
  <c r="D22" i="2059"/>
  <c r="R21" i="2059"/>
  <c r="L17" i="2059" s="1"/>
  <c r="D17" i="2059" s="1"/>
  <c r="L21" i="2059"/>
  <c r="D21" i="2059"/>
  <c r="R20" i="2059"/>
  <c r="R19" i="2059"/>
  <c r="R18" i="2059"/>
  <c r="R17" i="2059"/>
  <c r="R16" i="2059"/>
  <c r="R15" i="2059"/>
  <c r="R14" i="2059"/>
  <c r="D14" i="2059"/>
  <c r="R13" i="2059"/>
  <c r="D13" i="2059"/>
  <c r="R12" i="2059"/>
  <c r="L12" i="2059"/>
  <c r="D12" i="2059"/>
  <c r="R11" i="2059"/>
  <c r="L9" i="2059"/>
  <c r="D9" i="2059"/>
  <c r="L8" i="2059"/>
  <c r="D8" i="2059" s="1"/>
  <c r="R6" i="2059"/>
  <c r="L16" i="2059" s="1"/>
  <c r="D16" i="2059" s="1"/>
  <c r="R5" i="2059"/>
  <c r="R4" i="2059"/>
  <c r="L15" i="2059" s="1"/>
  <c r="D15" i="2059" s="1"/>
  <c r="R52" i="2058"/>
  <c r="R51" i="2058"/>
  <c r="D50" i="2058"/>
  <c r="R49" i="2058"/>
  <c r="D49" i="2058"/>
  <c r="R48" i="2058"/>
  <c r="D48" i="2058"/>
  <c r="D46" i="2058"/>
  <c r="D45" i="2058"/>
  <c r="R44" i="2058"/>
  <c r="L28" i="2058" s="1"/>
  <c r="D28" i="2058" s="1"/>
  <c r="D44" i="2058"/>
  <c r="R42" i="2058"/>
  <c r="D42" i="2058"/>
  <c r="R41" i="2058"/>
  <c r="D41" i="2058"/>
  <c r="R40" i="2058"/>
  <c r="D40" i="2058"/>
  <c r="R39" i="2058"/>
  <c r="H39" i="2058"/>
  <c r="D39" i="2058"/>
  <c r="R38" i="2058"/>
  <c r="L9" i="2058" s="1"/>
  <c r="D9" i="2058" s="1"/>
  <c r="H38" i="2058"/>
  <c r="D38" i="2058"/>
  <c r="R37" i="2058"/>
  <c r="H37" i="2058"/>
  <c r="D37" i="2058"/>
  <c r="R36" i="2058"/>
  <c r="L10" i="2058" s="1"/>
  <c r="D10" i="2058" s="1"/>
  <c r="H36" i="2058"/>
  <c r="D36" i="2058"/>
  <c r="R35" i="2058"/>
  <c r="H35" i="2058"/>
  <c r="D35" i="2058"/>
  <c r="R34" i="2058"/>
  <c r="H34" i="2058"/>
  <c r="D34" i="2058"/>
  <c r="R33" i="2058"/>
  <c r="L19" i="2058" s="1"/>
  <c r="D19" i="2058" s="1"/>
  <c r="R32" i="2058"/>
  <c r="L11" i="2058" s="1"/>
  <c r="D11" i="2058" s="1"/>
  <c r="R31" i="2058"/>
  <c r="R30" i="2058"/>
  <c r="R29" i="2058"/>
  <c r="R28" i="2058"/>
  <c r="R27" i="2058"/>
  <c r="L27" i="2058"/>
  <c r="D27" i="2058"/>
  <c r="R26" i="2058"/>
  <c r="L26" i="2058"/>
  <c r="D26" i="2058" s="1"/>
  <c r="R25" i="2058"/>
  <c r="L25" i="2058"/>
  <c r="D25" i="2058" s="1"/>
  <c r="R24" i="2058"/>
  <c r="L24" i="2058"/>
  <c r="D24" i="2058" s="1"/>
  <c r="R23" i="2058"/>
  <c r="L23" i="2058"/>
  <c r="D23" i="2058" s="1"/>
  <c r="R22" i="2058"/>
  <c r="L20" i="2058" s="1"/>
  <c r="D20" i="2058" s="1"/>
  <c r="L22" i="2058"/>
  <c r="D22" i="2058" s="1"/>
  <c r="R21" i="2058"/>
  <c r="L21" i="2058"/>
  <c r="D21" i="2058" s="1"/>
  <c r="R20" i="2058"/>
  <c r="R19" i="2058"/>
  <c r="R18" i="2058"/>
  <c r="L18" i="2058"/>
  <c r="D18" i="2058"/>
  <c r="R17" i="2058"/>
  <c r="L17" i="2058"/>
  <c r="D17" i="2058" s="1"/>
  <c r="R16" i="2058"/>
  <c r="R15" i="2058"/>
  <c r="L15" i="2058"/>
  <c r="D15" i="2058" s="1"/>
  <c r="R14" i="2058"/>
  <c r="D14" i="2058"/>
  <c r="R13" i="2058"/>
  <c r="D13" i="2058"/>
  <c r="R12" i="2058"/>
  <c r="L12" i="2058"/>
  <c r="D12" i="2058" s="1"/>
  <c r="R11" i="2058"/>
  <c r="L8" i="2058"/>
  <c r="D8" i="2058" s="1"/>
  <c r="L7" i="2058"/>
  <c r="D7" i="2058"/>
  <c r="R6" i="2058"/>
  <c r="L16" i="2058" s="1"/>
  <c r="D16" i="2058" s="1"/>
  <c r="L6" i="2058"/>
  <c r="D6" i="2058" s="1"/>
  <c r="R5" i="2058"/>
  <c r="R4" i="2058"/>
  <c r="R52" i="2057"/>
  <c r="R51" i="2057"/>
  <c r="D50" i="2057"/>
  <c r="R49" i="2057"/>
  <c r="D49" i="2057"/>
  <c r="R48" i="2057"/>
  <c r="D48" i="2057"/>
  <c r="D46" i="2057"/>
  <c r="D45" i="2057"/>
  <c r="R44" i="2057"/>
  <c r="L28" i="2057" s="1"/>
  <c r="D28" i="2057" s="1"/>
  <c r="D44" i="2057"/>
  <c r="R42" i="2057"/>
  <c r="L6" i="2057" s="1"/>
  <c r="D6" i="2057" s="1"/>
  <c r="D42" i="2057"/>
  <c r="R41" i="2057"/>
  <c r="L7" i="2057" s="1"/>
  <c r="D7" i="2057" s="1"/>
  <c r="D41" i="2057"/>
  <c r="R40" i="2057"/>
  <c r="D40" i="2057"/>
  <c r="R39" i="2057"/>
  <c r="H39" i="2057"/>
  <c r="D39" i="2057"/>
  <c r="R38" i="2057"/>
  <c r="L9" i="2057" s="1"/>
  <c r="D9" i="2057" s="1"/>
  <c r="H38" i="2057"/>
  <c r="D38" i="2057"/>
  <c r="R37" i="2057"/>
  <c r="H37" i="2057"/>
  <c r="D37" i="2057"/>
  <c r="R36" i="2057"/>
  <c r="L10" i="2057" s="1"/>
  <c r="D10" i="2057" s="1"/>
  <c r="H36" i="2057"/>
  <c r="D36" i="2057"/>
  <c r="R35" i="2057"/>
  <c r="L18" i="2057" s="1"/>
  <c r="D18" i="2057" s="1"/>
  <c r="H35" i="2057"/>
  <c r="D35" i="2057"/>
  <c r="R34" i="2057"/>
  <c r="L12" i="2057" s="1"/>
  <c r="D12" i="2057" s="1"/>
  <c r="H34" i="2057"/>
  <c r="D34" i="2057"/>
  <c r="R33" i="2057"/>
  <c r="L19" i="2057" s="1"/>
  <c r="D19" i="2057" s="1"/>
  <c r="R32" i="2057"/>
  <c r="L11" i="2057" s="1"/>
  <c r="D11" i="2057" s="1"/>
  <c r="R31" i="2057"/>
  <c r="R30" i="2057"/>
  <c r="R29" i="2057"/>
  <c r="R28" i="2057"/>
  <c r="R27" i="2057"/>
  <c r="L27" i="2057"/>
  <c r="D27" i="2057" s="1"/>
  <c r="R26" i="2057"/>
  <c r="L26" i="2057"/>
  <c r="D26" i="2057" s="1"/>
  <c r="R25" i="2057"/>
  <c r="L25" i="2057"/>
  <c r="D25" i="2057" s="1"/>
  <c r="R24" i="2057"/>
  <c r="L24" i="2057"/>
  <c r="D24" i="2057"/>
  <c r="R23" i="2057"/>
  <c r="L23" i="2057"/>
  <c r="D23" i="2057"/>
  <c r="R22" i="2057"/>
  <c r="L20" i="2057" s="1"/>
  <c r="D20" i="2057" s="1"/>
  <c r="L22" i="2057"/>
  <c r="D22" i="2057" s="1"/>
  <c r="R21" i="2057"/>
  <c r="L21" i="2057"/>
  <c r="D21" i="2057" s="1"/>
  <c r="R20" i="2057"/>
  <c r="R19" i="2057"/>
  <c r="R18" i="2057"/>
  <c r="R17" i="2057"/>
  <c r="L17" i="2057"/>
  <c r="D17" i="2057" s="1"/>
  <c r="R16" i="2057"/>
  <c r="R15" i="2057"/>
  <c r="R14" i="2057"/>
  <c r="D14" i="2057"/>
  <c r="R13" i="2057"/>
  <c r="D13" i="2057"/>
  <c r="R12" i="2057"/>
  <c r="R11" i="2057"/>
  <c r="L8" i="2057"/>
  <c r="D8" i="2057" s="1"/>
  <c r="R6" i="2057"/>
  <c r="L16" i="2057" s="1"/>
  <c r="D16" i="2057" s="1"/>
  <c r="R5" i="2057"/>
  <c r="R4" i="2057"/>
  <c r="L15" i="2057" s="1"/>
  <c r="D15" i="2057" s="1"/>
  <c r="R52" i="2056"/>
  <c r="R51" i="2056"/>
  <c r="D50" i="2056"/>
  <c r="R49" i="2056"/>
  <c r="G49" i="2056"/>
  <c r="D49" i="2056"/>
  <c r="R48" i="2056"/>
  <c r="D48" i="2056"/>
  <c r="D46" i="2056"/>
  <c r="D45" i="2056"/>
  <c r="D44" i="2056"/>
  <c r="R42" i="2056"/>
  <c r="L6" i="2056" s="1"/>
  <c r="D6" i="2056" s="1"/>
  <c r="D42" i="2056"/>
  <c r="R41" i="2056"/>
  <c r="L7" i="2056" s="1"/>
  <c r="D7" i="2056" s="1"/>
  <c r="D41" i="2056"/>
  <c r="R40" i="2056"/>
  <c r="L8" i="2056" s="1"/>
  <c r="D8" i="2056" s="1"/>
  <c r="D40" i="2056"/>
  <c r="R39" i="2056"/>
  <c r="D39" i="2056"/>
  <c r="R38" i="2056"/>
  <c r="L9" i="2056" s="1"/>
  <c r="D9" i="2056" s="1"/>
  <c r="D38" i="2056"/>
  <c r="R37" i="2056"/>
  <c r="D37" i="2056"/>
  <c r="R36" i="2056"/>
  <c r="L10" i="2056" s="1"/>
  <c r="D10" i="2056" s="1"/>
  <c r="D36" i="2056"/>
  <c r="R35" i="2056"/>
  <c r="D35" i="2056"/>
  <c r="R34" i="2056"/>
  <c r="L12" i="2056" s="1"/>
  <c r="D12" i="2056" s="1"/>
  <c r="D34" i="2056"/>
  <c r="R33" i="2056"/>
  <c r="L23" i="2056" s="1"/>
  <c r="D23" i="2056" s="1"/>
  <c r="R32" i="2056"/>
  <c r="L11" i="2056" s="1"/>
  <c r="D11" i="2056" s="1"/>
  <c r="R31" i="2056"/>
  <c r="R30" i="2056"/>
  <c r="R29" i="2056"/>
  <c r="R28" i="2056"/>
  <c r="L16" i="2056" s="1"/>
  <c r="D16" i="2056" s="1"/>
  <c r="D28" i="2056"/>
  <c r="R27" i="2056"/>
  <c r="D27" i="2056"/>
  <c r="R26" i="2056"/>
  <c r="L26" i="2056"/>
  <c r="D26" i="2056"/>
  <c r="R25" i="2056"/>
  <c r="L25" i="2056"/>
  <c r="D25" i="2056" s="1"/>
  <c r="R24" i="2056"/>
  <c r="D24" i="2056"/>
  <c r="R23" i="2056"/>
  <c r="R22" i="2056"/>
  <c r="L22" i="2056"/>
  <c r="D22" i="2056"/>
  <c r="R21" i="2056"/>
  <c r="D21" i="2056"/>
  <c r="R20" i="2056"/>
  <c r="L20" i="2056"/>
  <c r="D20" i="2056"/>
  <c r="R19" i="2056"/>
  <c r="L19" i="2056"/>
  <c r="D19" i="2056"/>
  <c r="R18" i="2056"/>
  <c r="D18" i="2056"/>
  <c r="R17" i="2056"/>
  <c r="D17" i="2056"/>
  <c r="R16" i="2056"/>
  <c r="S15" i="2056"/>
  <c r="R15" i="2056"/>
  <c r="D15" i="2056"/>
  <c r="S14" i="2056"/>
  <c r="R14" i="2056"/>
  <c r="D14" i="2056"/>
  <c r="R13" i="2056"/>
  <c r="D13" i="2056"/>
  <c r="R12" i="2056"/>
  <c r="R11" i="2056"/>
  <c r="R6" i="2056"/>
  <c r="R5" i="2056"/>
  <c r="R4" i="2056"/>
  <c r="D54" i="2063" l="1"/>
  <c r="H14" i="2063" s="1"/>
  <c r="G49" i="2066"/>
  <c r="D54" i="2068"/>
  <c r="H14" i="2068" s="1"/>
  <c r="D54" i="2060"/>
  <c r="H14" i="2060" s="1"/>
  <c r="D29" i="2064"/>
  <c r="H13" i="2064" s="1"/>
  <c r="D54" i="2066"/>
  <c r="H14" i="2066" s="1"/>
  <c r="D54" i="2072"/>
  <c r="H14" i="2072" s="1"/>
  <c r="D54" i="2056"/>
  <c r="H14" i="2056" s="1"/>
  <c r="G49" i="2071"/>
  <c r="D54" i="2071"/>
  <c r="H14" i="2071" s="1"/>
  <c r="G49" i="2070"/>
  <c r="D54" i="2070"/>
  <c r="H14" i="2070" s="1"/>
  <c r="G49" i="2069"/>
  <c r="D54" i="2069"/>
  <c r="H14" i="2069" s="1"/>
  <c r="G49" i="2067"/>
  <c r="D54" i="2067"/>
  <c r="H14" i="2067" s="1"/>
  <c r="G49" i="2065"/>
  <c r="D54" i="2065"/>
  <c r="H14" i="2065" s="1"/>
  <c r="D29" i="2065"/>
  <c r="H13" i="2065" s="1"/>
  <c r="D54" i="2062"/>
  <c r="H14" i="2062" s="1"/>
  <c r="G49" i="2061"/>
  <c r="D54" i="2061"/>
  <c r="H14" i="2061" s="1"/>
  <c r="G49" i="2059"/>
  <c r="D54" i="2059"/>
  <c r="H14" i="2059" s="1"/>
  <c r="G49" i="2058"/>
  <c r="D54" i="2058"/>
  <c r="H14" i="2058" s="1"/>
  <c r="G49" i="2057"/>
  <c r="D54" i="2057"/>
  <c r="H14" i="2057" s="1"/>
  <c r="D29" i="2072"/>
  <c r="H13" i="2072" s="1"/>
  <c r="H15" i="2072" s="1"/>
  <c r="H29" i="2072" s="1"/>
  <c r="G51" i="2072" s="1"/>
  <c r="D29" i="2071"/>
  <c r="H13" i="2071" s="1"/>
  <c r="D29" i="2070"/>
  <c r="H13" i="2070" s="1"/>
  <c r="D29" i="2069"/>
  <c r="H13" i="2069" s="1"/>
  <c r="D29" i="2068"/>
  <c r="H13" i="2068" s="1"/>
  <c r="H15" i="2068" s="1"/>
  <c r="H29" i="2068" s="1"/>
  <c r="G51" i="2068" s="1"/>
  <c r="D29" i="2067"/>
  <c r="H13" i="2067" s="1"/>
  <c r="D29" i="2066"/>
  <c r="H13" i="2066" s="1"/>
  <c r="H15" i="2066" s="1"/>
  <c r="H29" i="2066" s="1"/>
  <c r="G51" i="2066" s="1"/>
  <c r="H15" i="2064"/>
  <c r="H29" i="2064" s="1"/>
  <c r="G51" i="2064" s="1"/>
  <c r="D29" i="2063"/>
  <c r="H13" i="2063" s="1"/>
  <c r="H15" i="2063" s="1"/>
  <c r="H29" i="2063" s="1"/>
  <c r="G51" i="2063"/>
  <c r="D29" i="2062"/>
  <c r="H13" i="2062" s="1"/>
  <c r="D29" i="2061"/>
  <c r="H13" i="2061" s="1"/>
  <c r="D29" i="2060"/>
  <c r="H13" i="2060" s="1"/>
  <c r="H15" i="2060" s="1"/>
  <c r="H29" i="2060" s="1"/>
  <c r="G51" i="2060" s="1"/>
  <c r="D29" i="2059"/>
  <c r="H13" i="2059" s="1"/>
  <c r="D29" i="2058"/>
  <c r="H13" i="2058" s="1"/>
  <c r="D29" i="2057"/>
  <c r="H13" i="2057" s="1"/>
  <c r="D29" i="2056"/>
  <c r="H13" i="2056" s="1"/>
  <c r="H15" i="2056" s="1"/>
  <c r="H29" i="2056" s="1"/>
  <c r="G51" i="2056" s="1"/>
  <c r="H16" i="2041"/>
  <c r="C19" i="2041"/>
  <c r="C18" i="2041"/>
  <c r="C16" i="2041"/>
  <c r="C12" i="2039"/>
  <c r="C16" i="2039"/>
  <c r="C15" i="2039"/>
  <c r="H15" i="2071" l="1"/>
  <c r="H29" i="2071" s="1"/>
  <c r="G51" i="2071" s="1"/>
  <c r="H15" i="2070"/>
  <c r="H29" i="2070" s="1"/>
  <c r="G51" i="2070" s="1"/>
  <c r="H15" i="2069"/>
  <c r="H29" i="2069" s="1"/>
  <c r="G51" i="2069" s="1"/>
  <c r="H15" i="2067"/>
  <c r="H29" i="2067" s="1"/>
  <c r="G51" i="2067" s="1"/>
  <c r="H15" i="2065"/>
  <c r="H29" i="2065" s="1"/>
  <c r="G51" i="2065" s="1"/>
  <c r="H15" i="2062"/>
  <c r="H29" i="2062" s="1"/>
  <c r="G51" i="2062" s="1"/>
  <c r="H15" i="2061"/>
  <c r="H29" i="2061" s="1"/>
  <c r="G51" i="2061" s="1"/>
  <c r="H15" i="2059"/>
  <c r="H29" i="2059" s="1"/>
  <c r="G51" i="2059" s="1"/>
  <c r="H15" i="2058"/>
  <c r="H29" i="2058" s="1"/>
  <c r="G51" i="2058" s="1"/>
  <c r="H15" i="2057"/>
  <c r="H29" i="2057" s="1"/>
  <c r="G51" i="2057" s="1"/>
  <c r="C16" i="2037"/>
  <c r="C15" i="2037"/>
  <c r="H16" i="2037"/>
  <c r="C12" i="2035"/>
  <c r="C16" i="2035"/>
  <c r="H16" i="2033" l="1"/>
  <c r="C37" i="2033" l="1"/>
  <c r="H16" i="2055" l="1"/>
  <c r="C12" i="2055"/>
  <c r="R52" i="2055"/>
  <c r="R51" i="2055"/>
  <c r="D50" i="2055"/>
  <c r="R49" i="2055"/>
  <c r="D49" i="2055"/>
  <c r="R48" i="2055"/>
  <c r="D48" i="2055"/>
  <c r="D46" i="2055"/>
  <c r="D45" i="2055"/>
  <c r="R44" i="2055"/>
  <c r="L28" i="2055" s="1"/>
  <c r="D28" i="2055" s="1"/>
  <c r="D44" i="2055"/>
  <c r="R42" i="2055"/>
  <c r="D42" i="2055"/>
  <c r="R41" i="2055"/>
  <c r="D41" i="2055"/>
  <c r="R40" i="2055"/>
  <c r="D40" i="2055"/>
  <c r="R39" i="2055"/>
  <c r="H39" i="2055"/>
  <c r="D39" i="2055"/>
  <c r="R38" i="2055"/>
  <c r="L9" i="2055" s="1"/>
  <c r="D9" i="2055" s="1"/>
  <c r="H38" i="2055"/>
  <c r="D38" i="2055"/>
  <c r="R37" i="2055"/>
  <c r="H37" i="2055"/>
  <c r="D37" i="2055"/>
  <c r="R36" i="2055"/>
  <c r="L10" i="2055" s="1"/>
  <c r="D10" i="2055" s="1"/>
  <c r="H36" i="2055"/>
  <c r="D36" i="2055"/>
  <c r="R35" i="2055"/>
  <c r="H35" i="2055"/>
  <c r="D35" i="2055"/>
  <c r="R34" i="2055"/>
  <c r="L12" i="2055" s="1"/>
  <c r="H34" i="2055"/>
  <c r="D34" i="2055"/>
  <c r="R33" i="2055"/>
  <c r="R32" i="2055"/>
  <c r="L11" i="2055" s="1"/>
  <c r="D11" i="2055" s="1"/>
  <c r="R31" i="2055"/>
  <c r="R30" i="2055"/>
  <c r="R29" i="2055"/>
  <c r="R28" i="2055"/>
  <c r="R27" i="2055"/>
  <c r="L27" i="2055"/>
  <c r="D27" i="2055" s="1"/>
  <c r="R26" i="2055"/>
  <c r="L26" i="2055"/>
  <c r="D26" i="2055"/>
  <c r="R25" i="2055"/>
  <c r="L25" i="2055"/>
  <c r="D25" i="2055"/>
  <c r="R24" i="2055"/>
  <c r="L24" i="2055"/>
  <c r="D24" i="2055"/>
  <c r="R23" i="2055"/>
  <c r="L23" i="2055"/>
  <c r="D23" i="2055" s="1"/>
  <c r="R22" i="2055"/>
  <c r="L20" i="2055" s="1"/>
  <c r="D20" i="2055" s="1"/>
  <c r="L22" i="2055"/>
  <c r="D22" i="2055"/>
  <c r="R21" i="2055"/>
  <c r="L17" i="2055" s="1"/>
  <c r="D17" i="2055" s="1"/>
  <c r="L21" i="2055"/>
  <c r="D21" i="2055"/>
  <c r="R20" i="2055"/>
  <c r="R19" i="2055"/>
  <c r="L19" i="2055"/>
  <c r="D19" i="2055"/>
  <c r="R18" i="2055"/>
  <c r="L18" i="2055"/>
  <c r="D18" i="2055" s="1"/>
  <c r="R17" i="2055"/>
  <c r="R16" i="2055"/>
  <c r="R15" i="2055"/>
  <c r="R14" i="2055"/>
  <c r="D14" i="2055"/>
  <c r="R13" i="2055"/>
  <c r="D13" i="2055"/>
  <c r="R12" i="2055"/>
  <c r="R11" i="2055"/>
  <c r="L8" i="2055"/>
  <c r="D8" i="2055"/>
  <c r="L7" i="2055"/>
  <c r="D7" i="2055" s="1"/>
  <c r="R6" i="2055"/>
  <c r="L16" i="2055" s="1"/>
  <c r="L6" i="2055"/>
  <c r="D6" i="2055" s="1"/>
  <c r="R5" i="2055"/>
  <c r="R4" i="2055"/>
  <c r="L15" i="2055" s="1"/>
  <c r="D15" i="2055" s="1"/>
  <c r="R52" i="2054"/>
  <c r="R51" i="2054"/>
  <c r="D50" i="2054"/>
  <c r="R49" i="2054"/>
  <c r="G49" i="2054"/>
  <c r="D49" i="2054"/>
  <c r="R48" i="2054"/>
  <c r="D48" i="2054"/>
  <c r="D46" i="2054"/>
  <c r="D45" i="2054"/>
  <c r="D44" i="2054"/>
  <c r="R42" i="2054"/>
  <c r="L6" i="2054" s="1"/>
  <c r="D6" i="2054" s="1"/>
  <c r="D42" i="2054"/>
  <c r="R41" i="2054"/>
  <c r="L7" i="2054" s="1"/>
  <c r="D7" i="2054" s="1"/>
  <c r="D41" i="2054"/>
  <c r="R40" i="2054"/>
  <c r="L8" i="2054" s="1"/>
  <c r="D8" i="2054" s="1"/>
  <c r="D40" i="2054"/>
  <c r="R39" i="2054"/>
  <c r="D39" i="2054"/>
  <c r="R38" i="2054"/>
  <c r="D38" i="2054"/>
  <c r="R37" i="2054"/>
  <c r="D37" i="2054"/>
  <c r="R36" i="2054"/>
  <c r="L10" i="2054" s="1"/>
  <c r="D10" i="2054" s="1"/>
  <c r="D36" i="2054"/>
  <c r="R35" i="2054"/>
  <c r="D35" i="2054"/>
  <c r="R34" i="2054"/>
  <c r="D34" i="2054"/>
  <c r="R33" i="2054"/>
  <c r="R32" i="2054"/>
  <c r="R31" i="2054"/>
  <c r="R30" i="2054"/>
  <c r="R29" i="2054"/>
  <c r="R28" i="2054"/>
  <c r="L16" i="2054" s="1"/>
  <c r="D16" i="2054" s="1"/>
  <c r="D28" i="2054"/>
  <c r="R27" i="2054"/>
  <c r="D27" i="2054"/>
  <c r="R26" i="2054"/>
  <c r="L26" i="2054"/>
  <c r="D26" i="2054"/>
  <c r="R25" i="2054"/>
  <c r="L25" i="2054"/>
  <c r="D25" i="2054" s="1"/>
  <c r="R24" i="2054"/>
  <c r="D24" i="2054"/>
  <c r="R23" i="2054"/>
  <c r="L23" i="2054"/>
  <c r="D23" i="2054" s="1"/>
  <c r="R22" i="2054"/>
  <c r="L22" i="2054"/>
  <c r="D22" i="2054" s="1"/>
  <c r="R21" i="2054"/>
  <c r="D21" i="2054"/>
  <c r="R20" i="2054"/>
  <c r="L20" i="2054"/>
  <c r="D20" i="2054"/>
  <c r="R19" i="2054"/>
  <c r="L19" i="2054"/>
  <c r="D19" i="2054" s="1"/>
  <c r="R18" i="2054"/>
  <c r="D18" i="2054"/>
  <c r="R17" i="2054"/>
  <c r="D17" i="2054"/>
  <c r="R16" i="2054"/>
  <c r="S15" i="2054"/>
  <c r="R15" i="2054"/>
  <c r="D15" i="2054"/>
  <c r="S14" i="2054"/>
  <c r="R14" i="2054"/>
  <c r="D14" i="2054"/>
  <c r="R13" i="2054"/>
  <c r="D13" i="2054"/>
  <c r="R12" i="2054"/>
  <c r="L12" i="2054"/>
  <c r="D12" i="2054"/>
  <c r="R11" i="2054"/>
  <c r="L11" i="2054"/>
  <c r="D11" i="2054"/>
  <c r="L9" i="2054"/>
  <c r="D9" i="2054" s="1"/>
  <c r="R6" i="2054"/>
  <c r="R5" i="2054"/>
  <c r="R4" i="2054"/>
  <c r="D54" i="2054" l="1"/>
  <c r="H14" i="2054" s="1"/>
  <c r="D12" i="2055"/>
  <c r="G49" i="2055"/>
  <c r="D54" i="2055"/>
  <c r="H14" i="2055" s="1"/>
  <c r="D16" i="2055"/>
  <c r="D29" i="2055" s="1"/>
  <c r="H13" i="2055" s="1"/>
  <c r="D29" i="2054"/>
  <c r="H13" i="2054" s="1"/>
  <c r="H15" i="2054" s="1"/>
  <c r="H29" i="2054" s="1"/>
  <c r="G51" i="2054" s="1"/>
  <c r="H16" i="2029"/>
  <c r="C16" i="2029"/>
  <c r="H15" i="2055" l="1"/>
  <c r="H29" i="2055" s="1"/>
  <c r="G51" i="2055" s="1"/>
  <c r="R52" i="2053"/>
  <c r="R51" i="2053"/>
  <c r="D50" i="2053"/>
  <c r="R49" i="2053"/>
  <c r="D49" i="2053"/>
  <c r="R48" i="2053"/>
  <c r="D48" i="2053"/>
  <c r="D46" i="2053"/>
  <c r="D45" i="2053"/>
  <c r="R44" i="2053"/>
  <c r="L28" i="2053" s="1"/>
  <c r="D28" i="2053" s="1"/>
  <c r="D44" i="2053"/>
  <c r="R42" i="2053"/>
  <c r="L6" i="2053" s="1"/>
  <c r="D42" i="2053"/>
  <c r="R41" i="2053"/>
  <c r="D41" i="2053"/>
  <c r="R40" i="2053"/>
  <c r="D40" i="2053"/>
  <c r="R39" i="2053"/>
  <c r="H39" i="2053"/>
  <c r="D39" i="2053"/>
  <c r="R38" i="2053"/>
  <c r="L9" i="2053" s="1"/>
  <c r="D9" i="2053" s="1"/>
  <c r="H38" i="2053"/>
  <c r="D38" i="2053"/>
  <c r="R37" i="2053"/>
  <c r="H37" i="2053"/>
  <c r="D37" i="2053"/>
  <c r="R36" i="2053"/>
  <c r="L10" i="2053" s="1"/>
  <c r="D10" i="2053" s="1"/>
  <c r="H36" i="2053"/>
  <c r="D36" i="2053"/>
  <c r="R35" i="2053"/>
  <c r="L18" i="2053" s="1"/>
  <c r="D18" i="2053" s="1"/>
  <c r="H35" i="2053"/>
  <c r="D35" i="2053"/>
  <c r="R34" i="2053"/>
  <c r="L12" i="2053" s="1"/>
  <c r="D12" i="2053" s="1"/>
  <c r="H34" i="2053"/>
  <c r="D34" i="2053"/>
  <c r="R33" i="2053"/>
  <c r="R32" i="2053"/>
  <c r="L11" i="2053" s="1"/>
  <c r="D11" i="2053" s="1"/>
  <c r="R31" i="2053"/>
  <c r="R30" i="2053"/>
  <c r="R29" i="2053"/>
  <c r="R28" i="2053"/>
  <c r="R27" i="2053"/>
  <c r="L27" i="2053"/>
  <c r="D27" i="2053" s="1"/>
  <c r="R26" i="2053"/>
  <c r="L26" i="2053"/>
  <c r="D26" i="2053"/>
  <c r="R25" i="2053"/>
  <c r="L25" i="2053"/>
  <c r="D25" i="2053" s="1"/>
  <c r="R24" i="2053"/>
  <c r="L24" i="2053"/>
  <c r="D24" i="2053"/>
  <c r="R23" i="2053"/>
  <c r="L23" i="2053"/>
  <c r="D23" i="2053" s="1"/>
  <c r="R22" i="2053"/>
  <c r="L20" i="2053" s="1"/>
  <c r="D20" i="2053" s="1"/>
  <c r="L22" i="2053"/>
  <c r="D22" i="2053" s="1"/>
  <c r="R21" i="2053"/>
  <c r="L21" i="2053"/>
  <c r="D21" i="2053"/>
  <c r="R20" i="2053"/>
  <c r="R19" i="2053"/>
  <c r="L19" i="2053"/>
  <c r="D19" i="2053" s="1"/>
  <c r="R18" i="2053"/>
  <c r="R17" i="2053"/>
  <c r="L17" i="2053"/>
  <c r="D17" i="2053" s="1"/>
  <c r="R16" i="2053"/>
  <c r="R15" i="2053"/>
  <c r="L15" i="2053"/>
  <c r="D15" i="2053" s="1"/>
  <c r="R14" i="2053"/>
  <c r="D14" i="2053"/>
  <c r="R13" i="2053"/>
  <c r="D13" i="2053"/>
  <c r="R12" i="2053"/>
  <c r="R11" i="2053"/>
  <c r="L8" i="2053"/>
  <c r="D8" i="2053"/>
  <c r="L7" i="2053"/>
  <c r="D7" i="2053"/>
  <c r="R6" i="2053"/>
  <c r="L16" i="2053" s="1"/>
  <c r="D16" i="2053" s="1"/>
  <c r="D6" i="2053"/>
  <c r="R5" i="2053"/>
  <c r="R4" i="2053"/>
  <c r="R52" i="2052"/>
  <c r="R51" i="2052"/>
  <c r="D50" i="2052"/>
  <c r="R49" i="2052"/>
  <c r="D49" i="2052"/>
  <c r="R48" i="2052"/>
  <c r="D48" i="2052"/>
  <c r="D46" i="2052"/>
  <c r="D45" i="2052"/>
  <c r="R44" i="2052"/>
  <c r="L28" i="2052" s="1"/>
  <c r="D28" i="2052" s="1"/>
  <c r="D44" i="2052"/>
  <c r="R42" i="2052"/>
  <c r="D42" i="2052"/>
  <c r="R41" i="2052"/>
  <c r="D41" i="2052"/>
  <c r="R40" i="2052"/>
  <c r="L8" i="2052" s="1"/>
  <c r="D8" i="2052" s="1"/>
  <c r="D40" i="2052"/>
  <c r="R39" i="2052"/>
  <c r="H39" i="2052"/>
  <c r="D39" i="2052"/>
  <c r="R38" i="2052"/>
  <c r="L9" i="2052" s="1"/>
  <c r="D9" i="2052" s="1"/>
  <c r="H38" i="2052"/>
  <c r="D38" i="2052"/>
  <c r="R37" i="2052"/>
  <c r="H37" i="2052"/>
  <c r="D37" i="2052"/>
  <c r="R36" i="2052"/>
  <c r="H36" i="2052"/>
  <c r="D36" i="2052"/>
  <c r="R35" i="2052"/>
  <c r="L18" i="2052" s="1"/>
  <c r="D18" i="2052" s="1"/>
  <c r="H35" i="2052"/>
  <c r="D35" i="2052"/>
  <c r="R34" i="2052"/>
  <c r="L12" i="2052" s="1"/>
  <c r="D12" i="2052" s="1"/>
  <c r="H34" i="2052"/>
  <c r="D34" i="2052"/>
  <c r="R33" i="2052"/>
  <c r="L19" i="2052" s="1"/>
  <c r="D19" i="2052" s="1"/>
  <c r="R32" i="2052"/>
  <c r="L11" i="2052" s="1"/>
  <c r="D11" i="2052" s="1"/>
  <c r="R31" i="2052"/>
  <c r="R30" i="2052"/>
  <c r="R29" i="2052"/>
  <c r="R28" i="2052"/>
  <c r="R27" i="2052"/>
  <c r="L27" i="2052"/>
  <c r="D27" i="2052"/>
  <c r="R26" i="2052"/>
  <c r="L26" i="2052"/>
  <c r="D26" i="2052" s="1"/>
  <c r="R25" i="2052"/>
  <c r="L25" i="2052"/>
  <c r="D25" i="2052" s="1"/>
  <c r="R24" i="2052"/>
  <c r="L24" i="2052"/>
  <c r="D24" i="2052"/>
  <c r="R23" i="2052"/>
  <c r="L23" i="2052"/>
  <c r="D23" i="2052" s="1"/>
  <c r="R22" i="2052"/>
  <c r="L20" i="2052" s="1"/>
  <c r="D20" i="2052" s="1"/>
  <c r="L22" i="2052"/>
  <c r="D22" i="2052" s="1"/>
  <c r="R21" i="2052"/>
  <c r="L17" i="2052" s="1"/>
  <c r="D17" i="2052" s="1"/>
  <c r="L21" i="2052"/>
  <c r="D21" i="2052" s="1"/>
  <c r="R20" i="2052"/>
  <c r="R19" i="2052"/>
  <c r="R18" i="2052"/>
  <c r="R17" i="2052"/>
  <c r="R16" i="2052"/>
  <c r="R15" i="2052"/>
  <c r="L15" i="2052"/>
  <c r="D15" i="2052" s="1"/>
  <c r="R14" i="2052"/>
  <c r="D14" i="2052"/>
  <c r="R13" i="2052"/>
  <c r="D13" i="2052"/>
  <c r="R12" i="2052"/>
  <c r="R11" i="2052"/>
  <c r="L10" i="2052"/>
  <c r="D10" i="2052"/>
  <c r="L7" i="2052"/>
  <c r="D7" i="2052"/>
  <c r="R6" i="2052"/>
  <c r="L16" i="2052" s="1"/>
  <c r="D16" i="2052" s="1"/>
  <c r="L6" i="2052"/>
  <c r="D6" i="2052" s="1"/>
  <c r="R5" i="2052"/>
  <c r="R4" i="2052"/>
  <c r="R52" i="2051"/>
  <c r="R51" i="2051"/>
  <c r="D50" i="2051"/>
  <c r="R49" i="2051"/>
  <c r="D49" i="2051"/>
  <c r="R48" i="2051"/>
  <c r="D48" i="2051"/>
  <c r="D46" i="2051"/>
  <c r="D45" i="2051"/>
  <c r="R44" i="2051"/>
  <c r="L28" i="2051" s="1"/>
  <c r="D28" i="2051" s="1"/>
  <c r="D44" i="2051"/>
  <c r="R42" i="2051"/>
  <c r="D42" i="2051"/>
  <c r="R41" i="2051"/>
  <c r="D41" i="2051"/>
  <c r="R40" i="2051"/>
  <c r="D40" i="2051"/>
  <c r="R39" i="2051"/>
  <c r="H39" i="2051"/>
  <c r="D39" i="2051"/>
  <c r="R38" i="2051"/>
  <c r="L9" i="2051" s="1"/>
  <c r="D9" i="2051" s="1"/>
  <c r="H38" i="2051"/>
  <c r="D38" i="2051"/>
  <c r="R37" i="2051"/>
  <c r="H37" i="2051"/>
  <c r="D37" i="2051"/>
  <c r="R36" i="2051"/>
  <c r="H36" i="2051"/>
  <c r="D36" i="2051"/>
  <c r="R35" i="2051"/>
  <c r="L18" i="2051" s="1"/>
  <c r="D18" i="2051" s="1"/>
  <c r="H35" i="2051"/>
  <c r="D35" i="2051"/>
  <c r="R34" i="2051"/>
  <c r="L12" i="2051" s="1"/>
  <c r="D12" i="2051" s="1"/>
  <c r="H34" i="2051"/>
  <c r="G49" i="2051" s="1"/>
  <c r="D34" i="2051"/>
  <c r="R33" i="2051"/>
  <c r="R32" i="2051"/>
  <c r="R31" i="2051"/>
  <c r="R30" i="2051"/>
  <c r="R29" i="2051"/>
  <c r="R28" i="2051"/>
  <c r="R27" i="2051"/>
  <c r="L27" i="2051"/>
  <c r="D27" i="2051"/>
  <c r="R26" i="2051"/>
  <c r="L26" i="2051"/>
  <c r="D26" i="2051" s="1"/>
  <c r="R25" i="2051"/>
  <c r="L25" i="2051"/>
  <c r="D25" i="2051" s="1"/>
  <c r="R24" i="2051"/>
  <c r="L24" i="2051"/>
  <c r="D24" i="2051" s="1"/>
  <c r="R23" i="2051"/>
  <c r="L23" i="2051"/>
  <c r="D23" i="2051" s="1"/>
  <c r="R22" i="2051"/>
  <c r="L20" i="2051" s="1"/>
  <c r="D20" i="2051" s="1"/>
  <c r="L22" i="2051"/>
  <c r="D22" i="2051" s="1"/>
  <c r="R21" i="2051"/>
  <c r="L17" i="2051" s="1"/>
  <c r="D17" i="2051" s="1"/>
  <c r="D21" i="2051"/>
  <c r="R20" i="2051"/>
  <c r="R19" i="2051"/>
  <c r="L19" i="2051"/>
  <c r="D19" i="2051" s="1"/>
  <c r="R18" i="2051"/>
  <c r="R17" i="2051"/>
  <c r="R16" i="2051"/>
  <c r="R15" i="2051"/>
  <c r="R14" i="2051"/>
  <c r="D14" i="2051"/>
  <c r="R13" i="2051"/>
  <c r="D13" i="2051"/>
  <c r="R12" i="2051"/>
  <c r="R11" i="2051"/>
  <c r="L11" i="2051"/>
  <c r="D11" i="2051" s="1"/>
  <c r="L10" i="2051"/>
  <c r="D10" i="2051"/>
  <c r="L8" i="2051"/>
  <c r="D8" i="2051" s="1"/>
  <c r="L7" i="2051"/>
  <c r="D7" i="2051" s="1"/>
  <c r="R6" i="2051"/>
  <c r="L16" i="2051" s="1"/>
  <c r="D16" i="2051" s="1"/>
  <c r="L6" i="2051"/>
  <c r="D6" i="2051" s="1"/>
  <c r="R5" i="2051"/>
  <c r="R4" i="2051"/>
  <c r="L15" i="2051" s="1"/>
  <c r="D15" i="2051" s="1"/>
  <c r="R52" i="2050"/>
  <c r="R51" i="2050"/>
  <c r="D50" i="2050"/>
  <c r="R49" i="2050"/>
  <c r="G49" i="2050"/>
  <c r="D49" i="2050"/>
  <c r="R48" i="2050"/>
  <c r="D48" i="2050"/>
  <c r="D46" i="2050"/>
  <c r="D45" i="2050"/>
  <c r="D44" i="2050"/>
  <c r="R42" i="2050"/>
  <c r="D42" i="2050"/>
  <c r="R41" i="2050"/>
  <c r="L7" i="2050" s="1"/>
  <c r="D7" i="2050" s="1"/>
  <c r="D41" i="2050"/>
  <c r="R40" i="2050"/>
  <c r="L8" i="2050" s="1"/>
  <c r="D8" i="2050" s="1"/>
  <c r="D40" i="2050"/>
  <c r="R39" i="2050"/>
  <c r="D39" i="2050"/>
  <c r="R38" i="2050"/>
  <c r="L9" i="2050" s="1"/>
  <c r="D9" i="2050" s="1"/>
  <c r="D38" i="2050"/>
  <c r="R37" i="2050"/>
  <c r="D37" i="2050"/>
  <c r="R36" i="2050"/>
  <c r="L10" i="2050" s="1"/>
  <c r="D10" i="2050" s="1"/>
  <c r="D36" i="2050"/>
  <c r="R35" i="2050"/>
  <c r="L19" i="2050" s="1"/>
  <c r="D19" i="2050" s="1"/>
  <c r="D35" i="2050"/>
  <c r="R34" i="2050"/>
  <c r="L12" i="2050" s="1"/>
  <c r="D12" i="2050" s="1"/>
  <c r="D34" i="2050"/>
  <c r="R33" i="2050"/>
  <c r="L23" i="2050" s="1"/>
  <c r="D23" i="2050" s="1"/>
  <c r="R32" i="2050"/>
  <c r="L11" i="2050" s="1"/>
  <c r="D11" i="2050" s="1"/>
  <c r="R31" i="2050"/>
  <c r="R30" i="2050"/>
  <c r="R29" i="2050"/>
  <c r="R28" i="2050"/>
  <c r="L16" i="2050" s="1"/>
  <c r="D16" i="2050" s="1"/>
  <c r="D28" i="2050"/>
  <c r="R27" i="2050"/>
  <c r="D27" i="2050"/>
  <c r="R26" i="2050"/>
  <c r="L26" i="2050"/>
  <c r="D26" i="2050" s="1"/>
  <c r="R25" i="2050"/>
  <c r="L25" i="2050"/>
  <c r="D25" i="2050" s="1"/>
  <c r="R24" i="2050"/>
  <c r="D24" i="2050"/>
  <c r="R23" i="2050"/>
  <c r="R22" i="2050"/>
  <c r="L22" i="2050"/>
  <c r="D22" i="2050" s="1"/>
  <c r="R21" i="2050"/>
  <c r="D21" i="2050"/>
  <c r="R20" i="2050"/>
  <c r="L20" i="2050"/>
  <c r="D20" i="2050" s="1"/>
  <c r="R19" i="2050"/>
  <c r="R18" i="2050"/>
  <c r="D18" i="2050"/>
  <c r="R17" i="2050"/>
  <c r="D17" i="2050"/>
  <c r="R16" i="2050"/>
  <c r="S15" i="2050"/>
  <c r="R15" i="2050"/>
  <c r="D15" i="2050"/>
  <c r="S14" i="2050"/>
  <c r="R14" i="2050"/>
  <c r="D14" i="2050"/>
  <c r="R13" i="2050"/>
  <c r="D13" i="2050"/>
  <c r="R12" i="2050"/>
  <c r="R11" i="2050"/>
  <c r="R6" i="2050"/>
  <c r="L6" i="2050"/>
  <c r="D6" i="2050" s="1"/>
  <c r="R5" i="2050"/>
  <c r="R4" i="2050"/>
  <c r="R52" i="2049"/>
  <c r="R51" i="2049"/>
  <c r="D50" i="2049"/>
  <c r="R49" i="2049"/>
  <c r="D49" i="2049"/>
  <c r="R48" i="2049"/>
  <c r="D48" i="2049"/>
  <c r="D46" i="2049"/>
  <c r="D45" i="2049"/>
  <c r="R44" i="2049"/>
  <c r="L28" i="2049" s="1"/>
  <c r="D28" i="2049" s="1"/>
  <c r="D44" i="2049"/>
  <c r="R42" i="2049"/>
  <c r="L6" i="2049" s="1"/>
  <c r="D6" i="2049" s="1"/>
  <c r="D42" i="2049"/>
  <c r="R41" i="2049"/>
  <c r="D41" i="2049"/>
  <c r="R40" i="2049"/>
  <c r="D40" i="2049"/>
  <c r="R39" i="2049"/>
  <c r="H39" i="2049"/>
  <c r="D39" i="2049"/>
  <c r="R38" i="2049"/>
  <c r="L9" i="2049" s="1"/>
  <c r="D9" i="2049" s="1"/>
  <c r="H38" i="2049"/>
  <c r="D38" i="2049"/>
  <c r="R37" i="2049"/>
  <c r="H37" i="2049"/>
  <c r="D37" i="2049"/>
  <c r="R36" i="2049"/>
  <c r="L10" i="2049" s="1"/>
  <c r="D10" i="2049" s="1"/>
  <c r="H36" i="2049"/>
  <c r="D36" i="2049"/>
  <c r="R35" i="2049"/>
  <c r="H35" i="2049"/>
  <c r="D35" i="2049"/>
  <c r="R34" i="2049"/>
  <c r="L12" i="2049" s="1"/>
  <c r="D12" i="2049" s="1"/>
  <c r="H34" i="2049"/>
  <c r="D34" i="2049"/>
  <c r="R33" i="2049"/>
  <c r="L19" i="2049" s="1"/>
  <c r="D19" i="2049" s="1"/>
  <c r="R32" i="2049"/>
  <c r="L11" i="2049" s="1"/>
  <c r="D11" i="2049" s="1"/>
  <c r="R31" i="2049"/>
  <c r="R30" i="2049"/>
  <c r="R29" i="2049"/>
  <c r="R28" i="2049"/>
  <c r="R27" i="2049"/>
  <c r="L27" i="2049"/>
  <c r="D27" i="2049" s="1"/>
  <c r="R26" i="2049"/>
  <c r="L26" i="2049"/>
  <c r="D26" i="2049" s="1"/>
  <c r="R25" i="2049"/>
  <c r="L25" i="2049"/>
  <c r="D25" i="2049"/>
  <c r="R24" i="2049"/>
  <c r="L24" i="2049"/>
  <c r="D24" i="2049" s="1"/>
  <c r="R23" i="2049"/>
  <c r="L23" i="2049"/>
  <c r="D23" i="2049"/>
  <c r="R22" i="2049"/>
  <c r="L20" i="2049" s="1"/>
  <c r="D20" i="2049" s="1"/>
  <c r="L22" i="2049"/>
  <c r="D22" i="2049"/>
  <c r="R21" i="2049"/>
  <c r="L21" i="2049"/>
  <c r="D21" i="2049"/>
  <c r="R20" i="2049"/>
  <c r="R19" i="2049"/>
  <c r="R18" i="2049"/>
  <c r="L18" i="2049"/>
  <c r="D18" i="2049" s="1"/>
  <c r="R17" i="2049"/>
  <c r="L17" i="2049"/>
  <c r="D17" i="2049" s="1"/>
  <c r="R16" i="2049"/>
  <c r="R15" i="2049"/>
  <c r="L15" i="2049"/>
  <c r="D15" i="2049"/>
  <c r="R14" i="2049"/>
  <c r="D14" i="2049"/>
  <c r="R13" i="2049"/>
  <c r="D13" i="2049"/>
  <c r="R12" i="2049"/>
  <c r="R11" i="2049"/>
  <c r="L8" i="2049"/>
  <c r="D8" i="2049" s="1"/>
  <c r="L7" i="2049"/>
  <c r="D7" i="2049" s="1"/>
  <c r="R6" i="2049"/>
  <c r="L16" i="2049" s="1"/>
  <c r="D16" i="2049" s="1"/>
  <c r="R5" i="2049"/>
  <c r="R4" i="2049"/>
  <c r="R52" i="2048"/>
  <c r="R51" i="2048"/>
  <c r="D50" i="2048"/>
  <c r="R49" i="2048"/>
  <c r="D49" i="2048"/>
  <c r="R48" i="2048"/>
  <c r="D48" i="2048"/>
  <c r="D46" i="2048"/>
  <c r="D45" i="2048"/>
  <c r="R44" i="2048"/>
  <c r="L28" i="2048" s="1"/>
  <c r="D28" i="2048" s="1"/>
  <c r="D44" i="2048"/>
  <c r="R42" i="2048"/>
  <c r="L6" i="2048" s="1"/>
  <c r="D6" i="2048" s="1"/>
  <c r="D42" i="2048"/>
  <c r="R41" i="2048"/>
  <c r="D41" i="2048"/>
  <c r="R40" i="2048"/>
  <c r="L8" i="2048" s="1"/>
  <c r="D8" i="2048" s="1"/>
  <c r="D40" i="2048"/>
  <c r="R39" i="2048"/>
  <c r="H39" i="2048"/>
  <c r="D39" i="2048"/>
  <c r="R38" i="2048"/>
  <c r="H38" i="2048"/>
  <c r="D38" i="2048"/>
  <c r="R37" i="2048"/>
  <c r="H37" i="2048"/>
  <c r="D37" i="2048"/>
  <c r="R36" i="2048"/>
  <c r="L10" i="2048" s="1"/>
  <c r="D10" i="2048" s="1"/>
  <c r="H36" i="2048"/>
  <c r="D36" i="2048"/>
  <c r="R35" i="2048"/>
  <c r="H35" i="2048"/>
  <c r="D35" i="2048"/>
  <c r="R34" i="2048"/>
  <c r="H34" i="2048"/>
  <c r="D34" i="2048"/>
  <c r="R33" i="2048"/>
  <c r="L19" i="2048" s="1"/>
  <c r="D19" i="2048" s="1"/>
  <c r="R32" i="2048"/>
  <c r="R31" i="2048"/>
  <c r="R30" i="2048"/>
  <c r="R29" i="2048"/>
  <c r="R28" i="2048"/>
  <c r="R27" i="2048"/>
  <c r="L27" i="2048"/>
  <c r="D27" i="2048"/>
  <c r="R26" i="2048"/>
  <c r="L26" i="2048"/>
  <c r="D26" i="2048" s="1"/>
  <c r="R25" i="2048"/>
  <c r="L25" i="2048"/>
  <c r="D25" i="2048" s="1"/>
  <c r="R24" i="2048"/>
  <c r="L24" i="2048"/>
  <c r="D24" i="2048"/>
  <c r="R23" i="2048"/>
  <c r="L23" i="2048"/>
  <c r="D23" i="2048" s="1"/>
  <c r="R22" i="2048"/>
  <c r="L20" i="2048" s="1"/>
  <c r="D20" i="2048" s="1"/>
  <c r="L22" i="2048"/>
  <c r="D22" i="2048" s="1"/>
  <c r="R21" i="2048"/>
  <c r="L21" i="2048"/>
  <c r="D21" i="2048" s="1"/>
  <c r="R20" i="2048"/>
  <c r="R19" i="2048"/>
  <c r="R18" i="2048"/>
  <c r="L18" i="2048"/>
  <c r="D18" i="2048" s="1"/>
  <c r="R17" i="2048"/>
  <c r="L17" i="2048"/>
  <c r="D17" i="2048" s="1"/>
  <c r="R16" i="2048"/>
  <c r="L16" i="2048"/>
  <c r="D16" i="2048" s="1"/>
  <c r="R15" i="2048"/>
  <c r="L15" i="2048"/>
  <c r="D15" i="2048" s="1"/>
  <c r="R14" i="2048"/>
  <c r="D14" i="2048"/>
  <c r="R13" i="2048"/>
  <c r="D13" i="2048"/>
  <c r="R12" i="2048"/>
  <c r="L12" i="2048"/>
  <c r="D12" i="2048" s="1"/>
  <c r="R11" i="2048"/>
  <c r="L11" i="2048"/>
  <c r="D11" i="2048" s="1"/>
  <c r="L9" i="2048"/>
  <c r="D9" i="2048" s="1"/>
  <c r="L7" i="2048"/>
  <c r="D7" i="2048" s="1"/>
  <c r="R6" i="2048"/>
  <c r="R5" i="2048"/>
  <c r="R4" i="2048"/>
  <c r="R52" i="2047"/>
  <c r="R51" i="2047"/>
  <c r="D50" i="2047"/>
  <c r="R49" i="2047"/>
  <c r="D49" i="2047"/>
  <c r="R48" i="2047"/>
  <c r="D48" i="2047"/>
  <c r="D46" i="2047"/>
  <c r="D45" i="2047"/>
  <c r="R44" i="2047"/>
  <c r="D44" i="2047"/>
  <c r="R42" i="2047"/>
  <c r="D42" i="2047"/>
  <c r="R41" i="2047"/>
  <c r="L7" i="2047" s="1"/>
  <c r="D7" i="2047" s="1"/>
  <c r="D41" i="2047"/>
  <c r="R40" i="2047"/>
  <c r="L8" i="2047" s="1"/>
  <c r="D8" i="2047" s="1"/>
  <c r="D40" i="2047"/>
  <c r="R39" i="2047"/>
  <c r="H39" i="2047"/>
  <c r="D39" i="2047"/>
  <c r="R38" i="2047"/>
  <c r="H38" i="2047"/>
  <c r="D38" i="2047"/>
  <c r="R37" i="2047"/>
  <c r="H37" i="2047"/>
  <c r="D37" i="2047"/>
  <c r="R36" i="2047"/>
  <c r="L10" i="2047" s="1"/>
  <c r="D10" i="2047" s="1"/>
  <c r="H36" i="2047"/>
  <c r="D36" i="2047"/>
  <c r="R35" i="2047"/>
  <c r="L18" i="2047" s="1"/>
  <c r="D18" i="2047" s="1"/>
  <c r="H35" i="2047"/>
  <c r="D35" i="2047"/>
  <c r="R34" i="2047"/>
  <c r="H34" i="2047"/>
  <c r="D34" i="2047"/>
  <c r="R33" i="2047"/>
  <c r="R32" i="2047"/>
  <c r="L11" i="2047" s="1"/>
  <c r="D11" i="2047" s="1"/>
  <c r="R31" i="2047"/>
  <c r="R30" i="2047"/>
  <c r="R29" i="2047"/>
  <c r="R28" i="2047"/>
  <c r="L28" i="2047"/>
  <c r="D28" i="2047"/>
  <c r="R27" i="2047"/>
  <c r="L27" i="2047"/>
  <c r="D27" i="2047" s="1"/>
  <c r="R26" i="2047"/>
  <c r="L26" i="2047"/>
  <c r="D26" i="2047"/>
  <c r="R25" i="2047"/>
  <c r="L25" i="2047"/>
  <c r="D25" i="2047"/>
  <c r="R24" i="2047"/>
  <c r="L24" i="2047"/>
  <c r="D24" i="2047"/>
  <c r="R23" i="2047"/>
  <c r="L23" i="2047"/>
  <c r="D23" i="2047" s="1"/>
  <c r="R22" i="2047"/>
  <c r="L20" i="2047" s="1"/>
  <c r="D20" i="2047" s="1"/>
  <c r="L22" i="2047"/>
  <c r="D22" i="2047" s="1"/>
  <c r="R21" i="2047"/>
  <c r="L17" i="2047" s="1"/>
  <c r="D17" i="2047" s="1"/>
  <c r="L21" i="2047"/>
  <c r="D21" i="2047" s="1"/>
  <c r="R20" i="2047"/>
  <c r="R19" i="2047"/>
  <c r="L19" i="2047"/>
  <c r="D19" i="2047" s="1"/>
  <c r="R18" i="2047"/>
  <c r="R17" i="2047"/>
  <c r="R16" i="2047"/>
  <c r="R15" i="2047"/>
  <c r="R14" i="2047"/>
  <c r="D14" i="2047"/>
  <c r="R13" i="2047"/>
  <c r="D13" i="2047"/>
  <c r="R12" i="2047"/>
  <c r="L12" i="2047"/>
  <c r="D12" i="2047" s="1"/>
  <c r="R11" i="2047"/>
  <c r="L9" i="2047"/>
  <c r="D9" i="2047" s="1"/>
  <c r="R6" i="2047"/>
  <c r="L16" i="2047" s="1"/>
  <c r="D16" i="2047" s="1"/>
  <c r="L6" i="2047"/>
  <c r="D6" i="2047" s="1"/>
  <c r="R5" i="2047"/>
  <c r="R4" i="2047"/>
  <c r="L15" i="2047" s="1"/>
  <c r="D15" i="2047" s="1"/>
  <c r="R52" i="2046"/>
  <c r="R51" i="2046"/>
  <c r="D50" i="2046"/>
  <c r="R49" i="2046"/>
  <c r="G49" i="2046"/>
  <c r="D49" i="2046"/>
  <c r="R48" i="2046"/>
  <c r="D48" i="2046"/>
  <c r="D46" i="2046"/>
  <c r="D45" i="2046"/>
  <c r="D44" i="2046"/>
  <c r="R42" i="2046"/>
  <c r="L6" i="2046" s="1"/>
  <c r="D6" i="2046" s="1"/>
  <c r="D42" i="2046"/>
  <c r="R41" i="2046"/>
  <c r="L7" i="2046" s="1"/>
  <c r="D7" i="2046" s="1"/>
  <c r="D41" i="2046"/>
  <c r="R40" i="2046"/>
  <c r="D40" i="2046"/>
  <c r="R39" i="2046"/>
  <c r="D39" i="2046"/>
  <c r="R38" i="2046"/>
  <c r="D38" i="2046"/>
  <c r="R37" i="2046"/>
  <c r="D37" i="2046"/>
  <c r="R36" i="2046"/>
  <c r="D36" i="2046"/>
  <c r="R35" i="2046"/>
  <c r="L19" i="2046" s="1"/>
  <c r="D19" i="2046" s="1"/>
  <c r="D35" i="2046"/>
  <c r="R34" i="2046"/>
  <c r="L12" i="2046" s="1"/>
  <c r="D12" i="2046" s="1"/>
  <c r="D34" i="2046"/>
  <c r="R33" i="2046"/>
  <c r="L23" i="2046" s="1"/>
  <c r="D23" i="2046" s="1"/>
  <c r="R32" i="2046"/>
  <c r="R31" i="2046"/>
  <c r="R30" i="2046"/>
  <c r="R29" i="2046"/>
  <c r="R28" i="2046"/>
  <c r="D28" i="2046"/>
  <c r="R27" i="2046"/>
  <c r="D27" i="2046"/>
  <c r="R26" i="2046"/>
  <c r="L26" i="2046"/>
  <c r="D26" i="2046" s="1"/>
  <c r="R25" i="2046"/>
  <c r="L25" i="2046"/>
  <c r="D25" i="2046"/>
  <c r="R24" i="2046"/>
  <c r="D24" i="2046"/>
  <c r="R23" i="2046"/>
  <c r="R22" i="2046"/>
  <c r="L22" i="2046"/>
  <c r="D22" i="2046" s="1"/>
  <c r="R21" i="2046"/>
  <c r="D21" i="2046"/>
  <c r="R20" i="2046"/>
  <c r="L20" i="2046"/>
  <c r="D20" i="2046" s="1"/>
  <c r="R19" i="2046"/>
  <c r="R18" i="2046"/>
  <c r="D18" i="2046"/>
  <c r="R17" i="2046"/>
  <c r="D17" i="2046"/>
  <c r="R16" i="2046"/>
  <c r="L16" i="2046"/>
  <c r="D16" i="2046" s="1"/>
  <c r="S15" i="2046"/>
  <c r="R15" i="2046"/>
  <c r="D15" i="2046"/>
  <c r="S14" i="2046"/>
  <c r="R14" i="2046"/>
  <c r="D14" i="2046"/>
  <c r="R13" i="2046"/>
  <c r="D13" i="2046"/>
  <c r="R12" i="2046"/>
  <c r="R11" i="2046"/>
  <c r="L11" i="2046"/>
  <c r="D11" i="2046" s="1"/>
  <c r="L10" i="2046"/>
  <c r="D10" i="2046" s="1"/>
  <c r="L9" i="2046"/>
  <c r="D9" i="2046" s="1"/>
  <c r="L8" i="2046"/>
  <c r="D8" i="2046" s="1"/>
  <c r="R6" i="2046"/>
  <c r="R5" i="2046"/>
  <c r="R4" i="2046"/>
  <c r="R52" i="2045"/>
  <c r="R51" i="2045"/>
  <c r="D50" i="2045"/>
  <c r="R49" i="2045"/>
  <c r="D49" i="2045"/>
  <c r="R48" i="2045"/>
  <c r="D48" i="2045"/>
  <c r="D46" i="2045"/>
  <c r="D45" i="2045"/>
  <c r="R44" i="2045"/>
  <c r="D44" i="2045"/>
  <c r="R42" i="2045"/>
  <c r="L6" i="2045" s="1"/>
  <c r="D6" i="2045" s="1"/>
  <c r="D42" i="2045"/>
  <c r="R41" i="2045"/>
  <c r="D41" i="2045"/>
  <c r="R40" i="2045"/>
  <c r="L8" i="2045" s="1"/>
  <c r="D8" i="2045" s="1"/>
  <c r="D40" i="2045"/>
  <c r="R39" i="2045"/>
  <c r="H39" i="2045"/>
  <c r="D39" i="2045"/>
  <c r="R38" i="2045"/>
  <c r="L9" i="2045" s="1"/>
  <c r="D9" i="2045" s="1"/>
  <c r="H38" i="2045"/>
  <c r="D38" i="2045"/>
  <c r="R37" i="2045"/>
  <c r="H37" i="2045"/>
  <c r="D37" i="2045"/>
  <c r="R36" i="2045"/>
  <c r="L10" i="2045" s="1"/>
  <c r="D10" i="2045" s="1"/>
  <c r="H36" i="2045"/>
  <c r="D36" i="2045"/>
  <c r="R35" i="2045"/>
  <c r="H35" i="2045"/>
  <c r="D35" i="2045"/>
  <c r="R34" i="2045"/>
  <c r="L12" i="2045" s="1"/>
  <c r="D12" i="2045" s="1"/>
  <c r="H34" i="2045"/>
  <c r="D34" i="2045"/>
  <c r="R33" i="2045"/>
  <c r="R32" i="2045"/>
  <c r="R31" i="2045"/>
  <c r="R30" i="2045"/>
  <c r="R29" i="2045"/>
  <c r="R28" i="2045"/>
  <c r="L28" i="2045"/>
  <c r="D28" i="2045" s="1"/>
  <c r="R27" i="2045"/>
  <c r="L27" i="2045"/>
  <c r="D27" i="2045" s="1"/>
  <c r="R26" i="2045"/>
  <c r="L26" i="2045"/>
  <c r="D26" i="2045"/>
  <c r="R25" i="2045"/>
  <c r="L25" i="2045"/>
  <c r="D25" i="2045" s="1"/>
  <c r="R24" i="2045"/>
  <c r="L24" i="2045"/>
  <c r="D24" i="2045"/>
  <c r="R23" i="2045"/>
  <c r="L23" i="2045"/>
  <c r="D23" i="2045"/>
  <c r="R22" i="2045"/>
  <c r="L20" i="2045" s="1"/>
  <c r="D20" i="2045" s="1"/>
  <c r="L22" i="2045"/>
  <c r="D22" i="2045" s="1"/>
  <c r="R21" i="2045"/>
  <c r="L21" i="2045"/>
  <c r="D21" i="2045" s="1"/>
  <c r="R20" i="2045"/>
  <c r="R19" i="2045"/>
  <c r="L19" i="2045"/>
  <c r="D19" i="2045" s="1"/>
  <c r="R18" i="2045"/>
  <c r="L18" i="2045"/>
  <c r="D18" i="2045" s="1"/>
  <c r="R17" i="2045"/>
  <c r="L17" i="2045"/>
  <c r="D17" i="2045" s="1"/>
  <c r="R16" i="2045"/>
  <c r="R15" i="2045"/>
  <c r="R14" i="2045"/>
  <c r="D14" i="2045"/>
  <c r="R13" i="2045"/>
  <c r="D13" i="2045"/>
  <c r="R12" i="2045"/>
  <c r="R11" i="2045"/>
  <c r="L11" i="2045"/>
  <c r="D11" i="2045" s="1"/>
  <c r="L7" i="2045"/>
  <c r="D7" i="2045"/>
  <c r="R6" i="2045"/>
  <c r="L16" i="2045" s="1"/>
  <c r="D16" i="2045" s="1"/>
  <c r="R5" i="2045"/>
  <c r="R4" i="2045"/>
  <c r="L15" i="2045" s="1"/>
  <c r="D15" i="2045" s="1"/>
  <c r="R52" i="2044"/>
  <c r="R51" i="2044"/>
  <c r="D50" i="2044"/>
  <c r="R49" i="2044"/>
  <c r="D49" i="2044"/>
  <c r="R48" i="2044"/>
  <c r="D48" i="2044"/>
  <c r="D46" i="2044"/>
  <c r="D45" i="2044"/>
  <c r="R44" i="2044"/>
  <c r="D44" i="2044"/>
  <c r="R42" i="2044"/>
  <c r="D42" i="2044"/>
  <c r="R41" i="2044"/>
  <c r="L7" i="2044" s="1"/>
  <c r="D7" i="2044" s="1"/>
  <c r="D41" i="2044"/>
  <c r="R40" i="2044"/>
  <c r="L8" i="2044" s="1"/>
  <c r="D8" i="2044" s="1"/>
  <c r="D40" i="2044"/>
  <c r="R39" i="2044"/>
  <c r="H39" i="2044"/>
  <c r="D39" i="2044"/>
  <c r="R38" i="2044"/>
  <c r="L9" i="2044" s="1"/>
  <c r="D9" i="2044" s="1"/>
  <c r="H38" i="2044"/>
  <c r="D38" i="2044"/>
  <c r="R37" i="2044"/>
  <c r="H37" i="2044"/>
  <c r="D37" i="2044"/>
  <c r="R36" i="2044"/>
  <c r="L10" i="2044" s="1"/>
  <c r="D10" i="2044" s="1"/>
  <c r="H36" i="2044"/>
  <c r="D36" i="2044"/>
  <c r="R35" i="2044"/>
  <c r="L18" i="2044" s="1"/>
  <c r="D18" i="2044" s="1"/>
  <c r="H35" i="2044"/>
  <c r="D35" i="2044"/>
  <c r="R34" i="2044"/>
  <c r="L12" i="2044" s="1"/>
  <c r="D12" i="2044" s="1"/>
  <c r="H34" i="2044"/>
  <c r="D34" i="2044"/>
  <c r="R33" i="2044"/>
  <c r="L19" i="2044" s="1"/>
  <c r="D19" i="2044" s="1"/>
  <c r="R32" i="2044"/>
  <c r="R31" i="2044"/>
  <c r="R30" i="2044"/>
  <c r="R29" i="2044"/>
  <c r="R28" i="2044"/>
  <c r="L28" i="2044"/>
  <c r="D28" i="2044"/>
  <c r="R27" i="2044"/>
  <c r="L27" i="2044"/>
  <c r="D27" i="2044" s="1"/>
  <c r="R26" i="2044"/>
  <c r="L26" i="2044"/>
  <c r="D26" i="2044"/>
  <c r="R25" i="2044"/>
  <c r="L25" i="2044"/>
  <c r="D25" i="2044"/>
  <c r="R24" i="2044"/>
  <c r="L24" i="2044"/>
  <c r="D24" i="2044"/>
  <c r="R23" i="2044"/>
  <c r="L23" i="2044"/>
  <c r="D23" i="2044" s="1"/>
  <c r="R22" i="2044"/>
  <c r="L22" i="2044"/>
  <c r="D22" i="2044"/>
  <c r="R21" i="2044"/>
  <c r="L17" i="2044" s="1"/>
  <c r="D17" i="2044" s="1"/>
  <c r="L21" i="2044"/>
  <c r="D21" i="2044" s="1"/>
  <c r="R20" i="2044"/>
  <c r="L20" i="2044"/>
  <c r="D20" i="2044" s="1"/>
  <c r="R19" i="2044"/>
  <c r="R18" i="2044"/>
  <c r="R17" i="2044"/>
  <c r="R16" i="2044"/>
  <c r="R15" i="2044"/>
  <c r="R14" i="2044"/>
  <c r="D14" i="2044"/>
  <c r="R13" i="2044"/>
  <c r="D13" i="2044"/>
  <c r="R12" i="2044"/>
  <c r="R11" i="2044"/>
  <c r="L11" i="2044"/>
  <c r="D11" i="2044" s="1"/>
  <c r="R6" i="2044"/>
  <c r="L16" i="2044" s="1"/>
  <c r="D16" i="2044" s="1"/>
  <c r="L6" i="2044"/>
  <c r="D6" i="2044" s="1"/>
  <c r="R5" i="2044"/>
  <c r="R4" i="2044"/>
  <c r="L15" i="2044" s="1"/>
  <c r="D15" i="2044" s="1"/>
  <c r="R52" i="2043"/>
  <c r="R51" i="2043"/>
  <c r="D50" i="2043"/>
  <c r="R49" i="2043"/>
  <c r="D49" i="2043"/>
  <c r="R48" i="2043"/>
  <c r="D48" i="2043"/>
  <c r="D46" i="2043"/>
  <c r="D45" i="2043"/>
  <c r="R44" i="2043"/>
  <c r="L28" i="2043" s="1"/>
  <c r="D28" i="2043" s="1"/>
  <c r="D44" i="2043"/>
  <c r="R42" i="2043"/>
  <c r="L6" i="2043" s="1"/>
  <c r="D6" i="2043" s="1"/>
  <c r="D42" i="2043"/>
  <c r="R41" i="2043"/>
  <c r="L7" i="2043" s="1"/>
  <c r="D7" i="2043" s="1"/>
  <c r="D41" i="2043"/>
  <c r="R40" i="2043"/>
  <c r="L8" i="2043" s="1"/>
  <c r="D8" i="2043" s="1"/>
  <c r="D40" i="2043"/>
  <c r="R39" i="2043"/>
  <c r="H39" i="2043"/>
  <c r="D39" i="2043"/>
  <c r="R38" i="2043"/>
  <c r="L9" i="2043" s="1"/>
  <c r="D9" i="2043" s="1"/>
  <c r="H38" i="2043"/>
  <c r="D38" i="2043"/>
  <c r="R37" i="2043"/>
  <c r="H37" i="2043"/>
  <c r="D37" i="2043"/>
  <c r="R36" i="2043"/>
  <c r="H36" i="2043"/>
  <c r="D36" i="2043"/>
  <c r="R35" i="2043"/>
  <c r="H35" i="2043"/>
  <c r="D35" i="2043"/>
  <c r="R34" i="2043"/>
  <c r="L12" i="2043" s="1"/>
  <c r="D12" i="2043" s="1"/>
  <c r="D34" i="2043"/>
  <c r="R33" i="2043"/>
  <c r="L19" i="2043" s="1"/>
  <c r="D19" i="2043" s="1"/>
  <c r="R32" i="2043"/>
  <c r="L11" i="2043" s="1"/>
  <c r="D11" i="2043" s="1"/>
  <c r="R31" i="2043"/>
  <c r="R30" i="2043"/>
  <c r="R29" i="2043"/>
  <c r="R28" i="2043"/>
  <c r="R27" i="2043"/>
  <c r="L27" i="2043"/>
  <c r="D27" i="2043"/>
  <c r="R26" i="2043"/>
  <c r="L26" i="2043"/>
  <c r="D26" i="2043" s="1"/>
  <c r="R25" i="2043"/>
  <c r="L25" i="2043"/>
  <c r="D25" i="2043" s="1"/>
  <c r="R24" i="2043"/>
  <c r="L24" i="2043"/>
  <c r="D24" i="2043" s="1"/>
  <c r="R23" i="2043"/>
  <c r="L23" i="2043"/>
  <c r="D23" i="2043"/>
  <c r="R22" i="2043"/>
  <c r="L22" i="2043"/>
  <c r="D22" i="2043"/>
  <c r="R21" i="2043"/>
  <c r="L17" i="2043" s="1"/>
  <c r="D17" i="2043" s="1"/>
  <c r="L21" i="2043"/>
  <c r="D21" i="2043" s="1"/>
  <c r="R20" i="2043"/>
  <c r="L20" i="2043"/>
  <c r="D20" i="2043" s="1"/>
  <c r="R19" i="2043"/>
  <c r="R18" i="2043"/>
  <c r="L18" i="2043"/>
  <c r="D18" i="2043" s="1"/>
  <c r="R17" i="2043"/>
  <c r="R16" i="2043"/>
  <c r="R15" i="2043"/>
  <c r="R14" i="2043"/>
  <c r="R13" i="2043"/>
  <c r="D13" i="2043"/>
  <c r="R12" i="2043"/>
  <c r="R11" i="2043"/>
  <c r="L10" i="2043"/>
  <c r="D10" i="2043"/>
  <c r="R6" i="2043"/>
  <c r="L16" i="2043" s="1"/>
  <c r="D16" i="2043" s="1"/>
  <c r="R5" i="2043"/>
  <c r="R4" i="2043"/>
  <c r="L15" i="2043" s="1"/>
  <c r="D15" i="2043" s="1"/>
  <c r="R52" i="2042"/>
  <c r="R51" i="2042"/>
  <c r="D50" i="2042"/>
  <c r="R49" i="2042"/>
  <c r="G49" i="2042"/>
  <c r="D49" i="2042"/>
  <c r="R48" i="2042"/>
  <c r="D48" i="2042"/>
  <c r="D46" i="2042"/>
  <c r="D45" i="2042"/>
  <c r="D44" i="2042"/>
  <c r="R42" i="2042"/>
  <c r="L6" i="2042" s="1"/>
  <c r="D6" i="2042" s="1"/>
  <c r="D42" i="2042"/>
  <c r="R41" i="2042"/>
  <c r="L7" i="2042" s="1"/>
  <c r="D7" i="2042" s="1"/>
  <c r="D41" i="2042"/>
  <c r="R40" i="2042"/>
  <c r="D40" i="2042"/>
  <c r="R39" i="2042"/>
  <c r="D39" i="2042"/>
  <c r="R38" i="2042"/>
  <c r="D38" i="2042"/>
  <c r="R37" i="2042"/>
  <c r="D37" i="2042"/>
  <c r="R36" i="2042"/>
  <c r="L10" i="2042" s="1"/>
  <c r="D10" i="2042" s="1"/>
  <c r="D36" i="2042"/>
  <c r="R35" i="2042"/>
  <c r="L19" i="2042" s="1"/>
  <c r="D19" i="2042" s="1"/>
  <c r="D35" i="2042"/>
  <c r="R34" i="2042"/>
  <c r="D34" i="2042"/>
  <c r="R33" i="2042"/>
  <c r="L23" i="2042" s="1"/>
  <c r="D23" i="2042" s="1"/>
  <c r="R32" i="2042"/>
  <c r="R31" i="2042"/>
  <c r="R30" i="2042"/>
  <c r="R29" i="2042"/>
  <c r="R28" i="2042"/>
  <c r="L16" i="2042" s="1"/>
  <c r="D16" i="2042" s="1"/>
  <c r="D28" i="2042"/>
  <c r="R27" i="2042"/>
  <c r="D27" i="2042"/>
  <c r="R26" i="2042"/>
  <c r="L26" i="2042"/>
  <c r="D26" i="2042" s="1"/>
  <c r="R25" i="2042"/>
  <c r="L25" i="2042"/>
  <c r="D25" i="2042"/>
  <c r="R24" i="2042"/>
  <c r="D24" i="2042"/>
  <c r="R23" i="2042"/>
  <c r="R22" i="2042"/>
  <c r="L22" i="2042"/>
  <c r="D22" i="2042"/>
  <c r="R21" i="2042"/>
  <c r="D21" i="2042"/>
  <c r="R20" i="2042"/>
  <c r="L20" i="2042"/>
  <c r="D20" i="2042" s="1"/>
  <c r="R19" i="2042"/>
  <c r="R18" i="2042"/>
  <c r="D18" i="2042"/>
  <c r="R17" i="2042"/>
  <c r="D17" i="2042"/>
  <c r="R16" i="2042"/>
  <c r="S15" i="2042"/>
  <c r="R15" i="2042"/>
  <c r="D15" i="2042"/>
  <c r="S14" i="2042"/>
  <c r="R14" i="2042"/>
  <c r="D14" i="2042"/>
  <c r="R13" i="2042"/>
  <c r="D13" i="2042"/>
  <c r="R12" i="2042"/>
  <c r="L12" i="2042"/>
  <c r="D12" i="2042" s="1"/>
  <c r="R11" i="2042"/>
  <c r="L11" i="2042"/>
  <c r="D11" i="2042"/>
  <c r="L9" i="2042"/>
  <c r="D9" i="2042"/>
  <c r="L8" i="2042"/>
  <c r="D8" i="2042"/>
  <c r="R6" i="2042"/>
  <c r="R5" i="2042"/>
  <c r="R4" i="2042"/>
  <c r="R52" i="2041"/>
  <c r="R51" i="2041"/>
  <c r="D50" i="2041"/>
  <c r="R49" i="2041"/>
  <c r="D49" i="2041"/>
  <c r="R48" i="2041"/>
  <c r="D48" i="2041"/>
  <c r="D46" i="2041"/>
  <c r="D45" i="2041"/>
  <c r="R44" i="2041"/>
  <c r="L28" i="2041" s="1"/>
  <c r="D28" i="2041" s="1"/>
  <c r="D44" i="2041"/>
  <c r="R42" i="2041"/>
  <c r="D42" i="2041"/>
  <c r="R41" i="2041"/>
  <c r="L7" i="2041" s="1"/>
  <c r="D7" i="2041" s="1"/>
  <c r="D41" i="2041"/>
  <c r="R40" i="2041"/>
  <c r="L8" i="2041" s="1"/>
  <c r="D8" i="2041" s="1"/>
  <c r="D40" i="2041"/>
  <c r="R39" i="2041"/>
  <c r="H39" i="2041"/>
  <c r="D39" i="2041"/>
  <c r="R38" i="2041"/>
  <c r="H38" i="2041"/>
  <c r="D38" i="2041"/>
  <c r="R37" i="2041"/>
  <c r="H37" i="2041"/>
  <c r="D37" i="2041"/>
  <c r="R36" i="2041"/>
  <c r="L10" i="2041" s="1"/>
  <c r="D10" i="2041" s="1"/>
  <c r="H36" i="2041"/>
  <c r="D36" i="2041"/>
  <c r="R35" i="2041"/>
  <c r="L18" i="2041" s="1"/>
  <c r="D18" i="2041" s="1"/>
  <c r="H35" i="2041"/>
  <c r="D35" i="2041"/>
  <c r="R34" i="2041"/>
  <c r="H34" i="2041"/>
  <c r="D34" i="2041"/>
  <c r="R33" i="2041"/>
  <c r="L19" i="2041" s="1"/>
  <c r="D19" i="2041" s="1"/>
  <c r="R32" i="2041"/>
  <c r="L11" i="2041" s="1"/>
  <c r="D11" i="2041" s="1"/>
  <c r="R31" i="2041"/>
  <c r="R30" i="2041"/>
  <c r="R29" i="2041"/>
  <c r="R28" i="2041"/>
  <c r="R27" i="2041"/>
  <c r="L27" i="2041"/>
  <c r="D27" i="2041" s="1"/>
  <c r="R26" i="2041"/>
  <c r="L26" i="2041"/>
  <c r="D26" i="2041" s="1"/>
  <c r="R25" i="2041"/>
  <c r="L25" i="2041"/>
  <c r="D25" i="2041"/>
  <c r="R24" i="2041"/>
  <c r="L24" i="2041"/>
  <c r="D24" i="2041" s="1"/>
  <c r="R23" i="2041"/>
  <c r="L23" i="2041"/>
  <c r="D23" i="2041" s="1"/>
  <c r="R22" i="2041"/>
  <c r="L20" i="2041" s="1"/>
  <c r="D20" i="2041" s="1"/>
  <c r="L22" i="2041"/>
  <c r="D22" i="2041" s="1"/>
  <c r="R21" i="2041"/>
  <c r="L21" i="2041"/>
  <c r="D21" i="2041"/>
  <c r="R20" i="2041"/>
  <c r="R19" i="2041"/>
  <c r="R18" i="2041"/>
  <c r="R17" i="2041"/>
  <c r="L17" i="2041"/>
  <c r="D17" i="2041" s="1"/>
  <c r="R16" i="2041"/>
  <c r="R15" i="2041"/>
  <c r="R14" i="2041"/>
  <c r="D14" i="2041"/>
  <c r="R13" i="2041"/>
  <c r="D13" i="2041"/>
  <c r="R12" i="2041"/>
  <c r="L12" i="2041"/>
  <c r="D12" i="2041" s="1"/>
  <c r="R11" i="2041"/>
  <c r="L9" i="2041"/>
  <c r="D9" i="2041" s="1"/>
  <c r="R6" i="2041"/>
  <c r="L16" i="2041" s="1"/>
  <c r="D16" i="2041" s="1"/>
  <c r="L6" i="2041"/>
  <c r="D6" i="2041" s="1"/>
  <c r="R5" i="2041"/>
  <c r="R4" i="2041"/>
  <c r="L15" i="2041" s="1"/>
  <c r="D15" i="2041" s="1"/>
  <c r="R52" i="2040"/>
  <c r="R51" i="2040"/>
  <c r="D50" i="2040"/>
  <c r="R49" i="2040"/>
  <c r="D49" i="2040"/>
  <c r="R48" i="2040"/>
  <c r="D48" i="2040"/>
  <c r="D46" i="2040"/>
  <c r="D45" i="2040"/>
  <c r="R44" i="2040"/>
  <c r="L28" i="2040" s="1"/>
  <c r="D28" i="2040" s="1"/>
  <c r="D44" i="2040"/>
  <c r="R42" i="2040"/>
  <c r="D42" i="2040"/>
  <c r="R41" i="2040"/>
  <c r="L7" i="2040" s="1"/>
  <c r="D7" i="2040" s="1"/>
  <c r="D41" i="2040"/>
  <c r="R40" i="2040"/>
  <c r="L8" i="2040" s="1"/>
  <c r="D8" i="2040" s="1"/>
  <c r="D40" i="2040"/>
  <c r="R39" i="2040"/>
  <c r="H39" i="2040"/>
  <c r="D39" i="2040"/>
  <c r="R38" i="2040"/>
  <c r="L9" i="2040" s="1"/>
  <c r="D9" i="2040" s="1"/>
  <c r="H38" i="2040"/>
  <c r="D38" i="2040"/>
  <c r="R37" i="2040"/>
  <c r="H37" i="2040"/>
  <c r="D37" i="2040"/>
  <c r="R36" i="2040"/>
  <c r="H36" i="2040"/>
  <c r="D36" i="2040"/>
  <c r="R35" i="2040"/>
  <c r="H35" i="2040"/>
  <c r="D35" i="2040"/>
  <c r="R34" i="2040"/>
  <c r="L12" i="2040" s="1"/>
  <c r="D12" i="2040" s="1"/>
  <c r="H34" i="2040"/>
  <c r="D34" i="2040"/>
  <c r="R33" i="2040"/>
  <c r="L19" i="2040" s="1"/>
  <c r="D19" i="2040" s="1"/>
  <c r="R32" i="2040"/>
  <c r="L11" i="2040" s="1"/>
  <c r="D11" i="2040" s="1"/>
  <c r="R31" i="2040"/>
  <c r="R30" i="2040"/>
  <c r="R29" i="2040"/>
  <c r="R28" i="2040"/>
  <c r="R27" i="2040"/>
  <c r="L27" i="2040"/>
  <c r="D27" i="2040"/>
  <c r="R26" i="2040"/>
  <c r="L26" i="2040"/>
  <c r="D26" i="2040" s="1"/>
  <c r="R25" i="2040"/>
  <c r="L25" i="2040"/>
  <c r="D25" i="2040" s="1"/>
  <c r="R24" i="2040"/>
  <c r="L24" i="2040"/>
  <c r="D24" i="2040" s="1"/>
  <c r="R23" i="2040"/>
  <c r="L23" i="2040"/>
  <c r="D23" i="2040" s="1"/>
  <c r="R22" i="2040"/>
  <c r="L20" i="2040" s="1"/>
  <c r="D20" i="2040" s="1"/>
  <c r="L22" i="2040"/>
  <c r="D22" i="2040" s="1"/>
  <c r="R21" i="2040"/>
  <c r="L17" i="2040" s="1"/>
  <c r="D17" i="2040" s="1"/>
  <c r="L21" i="2040"/>
  <c r="D21" i="2040"/>
  <c r="R20" i="2040"/>
  <c r="R19" i="2040"/>
  <c r="R18" i="2040"/>
  <c r="L18" i="2040"/>
  <c r="D18" i="2040" s="1"/>
  <c r="R17" i="2040"/>
  <c r="R16" i="2040"/>
  <c r="R15" i="2040"/>
  <c r="R14" i="2040"/>
  <c r="D14" i="2040"/>
  <c r="R13" i="2040"/>
  <c r="D13" i="2040"/>
  <c r="R12" i="2040"/>
  <c r="R11" i="2040"/>
  <c r="L10" i="2040"/>
  <c r="D10" i="2040" s="1"/>
  <c r="R6" i="2040"/>
  <c r="L16" i="2040" s="1"/>
  <c r="D16" i="2040" s="1"/>
  <c r="L6" i="2040"/>
  <c r="D6" i="2040" s="1"/>
  <c r="R5" i="2040"/>
  <c r="R4" i="2040"/>
  <c r="L15" i="2040" s="1"/>
  <c r="D15" i="2040" s="1"/>
  <c r="R52" i="2039"/>
  <c r="R51" i="2039"/>
  <c r="D50" i="2039"/>
  <c r="R49" i="2039"/>
  <c r="D49" i="2039"/>
  <c r="R48" i="2039"/>
  <c r="D48" i="2039"/>
  <c r="D46" i="2039"/>
  <c r="D45" i="2039"/>
  <c r="R44" i="2039"/>
  <c r="L28" i="2039" s="1"/>
  <c r="D28" i="2039" s="1"/>
  <c r="D44" i="2039"/>
  <c r="R42" i="2039"/>
  <c r="L6" i="2039" s="1"/>
  <c r="D6" i="2039" s="1"/>
  <c r="D42" i="2039"/>
  <c r="R41" i="2039"/>
  <c r="L7" i="2039" s="1"/>
  <c r="D7" i="2039" s="1"/>
  <c r="D41" i="2039"/>
  <c r="R40" i="2039"/>
  <c r="D40" i="2039"/>
  <c r="R39" i="2039"/>
  <c r="H39" i="2039"/>
  <c r="D39" i="2039"/>
  <c r="R38" i="2039"/>
  <c r="L9" i="2039" s="1"/>
  <c r="D9" i="2039" s="1"/>
  <c r="H38" i="2039"/>
  <c r="D38" i="2039"/>
  <c r="R37" i="2039"/>
  <c r="H37" i="2039"/>
  <c r="D37" i="2039"/>
  <c r="R36" i="2039"/>
  <c r="L10" i="2039" s="1"/>
  <c r="D10" i="2039" s="1"/>
  <c r="H36" i="2039"/>
  <c r="D36" i="2039"/>
  <c r="R35" i="2039"/>
  <c r="L18" i="2039" s="1"/>
  <c r="D18" i="2039" s="1"/>
  <c r="H35" i="2039"/>
  <c r="D35" i="2039"/>
  <c r="R34" i="2039"/>
  <c r="H34" i="2039"/>
  <c r="D34" i="2039"/>
  <c r="R33" i="2039"/>
  <c r="L19" i="2039" s="1"/>
  <c r="D19" i="2039" s="1"/>
  <c r="R32" i="2039"/>
  <c r="L11" i="2039" s="1"/>
  <c r="D11" i="2039" s="1"/>
  <c r="R31" i="2039"/>
  <c r="R30" i="2039"/>
  <c r="R29" i="2039"/>
  <c r="R28" i="2039"/>
  <c r="R27" i="2039"/>
  <c r="L27" i="2039"/>
  <c r="D27" i="2039" s="1"/>
  <c r="R26" i="2039"/>
  <c r="R25" i="2039"/>
  <c r="D25" i="2039"/>
  <c r="R24" i="2039"/>
  <c r="D24" i="2039"/>
  <c r="R23" i="2039"/>
  <c r="L23" i="2039"/>
  <c r="D23" i="2039" s="1"/>
  <c r="R22" i="2039"/>
  <c r="L22" i="2039"/>
  <c r="D22" i="2039" s="1"/>
  <c r="R21" i="2039"/>
  <c r="L17" i="2039" s="1"/>
  <c r="D17" i="2039" s="1"/>
  <c r="L21" i="2039"/>
  <c r="D21" i="2039"/>
  <c r="R20" i="2039"/>
  <c r="L20" i="2039"/>
  <c r="D20" i="2039" s="1"/>
  <c r="R19" i="2039"/>
  <c r="R18" i="2039"/>
  <c r="R17" i="2039"/>
  <c r="R16" i="2039"/>
  <c r="R15" i="2039"/>
  <c r="R14" i="2039"/>
  <c r="D14" i="2039"/>
  <c r="R13" i="2039"/>
  <c r="D13" i="2039"/>
  <c r="R12" i="2039"/>
  <c r="L12" i="2039"/>
  <c r="D12" i="2039"/>
  <c r="R11" i="2039"/>
  <c r="L8" i="2039"/>
  <c r="D8" i="2039" s="1"/>
  <c r="R6" i="2039"/>
  <c r="L16" i="2039" s="1"/>
  <c r="D16" i="2039" s="1"/>
  <c r="R5" i="2039"/>
  <c r="R4" i="2039"/>
  <c r="L15" i="2039" s="1"/>
  <c r="D15" i="2039" s="1"/>
  <c r="R52" i="2038"/>
  <c r="R51" i="2038"/>
  <c r="D50" i="2038"/>
  <c r="R49" i="2038"/>
  <c r="G49" i="2038"/>
  <c r="D49" i="2038"/>
  <c r="R48" i="2038"/>
  <c r="D48" i="2038"/>
  <c r="D46" i="2038"/>
  <c r="D45" i="2038"/>
  <c r="D44" i="2038"/>
  <c r="R42" i="2038"/>
  <c r="L6" i="2038" s="1"/>
  <c r="D6" i="2038" s="1"/>
  <c r="D42" i="2038"/>
  <c r="R41" i="2038"/>
  <c r="L7" i="2038" s="1"/>
  <c r="D7" i="2038" s="1"/>
  <c r="D41" i="2038"/>
  <c r="R40" i="2038"/>
  <c r="L8" i="2038" s="1"/>
  <c r="D8" i="2038" s="1"/>
  <c r="D40" i="2038"/>
  <c r="R39" i="2038"/>
  <c r="D39" i="2038"/>
  <c r="R38" i="2038"/>
  <c r="D38" i="2038"/>
  <c r="R37" i="2038"/>
  <c r="D37" i="2038"/>
  <c r="R36" i="2038"/>
  <c r="L10" i="2038" s="1"/>
  <c r="D10" i="2038" s="1"/>
  <c r="D36" i="2038"/>
  <c r="R35" i="2038"/>
  <c r="L19" i="2038" s="1"/>
  <c r="D19" i="2038" s="1"/>
  <c r="D35" i="2038"/>
  <c r="D54" i="2038" s="1"/>
  <c r="H14" i="2038" s="1"/>
  <c r="R34" i="2038"/>
  <c r="L12" i="2038" s="1"/>
  <c r="D12" i="2038" s="1"/>
  <c r="D34" i="2038"/>
  <c r="R33" i="2038"/>
  <c r="L23" i="2038" s="1"/>
  <c r="D23" i="2038" s="1"/>
  <c r="R32" i="2038"/>
  <c r="L11" i="2038" s="1"/>
  <c r="D11" i="2038" s="1"/>
  <c r="R31" i="2038"/>
  <c r="R30" i="2038"/>
  <c r="R29" i="2038"/>
  <c r="R28" i="2038"/>
  <c r="D28" i="2038"/>
  <c r="R27" i="2038"/>
  <c r="D27" i="2038"/>
  <c r="R26" i="2038"/>
  <c r="L26" i="2038"/>
  <c r="D26" i="2038" s="1"/>
  <c r="R25" i="2038"/>
  <c r="L25" i="2038"/>
  <c r="D25" i="2038" s="1"/>
  <c r="R24" i="2038"/>
  <c r="D24" i="2038"/>
  <c r="R23" i="2038"/>
  <c r="R22" i="2038"/>
  <c r="L22" i="2038"/>
  <c r="D22" i="2038" s="1"/>
  <c r="R21" i="2038"/>
  <c r="D21" i="2038"/>
  <c r="R20" i="2038"/>
  <c r="L20" i="2038"/>
  <c r="D20" i="2038"/>
  <c r="R19" i="2038"/>
  <c r="R18" i="2038"/>
  <c r="D18" i="2038"/>
  <c r="R17" i="2038"/>
  <c r="D17" i="2038"/>
  <c r="R16" i="2038"/>
  <c r="L16" i="2038"/>
  <c r="D16" i="2038"/>
  <c r="S15" i="2038"/>
  <c r="R15" i="2038"/>
  <c r="D15" i="2038"/>
  <c r="S14" i="2038"/>
  <c r="R14" i="2038"/>
  <c r="D14" i="2038"/>
  <c r="R13" i="2038"/>
  <c r="D13" i="2038"/>
  <c r="R12" i="2038"/>
  <c r="R11" i="2038"/>
  <c r="L9" i="2038"/>
  <c r="D9" i="2038"/>
  <c r="R6" i="2038"/>
  <c r="R5" i="2038"/>
  <c r="R4" i="2038"/>
  <c r="R52" i="2037"/>
  <c r="R51" i="2037"/>
  <c r="D50" i="2037"/>
  <c r="R49" i="2037"/>
  <c r="D49" i="2037"/>
  <c r="R48" i="2037"/>
  <c r="D48" i="2037"/>
  <c r="D46" i="2037"/>
  <c r="D45" i="2037"/>
  <c r="R44" i="2037"/>
  <c r="L28" i="2037" s="1"/>
  <c r="D28" i="2037" s="1"/>
  <c r="D44" i="2037"/>
  <c r="R42" i="2037"/>
  <c r="D42" i="2037"/>
  <c r="R41" i="2037"/>
  <c r="L7" i="2037" s="1"/>
  <c r="D7" i="2037" s="1"/>
  <c r="D41" i="2037"/>
  <c r="R40" i="2037"/>
  <c r="D40" i="2037"/>
  <c r="R39" i="2037"/>
  <c r="H39" i="2037"/>
  <c r="D39" i="2037"/>
  <c r="R38" i="2037"/>
  <c r="H38" i="2037"/>
  <c r="D38" i="2037"/>
  <c r="R37" i="2037"/>
  <c r="H37" i="2037"/>
  <c r="D37" i="2037"/>
  <c r="R36" i="2037"/>
  <c r="L10" i="2037" s="1"/>
  <c r="D10" i="2037" s="1"/>
  <c r="H36" i="2037"/>
  <c r="D36" i="2037"/>
  <c r="R35" i="2037"/>
  <c r="L18" i="2037" s="1"/>
  <c r="D18" i="2037" s="1"/>
  <c r="H35" i="2037"/>
  <c r="D35" i="2037"/>
  <c r="R34" i="2037"/>
  <c r="H34" i="2037"/>
  <c r="D34" i="2037"/>
  <c r="R33" i="2037"/>
  <c r="L19" i="2037" s="1"/>
  <c r="D19" i="2037" s="1"/>
  <c r="R32" i="2037"/>
  <c r="R31" i="2037"/>
  <c r="R30" i="2037"/>
  <c r="R29" i="2037"/>
  <c r="R28" i="2037"/>
  <c r="R27" i="2037"/>
  <c r="L27" i="2037"/>
  <c r="D27" i="2037" s="1"/>
  <c r="R26" i="2037"/>
  <c r="L26" i="2037"/>
  <c r="D26" i="2037" s="1"/>
  <c r="R25" i="2037"/>
  <c r="L25" i="2037"/>
  <c r="D25" i="2037"/>
  <c r="R24" i="2037"/>
  <c r="L24" i="2037"/>
  <c r="D24" i="2037" s="1"/>
  <c r="R23" i="2037"/>
  <c r="L23" i="2037"/>
  <c r="D23" i="2037" s="1"/>
  <c r="R22" i="2037"/>
  <c r="L20" i="2037" s="1"/>
  <c r="D20" i="2037" s="1"/>
  <c r="L22" i="2037"/>
  <c r="D22" i="2037" s="1"/>
  <c r="R21" i="2037"/>
  <c r="L17" i="2037" s="1"/>
  <c r="D17" i="2037" s="1"/>
  <c r="L21" i="2037"/>
  <c r="D21" i="2037"/>
  <c r="R20" i="2037"/>
  <c r="R19" i="2037"/>
  <c r="R18" i="2037"/>
  <c r="R17" i="2037"/>
  <c r="R16" i="2037"/>
  <c r="R15" i="2037"/>
  <c r="R14" i="2037"/>
  <c r="D14" i="2037"/>
  <c r="R13" i="2037"/>
  <c r="D13" i="2037"/>
  <c r="R12" i="2037"/>
  <c r="L12" i="2037"/>
  <c r="D12" i="2037"/>
  <c r="R11" i="2037"/>
  <c r="L11" i="2037"/>
  <c r="D11" i="2037" s="1"/>
  <c r="L9" i="2037"/>
  <c r="D9" i="2037" s="1"/>
  <c r="L8" i="2037"/>
  <c r="D8" i="2037" s="1"/>
  <c r="R6" i="2037"/>
  <c r="L16" i="2037" s="1"/>
  <c r="D16" i="2037" s="1"/>
  <c r="L6" i="2037"/>
  <c r="D6" i="2037" s="1"/>
  <c r="R5" i="2037"/>
  <c r="R4" i="2037"/>
  <c r="L15" i="2037" s="1"/>
  <c r="D15" i="2037" s="1"/>
  <c r="R52" i="2036"/>
  <c r="R51" i="2036"/>
  <c r="D50" i="2036"/>
  <c r="R49" i="2036"/>
  <c r="D49" i="2036"/>
  <c r="R48" i="2036"/>
  <c r="D48" i="2036"/>
  <c r="D46" i="2036"/>
  <c r="D45" i="2036"/>
  <c r="R44" i="2036"/>
  <c r="L28" i="2036" s="1"/>
  <c r="D28" i="2036" s="1"/>
  <c r="D44" i="2036"/>
  <c r="R42" i="2036"/>
  <c r="D42" i="2036"/>
  <c r="R41" i="2036"/>
  <c r="D41" i="2036"/>
  <c r="R40" i="2036"/>
  <c r="L8" i="2036" s="1"/>
  <c r="D8" i="2036" s="1"/>
  <c r="D40" i="2036"/>
  <c r="R39" i="2036"/>
  <c r="H39" i="2036"/>
  <c r="D39" i="2036"/>
  <c r="R38" i="2036"/>
  <c r="L9" i="2036" s="1"/>
  <c r="D9" i="2036" s="1"/>
  <c r="H38" i="2036"/>
  <c r="D38" i="2036"/>
  <c r="R37" i="2036"/>
  <c r="H37" i="2036"/>
  <c r="D37" i="2036"/>
  <c r="R36" i="2036"/>
  <c r="L10" i="2036" s="1"/>
  <c r="D10" i="2036" s="1"/>
  <c r="H36" i="2036"/>
  <c r="D36" i="2036"/>
  <c r="R35" i="2036"/>
  <c r="L18" i="2036" s="1"/>
  <c r="D18" i="2036" s="1"/>
  <c r="H35" i="2036"/>
  <c r="D35" i="2036"/>
  <c r="R34" i="2036"/>
  <c r="L12" i="2036" s="1"/>
  <c r="D12" i="2036" s="1"/>
  <c r="H34" i="2036"/>
  <c r="D34" i="2036"/>
  <c r="R33" i="2036"/>
  <c r="L19" i="2036" s="1"/>
  <c r="D19" i="2036" s="1"/>
  <c r="R32" i="2036"/>
  <c r="R31" i="2036"/>
  <c r="R30" i="2036"/>
  <c r="R29" i="2036"/>
  <c r="R28" i="2036"/>
  <c r="R27" i="2036"/>
  <c r="L27" i="2036"/>
  <c r="D27" i="2036"/>
  <c r="R26" i="2036"/>
  <c r="L26" i="2036"/>
  <c r="D26" i="2036" s="1"/>
  <c r="R25" i="2036"/>
  <c r="L25" i="2036"/>
  <c r="D25" i="2036" s="1"/>
  <c r="R24" i="2036"/>
  <c r="L24" i="2036"/>
  <c r="D24" i="2036"/>
  <c r="R23" i="2036"/>
  <c r="L23" i="2036"/>
  <c r="D23" i="2036" s="1"/>
  <c r="R22" i="2036"/>
  <c r="L20" i="2036" s="1"/>
  <c r="D20" i="2036" s="1"/>
  <c r="L22" i="2036"/>
  <c r="D22" i="2036" s="1"/>
  <c r="R21" i="2036"/>
  <c r="L17" i="2036" s="1"/>
  <c r="D17" i="2036" s="1"/>
  <c r="L21" i="2036"/>
  <c r="D21" i="2036" s="1"/>
  <c r="R20" i="2036"/>
  <c r="R19" i="2036"/>
  <c r="R18" i="2036"/>
  <c r="R17" i="2036"/>
  <c r="R16" i="2036"/>
  <c r="R15" i="2036"/>
  <c r="L15" i="2036"/>
  <c r="D15" i="2036" s="1"/>
  <c r="R14" i="2036"/>
  <c r="D14" i="2036"/>
  <c r="R13" i="2036"/>
  <c r="D13" i="2036"/>
  <c r="R12" i="2036"/>
  <c r="R11" i="2036"/>
  <c r="L11" i="2036"/>
  <c r="D11" i="2036" s="1"/>
  <c r="L7" i="2036"/>
  <c r="D7" i="2036" s="1"/>
  <c r="R6" i="2036"/>
  <c r="L16" i="2036" s="1"/>
  <c r="D16" i="2036" s="1"/>
  <c r="L6" i="2036"/>
  <c r="D6" i="2036" s="1"/>
  <c r="R5" i="2036"/>
  <c r="R4" i="2036"/>
  <c r="R52" i="2035"/>
  <c r="R51" i="2035"/>
  <c r="D50" i="2035"/>
  <c r="R49" i="2035"/>
  <c r="D49" i="2035"/>
  <c r="R48" i="2035"/>
  <c r="D48" i="2035"/>
  <c r="D46" i="2035"/>
  <c r="D45" i="2035"/>
  <c r="R44" i="2035"/>
  <c r="D44" i="2035"/>
  <c r="R42" i="2035"/>
  <c r="L6" i="2035" s="1"/>
  <c r="D6" i="2035" s="1"/>
  <c r="D42" i="2035"/>
  <c r="R41" i="2035"/>
  <c r="L7" i="2035" s="1"/>
  <c r="D7" i="2035" s="1"/>
  <c r="D41" i="2035"/>
  <c r="R40" i="2035"/>
  <c r="L8" i="2035" s="1"/>
  <c r="D8" i="2035" s="1"/>
  <c r="D40" i="2035"/>
  <c r="R39" i="2035"/>
  <c r="H39" i="2035"/>
  <c r="D39" i="2035"/>
  <c r="R38" i="2035"/>
  <c r="L9" i="2035" s="1"/>
  <c r="D9" i="2035" s="1"/>
  <c r="H38" i="2035"/>
  <c r="D38" i="2035"/>
  <c r="R37" i="2035"/>
  <c r="H37" i="2035"/>
  <c r="D37" i="2035"/>
  <c r="R36" i="2035"/>
  <c r="L10" i="2035" s="1"/>
  <c r="D10" i="2035" s="1"/>
  <c r="H36" i="2035"/>
  <c r="D36" i="2035"/>
  <c r="R35" i="2035"/>
  <c r="L18" i="2035" s="1"/>
  <c r="D18" i="2035" s="1"/>
  <c r="H35" i="2035"/>
  <c r="D35" i="2035"/>
  <c r="R34" i="2035"/>
  <c r="H34" i="2035"/>
  <c r="D34" i="2035"/>
  <c r="R33" i="2035"/>
  <c r="R32" i="2035"/>
  <c r="L11" i="2035" s="1"/>
  <c r="D11" i="2035" s="1"/>
  <c r="R31" i="2035"/>
  <c r="R30" i="2035"/>
  <c r="R29" i="2035"/>
  <c r="R28" i="2035"/>
  <c r="L28" i="2035"/>
  <c r="D28" i="2035"/>
  <c r="R27" i="2035"/>
  <c r="L27" i="2035"/>
  <c r="D27" i="2035" s="1"/>
  <c r="R26" i="2035"/>
  <c r="L26" i="2035"/>
  <c r="D26" i="2035"/>
  <c r="R25" i="2035"/>
  <c r="L25" i="2035"/>
  <c r="D25" i="2035" s="1"/>
  <c r="R24" i="2035"/>
  <c r="L24" i="2035"/>
  <c r="D24" i="2035"/>
  <c r="R23" i="2035"/>
  <c r="L23" i="2035"/>
  <c r="D23" i="2035" s="1"/>
  <c r="R22" i="2035"/>
  <c r="L20" i="2035" s="1"/>
  <c r="D20" i="2035" s="1"/>
  <c r="L22" i="2035"/>
  <c r="D22" i="2035" s="1"/>
  <c r="R21" i="2035"/>
  <c r="L21" i="2035"/>
  <c r="D21" i="2035" s="1"/>
  <c r="R20" i="2035"/>
  <c r="R19" i="2035"/>
  <c r="L19" i="2035"/>
  <c r="D19" i="2035" s="1"/>
  <c r="R18" i="2035"/>
  <c r="R17" i="2035"/>
  <c r="L17" i="2035"/>
  <c r="D17" i="2035"/>
  <c r="R16" i="2035"/>
  <c r="R15" i="2035"/>
  <c r="R14" i="2035"/>
  <c r="D14" i="2035"/>
  <c r="R13" i="2035"/>
  <c r="D13" i="2035"/>
  <c r="R12" i="2035"/>
  <c r="L12" i="2035"/>
  <c r="D12" i="2035"/>
  <c r="R11" i="2035"/>
  <c r="R6" i="2035"/>
  <c r="L16" i="2035" s="1"/>
  <c r="D16" i="2035" s="1"/>
  <c r="R5" i="2035"/>
  <c r="R4" i="2035"/>
  <c r="L15" i="2035" s="1"/>
  <c r="D15" i="2035" s="1"/>
  <c r="R52" i="2034"/>
  <c r="R51" i="2034"/>
  <c r="D50" i="2034"/>
  <c r="R49" i="2034"/>
  <c r="G49" i="2034"/>
  <c r="D49" i="2034"/>
  <c r="R48" i="2034"/>
  <c r="D48" i="2034"/>
  <c r="D46" i="2034"/>
  <c r="D45" i="2034"/>
  <c r="D44" i="2034"/>
  <c r="R42" i="2034"/>
  <c r="L6" i="2034" s="1"/>
  <c r="D6" i="2034" s="1"/>
  <c r="D42" i="2034"/>
  <c r="R41" i="2034"/>
  <c r="L7" i="2034" s="1"/>
  <c r="D7" i="2034" s="1"/>
  <c r="D41" i="2034"/>
  <c r="R40" i="2034"/>
  <c r="L8" i="2034" s="1"/>
  <c r="D8" i="2034" s="1"/>
  <c r="D40" i="2034"/>
  <c r="R39" i="2034"/>
  <c r="D39" i="2034"/>
  <c r="R38" i="2034"/>
  <c r="D38" i="2034"/>
  <c r="R37" i="2034"/>
  <c r="D37" i="2034"/>
  <c r="R36" i="2034"/>
  <c r="L10" i="2034" s="1"/>
  <c r="D10" i="2034" s="1"/>
  <c r="D36" i="2034"/>
  <c r="R35" i="2034"/>
  <c r="L19" i="2034" s="1"/>
  <c r="D19" i="2034" s="1"/>
  <c r="D35" i="2034"/>
  <c r="R34" i="2034"/>
  <c r="L12" i="2034" s="1"/>
  <c r="D12" i="2034" s="1"/>
  <c r="D34" i="2034"/>
  <c r="R33" i="2034"/>
  <c r="L23" i="2034" s="1"/>
  <c r="D23" i="2034" s="1"/>
  <c r="R32" i="2034"/>
  <c r="L11" i="2034" s="1"/>
  <c r="D11" i="2034" s="1"/>
  <c r="R31" i="2034"/>
  <c r="R30" i="2034"/>
  <c r="R29" i="2034"/>
  <c r="R28" i="2034"/>
  <c r="L16" i="2034" s="1"/>
  <c r="D16" i="2034" s="1"/>
  <c r="D28" i="2034"/>
  <c r="R27" i="2034"/>
  <c r="D27" i="2034"/>
  <c r="R26" i="2034"/>
  <c r="L26" i="2034"/>
  <c r="D26" i="2034" s="1"/>
  <c r="R25" i="2034"/>
  <c r="L25" i="2034"/>
  <c r="D25" i="2034" s="1"/>
  <c r="R24" i="2034"/>
  <c r="D24" i="2034"/>
  <c r="R23" i="2034"/>
  <c r="R22" i="2034"/>
  <c r="L22" i="2034"/>
  <c r="D22" i="2034" s="1"/>
  <c r="R21" i="2034"/>
  <c r="D21" i="2034"/>
  <c r="R20" i="2034"/>
  <c r="L20" i="2034"/>
  <c r="D20" i="2034"/>
  <c r="R19" i="2034"/>
  <c r="R18" i="2034"/>
  <c r="D18" i="2034"/>
  <c r="R17" i="2034"/>
  <c r="D17" i="2034"/>
  <c r="R16" i="2034"/>
  <c r="S15" i="2034"/>
  <c r="R15" i="2034"/>
  <c r="D15" i="2034"/>
  <c r="S14" i="2034"/>
  <c r="R14" i="2034"/>
  <c r="D14" i="2034"/>
  <c r="R13" i="2034"/>
  <c r="D13" i="2034"/>
  <c r="R12" i="2034"/>
  <c r="R11" i="2034"/>
  <c r="L9" i="2034"/>
  <c r="D9" i="2034" s="1"/>
  <c r="R6" i="2034"/>
  <c r="R5" i="2034"/>
  <c r="R4" i="2034"/>
  <c r="R52" i="2033"/>
  <c r="R51" i="2033"/>
  <c r="D50" i="2033"/>
  <c r="R49" i="2033"/>
  <c r="D49" i="2033"/>
  <c r="R48" i="2033"/>
  <c r="D48" i="2033"/>
  <c r="D46" i="2033"/>
  <c r="D45" i="2033"/>
  <c r="R44" i="2033"/>
  <c r="L28" i="2033" s="1"/>
  <c r="D28" i="2033" s="1"/>
  <c r="D44" i="2033"/>
  <c r="R42" i="2033"/>
  <c r="L6" i="2033" s="1"/>
  <c r="D6" i="2033" s="1"/>
  <c r="D42" i="2033"/>
  <c r="R41" i="2033"/>
  <c r="D41" i="2033"/>
  <c r="R40" i="2033"/>
  <c r="L8" i="2033" s="1"/>
  <c r="D8" i="2033" s="1"/>
  <c r="D40" i="2033"/>
  <c r="R39" i="2033"/>
  <c r="H39" i="2033"/>
  <c r="D39" i="2033"/>
  <c r="R38" i="2033"/>
  <c r="H38" i="2033"/>
  <c r="D38" i="2033"/>
  <c r="R37" i="2033"/>
  <c r="H37" i="2033"/>
  <c r="D37" i="2033"/>
  <c r="R36" i="2033"/>
  <c r="H36" i="2033"/>
  <c r="D36" i="2033"/>
  <c r="R35" i="2033"/>
  <c r="H35" i="2033"/>
  <c r="D35" i="2033"/>
  <c r="R34" i="2033"/>
  <c r="L12" i="2033" s="1"/>
  <c r="D12" i="2033" s="1"/>
  <c r="H34" i="2033"/>
  <c r="D34" i="2033"/>
  <c r="R33" i="2033"/>
  <c r="L19" i="2033" s="1"/>
  <c r="D19" i="2033" s="1"/>
  <c r="R32" i="2033"/>
  <c r="R31" i="2033"/>
  <c r="R30" i="2033"/>
  <c r="R29" i="2033"/>
  <c r="R28" i="2033"/>
  <c r="R27" i="2033"/>
  <c r="L27" i="2033"/>
  <c r="D27" i="2033" s="1"/>
  <c r="R26" i="2033"/>
  <c r="L26" i="2033"/>
  <c r="D26" i="2033" s="1"/>
  <c r="R25" i="2033"/>
  <c r="L25" i="2033"/>
  <c r="D25" i="2033" s="1"/>
  <c r="R24" i="2033"/>
  <c r="L24" i="2033"/>
  <c r="D24" i="2033"/>
  <c r="R23" i="2033"/>
  <c r="L23" i="2033"/>
  <c r="D23" i="2033"/>
  <c r="R22" i="2033"/>
  <c r="L20" i="2033" s="1"/>
  <c r="D20" i="2033" s="1"/>
  <c r="L22" i="2033"/>
  <c r="D22" i="2033" s="1"/>
  <c r="R21" i="2033"/>
  <c r="L17" i="2033" s="1"/>
  <c r="D17" i="2033" s="1"/>
  <c r="L21" i="2033"/>
  <c r="D21" i="2033" s="1"/>
  <c r="R20" i="2033"/>
  <c r="R19" i="2033"/>
  <c r="R18" i="2033"/>
  <c r="L18" i="2033"/>
  <c r="D18" i="2033" s="1"/>
  <c r="R17" i="2033"/>
  <c r="R16" i="2033"/>
  <c r="R15" i="2033"/>
  <c r="R14" i="2033"/>
  <c r="D14" i="2033"/>
  <c r="R13" i="2033"/>
  <c r="D13" i="2033"/>
  <c r="R12" i="2033"/>
  <c r="R11" i="2033"/>
  <c r="L11" i="2033"/>
  <c r="D11" i="2033" s="1"/>
  <c r="L10" i="2033"/>
  <c r="D10" i="2033" s="1"/>
  <c r="L9" i="2033"/>
  <c r="D9" i="2033" s="1"/>
  <c r="L7" i="2033"/>
  <c r="D7" i="2033" s="1"/>
  <c r="R6" i="2033"/>
  <c r="L16" i="2033" s="1"/>
  <c r="D16" i="2033" s="1"/>
  <c r="R5" i="2033"/>
  <c r="R4" i="2033"/>
  <c r="L15" i="2033" s="1"/>
  <c r="D15" i="2033" s="1"/>
  <c r="R52" i="2032"/>
  <c r="R51" i="2032"/>
  <c r="D50" i="2032"/>
  <c r="R49" i="2032"/>
  <c r="D49" i="2032"/>
  <c r="R48" i="2032"/>
  <c r="D48" i="2032"/>
  <c r="D46" i="2032"/>
  <c r="D45" i="2032"/>
  <c r="R44" i="2032"/>
  <c r="L28" i="2032" s="1"/>
  <c r="D28" i="2032" s="1"/>
  <c r="D44" i="2032"/>
  <c r="R42" i="2032"/>
  <c r="D42" i="2032"/>
  <c r="R41" i="2032"/>
  <c r="D41" i="2032"/>
  <c r="R40" i="2032"/>
  <c r="L8" i="2032" s="1"/>
  <c r="D8" i="2032" s="1"/>
  <c r="D40" i="2032"/>
  <c r="R39" i="2032"/>
  <c r="H39" i="2032"/>
  <c r="D39" i="2032"/>
  <c r="R38" i="2032"/>
  <c r="H38" i="2032"/>
  <c r="D38" i="2032"/>
  <c r="R37" i="2032"/>
  <c r="H37" i="2032"/>
  <c r="D37" i="2032"/>
  <c r="R36" i="2032"/>
  <c r="H36" i="2032"/>
  <c r="D36" i="2032"/>
  <c r="R35" i="2032"/>
  <c r="L18" i="2032" s="1"/>
  <c r="D18" i="2032" s="1"/>
  <c r="H35" i="2032"/>
  <c r="D35" i="2032"/>
  <c r="R34" i="2032"/>
  <c r="L12" i="2032" s="1"/>
  <c r="D12" i="2032" s="1"/>
  <c r="H34" i="2032"/>
  <c r="D34" i="2032"/>
  <c r="R33" i="2032"/>
  <c r="L19" i="2032" s="1"/>
  <c r="D19" i="2032" s="1"/>
  <c r="R32" i="2032"/>
  <c r="R31" i="2032"/>
  <c r="R30" i="2032"/>
  <c r="R29" i="2032"/>
  <c r="R28" i="2032"/>
  <c r="R27" i="2032"/>
  <c r="L27" i="2032"/>
  <c r="D27" i="2032" s="1"/>
  <c r="R26" i="2032"/>
  <c r="L26" i="2032"/>
  <c r="D26" i="2032"/>
  <c r="R25" i="2032"/>
  <c r="L25" i="2032"/>
  <c r="D25" i="2032"/>
  <c r="R24" i="2032"/>
  <c r="L24" i="2032"/>
  <c r="D24" i="2032" s="1"/>
  <c r="R23" i="2032"/>
  <c r="L23" i="2032"/>
  <c r="D23" i="2032" s="1"/>
  <c r="R22" i="2032"/>
  <c r="L20" i="2032" s="1"/>
  <c r="D20" i="2032" s="1"/>
  <c r="L22" i="2032"/>
  <c r="D22" i="2032" s="1"/>
  <c r="R21" i="2032"/>
  <c r="L17" i="2032" s="1"/>
  <c r="D17" i="2032" s="1"/>
  <c r="L21" i="2032"/>
  <c r="D21" i="2032" s="1"/>
  <c r="R20" i="2032"/>
  <c r="R19" i="2032"/>
  <c r="R18" i="2032"/>
  <c r="R17" i="2032"/>
  <c r="R16" i="2032"/>
  <c r="R15" i="2032"/>
  <c r="L15" i="2032"/>
  <c r="D15" i="2032" s="1"/>
  <c r="R14" i="2032"/>
  <c r="D14" i="2032"/>
  <c r="R13" i="2032"/>
  <c r="D13" i="2032"/>
  <c r="R12" i="2032"/>
  <c r="R11" i="2032"/>
  <c r="L11" i="2032"/>
  <c r="D11" i="2032"/>
  <c r="L10" i="2032"/>
  <c r="D10" i="2032" s="1"/>
  <c r="L9" i="2032"/>
  <c r="D9" i="2032" s="1"/>
  <c r="L7" i="2032"/>
  <c r="D7" i="2032" s="1"/>
  <c r="R6" i="2032"/>
  <c r="L16" i="2032" s="1"/>
  <c r="D16" i="2032" s="1"/>
  <c r="L6" i="2032"/>
  <c r="D6" i="2032" s="1"/>
  <c r="R5" i="2032"/>
  <c r="R4" i="2032"/>
  <c r="R52" i="2031"/>
  <c r="R51" i="2031"/>
  <c r="D50" i="2031"/>
  <c r="R49" i="2031"/>
  <c r="D49" i="2031"/>
  <c r="R48" i="2031"/>
  <c r="D48" i="2031"/>
  <c r="D46" i="2031"/>
  <c r="D45" i="2031"/>
  <c r="R44" i="2031"/>
  <c r="D44" i="2031"/>
  <c r="R42" i="2031"/>
  <c r="L6" i="2031" s="1"/>
  <c r="D6" i="2031" s="1"/>
  <c r="D42" i="2031"/>
  <c r="R41" i="2031"/>
  <c r="L7" i="2031" s="1"/>
  <c r="D7" i="2031" s="1"/>
  <c r="D41" i="2031"/>
  <c r="R40" i="2031"/>
  <c r="D40" i="2031"/>
  <c r="R39" i="2031"/>
  <c r="H39" i="2031"/>
  <c r="D39" i="2031"/>
  <c r="R38" i="2031"/>
  <c r="L9" i="2031" s="1"/>
  <c r="D9" i="2031" s="1"/>
  <c r="H38" i="2031"/>
  <c r="D38" i="2031"/>
  <c r="R37" i="2031"/>
  <c r="H37" i="2031"/>
  <c r="D37" i="2031"/>
  <c r="R36" i="2031"/>
  <c r="L10" i="2031" s="1"/>
  <c r="D10" i="2031" s="1"/>
  <c r="H36" i="2031"/>
  <c r="D36" i="2031"/>
  <c r="R35" i="2031"/>
  <c r="L18" i="2031" s="1"/>
  <c r="D18" i="2031" s="1"/>
  <c r="H35" i="2031"/>
  <c r="D35" i="2031"/>
  <c r="R34" i="2031"/>
  <c r="L12" i="2031" s="1"/>
  <c r="D12" i="2031" s="1"/>
  <c r="H34" i="2031"/>
  <c r="D34" i="2031"/>
  <c r="R33" i="2031"/>
  <c r="R32" i="2031"/>
  <c r="L11" i="2031" s="1"/>
  <c r="D11" i="2031" s="1"/>
  <c r="R31" i="2031"/>
  <c r="R30" i="2031"/>
  <c r="R29" i="2031"/>
  <c r="R28" i="2031"/>
  <c r="L28" i="2031"/>
  <c r="D28" i="2031" s="1"/>
  <c r="R27" i="2031"/>
  <c r="L27" i="2031"/>
  <c r="D27" i="2031" s="1"/>
  <c r="R26" i="2031"/>
  <c r="L26" i="2031"/>
  <c r="D26" i="2031"/>
  <c r="R25" i="2031"/>
  <c r="L25" i="2031"/>
  <c r="D25" i="2031"/>
  <c r="R24" i="2031"/>
  <c r="L24" i="2031"/>
  <c r="D24" i="2031" s="1"/>
  <c r="R23" i="2031"/>
  <c r="L23" i="2031"/>
  <c r="D23" i="2031"/>
  <c r="R22" i="2031"/>
  <c r="L20" i="2031" s="1"/>
  <c r="D20" i="2031" s="1"/>
  <c r="L22" i="2031"/>
  <c r="D22" i="2031" s="1"/>
  <c r="R21" i="2031"/>
  <c r="L21" i="2031"/>
  <c r="D21" i="2031"/>
  <c r="R20" i="2031"/>
  <c r="R19" i="2031"/>
  <c r="L19" i="2031"/>
  <c r="D19" i="2031" s="1"/>
  <c r="R18" i="2031"/>
  <c r="R17" i="2031"/>
  <c r="L17" i="2031"/>
  <c r="D17" i="2031" s="1"/>
  <c r="R16" i="2031"/>
  <c r="R15" i="2031"/>
  <c r="R14" i="2031"/>
  <c r="D14" i="2031"/>
  <c r="R13" i="2031"/>
  <c r="D13" i="2031"/>
  <c r="R12" i="2031"/>
  <c r="R11" i="2031"/>
  <c r="L8" i="2031"/>
  <c r="D8" i="2031" s="1"/>
  <c r="R6" i="2031"/>
  <c r="L16" i="2031" s="1"/>
  <c r="D16" i="2031" s="1"/>
  <c r="R5" i="2031"/>
  <c r="R4" i="2031"/>
  <c r="L15" i="2031" s="1"/>
  <c r="D15" i="2031" s="1"/>
  <c r="R52" i="2030"/>
  <c r="R51" i="2030"/>
  <c r="D50" i="2030"/>
  <c r="R49" i="2030"/>
  <c r="G49" i="2030"/>
  <c r="D49" i="2030"/>
  <c r="R48" i="2030"/>
  <c r="D48" i="2030"/>
  <c r="D46" i="2030"/>
  <c r="D45" i="2030"/>
  <c r="D44" i="2030"/>
  <c r="R42" i="2030"/>
  <c r="L6" i="2030" s="1"/>
  <c r="D6" i="2030" s="1"/>
  <c r="D42" i="2030"/>
  <c r="R41" i="2030"/>
  <c r="L7" i="2030" s="1"/>
  <c r="D7" i="2030" s="1"/>
  <c r="D41" i="2030"/>
  <c r="R40" i="2030"/>
  <c r="D40" i="2030"/>
  <c r="R39" i="2030"/>
  <c r="D39" i="2030"/>
  <c r="R38" i="2030"/>
  <c r="L9" i="2030" s="1"/>
  <c r="D9" i="2030" s="1"/>
  <c r="D38" i="2030"/>
  <c r="R37" i="2030"/>
  <c r="D37" i="2030"/>
  <c r="R36" i="2030"/>
  <c r="L10" i="2030" s="1"/>
  <c r="D10" i="2030" s="1"/>
  <c r="D36" i="2030"/>
  <c r="R35" i="2030"/>
  <c r="D35" i="2030"/>
  <c r="R34" i="2030"/>
  <c r="L12" i="2030" s="1"/>
  <c r="D12" i="2030" s="1"/>
  <c r="D34" i="2030"/>
  <c r="R33" i="2030"/>
  <c r="L23" i="2030" s="1"/>
  <c r="D23" i="2030" s="1"/>
  <c r="R32" i="2030"/>
  <c r="L11" i="2030" s="1"/>
  <c r="D11" i="2030" s="1"/>
  <c r="R31" i="2030"/>
  <c r="R30" i="2030"/>
  <c r="R29" i="2030"/>
  <c r="R28" i="2030"/>
  <c r="L16" i="2030" s="1"/>
  <c r="D16" i="2030" s="1"/>
  <c r="D28" i="2030"/>
  <c r="R27" i="2030"/>
  <c r="D27" i="2030"/>
  <c r="R26" i="2030"/>
  <c r="L26" i="2030"/>
  <c r="D26" i="2030" s="1"/>
  <c r="R25" i="2030"/>
  <c r="L25" i="2030"/>
  <c r="D25" i="2030"/>
  <c r="R24" i="2030"/>
  <c r="D24" i="2030"/>
  <c r="R23" i="2030"/>
  <c r="R22" i="2030"/>
  <c r="L22" i="2030"/>
  <c r="D22" i="2030" s="1"/>
  <c r="R21" i="2030"/>
  <c r="D21" i="2030"/>
  <c r="R20" i="2030"/>
  <c r="L20" i="2030"/>
  <c r="D20" i="2030" s="1"/>
  <c r="R19" i="2030"/>
  <c r="L19" i="2030"/>
  <c r="D19" i="2030" s="1"/>
  <c r="R18" i="2030"/>
  <c r="D18" i="2030"/>
  <c r="R17" i="2030"/>
  <c r="D17" i="2030"/>
  <c r="R16" i="2030"/>
  <c r="S15" i="2030"/>
  <c r="R15" i="2030"/>
  <c r="D15" i="2030"/>
  <c r="S14" i="2030"/>
  <c r="R14" i="2030"/>
  <c r="D14" i="2030"/>
  <c r="R13" i="2030"/>
  <c r="D13" i="2030"/>
  <c r="R12" i="2030"/>
  <c r="R11" i="2030"/>
  <c r="L8" i="2030"/>
  <c r="D8" i="2030" s="1"/>
  <c r="R6" i="2030"/>
  <c r="R5" i="2030"/>
  <c r="R4" i="2030"/>
  <c r="D54" i="2050" l="1"/>
  <c r="H14" i="2050" s="1"/>
  <c r="D54" i="2034"/>
  <c r="H14" i="2034" s="1"/>
  <c r="D54" i="2046"/>
  <c r="H14" i="2046" s="1"/>
  <c r="D54" i="2030"/>
  <c r="H14" i="2030" s="1"/>
  <c r="G49" i="2047"/>
  <c r="D54" i="2042"/>
  <c r="H14" i="2042" s="1"/>
  <c r="G49" i="2036"/>
  <c r="G49" i="2053"/>
  <c r="D54" i="2053"/>
  <c r="H14" i="2053" s="1"/>
  <c r="G49" i="2052"/>
  <c r="D54" i="2052"/>
  <c r="H14" i="2052" s="1"/>
  <c r="D54" i="2051"/>
  <c r="H14" i="2051" s="1"/>
  <c r="D29" i="2051"/>
  <c r="H13" i="2051" s="1"/>
  <c r="G49" i="2049"/>
  <c r="G49" i="2048"/>
  <c r="D54" i="2049"/>
  <c r="H14" i="2049" s="1"/>
  <c r="D54" i="2048"/>
  <c r="H14" i="2048" s="1"/>
  <c r="D54" i="2047"/>
  <c r="H14" i="2047" s="1"/>
  <c r="G49" i="2045"/>
  <c r="G49" i="2044"/>
  <c r="G49" i="2043"/>
  <c r="D54" i="2045"/>
  <c r="H14" i="2045" s="1"/>
  <c r="D54" i="2044"/>
  <c r="H14" i="2044" s="1"/>
  <c r="D54" i="2043"/>
  <c r="H14" i="2043" s="1"/>
  <c r="G49" i="2041"/>
  <c r="G49" i="2040"/>
  <c r="G49" i="2039"/>
  <c r="D54" i="2041"/>
  <c r="H14" i="2041" s="1"/>
  <c r="D54" i="2040"/>
  <c r="H14" i="2040" s="1"/>
  <c r="D54" i="2039"/>
  <c r="H14" i="2039" s="1"/>
  <c r="G49" i="2037"/>
  <c r="D54" i="2037"/>
  <c r="H14" i="2037" s="1"/>
  <c r="D54" i="2036"/>
  <c r="H14" i="2036" s="1"/>
  <c r="G49" i="2035"/>
  <c r="D54" i="2035"/>
  <c r="H14" i="2035" s="1"/>
  <c r="G49" i="2033"/>
  <c r="G49" i="2032"/>
  <c r="G49" i="2031"/>
  <c r="D54" i="2033"/>
  <c r="H14" i="2033" s="1"/>
  <c r="D54" i="2032"/>
  <c r="H14" i="2032" s="1"/>
  <c r="D54" i="2031"/>
  <c r="H14" i="2031" s="1"/>
  <c r="D29" i="2053"/>
  <c r="H13" i="2053" s="1"/>
  <c r="D29" i="2052"/>
  <c r="H13" i="2052" s="1"/>
  <c r="D29" i="2050"/>
  <c r="H13" i="2050" s="1"/>
  <c r="H15" i="2050" s="1"/>
  <c r="H29" i="2050" s="1"/>
  <c r="G51" i="2050" s="1"/>
  <c r="D29" i="2049"/>
  <c r="H13" i="2049" s="1"/>
  <c r="D29" i="2048"/>
  <c r="H13" i="2048" s="1"/>
  <c r="H15" i="2048" s="1"/>
  <c r="H29" i="2048" s="1"/>
  <c r="G51" i="2048" s="1"/>
  <c r="D29" i="2047"/>
  <c r="H13" i="2047" s="1"/>
  <c r="D29" i="2046"/>
  <c r="H13" i="2046" s="1"/>
  <c r="H15" i="2046" s="1"/>
  <c r="H29" i="2046" s="1"/>
  <c r="G51" i="2046" s="1"/>
  <c r="D29" i="2045"/>
  <c r="H13" i="2045" s="1"/>
  <c r="D29" i="2044"/>
  <c r="H13" i="2044" s="1"/>
  <c r="D29" i="2043"/>
  <c r="H13" i="2043" s="1"/>
  <c r="D29" i="2042"/>
  <c r="H13" i="2042" s="1"/>
  <c r="H15" i="2042" s="1"/>
  <c r="H29" i="2042" s="1"/>
  <c r="G51" i="2042" s="1"/>
  <c r="D29" i="2041"/>
  <c r="H13" i="2041" s="1"/>
  <c r="H15" i="2041" s="1"/>
  <c r="H29" i="2041" s="1"/>
  <c r="D29" i="2040"/>
  <c r="H13" i="2040" s="1"/>
  <c r="D29" i="2039"/>
  <c r="H13" i="2039" s="1"/>
  <c r="D29" i="2038"/>
  <c r="H13" i="2038" s="1"/>
  <c r="H15" i="2038" s="1"/>
  <c r="H29" i="2038" s="1"/>
  <c r="G51" i="2038" s="1"/>
  <c r="D29" i="2037"/>
  <c r="H13" i="2037" s="1"/>
  <c r="H15" i="2037" s="1"/>
  <c r="H29" i="2037" s="1"/>
  <c r="D29" i="2036"/>
  <c r="H13" i="2036" s="1"/>
  <c r="D29" i="2035"/>
  <c r="H13" i="2035" s="1"/>
  <c r="D29" i="2034"/>
  <c r="H13" i="2034" s="1"/>
  <c r="H15" i="2034" s="1"/>
  <c r="H29" i="2034" s="1"/>
  <c r="G51" i="2034" s="1"/>
  <c r="D29" i="2033"/>
  <c r="H13" i="2033" s="1"/>
  <c r="D29" i="2032"/>
  <c r="H13" i="2032" s="1"/>
  <c r="D29" i="2031"/>
  <c r="H13" i="2031" s="1"/>
  <c r="D29" i="2030"/>
  <c r="H13" i="2030" s="1"/>
  <c r="H15" i="2030" s="1"/>
  <c r="H29" i="2030" s="1"/>
  <c r="G51" i="2030" s="1"/>
  <c r="R52" i="2029"/>
  <c r="R51" i="2029"/>
  <c r="D50" i="2029"/>
  <c r="R49" i="2029"/>
  <c r="D49" i="2029"/>
  <c r="R48" i="2029"/>
  <c r="D48" i="2029"/>
  <c r="D46" i="2029"/>
  <c r="D45" i="2029"/>
  <c r="R44" i="2029"/>
  <c r="L28" i="2029" s="1"/>
  <c r="D28" i="2029" s="1"/>
  <c r="D44" i="2029"/>
  <c r="R42" i="2029"/>
  <c r="D42" i="2029"/>
  <c r="R41" i="2029"/>
  <c r="L7" i="2029" s="1"/>
  <c r="D7" i="2029" s="1"/>
  <c r="D41" i="2029"/>
  <c r="R40" i="2029"/>
  <c r="L8" i="2029" s="1"/>
  <c r="D8" i="2029" s="1"/>
  <c r="D40" i="2029"/>
  <c r="R39" i="2029"/>
  <c r="H39" i="2029"/>
  <c r="D39" i="2029"/>
  <c r="R38" i="2029"/>
  <c r="L9" i="2029" s="1"/>
  <c r="D9" i="2029" s="1"/>
  <c r="H38" i="2029"/>
  <c r="D38" i="2029"/>
  <c r="R37" i="2029"/>
  <c r="H37" i="2029"/>
  <c r="D37" i="2029"/>
  <c r="R36" i="2029"/>
  <c r="L10" i="2029" s="1"/>
  <c r="D10" i="2029" s="1"/>
  <c r="H36" i="2029"/>
  <c r="D36" i="2029"/>
  <c r="R35" i="2029"/>
  <c r="L18" i="2029" s="1"/>
  <c r="D18" i="2029" s="1"/>
  <c r="H35" i="2029"/>
  <c r="D35" i="2029"/>
  <c r="R34" i="2029"/>
  <c r="H34" i="2029"/>
  <c r="D34" i="2029"/>
  <c r="R33" i="2029"/>
  <c r="L19" i="2029" s="1"/>
  <c r="D19" i="2029" s="1"/>
  <c r="R32" i="2029"/>
  <c r="R31" i="2029"/>
  <c r="R30" i="2029"/>
  <c r="R29" i="2029"/>
  <c r="R28" i="2029"/>
  <c r="R27" i="2029"/>
  <c r="L27" i="2029"/>
  <c r="D27" i="2029"/>
  <c r="R26" i="2029"/>
  <c r="L26" i="2029"/>
  <c r="D26" i="2029"/>
  <c r="R25" i="2029"/>
  <c r="L25" i="2029"/>
  <c r="D25" i="2029" s="1"/>
  <c r="R24" i="2029"/>
  <c r="L24" i="2029"/>
  <c r="D24" i="2029" s="1"/>
  <c r="R23" i="2029"/>
  <c r="L23" i="2029"/>
  <c r="D23" i="2029" s="1"/>
  <c r="R22" i="2029"/>
  <c r="L20" i="2029" s="1"/>
  <c r="D20" i="2029" s="1"/>
  <c r="L22" i="2029"/>
  <c r="D22" i="2029" s="1"/>
  <c r="R21" i="2029"/>
  <c r="L17" i="2029" s="1"/>
  <c r="D17" i="2029" s="1"/>
  <c r="L21" i="2029"/>
  <c r="D21" i="2029"/>
  <c r="R20" i="2029"/>
  <c r="R19" i="2029"/>
  <c r="R18" i="2029"/>
  <c r="R17" i="2029"/>
  <c r="R16" i="2029"/>
  <c r="L16" i="2029"/>
  <c r="D16" i="2029" s="1"/>
  <c r="R15" i="2029"/>
  <c r="R14" i="2029"/>
  <c r="D14" i="2029"/>
  <c r="R13" i="2029"/>
  <c r="D13" i="2029"/>
  <c r="R12" i="2029"/>
  <c r="L12" i="2029"/>
  <c r="D12" i="2029" s="1"/>
  <c r="R11" i="2029"/>
  <c r="L11" i="2029"/>
  <c r="D11" i="2029" s="1"/>
  <c r="R6" i="2029"/>
  <c r="L6" i="2029"/>
  <c r="D6" i="2029" s="1"/>
  <c r="R5" i="2029"/>
  <c r="R4" i="2029"/>
  <c r="L15" i="2029" s="1"/>
  <c r="D15" i="2029" s="1"/>
  <c r="R52" i="2028"/>
  <c r="R51" i="2028"/>
  <c r="D50" i="2028"/>
  <c r="R49" i="2028"/>
  <c r="D49" i="2028"/>
  <c r="R48" i="2028"/>
  <c r="D48" i="2028"/>
  <c r="D46" i="2028"/>
  <c r="D45" i="2028"/>
  <c r="R44" i="2028"/>
  <c r="L28" i="2028" s="1"/>
  <c r="D28" i="2028" s="1"/>
  <c r="D44" i="2028"/>
  <c r="R42" i="2028"/>
  <c r="L6" i="2028" s="1"/>
  <c r="D6" i="2028" s="1"/>
  <c r="D42" i="2028"/>
  <c r="R41" i="2028"/>
  <c r="L7" i="2028" s="1"/>
  <c r="D7" i="2028" s="1"/>
  <c r="D41" i="2028"/>
  <c r="R40" i="2028"/>
  <c r="D40" i="2028"/>
  <c r="R39" i="2028"/>
  <c r="H39" i="2028"/>
  <c r="D39" i="2028"/>
  <c r="R38" i="2028"/>
  <c r="L9" i="2028" s="1"/>
  <c r="D9" i="2028" s="1"/>
  <c r="H38" i="2028"/>
  <c r="D38" i="2028"/>
  <c r="R37" i="2028"/>
  <c r="H37" i="2028"/>
  <c r="D37" i="2028"/>
  <c r="R36" i="2028"/>
  <c r="L10" i="2028" s="1"/>
  <c r="D10" i="2028" s="1"/>
  <c r="H36" i="2028"/>
  <c r="D36" i="2028"/>
  <c r="R35" i="2028"/>
  <c r="L18" i="2028" s="1"/>
  <c r="D18" i="2028" s="1"/>
  <c r="H35" i="2028"/>
  <c r="D35" i="2028"/>
  <c r="R34" i="2028"/>
  <c r="L12" i="2028" s="1"/>
  <c r="D12" i="2028" s="1"/>
  <c r="H34" i="2028"/>
  <c r="D34" i="2028"/>
  <c r="R33" i="2028"/>
  <c r="L19" i="2028" s="1"/>
  <c r="D19" i="2028" s="1"/>
  <c r="R32" i="2028"/>
  <c r="L11" i="2028" s="1"/>
  <c r="D11" i="2028" s="1"/>
  <c r="R31" i="2028"/>
  <c r="R30" i="2028"/>
  <c r="R29" i="2028"/>
  <c r="R28" i="2028"/>
  <c r="R27" i="2028"/>
  <c r="L27" i="2028"/>
  <c r="D27" i="2028" s="1"/>
  <c r="R26" i="2028"/>
  <c r="L26" i="2028"/>
  <c r="D26" i="2028" s="1"/>
  <c r="R25" i="2028"/>
  <c r="L25" i="2028"/>
  <c r="D25" i="2028"/>
  <c r="R24" i="2028"/>
  <c r="L24" i="2028"/>
  <c r="D24" i="2028" s="1"/>
  <c r="R23" i="2028"/>
  <c r="L23" i="2028"/>
  <c r="D23" i="2028"/>
  <c r="R22" i="2028"/>
  <c r="L20" i="2028" s="1"/>
  <c r="D20" i="2028" s="1"/>
  <c r="L22" i="2028"/>
  <c r="D22" i="2028" s="1"/>
  <c r="R21" i="2028"/>
  <c r="L17" i="2028" s="1"/>
  <c r="D17" i="2028" s="1"/>
  <c r="L21" i="2028"/>
  <c r="D21" i="2028" s="1"/>
  <c r="R20" i="2028"/>
  <c r="R19" i="2028"/>
  <c r="R18" i="2028"/>
  <c r="R17" i="2028"/>
  <c r="R16" i="2028"/>
  <c r="L16" i="2028"/>
  <c r="D16" i="2028" s="1"/>
  <c r="R15" i="2028"/>
  <c r="R14" i="2028"/>
  <c r="D14" i="2028"/>
  <c r="R13" i="2028"/>
  <c r="D13" i="2028"/>
  <c r="R12" i="2028"/>
  <c r="R11" i="2028"/>
  <c r="L8" i="2028"/>
  <c r="D8" i="2028" s="1"/>
  <c r="R6" i="2028"/>
  <c r="R5" i="2028"/>
  <c r="R4" i="2028"/>
  <c r="L15" i="2028" s="1"/>
  <c r="D15" i="2028" s="1"/>
  <c r="R52" i="2027"/>
  <c r="R51" i="2027"/>
  <c r="D50" i="2027"/>
  <c r="R49" i="2027"/>
  <c r="D49" i="2027"/>
  <c r="R48" i="2027"/>
  <c r="D48" i="2027"/>
  <c r="D46" i="2027"/>
  <c r="D45" i="2027"/>
  <c r="R44" i="2027"/>
  <c r="L28" i="2027" s="1"/>
  <c r="D28" i="2027" s="1"/>
  <c r="D44" i="2027"/>
  <c r="R42" i="2027"/>
  <c r="D42" i="2027"/>
  <c r="R41" i="2027"/>
  <c r="L7" i="2027" s="1"/>
  <c r="D7" i="2027" s="1"/>
  <c r="D41" i="2027"/>
  <c r="R40" i="2027"/>
  <c r="D40" i="2027"/>
  <c r="R39" i="2027"/>
  <c r="H39" i="2027"/>
  <c r="D39" i="2027"/>
  <c r="R38" i="2027"/>
  <c r="L9" i="2027" s="1"/>
  <c r="D9" i="2027" s="1"/>
  <c r="H38" i="2027"/>
  <c r="D38" i="2027"/>
  <c r="R37" i="2027"/>
  <c r="H37" i="2027"/>
  <c r="D37" i="2027"/>
  <c r="R36" i="2027"/>
  <c r="L10" i="2027" s="1"/>
  <c r="D10" i="2027" s="1"/>
  <c r="H36" i="2027"/>
  <c r="D36" i="2027"/>
  <c r="R35" i="2027"/>
  <c r="H35" i="2027"/>
  <c r="D35" i="2027"/>
  <c r="R34" i="2027"/>
  <c r="L12" i="2027" s="1"/>
  <c r="D12" i="2027" s="1"/>
  <c r="H34" i="2027"/>
  <c r="D34" i="2027"/>
  <c r="R33" i="2027"/>
  <c r="L19" i="2027" s="1"/>
  <c r="D19" i="2027" s="1"/>
  <c r="R32" i="2027"/>
  <c r="L11" i="2027" s="1"/>
  <c r="D11" i="2027" s="1"/>
  <c r="R31" i="2027"/>
  <c r="R30" i="2027"/>
  <c r="R29" i="2027"/>
  <c r="R28" i="2027"/>
  <c r="R27" i="2027"/>
  <c r="L27" i="2027"/>
  <c r="D27" i="2027"/>
  <c r="R26" i="2027"/>
  <c r="L26" i="2027"/>
  <c r="D26" i="2027"/>
  <c r="R25" i="2027"/>
  <c r="L25" i="2027"/>
  <c r="D25" i="2027" s="1"/>
  <c r="R24" i="2027"/>
  <c r="L24" i="2027"/>
  <c r="D24" i="2027"/>
  <c r="R23" i="2027"/>
  <c r="L23" i="2027"/>
  <c r="D23" i="2027" s="1"/>
  <c r="R22" i="2027"/>
  <c r="L20" i="2027" s="1"/>
  <c r="D20" i="2027" s="1"/>
  <c r="L22" i="2027"/>
  <c r="D22" i="2027"/>
  <c r="R21" i="2027"/>
  <c r="L21" i="2027"/>
  <c r="D21" i="2027"/>
  <c r="R20" i="2027"/>
  <c r="R19" i="2027"/>
  <c r="R18" i="2027"/>
  <c r="L18" i="2027"/>
  <c r="D18" i="2027"/>
  <c r="R17" i="2027"/>
  <c r="L17" i="2027"/>
  <c r="D17" i="2027" s="1"/>
  <c r="R16" i="2027"/>
  <c r="R15" i="2027"/>
  <c r="L15" i="2027"/>
  <c r="D15" i="2027" s="1"/>
  <c r="R14" i="2027"/>
  <c r="D14" i="2027"/>
  <c r="R13" i="2027"/>
  <c r="D13" i="2027"/>
  <c r="R12" i="2027"/>
  <c r="R11" i="2027"/>
  <c r="L8" i="2027"/>
  <c r="D8" i="2027"/>
  <c r="R6" i="2027"/>
  <c r="L16" i="2027" s="1"/>
  <c r="D16" i="2027" s="1"/>
  <c r="L6" i="2027"/>
  <c r="D6" i="2027" s="1"/>
  <c r="R5" i="2027"/>
  <c r="R4" i="2027"/>
  <c r="R52" i="2026"/>
  <c r="R51" i="2026"/>
  <c r="D50" i="2026"/>
  <c r="R49" i="2026"/>
  <c r="G49" i="2026"/>
  <c r="D49" i="2026"/>
  <c r="R48" i="2026"/>
  <c r="D48" i="2026"/>
  <c r="D46" i="2026"/>
  <c r="D45" i="2026"/>
  <c r="D44" i="2026"/>
  <c r="R42" i="2026"/>
  <c r="L6" i="2026" s="1"/>
  <c r="D6" i="2026" s="1"/>
  <c r="D42" i="2026"/>
  <c r="R41" i="2026"/>
  <c r="L7" i="2026" s="1"/>
  <c r="D7" i="2026" s="1"/>
  <c r="D41" i="2026"/>
  <c r="R40" i="2026"/>
  <c r="L8" i="2026" s="1"/>
  <c r="D8" i="2026" s="1"/>
  <c r="D40" i="2026"/>
  <c r="R39" i="2026"/>
  <c r="D39" i="2026"/>
  <c r="R38" i="2026"/>
  <c r="L9" i="2026" s="1"/>
  <c r="D9" i="2026" s="1"/>
  <c r="D38" i="2026"/>
  <c r="R37" i="2026"/>
  <c r="D37" i="2026"/>
  <c r="R36" i="2026"/>
  <c r="L10" i="2026" s="1"/>
  <c r="D10" i="2026" s="1"/>
  <c r="D36" i="2026"/>
  <c r="R35" i="2026"/>
  <c r="D35" i="2026"/>
  <c r="R34" i="2026"/>
  <c r="D34" i="2026"/>
  <c r="R33" i="2026"/>
  <c r="L23" i="2026" s="1"/>
  <c r="D23" i="2026" s="1"/>
  <c r="R32" i="2026"/>
  <c r="R31" i="2026"/>
  <c r="R30" i="2026"/>
  <c r="R29" i="2026"/>
  <c r="R28" i="2026"/>
  <c r="D28" i="2026"/>
  <c r="R27" i="2026"/>
  <c r="D27" i="2026"/>
  <c r="R26" i="2026"/>
  <c r="L26" i="2026"/>
  <c r="D26" i="2026"/>
  <c r="R25" i="2026"/>
  <c r="L25" i="2026"/>
  <c r="D25" i="2026"/>
  <c r="R24" i="2026"/>
  <c r="D24" i="2026"/>
  <c r="R23" i="2026"/>
  <c r="R22" i="2026"/>
  <c r="L22" i="2026"/>
  <c r="D22" i="2026"/>
  <c r="R21" i="2026"/>
  <c r="D21" i="2026"/>
  <c r="R20" i="2026"/>
  <c r="L20" i="2026"/>
  <c r="D20" i="2026"/>
  <c r="R19" i="2026"/>
  <c r="L19" i="2026"/>
  <c r="D19" i="2026" s="1"/>
  <c r="R18" i="2026"/>
  <c r="D18" i="2026"/>
  <c r="R17" i="2026"/>
  <c r="D17" i="2026"/>
  <c r="R16" i="2026"/>
  <c r="L16" i="2026"/>
  <c r="D16" i="2026" s="1"/>
  <c r="S15" i="2026"/>
  <c r="R15" i="2026"/>
  <c r="D15" i="2026"/>
  <c r="S14" i="2026"/>
  <c r="R14" i="2026"/>
  <c r="D14" i="2026"/>
  <c r="R13" i="2026"/>
  <c r="D13" i="2026"/>
  <c r="R12" i="2026"/>
  <c r="L12" i="2026"/>
  <c r="D12" i="2026"/>
  <c r="R11" i="2026"/>
  <c r="L11" i="2026"/>
  <c r="D11" i="2026"/>
  <c r="R6" i="2026"/>
  <c r="R5" i="2026"/>
  <c r="R4" i="2026"/>
  <c r="D54" i="2026" l="1"/>
  <c r="H14" i="2026" s="1"/>
  <c r="H15" i="2053"/>
  <c r="H29" i="2053" s="1"/>
  <c r="G51" i="2053" s="1"/>
  <c r="H15" i="2052"/>
  <c r="H29" i="2052" s="1"/>
  <c r="G51" i="2052" s="1"/>
  <c r="H15" i="2051"/>
  <c r="H29" i="2051" s="1"/>
  <c r="G51" i="2051" s="1"/>
  <c r="H15" i="2049"/>
  <c r="H29" i="2049" s="1"/>
  <c r="G51" i="2049" s="1"/>
  <c r="H15" i="2047"/>
  <c r="H29" i="2047" s="1"/>
  <c r="G51" i="2047" s="1"/>
  <c r="H15" i="2045"/>
  <c r="H29" i="2045" s="1"/>
  <c r="G51" i="2045" s="1"/>
  <c r="H15" i="2044"/>
  <c r="H29" i="2044" s="1"/>
  <c r="G51" i="2044" s="1"/>
  <c r="H15" i="2043"/>
  <c r="H29" i="2043" s="1"/>
  <c r="G51" i="2043" s="1"/>
  <c r="G51" i="2041"/>
  <c r="H15" i="2040"/>
  <c r="H29" i="2040" s="1"/>
  <c r="G51" i="2040" s="1"/>
  <c r="H15" i="2039"/>
  <c r="H29" i="2039" s="1"/>
  <c r="G51" i="2039" s="1"/>
  <c r="G51" i="2037"/>
  <c r="H15" i="2036"/>
  <c r="H29" i="2036" s="1"/>
  <c r="G51" i="2036" s="1"/>
  <c r="H15" i="2035"/>
  <c r="H29" i="2035" s="1"/>
  <c r="G51" i="2035" s="1"/>
  <c r="H15" i="2033"/>
  <c r="H29" i="2033" s="1"/>
  <c r="G51" i="2033" s="1"/>
  <c r="H15" i="2032"/>
  <c r="H29" i="2032" s="1"/>
  <c r="G51" i="2032" s="1"/>
  <c r="H15" i="2031"/>
  <c r="H29" i="2031" s="1"/>
  <c r="G51" i="2031" s="1"/>
  <c r="G49" i="2029"/>
  <c r="G49" i="2028"/>
  <c r="G49" i="2027"/>
  <c r="D54" i="2029"/>
  <c r="H14" i="2029" s="1"/>
  <c r="D54" i="2028"/>
  <c r="H14" i="2028" s="1"/>
  <c r="D54" i="2027"/>
  <c r="H14" i="2027" s="1"/>
  <c r="D29" i="2029"/>
  <c r="H13" i="2029" s="1"/>
  <c r="D29" i="2028"/>
  <c r="H13" i="2028" s="1"/>
  <c r="D29" i="2027"/>
  <c r="H13" i="2027" s="1"/>
  <c r="D29" i="2026"/>
  <c r="H13" i="2026" s="1"/>
  <c r="H15" i="2026" s="1"/>
  <c r="H29" i="2026" s="1"/>
  <c r="G51" i="2026" s="1"/>
  <c r="H15" i="2028" l="1"/>
  <c r="H29" i="2028" s="1"/>
  <c r="G51" i="2028"/>
  <c r="H15" i="2029"/>
  <c r="H29" i="2029" s="1"/>
  <c r="G51" i="2029" s="1"/>
  <c r="H15" i="2027"/>
  <c r="H29" i="2027" s="1"/>
  <c r="G51" i="2027" s="1"/>
</calcChain>
</file>

<file path=xl/sharedStrings.xml><?xml version="1.0" encoding="utf-8"?>
<sst xmlns="http://schemas.openxmlformats.org/spreadsheetml/2006/main" count="13834" uniqueCount="220">
  <si>
    <t>GUILLERMO BEVERAGE DISTRIBUTION SERVICES</t>
  </si>
  <si>
    <t>PRODUCTS</t>
  </si>
  <si>
    <t>SELLING PRICE</t>
  </si>
  <si>
    <t>EMPTIES</t>
  </si>
  <si>
    <t>TOTAL</t>
  </si>
  <si>
    <t>SALES AND CASH REMITTANCE REPORT</t>
  </si>
  <si>
    <t>NON-ALCOHOLIC BEVERAGES</t>
  </si>
  <si>
    <t>SALES</t>
  </si>
  <si>
    <t xml:space="preserve">ROUTE # </t>
  </si>
  <si>
    <t>DATE:</t>
  </si>
  <si>
    <t>CALI PINEAPPLE 330ml</t>
  </si>
  <si>
    <t>PRODUCT</t>
  </si>
  <si>
    <t># OF CASES</t>
  </si>
  <si>
    <t>AMOUNT</t>
  </si>
  <si>
    <t>CALI ICE APPLE 330ml</t>
  </si>
  <si>
    <t>RH1000</t>
  </si>
  <si>
    <t>DSP</t>
  </si>
  <si>
    <t>CALI PINEAPPLE CAN 330ml</t>
  </si>
  <si>
    <t>RH500</t>
  </si>
  <si>
    <t>CALI ICE APPLE CAN 330ml</t>
  </si>
  <si>
    <t>RH330</t>
  </si>
  <si>
    <t>DRIVER</t>
  </si>
  <si>
    <t>CALI 10 DIET CAN 330ml</t>
  </si>
  <si>
    <t>PP1000</t>
  </si>
  <si>
    <t>MAGNOLIA</t>
  </si>
  <si>
    <t>PP320</t>
  </si>
  <si>
    <t>TRUCKMAN</t>
  </si>
  <si>
    <t>FRUIT DRINK GRAPE 250ml</t>
  </si>
  <si>
    <t>SML330</t>
  </si>
  <si>
    <t>FRUIT DRINK ORANGE 250ml</t>
  </si>
  <si>
    <t>FB330</t>
  </si>
  <si>
    <t>HEALTHTEA APPLE 250ml</t>
  </si>
  <si>
    <t>MHT</t>
  </si>
  <si>
    <t>CASH REMITTANCE COMPUTATION</t>
  </si>
  <si>
    <t>HEALTHTEA LEMON 250ml</t>
  </si>
  <si>
    <t>MHT BOTTLE</t>
  </si>
  <si>
    <t>TOTAL SALES</t>
  </si>
  <si>
    <t>HEALTHTEA STRAWBERRY 250ml</t>
  </si>
  <si>
    <t>LESS: CONTAINERS RETURNED</t>
  </si>
  <si>
    <t>GROSS SALES</t>
  </si>
  <si>
    <t>ALCO BEVERAGES</t>
  </si>
  <si>
    <t>LESS:</t>
  </si>
  <si>
    <t>DISCOUNT</t>
  </si>
  <si>
    <t>PREMIUM ALL MALT 330ml</t>
  </si>
  <si>
    <t>TCS</t>
  </si>
  <si>
    <t>PREMIUM ALL MALT CAN 330ml</t>
  </si>
  <si>
    <t>COL</t>
  </si>
  <si>
    <t>KIRIN 330ml</t>
  </si>
  <si>
    <t>KIRIN CAN 330ml</t>
  </si>
  <si>
    <t>TOLL, FEES</t>
  </si>
  <si>
    <t>CERVEZA BLANCA CAN 330ml</t>
  </si>
  <si>
    <t>SUPERDRY 330ml</t>
  </si>
  <si>
    <t>SUPERDRY CAN 330ml</t>
  </si>
  <si>
    <t>CERVEZA NEGRA 330ml</t>
  </si>
  <si>
    <t>NET SALES
AMOUNT TO BE REMITTED:</t>
  </si>
  <si>
    <t>SAN MIGUEL CHOCOLATE LAGER CAN 330ml</t>
  </si>
  <si>
    <t>SAN MIG ZERO 330ml</t>
  </si>
  <si>
    <t>CONTAINERS RETURNED</t>
  </si>
  <si>
    <t>CASH BREAKDOWN</t>
  </si>
  <si>
    <t>SAN MIG LIGHT 330ml</t>
  </si>
  <si>
    <t>QTY</t>
  </si>
  <si>
    <t>PESOS</t>
  </si>
  <si>
    <t>NO. OF PCS.</t>
  </si>
  <si>
    <t>SAN MIG LIGHT CAN 330ml</t>
  </si>
  <si>
    <t>PP</t>
  </si>
  <si>
    <t>COMPLETE</t>
  </si>
  <si>
    <t>FLAVORED BEER APL/LEM/LYC 330ml</t>
  </si>
  <si>
    <t>SHELL</t>
  </si>
  <si>
    <t>FLAVORED BEER CAN APL/LEM/LY 330ml</t>
  </si>
  <si>
    <t>BOTTLES</t>
  </si>
  <si>
    <t>PALE PILSEN 320ml</t>
  </si>
  <si>
    <t>RHL/PL/GEK</t>
  </si>
  <si>
    <t>PALE PILSEN 330ml</t>
  </si>
  <si>
    <t>PALE PILSEN 1000ml</t>
  </si>
  <si>
    <t>PALE PILSEN Can 330ml</t>
  </si>
  <si>
    <t>RHP</t>
  </si>
  <si>
    <t>RED HORSE 330ml</t>
  </si>
  <si>
    <t>RED HORSE 500ml</t>
  </si>
  <si>
    <t>COINS</t>
  </si>
  <si>
    <t>RED HORSE 1000ml</t>
  </si>
  <si>
    <t>FBA/SML/RHS</t>
  </si>
  <si>
    <t>BANK</t>
  </si>
  <si>
    <t>CHECK NO.</t>
  </si>
  <si>
    <t>RED HORSE CAN 330ml</t>
  </si>
  <si>
    <t>SAN MIG FREE</t>
  </si>
  <si>
    <t>TOTAL REMITTANCE</t>
  </si>
  <si>
    <t>GOLD EAGLE 320ml</t>
  </si>
  <si>
    <t>GOLD EAGLE 1000ml</t>
  </si>
  <si>
    <t>SAN MIG HARD SELTZER 330ml</t>
  </si>
  <si>
    <t>TOTAL CONTAINERS RETURNED</t>
  </si>
  <si>
    <t>DEALER SALES PERSONEL
NAME AND SIGNATURE</t>
  </si>
  <si>
    <t>CHECKED BY: WIC/CLERK
NAME AND SIGNATURE</t>
  </si>
  <si>
    <t>RHSL</t>
  </si>
  <si>
    <t>S.I. NO.</t>
  </si>
  <si>
    <t>LESS: CREDIT</t>
  </si>
  <si>
    <t>ADD: COLLECTION</t>
  </si>
  <si>
    <t>CHOCO LAGER CAN</t>
  </si>
  <si>
    <t>RED HORSE 500 CAN</t>
  </si>
  <si>
    <t>RED HORSE SUPER 1000</t>
  </si>
  <si>
    <t>DANDAYO, RONNEL</t>
  </si>
  <si>
    <t>ENCLONAR, JEROME</t>
  </si>
  <si>
    <t>SALIG, JOVANI</t>
  </si>
  <si>
    <t>OTHERS/PROMO</t>
  </si>
  <si>
    <t>RHS BOTT.</t>
  </si>
  <si>
    <t>RHSL BOTT.</t>
  </si>
  <si>
    <t>SMLC/PPC/RHC</t>
  </si>
  <si>
    <t>SHORT / OVER</t>
  </si>
  <si>
    <t>PORMENTO, ESTEMARK</t>
  </si>
  <si>
    <t>BAOC, PRECILLANO</t>
  </si>
  <si>
    <r>
      <rPr>
        <u/>
        <sz val="11"/>
        <color rgb="FFFF0000"/>
        <rFont val="Calibri"/>
        <family val="2"/>
        <scheme val="minor"/>
      </rPr>
      <t>(SHORT</t>
    </r>
    <r>
      <rPr>
        <sz val="11"/>
        <color rgb="FFFF0000"/>
        <rFont val="Calibri"/>
        <family val="2"/>
        <scheme val="minor"/>
      </rPr>
      <t xml:space="preserve">) </t>
    </r>
    <r>
      <rPr>
        <sz val="11"/>
        <rFont val="Calibri"/>
        <family val="2"/>
        <scheme val="minor"/>
      </rPr>
      <t>/ OVER</t>
    </r>
  </si>
  <si>
    <t>GOMORA, JURLAN</t>
  </si>
  <si>
    <t>CC/CIC/C10C</t>
  </si>
  <si>
    <r>
      <t xml:space="preserve">SHORT / </t>
    </r>
    <r>
      <rPr>
        <u/>
        <sz val="11"/>
        <rFont val="Calibri"/>
        <family val="2"/>
        <scheme val="minor"/>
      </rPr>
      <t xml:space="preserve">OVER </t>
    </r>
  </si>
  <si>
    <t>SAN MIG FREE 330ml</t>
  </si>
  <si>
    <t>SAN MIG HARD SELTZER CAN 330ml</t>
  </si>
  <si>
    <r>
      <t xml:space="preserve">SHORT / </t>
    </r>
    <r>
      <rPr>
        <u/>
        <sz val="11"/>
        <rFont val="Calibri"/>
        <family val="2"/>
        <scheme val="minor"/>
      </rPr>
      <t>OVER</t>
    </r>
  </si>
  <si>
    <t xml:space="preserve">                           RONNEL DANDAYO</t>
  </si>
  <si>
    <t>GICA, GRACE</t>
  </si>
  <si>
    <t xml:space="preserve">                            GRACE B. GICA</t>
  </si>
  <si>
    <t xml:space="preserve">                            ESTEMARK PORMENTO</t>
  </si>
  <si>
    <t>SALIG, JULIVEN</t>
  </si>
  <si>
    <t>PP BOTT.</t>
  </si>
  <si>
    <t>CB/CIB</t>
  </si>
  <si>
    <t>PAMB/CBB/SDB/CNB</t>
  </si>
  <si>
    <t>RACAZA, ALEXANDER</t>
  </si>
  <si>
    <t>FBAC/FBLC/FBLYC</t>
  </si>
  <si>
    <t>PAMC/CBC/SDC/CLC</t>
  </si>
  <si>
    <t>SMLB BOTT.</t>
  </si>
  <si>
    <t>FB BOTT</t>
  </si>
  <si>
    <t>RHP BOTT.</t>
  </si>
  <si>
    <t>SMFB BOTT.</t>
  </si>
  <si>
    <r>
      <rPr>
        <u/>
        <sz val="11"/>
        <color rgb="FFFF0000"/>
        <rFont val="Calibri"/>
        <family val="2"/>
        <scheme val="minor"/>
      </rPr>
      <t>(SHORT</t>
    </r>
    <r>
      <rPr>
        <sz val="11"/>
        <color rgb="FFFF0000"/>
        <rFont val="Calibri"/>
        <family val="2"/>
        <scheme val="minor"/>
      </rPr>
      <t xml:space="preserve">) </t>
    </r>
    <r>
      <rPr>
        <sz val="11"/>
        <rFont val="Calibri"/>
        <family val="2"/>
        <scheme val="minor"/>
      </rPr>
      <t xml:space="preserve">/ OVER </t>
    </r>
  </si>
  <si>
    <t>BDO</t>
  </si>
  <si>
    <t>43052</t>
  </si>
  <si>
    <t>56758</t>
  </si>
  <si>
    <r>
      <rPr>
        <sz val="11"/>
        <color theme="1"/>
        <rFont val="Calibri"/>
        <family val="2"/>
        <scheme val="minor"/>
      </rPr>
      <t xml:space="preserve">SHORT / </t>
    </r>
    <r>
      <rPr>
        <u/>
        <sz val="11"/>
        <color theme="1"/>
        <rFont val="Calibri"/>
        <family val="2"/>
        <scheme val="minor"/>
      </rPr>
      <t>OVER</t>
    </r>
  </si>
  <si>
    <t>PNB</t>
  </si>
  <si>
    <t>G-CASH</t>
  </si>
  <si>
    <t>2000002824</t>
  </si>
  <si>
    <t>2000008518</t>
  </si>
  <si>
    <r>
      <rPr>
        <sz val="11"/>
        <color rgb="FFFF0000"/>
        <rFont val="Calibri"/>
        <family val="2"/>
        <scheme val="minor"/>
      </rPr>
      <t>(</t>
    </r>
    <r>
      <rPr>
        <u/>
        <sz val="11"/>
        <color rgb="FFFF0000"/>
        <rFont val="Calibri"/>
        <family val="2"/>
        <scheme val="minor"/>
      </rPr>
      <t>SHORT</t>
    </r>
    <r>
      <rPr>
        <sz val="11"/>
        <color rgb="FFFF0000"/>
        <rFont val="Calibri"/>
        <family val="2"/>
        <scheme val="minor"/>
      </rPr>
      <t>)</t>
    </r>
    <r>
      <rPr>
        <sz val="11"/>
        <rFont val="Calibri"/>
        <family val="2"/>
        <scheme val="minor"/>
      </rPr>
      <t xml:space="preserve"> / OVER</t>
    </r>
  </si>
  <si>
    <t>BANK TRANSFER</t>
  </si>
  <si>
    <r>
      <rPr>
        <sz val="11"/>
        <color theme="1"/>
        <rFont val="Calibri"/>
        <family val="2"/>
        <scheme val="minor"/>
      </rPr>
      <t xml:space="preserve">SHORT / </t>
    </r>
    <r>
      <rPr>
        <u/>
        <sz val="11"/>
        <color theme="1"/>
        <rFont val="Calibri"/>
        <family val="2"/>
        <scheme val="minor"/>
      </rPr>
      <t>OVER</t>
    </r>
  </si>
  <si>
    <t>43053</t>
  </si>
  <si>
    <t>MGYZ</t>
  </si>
  <si>
    <t>147923</t>
  </si>
  <si>
    <t>BALWARTE</t>
  </si>
  <si>
    <t>PSBC</t>
  </si>
  <si>
    <t>2130020891</t>
  </si>
  <si>
    <t>149830</t>
  </si>
  <si>
    <t>2000005999</t>
  </si>
  <si>
    <t>2000002829</t>
  </si>
  <si>
    <t>2000008519</t>
  </si>
  <si>
    <t>SOUND CHECK</t>
  </si>
  <si>
    <t>43055</t>
  </si>
  <si>
    <t>56765</t>
  </si>
  <si>
    <t>2000008528</t>
  </si>
  <si>
    <t>2000002837</t>
  </si>
  <si>
    <t>149141</t>
  </si>
  <si>
    <t>149850</t>
  </si>
  <si>
    <t>43060</t>
  </si>
  <si>
    <t>GEK</t>
  </si>
  <si>
    <t>GEK BOTT.</t>
  </si>
  <si>
    <t xml:space="preserve">C10C </t>
  </si>
  <si>
    <r>
      <rPr>
        <u/>
        <sz val="11"/>
        <color rgb="FFFF0000"/>
        <rFont val="Calibri"/>
        <family val="2"/>
        <scheme val="minor"/>
      </rPr>
      <t>(SHORT)</t>
    </r>
    <r>
      <rPr>
        <sz val="11"/>
        <rFont val="Calibri"/>
        <family val="2"/>
        <scheme val="minor"/>
      </rPr>
      <t>/ OVER</t>
    </r>
  </si>
  <si>
    <t>43062</t>
  </si>
  <si>
    <t>56778</t>
  </si>
  <si>
    <t>150096</t>
  </si>
  <si>
    <t>230020901</t>
  </si>
  <si>
    <r>
      <rPr>
        <u/>
        <sz val="11"/>
        <color rgb="FFFF0000"/>
        <rFont val="Calibri"/>
        <family val="2"/>
        <scheme val="minor"/>
      </rPr>
      <t>(SHORT)</t>
    </r>
    <r>
      <rPr>
        <sz val="11"/>
        <rFont val="Calibri"/>
        <family val="2"/>
        <scheme val="minor"/>
      </rPr>
      <t xml:space="preserve"> / OVER</t>
    </r>
    <r>
      <rPr>
        <u/>
        <sz val="11"/>
        <rFont val="Calibri"/>
        <family val="2"/>
        <scheme val="minor"/>
      </rPr>
      <t xml:space="preserve"> </t>
    </r>
  </si>
  <si>
    <t>2000006019</t>
  </si>
  <si>
    <t>2000002852</t>
  </si>
  <si>
    <r>
      <rPr>
        <u/>
        <sz val="11"/>
        <color rgb="FFFF0000"/>
        <rFont val="Calibri"/>
        <family val="2"/>
        <scheme val="minor"/>
      </rPr>
      <t>SHORT</t>
    </r>
    <r>
      <rPr>
        <sz val="11"/>
        <rFont val="Calibri"/>
        <family val="2"/>
        <scheme val="minor"/>
      </rPr>
      <t xml:space="preserve"> / OVER</t>
    </r>
  </si>
  <si>
    <r>
      <rPr>
        <sz val="11"/>
        <color theme="1"/>
        <rFont val="Calibri"/>
        <family val="2"/>
        <scheme val="minor"/>
      </rPr>
      <t>SHORT</t>
    </r>
    <r>
      <rPr>
        <sz val="11"/>
        <color rgb="FFFF0000"/>
        <rFont val="Calibri"/>
        <family val="2"/>
        <scheme val="minor"/>
      </rPr>
      <t xml:space="preserve"> </t>
    </r>
    <r>
      <rPr>
        <sz val="11"/>
        <rFont val="Calibri"/>
        <family val="2"/>
        <scheme val="minor"/>
      </rPr>
      <t xml:space="preserve">/ </t>
    </r>
    <r>
      <rPr>
        <u/>
        <sz val="11"/>
        <rFont val="Calibri"/>
        <family val="2"/>
        <scheme val="minor"/>
      </rPr>
      <t>OVER</t>
    </r>
  </si>
  <si>
    <t>43067</t>
  </si>
  <si>
    <t>METRO BANK</t>
  </si>
  <si>
    <t>3593293</t>
  </si>
  <si>
    <t>149168</t>
  </si>
  <si>
    <t>RICKY GARGOLES</t>
  </si>
  <si>
    <t>149873</t>
  </si>
  <si>
    <t>2000008557</t>
  </si>
  <si>
    <t>2000002861</t>
  </si>
  <si>
    <t xml:space="preserve">G-CASH </t>
  </si>
  <si>
    <t>RH500C</t>
  </si>
  <si>
    <r>
      <rPr>
        <sz val="11"/>
        <color theme="1"/>
        <rFont val="Calibri"/>
        <family val="2"/>
        <scheme val="minor"/>
      </rPr>
      <t>SHORT</t>
    </r>
    <r>
      <rPr>
        <sz val="11"/>
        <color rgb="FFFF0000"/>
        <rFont val="Calibri"/>
        <family val="2"/>
        <scheme val="minor"/>
      </rPr>
      <t xml:space="preserve"> </t>
    </r>
    <r>
      <rPr>
        <sz val="11"/>
        <rFont val="Calibri"/>
        <family val="2"/>
        <scheme val="minor"/>
      </rPr>
      <t>/ OVER</t>
    </r>
  </si>
  <si>
    <t>132762</t>
  </si>
  <si>
    <r>
      <rPr>
        <u/>
        <sz val="11"/>
        <color rgb="FFFF0000"/>
        <rFont val="Calibri"/>
        <family val="2"/>
        <scheme val="minor"/>
      </rPr>
      <t>(SHORT)</t>
    </r>
    <r>
      <rPr>
        <sz val="11"/>
        <rFont val="Calibri"/>
        <family val="2"/>
        <scheme val="minor"/>
      </rPr>
      <t xml:space="preserve"> / OVER</t>
    </r>
  </si>
  <si>
    <t>2000002864</t>
  </si>
  <si>
    <t>43069</t>
  </si>
  <si>
    <t>1ST VB</t>
  </si>
  <si>
    <t>5089419</t>
  </si>
  <si>
    <r>
      <t xml:space="preserve">SHORT / </t>
    </r>
    <r>
      <rPr>
        <u/>
        <sz val="11"/>
        <color theme="1"/>
        <rFont val="Calibri"/>
        <family val="2"/>
        <scheme val="minor"/>
      </rPr>
      <t>OVER</t>
    </r>
  </si>
  <si>
    <t>150126</t>
  </si>
  <si>
    <t>2130020907</t>
  </si>
  <si>
    <t>2000002866</t>
  </si>
  <si>
    <r>
      <rPr>
        <sz val="11"/>
        <color theme="1"/>
        <rFont val="Calibri"/>
        <family val="2"/>
        <scheme val="minor"/>
      </rPr>
      <t>SHORT</t>
    </r>
    <r>
      <rPr>
        <sz val="11"/>
        <rFont val="Calibri"/>
        <family val="2"/>
        <scheme val="minor"/>
      </rPr>
      <t xml:space="preserve"> / </t>
    </r>
    <r>
      <rPr>
        <u/>
        <sz val="11"/>
        <rFont val="Calibri"/>
        <family val="2"/>
        <scheme val="minor"/>
      </rPr>
      <t>OVER</t>
    </r>
  </si>
  <si>
    <t>2120013049</t>
  </si>
  <si>
    <t>LOPEZ, GINA GRACE</t>
  </si>
  <si>
    <t xml:space="preserve">                           GINA GRACE LOPEZ</t>
  </si>
  <si>
    <t>56801</t>
  </si>
  <si>
    <t>SDB BOTT.</t>
  </si>
  <si>
    <t>CB BOTT.</t>
  </si>
  <si>
    <t>2000000042</t>
  </si>
  <si>
    <t>149898</t>
  </si>
  <si>
    <t>43073</t>
  </si>
  <si>
    <t>200000026</t>
  </si>
  <si>
    <t>150160</t>
  </si>
  <si>
    <t>2000006057</t>
  </si>
  <si>
    <t>2000002875</t>
  </si>
  <si>
    <t>2000008577</t>
  </si>
  <si>
    <t>143520</t>
  </si>
  <si>
    <t>43077</t>
  </si>
  <si>
    <t>5089422</t>
  </si>
  <si>
    <t>2000002886</t>
  </si>
  <si>
    <t>PODIOTAN, AIR JOHN</t>
  </si>
  <si>
    <t>149419</t>
  </si>
  <si>
    <t xml:space="preserve">                           AIR JOHN PODIOTAN</t>
  </si>
  <si>
    <r>
      <rPr>
        <u/>
        <sz val="11"/>
        <color rgb="FFFF0000"/>
        <rFont val="Calibri"/>
        <family val="2"/>
        <scheme val="minor"/>
      </rPr>
      <t>(SHORT)</t>
    </r>
    <r>
      <rPr>
        <sz val="11"/>
        <color rgb="FFFF0000"/>
        <rFont val="Calibri"/>
        <family val="2"/>
        <scheme val="minor"/>
      </rPr>
      <t xml:space="preserve"> </t>
    </r>
    <r>
      <rPr>
        <sz val="11"/>
        <rFont val="Calibri"/>
        <family val="2"/>
        <scheme val="minor"/>
      </rPr>
      <t>/ OVER</t>
    </r>
  </si>
  <si>
    <t>56825</t>
  </si>
  <si>
    <t>2120013067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</si>
</sst>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4" formatCode="_-&quot;₱&quot;* #,##0.00_-;\-&quot;₱&quot;* #,##0.00_-;_-&quot;₱&quot;* &quot;-&quot;??_-;_-@_-"/>
    <numFmt numFmtId="43" formatCode="_-* #,##0.00_-;\-* #,##0.00_-;_-* &quot;-&quot;??_-;_-@_-"/>
    <numFmt numFmtId="164" formatCode="[$-3409]mmmm\ dd\,\ yyyy;@"/>
    <numFmt numFmtId="165" formatCode="_-&quot;₱&quot;* #,##0.00_-;\-&quot;₱&quot;* \(#,##0.00\)_-;_-&quot;₱&quot;* &quot;-&quot;??_-;_-@_-"/>
  </numFmts>
  <fonts count="2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12"/>
      <color theme="1"/>
      <name val="Calibri"/>
      <family val="2"/>
      <scheme val="minor"/>
    </font>
    <font>
      <sz val="9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8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12"/>
      <color rgb="FFFF0000"/>
      <name val="Calibri"/>
      <family val="2"/>
      <scheme val="minor"/>
    </font>
    <font>
      <sz val="14"/>
      <color rgb="FFFF0000"/>
      <name val="Calibri"/>
      <family val="2"/>
      <scheme val="minor"/>
    </font>
    <font>
      <sz val="8"/>
      <color rgb="FFFF0000"/>
      <name val="Calibri"/>
      <family val="2"/>
      <scheme val="minor"/>
    </font>
    <font>
      <sz val="12"/>
      <name val="Calibri"/>
      <family val="2"/>
      <scheme val="minor"/>
    </font>
    <font>
      <sz val="8"/>
      <name val="Calibri"/>
      <family val="2"/>
      <scheme val="minor"/>
    </font>
    <font>
      <sz val="10"/>
      <name val="Calibri"/>
      <family val="2"/>
      <scheme val="minor"/>
    </font>
    <font>
      <sz val="10"/>
      <color rgb="FFFF0000"/>
      <name val="Calibri"/>
      <family val="2"/>
      <scheme val="minor"/>
    </font>
    <font>
      <b/>
      <sz val="14"/>
      <name val="Calibri"/>
      <family val="2"/>
      <scheme val="minor"/>
    </font>
    <font>
      <u/>
      <sz val="11"/>
      <color rgb="FFFF0000"/>
      <name val="Calibri"/>
      <family val="2"/>
      <scheme val="minor"/>
    </font>
    <font>
      <b/>
      <sz val="14"/>
      <color rgb="FFFF0000"/>
      <name val="Calibri"/>
      <family val="2"/>
      <scheme val="minor"/>
    </font>
    <font>
      <u/>
      <sz val="11"/>
      <name val="Calibri"/>
      <family val="2"/>
      <scheme val="minor"/>
    </font>
    <font>
      <sz val="8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u/>
      <sz val="11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2"/>
        <bgColor indexed="64"/>
      </patternFill>
    </fill>
  </fills>
  <borders count="5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/>
      <diagonal/>
    </border>
    <border>
      <left style="hair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 style="thin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/>
      <top style="hair">
        <color indexed="64"/>
      </top>
      <bottom style="thin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/>
      <diagonal/>
    </border>
    <border>
      <left style="hair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/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/>
      <diagonal/>
    </border>
    <border>
      <left style="hair">
        <color indexed="64"/>
      </left>
      <right style="hair">
        <color indexed="64"/>
      </right>
      <top/>
      <bottom/>
      <diagonal/>
    </border>
    <border>
      <left/>
      <right style="hair">
        <color indexed="64"/>
      </right>
      <top style="hair">
        <color indexed="64"/>
      </top>
      <bottom/>
      <diagonal/>
    </border>
    <border>
      <left/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thin">
        <color indexed="64"/>
      </right>
      <top style="hair">
        <color indexed="64"/>
      </top>
      <bottom/>
      <diagonal/>
    </border>
    <border>
      <left style="hair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/>
      <diagonal/>
    </border>
    <border>
      <left/>
      <right/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/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thin">
        <color indexed="64"/>
      </bottom>
      <diagonal/>
    </border>
    <border>
      <left style="hair">
        <color indexed="64"/>
      </left>
      <right style="thin">
        <color indexed="64"/>
      </right>
      <top/>
      <bottom/>
      <diagonal/>
    </border>
    <border>
      <left style="hair">
        <color indexed="64"/>
      </left>
      <right style="thin">
        <color indexed="64"/>
      </right>
      <top/>
      <bottom style="thin">
        <color indexed="64"/>
      </bottom>
      <diagonal/>
    </border>
    <border>
      <left style="hair">
        <color indexed="64"/>
      </left>
      <right/>
      <top style="thin">
        <color indexed="64"/>
      </top>
      <bottom style="hair">
        <color indexed="64"/>
      </bottom>
      <diagonal/>
    </border>
    <border>
      <left style="thin">
        <color indexed="64"/>
      </left>
      <right/>
      <top style="thin">
        <color indexed="64"/>
      </top>
      <bottom style="hair">
        <color indexed="64"/>
      </bottom>
      <diagonal/>
    </border>
    <border>
      <left style="hair">
        <color indexed="64"/>
      </left>
      <right/>
      <top/>
      <bottom/>
      <diagonal/>
    </border>
    <border>
      <left/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 style="hair">
        <color indexed="64"/>
      </right>
      <top/>
      <bottom style="thin">
        <color indexed="64"/>
      </bottom>
      <diagonal/>
    </border>
    <border>
      <left style="thin">
        <color indexed="64"/>
      </left>
      <right style="hair">
        <color indexed="64"/>
      </right>
      <top/>
      <bottom/>
      <diagonal/>
    </border>
    <border>
      <left/>
      <right style="hair">
        <color indexed="64"/>
      </right>
      <top/>
      <bottom/>
      <diagonal/>
    </border>
    <border>
      <left/>
      <right/>
      <top style="hair">
        <color indexed="64"/>
      </top>
      <bottom/>
      <diagonal/>
    </border>
    <border>
      <left/>
      <right style="hair">
        <color indexed="64"/>
      </right>
      <top/>
      <bottom style="hair">
        <color indexed="64"/>
      </bottom>
      <diagonal/>
    </border>
    <border>
      <left/>
      <right/>
      <top/>
      <bottom style="hair">
        <color indexed="64"/>
      </bottom>
      <diagonal/>
    </border>
    <border>
      <left/>
      <right style="hair">
        <color indexed="64"/>
      </right>
      <top style="thin">
        <color indexed="64"/>
      </top>
      <bottom style="hair">
        <color indexed="64"/>
      </bottom>
      <diagonal/>
    </border>
    <border>
      <left/>
      <right style="hair">
        <color indexed="64"/>
      </right>
      <top/>
      <bottom style="thin">
        <color indexed="64"/>
      </bottom>
      <diagonal/>
    </border>
    <border>
      <left style="hair">
        <color indexed="64"/>
      </left>
      <right/>
      <top/>
      <bottom style="thin">
        <color indexed="64"/>
      </bottom>
      <diagonal/>
    </border>
    <border>
      <left style="hair">
        <color indexed="64"/>
      </left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 style="hair">
        <color indexed="64"/>
      </right>
      <top/>
      <bottom style="hair">
        <color indexed="64"/>
      </bottom>
      <diagonal/>
    </border>
    <border>
      <left style="hair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hair">
        <color indexed="64"/>
      </right>
      <top style="thin">
        <color indexed="64"/>
      </top>
      <bottom/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255">
    <xf numFmtId="0" fontId="0" fillId="0" borderId="0" xfId="0"/>
    <xf numFmtId="0" fontId="2" fillId="0" borderId="0" xfId="0" applyFont="1"/>
    <xf numFmtId="0" fontId="2" fillId="2" borderId="0" xfId="0" applyFont="1" applyFill="1" applyAlignment="1">
      <alignment horizontal="center" vertical="center"/>
    </xf>
    <xf numFmtId="0" fontId="0" fillId="2" borderId="0" xfId="0" applyFill="1"/>
    <xf numFmtId="43" fontId="0" fillId="0" borderId="0" xfId="1" applyFont="1"/>
    <xf numFmtId="43" fontId="0" fillId="2" borderId="0" xfId="0" applyNumberFormat="1" applyFill="1"/>
    <xf numFmtId="43" fontId="0" fillId="4" borderId="1" xfId="0" applyNumberFormat="1" applyFill="1" applyBorder="1"/>
    <xf numFmtId="0" fontId="0" fillId="2" borderId="1" xfId="0" applyFill="1" applyBorder="1"/>
    <xf numFmtId="0" fontId="0" fillId="0" borderId="3" xfId="0" applyBorder="1"/>
    <xf numFmtId="0" fontId="0" fillId="0" borderId="10" xfId="0" applyBorder="1" applyAlignment="1">
      <alignment horizontal="center"/>
    </xf>
    <xf numFmtId="0" fontId="4" fillId="0" borderId="16" xfId="0" applyFont="1" applyBorder="1"/>
    <xf numFmtId="0" fontId="4" fillId="0" borderId="12" xfId="0" applyFont="1" applyBorder="1"/>
    <xf numFmtId="43" fontId="4" fillId="0" borderId="16" xfId="1" applyFont="1" applyBorder="1"/>
    <xf numFmtId="43" fontId="4" fillId="0" borderId="22" xfId="1" applyFont="1" applyBorder="1"/>
    <xf numFmtId="0" fontId="0" fillId="0" borderId="16" xfId="0" applyBorder="1"/>
    <xf numFmtId="0" fontId="0" fillId="0" borderId="22" xfId="0" applyBorder="1" applyAlignment="1">
      <alignment horizontal="center"/>
    </xf>
    <xf numFmtId="0" fontId="0" fillId="0" borderId="23" xfId="0" applyBorder="1"/>
    <xf numFmtId="0" fontId="0" fillId="0" borderId="22" xfId="0" applyBorder="1"/>
    <xf numFmtId="0" fontId="0" fillId="0" borderId="18" xfId="0" applyBorder="1"/>
    <xf numFmtId="0" fontId="0" fillId="0" borderId="10" xfId="0" applyBorder="1"/>
    <xf numFmtId="0" fontId="0" fillId="0" borderId="32" xfId="0" applyBorder="1"/>
    <xf numFmtId="0" fontId="0" fillId="0" borderId="36" xfId="0" applyBorder="1"/>
    <xf numFmtId="0" fontId="0" fillId="0" borderId="37" xfId="0" applyBorder="1"/>
    <xf numFmtId="0" fontId="0" fillId="0" borderId="24" xfId="0" applyBorder="1"/>
    <xf numFmtId="0" fontId="0" fillId="0" borderId="41" xfId="0" applyBorder="1"/>
    <xf numFmtId="0" fontId="0" fillId="0" borderId="16" xfId="0" applyBorder="1" applyAlignment="1">
      <alignment horizontal="center"/>
    </xf>
    <xf numFmtId="0" fontId="3" fillId="3" borderId="40" xfId="0" applyFont="1" applyFill="1" applyBorder="1"/>
    <xf numFmtId="0" fontId="3" fillId="3" borderId="16" xfId="0" applyFont="1" applyFill="1" applyBorder="1"/>
    <xf numFmtId="0" fontId="3" fillId="3" borderId="23" xfId="0" applyFont="1" applyFill="1" applyBorder="1"/>
    <xf numFmtId="0" fontId="3" fillId="3" borderId="41" xfId="0" applyFont="1" applyFill="1" applyBorder="1"/>
    <xf numFmtId="43" fontId="4" fillId="0" borderId="18" xfId="1" applyFont="1" applyBorder="1"/>
    <xf numFmtId="43" fontId="4" fillId="0" borderId="42" xfId="1" applyFont="1" applyBorder="1"/>
    <xf numFmtId="0" fontId="3" fillId="3" borderId="12" xfId="0" applyFont="1" applyFill="1" applyBorder="1"/>
    <xf numFmtId="0" fontId="4" fillId="0" borderId="29" xfId="0" applyFont="1" applyBorder="1"/>
    <xf numFmtId="0" fontId="0" fillId="0" borderId="40" xfId="0" applyBorder="1"/>
    <xf numFmtId="0" fontId="0" fillId="0" borderId="27" xfId="0" applyBorder="1"/>
    <xf numFmtId="0" fontId="0" fillId="0" borderId="29" xfId="0" applyBorder="1"/>
    <xf numFmtId="0" fontId="4" fillId="0" borderId="16" xfId="0" applyFont="1" applyBorder="1" applyAlignment="1">
      <alignment horizontal="right"/>
    </xf>
    <xf numFmtId="0" fontId="0" fillId="0" borderId="16" xfId="0" applyBorder="1" applyAlignment="1">
      <alignment horizontal="right"/>
    </xf>
    <xf numFmtId="0" fontId="4" fillId="0" borderId="18" xfId="0" applyFont="1" applyBorder="1" applyAlignment="1">
      <alignment horizontal="right"/>
    </xf>
    <xf numFmtId="0" fontId="4" fillId="0" borderId="43" xfId="0" applyFont="1" applyBorder="1" applyAlignment="1">
      <alignment horizontal="right"/>
    </xf>
    <xf numFmtId="0" fontId="4" fillId="0" borderId="12" xfId="0" applyFont="1" applyBorder="1" applyAlignment="1">
      <alignment horizontal="right"/>
    </xf>
    <xf numFmtId="0" fontId="4" fillId="0" borderId="28" xfId="0" applyFont="1" applyBorder="1" applyAlignment="1">
      <alignment horizontal="right"/>
    </xf>
    <xf numFmtId="0" fontId="0" fillId="0" borderId="42" xfId="0" applyBorder="1"/>
    <xf numFmtId="43" fontId="4" fillId="0" borderId="40" xfId="1" applyFont="1" applyBorder="1"/>
    <xf numFmtId="43" fontId="4" fillId="0" borderId="21" xfId="1" applyFont="1" applyBorder="1"/>
    <xf numFmtId="0" fontId="0" fillId="0" borderId="21" xfId="0" applyBorder="1"/>
    <xf numFmtId="43" fontId="0" fillId="2" borderId="1" xfId="0" applyNumberFormat="1" applyFill="1" applyBorder="1"/>
    <xf numFmtId="43" fontId="4" fillId="0" borderId="23" xfId="1" applyFont="1" applyBorder="1"/>
    <xf numFmtId="0" fontId="3" fillId="3" borderId="10" xfId="0" applyFont="1" applyFill="1" applyBorder="1"/>
    <xf numFmtId="0" fontId="0" fillId="0" borderId="43" xfId="0" applyBorder="1"/>
    <xf numFmtId="0" fontId="4" fillId="0" borderId="21" xfId="0" applyFont="1" applyBorder="1"/>
    <xf numFmtId="0" fontId="4" fillId="0" borderId="10" xfId="0" applyFont="1" applyBorder="1"/>
    <xf numFmtId="0" fontId="4" fillId="0" borderId="18" xfId="0" applyFont="1" applyBorder="1"/>
    <xf numFmtId="0" fontId="4" fillId="0" borderId="27" xfId="0" applyFont="1" applyBorder="1"/>
    <xf numFmtId="0" fontId="0" fillId="0" borderId="0" xfId="0" applyAlignment="1">
      <alignment horizontal="center"/>
    </xf>
    <xf numFmtId="0" fontId="0" fillId="3" borderId="21" xfId="0" applyFill="1" applyBorder="1"/>
    <xf numFmtId="0" fontId="0" fillId="3" borderId="18" xfId="0" applyFill="1" applyBorder="1"/>
    <xf numFmtId="43" fontId="4" fillId="0" borderId="12" xfId="1" applyFont="1" applyBorder="1"/>
    <xf numFmtId="0" fontId="4" fillId="0" borderId="16" xfId="0" applyFont="1" applyBorder="1" applyAlignment="1">
      <alignment horizontal="center"/>
    </xf>
    <xf numFmtId="0" fontId="9" fillId="0" borderId="10" xfId="0" applyFont="1" applyBorder="1" applyAlignment="1">
      <alignment horizontal="left" vertical="center"/>
    </xf>
    <xf numFmtId="0" fontId="10" fillId="0" borderId="40" xfId="0" applyFont="1" applyBorder="1" applyAlignment="1">
      <alignment horizontal="left"/>
    </xf>
    <xf numFmtId="49" fontId="4" fillId="0" borderId="16" xfId="0" applyNumberFormat="1" applyFont="1" applyBorder="1" applyAlignment="1">
      <alignment horizontal="right"/>
    </xf>
    <xf numFmtId="0" fontId="4" fillId="0" borderId="23" xfId="0" applyFont="1" applyBorder="1"/>
    <xf numFmtId="0" fontId="9" fillId="0" borderId="10" xfId="0" applyFont="1" applyBorder="1" applyAlignment="1">
      <alignment horizontal="center"/>
    </xf>
    <xf numFmtId="0" fontId="4" fillId="0" borderId="41" xfId="0" applyFont="1" applyBorder="1" applyAlignment="1">
      <alignment horizontal="center"/>
    </xf>
    <xf numFmtId="0" fontId="11" fillId="0" borderId="28" xfId="0" applyFont="1" applyBorder="1" applyAlignment="1">
      <alignment horizontal="left"/>
    </xf>
    <xf numFmtId="0" fontId="11" fillId="3" borderId="10" xfId="0" applyFont="1" applyFill="1" applyBorder="1"/>
    <xf numFmtId="0" fontId="11" fillId="0" borderId="43" xfId="0" applyFont="1" applyBorder="1" applyAlignment="1">
      <alignment horizontal="left"/>
    </xf>
    <xf numFmtId="0" fontId="11" fillId="0" borderId="18" xfId="0" applyFont="1" applyBorder="1" applyAlignment="1">
      <alignment horizontal="left"/>
    </xf>
    <xf numFmtId="0" fontId="14" fillId="0" borderId="41" xfId="0" applyFont="1" applyBorder="1" applyAlignment="1">
      <alignment horizontal="left"/>
    </xf>
    <xf numFmtId="0" fontId="16" fillId="0" borderId="16" xfId="0" applyFont="1" applyBorder="1" applyAlignment="1">
      <alignment horizontal="center"/>
    </xf>
    <xf numFmtId="0" fontId="11" fillId="0" borderId="10" xfId="0" applyFont="1" applyBorder="1" applyAlignment="1">
      <alignment horizontal="center"/>
    </xf>
    <xf numFmtId="0" fontId="12" fillId="0" borderId="41" xfId="0" applyFont="1" applyBorder="1" applyAlignment="1">
      <alignment horizontal="center"/>
    </xf>
    <xf numFmtId="0" fontId="15" fillId="0" borderId="43" xfId="0" applyFont="1" applyBorder="1" applyAlignment="1">
      <alignment horizontal="right"/>
    </xf>
    <xf numFmtId="0" fontId="17" fillId="0" borderId="10" xfId="0" applyFont="1" applyBorder="1" applyAlignment="1">
      <alignment horizontal="center"/>
    </xf>
    <xf numFmtId="49" fontId="0" fillId="0" borderId="16" xfId="0" applyNumberFormat="1" applyBorder="1" applyAlignment="1">
      <alignment horizontal="right"/>
    </xf>
    <xf numFmtId="0" fontId="18" fillId="0" borderId="10" xfId="0" applyFont="1" applyBorder="1" applyAlignment="1">
      <alignment horizontal="center"/>
    </xf>
    <xf numFmtId="0" fontId="18" fillId="0" borderId="16" xfId="0" applyFont="1" applyBorder="1" applyAlignment="1">
      <alignment horizontal="center"/>
    </xf>
    <xf numFmtId="0" fontId="12" fillId="0" borderId="16" xfId="0" applyFont="1" applyBorder="1" applyAlignment="1">
      <alignment horizontal="center"/>
    </xf>
    <xf numFmtId="0" fontId="11" fillId="0" borderId="16" xfId="0" applyFont="1" applyBorder="1" applyAlignment="1">
      <alignment horizontal="center"/>
    </xf>
    <xf numFmtId="0" fontId="4" fillId="0" borderId="36" xfId="0" applyFont="1" applyBorder="1"/>
    <xf numFmtId="4" fontId="12" fillId="0" borderId="28" xfId="0" applyNumberFormat="1" applyFont="1" applyBorder="1" applyAlignment="1">
      <alignment horizontal="center"/>
    </xf>
    <xf numFmtId="0" fontId="24" fillId="0" borderId="16" xfId="0" applyFont="1" applyBorder="1"/>
    <xf numFmtId="0" fontId="23" fillId="0" borderId="21" xfId="0" applyFont="1" applyBorder="1"/>
    <xf numFmtId="0" fontId="23" fillId="0" borderId="0" xfId="0" applyFont="1"/>
    <xf numFmtId="0" fontId="23" fillId="0" borderId="10" xfId="0" applyFont="1" applyBorder="1"/>
    <xf numFmtId="0" fontId="23" fillId="0" borderId="16" xfId="0" applyFont="1" applyBorder="1"/>
    <xf numFmtId="0" fontId="4" fillId="0" borderId="23" xfId="0" applyFont="1" applyBorder="1" applyAlignment="1">
      <alignment horizontal="center"/>
    </xf>
    <xf numFmtId="4" fontId="4" fillId="0" borderId="16" xfId="0" applyNumberFormat="1" applyFont="1" applyBorder="1" applyAlignment="1">
      <alignment horizontal="right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49" fontId="23" fillId="0" borderId="16" xfId="0" applyNumberFormat="1" applyFont="1" applyBorder="1" applyAlignment="1">
      <alignment horizontal="right"/>
    </xf>
    <xf numFmtId="49" fontId="9" fillId="0" borderId="16" xfId="0" applyNumberFormat="1" applyFont="1" applyBorder="1" applyAlignment="1">
      <alignment horizontal="right"/>
    </xf>
    <xf numFmtId="43" fontId="0" fillId="0" borderId="0" xfId="0" applyNumberFormat="1"/>
    <xf numFmtId="49" fontId="0" fillId="0" borderId="16" xfId="0" applyNumberFormat="1" applyFont="1" applyBorder="1" applyAlignment="1">
      <alignment horizontal="right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0" fontId="4" fillId="0" borderId="23" xfId="0" applyFont="1" applyBorder="1" applyAlignment="1">
      <alignment horizontal="center"/>
    </xf>
    <xf numFmtId="0" fontId="4" fillId="0" borderId="23" xfId="0" applyFont="1" applyBorder="1" applyAlignment="1">
      <alignment horizontal="center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0" fontId="0" fillId="0" borderId="6" xfId="0" applyBorder="1" applyAlignment="1">
      <alignment horizontal="right" vertical="center" wrapText="1"/>
    </xf>
    <xf numFmtId="0" fontId="0" fillId="0" borderId="4" xfId="0" applyBorder="1" applyAlignment="1">
      <alignment horizontal="right" vertical="center" wrapText="1"/>
    </xf>
    <xf numFmtId="0" fontId="0" fillId="0" borderId="7" xfId="0" applyBorder="1" applyAlignment="1">
      <alignment horizontal="right" vertical="center" wrapText="1"/>
    </xf>
    <xf numFmtId="0" fontId="0" fillId="0" borderId="25" xfId="0" applyBorder="1" applyAlignment="1">
      <alignment horizontal="right" vertical="center" wrapText="1"/>
    </xf>
    <xf numFmtId="0" fontId="0" fillId="0" borderId="30" xfId="0" applyBorder="1" applyAlignment="1">
      <alignment horizontal="right" vertical="center" wrapText="1"/>
    </xf>
    <xf numFmtId="0" fontId="0" fillId="0" borderId="26" xfId="0" applyBorder="1" applyAlignment="1">
      <alignment horizontal="right" vertical="center" wrapText="1"/>
    </xf>
    <xf numFmtId="43" fontId="13" fillId="0" borderId="8" xfId="1" applyFont="1" applyBorder="1" applyAlignment="1">
      <alignment horizontal="left" vertical="center"/>
    </xf>
    <xf numFmtId="43" fontId="13" fillId="0" borderId="17" xfId="1" applyFont="1" applyBorder="1" applyAlignment="1">
      <alignment horizontal="left" vertical="center"/>
    </xf>
    <xf numFmtId="0" fontId="0" fillId="0" borderId="6" xfId="0" applyBorder="1" applyAlignment="1">
      <alignment horizontal="center" vertical="center" wrapText="1"/>
    </xf>
    <xf numFmtId="0" fontId="0" fillId="0" borderId="4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0" fontId="0" fillId="0" borderId="30" xfId="0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5" fillId="3" borderId="10" xfId="0" applyFont="1" applyFill="1" applyBorder="1" applyAlignment="1">
      <alignment horizontal="center" vertical="center" textRotation="90"/>
    </xf>
    <xf numFmtId="0" fontId="5" fillId="3" borderId="21" xfId="0" applyFont="1" applyFill="1" applyBorder="1" applyAlignment="1">
      <alignment horizontal="center" vertical="center" textRotation="90"/>
    </xf>
    <xf numFmtId="0" fontId="5" fillId="3" borderId="18" xfId="0" applyFont="1" applyFill="1" applyBorder="1" applyAlignment="1">
      <alignment horizontal="center" vertical="center" textRotation="90"/>
    </xf>
    <xf numFmtId="0" fontId="4" fillId="0" borderId="12" xfId="0" applyFont="1" applyBorder="1" applyAlignment="1">
      <alignment horizontal="center"/>
    </xf>
    <xf numFmtId="0" fontId="4" fillId="0" borderId="28" xfId="0" applyFont="1" applyBorder="1" applyAlignment="1">
      <alignment horizontal="center"/>
    </xf>
    <xf numFmtId="0" fontId="4" fillId="0" borderId="23" xfId="0" applyFont="1" applyBorder="1" applyAlignment="1">
      <alignment horizontal="center"/>
    </xf>
    <xf numFmtId="0" fontId="0" fillId="0" borderId="46" xfId="0" applyBorder="1" applyAlignment="1">
      <alignment horizontal="right" wrapText="1"/>
    </xf>
    <xf numFmtId="0" fontId="0" fillId="0" borderId="34" xfId="0" applyBorder="1" applyAlignment="1">
      <alignment horizontal="right" wrapText="1"/>
    </xf>
    <xf numFmtId="44" fontId="8" fillId="0" borderId="33" xfId="0" applyNumberFormat="1" applyFont="1" applyBorder="1" applyAlignment="1">
      <alignment horizontal="left" vertical="center"/>
    </xf>
    <xf numFmtId="44" fontId="8" fillId="0" borderId="2" xfId="0" applyNumberFormat="1" applyFont="1" applyBorder="1" applyAlignment="1">
      <alignment horizontal="left" vertical="center"/>
    </xf>
    <xf numFmtId="44" fontId="8" fillId="0" borderId="38" xfId="0" applyNumberFormat="1" applyFont="1" applyBorder="1" applyAlignment="1">
      <alignment horizontal="left" vertical="center"/>
    </xf>
    <xf numFmtId="44" fontId="8" fillId="0" borderId="25" xfId="0" applyNumberFormat="1" applyFont="1" applyBorder="1" applyAlignment="1">
      <alignment horizontal="left" vertical="center"/>
    </xf>
    <xf numFmtId="44" fontId="8" fillId="0" borderId="30" xfId="0" applyNumberFormat="1" applyFont="1" applyBorder="1" applyAlignment="1">
      <alignment horizontal="left" vertical="center"/>
    </xf>
    <xf numFmtId="44" fontId="8" fillId="0" borderId="26" xfId="0" applyNumberFormat="1" applyFont="1" applyBorder="1" applyAlignment="1">
      <alignment horizontal="left" vertical="center"/>
    </xf>
    <xf numFmtId="0" fontId="3" fillId="0" borderId="10" xfId="0" applyFont="1" applyBorder="1" applyAlignment="1">
      <alignment horizontal="right" vertical="center" wrapText="1"/>
    </xf>
    <xf numFmtId="0" fontId="3" fillId="0" borderId="21" xfId="0" applyFont="1" applyBorder="1" applyAlignment="1">
      <alignment horizontal="right" vertical="center" wrapText="1"/>
    </xf>
    <xf numFmtId="165" fontId="19" fillId="0" borderId="6" xfId="0" applyNumberFormat="1" applyFont="1" applyBorder="1" applyAlignment="1">
      <alignment horizontal="left" vertical="center"/>
    </xf>
    <xf numFmtId="165" fontId="19" fillId="0" borderId="4" xfId="0" applyNumberFormat="1" applyFont="1" applyBorder="1" applyAlignment="1">
      <alignment horizontal="left" vertical="center"/>
    </xf>
    <xf numFmtId="165" fontId="19" fillId="0" borderId="7" xfId="0" applyNumberFormat="1" applyFont="1" applyBorder="1" applyAlignment="1">
      <alignment horizontal="left" vertical="center"/>
    </xf>
    <xf numFmtId="165" fontId="19" fillId="0" borderId="50" xfId="0" applyNumberFormat="1" applyFont="1" applyBorder="1" applyAlignment="1">
      <alignment horizontal="left" vertical="center"/>
    </xf>
    <xf numFmtId="165" fontId="19" fillId="0" borderId="51" xfId="0" applyNumberFormat="1" applyFont="1" applyBorder="1" applyAlignment="1">
      <alignment horizontal="left" vertical="center"/>
    </xf>
    <xf numFmtId="165" fontId="19" fillId="0" borderId="52" xfId="0" applyNumberFormat="1" applyFont="1" applyBorder="1" applyAlignment="1">
      <alignment horizontal="left" vertical="center"/>
    </xf>
    <xf numFmtId="0" fontId="4" fillId="0" borderId="24" xfId="0" applyFont="1" applyBorder="1" applyAlignment="1">
      <alignment horizontal="center"/>
    </xf>
    <xf numFmtId="0" fontId="4" fillId="0" borderId="5" xfId="0" applyFont="1" applyBorder="1" applyAlignment="1">
      <alignment horizontal="center"/>
    </xf>
    <xf numFmtId="0" fontId="4" fillId="0" borderId="20" xfId="0" applyFont="1" applyBorder="1" applyAlignment="1">
      <alignment horizontal="center"/>
    </xf>
    <xf numFmtId="4" fontId="4" fillId="0" borderId="16" xfId="0" applyNumberFormat="1" applyFont="1" applyBorder="1" applyAlignment="1">
      <alignment horizontal="right"/>
    </xf>
    <xf numFmtId="4" fontId="4" fillId="0" borderId="16" xfId="0" applyNumberFormat="1" applyFont="1" applyBorder="1" applyAlignment="1">
      <alignment horizontal="center"/>
    </xf>
    <xf numFmtId="0" fontId="5" fillId="3" borderId="8" xfId="0" applyFont="1" applyFill="1" applyBorder="1" applyAlignment="1">
      <alignment horizontal="center" vertical="center" textRotation="90"/>
    </xf>
    <xf numFmtId="0" fontId="5" fillId="3" borderId="13" xfId="0" applyFont="1" applyFill="1" applyBorder="1" applyAlignment="1">
      <alignment horizontal="center" vertical="center" textRotation="90"/>
    </xf>
    <xf numFmtId="0" fontId="5" fillId="3" borderId="17" xfId="0" applyFont="1" applyFill="1" applyBorder="1" applyAlignment="1">
      <alignment horizontal="center" vertical="center" textRotation="90"/>
    </xf>
    <xf numFmtId="4" fontId="4" fillId="0" borderId="11" xfId="0" applyNumberFormat="1" applyFont="1" applyBorder="1" applyAlignment="1">
      <alignment horizontal="right"/>
    </xf>
    <xf numFmtId="4" fontId="4" fillId="0" borderId="14" xfId="0" applyNumberFormat="1" applyFont="1" applyBorder="1" applyAlignment="1">
      <alignment horizontal="right"/>
    </xf>
    <xf numFmtId="4" fontId="4" fillId="0" borderId="19" xfId="0" applyNumberFormat="1" applyFont="1" applyBorder="1" applyAlignment="1">
      <alignment horizontal="right"/>
    </xf>
    <xf numFmtId="0" fontId="0" fillId="0" borderId="11" xfId="0" applyBorder="1" applyAlignment="1">
      <alignment horizontal="center"/>
    </xf>
    <xf numFmtId="0" fontId="0" fillId="0" borderId="14" xfId="0" applyBorder="1" applyAlignment="1">
      <alignment horizontal="center"/>
    </xf>
    <xf numFmtId="0" fontId="0" fillId="0" borderId="19" xfId="0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20" xfId="0" applyBorder="1" applyAlignment="1">
      <alignment horizontal="center"/>
    </xf>
    <xf numFmtId="44" fontId="12" fillId="3" borderId="16" xfId="0" applyNumberFormat="1" applyFont="1" applyFill="1" applyBorder="1" applyAlignment="1">
      <alignment horizontal="center"/>
    </xf>
    <xf numFmtId="0" fontId="0" fillId="0" borderId="6" xfId="0" applyBorder="1" applyAlignment="1">
      <alignment horizontal="right" vertical="center"/>
    </xf>
    <xf numFmtId="0" fontId="0" fillId="0" borderId="4" xfId="0" applyBorder="1" applyAlignment="1">
      <alignment horizontal="right" vertical="center"/>
    </xf>
    <xf numFmtId="0" fontId="0" fillId="0" borderId="7" xfId="0" applyBorder="1" applyAlignment="1">
      <alignment horizontal="right" vertical="center"/>
    </xf>
    <xf numFmtId="0" fontId="0" fillId="0" borderId="25" xfId="0" applyBorder="1" applyAlignment="1">
      <alignment horizontal="right" vertical="center"/>
    </xf>
    <xf numFmtId="0" fontId="0" fillId="0" borderId="30" xfId="0" applyBorder="1" applyAlignment="1">
      <alignment horizontal="right" vertical="center"/>
    </xf>
    <xf numFmtId="0" fontId="0" fillId="0" borderId="26" xfId="0" applyBorder="1" applyAlignment="1">
      <alignment horizontal="right" vertical="center"/>
    </xf>
    <xf numFmtId="43" fontId="4" fillId="0" borderId="45" xfId="1" applyFont="1" applyBorder="1" applyAlignment="1">
      <alignment horizontal="left" vertical="center"/>
    </xf>
    <xf numFmtId="43" fontId="4" fillId="0" borderId="44" xfId="1" applyFont="1" applyBorder="1" applyAlignment="1">
      <alignment horizontal="left" vertical="center"/>
    </xf>
    <xf numFmtId="0" fontId="0" fillId="0" borderId="9" xfId="0" applyBorder="1" applyAlignment="1">
      <alignment horizontal="right" vertical="center" wrapText="1"/>
    </xf>
    <xf numFmtId="0" fontId="0" fillId="0" borderId="35" xfId="0" applyBorder="1" applyAlignment="1">
      <alignment horizontal="right" vertical="center" wrapText="1"/>
    </xf>
    <xf numFmtId="0" fontId="0" fillId="3" borderId="16" xfId="0" applyFill="1" applyBorder="1" applyAlignment="1">
      <alignment horizontal="center"/>
    </xf>
    <xf numFmtId="44" fontId="11" fillId="3" borderId="16" xfId="0" applyNumberFormat="1" applyFont="1" applyFill="1" applyBorder="1" applyAlignment="1">
      <alignment horizontal="right"/>
    </xf>
    <xf numFmtId="0" fontId="11" fillId="0" borderId="32" xfId="0" applyFont="1" applyBorder="1" applyAlignment="1">
      <alignment horizontal="center"/>
    </xf>
    <xf numFmtId="0" fontId="11" fillId="0" borderId="15" xfId="0" applyFont="1" applyBorder="1" applyAlignment="1">
      <alignment horizontal="center"/>
    </xf>
    <xf numFmtId="0" fontId="11" fillId="0" borderId="39" xfId="0" applyFont="1" applyBorder="1" applyAlignment="1">
      <alignment horizontal="center"/>
    </xf>
    <xf numFmtId="4" fontId="12" fillId="0" borderId="16" xfId="0" applyNumberFormat="1" applyFont="1" applyBorder="1" applyAlignment="1">
      <alignment horizontal="right"/>
    </xf>
    <xf numFmtId="4" fontId="4" fillId="0" borderId="23" xfId="0" applyNumberFormat="1" applyFont="1" applyBorder="1" applyAlignment="1">
      <alignment horizontal="right"/>
    </xf>
    <xf numFmtId="44" fontId="4" fillId="0" borderId="27" xfId="0" applyNumberFormat="1" applyFont="1" applyBorder="1" applyAlignment="1">
      <alignment horizontal="center"/>
    </xf>
    <xf numFmtId="44" fontId="4" fillId="0" borderId="41" xfId="0" applyNumberFormat="1" applyFont="1" applyBorder="1" applyAlignment="1">
      <alignment horizontal="center"/>
    </xf>
    <xf numFmtId="44" fontId="4" fillId="0" borderId="22" xfId="0" applyNumberFormat="1" applyFont="1" applyBorder="1" applyAlignment="1">
      <alignment horizontal="center"/>
    </xf>
    <xf numFmtId="44" fontId="4" fillId="0" borderId="12" xfId="0" applyNumberFormat="1" applyFont="1" applyBorder="1" applyAlignment="1">
      <alignment horizontal="right"/>
    </xf>
    <xf numFmtId="44" fontId="4" fillId="0" borderId="28" xfId="0" applyNumberFormat="1" applyFont="1" applyBorder="1" applyAlignment="1">
      <alignment horizontal="right"/>
    </xf>
    <xf numFmtId="44" fontId="4" fillId="0" borderId="23" xfId="0" applyNumberFormat="1" applyFont="1" applyBorder="1" applyAlignment="1">
      <alignment horizontal="right"/>
    </xf>
    <xf numFmtId="44" fontId="4" fillId="0" borderId="11" xfId="0" applyNumberFormat="1" applyFont="1" applyBorder="1" applyAlignment="1">
      <alignment horizontal="right"/>
    </xf>
    <xf numFmtId="44" fontId="4" fillId="0" borderId="14" xfId="0" applyNumberFormat="1" applyFont="1" applyBorder="1" applyAlignment="1">
      <alignment horizontal="right"/>
    </xf>
    <xf numFmtId="44" fontId="4" fillId="0" borderId="19" xfId="0" applyNumberFormat="1" applyFont="1" applyBorder="1" applyAlignment="1">
      <alignment horizontal="right"/>
    </xf>
    <xf numFmtId="44" fontId="4" fillId="0" borderId="47" xfId="0" applyNumberFormat="1" applyFont="1" applyBorder="1" applyAlignment="1">
      <alignment horizontal="right"/>
    </xf>
    <xf numFmtId="44" fontId="4" fillId="0" borderId="48" xfId="0" applyNumberFormat="1" applyFont="1" applyBorder="1" applyAlignment="1">
      <alignment horizontal="right"/>
    </xf>
    <xf numFmtId="44" fontId="4" fillId="0" borderId="49" xfId="0" applyNumberFormat="1" applyFont="1" applyBorder="1" applyAlignment="1">
      <alignment horizontal="right"/>
    </xf>
    <xf numFmtId="43" fontId="4" fillId="0" borderId="12" xfId="1" applyFont="1" applyBorder="1" applyAlignment="1">
      <alignment horizontal="left"/>
    </xf>
    <xf numFmtId="43" fontId="4" fillId="0" borderId="28" xfId="1" applyFont="1" applyBorder="1" applyAlignment="1">
      <alignment horizontal="left"/>
    </xf>
    <xf numFmtId="43" fontId="4" fillId="0" borderId="23" xfId="1" applyFont="1" applyBorder="1" applyAlignment="1">
      <alignment horizontal="left"/>
    </xf>
    <xf numFmtId="0" fontId="11" fillId="0" borderId="12" xfId="0" applyFont="1" applyBorder="1" applyAlignment="1">
      <alignment horizontal="left"/>
    </xf>
    <xf numFmtId="0" fontId="11" fillId="0" borderId="23" xfId="0" applyFont="1" applyBorder="1" applyAlignment="1">
      <alignment horizontal="left"/>
    </xf>
    <xf numFmtId="43" fontId="12" fillId="0" borderId="12" xfId="1" applyFont="1" applyBorder="1" applyAlignment="1">
      <alignment horizontal="left"/>
    </xf>
    <xf numFmtId="43" fontId="12" fillId="0" borderId="28" xfId="1" applyFont="1" applyBorder="1" applyAlignment="1">
      <alignment horizontal="left"/>
    </xf>
    <xf numFmtId="43" fontId="12" fillId="0" borderId="23" xfId="1" applyFont="1" applyBorder="1" applyAlignment="1">
      <alignment horizontal="left"/>
    </xf>
    <xf numFmtId="0" fontId="0" fillId="0" borderId="27" xfId="0" applyBorder="1" applyAlignment="1">
      <alignment horizontal="left"/>
    </xf>
    <xf numFmtId="0" fontId="0" fillId="0" borderId="23" xfId="0" applyBorder="1" applyAlignment="1">
      <alignment horizontal="left"/>
    </xf>
    <xf numFmtId="43" fontId="6" fillId="0" borderId="27" xfId="1" applyFont="1" applyBorder="1" applyAlignment="1">
      <alignment horizontal="right"/>
    </xf>
    <xf numFmtId="43" fontId="6" fillId="0" borderId="41" xfId="1" applyFont="1" applyBorder="1" applyAlignment="1">
      <alignment horizontal="right"/>
    </xf>
    <xf numFmtId="43" fontId="6" fillId="0" borderId="22" xfId="1" applyFont="1" applyBorder="1" applyAlignment="1">
      <alignment horizontal="right"/>
    </xf>
    <xf numFmtId="0" fontId="2" fillId="0" borderId="0" xfId="0" applyFont="1" applyAlignment="1">
      <alignment horizontal="center" vertical="center"/>
    </xf>
    <xf numFmtId="0" fontId="0" fillId="0" borderId="31" xfId="0" applyBorder="1" applyAlignment="1">
      <alignment horizontal="left" vertical="center"/>
    </xf>
    <xf numFmtId="0" fontId="0" fillId="0" borderId="34" xfId="0" applyBorder="1" applyAlignment="1">
      <alignment horizontal="left" vertical="center"/>
    </xf>
    <xf numFmtId="0" fontId="8" fillId="0" borderId="8" xfId="0" applyFont="1" applyBorder="1" applyAlignment="1">
      <alignment horizontal="center" vertical="center"/>
    </xf>
    <xf numFmtId="0" fontId="8" fillId="0" borderId="17" xfId="0" applyFont="1" applyBorder="1" applyAlignment="1">
      <alignment horizontal="center" vertical="center"/>
    </xf>
    <xf numFmtId="0" fontId="0" fillId="0" borderId="8" xfId="0" applyBorder="1" applyAlignment="1">
      <alignment horizontal="left" vertical="center"/>
    </xf>
    <xf numFmtId="0" fontId="0" fillId="0" borderId="17" xfId="0" applyBorder="1" applyAlignment="1">
      <alignment horizontal="left" vertical="center"/>
    </xf>
    <xf numFmtId="164" fontId="0" fillId="0" borderId="6" xfId="0" applyNumberFormat="1" applyBorder="1" applyAlignment="1">
      <alignment horizontal="center" vertical="center"/>
    </xf>
    <xf numFmtId="164" fontId="0" fillId="0" borderId="7" xfId="0" applyNumberFormat="1" applyBorder="1" applyAlignment="1">
      <alignment horizontal="center" vertical="center"/>
    </xf>
    <xf numFmtId="164" fontId="0" fillId="0" borderId="25" xfId="0" applyNumberFormat="1" applyBorder="1" applyAlignment="1">
      <alignment horizontal="center" vertical="center"/>
    </xf>
    <xf numFmtId="164" fontId="0" fillId="0" borderId="26" xfId="0" applyNumberFormat="1" applyBorder="1" applyAlignment="1">
      <alignment horizontal="center" vertical="center"/>
    </xf>
    <xf numFmtId="0" fontId="0" fillId="0" borderId="10" xfId="0" applyBorder="1" applyAlignment="1">
      <alignment horizontal="left" vertical="center"/>
    </xf>
    <xf numFmtId="0" fontId="0" fillId="0" borderId="18" xfId="0" applyBorder="1" applyAlignment="1">
      <alignment horizontal="left" vertical="center"/>
    </xf>
    <xf numFmtId="0" fontId="7" fillId="0" borderId="27" xfId="0" applyFont="1" applyBorder="1" applyAlignment="1">
      <alignment horizontal="center" vertical="center"/>
    </xf>
    <xf numFmtId="0" fontId="7" fillId="0" borderId="41" xfId="0" applyFont="1" applyBorder="1" applyAlignment="1">
      <alignment horizontal="center" vertical="center"/>
    </xf>
    <xf numFmtId="0" fontId="7" fillId="0" borderId="22" xfId="0" applyFont="1" applyBorder="1" applyAlignment="1">
      <alignment horizontal="center" vertical="center"/>
    </xf>
    <xf numFmtId="0" fontId="7" fillId="0" borderId="29" xfId="0" applyFont="1" applyBorder="1" applyAlignment="1">
      <alignment horizontal="center" vertical="center"/>
    </xf>
    <xf numFmtId="0" fontId="7" fillId="0" borderId="43" xfId="0" applyFont="1" applyBorder="1" applyAlignment="1">
      <alignment horizontal="center" vertical="center"/>
    </xf>
    <xf numFmtId="0" fontId="7" fillId="0" borderId="42" xfId="0" applyFont="1" applyBorder="1" applyAlignment="1">
      <alignment horizontal="center" vertical="center"/>
    </xf>
    <xf numFmtId="0" fontId="0" fillId="0" borderId="21" xfId="0" applyBorder="1" applyAlignment="1">
      <alignment horizontal="left" vertical="center"/>
    </xf>
    <xf numFmtId="0" fontId="0" fillId="0" borderId="36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40" xfId="0" applyBorder="1" applyAlignment="1">
      <alignment horizontal="center" vertical="center"/>
    </xf>
    <xf numFmtId="0" fontId="0" fillId="0" borderId="29" xfId="0" applyBorder="1" applyAlignment="1">
      <alignment horizontal="center" vertical="center"/>
    </xf>
    <xf numFmtId="0" fontId="0" fillId="0" borderId="43" xfId="0" applyBorder="1" applyAlignment="1">
      <alignment horizontal="center" vertical="center"/>
    </xf>
    <xf numFmtId="0" fontId="0" fillId="0" borderId="42" xfId="0" applyBorder="1" applyAlignment="1">
      <alignment horizontal="center" vertical="center"/>
    </xf>
    <xf numFmtId="0" fontId="0" fillId="0" borderId="27" xfId="0" applyBorder="1" applyAlignment="1">
      <alignment horizontal="center" vertical="center"/>
    </xf>
    <xf numFmtId="0" fontId="0" fillId="0" borderId="41" xfId="0" applyBorder="1" applyAlignment="1">
      <alignment horizontal="center" vertical="center"/>
    </xf>
    <xf numFmtId="0" fontId="0" fillId="0" borderId="22" xfId="0" applyBorder="1" applyAlignment="1">
      <alignment horizontal="center" vertical="center"/>
    </xf>
    <xf numFmtId="0" fontId="0" fillId="0" borderId="12" xfId="0" applyBorder="1" applyAlignment="1">
      <alignment horizontal="center"/>
    </xf>
    <xf numFmtId="0" fontId="0" fillId="0" borderId="28" xfId="0" applyBorder="1" applyAlignment="1">
      <alignment horizontal="center"/>
    </xf>
    <xf numFmtId="0" fontId="0" fillId="0" borderId="23" xfId="0" applyBorder="1" applyAlignment="1">
      <alignment horizontal="center"/>
    </xf>
    <xf numFmtId="0" fontId="0" fillId="0" borderId="12" xfId="0" applyBorder="1" applyAlignment="1">
      <alignment horizontal="left"/>
    </xf>
    <xf numFmtId="0" fontId="0" fillId="0" borderId="10" xfId="0" applyBorder="1" applyAlignment="1">
      <alignment horizontal="right" vertical="center" wrapText="1"/>
    </xf>
    <xf numFmtId="0" fontId="0" fillId="0" borderId="21" xfId="0" applyBorder="1" applyAlignment="1">
      <alignment horizontal="right" vertical="center" wrapText="1"/>
    </xf>
    <xf numFmtId="165" fontId="8" fillId="0" borderId="6" xfId="0" applyNumberFormat="1" applyFont="1" applyBorder="1" applyAlignment="1">
      <alignment horizontal="left" vertical="center"/>
    </xf>
    <xf numFmtId="165" fontId="8" fillId="0" borderId="4" xfId="0" applyNumberFormat="1" applyFont="1" applyBorder="1" applyAlignment="1">
      <alignment horizontal="left" vertical="center"/>
    </xf>
    <xf numFmtId="165" fontId="8" fillId="0" borderId="7" xfId="0" applyNumberFormat="1" applyFont="1" applyBorder="1" applyAlignment="1">
      <alignment horizontal="left" vertical="center"/>
    </xf>
    <xf numFmtId="165" fontId="8" fillId="0" borderId="50" xfId="0" applyNumberFormat="1" applyFont="1" applyBorder="1" applyAlignment="1">
      <alignment horizontal="left" vertical="center"/>
    </xf>
    <xf numFmtId="165" fontId="8" fillId="0" borderId="51" xfId="0" applyNumberFormat="1" applyFont="1" applyBorder="1" applyAlignment="1">
      <alignment horizontal="left" vertical="center"/>
    </xf>
    <xf numFmtId="165" fontId="8" fillId="0" borderId="52" xfId="0" applyNumberFormat="1" applyFont="1" applyBorder="1" applyAlignment="1">
      <alignment horizontal="left" vertical="center"/>
    </xf>
    <xf numFmtId="4" fontId="12" fillId="0" borderId="23" xfId="0" applyNumberFormat="1" applyFont="1" applyBorder="1"/>
    <xf numFmtId="4" fontId="12" fillId="0" borderId="16" xfId="0" applyNumberFormat="1" applyFont="1" applyBorder="1"/>
    <xf numFmtId="4" fontId="4" fillId="0" borderId="23" xfId="0" applyNumberFormat="1" applyFont="1" applyBorder="1"/>
    <xf numFmtId="4" fontId="4" fillId="0" borderId="16" xfId="0" applyNumberFormat="1" applyFont="1" applyBorder="1"/>
    <xf numFmtId="165" fontId="21" fillId="0" borderId="6" xfId="0" applyNumberFormat="1" applyFont="1" applyBorder="1" applyAlignment="1">
      <alignment horizontal="left" vertical="center"/>
    </xf>
    <xf numFmtId="165" fontId="21" fillId="0" borderId="4" xfId="0" applyNumberFormat="1" applyFont="1" applyBorder="1" applyAlignment="1">
      <alignment horizontal="left" vertical="center"/>
    </xf>
    <xf numFmtId="165" fontId="21" fillId="0" borderId="7" xfId="0" applyNumberFormat="1" applyFont="1" applyBorder="1" applyAlignment="1">
      <alignment horizontal="left" vertical="center"/>
    </xf>
    <xf numFmtId="165" fontId="21" fillId="0" borderId="50" xfId="0" applyNumberFormat="1" applyFont="1" applyBorder="1" applyAlignment="1">
      <alignment horizontal="left" vertical="center"/>
    </xf>
    <xf numFmtId="165" fontId="21" fillId="0" borderId="51" xfId="0" applyNumberFormat="1" applyFont="1" applyBorder="1" applyAlignment="1">
      <alignment horizontal="left" vertical="center"/>
    </xf>
    <xf numFmtId="165" fontId="21" fillId="0" borderId="52" xfId="0" applyNumberFormat="1" applyFont="1" applyBorder="1" applyAlignment="1">
      <alignment horizontal="left" vertical="center"/>
    </xf>
    <xf numFmtId="44" fontId="0" fillId="3" borderId="16" xfId="0" applyNumberFormat="1" applyFill="1" applyBorder="1" applyAlignment="1">
      <alignment horizontal="right"/>
    </xf>
    <xf numFmtId="44" fontId="12" fillId="3" borderId="16" xfId="0" applyNumberFormat="1" applyFont="1" applyFill="1" applyBorder="1" applyAlignment="1">
      <alignment horizontal="right"/>
    </xf>
    <xf numFmtId="4" fontId="12" fillId="0" borderId="23" xfId="0" applyNumberFormat="1" applyFont="1" applyBorder="1" applyAlignment="1">
      <alignment horizontal="right"/>
    </xf>
  </cellXfs>
  <cellStyles count="2">
    <cellStyle name="Comma" xfId="1" builtinId="3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26" Type="http://schemas.openxmlformats.org/officeDocument/2006/relationships/worksheet" Target="worksheets/sheet26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63" Type="http://schemas.openxmlformats.org/officeDocument/2006/relationships/worksheet" Target="worksheets/sheet63.xml"/><Relationship Id="rId68" Type="http://schemas.openxmlformats.org/officeDocument/2006/relationships/worksheet" Target="worksheets/sheet68.xml"/><Relationship Id="rId84" Type="http://schemas.openxmlformats.org/officeDocument/2006/relationships/worksheet" Target="worksheets/sheet84.xml"/><Relationship Id="rId89" Type="http://schemas.openxmlformats.org/officeDocument/2006/relationships/worksheet" Target="worksheets/sheet89.xml"/><Relationship Id="rId16" Type="http://schemas.openxmlformats.org/officeDocument/2006/relationships/worksheet" Target="worksheets/sheet16.xml"/><Relationship Id="rId107" Type="http://schemas.openxmlformats.org/officeDocument/2006/relationships/calcChain" Target="calcChain.xml"/><Relationship Id="rId11" Type="http://schemas.openxmlformats.org/officeDocument/2006/relationships/worksheet" Target="worksheets/sheet11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53" Type="http://schemas.openxmlformats.org/officeDocument/2006/relationships/worksheet" Target="worksheets/sheet53.xml"/><Relationship Id="rId58" Type="http://schemas.openxmlformats.org/officeDocument/2006/relationships/worksheet" Target="worksheets/sheet58.xml"/><Relationship Id="rId74" Type="http://schemas.openxmlformats.org/officeDocument/2006/relationships/worksheet" Target="worksheets/sheet74.xml"/><Relationship Id="rId79" Type="http://schemas.openxmlformats.org/officeDocument/2006/relationships/worksheet" Target="worksheets/sheet79.xml"/><Relationship Id="rId102" Type="http://schemas.openxmlformats.org/officeDocument/2006/relationships/worksheet" Target="worksheets/sheet102.xml"/><Relationship Id="rId5" Type="http://schemas.openxmlformats.org/officeDocument/2006/relationships/worksheet" Target="worksheets/sheet5.xml"/><Relationship Id="rId90" Type="http://schemas.openxmlformats.org/officeDocument/2006/relationships/worksheet" Target="worksheets/sheet90.xml"/><Relationship Id="rId95" Type="http://schemas.openxmlformats.org/officeDocument/2006/relationships/worksheet" Target="worksheets/sheet95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64" Type="http://schemas.openxmlformats.org/officeDocument/2006/relationships/worksheet" Target="worksheets/sheet64.xml"/><Relationship Id="rId69" Type="http://schemas.openxmlformats.org/officeDocument/2006/relationships/worksheet" Target="worksheets/sheet69.xml"/><Relationship Id="rId80" Type="http://schemas.openxmlformats.org/officeDocument/2006/relationships/worksheet" Target="worksheets/sheet80.xml"/><Relationship Id="rId85" Type="http://schemas.openxmlformats.org/officeDocument/2006/relationships/worksheet" Target="worksheets/sheet85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59" Type="http://schemas.openxmlformats.org/officeDocument/2006/relationships/worksheet" Target="worksheets/sheet59.xml"/><Relationship Id="rId103" Type="http://schemas.openxmlformats.org/officeDocument/2006/relationships/worksheet" Target="worksheets/sheet103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54" Type="http://schemas.openxmlformats.org/officeDocument/2006/relationships/worksheet" Target="worksheets/sheet54.xml"/><Relationship Id="rId62" Type="http://schemas.openxmlformats.org/officeDocument/2006/relationships/worksheet" Target="worksheets/sheet62.xml"/><Relationship Id="rId70" Type="http://schemas.openxmlformats.org/officeDocument/2006/relationships/worksheet" Target="worksheets/sheet70.xml"/><Relationship Id="rId75" Type="http://schemas.openxmlformats.org/officeDocument/2006/relationships/worksheet" Target="worksheets/sheet75.xml"/><Relationship Id="rId83" Type="http://schemas.openxmlformats.org/officeDocument/2006/relationships/worksheet" Target="worksheets/sheet83.xml"/><Relationship Id="rId88" Type="http://schemas.openxmlformats.org/officeDocument/2006/relationships/worksheet" Target="worksheets/sheet88.xml"/><Relationship Id="rId91" Type="http://schemas.openxmlformats.org/officeDocument/2006/relationships/worksheet" Target="worksheets/sheet91.xml"/><Relationship Id="rId96" Type="http://schemas.openxmlformats.org/officeDocument/2006/relationships/worksheet" Target="worksheets/sheet96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worksheet" Target="worksheets/sheet49.xml"/><Relationship Id="rId57" Type="http://schemas.openxmlformats.org/officeDocument/2006/relationships/worksheet" Target="worksheets/sheet57.xml"/><Relationship Id="rId106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worksheet" Target="worksheets/sheet52.xml"/><Relationship Id="rId60" Type="http://schemas.openxmlformats.org/officeDocument/2006/relationships/worksheet" Target="worksheets/sheet60.xml"/><Relationship Id="rId65" Type="http://schemas.openxmlformats.org/officeDocument/2006/relationships/worksheet" Target="worksheets/sheet65.xml"/><Relationship Id="rId73" Type="http://schemas.openxmlformats.org/officeDocument/2006/relationships/worksheet" Target="worksheets/sheet73.xml"/><Relationship Id="rId78" Type="http://schemas.openxmlformats.org/officeDocument/2006/relationships/worksheet" Target="worksheets/sheet78.xml"/><Relationship Id="rId81" Type="http://schemas.openxmlformats.org/officeDocument/2006/relationships/worksheet" Target="worksheets/sheet81.xml"/><Relationship Id="rId86" Type="http://schemas.openxmlformats.org/officeDocument/2006/relationships/worksheet" Target="worksheets/sheet86.xml"/><Relationship Id="rId94" Type="http://schemas.openxmlformats.org/officeDocument/2006/relationships/worksheet" Target="worksheets/sheet94.xml"/><Relationship Id="rId99" Type="http://schemas.openxmlformats.org/officeDocument/2006/relationships/worksheet" Target="worksheets/sheet99.xml"/><Relationship Id="rId101" Type="http://schemas.openxmlformats.org/officeDocument/2006/relationships/worksheet" Target="worksheets/sheet10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6" Type="http://schemas.openxmlformats.org/officeDocument/2006/relationships/worksheet" Target="worksheets/sheet76.xml"/><Relationship Id="rId97" Type="http://schemas.openxmlformats.org/officeDocument/2006/relationships/worksheet" Target="worksheets/sheet97.xml"/><Relationship Id="rId104" Type="http://schemas.openxmlformats.org/officeDocument/2006/relationships/theme" Target="theme/theme1.xml"/><Relationship Id="rId7" Type="http://schemas.openxmlformats.org/officeDocument/2006/relationships/worksheet" Target="worksheets/sheet7.xml"/><Relationship Id="rId71" Type="http://schemas.openxmlformats.org/officeDocument/2006/relationships/worksheet" Target="worksheets/sheet71.xml"/><Relationship Id="rId92" Type="http://schemas.openxmlformats.org/officeDocument/2006/relationships/worksheet" Target="worksheets/sheet92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Relationship Id="rId24" Type="http://schemas.openxmlformats.org/officeDocument/2006/relationships/worksheet" Target="worksheets/sheet24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66" Type="http://schemas.openxmlformats.org/officeDocument/2006/relationships/worksheet" Target="worksheets/sheet66.xml"/><Relationship Id="rId87" Type="http://schemas.openxmlformats.org/officeDocument/2006/relationships/worksheet" Target="worksheets/sheet87.xml"/><Relationship Id="rId61" Type="http://schemas.openxmlformats.org/officeDocument/2006/relationships/worksheet" Target="worksheets/sheet61.xml"/><Relationship Id="rId82" Type="http://schemas.openxmlformats.org/officeDocument/2006/relationships/worksheet" Target="worksheets/sheet82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56" Type="http://schemas.openxmlformats.org/officeDocument/2006/relationships/worksheet" Target="worksheets/sheet56.xml"/><Relationship Id="rId77" Type="http://schemas.openxmlformats.org/officeDocument/2006/relationships/worksheet" Target="worksheets/sheet77.xml"/><Relationship Id="rId100" Type="http://schemas.openxmlformats.org/officeDocument/2006/relationships/worksheet" Target="worksheets/sheet100.xml"/><Relationship Id="rId105" Type="http://schemas.openxmlformats.org/officeDocument/2006/relationships/styles" Target="styles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93" Type="http://schemas.openxmlformats.org/officeDocument/2006/relationships/worksheet" Target="worksheets/sheet93.xml"/><Relationship Id="rId98" Type="http://schemas.openxmlformats.org/officeDocument/2006/relationships/worksheet" Target="worksheets/sheet98.xml"/><Relationship Id="rId3" Type="http://schemas.openxmlformats.org/officeDocument/2006/relationships/worksheet" Target="worksheets/sheet3.xml"/><Relationship Id="rId25" Type="http://schemas.openxmlformats.org/officeDocument/2006/relationships/worksheet" Target="worksheets/sheet25.xml"/><Relationship Id="rId46" Type="http://schemas.openxmlformats.org/officeDocument/2006/relationships/worksheet" Target="worksheets/sheet46.xml"/><Relationship Id="rId67" Type="http://schemas.openxmlformats.org/officeDocument/2006/relationships/worksheet" Target="worksheets/sheet67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14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1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6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7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18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1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0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21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22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23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2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5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26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27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28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9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0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31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3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4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35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3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7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8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39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40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1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2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3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4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5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6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7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48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9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50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51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5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54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55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5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7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58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59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60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61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6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64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65.xml.rels><?xml version="1.0" encoding="UTF-8" standalone="yes"?>
<Relationships xmlns="http://schemas.openxmlformats.org/package/2006/relationships"><Relationship Id="rId1" Type="http://schemas.openxmlformats.org/officeDocument/2006/relationships/image" Target="../media/image5.png"/></Relationships>
</file>

<file path=xl/drawings/_rels/drawing6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7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68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69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70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71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7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73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74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7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76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77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78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7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80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81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82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8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84.xml.rels><?xml version="1.0" encoding="UTF-8" standalone="yes"?>
<Relationships xmlns="http://schemas.openxmlformats.org/package/2006/relationships"><Relationship Id="rId1" Type="http://schemas.openxmlformats.org/officeDocument/2006/relationships/image" Target="../media/image6.png"/></Relationships>
</file>

<file path=xl/drawings/_rels/drawing85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86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8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88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89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90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9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9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93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94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9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96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97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98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9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00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01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102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BDCF182-B056-433E-9699-A947CA18FCE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A2988FA-1846-4B4E-89F3-861534A46E1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1BE2227-E914-4014-BADD-DFE7C8C16F8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BA90CF2-FC10-4F5A-8640-E531FB2DC38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7454F9A-C6C8-4986-BBC3-126FFE32012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130CAA5-10D3-492D-A947-094FED72F87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483A810-AD30-4021-9FC0-EAADB51564E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F7DDB22-041D-4AB3-A35E-5DC1ED4920F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5DD512E-A587-44CB-8027-9DD24AF7CB5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72AE930-848F-40C2-B71F-DD9465B25D0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C0A1FB1-5720-4CEE-87BC-80878C5C8E9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5F8DC10-F125-41A7-B1CE-DBDC505CA64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6D74EE4-ABD6-437C-97CD-65E64AC773B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1D4CE0C-44A4-466C-9D45-3BD0C272053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1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709CD6F-5E27-4D5E-AC37-1EEA9CEF89D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1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45ED97C-E41F-4A5A-BA37-F5D565BAB5F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1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5FE5394-6D87-4905-A9EB-BFBFE3D68EE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1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62C7CE7-B386-4CB4-A1CB-B1171AC881D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1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3716825-A574-4D7E-99BF-1C57B162678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2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4ED990E-557B-4BF5-A536-232AC69A5F0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2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5B3DD6D-AF2B-401C-9875-734B2F654B7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2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11DAB7C-F2A1-4694-8FA3-14E9EB0E0EC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2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12B7494-5C78-476E-9029-C76F3418D2B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2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2E6B3E6-CB02-47F9-8E0B-25230D0B039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2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0AD28F6-BC20-4C86-BDBC-0E336E46961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2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C4ABAC8-6C8F-492E-AE9B-D43C9070DD1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2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38DE3A1-F3DD-46B2-A5A2-D89B2C57FB3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2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3B09B3D-DCF3-4261-8433-EE6B23CD4C6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2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2CF0777-9F1C-423B-8E86-BC04E5F1199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3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C9806D9-60C2-4214-B2B4-8285A0FE008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3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D97D1F1-3478-4E1D-A24D-B51DB3161C9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3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5F417CE-5CE6-42AF-A494-FBC30D90C3C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3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C7BF91B-E38F-43B5-B447-6D90A656D85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3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8C174FB-EE7A-4879-BDEA-D2607E03308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3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4A3D85E-55FB-4DB2-8376-2561ED30409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3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6B9661C-2BC5-44A7-9D82-2443A579C9F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3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53D1798-5809-4513-810B-010AE659976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3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98120D3-91F2-446D-A6AB-FB950F72059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3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AA594DA-7C4C-4C19-9CC6-1466403382E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4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43873CE-3FD5-4B99-A445-79F77A76486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4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1AFAC1F-C015-432C-947E-5DF5EBD80C8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4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0C0BB47-287D-4709-910C-D2BB4695285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4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2CA383B-0A5A-44D6-99C3-0CB70DFCC72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4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58CD908-E5B4-4668-A210-88188236983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4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C257415-E017-475C-A12A-96151594C9E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4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24F9DD3-4E98-4D93-AA00-F405F62529E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4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BB5BA2B-D119-4A1C-BCD1-6B71395E81D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4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26AD487-2B8F-4B11-ADA5-9DD49A3B399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4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93017EB-DFAB-403C-A221-516B4DC6EFC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5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209551</xdr:colOff>
      <xdr:row>46</xdr:row>
      <xdr:rowOff>116412</xdr:rowOff>
    </xdr:from>
    <xdr:to>
      <xdr:col>4</xdr:col>
      <xdr:colOff>9526</xdr:colOff>
      <xdr:row>65</xdr:row>
      <xdr:rowOff>104775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1478063A-3C56-4C4D-8FB2-49A7670DC58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00051" y="9098487"/>
          <a:ext cx="2743200" cy="3655488"/>
        </a:xfrm>
        <a:prstGeom prst="rect">
          <a:avLst/>
        </a:prstGeom>
      </xdr:spPr>
    </xdr:pic>
    <xdr:clientData/>
  </xdr:twoCellAnchor>
</xdr:wsDr>
</file>

<file path=xl/drawings/drawing5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E9FE0C2-A6C1-49E6-BB0A-1DC7CF3BF50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5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68DFD09-69EF-4400-9D2A-2901D4379F7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5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72D5964-1433-42A6-A73F-5DD0F630C37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5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BED2B28-8880-4E0E-8F12-48E4C010CDC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5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4098A11-3702-4E60-A25C-6708FFCB870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5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B31A65E-2E50-4ED1-B681-E245EDE1C5B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5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693E1E2-F9A6-4917-8D99-F38758E7A40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5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CF55776-E0BA-41F7-91F5-3B7EC8D4BE7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5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6E556B3-44D1-4B20-80EB-8A6BE4FF9B1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6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720BC2C-B09D-4F66-AB22-83476A817CA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6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B3BE133-15A2-4CDB-BCA6-8E6A0FDD95E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6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95C9F51-92B1-4D81-89A5-79AB9722C3B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6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F972696-EF49-4A69-A96D-48B11D9C4C1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6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D9AFE48-B9F0-40D4-A3A3-993CFFDF591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6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657225</xdr:colOff>
      <xdr:row>53</xdr:row>
      <xdr:rowOff>53677</xdr:rowOff>
    </xdr:from>
    <xdr:to>
      <xdr:col>3</xdr:col>
      <xdr:colOff>419100</xdr:colOff>
      <xdr:row>59</xdr:row>
      <xdr:rowOff>66674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769B98BE-CADF-4733-BF1D-B5932C16FD3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7725" y="10416877"/>
          <a:ext cx="1381125" cy="1155997"/>
        </a:xfrm>
        <a:prstGeom prst="rect">
          <a:avLst/>
        </a:prstGeom>
      </xdr:spPr>
    </xdr:pic>
    <xdr:clientData/>
  </xdr:twoCellAnchor>
</xdr:wsDr>
</file>

<file path=xl/drawings/drawing6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F702189-6293-4C7F-AADE-2C4C180667D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6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370C19E-AC2A-4706-93DD-3AA4D885E79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6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71CDD1E-0B7F-4915-B35B-A703022FEF2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6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0234498-8B37-41D9-8C2D-376CCD3713E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7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DF82F41-7B8A-4926-9193-9816ABDBE32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7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A7727D8-86D9-45C7-8C58-9BC3365B5D8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7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8B65B05-476E-4130-8800-99D7A026E58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7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05EF716-E126-42FA-B852-84AC584F5E8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7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A461FC5-7FA6-4C9C-A089-F25603757E8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7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15AF9AB-EDD6-4F6B-8D52-3D68C59861C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7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F1933C3-8E56-49FC-A91E-ED33145684D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7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1A143A9-9F96-489B-95DD-C79E3C6C3E9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7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64762AE-EA6E-4D8A-81E4-F1EFB830A2C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7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4E2EE81-3EA9-4916-B8D2-57792975152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8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3B2929A-12BA-43E8-A062-1B040F4D51C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8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85D1EB5-DB53-4721-BF57-8389048E37A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8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E6BC8DF-E29D-40FA-BC9F-CCD260F981C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8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0CF3A50-32E1-4117-9CD1-FFECA5B225F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8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381001</xdr:colOff>
      <xdr:row>49</xdr:row>
      <xdr:rowOff>23780</xdr:rowOff>
    </xdr:from>
    <xdr:to>
      <xdr:col>3</xdr:col>
      <xdr:colOff>781051</xdr:colOff>
      <xdr:row>63</xdr:row>
      <xdr:rowOff>19050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B008DD9F-F183-4A93-AFEC-69561A76354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71501" y="9596405"/>
          <a:ext cx="2019300" cy="2690845"/>
        </a:xfrm>
        <a:prstGeom prst="rect">
          <a:avLst/>
        </a:prstGeom>
      </xdr:spPr>
    </xdr:pic>
    <xdr:clientData/>
  </xdr:twoCellAnchor>
</xdr:wsDr>
</file>

<file path=xl/drawings/drawing8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0CAB245-1380-4D45-B92C-302653237D2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8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A438BDA-AD4A-417F-BB49-BDAE0269582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8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17EAD81-D147-4AB1-A3B5-736C3A7F58E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8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E17778C-C5BC-4358-A790-DC42897AFA5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8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E5710F7-E01D-488F-AC0D-69B7B2947B9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9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EB8BA0E-40DF-424F-918D-EB3BA42076E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9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B42313B-BB55-4B22-8611-161DA7C579F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9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D1A43F4-C716-48E2-A8C6-81ABD807131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9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7E0E1AF-4C07-425D-A169-693145CBFC4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9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2C156A0-287C-4DAB-A594-671C24F8B9A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9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9E7922F-C32A-45C1-9D54-2BFA7DB7673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9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68C9F99-3DB4-4335-BC0B-BB8D4483622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9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975C6B8-D1E9-4646-97F1-D4611D56F7C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9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8464312-D653-4D1E-845E-D3BC28E90EE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9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9676D05-E5C3-4DBF-AFA2-FA4DB84BA1D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10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6D6C46B-AE34-459F-A53C-5E621C9835E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10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8CDD2C0-91A7-4DAB-8212-41B81F8CBB7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10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6EA20EB-5042-4B36-9601-77678BD97AA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1.xml"/><Relationship Id="rId1" Type="http://schemas.openxmlformats.org/officeDocument/2006/relationships/printerSettings" Target="../printerSettings/printerSettings11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2.xml"/><Relationship Id="rId1" Type="http://schemas.openxmlformats.org/officeDocument/2006/relationships/printerSettings" Target="../printerSettings/printerSettings12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3.xml"/><Relationship Id="rId1" Type="http://schemas.openxmlformats.org/officeDocument/2006/relationships/printerSettings" Target="../printerSettings/printerSettings13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4.xml"/><Relationship Id="rId1" Type="http://schemas.openxmlformats.org/officeDocument/2006/relationships/printerSettings" Target="../printerSettings/printerSettings14.bin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5.xml"/><Relationship Id="rId1" Type="http://schemas.openxmlformats.org/officeDocument/2006/relationships/printerSettings" Target="../printerSettings/printerSettings15.bin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6.xml"/><Relationship Id="rId1" Type="http://schemas.openxmlformats.org/officeDocument/2006/relationships/printerSettings" Target="../printerSettings/printerSettings16.bin"/></Relationships>
</file>

<file path=xl/worksheets/_rels/sheet1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7.xml"/><Relationship Id="rId1" Type="http://schemas.openxmlformats.org/officeDocument/2006/relationships/printerSettings" Target="../printerSettings/printerSettings17.bin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8.xml"/><Relationship Id="rId1" Type="http://schemas.openxmlformats.org/officeDocument/2006/relationships/printerSettings" Target="../printerSettings/printerSettings18.bin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9.xml"/><Relationship Id="rId1" Type="http://schemas.openxmlformats.org/officeDocument/2006/relationships/printerSettings" Target="../printerSettings/printerSettings19.bin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0.xml"/><Relationship Id="rId1" Type="http://schemas.openxmlformats.org/officeDocument/2006/relationships/printerSettings" Target="../printerSettings/printerSettings20.bin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1.xml"/><Relationship Id="rId1" Type="http://schemas.openxmlformats.org/officeDocument/2006/relationships/printerSettings" Target="../printerSettings/printerSettings21.bin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2.xml"/><Relationship Id="rId1" Type="http://schemas.openxmlformats.org/officeDocument/2006/relationships/printerSettings" Target="../printerSettings/printerSettings22.bin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3.xml"/><Relationship Id="rId1" Type="http://schemas.openxmlformats.org/officeDocument/2006/relationships/printerSettings" Target="../printerSettings/printerSettings23.bin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4.xml"/><Relationship Id="rId1" Type="http://schemas.openxmlformats.org/officeDocument/2006/relationships/printerSettings" Target="../printerSettings/printerSettings24.bin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5.xml"/><Relationship Id="rId1" Type="http://schemas.openxmlformats.org/officeDocument/2006/relationships/printerSettings" Target="../printerSettings/printerSettings25.bin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6.xml"/><Relationship Id="rId1" Type="http://schemas.openxmlformats.org/officeDocument/2006/relationships/printerSettings" Target="../printerSettings/printerSettings26.bin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7.xml"/><Relationship Id="rId1" Type="http://schemas.openxmlformats.org/officeDocument/2006/relationships/printerSettings" Target="../printerSettings/printerSettings27.bin"/></Relationships>
</file>

<file path=xl/worksheets/_rels/sheet2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8.xml"/><Relationship Id="rId1" Type="http://schemas.openxmlformats.org/officeDocument/2006/relationships/printerSettings" Target="../printerSettings/printerSettings28.bin"/></Relationships>
</file>

<file path=xl/worksheets/_rels/sheet3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9.xml"/><Relationship Id="rId1" Type="http://schemas.openxmlformats.org/officeDocument/2006/relationships/printerSettings" Target="../printerSettings/printerSettings29.bin"/></Relationships>
</file>

<file path=xl/worksheets/_rels/sheet3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0.xml"/><Relationship Id="rId1" Type="http://schemas.openxmlformats.org/officeDocument/2006/relationships/printerSettings" Target="../printerSettings/printerSettings30.bin"/></Relationships>
</file>

<file path=xl/worksheets/_rels/sheet3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1.xml"/><Relationship Id="rId1" Type="http://schemas.openxmlformats.org/officeDocument/2006/relationships/printerSettings" Target="../printerSettings/printerSettings31.bin"/></Relationships>
</file>

<file path=xl/worksheets/_rels/sheet3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2.xml"/><Relationship Id="rId1" Type="http://schemas.openxmlformats.org/officeDocument/2006/relationships/printerSettings" Target="../printerSettings/printerSettings32.bin"/></Relationships>
</file>

<file path=xl/worksheets/_rels/sheet3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3.xml"/><Relationship Id="rId1" Type="http://schemas.openxmlformats.org/officeDocument/2006/relationships/printerSettings" Target="../printerSettings/printerSettings33.bin"/></Relationships>
</file>

<file path=xl/worksheets/_rels/sheet3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4.xml"/><Relationship Id="rId1" Type="http://schemas.openxmlformats.org/officeDocument/2006/relationships/printerSettings" Target="../printerSettings/printerSettings34.bin"/></Relationships>
</file>

<file path=xl/worksheets/_rels/sheet3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5.xml"/><Relationship Id="rId1" Type="http://schemas.openxmlformats.org/officeDocument/2006/relationships/printerSettings" Target="../printerSettings/printerSettings35.bin"/></Relationships>
</file>

<file path=xl/worksheets/_rels/sheet3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6.xml"/><Relationship Id="rId1" Type="http://schemas.openxmlformats.org/officeDocument/2006/relationships/printerSettings" Target="../printerSettings/printerSettings36.bin"/></Relationships>
</file>

<file path=xl/worksheets/_rels/sheet3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7.xml"/><Relationship Id="rId1" Type="http://schemas.openxmlformats.org/officeDocument/2006/relationships/printerSettings" Target="../printerSettings/printerSettings37.bin"/></Relationships>
</file>

<file path=xl/worksheets/_rels/sheet3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8.xml"/><Relationship Id="rId1" Type="http://schemas.openxmlformats.org/officeDocument/2006/relationships/printerSettings" Target="../printerSettings/printerSettings38.bin"/></Relationships>
</file>

<file path=xl/worksheets/_rels/sheet4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9.xml"/><Relationship Id="rId1" Type="http://schemas.openxmlformats.org/officeDocument/2006/relationships/printerSettings" Target="../printerSettings/printerSettings39.bin"/></Relationships>
</file>

<file path=xl/worksheets/_rels/sheet4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0.xml"/><Relationship Id="rId1" Type="http://schemas.openxmlformats.org/officeDocument/2006/relationships/printerSettings" Target="../printerSettings/printerSettings40.bin"/></Relationships>
</file>

<file path=xl/worksheets/_rels/sheet4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1.xml"/><Relationship Id="rId1" Type="http://schemas.openxmlformats.org/officeDocument/2006/relationships/printerSettings" Target="../printerSettings/printerSettings41.bin"/></Relationships>
</file>

<file path=xl/worksheets/_rels/sheet4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2.xml"/><Relationship Id="rId1" Type="http://schemas.openxmlformats.org/officeDocument/2006/relationships/printerSettings" Target="../printerSettings/printerSettings42.bin"/></Relationships>
</file>

<file path=xl/worksheets/_rels/sheet4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3.xml"/><Relationship Id="rId1" Type="http://schemas.openxmlformats.org/officeDocument/2006/relationships/printerSettings" Target="../printerSettings/printerSettings43.bin"/></Relationships>
</file>

<file path=xl/worksheets/_rels/sheet4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4.xml"/><Relationship Id="rId1" Type="http://schemas.openxmlformats.org/officeDocument/2006/relationships/printerSettings" Target="../printerSettings/printerSettings44.bin"/></Relationships>
</file>

<file path=xl/worksheets/_rels/sheet4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5.xml"/><Relationship Id="rId1" Type="http://schemas.openxmlformats.org/officeDocument/2006/relationships/printerSettings" Target="../printerSettings/printerSettings45.bin"/></Relationships>
</file>

<file path=xl/worksheets/_rels/sheet4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6.xml"/><Relationship Id="rId1" Type="http://schemas.openxmlformats.org/officeDocument/2006/relationships/printerSettings" Target="../printerSettings/printerSettings46.bin"/></Relationships>
</file>

<file path=xl/worksheets/_rels/sheet4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7.xml"/><Relationship Id="rId1" Type="http://schemas.openxmlformats.org/officeDocument/2006/relationships/printerSettings" Target="../printerSettings/printerSettings47.bin"/></Relationships>
</file>

<file path=xl/worksheets/_rels/sheet4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8.xml"/><Relationship Id="rId1" Type="http://schemas.openxmlformats.org/officeDocument/2006/relationships/printerSettings" Target="../printerSettings/printerSettings48.bin"/></Relationships>
</file>

<file path=xl/worksheets/_rels/sheet5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9.xml"/><Relationship Id="rId1" Type="http://schemas.openxmlformats.org/officeDocument/2006/relationships/printerSettings" Target="../printerSettings/printerSettings49.bin"/></Relationships>
</file>

<file path=xl/worksheets/_rels/sheet5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0.xml"/><Relationship Id="rId1" Type="http://schemas.openxmlformats.org/officeDocument/2006/relationships/printerSettings" Target="../printerSettings/printerSettings50.bin"/></Relationships>
</file>

<file path=xl/worksheets/_rels/sheet5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1.xml"/><Relationship Id="rId1" Type="http://schemas.openxmlformats.org/officeDocument/2006/relationships/printerSettings" Target="../printerSettings/printerSettings51.bin"/></Relationships>
</file>

<file path=xl/worksheets/_rels/sheet5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2.xml"/><Relationship Id="rId1" Type="http://schemas.openxmlformats.org/officeDocument/2006/relationships/printerSettings" Target="../printerSettings/printerSettings52.bin"/></Relationships>
</file>

<file path=xl/worksheets/_rels/sheet5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3.xml"/><Relationship Id="rId1" Type="http://schemas.openxmlformats.org/officeDocument/2006/relationships/printerSettings" Target="../printerSettings/printerSettings53.bin"/></Relationships>
</file>

<file path=xl/worksheets/_rels/sheet5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4.xml"/><Relationship Id="rId1" Type="http://schemas.openxmlformats.org/officeDocument/2006/relationships/printerSettings" Target="../printerSettings/printerSettings54.bin"/></Relationships>
</file>

<file path=xl/worksheets/_rels/sheet5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5.xml"/><Relationship Id="rId1" Type="http://schemas.openxmlformats.org/officeDocument/2006/relationships/printerSettings" Target="../printerSettings/printerSettings55.bin"/></Relationships>
</file>

<file path=xl/worksheets/_rels/sheet5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6.xml"/><Relationship Id="rId1" Type="http://schemas.openxmlformats.org/officeDocument/2006/relationships/printerSettings" Target="../printerSettings/printerSettings56.bin"/></Relationships>
</file>

<file path=xl/worksheets/_rels/sheet5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7.xml"/><Relationship Id="rId1" Type="http://schemas.openxmlformats.org/officeDocument/2006/relationships/printerSettings" Target="../printerSettings/printerSettings57.bin"/></Relationships>
</file>

<file path=xl/worksheets/_rels/sheet5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8.xml"/><Relationship Id="rId1" Type="http://schemas.openxmlformats.org/officeDocument/2006/relationships/printerSettings" Target="../printerSettings/printerSettings58.bin"/></Relationships>
</file>

<file path=xl/worksheets/_rels/sheet6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9.xml"/><Relationship Id="rId1" Type="http://schemas.openxmlformats.org/officeDocument/2006/relationships/printerSettings" Target="../printerSettings/printerSettings59.bin"/></Relationships>
</file>

<file path=xl/worksheets/_rels/sheet6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0.xml"/><Relationship Id="rId1" Type="http://schemas.openxmlformats.org/officeDocument/2006/relationships/printerSettings" Target="../printerSettings/printerSettings60.bin"/></Relationships>
</file>

<file path=xl/worksheets/_rels/sheet6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1.xml"/><Relationship Id="rId1" Type="http://schemas.openxmlformats.org/officeDocument/2006/relationships/printerSettings" Target="../printerSettings/printerSettings61.bin"/></Relationships>
</file>

<file path=xl/worksheets/_rels/sheet6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2.xml"/><Relationship Id="rId1" Type="http://schemas.openxmlformats.org/officeDocument/2006/relationships/printerSettings" Target="../printerSettings/printerSettings62.bin"/></Relationships>
</file>

<file path=xl/worksheets/_rels/sheet6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3.xml"/><Relationship Id="rId1" Type="http://schemas.openxmlformats.org/officeDocument/2006/relationships/printerSettings" Target="../printerSettings/printerSettings63.bin"/></Relationships>
</file>

<file path=xl/worksheets/_rels/sheet6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4.xml"/><Relationship Id="rId1" Type="http://schemas.openxmlformats.org/officeDocument/2006/relationships/printerSettings" Target="../printerSettings/printerSettings64.bin"/></Relationships>
</file>

<file path=xl/worksheets/_rels/sheet6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5.xml"/><Relationship Id="rId1" Type="http://schemas.openxmlformats.org/officeDocument/2006/relationships/printerSettings" Target="../printerSettings/printerSettings65.bin"/></Relationships>
</file>

<file path=xl/worksheets/_rels/sheet6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6.xml"/><Relationship Id="rId1" Type="http://schemas.openxmlformats.org/officeDocument/2006/relationships/printerSettings" Target="../printerSettings/printerSettings66.bin"/></Relationships>
</file>

<file path=xl/worksheets/_rels/sheet6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7.xml"/><Relationship Id="rId1" Type="http://schemas.openxmlformats.org/officeDocument/2006/relationships/printerSettings" Target="../printerSettings/printerSettings67.bin"/></Relationships>
</file>

<file path=xl/worksheets/_rels/sheet6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8.xml"/><Relationship Id="rId1" Type="http://schemas.openxmlformats.org/officeDocument/2006/relationships/printerSettings" Target="../printerSettings/printerSettings68.bin"/></Relationships>
</file>

<file path=xl/worksheets/_rels/sheet7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9.xml"/><Relationship Id="rId1" Type="http://schemas.openxmlformats.org/officeDocument/2006/relationships/printerSettings" Target="../printerSettings/printerSettings69.bin"/></Relationships>
</file>

<file path=xl/worksheets/_rels/sheet7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0.xml"/><Relationship Id="rId1" Type="http://schemas.openxmlformats.org/officeDocument/2006/relationships/printerSettings" Target="../printerSettings/printerSettings70.bin"/></Relationships>
</file>

<file path=xl/worksheets/_rels/sheet7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1.xml"/><Relationship Id="rId1" Type="http://schemas.openxmlformats.org/officeDocument/2006/relationships/printerSettings" Target="../printerSettings/printerSettings71.bin"/></Relationships>
</file>

<file path=xl/worksheets/_rels/sheet7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2.xml"/><Relationship Id="rId1" Type="http://schemas.openxmlformats.org/officeDocument/2006/relationships/printerSettings" Target="../printerSettings/printerSettings72.bin"/></Relationships>
</file>

<file path=xl/worksheets/_rels/sheet7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3.xml"/><Relationship Id="rId1" Type="http://schemas.openxmlformats.org/officeDocument/2006/relationships/printerSettings" Target="../printerSettings/printerSettings73.bin"/></Relationships>
</file>

<file path=xl/worksheets/_rels/sheet7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4.xml"/><Relationship Id="rId1" Type="http://schemas.openxmlformats.org/officeDocument/2006/relationships/printerSettings" Target="../printerSettings/printerSettings74.bin"/></Relationships>
</file>

<file path=xl/worksheets/_rels/sheet7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5.xml"/><Relationship Id="rId1" Type="http://schemas.openxmlformats.org/officeDocument/2006/relationships/printerSettings" Target="../printerSettings/printerSettings75.bin"/></Relationships>
</file>

<file path=xl/worksheets/_rels/sheet7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6.xml"/><Relationship Id="rId1" Type="http://schemas.openxmlformats.org/officeDocument/2006/relationships/printerSettings" Target="../printerSettings/printerSettings76.bin"/></Relationships>
</file>

<file path=xl/worksheets/_rels/sheet7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7.xml"/><Relationship Id="rId1" Type="http://schemas.openxmlformats.org/officeDocument/2006/relationships/printerSettings" Target="../printerSettings/printerSettings77.bin"/></Relationships>
</file>

<file path=xl/worksheets/_rels/sheet7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8.xml"/><Relationship Id="rId1" Type="http://schemas.openxmlformats.org/officeDocument/2006/relationships/printerSettings" Target="../printerSettings/printerSettings78.bin"/></Relationships>
</file>

<file path=xl/worksheets/_rels/sheet8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9.xml"/><Relationship Id="rId1" Type="http://schemas.openxmlformats.org/officeDocument/2006/relationships/printerSettings" Target="../printerSettings/printerSettings79.bin"/></Relationships>
</file>

<file path=xl/worksheets/_rels/sheet8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0.xml"/><Relationship Id="rId1" Type="http://schemas.openxmlformats.org/officeDocument/2006/relationships/printerSettings" Target="../printerSettings/printerSettings80.bin"/></Relationships>
</file>

<file path=xl/worksheets/_rels/sheet8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1.xml"/><Relationship Id="rId1" Type="http://schemas.openxmlformats.org/officeDocument/2006/relationships/printerSettings" Target="../printerSettings/printerSettings81.bin"/></Relationships>
</file>

<file path=xl/worksheets/_rels/sheet8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2.xml"/><Relationship Id="rId1" Type="http://schemas.openxmlformats.org/officeDocument/2006/relationships/printerSettings" Target="../printerSettings/printerSettings82.bin"/></Relationships>
</file>

<file path=xl/worksheets/_rels/sheet8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3.xml"/><Relationship Id="rId1" Type="http://schemas.openxmlformats.org/officeDocument/2006/relationships/printerSettings" Target="../printerSettings/printerSettings83.bin"/></Relationships>
</file>

<file path=xl/worksheets/_rels/sheet8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4.xml"/><Relationship Id="rId1" Type="http://schemas.openxmlformats.org/officeDocument/2006/relationships/printerSettings" Target="../printerSettings/printerSettings84.bin"/></Relationships>
</file>

<file path=xl/worksheets/_rels/sheet8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5.xml"/><Relationship Id="rId1" Type="http://schemas.openxmlformats.org/officeDocument/2006/relationships/printerSettings" Target="../printerSettings/printerSettings85.bin"/></Relationships>
</file>

<file path=xl/worksheets/_rels/sheet8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6.xml"/><Relationship Id="rId1" Type="http://schemas.openxmlformats.org/officeDocument/2006/relationships/printerSettings" Target="../printerSettings/printerSettings86.bin"/></Relationships>
</file>

<file path=xl/worksheets/_rels/sheet8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7.xml"/><Relationship Id="rId1" Type="http://schemas.openxmlformats.org/officeDocument/2006/relationships/printerSettings" Target="../printerSettings/printerSettings87.bin"/></Relationships>
</file>

<file path=xl/worksheets/_rels/sheet8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8.xml"/><Relationship Id="rId1" Type="http://schemas.openxmlformats.org/officeDocument/2006/relationships/printerSettings" Target="../printerSettings/printerSettings88.bin"/></Relationships>
</file>

<file path=xl/worksheets/_rels/sheet9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9.xml"/><Relationship Id="rId1" Type="http://schemas.openxmlformats.org/officeDocument/2006/relationships/printerSettings" Target="../printerSettings/printerSettings89.bin"/></Relationships>
</file>

<file path=xl/worksheets/_rels/sheet9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0.xml"/><Relationship Id="rId1" Type="http://schemas.openxmlformats.org/officeDocument/2006/relationships/printerSettings" Target="../printerSettings/printerSettings90.bin"/></Relationships>
</file>

<file path=xl/worksheets/_rels/sheet9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1.xml"/><Relationship Id="rId1" Type="http://schemas.openxmlformats.org/officeDocument/2006/relationships/printerSettings" Target="../printerSettings/printerSettings91.bin"/></Relationships>
</file>

<file path=xl/worksheets/_rels/sheet9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2.xml"/><Relationship Id="rId1" Type="http://schemas.openxmlformats.org/officeDocument/2006/relationships/printerSettings" Target="../printerSettings/printerSettings92.bin"/></Relationships>
</file>

<file path=xl/worksheets/_rels/sheet9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3.xml"/><Relationship Id="rId1" Type="http://schemas.openxmlformats.org/officeDocument/2006/relationships/printerSettings" Target="../printerSettings/printerSettings93.bin"/></Relationships>
</file>

<file path=xl/worksheets/_rels/sheet9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4.xml"/><Relationship Id="rId1" Type="http://schemas.openxmlformats.org/officeDocument/2006/relationships/printerSettings" Target="../printerSettings/printerSettings94.bin"/></Relationships>
</file>

<file path=xl/worksheets/_rels/sheet9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5.xml"/><Relationship Id="rId1" Type="http://schemas.openxmlformats.org/officeDocument/2006/relationships/printerSettings" Target="../printerSettings/printerSettings95.bin"/></Relationships>
</file>

<file path=xl/worksheets/_rels/sheet9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6.xml"/><Relationship Id="rId1" Type="http://schemas.openxmlformats.org/officeDocument/2006/relationships/printerSettings" Target="../printerSettings/printerSettings96.bin"/></Relationships>
</file>

<file path=xl/worksheets/_rels/sheet9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7.xml"/><Relationship Id="rId1" Type="http://schemas.openxmlformats.org/officeDocument/2006/relationships/printerSettings" Target="../printerSettings/printerSettings97.bin"/></Relationships>
</file>

<file path=xl/worksheets/_rels/sheet9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8.xml"/><Relationship Id="rId1" Type="http://schemas.openxmlformats.org/officeDocument/2006/relationships/printerSettings" Target="../printerSettings/printerSettings98.bin"/></Relationships>
</file>

<file path=xl/worksheets/_rels/sheet10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9.xml"/><Relationship Id="rId1" Type="http://schemas.openxmlformats.org/officeDocument/2006/relationships/printerSettings" Target="../printerSettings/printerSettings99.bin"/></Relationships>
</file>

<file path=xl/worksheets/_rels/sheet10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0.xml"/><Relationship Id="rId1" Type="http://schemas.openxmlformats.org/officeDocument/2006/relationships/printerSettings" Target="../printerSettings/printerSettings100.bin"/></Relationships>
</file>

<file path=xl/worksheets/_rels/sheet10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1.xml"/><Relationship Id="rId1" Type="http://schemas.openxmlformats.org/officeDocument/2006/relationships/printerSettings" Target="../printerSettings/printerSettings101.bin"/></Relationships>
</file>

<file path=xl/worksheets/_rels/sheet10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2.xml"/><Relationship Id="rId1" Type="http://schemas.openxmlformats.org/officeDocument/2006/relationships/printerSettings" Target="../printerSettings/printerSettings10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4E2826-7E98-4473-9814-1B8909A373CC}">
  <dimension ref="A1"/>
  <sheetViews>
    <sheetView workbookViewId="0">
      <selection activeCell="I4" sqref="I4:J5"/>
    </sheetView>
  </sheetViews>
  <sheetFormatPr defaultRowHeight="15" x14ac:dyDescent="0.25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9CC33A-3394-4189-86DC-5D3AEFBB4E4D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01" t="s">
        <v>1</v>
      </c>
      <c r="O1" s="201"/>
      <c r="P1" s="90" t="s">
        <v>2</v>
      </c>
      <c r="Q1" s="90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52" t="s">
        <v>7</v>
      </c>
      <c r="B4" s="153"/>
      <c r="C4" s="153"/>
      <c r="D4" s="154"/>
      <c r="F4" s="202" t="s">
        <v>8</v>
      </c>
      <c r="G4" s="204"/>
      <c r="H4" s="206" t="s">
        <v>9</v>
      </c>
      <c r="I4" s="208"/>
      <c r="J4" s="20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46" t="s">
        <v>7</v>
      </c>
      <c r="B5" s="15" t="s">
        <v>11</v>
      </c>
      <c r="C5" s="9" t="s">
        <v>12</v>
      </c>
      <c r="D5" s="25" t="s">
        <v>13</v>
      </c>
      <c r="F5" s="203"/>
      <c r="G5" s="205"/>
      <c r="H5" s="207"/>
      <c r="I5" s="210"/>
      <c r="J5" s="21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47"/>
      <c r="B6" s="16"/>
      <c r="C6" s="10"/>
      <c r="D6" s="13">
        <f t="shared" ref="D6:D28" si="1">C6*L6</f>
        <v>0</v>
      </c>
      <c r="F6" s="212" t="s">
        <v>16</v>
      </c>
      <c r="G6" s="214"/>
      <c r="H6" s="215"/>
      <c r="I6" s="215"/>
      <c r="J6" s="216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47"/>
      <c r="B7" s="16"/>
      <c r="C7" s="10"/>
      <c r="D7" s="13">
        <f t="shared" si="1"/>
        <v>0</v>
      </c>
      <c r="F7" s="213"/>
      <c r="G7" s="217"/>
      <c r="H7" s="218"/>
      <c r="I7" s="218"/>
      <c r="J7" s="219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47"/>
      <c r="B8" s="16"/>
      <c r="C8" s="10"/>
      <c r="D8" s="13">
        <f t="shared" si="1"/>
        <v>0</v>
      </c>
      <c r="F8" s="220" t="s">
        <v>21</v>
      </c>
      <c r="G8" s="221"/>
      <c r="H8" s="222"/>
      <c r="I8" s="222"/>
      <c r="J8" s="223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47"/>
      <c r="B9" s="16"/>
      <c r="C9" s="10"/>
      <c r="D9" s="13">
        <f t="shared" si="1"/>
        <v>0</v>
      </c>
      <c r="F9" s="213"/>
      <c r="G9" s="224"/>
      <c r="H9" s="225"/>
      <c r="I9" s="225"/>
      <c r="J9" s="226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47"/>
      <c r="C10" s="10"/>
      <c r="D10" s="13">
        <f t="shared" si="1"/>
        <v>0</v>
      </c>
      <c r="F10" s="212" t="s">
        <v>26</v>
      </c>
      <c r="G10" s="227"/>
      <c r="H10" s="228"/>
      <c r="I10" s="228"/>
      <c r="J10" s="229"/>
      <c r="K10" s="8"/>
      <c r="L10" s="6">
        <f>R36</f>
        <v>972</v>
      </c>
      <c r="P10" s="4"/>
      <c r="Q10" s="4"/>
      <c r="R10" s="5"/>
    </row>
    <row r="11" spans="1:19" ht="15.75" x14ac:dyDescent="0.25">
      <c r="A11" s="147"/>
      <c r="B11" s="17"/>
      <c r="C11" s="10"/>
      <c r="D11" s="13">
        <f t="shared" si="1"/>
        <v>0</v>
      </c>
      <c r="F11" s="213"/>
      <c r="G11" s="224"/>
      <c r="H11" s="225"/>
      <c r="I11" s="225"/>
      <c r="J11" s="226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47"/>
      <c r="B12" s="17"/>
      <c r="C12" s="10"/>
      <c r="D12" s="48">
        <f t="shared" si="1"/>
        <v>0</v>
      </c>
      <c r="F12" s="230" t="s">
        <v>33</v>
      </c>
      <c r="G12" s="231"/>
      <c r="H12" s="231"/>
      <c r="I12" s="231"/>
      <c r="J12" s="232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47"/>
      <c r="B13" s="17"/>
      <c r="C13" s="10"/>
      <c r="D13" s="48">
        <f t="shared" si="1"/>
        <v>0</v>
      </c>
      <c r="F13" s="233" t="s">
        <v>36</v>
      </c>
      <c r="G13" s="197"/>
      <c r="H13" s="188">
        <f>D29</f>
        <v>0</v>
      </c>
      <c r="I13" s="189"/>
      <c r="J13" s="19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47"/>
      <c r="B14" s="14"/>
      <c r="C14" s="10"/>
      <c r="D14" s="31">
        <f t="shared" si="1"/>
        <v>0</v>
      </c>
      <c r="F14" s="191" t="s">
        <v>38</v>
      </c>
      <c r="G14" s="192"/>
      <c r="H14" s="193">
        <f>D54</f>
        <v>0</v>
      </c>
      <c r="I14" s="194"/>
      <c r="J14" s="19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47"/>
      <c r="B15" s="14"/>
      <c r="C15" s="10"/>
      <c r="D15" s="31">
        <f t="shared" si="1"/>
        <v>0</v>
      </c>
      <c r="F15" s="196" t="s">
        <v>39</v>
      </c>
      <c r="G15" s="197"/>
      <c r="H15" s="198">
        <f>H13-H14</f>
        <v>0</v>
      </c>
      <c r="I15" s="199"/>
      <c r="J15" s="200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47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58"/>
      <c r="I16" s="158"/>
      <c r="J16" s="158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7"/>
      <c r="C17" s="10"/>
      <c r="D17" s="48">
        <f t="shared" si="1"/>
        <v>0</v>
      </c>
      <c r="F17" s="56"/>
      <c r="G17" s="66" t="s">
        <v>44</v>
      </c>
      <c r="H17" s="169"/>
      <c r="I17" s="169"/>
      <c r="J17" s="169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7"/>
      <c r="B18" s="19"/>
      <c r="C18" s="10"/>
      <c r="D18" s="48">
        <f t="shared" si="1"/>
        <v>0</v>
      </c>
      <c r="F18" s="56"/>
      <c r="G18" s="66" t="s">
        <v>46</v>
      </c>
      <c r="H18" s="169"/>
      <c r="I18" s="169"/>
      <c r="J18" s="16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7"/>
      <c r="B19" s="14"/>
      <c r="C19" s="10"/>
      <c r="D19" s="48">
        <f t="shared" si="1"/>
        <v>0</v>
      </c>
      <c r="F19" s="56"/>
      <c r="G19" s="68" t="s">
        <v>49</v>
      </c>
      <c r="H19" s="170"/>
      <c r="I19" s="170"/>
      <c r="J19" s="170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7"/>
      <c r="B20" s="46"/>
      <c r="C20" s="10"/>
      <c r="D20" s="13">
        <f t="shared" si="1"/>
        <v>0</v>
      </c>
      <c r="F20" s="57"/>
      <c r="G20" s="70" t="s">
        <v>102</v>
      </c>
      <c r="H20" s="158"/>
      <c r="I20" s="158"/>
      <c r="J20" s="158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7"/>
      <c r="B21" s="14"/>
      <c r="C21" s="10"/>
      <c r="D21" s="48">
        <f t="shared" si="1"/>
        <v>0</v>
      </c>
      <c r="F21" s="69" t="s">
        <v>94</v>
      </c>
      <c r="G21" s="82" t="s">
        <v>93</v>
      </c>
      <c r="H21" s="171" t="s">
        <v>13</v>
      </c>
      <c r="I21" s="172"/>
      <c r="J21" s="173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7"/>
      <c r="B22" s="46"/>
      <c r="C22" s="10"/>
      <c r="D22" s="48">
        <f t="shared" si="1"/>
        <v>0</v>
      </c>
      <c r="F22" s="77"/>
      <c r="G22" s="73"/>
      <c r="H22" s="174"/>
      <c r="I22" s="174"/>
      <c r="J22" s="174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7"/>
      <c r="B23" s="14"/>
      <c r="C23" s="10"/>
      <c r="D23" s="48">
        <f t="shared" si="1"/>
        <v>0</v>
      </c>
      <c r="F23" s="78"/>
      <c r="G23" s="79"/>
      <c r="H23" s="175"/>
      <c r="I23" s="144"/>
      <c r="J23" s="144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7"/>
      <c r="B24" s="14"/>
      <c r="C24" s="10"/>
      <c r="D24" s="48">
        <f t="shared" si="1"/>
        <v>0</v>
      </c>
      <c r="F24" s="38"/>
      <c r="G24" s="37"/>
      <c r="H24" s="175"/>
      <c r="I24" s="144"/>
      <c r="J24" s="144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7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176" t="s">
        <v>13</v>
      </c>
      <c r="I25" s="177"/>
      <c r="J25" s="178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7"/>
      <c r="B26" s="14"/>
      <c r="C26" s="10"/>
      <c r="D26" s="48">
        <f t="shared" si="1"/>
        <v>0</v>
      </c>
      <c r="F26" s="64"/>
      <c r="G26" s="59"/>
      <c r="H26" s="179"/>
      <c r="I26" s="180"/>
      <c r="J26" s="181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7"/>
      <c r="B27" s="14"/>
      <c r="C27" s="10"/>
      <c r="D27" s="44">
        <f t="shared" si="1"/>
        <v>0</v>
      </c>
      <c r="F27" s="25"/>
      <c r="G27" s="80"/>
      <c r="H27" s="182"/>
      <c r="I27" s="183"/>
      <c r="J27" s="184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8"/>
      <c r="B28" s="46"/>
      <c r="C28" s="10"/>
      <c r="D28" s="48">
        <f t="shared" si="1"/>
        <v>0</v>
      </c>
      <c r="F28" s="91"/>
      <c r="G28" s="61"/>
      <c r="H28" s="185"/>
      <c r="I28" s="186"/>
      <c r="J28" s="187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9" t="s">
        <v>36</v>
      </c>
      <c r="B29" s="160"/>
      <c r="C29" s="161"/>
      <c r="D29" s="165">
        <f>SUM(D6:D28)</f>
        <v>0</v>
      </c>
      <c r="F29" s="105" t="s">
        <v>54</v>
      </c>
      <c r="G29" s="167"/>
      <c r="H29" s="127">
        <f>H15-H16-H17-H18-H19-H20-H22-H23-H24+H26+H27</f>
        <v>0</v>
      </c>
      <c r="I29" s="128"/>
      <c r="J29" s="129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08"/>
      <c r="G30" s="168"/>
      <c r="H30" s="130"/>
      <c r="I30" s="131"/>
      <c r="J30" s="132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52" t="s">
        <v>57</v>
      </c>
      <c r="B32" s="153"/>
      <c r="C32" s="153"/>
      <c r="D32" s="154"/>
      <c r="F32" s="155" t="s">
        <v>58</v>
      </c>
      <c r="G32" s="156"/>
      <c r="H32" s="156"/>
      <c r="I32" s="156"/>
      <c r="J32" s="157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2" t="s">
        <v>62</v>
      </c>
      <c r="H33" s="155" t="s">
        <v>13</v>
      </c>
      <c r="I33" s="156"/>
      <c r="J33" s="157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6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149"/>
      <c r="I34" s="150"/>
      <c r="J34" s="151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7"/>
      <c r="B35" s="27" t="s">
        <v>67</v>
      </c>
      <c r="C35" s="52"/>
      <c r="D35" s="30">
        <f>C35*84</f>
        <v>0</v>
      </c>
      <c r="F35" s="58">
        <v>500</v>
      </c>
      <c r="G35" s="41"/>
      <c r="H35" s="149"/>
      <c r="I35" s="150"/>
      <c r="J35" s="15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8"/>
      <c r="B36" s="26" t="s">
        <v>69</v>
      </c>
      <c r="C36" s="10"/>
      <c r="D36" s="12">
        <f>C36*1.5</f>
        <v>0</v>
      </c>
      <c r="F36" s="12">
        <v>200</v>
      </c>
      <c r="G36" s="37"/>
      <c r="H36" s="149"/>
      <c r="I36" s="150"/>
      <c r="J36" s="151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6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49"/>
      <c r="I37" s="150"/>
      <c r="J37" s="151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7"/>
      <c r="B38" s="29" t="s">
        <v>67</v>
      </c>
      <c r="C38" s="54"/>
      <c r="D38" s="12">
        <f>C38*84</f>
        <v>0</v>
      </c>
      <c r="F38" s="30">
        <v>50</v>
      </c>
      <c r="G38" s="39"/>
      <c r="H38" s="149"/>
      <c r="I38" s="150"/>
      <c r="J38" s="151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8"/>
      <c r="B39" s="29" t="s">
        <v>69</v>
      </c>
      <c r="C39" s="52"/>
      <c r="D39" s="31">
        <f>C39*4.5</f>
        <v>0</v>
      </c>
      <c r="F39" s="12">
        <v>20</v>
      </c>
      <c r="G39" s="37"/>
      <c r="H39" s="149"/>
      <c r="I39" s="150"/>
      <c r="J39" s="15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6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49"/>
      <c r="I40" s="150"/>
      <c r="J40" s="151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7"/>
      <c r="B41" s="27" t="s">
        <v>67</v>
      </c>
      <c r="C41" s="10"/>
      <c r="D41" s="12">
        <f>C41*84</f>
        <v>0</v>
      </c>
      <c r="F41" s="12">
        <v>5</v>
      </c>
      <c r="G41" s="42"/>
      <c r="H41" s="149"/>
      <c r="I41" s="150"/>
      <c r="J41" s="151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8"/>
      <c r="B42" s="27" t="s">
        <v>69</v>
      </c>
      <c r="C42" s="11"/>
      <c r="D42" s="12">
        <f>C42*2.25</f>
        <v>0</v>
      </c>
      <c r="F42" s="39" t="s">
        <v>78</v>
      </c>
      <c r="G42" s="149"/>
      <c r="H42" s="150"/>
      <c r="I42" s="150"/>
      <c r="J42" s="151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19" t="s">
        <v>80</v>
      </c>
      <c r="C43" s="11"/>
      <c r="D43" s="12"/>
      <c r="F43" s="59" t="s">
        <v>81</v>
      </c>
      <c r="G43" s="88" t="s">
        <v>82</v>
      </c>
      <c r="H43" s="141" t="s">
        <v>13</v>
      </c>
      <c r="I43" s="142"/>
      <c r="J43" s="143"/>
      <c r="K43" s="21"/>
      <c r="P43" s="4"/>
      <c r="Q43" s="4"/>
      <c r="R43" s="5"/>
    </row>
    <row r="44" spans="1:18" ht="15.75" x14ac:dyDescent="0.25">
      <c r="A44" s="120"/>
      <c r="B44" s="27" t="s">
        <v>65</v>
      </c>
      <c r="C44" s="10"/>
      <c r="D44" s="12">
        <f>C44*120</f>
        <v>0</v>
      </c>
      <c r="F44" s="37"/>
      <c r="G44" s="76"/>
      <c r="H44" s="144"/>
      <c r="I44" s="144"/>
      <c r="J44" s="144"/>
      <c r="K44" s="21"/>
      <c r="P44" s="4"/>
      <c r="Q44" s="4"/>
      <c r="R44" s="5"/>
    </row>
    <row r="45" spans="1:18" ht="15.75" x14ac:dyDescent="0.25">
      <c r="A45" s="120"/>
      <c r="B45" s="27" t="s">
        <v>67</v>
      </c>
      <c r="C45" s="33"/>
      <c r="D45" s="12">
        <f>C45*84</f>
        <v>0</v>
      </c>
      <c r="F45" s="37"/>
      <c r="G45" s="76"/>
      <c r="H45" s="144"/>
      <c r="I45" s="144"/>
      <c r="J45" s="144"/>
      <c r="K45" s="21"/>
      <c r="P45" s="4"/>
      <c r="Q45" s="4"/>
      <c r="R45" s="5"/>
    </row>
    <row r="46" spans="1:18" ht="15.75" x14ac:dyDescent="0.25">
      <c r="A46" s="120"/>
      <c r="B46" s="49" t="s">
        <v>69</v>
      </c>
      <c r="C46" s="81"/>
      <c r="D46" s="12">
        <f>C46*1.5</f>
        <v>0</v>
      </c>
      <c r="F46" s="37"/>
      <c r="G46" s="62"/>
      <c r="H46" s="145"/>
      <c r="I46" s="145"/>
      <c r="J46" s="145"/>
      <c r="K46" s="21"/>
      <c r="P46" s="4"/>
      <c r="Q46" s="4"/>
      <c r="R46" s="5"/>
    </row>
    <row r="47" spans="1:18" ht="15.75" x14ac:dyDescent="0.25">
      <c r="A47" s="121"/>
      <c r="B47" s="27"/>
      <c r="C47" s="11"/>
      <c r="D47" s="12"/>
      <c r="F47" s="59"/>
      <c r="G47" s="59"/>
      <c r="H47" s="122"/>
      <c r="I47" s="123"/>
      <c r="J47" s="124"/>
      <c r="K47" s="21"/>
      <c r="P47" s="4"/>
      <c r="Q47" s="4"/>
      <c r="R47" s="5"/>
    </row>
    <row r="48" spans="1:18" ht="15" customHeight="1" x14ac:dyDescent="0.25">
      <c r="A48" s="119" t="s">
        <v>32</v>
      </c>
      <c r="B48" s="27" t="s">
        <v>65</v>
      </c>
      <c r="C48" s="10"/>
      <c r="D48" s="12">
        <f>C48*78</f>
        <v>0</v>
      </c>
      <c r="F48" s="59"/>
      <c r="G48" s="59"/>
      <c r="H48" s="122"/>
      <c r="I48" s="123"/>
      <c r="J48" s="124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20"/>
      <c r="B49" s="29" t="s">
        <v>67</v>
      </c>
      <c r="C49" s="33"/>
      <c r="D49" s="12">
        <f>C49*42</f>
        <v>0</v>
      </c>
      <c r="F49" s="125" t="s">
        <v>85</v>
      </c>
      <c r="G49" s="127">
        <f>H34+H35+H36+H37+H38+H39+H40+H41+G42+H44+H45+H46</f>
        <v>0</v>
      </c>
      <c r="H49" s="128"/>
      <c r="I49" s="128"/>
      <c r="J49" s="129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0"/>
      <c r="B50" s="32" t="s">
        <v>69</v>
      </c>
      <c r="C50" s="11"/>
      <c r="D50" s="12">
        <f>C50*1.5</f>
        <v>0</v>
      </c>
      <c r="F50" s="126"/>
      <c r="G50" s="130"/>
      <c r="H50" s="131"/>
      <c r="I50" s="131"/>
      <c r="J50" s="132"/>
      <c r="P50" s="4"/>
      <c r="Q50" s="4"/>
      <c r="R50" s="5"/>
    </row>
    <row r="51" spans="1:18" ht="15" customHeight="1" x14ac:dyDescent="0.25">
      <c r="A51" s="120"/>
      <c r="B51" s="27"/>
      <c r="C51" s="10"/>
      <c r="D51" s="31"/>
      <c r="F51" s="133" t="s">
        <v>106</v>
      </c>
      <c r="G51" s="135">
        <f>G49-H29</f>
        <v>0</v>
      </c>
      <c r="H51" s="136"/>
      <c r="I51" s="136"/>
      <c r="J51" s="137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0"/>
      <c r="B52" s="29"/>
      <c r="C52" s="33"/>
      <c r="D52" s="45"/>
      <c r="F52" s="134"/>
      <c r="G52" s="138"/>
      <c r="H52" s="139"/>
      <c r="I52" s="139"/>
      <c r="J52" s="140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1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05" t="s">
        <v>89</v>
      </c>
      <c r="B54" s="106"/>
      <c r="C54" s="107"/>
      <c r="D54" s="111">
        <f>SUM(D34:D53)</f>
        <v>0</v>
      </c>
      <c r="F54" s="21"/>
      <c r="J54" s="34"/>
    </row>
    <row r="55" spans="1:18" x14ac:dyDescent="0.25">
      <c r="A55" s="108"/>
      <c r="B55" s="109"/>
      <c r="C55" s="110"/>
      <c r="D55" s="11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13" t="s">
        <v>90</v>
      </c>
      <c r="B58" s="114"/>
      <c r="C58" s="114"/>
      <c r="D58" s="115"/>
      <c r="F58" s="113" t="s">
        <v>91</v>
      </c>
      <c r="G58" s="114"/>
      <c r="H58" s="114"/>
      <c r="I58" s="114"/>
      <c r="J58" s="115"/>
    </row>
    <row r="59" spans="1:18" x14ac:dyDescent="0.25">
      <c r="A59" s="116"/>
      <c r="B59" s="117"/>
      <c r="C59" s="117"/>
      <c r="D59" s="118"/>
      <c r="F59" s="116"/>
      <c r="G59" s="117"/>
      <c r="H59" s="117"/>
      <c r="I59" s="117"/>
      <c r="J59" s="118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93C395-3269-4908-B3E7-2B57213355C0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1" t="s">
        <v>1</v>
      </c>
      <c r="O1" s="201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2" t="s">
        <v>7</v>
      </c>
      <c r="B4" s="153"/>
      <c r="C4" s="153"/>
      <c r="D4" s="154"/>
      <c r="F4" s="202" t="s">
        <v>8</v>
      </c>
      <c r="G4" s="204">
        <v>1</v>
      </c>
      <c r="H4" s="206" t="s">
        <v>9</v>
      </c>
      <c r="I4" s="208">
        <v>46143</v>
      </c>
      <c r="J4" s="20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6" t="s">
        <v>7</v>
      </c>
      <c r="B5" s="15" t="s">
        <v>11</v>
      </c>
      <c r="C5" s="9" t="s">
        <v>12</v>
      </c>
      <c r="D5" s="25" t="s">
        <v>13</v>
      </c>
      <c r="F5" s="203"/>
      <c r="G5" s="205"/>
      <c r="H5" s="207"/>
      <c r="I5" s="210"/>
      <c r="J5" s="21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7"/>
      <c r="B6" s="16" t="s">
        <v>15</v>
      </c>
      <c r="C6" s="10">
        <v>704</v>
      </c>
      <c r="D6" s="13">
        <f t="shared" ref="D6:D28" si="1">C6*L6</f>
        <v>535744</v>
      </c>
      <c r="F6" s="212" t="s">
        <v>16</v>
      </c>
      <c r="G6" s="214" t="s">
        <v>99</v>
      </c>
      <c r="H6" s="215"/>
      <c r="I6" s="215"/>
      <c r="J6" s="21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7"/>
      <c r="B7" s="16" t="s">
        <v>18</v>
      </c>
      <c r="C7" s="10"/>
      <c r="D7" s="13">
        <f t="shared" si="1"/>
        <v>0</v>
      </c>
      <c r="F7" s="213"/>
      <c r="G7" s="217"/>
      <c r="H7" s="218"/>
      <c r="I7" s="218"/>
      <c r="J7" s="21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7"/>
      <c r="B8" s="16" t="s">
        <v>20</v>
      </c>
      <c r="C8" s="10"/>
      <c r="D8" s="13">
        <f t="shared" si="1"/>
        <v>0</v>
      </c>
      <c r="F8" s="220" t="s">
        <v>21</v>
      </c>
      <c r="G8" s="221" t="s">
        <v>120</v>
      </c>
      <c r="H8" s="222"/>
      <c r="I8" s="222"/>
      <c r="J8" s="22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7"/>
      <c r="B9" s="16" t="s">
        <v>23</v>
      </c>
      <c r="C9" s="10">
        <v>3</v>
      </c>
      <c r="D9" s="13">
        <f t="shared" si="1"/>
        <v>2199</v>
      </c>
      <c r="F9" s="213"/>
      <c r="G9" s="224"/>
      <c r="H9" s="225"/>
      <c r="I9" s="225"/>
      <c r="J9" s="22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7"/>
      <c r="B10" t="s">
        <v>25</v>
      </c>
      <c r="C10" s="10"/>
      <c r="D10" s="13">
        <f t="shared" si="1"/>
        <v>0</v>
      </c>
      <c r="F10" s="212" t="s">
        <v>26</v>
      </c>
      <c r="G10" s="227" t="s">
        <v>108</v>
      </c>
      <c r="H10" s="228"/>
      <c r="I10" s="228"/>
      <c r="J10" s="229"/>
      <c r="K10" s="8"/>
      <c r="L10" s="6">
        <f>R36</f>
        <v>1032</v>
      </c>
      <c r="P10" s="4"/>
      <c r="Q10" s="4"/>
      <c r="R10" s="5"/>
    </row>
    <row r="11" spans="1:18" ht="15.75" x14ac:dyDescent="0.25">
      <c r="A11" s="147"/>
      <c r="B11" s="17" t="s">
        <v>28</v>
      </c>
      <c r="C11" s="10"/>
      <c r="D11" s="13">
        <f t="shared" si="1"/>
        <v>0</v>
      </c>
      <c r="F11" s="213"/>
      <c r="G11" s="224"/>
      <c r="H11" s="225"/>
      <c r="I11" s="225"/>
      <c r="J11" s="22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7"/>
      <c r="B12" s="17" t="s">
        <v>30</v>
      </c>
      <c r="C12" s="10"/>
      <c r="D12" s="48">
        <f t="shared" si="1"/>
        <v>0</v>
      </c>
      <c r="F12" s="230" t="s">
        <v>33</v>
      </c>
      <c r="G12" s="231"/>
      <c r="H12" s="231"/>
      <c r="I12" s="231"/>
      <c r="J12" s="23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7"/>
      <c r="B13" s="17" t="s">
        <v>32</v>
      </c>
      <c r="C13" s="10">
        <v>25</v>
      </c>
      <c r="D13" s="48">
        <f t="shared" si="1"/>
        <v>7675</v>
      </c>
      <c r="F13" s="233" t="s">
        <v>36</v>
      </c>
      <c r="G13" s="197"/>
      <c r="H13" s="188">
        <f>D29</f>
        <v>545651</v>
      </c>
      <c r="I13" s="189"/>
      <c r="J13" s="19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7"/>
      <c r="B14" s="14" t="s">
        <v>35</v>
      </c>
      <c r="C14" s="10">
        <v>3</v>
      </c>
      <c r="D14" s="31">
        <f t="shared" si="1"/>
        <v>33</v>
      </c>
      <c r="F14" s="191" t="s">
        <v>38</v>
      </c>
      <c r="G14" s="192"/>
      <c r="H14" s="193">
        <f>D54</f>
        <v>100678.5</v>
      </c>
      <c r="I14" s="194"/>
      <c r="J14" s="19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7"/>
      <c r="B15" s="14" t="s">
        <v>122</v>
      </c>
      <c r="C15" s="10"/>
      <c r="D15" s="31">
        <f t="shared" si="1"/>
        <v>0</v>
      </c>
      <c r="F15" s="196" t="s">
        <v>39</v>
      </c>
      <c r="G15" s="197"/>
      <c r="H15" s="198">
        <f>H13-H14</f>
        <v>444972.5</v>
      </c>
      <c r="I15" s="199"/>
      <c r="J15" s="200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7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58">
        <v>3240</v>
      </c>
      <c r="I16" s="158"/>
      <c r="J16" s="158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7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69"/>
      <c r="I17" s="169"/>
      <c r="J17" s="169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7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69"/>
      <c r="I18" s="169"/>
      <c r="J18" s="169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7"/>
      <c r="B19" s="83" t="s">
        <v>105</v>
      </c>
      <c r="C19" s="10"/>
      <c r="D19" s="48">
        <f t="shared" si="1"/>
        <v>0</v>
      </c>
      <c r="F19" s="56"/>
      <c r="G19" s="68" t="s">
        <v>49</v>
      </c>
      <c r="H19" s="158"/>
      <c r="I19" s="158"/>
      <c r="J19" s="158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7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58"/>
      <c r="I20" s="158"/>
      <c r="J20" s="158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7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71" t="s">
        <v>13</v>
      </c>
      <c r="I21" s="172"/>
      <c r="J21" s="173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7"/>
      <c r="B22" s="46" t="s">
        <v>103</v>
      </c>
      <c r="C22" s="10"/>
      <c r="D22" s="48">
        <f t="shared" si="1"/>
        <v>0</v>
      </c>
      <c r="F22" s="77"/>
      <c r="G22" s="73"/>
      <c r="H22" s="174"/>
      <c r="I22" s="174"/>
      <c r="J22" s="174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7"/>
      <c r="B23" s="14" t="s">
        <v>121</v>
      </c>
      <c r="C23" s="10"/>
      <c r="D23" s="48">
        <f t="shared" si="1"/>
        <v>0</v>
      </c>
      <c r="F23" s="77"/>
      <c r="G23" s="79"/>
      <c r="H23" s="242"/>
      <c r="I23" s="243"/>
      <c r="J23" s="243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7"/>
      <c r="B24" s="14" t="s">
        <v>128</v>
      </c>
      <c r="C24" s="10"/>
      <c r="D24" s="48">
        <f t="shared" si="1"/>
        <v>0</v>
      </c>
      <c r="F24" s="77"/>
      <c r="G24" s="79"/>
      <c r="H24" s="242"/>
      <c r="I24" s="243"/>
      <c r="J24" s="243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7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76" t="s">
        <v>13</v>
      </c>
      <c r="I25" s="177"/>
      <c r="J25" s="178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7"/>
      <c r="B26" s="14" t="s">
        <v>129</v>
      </c>
      <c r="C26" s="10"/>
      <c r="D26" s="48">
        <f t="shared" si="1"/>
        <v>0</v>
      </c>
      <c r="F26" s="75"/>
      <c r="G26" s="65"/>
      <c r="H26" s="144"/>
      <c r="I26" s="144"/>
      <c r="J26" s="144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7"/>
      <c r="B27" s="14" t="s">
        <v>130</v>
      </c>
      <c r="C27" s="10"/>
      <c r="D27" s="44">
        <f t="shared" si="1"/>
        <v>0</v>
      </c>
      <c r="F27" s="71"/>
      <c r="G27" s="88"/>
      <c r="H27" s="244"/>
      <c r="I27" s="245"/>
      <c r="J27" s="245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8"/>
      <c r="B28" s="46" t="s">
        <v>92</v>
      </c>
      <c r="C28" s="10"/>
      <c r="D28" s="48">
        <f t="shared" si="1"/>
        <v>0</v>
      </c>
      <c r="F28" s="91"/>
      <c r="G28" s="61"/>
      <c r="H28" s="185"/>
      <c r="I28" s="186"/>
      <c r="J28" s="187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9" t="s">
        <v>36</v>
      </c>
      <c r="B29" s="160"/>
      <c r="C29" s="161"/>
      <c r="D29" s="165">
        <f>SUM(D6:D28)</f>
        <v>545651</v>
      </c>
      <c r="F29" s="105" t="s">
        <v>54</v>
      </c>
      <c r="G29" s="167"/>
      <c r="H29" s="127">
        <f>H15-H16-H17-H18-H19-H20-H22-H23-H24+H26+H27+H28</f>
        <v>441732.5</v>
      </c>
      <c r="I29" s="128"/>
      <c r="J29" s="129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08"/>
      <c r="G30" s="168"/>
      <c r="H30" s="130"/>
      <c r="I30" s="131"/>
      <c r="J30" s="132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2" t="s">
        <v>57</v>
      </c>
      <c r="B32" s="153"/>
      <c r="C32" s="153"/>
      <c r="D32" s="154"/>
      <c r="F32" s="155" t="s">
        <v>58</v>
      </c>
      <c r="G32" s="156"/>
      <c r="H32" s="156"/>
      <c r="I32" s="156"/>
      <c r="J32" s="157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2" t="s">
        <v>62</v>
      </c>
      <c r="H33" s="155" t="s">
        <v>13</v>
      </c>
      <c r="I33" s="156"/>
      <c r="J33" s="157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6" t="s">
        <v>64</v>
      </c>
      <c r="B34" s="26" t="s">
        <v>65</v>
      </c>
      <c r="C34" s="51"/>
      <c r="D34" s="30">
        <f>C34*120</f>
        <v>0</v>
      </c>
      <c r="F34" s="12">
        <v>1000</v>
      </c>
      <c r="G34" s="40">
        <v>315</v>
      </c>
      <c r="H34" s="149">
        <f t="shared" ref="H34:H39" si="2">F34*G34</f>
        <v>315000</v>
      </c>
      <c r="I34" s="150"/>
      <c r="J34" s="151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7"/>
      <c r="B35" s="27" t="s">
        <v>67</v>
      </c>
      <c r="C35" s="52"/>
      <c r="D35" s="30">
        <f>C35*84</f>
        <v>0</v>
      </c>
      <c r="F35" s="58">
        <v>500</v>
      </c>
      <c r="G35" s="41">
        <v>252</v>
      </c>
      <c r="H35" s="149">
        <f t="shared" si="2"/>
        <v>126000</v>
      </c>
      <c r="I35" s="150"/>
      <c r="J35" s="15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8"/>
      <c r="B36" s="26" t="s">
        <v>69</v>
      </c>
      <c r="C36" s="10"/>
      <c r="D36" s="12">
        <f>C36*1.5</f>
        <v>0</v>
      </c>
      <c r="F36" s="12">
        <v>200</v>
      </c>
      <c r="G36" s="37"/>
      <c r="H36" s="149">
        <f t="shared" si="2"/>
        <v>0</v>
      </c>
      <c r="I36" s="150"/>
      <c r="J36" s="151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6" t="s">
        <v>71</v>
      </c>
      <c r="B37" s="28" t="s">
        <v>65</v>
      </c>
      <c r="C37" s="53">
        <v>890</v>
      </c>
      <c r="D37" s="12">
        <f>C37*111</f>
        <v>98790</v>
      </c>
      <c r="F37" s="12">
        <v>100</v>
      </c>
      <c r="G37" s="39">
        <v>5</v>
      </c>
      <c r="H37" s="149">
        <f t="shared" si="2"/>
        <v>500</v>
      </c>
      <c r="I37" s="150"/>
      <c r="J37" s="151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7"/>
      <c r="B38" s="29" t="s">
        <v>67</v>
      </c>
      <c r="C38" s="54">
        <v>1</v>
      </c>
      <c r="D38" s="12">
        <f>C38*84</f>
        <v>84</v>
      </c>
      <c r="F38" s="30">
        <v>50</v>
      </c>
      <c r="G38" s="39">
        <v>3</v>
      </c>
      <c r="H38" s="149">
        <f t="shared" si="2"/>
        <v>150</v>
      </c>
      <c r="I38" s="150"/>
      <c r="J38" s="151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8"/>
      <c r="B39" s="29" t="s">
        <v>69</v>
      </c>
      <c r="C39" s="52">
        <v>5</v>
      </c>
      <c r="D39" s="31">
        <f>C39*4.5</f>
        <v>22.5</v>
      </c>
      <c r="F39" s="12">
        <v>20</v>
      </c>
      <c r="G39" s="37">
        <v>1</v>
      </c>
      <c r="H39" s="149">
        <f t="shared" si="2"/>
        <v>20</v>
      </c>
      <c r="I39" s="150"/>
      <c r="J39" s="15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6" t="s">
        <v>75</v>
      </c>
      <c r="B40" s="27" t="s">
        <v>65</v>
      </c>
      <c r="C40" s="63">
        <v>1</v>
      </c>
      <c r="D40" s="12">
        <f>C40*111</f>
        <v>111</v>
      </c>
      <c r="F40" s="12">
        <v>10</v>
      </c>
      <c r="G40" s="42"/>
      <c r="H40" s="149"/>
      <c r="I40" s="150"/>
      <c r="J40" s="151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7"/>
      <c r="B41" s="27" t="s">
        <v>67</v>
      </c>
      <c r="C41" s="10"/>
      <c r="D41" s="12">
        <f>C41*84</f>
        <v>0</v>
      </c>
      <c r="F41" s="12">
        <v>5</v>
      </c>
      <c r="G41" s="42"/>
      <c r="H41" s="149"/>
      <c r="I41" s="150"/>
      <c r="J41" s="151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8"/>
      <c r="B42" s="27" t="s">
        <v>69</v>
      </c>
      <c r="C42" s="11"/>
      <c r="D42" s="12">
        <f>C42*2.25</f>
        <v>0</v>
      </c>
      <c r="F42" s="39" t="s">
        <v>78</v>
      </c>
      <c r="G42" s="149">
        <v>86</v>
      </c>
      <c r="H42" s="150"/>
      <c r="I42" s="150"/>
      <c r="J42" s="151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19" t="s">
        <v>80</v>
      </c>
      <c r="C43" s="11"/>
      <c r="D43" s="12"/>
      <c r="F43" s="59" t="s">
        <v>81</v>
      </c>
      <c r="G43" s="88" t="s">
        <v>82</v>
      </c>
      <c r="H43" s="141" t="s">
        <v>13</v>
      </c>
      <c r="I43" s="142"/>
      <c r="J43" s="143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20"/>
      <c r="B44" s="27" t="s">
        <v>65</v>
      </c>
      <c r="C44" s="10"/>
      <c r="D44" s="12">
        <f>C44*120</f>
        <v>0</v>
      </c>
      <c r="F44" s="37"/>
      <c r="G44" s="62"/>
      <c r="H44" s="144"/>
      <c r="I44" s="144"/>
      <c r="J44" s="144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20"/>
      <c r="B45" s="27" t="s">
        <v>67</v>
      </c>
      <c r="C45" s="33"/>
      <c r="D45" s="12">
        <f>C45*84</f>
        <v>0</v>
      </c>
      <c r="F45" s="37"/>
      <c r="G45" s="62"/>
      <c r="H45" s="144"/>
      <c r="I45" s="144"/>
      <c r="J45" s="144"/>
      <c r="K45" s="21"/>
      <c r="P45" s="4"/>
      <c r="Q45" s="4"/>
      <c r="R45" s="5"/>
    </row>
    <row r="46" spans="1:18" ht="15.75" x14ac:dyDescent="0.25">
      <c r="A46" s="120"/>
      <c r="B46" s="49" t="s">
        <v>69</v>
      </c>
      <c r="C46" s="81">
        <v>4</v>
      </c>
      <c r="D46" s="12">
        <f>C46*1.5</f>
        <v>6</v>
      </c>
      <c r="F46" s="37"/>
      <c r="G46" s="62"/>
      <c r="H46" s="144"/>
      <c r="I46" s="144"/>
      <c r="J46" s="144"/>
      <c r="K46" s="21"/>
      <c r="P46" s="4"/>
      <c r="Q46" s="4"/>
      <c r="R46" s="5"/>
    </row>
    <row r="47" spans="1:18" ht="15.75" x14ac:dyDescent="0.25">
      <c r="A47" s="121"/>
      <c r="B47" s="27"/>
      <c r="C47" s="11"/>
      <c r="D47" s="12"/>
      <c r="F47" s="59"/>
      <c r="G47" s="59"/>
      <c r="H47" s="122"/>
      <c r="I47" s="123"/>
      <c r="J47" s="124"/>
      <c r="K47" s="21"/>
      <c r="P47" s="4"/>
      <c r="Q47" s="4"/>
      <c r="R47" s="5"/>
    </row>
    <row r="48" spans="1:18" ht="15" customHeight="1" x14ac:dyDescent="0.25">
      <c r="A48" s="119" t="s">
        <v>32</v>
      </c>
      <c r="B48" s="27" t="s">
        <v>65</v>
      </c>
      <c r="C48" s="10">
        <v>15</v>
      </c>
      <c r="D48" s="12">
        <f>C48*78</f>
        <v>1170</v>
      </c>
      <c r="F48" s="59"/>
      <c r="G48" s="59"/>
      <c r="H48" s="122"/>
      <c r="I48" s="123"/>
      <c r="J48" s="124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20"/>
      <c r="B49" s="29" t="s">
        <v>67</v>
      </c>
      <c r="C49" s="33">
        <v>11</v>
      </c>
      <c r="D49" s="12">
        <f>C49*42</f>
        <v>462</v>
      </c>
      <c r="F49" s="125" t="s">
        <v>85</v>
      </c>
      <c r="G49" s="127">
        <f>H34+H35+H36+H37+H38+H39+H40+H41+G42+H44+H45+H46</f>
        <v>441756</v>
      </c>
      <c r="H49" s="128"/>
      <c r="I49" s="128"/>
      <c r="J49" s="129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0"/>
      <c r="B50" s="32" t="s">
        <v>69</v>
      </c>
      <c r="C50" s="11">
        <v>22</v>
      </c>
      <c r="D50" s="12">
        <f>C50*1.5</f>
        <v>33</v>
      </c>
      <c r="F50" s="126"/>
      <c r="G50" s="130"/>
      <c r="H50" s="131"/>
      <c r="I50" s="131"/>
      <c r="J50" s="132"/>
      <c r="O50" t="s">
        <v>114</v>
      </c>
      <c r="P50" s="4">
        <v>1204</v>
      </c>
      <c r="Q50" s="4"/>
      <c r="R50" s="5"/>
    </row>
    <row r="51" spans="1:18" ht="15" customHeight="1" x14ac:dyDescent="0.25">
      <c r="A51" s="120"/>
      <c r="B51" s="27"/>
      <c r="C51" s="10"/>
      <c r="D51" s="31"/>
      <c r="F51" s="234" t="s">
        <v>135</v>
      </c>
      <c r="G51" s="236">
        <f>G49-H29</f>
        <v>23.5</v>
      </c>
      <c r="H51" s="237"/>
      <c r="I51" s="237"/>
      <c r="J51" s="238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20"/>
      <c r="B52" s="29"/>
      <c r="C52" s="33"/>
      <c r="D52" s="45"/>
      <c r="F52" s="235"/>
      <c r="G52" s="239"/>
      <c r="H52" s="240"/>
      <c r="I52" s="240"/>
      <c r="J52" s="241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1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05" t="s">
        <v>89</v>
      </c>
      <c r="B54" s="106"/>
      <c r="C54" s="107"/>
      <c r="D54" s="111">
        <f>SUM(D34:D53)</f>
        <v>100678.5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08"/>
      <c r="B55" s="109"/>
      <c r="C55" s="110"/>
      <c r="D55" s="11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113" t="s">
        <v>90</v>
      </c>
      <c r="B58" s="114"/>
      <c r="C58" s="114"/>
      <c r="D58" s="115"/>
      <c r="F58" s="113" t="s">
        <v>91</v>
      </c>
      <c r="G58" s="114"/>
      <c r="H58" s="114"/>
      <c r="I58" s="114"/>
      <c r="J58" s="115"/>
    </row>
    <row r="59" spans="1:18" x14ac:dyDescent="0.25">
      <c r="A59" s="116"/>
      <c r="B59" s="117"/>
      <c r="C59" s="117"/>
      <c r="D59" s="118"/>
      <c r="F59" s="116"/>
      <c r="G59" s="117"/>
      <c r="H59" s="117"/>
      <c r="I59" s="117"/>
      <c r="J59" s="118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5AA40C-3B26-4993-85BE-2A4CA0209C21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1" t="s">
        <v>1</v>
      </c>
      <c r="O1" s="201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2" t="s">
        <v>7</v>
      </c>
      <c r="B4" s="153"/>
      <c r="C4" s="153"/>
      <c r="D4" s="154"/>
      <c r="F4" s="202" t="s">
        <v>8</v>
      </c>
      <c r="G4" s="204">
        <v>2</v>
      </c>
      <c r="H4" s="206" t="s">
        <v>9</v>
      </c>
      <c r="I4" s="208">
        <v>46143</v>
      </c>
      <c r="J4" s="20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6" t="s">
        <v>7</v>
      </c>
      <c r="B5" s="15" t="s">
        <v>11</v>
      </c>
      <c r="C5" s="9" t="s">
        <v>12</v>
      </c>
      <c r="D5" s="25" t="s">
        <v>13</v>
      </c>
      <c r="F5" s="203"/>
      <c r="G5" s="205"/>
      <c r="H5" s="207"/>
      <c r="I5" s="210"/>
      <c r="J5" s="21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7"/>
      <c r="B6" s="16" t="s">
        <v>15</v>
      </c>
      <c r="C6" s="10">
        <v>292</v>
      </c>
      <c r="D6" s="13">
        <f t="shared" ref="D6:D28" si="1">C6*L6</f>
        <v>222212</v>
      </c>
      <c r="F6" s="212" t="s">
        <v>16</v>
      </c>
      <c r="G6" s="214" t="s">
        <v>107</v>
      </c>
      <c r="H6" s="215"/>
      <c r="I6" s="215"/>
      <c r="J6" s="21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7"/>
      <c r="B7" s="16" t="s">
        <v>18</v>
      </c>
      <c r="C7" s="10">
        <v>6</v>
      </c>
      <c r="D7" s="13">
        <f t="shared" si="1"/>
        <v>4686</v>
      </c>
      <c r="F7" s="213"/>
      <c r="G7" s="217"/>
      <c r="H7" s="218"/>
      <c r="I7" s="218"/>
      <c r="J7" s="21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7"/>
      <c r="B8" s="16" t="s">
        <v>20</v>
      </c>
      <c r="C8" s="10"/>
      <c r="D8" s="13">
        <f t="shared" si="1"/>
        <v>0</v>
      </c>
      <c r="F8" s="220" t="s">
        <v>21</v>
      </c>
      <c r="G8" s="221" t="s">
        <v>100</v>
      </c>
      <c r="H8" s="222"/>
      <c r="I8" s="222"/>
      <c r="J8" s="22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7"/>
      <c r="B9" s="16" t="s">
        <v>23</v>
      </c>
      <c r="C9" s="10">
        <v>7</v>
      </c>
      <c r="D9" s="13">
        <f t="shared" si="1"/>
        <v>5131</v>
      </c>
      <c r="F9" s="213"/>
      <c r="G9" s="224"/>
      <c r="H9" s="225"/>
      <c r="I9" s="225"/>
      <c r="J9" s="22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7"/>
      <c r="B10" t="s">
        <v>25</v>
      </c>
      <c r="C10" s="10"/>
      <c r="D10" s="13">
        <f t="shared" si="1"/>
        <v>0</v>
      </c>
      <c r="F10" s="212" t="s">
        <v>26</v>
      </c>
      <c r="G10" s="227" t="s">
        <v>101</v>
      </c>
      <c r="H10" s="228"/>
      <c r="I10" s="228"/>
      <c r="J10" s="229"/>
      <c r="K10" s="8"/>
      <c r="L10" s="6">
        <f>R36</f>
        <v>1032</v>
      </c>
      <c r="P10" s="4"/>
      <c r="Q10" s="4"/>
      <c r="R10" s="5"/>
    </row>
    <row r="11" spans="1:18" ht="15.75" x14ac:dyDescent="0.25">
      <c r="A11" s="147"/>
      <c r="B11" s="17" t="s">
        <v>28</v>
      </c>
      <c r="C11" s="10"/>
      <c r="D11" s="13">
        <f t="shared" si="1"/>
        <v>0</v>
      </c>
      <c r="F11" s="213"/>
      <c r="G11" s="224"/>
      <c r="H11" s="225"/>
      <c r="I11" s="225"/>
      <c r="J11" s="22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7"/>
      <c r="B12" s="17" t="s">
        <v>30</v>
      </c>
      <c r="C12" s="10"/>
      <c r="D12" s="48">
        <f t="shared" si="1"/>
        <v>0</v>
      </c>
      <c r="F12" s="230" t="s">
        <v>33</v>
      </c>
      <c r="G12" s="231"/>
      <c r="H12" s="231"/>
      <c r="I12" s="231"/>
      <c r="J12" s="23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7"/>
      <c r="B13" s="17" t="s">
        <v>32</v>
      </c>
      <c r="C13" s="10">
        <v>7</v>
      </c>
      <c r="D13" s="48">
        <f t="shared" si="1"/>
        <v>2149</v>
      </c>
      <c r="F13" s="233" t="s">
        <v>36</v>
      </c>
      <c r="G13" s="197"/>
      <c r="H13" s="188">
        <f>D29</f>
        <v>236796</v>
      </c>
      <c r="I13" s="189"/>
      <c r="J13" s="19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7"/>
      <c r="B14" s="14" t="s">
        <v>35</v>
      </c>
      <c r="C14" s="10">
        <v>5</v>
      </c>
      <c r="D14" s="31">
        <f t="shared" si="1"/>
        <v>55</v>
      </c>
      <c r="F14" s="191" t="s">
        <v>38</v>
      </c>
      <c r="G14" s="192"/>
      <c r="H14" s="193">
        <f>D54</f>
        <v>38545.5</v>
      </c>
      <c r="I14" s="194"/>
      <c r="J14" s="19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7"/>
      <c r="B15" s="14" t="s">
        <v>122</v>
      </c>
      <c r="C15" s="10"/>
      <c r="D15" s="31">
        <f t="shared" si="1"/>
        <v>0</v>
      </c>
      <c r="F15" s="196" t="s">
        <v>39</v>
      </c>
      <c r="G15" s="197"/>
      <c r="H15" s="198">
        <f>H13-H14</f>
        <v>198250.5</v>
      </c>
      <c r="I15" s="199"/>
      <c r="J15" s="200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7"/>
      <c r="B16" s="18" t="s">
        <v>111</v>
      </c>
      <c r="C16" s="10">
        <v>1</v>
      </c>
      <c r="D16" s="48">
        <f t="shared" si="1"/>
        <v>650</v>
      </c>
      <c r="F16" s="67" t="s">
        <v>41</v>
      </c>
      <c r="G16" s="66" t="s">
        <v>42</v>
      </c>
      <c r="H16" s="158">
        <v>1518</v>
      </c>
      <c r="I16" s="158"/>
      <c r="J16" s="158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7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69"/>
      <c r="I17" s="169"/>
      <c r="J17" s="169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7"/>
      <c r="B18" s="86" t="s">
        <v>125</v>
      </c>
      <c r="C18" s="10">
        <v>1</v>
      </c>
      <c r="D18" s="48">
        <f t="shared" si="1"/>
        <v>1102</v>
      </c>
      <c r="F18" s="56"/>
      <c r="G18" s="66" t="s">
        <v>46</v>
      </c>
      <c r="H18" s="169"/>
      <c r="I18" s="169"/>
      <c r="J18" s="169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7"/>
      <c r="B19" s="87" t="s">
        <v>105</v>
      </c>
      <c r="C19" s="10"/>
      <c r="D19" s="48">
        <f t="shared" si="1"/>
        <v>0</v>
      </c>
      <c r="F19" s="56"/>
      <c r="G19" s="68" t="s">
        <v>49</v>
      </c>
      <c r="H19" s="252"/>
      <c r="I19" s="252"/>
      <c r="J19" s="252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7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69"/>
      <c r="I20" s="169"/>
      <c r="J20" s="169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7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71" t="s">
        <v>13</v>
      </c>
      <c r="I21" s="172"/>
      <c r="J21" s="173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7"/>
      <c r="B22" s="46" t="s">
        <v>103</v>
      </c>
      <c r="C22" s="10"/>
      <c r="D22" s="48">
        <f t="shared" si="1"/>
        <v>0</v>
      </c>
      <c r="F22" s="72"/>
      <c r="G22" s="73"/>
      <c r="H22" s="174"/>
      <c r="I22" s="174"/>
      <c r="J22" s="174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7"/>
      <c r="B23" s="14" t="s">
        <v>121</v>
      </c>
      <c r="C23" s="10"/>
      <c r="D23" s="48">
        <f t="shared" si="1"/>
        <v>0</v>
      </c>
      <c r="F23" s="25"/>
      <c r="G23" s="37"/>
      <c r="H23" s="175"/>
      <c r="I23" s="144"/>
      <c r="J23" s="144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7"/>
      <c r="B24" s="14" t="s">
        <v>128</v>
      </c>
      <c r="C24" s="10"/>
      <c r="D24" s="48">
        <f t="shared" si="1"/>
        <v>0</v>
      </c>
      <c r="F24" s="38"/>
      <c r="G24" s="37"/>
      <c r="H24" s="175"/>
      <c r="I24" s="144"/>
      <c r="J24" s="144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7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76" t="s">
        <v>13</v>
      </c>
      <c r="I25" s="177"/>
      <c r="J25" s="178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7"/>
      <c r="B26" s="14" t="s">
        <v>129</v>
      </c>
      <c r="C26" s="10"/>
      <c r="D26" s="48">
        <f t="shared" si="1"/>
        <v>0</v>
      </c>
      <c r="F26" s="64"/>
      <c r="G26" s="10"/>
      <c r="H26" s="179"/>
      <c r="I26" s="180"/>
      <c r="J26" s="181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7"/>
      <c r="B27" s="14" t="s">
        <v>130</v>
      </c>
      <c r="C27" s="10"/>
      <c r="D27" s="44">
        <f t="shared" si="1"/>
        <v>0</v>
      </c>
      <c r="F27" s="14"/>
      <c r="G27" s="14"/>
      <c r="H27" s="182"/>
      <c r="I27" s="183"/>
      <c r="J27" s="184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8"/>
      <c r="B28" s="46" t="s">
        <v>92</v>
      </c>
      <c r="C28" s="10">
        <v>1</v>
      </c>
      <c r="D28" s="48">
        <f t="shared" si="1"/>
        <v>811</v>
      </c>
      <c r="F28" s="91"/>
      <c r="G28" s="61"/>
      <c r="H28" s="185"/>
      <c r="I28" s="186"/>
      <c r="J28" s="187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9" t="s">
        <v>36</v>
      </c>
      <c r="B29" s="160"/>
      <c r="C29" s="161"/>
      <c r="D29" s="165">
        <f>SUM(D6:D28)</f>
        <v>236796</v>
      </c>
      <c r="F29" s="105" t="s">
        <v>54</v>
      </c>
      <c r="G29" s="167"/>
      <c r="H29" s="127">
        <f>H15-H16-H17-H18-H19-H20-H22-H23-H24+H26+H27</f>
        <v>196732.5</v>
      </c>
      <c r="I29" s="128"/>
      <c r="J29" s="129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08"/>
      <c r="G30" s="168"/>
      <c r="H30" s="130"/>
      <c r="I30" s="131"/>
      <c r="J30" s="132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2" t="s">
        <v>57</v>
      </c>
      <c r="B32" s="153"/>
      <c r="C32" s="153"/>
      <c r="D32" s="154"/>
      <c r="F32" s="155" t="s">
        <v>58</v>
      </c>
      <c r="G32" s="156"/>
      <c r="H32" s="156"/>
      <c r="I32" s="156"/>
      <c r="J32" s="157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2" t="s">
        <v>62</v>
      </c>
      <c r="H33" s="155" t="s">
        <v>13</v>
      </c>
      <c r="I33" s="156"/>
      <c r="J33" s="157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6" t="s">
        <v>64</v>
      </c>
      <c r="B34" s="26" t="s">
        <v>65</v>
      </c>
      <c r="C34" s="51"/>
      <c r="D34" s="30">
        <f>C34*120</f>
        <v>0</v>
      </c>
      <c r="F34" s="12">
        <v>1000</v>
      </c>
      <c r="G34" s="74">
        <v>166</v>
      </c>
      <c r="H34" s="149">
        <f>F34*G34</f>
        <v>166000</v>
      </c>
      <c r="I34" s="150"/>
      <c r="J34" s="151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7"/>
      <c r="B35" s="27" t="s">
        <v>67</v>
      </c>
      <c r="C35" s="52"/>
      <c r="D35" s="30">
        <f>C35*84</f>
        <v>0</v>
      </c>
      <c r="F35" s="58">
        <v>500</v>
      </c>
      <c r="G35" s="41">
        <v>60</v>
      </c>
      <c r="H35" s="149">
        <f t="shared" ref="H35:H39" si="2">F35*G35</f>
        <v>30000</v>
      </c>
      <c r="I35" s="150"/>
      <c r="J35" s="15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8"/>
      <c r="B36" s="26" t="s">
        <v>69</v>
      </c>
      <c r="C36" s="10"/>
      <c r="D36" s="12">
        <f>C36*1.5</f>
        <v>0</v>
      </c>
      <c r="F36" s="12">
        <v>200</v>
      </c>
      <c r="G36" s="37"/>
      <c r="H36" s="149">
        <f>F36*G36</f>
        <v>0</v>
      </c>
      <c r="I36" s="150"/>
      <c r="J36" s="151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6" t="s">
        <v>71</v>
      </c>
      <c r="B37" s="28" t="s">
        <v>65</v>
      </c>
      <c r="C37" s="53">
        <v>338</v>
      </c>
      <c r="D37" s="12">
        <f>C37*111</f>
        <v>37518</v>
      </c>
      <c r="F37" s="12">
        <v>100</v>
      </c>
      <c r="G37" s="39">
        <v>5</v>
      </c>
      <c r="H37" s="149">
        <f t="shared" si="2"/>
        <v>500</v>
      </c>
      <c r="I37" s="150"/>
      <c r="J37" s="151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7"/>
      <c r="B38" s="29" t="s">
        <v>67</v>
      </c>
      <c r="C38" s="54">
        <v>2</v>
      </c>
      <c r="D38" s="12">
        <f>C38*84</f>
        <v>168</v>
      </c>
      <c r="F38" s="30">
        <v>50</v>
      </c>
      <c r="G38" s="39"/>
      <c r="H38" s="149">
        <f t="shared" si="2"/>
        <v>0</v>
      </c>
      <c r="I38" s="150"/>
      <c r="J38" s="151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8"/>
      <c r="B39" s="29" t="s">
        <v>69</v>
      </c>
      <c r="C39" s="52">
        <v>5</v>
      </c>
      <c r="D39" s="31">
        <f>C39*4.5</f>
        <v>22.5</v>
      </c>
      <c r="F39" s="12">
        <v>20</v>
      </c>
      <c r="G39" s="37"/>
      <c r="H39" s="149">
        <f t="shared" si="2"/>
        <v>0</v>
      </c>
      <c r="I39" s="150"/>
      <c r="J39" s="15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6" t="s">
        <v>75</v>
      </c>
      <c r="B40" s="27" t="s">
        <v>65</v>
      </c>
      <c r="C40" s="63">
        <v>2</v>
      </c>
      <c r="D40" s="12">
        <f>C40*111</f>
        <v>222</v>
      </c>
      <c r="F40" s="12">
        <v>10</v>
      </c>
      <c r="G40" s="42"/>
      <c r="H40" s="149"/>
      <c r="I40" s="150"/>
      <c r="J40" s="151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7"/>
      <c r="B41" s="27" t="s">
        <v>67</v>
      </c>
      <c r="C41" s="10"/>
      <c r="D41" s="12">
        <f>C41*84</f>
        <v>0</v>
      </c>
      <c r="F41" s="12">
        <v>5</v>
      </c>
      <c r="G41" s="42"/>
      <c r="H41" s="149"/>
      <c r="I41" s="150"/>
      <c r="J41" s="151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8"/>
      <c r="B42" s="27" t="s">
        <v>69</v>
      </c>
      <c r="C42" s="11">
        <v>4</v>
      </c>
      <c r="D42" s="12">
        <f>C42*2.25</f>
        <v>9</v>
      </c>
      <c r="F42" s="39" t="s">
        <v>78</v>
      </c>
      <c r="G42" s="149">
        <v>50</v>
      </c>
      <c r="H42" s="150"/>
      <c r="I42" s="150"/>
      <c r="J42" s="151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19" t="s">
        <v>80</v>
      </c>
      <c r="C43" s="11"/>
      <c r="D43" s="12"/>
      <c r="F43" s="59" t="s">
        <v>81</v>
      </c>
      <c r="G43" s="88" t="s">
        <v>82</v>
      </c>
      <c r="H43" s="141" t="s">
        <v>13</v>
      </c>
      <c r="I43" s="142"/>
      <c r="J43" s="143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20"/>
      <c r="B44" s="27" t="s">
        <v>65</v>
      </c>
      <c r="C44" s="10"/>
      <c r="D44" s="12">
        <f>C44*120</f>
        <v>0</v>
      </c>
      <c r="F44" s="37"/>
      <c r="G44" s="62"/>
      <c r="H44" s="144"/>
      <c r="I44" s="144"/>
      <c r="J44" s="144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20"/>
      <c r="B45" s="27" t="s">
        <v>67</v>
      </c>
      <c r="C45" s="33"/>
      <c r="D45" s="12">
        <f>C45*84</f>
        <v>0</v>
      </c>
      <c r="F45" s="37"/>
      <c r="G45" s="62"/>
      <c r="H45" s="144"/>
      <c r="I45" s="144"/>
      <c r="J45" s="144"/>
      <c r="K45" s="21"/>
      <c r="P45" s="4"/>
      <c r="Q45" s="4"/>
      <c r="R45" s="5"/>
    </row>
    <row r="46" spans="1:18" ht="15.75" x14ac:dyDescent="0.25">
      <c r="A46" s="120"/>
      <c r="B46" s="49" t="s">
        <v>69</v>
      </c>
      <c r="C46" s="81"/>
      <c r="D46" s="12">
        <f>C46*1.5</f>
        <v>0</v>
      </c>
      <c r="F46" s="37"/>
      <c r="G46" s="89"/>
      <c r="H46" s="145"/>
      <c r="I46" s="145"/>
      <c r="J46" s="145"/>
      <c r="K46" s="21"/>
      <c r="P46" s="4"/>
      <c r="Q46" s="4"/>
      <c r="R46" s="5"/>
    </row>
    <row r="47" spans="1:18" ht="15.75" x14ac:dyDescent="0.25">
      <c r="A47" s="121"/>
      <c r="B47" s="27"/>
      <c r="C47" s="11"/>
      <c r="D47" s="12"/>
      <c r="F47" s="59"/>
      <c r="G47" s="59"/>
      <c r="H47" s="122"/>
      <c r="I47" s="123"/>
      <c r="J47" s="124"/>
      <c r="K47" s="21"/>
      <c r="P47" s="4"/>
      <c r="Q47" s="4"/>
      <c r="R47" s="5"/>
    </row>
    <row r="48" spans="1:18" ht="15" customHeight="1" x14ac:dyDescent="0.25">
      <c r="A48" s="119" t="s">
        <v>32</v>
      </c>
      <c r="B48" s="27" t="s">
        <v>65</v>
      </c>
      <c r="C48" s="10">
        <v>1</v>
      </c>
      <c r="D48" s="12">
        <f>C48*78</f>
        <v>78</v>
      </c>
      <c r="F48" s="59"/>
      <c r="G48" s="59"/>
      <c r="H48" s="122"/>
      <c r="I48" s="123"/>
      <c r="J48" s="124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20"/>
      <c r="B49" s="29" t="s">
        <v>67</v>
      </c>
      <c r="C49" s="33">
        <v>12</v>
      </c>
      <c r="D49" s="12">
        <f>C49*42</f>
        <v>504</v>
      </c>
      <c r="F49" s="125" t="s">
        <v>85</v>
      </c>
      <c r="G49" s="127">
        <f>H34+H35+H36+H37+H38+H39+H40+H41+G42+H44+H45+H46</f>
        <v>196550</v>
      </c>
      <c r="H49" s="128"/>
      <c r="I49" s="128"/>
      <c r="J49" s="129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0"/>
      <c r="B50" s="32" t="s">
        <v>69</v>
      </c>
      <c r="C50" s="11">
        <v>16</v>
      </c>
      <c r="D50" s="12">
        <f>C50*1.5</f>
        <v>24</v>
      </c>
      <c r="F50" s="126"/>
      <c r="G50" s="130"/>
      <c r="H50" s="131"/>
      <c r="I50" s="131"/>
      <c r="J50" s="132"/>
      <c r="O50" t="s">
        <v>114</v>
      </c>
      <c r="P50" s="4">
        <v>1204</v>
      </c>
      <c r="Q50" s="4"/>
      <c r="R50" s="5"/>
    </row>
    <row r="51" spans="1:18" ht="15" customHeight="1" x14ac:dyDescent="0.25">
      <c r="A51" s="120"/>
      <c r="B51" s="27"/>
      <c r="C51" s="10"/>
      <c r="D51" s="31"/>
      <c r="F51" s="133" t="s">
        <v>131</v>
      </c>
      <c r="G51" s="246">
        <f>G49-H29</f>
        <v>-182.5</v>
      </c>
      <c r="H51" s="247"/>
      <c r="I51" s="247"/>
      <c r="J51" s="248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20"/>
      <c r="B52" s="29"/>
      <c r="C52" s="33"/>
      <c r="D52" s="45"/>
      <c r="F52" s="134"/>
      <c r="G52" s="249"/>
      <c r="H52" s="250"/>
      <c r="I52" s="250"/>
      <c r="J52" s="251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1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05" t="s">
        <v>89</v>
      </c>
      <c r="B54" s="106"/>
      <c r="C54" s="107"/>
      <c r="D54" s="111">
        <f>SUM(D34:D53)</f>
        <v>38545.5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08"/>
      <c r="B55" s="109"/>
      <c r="C55" s="110"/>
      <c r="D55" s="11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119</v>
      </c>
      <c r="D57" s="34"/>
      <c r="F57" s="36"/>
      <c r="G57" s="50"/>
      <c r="H57" s="50"/>
      <c r="I57" s="50"/>
      <c r="J57" s="43"/>
    </row>
    <row r="58" spans="1:18" x14ac:dyDescent="0.25">
      <c r="A58" s="113" t="s">
        <v>90</v>
      </c>
      <c r="B58" s="114"/>
      <c r="C58" s="114"/>
      <c r="D58" s="115"/>
      <c r="F58" s="113" t="s">
        <v>91</v>
      </c>
      <c r="G58" s="114"/>
      <c r="H58" s="114"/>
      <c r="I58" s="114"/>
      <c r="J58" s="115"/>
    </row>
    <row r="59" spans="1:18" x14ac:dyDescent="0.25">
      <c r="A59" s="116"/>
      <c r="B59" s="117"/>
      <c r="C59" s="117"/>
      <c r="D59" s="118"/>
      <c r="F59" s="116"/>
      <c r="G59" s="117"/>
      <c r="H59" s="117"/>
      <c r="I59" s="117"/>
      <c r="J59" s="118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24AF2C-0A3E-4F26-9048-518DA5A771E7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1" t="s">
        <v>1</v>
      </c>
      <c r="O1" s="201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2" t="s">
        <v>7</v>
      </c>
      <c r="B4" s="153"/>
      <c r="C4" s="153"/>
      <c r="D4" s="154"/>
      <c r="F4" s="202" t="s">
        <v>8</v>
      </c>
      <c r="G4" s="204">
        <v>3</v>
      </c>
      <c r="H4" s="206" t="s">
        <v>9</v>
      </c>
      <c r="I4" s="208">
        <v>46143</v>
      </c>
      <c r="J4" s="20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6" t="s">
        <v>7</v>
      </c>
      <c r="B5" s="15" t="s">
        <v>11</v>
      </c>
      <c r="C5" s="9" t="s">
        <v>12</v>
      </c>
      <c r="D5" s="25" t="s">
        <v>13</v>
      </c>
      <c r="F5" s="203"/>
      <c r="G5" s="205"/>
      <c r="H5" s="207"/>
      <c r="I5" s="210"/>
      <c r="J5" s="21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7"/>
      <c r="B6" s="16" t="s">
        <v>15</v>
      </c>
      <c r="C6" s="10">
        <v>530</v>
      </c>
      <c r="D6" s="13">
        <f t="shared" ref="D6:D28" si="1">C6*L6</f>
        <v>403330</v>
      </c>
      <c r="F6" s="212" t="s">
        <v>16</v>
      </c>
      <c r="G6" s="214" t="s">
        <v>117</v>
      </c>
      <c r="H6" s="215"/>
      <c r="I6" s="215"/>
      <c r="J6" s="21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7"/>
      <c r="B7" s="16" t="s">
        <v>18</v>
      </c>
      <c r="C7" s="10">
        <v>7</v>
      </c>
      <c r="D7" s="13">
        <f t="shared" si="1"/>
        <v>5467</v>
      </c>
      <c r="F7" s="213"/>
      <c r="G7" s="217"/>
      <c r="H7" s="218"/>
      <c r="I7" s="218"/>
      <c r="J7" s="21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7"/>
      <c r="B8" s="16" t="s">
        <v>20</v>
      </c>
      <c r="C8" s="10"/>
      <c r="D8" s="13">
        <f t="shared" si="1"/>
        <v>0</v>
      </c>
      <c r="F8" s="220" t="s">
        <v>21</v>
      </c>
      <c r="G8" s="221" t="s">
        <v>110</v>
      </c>
      <c r="H8" s="222"/>
      <c r="I8" s="222"/>
      <c r="J8" s="22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7"/>
      <c r="B9" s="16" t="s">
        <v>23</v>
      </c>
      <c r="C9" s="10">
        <v>56</v>
      </c>
      <c r="D9" s="13">
        <f t="shared" si="1"/>
        <v>41048</v>
      </c>
      <c r="F9" s="213"/>
      <c r="G9" s="224"/>
      <c r="H9" s="225"/>
      <c r="I9" s="225"/>
      <c r="J9" s="22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7"/>
      <c r="B10" t="s">
        <v>25</v>
      </c>
      <c r="C10" s="10"/>
      <c r="D10" s="13">
        <f t="shared" si="1"/>
        <v>0</v>
      </c>
      <c r="F10" s="212" t="s">
        <v>26</v>
      </c>
      <c r="G10" s="227" t="s">
        <v>124</v>
      </c>
      <c r="H10" s="228"/>
      <c r="I10" s="228"/>
      <c r="J10" s="229"/>
      <c r="K10" s="8"/>
      <c r="L10" s="6">
        <f>R36</f>
        <v>1032</v>
      </c>
      <c r="P10" s="4"/>
      <c r="Q10" s="4"/>
      <c r="R10" s="5"/>
    </row>
    <row r="11" spans="1:18" ht="15.75" x14ac:dyDescent="0.25">
      <c r="A11" s="147"/>
      <c r="B11" s="17" t="s">
        <v>28</v>
      </c>
      <c r="C11" s="10"/>
      <c r="D11" s="13">
        <f t="shared" si="1"/>
        <v>0</v>
      </c>
      <c r="F11" s="213"/>
      <c r="G11" s="224"/>
      <c r="H11" s="225"/>
      <c r="I11" s="225"/>
      <c r="J11" s="22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7"/>
      <c r="B12" s="17" t="s">
        <v>30</v>
      </c>
      <c r="C12" s="10"/>
      <c r="D12" s="48">
        <f t="shared" si="1"/>
        <v>0</v>
      </c>
      <c r="F12" s="230" t="s">
        <v>33</v>
      </c>
      <c r="G12" s="231"/>
      <c r="H12" s="231"/>
      <c r="I12" s="231"/>
      <c r="J12" s="23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7"/>
      <c r="B13" s="17" t="s">
        <v>32</v>
      </c>
      <c r="C13" s="10">
        <v>19</v>
      </c>
      <c r="D13" s="48">
        <f t="shared" si="1"/>
        <v>5833</v>
      </c>
      <c r="F13" s="233" t="s">
        <v>36</v>
      </c>
      <c r="G13" s="197"/>
      <c r="H13" s="188">
        <f>D29</f>
        <v>456978</v>
      </c>
      <c r="I13" s="189"/>
      <c r="J13" s="19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7"/>
      <c r="B14" s="14" t="s">
        <v>35</v>
      </c>
      <c r="C14" s="10"/>
      <c r="D14" s="31">
        <f t="shared" si="1"/>
        <v>0</v>
      </c>
      <c r="F14" s="191" t="s">
        <v>38</v>
      </c>
      <c r="G14" s="192"/>
      <c r="H14" s="193">
        <f>D54</f>
        <v>68901</v>
      </c>
      <c r="I14" s="194"/>
      <c r="J14" s="19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7"/>
      <c r="B15" s="14" t="s">
        <v>122</v>
      </c>
      <c r="C15" s="10"/>
      <c r="D15" s="31">
        <f t="shared" si="1"/>
        <v>0</v>
      </c>
      <c r="F15" s="196" t="s">
        <v>39</v>
      </c>
      <c r="G15" s="197"/>
      <c r="H15" s="198">
        <f>H13-H14</f>
        <v>388077</v>
      </c>
      <c r="I15" s="199"/>
      <c r="J15" s="200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7"/>
      <c r="B16" s="18" t="s">
        <v>111</v>
      </c>
      <c r="C16" s="10">
        <f>1+1</f>
        <v>2</v>
      </c>
      <c r="D16" s="48">
        <f t="shared" si="1"/>
        <v>1300</v>
      </c>
      <c r="F16" s="67" t="s">
        <v>41</v>
      </c>
      <c r="G16" s="66" t="s">
        <v>42</v>
      </c>
      <c r="H16" s="158">
        <f>978+1080+708</f>
        <v>2766</v>
      </c>
      <c r="I16" s="158"/>
      <c r="J16" s="158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7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69"/>
      <c r="I17" s="169"/>
      <c r="J17" s="169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7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69"/>
      <c r="I18" s="169"/>
      <c r="J18" s="169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7"/>
      <c r="B19" s="87" t="s">
        <v>105</v>
      </c>
      <c r="C19" s="10"/>
      <c r="D19" s="48">
        <f t="shared" si="1"/>
        <v>0</v>
      </c>
      <c r="F19" s="56"/>
      <c r="G19" s="68" t="s">
        <v>49</v>
      </c>
      <c r="H19" s="253"/>
      <c r="I19" s="253"/>
      <c r="J19" s="253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7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58"/>
      <c r="I20" s="158"/>
      <c r="J20" s="158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7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71" t="s">
        <v>13</v>
      </c>
      <c r="I21" s="172"/>
      <c r="J21" s="173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7"/>
      <c r="B22" s="46" t="s">
        <v>103</v>
      </c>
      <c r="C22" s="10"/>
      <c r="D22" s="48">
        <f t="shared" si="1"/>
        <v>0</v>
      </c>
      <c r="F22" s="77"/>
      <c r="G22" s="73"/>
      <c r="H22" s="174"/>
      <c r="I22" s="174"/>
      <c r="J22" s="174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7"/>
      <c r="B23" s="14" t="s">
        <v>121</v>
      </c>
      <c r="C23" s="10"/>
      <c r="D23" s="48">
        <f t="shared" si="1"/>
        <v>0</v>
      </c>
      <c r="F23" s="78"/>
      <c r="G23" s="79"/>
      <c r="H23" s="175"/>
      <c r="I23" s="144"/>
      <c r="J23" s="144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7"/>
      <c r="B24" s="14" t="s">
        <v>128</v>
      </c>
      <c r="C24" s="10"/>
      <c r="D24" s="48">
        <f t="shared" si="1"/>
        <v>0</v>
      </c>
      <c r="F24" s="38"/>
      <c r="G24" s="37"/>
      <c r="H24" s="175"/>
      <c r="I24" s="144"/>
      <c r="J24" s="144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7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76" t="s">
        <v>13</v>
      </c>
      <c r="I25" s="177"/>
      <c r="J25" s="178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7"/>
      <c r="B26" s="14" t="s">
        <v>129</v>
      </c>
      <c r="C26" s="10"/>
      <c r="D26" s="48">
        <f t="shared" si="1"/>
        <v>0</v>
      </c>
      <c r="F26" s="64"/>
      <c r="G26" s="59"/>
      <c r="H26" s="179"/>
      <c r="I26" s="180"/>
      <c r="J26" s="181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7"/>
      <c r="B27" s="14" t="s">
        <v>130</v>
      </c>
      <c r="C27" s="10"/>
      <c r="D27" s="44">
        <f t="shared" si="1"/>
        <v>0</v>
      </c>
      <c r="F27" s="25"/>
      <c r="G27" s="80"/>
      <c r="H27" s="182"/>
      <c r="I27" s="183"/>
      <c r="J27" s="184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8"/>
      <c r="B28" s="46" t="s">
        <v>92</v>
      </c>
      <c r="C28" s="10"/>
      <c r="D28" s="48">
        <f t="shared" si="1"/>
        <v>0</v>
      </c>
      <c r="F28" s="91"/>
      <c r="G28" s="61"/>
      <c r="H28" s="185"/>
      <c r="I28" s="186"/>
      <c r="J28" s="187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9" t="s">
        <v>36</v>
      </c>
      <c r="B29" s="160"/>
      <c r="C29" s="161"/>
      <c r="D29" s="165">
        <f>SUM(D6:D28)</f>
        <v>456978</v>
      </c>
      <c r="F29" s="105" t="s">
        <v>54</v>
      </c>
      <c r="G29" s="167"/>
      <c r="H29" s="127">
        <f>H15-H16-H17-H18-H19-H20-H22-H23-H24+H26+H27</f>
        <v>385311</v>
      </c>
      <c r="I29" s="128"/>
      <c r="J29" s="129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08"/>
      <c r="G30" s="168"/>
      <c r="H30" s="130"/>
      <c r="I30" s="131"/>
      <c r="J30" s="132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2" t="s">
        <v>57</v>
      </c>
      <c r="B32" s="153"/>
      <c r="C32" s="153"/>
      <c r="D32" s="154"/>
      <c r="F32" s="155" t="s">
        <v>58</v>
      </c>
      <c r="G32" s="156"/>
      <c r="H32" s="156"/>
      <c r="I32" s="156"/>
      <c r="J32" s="157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2" t="s">
        <v>62</v>
      </c>
      <c r="H33" s="155" t="s">
        <v>13</v>
      </c>
      <c r="I33" s="156"/>
      <c r="J33" s="157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6" t="s">
        <v>64</v>
      </c>
      <c r="B34" s="26" t="s">
        <v>65</v>
      </c>
      <c r="C34" s="51"/>
      <c r="D34" s="30">
        <f>C34*120</f>
        <v>0</v>
      </c>
      <c r="F34" s="12">
        <v>1000</v>
      </c>
      <c r="G34" s="74">
        <v>126</v>
      </c>
      <c r="H34" s="149">
        <f>F34*G34</f>
        <v>126000</v>
      </c>
      <c r="I34" s="150"/>
      <c r="J34" s="151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7"/>
      <c r="B35" s="27" t="s">
        <v>67</v>
      </c>
      <c r="C35" s="52"/>
      <c r="D35" s="30">
        <f>C35*84</f>
        <v>0</v>
      </c>
      <c r="F35" s="58">
        <v>500</v>
      </c>
      <c r="G35" s="41">
        <v>63</v>
      </c>
      <c r="H35" s="149">
        <f>F35*G35</f>
        <v>31500</v>
      </c>
      <c r="I35" s="150"/>
      <c r="J35" s="15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8"/>
      <c r="B36" s="26" t="s">
        <v>69</v>
      </c>
      <c r="C36" s="10"/>
      <c r="D36" s="12">
        <f>C36*1.5</f>
        <v>0</v>
      </c>
      <c r="F36" s="12">
        <v>200</v>
      </c>
      <c r="G36" s="37"/>
      <c r="H36" s="149">
        <f t="shared" ref="H36:H39" si="2">F36*G36</f>
        <v>0</v>
      </c>
      <c r="I36" s="150"/>
      <c r="J36" s="151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6" t="s">
        <v>71</v>
      </c>
      <c r="B37" s="28" t="s">
        <v>65</v>
      </c>
      <c r="C37" s="53">
        <v>601</v>
      </c>
      <c r="D37" s="12">
        <f>C37*111</f>
        <v>66711</v>
      </c>
      <c r="F37" s="12">
        <v>100</v>
      </c>
      <c r="G37" s="39">
        <v>46</v>
      </c>
      <c r="H37" s="149">
        <f t="shared" si="2"/>
        <v>4600</v>
      </c>
      <c r="I37" s="150"/>
      <c r="J37" s="151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7"/>
      <c r="B38" s="29" t="s">
        <v>67</v>
      </c>
      <c r="C38" s="54">
        <v>4</v>
      </c>
      <c r="D38" s="12">
        <f>C38*84</f>
        <v>336</v>
      </c>
      <c r="F38" s="30">
        <v>50</v>
      </c>
      <c r="G38" s="39">
        <v>3</v>
      </c>
      <c r="H38" s="149">
        <f t="shared" si="2"/>
        <v>150</v>
      </c>
      <c r="I38" s="150"/>
      <c r="J38" s="151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8"/>
      <c r="B39" s="29" t="s">
        <v>69</v>
      </c>
      <c r="C39" s="52"/>
      <c r="D39" s="31">
        <f>C39*4.5</f>
        <v>0</v>
      </c>
      <c r="F39" s="12">
        <v>20</v>
      </c>
      <c r="G39" s="37"/>
      <c r="H39" s="149">
        <f t="shared" si="2"/>
        <v>0</v>
      </c>
      <c r="I39" s="150"/>
      <c r="J39" s="15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6" t="s">
        <v>75</v>
      </c>
      <c r="B40" s="27" t="s">
        <v>65</v>
      </c>
      <c r="C40" s="63">
        <v>4</v>
      </c>
      <c r="D40" s="12">
        <f>C40*111</f>
        <v>444</v>
      </c>
      <c r="F40" s="12">
        <v>10</v>
      </c>
      <c r="G40" s="42"/>
      <c r="H40" s="149"/>
      <c r="I40" s="150"/>
      <c r="J40" s="151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7"/>
      <c r="B41" s="27" t="s">
        <v>67</v>
      </c>
      <c r="C41" s="10"/>
      <c r="D41" s="12">
        <f>C41*84</f>
        <v>0</v>
      </c>
      <c r="F41" s="12">
        <v>5</v>
      </c>
      <c r="G41" s="42"/>
      <c r="H41" s="149"/>
      <c r="I41" s="150"/>
      <c r="J41" s="151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8"/>
      <c r="B42" s="27" t="s">
        <v>69</v>
      </c>
      <c r="C42" s="11"/>
      <c r="D42" s="12">
        <f>C42*2.25</f>
        <v>0</v>
      </c>
      <c r="F42" s="39" t="s">
        <v>78</v>
      </c>
      <c r="G42" s="149">
        <v>94</v>
      </c>
      <c r="H42" s="150"/>
      <c r="I42" s="150"/>
      <c r="J42" s="151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19" t="s">
        <v>80</v>
      </c>
      <c r="C43" s="11"/>
      <c r="D43" s="12"/>
      <c r="F43" s="59" t="s">
        <v>81</v>
      </c>
      <c r="G43" s="88" t="s">
        <v>82</v>
      </c>
      <c r="H43" s="141" t="s">
        <v>13</v>
      </c>
      <c r="I43" s="142"/>
      <c r="J43" s="143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20"/>
      <c r="B44" s="27" t="s">
        <v>65</v>
      </c>
      <c r="C44" s="10"/>
      <c r="D44" s="12">
        <f>C44*120</f>
        <v>0</v>
      </c>
      <c r="F44" s="37" t="s">
        <v>132</v>
      </c>
      <c r="G44" s="62" t="s">
        <v>133</v>
      </c>
      <c r="H44" s="144">
        <v>105524</v>
      </c>
      <c r="I44" s="144"/>
      <c r="J44" s="144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20"/>
      <c r="B45" s="27" t="s">
        <v>67</v>
      </c>
      <c r="C45" s="33"/>
      <c r="D45" s="12">
        <f>C45*84</f>
        <v>0</v>
      </c>
      <c r="F45" s="37" t="s">
        <v>132</v>
      </c>
      <c r="G45" s="62" t="s">
        <v>134</v>
      </c>
      <c r="H45" s="144">
        <v>118301</v>
      </c>
      <c r="I45" s="144"/>
      <c r="J45" s="144"/>
      <c r="K45" s="21"/>
      <c r="P45" s="4"/>
      <c r="Q45" s="4"/>
      <c r="R45" s="5"/>
    </row>
    <row r="46" spans="1:18" ht="15.75" x14ac:dyDescent="0.25">
      <c r="A46" s="120"/>
      <c r="B46" s="49" t="s">
        <v>69</v>
      </c>
      <c r="C46" s="81"/>
      <c r="D46" s="12">
        <f>C46*1.5</f>
        <v>0</v>
      </c>
      <c r="F46" s="37"/>
      <c r="G46" s="62"/>
      <c r="H46" s="145"/>
      <c r="I46" s="145"/>
      <c r="J46" s="145"/>
      <c r="K46" s="21"/>
      <c r="P46" s="4"/>
      <c r="Q46" s="4"/>
      <c r="R46" s="5"/>
    </row>
    <row r="47" spans="1:18" ht="15.75" x14ac:dyDescent="0.25">
      <c r="A47" s="121"/>
      <c r="B47" s="27"/>
      <c r="C47" s="11"/>
      <c r="D47" s="12"/>
      <c r="F47" s="59"/>
      <c r="G47" s="59"/>
      <c r="H47" s="122"/>
      <c r="I47" s="123"/>
      <c r="J47" s="124"/>
      <c r="K47" s="21"/>
      <c r="P47" s="4"/>
      <c r="Q47" s="4"/>
      <c r="R47" s="5"/>
    </row>
    <row r="48" spans="1:18" ht="15" customHeight="1" x14ac:dyDescent="0.25">
      <c r="A48" s="119" t="s">
        <v>32</v>
      </c>
      <c r="B48" s="27" t="s">
        <v>65</v>
      </c>
      <c r="C48" s="10">
        <v>17</v>
      </c>
      <c r="D48" s="12">
        <f>C48*78</f>
        <v>1326</v>
      </c>
      <c r="F48" s="59"/>
      <c r="G48" s="59"/>
      <c r="H48" s="122"/>
      <c r="I48" s="123"/>
      <c r="J48" s="124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20"/>
      <c r="B49" s="29" t="s">
        <v>67</v>
      </c>
      <c r="C49" s="33">
        <v>2</v>
      </c>
      <c r="D49" s="12">
        <f>C49*42</f>
        <v>84</v>
      </c>
      <c r="F49" s="125" t="s">
        <v>85</v>
      </c>
      <c r="G49" s="127">
        <f>H34+H35+H36+H37+H38+H39+H40+H41+G42+H44+H45+H46</f>
        <v>386169</v>
      </c>
      <c r="H49" s="128"/>
      <c r="I49" s="128"/>
      <c r="J49" s="129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0"/>
      <c r="B50" s="32" t="s">
        <v>69</v>
      </c>
      <c r="C50" s="11"/>
      <c r="D50" s="12">
        <f>C50*1.5</f>
        <v>0</v>
      </c>
      <c r="F50" s="126"/>
      <c r="G50" s="130"/>
      <c r="H50" s="131"/>
      <c r="I50" s="131"/>
      <c r="J50" s="132"/>
      <c r="O50" t="s">
        <v>114</v>
      </c>
      <c r="P50" s="4">
        <v>1204</v>
      </c>
      <c r="Q50" s="4"/>
      <c r="R50" s="5"/>
    </row>
    <row r="51" spans="1:18" ht="15" customHeight="1" x14ac:dyDescent="0.25">
      <c r="A51" s="120"/>
      <c r="B51" s="27"/>
      <c r="C51" s="10"/>
      <c r="D51" s="31"/>
      <c r="F51" s="133" t="s">
        <v>115</v>
      </c>
      <c r="G51" s="135">
        <f>G49-H29</f>
        <v>858</v>
      </c>
      <c r="H51" s="136"/>
      <c r="I51" s="136"/>
      <c r="J51" s="137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20"/>
      <c r="B52" s="29"/>
      <c r="C52" s="33"/>
      <c r="D52" s="45"/>
      <c r="F52" s="134"/>
      <c r="G52" s="138"/>
      <c r="H52" s="139"/>
      <c r="I52" s="139"/>
      <c r="J52" s="140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1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05" t="s">
        <v>89</v>
      </c>
      <c r="B54" s="106"/>
      <c r="C54" s="107"/>
      <c r="D54" s="111">
        <f>SUM(D34:D53)</f>
        <v>68901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08"/>
      <c r="B55" s="109"/>
      <c r="C55" s="110"/>
      <c r="D55" s="11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13" t="s">
        <v>90</v>
      </c>
      <c r="B58" s="114"/>
      <c r="C58" s="114"/>
      <c r="D58" s="115"/>
      <c r="F58" s="113" t="s">
        <v>91</v>
      </c>
      <c r="G58" s="114"/>
      <c r="H58" s="114"/>
      <c r="I58" s="114"/>
      <c r="J58" s="115"/>
    </row>
    <row r="59" spans="1:18" x14ac:dyDescent="0.25">
      <c r="A59" s="116"/>
      <c r="B59" s="117"/>
      <c r="C59" s="117"/>
      <c r="D59" s="118"/>
      <c r="F59" s="116"/>
      <c r="G59" s="117"/>
      <c r="H59" s="117"/>
      <c r="I59" s="117"/>
      <c r="J59" s="118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3441EA-BFEB-4297-B836-658118DAD3BD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01" t="s">
        <v>1</v>
      </c>
      <c r="O1" s="201"/>
      <c r="P1" s="90" t="s">
        <v>2</v>
      </c>
      <c r="Q1" s="90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52" t="s">
        <v>7</v>
      </c>
      <c r="B4" s="153"/>
      <c r="C4" s="153"/>
      <c r="D4" s="154"/>
      <c r="F4" s="202" t="s">
        <v>8</v>
      </c>
      <c r="G4" s="204"/>
      <c r="H4" s="206" t="s">
        <v>9</v>
      </c>
      <c r="I4" s="208"/>
      <c r="J4" s="20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46" t="s">
        <v>7</v>
      </c>
      <c r="B5" s="15" t="s">
        <v>11</v>
      </c>
      <c r="C5" s="9" t="s">
        <v>12</v>
      </c>
      <c r="D5" s="25" t="s">
        <v>13</v>
      </c>
      <c r="F5" s="203"/>
      <c r="G5" s="205"/>
      <c r="H5" s="207"/>
      <c r="I5" s="210"/>
      <c r="J5" s="21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47"/>
      <c r="B6" s="16"/>
      <c r="C6" s="10"/>
      <c r="D6" s="13">
        <f t="shared" ref="D6:D28" si="1">C6*L6</f>
        <v>0</v>
      </c>
      <c r="F6" s="212" t="s">
        <v>16</v>
      </c>
      <c r="G6" s="214"/>
      <c r="H6" s="215"/>
      <c r="I6" s="215"/>
      <c r="J6" s="216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47"/>
      <c r="B7" s="16"/>
      <c r="C7" s="10"/>
      <c r="D7" s="13">
        <f t="shared" si="1"/>
        <v>0</v>
      </c>
      <c r="F7" s="213"/>
      <c r="G7" s="217"/>
      <c r="H7" s="218"/>
      <c r="I7" s="218"/>
      <c r="J7" s="219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47"/>
      <c r="B8" s="16"/>
      <c r="C8" s="10"/>
      <c r="D8" s="13">
        <f t="shared" si="1"/>
        <v>0</v>
      </c>
      <c r="F8" s="220" t="s">
        <v>21</v>
      </c>
      <c r="G8" s="221"/>
      <c r="H8" s="222"/>
      <c r="I8" s="222"/>
      <c r="J8" s="223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47"/>
      <c r="B9" s="16"/>
      <c r="C9" s="10"/>
      <c r="D9" s="13">
        <f t="shared" si="1"/>
        <v>0</v>
      </c>
      <c r="F9" s="213"/>
      <c r="G9" s="224"/>
      <c r="H9" s="225"/>
      <c r="I9" s="225"/>
      <c r="J9" s="226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47"/>
      <c r="C10" s="10"/>
      <c r="D10" s="13">
        <f t="shared" si="1"/>
        <v>0</v>
      </c>
      <c r="F10" s="212" t="s">
        <v>26</v>
      </c>
      <c r="G10" s="227"/>
      <c r="H10" s="228"/>
      <c r="I10" s="228"/>
      <c r="J10" s="229"/>
      <c r="K10" s="8"/>
      <c r="L10" s="6">
        <f>R36</f>
        <v>972</v>
      </c>
      <c r="P10" s="4"/>
      <c r="Q10" s="4"/>
      <c r="R10" s="5"/>
    </row>
    <row r="11" spans="1:19" ht="15.75" x14ac:dyDescent="0.25">
      <c r="A11" s="147"/>
      <c r="B11" s="17"/>
      <c r="C11" s="10"/>
      <c r="D11" s="13">
        <f t="shared" si="1"/>
        <v>0</v>
      </c>
      <c r="F11" s="213"/>
      <c r="G11" s="224"/>
      <c r="H11" s="225"/>
      <c r="I11" s="225"/>
      <c r="J11" s="226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47"/>
      <c r="B12" s="17"/>
      <c r="C12" s="10"/>
      <c r="D12" s="48">
        <f t="shared" si="1"/>
        <v>0</v>
      </c>
      <c r="F12" s="230" t="s">
        <v>33</v>
      </c>
      <c r="G12" s="231"/>
      <c r="H12" s="231"/>
      <c r="I12" s="231"/>
      <c r="J12" s="232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47"/>
      <c r="B13" s="17"/>
      <c r="C13" s="10"/>
      <c r="D13" s="48">
        <f t="shared" si="1"/>
        <v>0</v>
      </c>
      <c r="F13" s="233" t="s">
        <v>36</v>
      </c>
      <c r="G13" s="197"/>
      <c r="H13" s="188">
        <f>D29</f>
        <v>0</v>
      </c>
      <c r="I13" s="189"/>
      <c r="J13" s="19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47"/>
      <c r="B14" s="14"/>
      <c r="C14" s="10"/>
      <c r="D14" s="31">
        <f t="shared" si="1"/>
        <v>0</v>
      </c>
      <c r="F14" s="191" t="s">
        <v>38</v>
      </c>
      <c r="G14" s="192"/>
      <c r="H14" s="193">
        <f>D54</f>
        <v>0</v>
      </c>
      <c r="I14" s="194"/>
      <c r="J14" s="19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47"/>
      <c r="B15" s="14"/>
      <c r="C15" s="10"/>
      <c r="D15" s="31">
        <f t="shared" si="1"/>
        <v>0</v>
      </c>
      <c r="F15" s="196" t="s">
        <v>39</v>
      </c>
      <c r="G15" s="197"/>
      <c r="H15" s="198">
        <f>H13-H14</f>
        <v>0</v>
      </c>
      <c r="I15" s="199"/>
      <c r="J15" s="200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47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58"/>
      <c r="I16" s="158"/>
      <c r="J16" s="158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7"/>
      <c r="C17" s="10"/>
      <c r="D17" s="48">
        <f t="shared" si="1"/>
        <v>0</v>
      </c>
      <c r="F17" s="56"/>
      <c r="G17" s="66" t="s">
        <v>44</v>
      </c>
      <c r="H17" s="169"/>
      <c r="I17" s="169"/>
      <c r="J17" s="169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7"/>
      <c r="B18" s="19"/>
      <c r="C18" s="10"/>
      <c r="D18" s="48">
        <f t="shared" si="1"/>
        <v>0</v>
      </c>
      <c r="F18" s="56"/>
      <c r="G18" s="66" t="s">
        <v>46</v>
      </c>
      <c r="H18" s="169"/>
      <c r="I18" s="169"/>
      <c r="J18" s="16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7"/>
      <c r="B19" s="14"/>
      <c r="C19" s="10"/>
      <c r="D19" s="48">
        <f t="shared" si="1"/>
        <v>0</v>
      </c>
      <c r="F19" s="56"/>
      <c r="G19" s="68" t="s">
        <v>49</v>
      </c>
      <c r="H19" s="170"/>
      <c r="I19" s="170"/>
      <c r="J19" s="170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7"/>
      <c r="B20" s="46"/>
      <c r="C20" s="10"/>
      <c r="D20" s="13">
        <f t="shared" si="1"/>
        <v>0</v>
      </c>
      <c r="F20" s="57"/>
      <c r="G20" s="70" t="s">
        <v>102</v>
      </c>
      <c r="H20" s="158"/>
      <c r="I20" s="158"/>
      <c r="J20" s="158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7"/>
      <c r="B21" s="14"/>
      <c r="C21" s="10"/>
      <c r="D21" s="48">
        <f t="shared" si="1"/>
        <v>0</v>
      </c>
      <c r="F21" s="69" t="s">
        <v>94</v>
      </c>
      <c r="G21" s="82" t="s">
        <v>93</v>
      </c>
      <c r="H21" s="171" t="s">
        <v>13</v>
      </c>
      <c r="I21" s="172"/>
      <c r="J21" s="173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7"/>
      <c r="B22" s="46"/>
      <c r="C22" s="10"/>
      <c r="D22" s="48">
        <f t="shared" si="1"/>
        <v>0</v>
      </c>
      <c r="F22" s="77"/>
      <c r="G22" s="73"/>
      <c r="H22" s="174"/>
      <c r="I22" s="174"/>
      <c r="J22" s="174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7"/>
      <c r="B23" s="14"/>
      <c r="C23" s="10"/>
      <c r="D23" s="48">
        <f t="shared" si="1"/>
        <v>0</v>
      </c>
      <c r="F23" s="78"/>
      <c r="G23" s="79"/>
      <c r="H23" s="175"/>
      <c r="I23" s="144"/>
      <c r="J23" s="144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7"/>
      <c r="B24" s="14"/>
      <c r="C24" s="10"/>
      <c r="D24" s="48">
        <f t="shared" si="1"/>
        <v>0</v>
      </c>
      <c r="F24" s="38"/>
      <c r="G24" s="37"/>
      <c r="H24" s="175"/>
      <c r="I24" s="144"/>
      <c r="J24" s="144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7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176" t="s">
        <v>13</v>
      </c>
      <c r="I25" s="177"/>
      <c r="J25" s="178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7"/>
      <c r="B26" s="14"/>
      <c r="C26" s="10"/>
      <c r="D26" s="48">
        <f t="shared" si="1"/>
        <v>0</v>
      </c>
      <c r="F26" s="64"/>
      <c r="G26" s="59"/>
      <c r="H26" s="179"/>
      <c r="I26" s="180"/>
      <c r="J26" s="181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7"/>
      <c r="B27" s="14"/>
      <c r="C27" s="10"/>
      <c r="D27" s="44">
        <f t="shared" si="1"/>
        <v>0</v>
      </c>
      <c r="F27" s="25"/>
      <c r="G27" s="80"/>
      <c r="H27" s="182"/>
      <c r="I27" s="183"/>
      <c r="J27" s="184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8"/>
      <c r="B28" s="46"/>
      <c r="C28" s="10"/>
      <c r="D28" s="48">
        <f t="shared" si="1"/>
        <v>0</v>
      </c>
      <c r="F28" s="91"/>
      <c r="G28" s="61"/>
      <c r="H28" s="185"/>
      <c r="I28" s="186"/>
      <c r="J28" s="187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9" t="s">
        <v>36</v>
      </c>
      <c r="B29" s="160"/>
      <c r="C29" s="161"/>
      <c r="D29" s="165">
        <f>SUM(D6:D28)</f>
        <v>0</v>
      </c>
      <c r="F29" s="105" t="s">
        <v>54</v>
      </c>
      <c r="G29" s="167"/>
      <c r="H29" s="127">
        <f>H15-H16-H17-H18-H19-H20-H22-H23-H24+H26+H27</f>
        <v>0</v>
      </c>
      <c r="I29" s="128"/>
      <c r="J29" s="129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08"/>
      <c r="G30" s="168"/>
      <c r="H30" s="130"/>
      <c r="I30" s="131"/>
      <c r="J30" s="132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52" t="s">
        <v>57</v>
      </c>
      <c r="B32" s="153"/>
      <c r="C32" s="153"/>
      <c r="D32" s="154"/>
      <c r="F32" s="155" t="s">
        <v>58</v>
      </c>
      <c r="G32" s="156"/>
      <c r="H32" s="156"/>
      <c r="I32" s="156"/>
      <c r="J32" s="157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2" t="s">
        <v>62</v>
      </c>
      <c r="H33" s="155" t="s">
        <v>13</v>
      </c>
      <c r="I33" s="156"/>
      <c r="J33" s="157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6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149"/>
      <c r="I34" s="150"/>
      <c r="J34" s="151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7"/>
      <c r="B35" s="27" t="s">
        <v>67</v>
      </c>
      <c r="C35" s="52"/>
      <c r="D35" s="30">
        <f>C35*84</f>
        <v>0</v>
      </c>
      <c r="F35" s="58">
        <v>500</v>
      </c>
      <c r="G35" s="41"/>
      <c r="H35" s="149"/>
      <c r="I35" s="150"/>
      <c r="J35" s="15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8"/>
      <c r="B36" s="26" t="s">
        <v>69</v>
      </c>
      <c r="C36" s="10"/>
      <c r="D36" s="12">
        <f>C36*1.5</f>
        <v>0</v>
      </c>
      <c r="F36" s="12">
        <v>200</v>
      </c>
      <c r="G36" s="37"/>
      <c r="H36" s="149"/>
      <c r="I36" s="150"/>
      <c r="J36" s="151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6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49"/>
      <c r="I37" s="150"/>
      <c r="J37" s="151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7"/>
      <c r="B38" s="29" t="s">
        <v>67</v>
      </c>
      <c r="C38" s="54"/>
      <c r="D38" s="12">
        <f>C38*84</f>
        <v>0</v>
      </c>
      <c r="F38" s="30">
        <v>50</v>
      </c>
      <c r="G38" s="39"/>
      <c r="H38" s="149"/>
      <c r="I38" s="150"/>
      <c r="J38" s="151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8"/>
      <c r="B39" s="29" t="s">
        <v>69</v>
      </c>
      <c r="C39" s="52"/>
      <c r="D39" s="31">
        <f>C39*4.5</f>
        <v>0</v>
      </c>
      <c r="F39" s="12">
        <v>20</v>
      </c>
      <c r="G39" s="37"/>
      <c r="H39" s="149"/>
      <c r="I39" s="150"/>
      <c r="J39" s="15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6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49"/>
      <c r="I40" s="150"/>
      <c r="J40" s="151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7"/>
      <c r="B41" s="27" t="s">
        <v>67</v>
      </c>
      <c r="C41" s="10"/>
      <c r="D41" s="12">
        <f>C41*84</f>
        <v>0</v>
      </c>
      <c r="F41" s="12">
        <v>5</v>
      </c>
      <c r="G41" s="42"/>
      <c r="H41" s="149"/>
      <c r="I41" s="150"/>
      <c r="J41" s="151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8"/>
      <c r="B42" s="27" t="s">
        <v>69</v>
      </c>
      <c r="C42" s="11"/>
      <c r="D42" s="12">
        <f>C42*2.25</f>
        <v>0</v>
      </c>
      <c r="F42" s="39" t="s">
        <v>78</v>
      </c>
      <c r="G42" s="149"/>
      <c r="H42" s="150"/>
      <c r="I42" s="150"/>
      <c r="J42" s="151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19" t="s">
        <v>80</v>
      </c>
      <c r="C43" s="11"/>
      <c r="D43" s="12"/>
      <c r="F43" s="59" t="s">
        <v>81</v>
      </c>
      <c r="G43" s="88" t="s">
        <v>82</v>
      </c>
      <c r="H43" s="141" t="s">
        <v>13</v>
      </c>
      <c r="I43" s="142"/>
      <c r="J43" s="143"/>
      <c r="K43" s="21"/>
      <c r="P43" s="4"/>
      <c r="Q43" s="4"/>
      <c r="R43" s="5"/>
    </row>
    <row r="44" spans="1:18" ht="15.75" x14ac:dyDescent="0.25">
      <c r="A44" s="120"/>
      <c r="B44" s="27" t="s">
        <v>65</v>
      </c>
      <c r="C44" s="10"/>
      <c r="D44" s="12">
        <f>C44*120</f>
        <v>0</v>
      </c>
      <c r="F44" s="37"/>
      <c r="G44" s="76"/>
      <c r="H44" s="144"/>
      <c r="I44" s="144"/>
      <c r="J44" s="144"/>
      <c r="K44" s="21"/>
      <c r="P44" s="4"/>
      <c r="Q44" s="4"/>
      <c r="R44" s="5"/>
    </row>
    <row r="45" spans="1:18" ht="15.75" x14ac:dyDescent="0.25">
      <c r="A45" s="120"/>
      <c r="B45" s="27" t="s">
        <v>67</v>
      </c>
      <c r="C45" s="33"/>
      <c r="D45" s="12">
        <f>C45*84</f>
        <v>0</v>
      </c>
      <c r="F45" s="37"/>
      <c r="G45" s="76"/>
      <c r="H45" s="144"/>
      <c r="I45" s="144"/>
      <c r="J45" s="144"/>
      <c r="K45" s="21"/>
      <c r="P45" s="4"/>
      <c r="Q45" s="4"/>
      <c r="R45" s="5"/>
    </row>
    <row r="46" spans="1:18" ht="15.75" x14ac:dyDescent="0.25">
      <c r="A46" s="120"/>
      <c r="B46" s="49" t="s">
        <v>69</v>
      </c>
      <c r="C46" s="81"/>
      <c r="D46" s="12">
        <f>C46*1.5</f>
        <v>0</v>
      </c>
      <c r="F46" s="37"/>
      <c r="G46" s="62"/>
      <c r="H46" s="145"/>
      <c r="I46" s="145"/>
      <c r="J46" s="145"/>
      <c r="K46" s="21"/>
      <c r="P46" s="4"/>
      <c r="Q46" s="4"/>
      <c r="R46" s="5"/>
    </row>
    <row r="47" spans="1:18" ht="15.75" x14ac:dyDescent="0.25">
      <c r="A47" s="121"/>
      <c r="B47" s="27"/>
      <c r="C47" s="11"/>
      <c r="D47" s="12"/>
      <c r="F47" s="59"/>
      <c r="G47" s="59"/>
      <c r="H47" s="122"/>
      <c r="I47" s="123"/>
      <c r="J47" s="124"/>
      <c r="K47" s="21"/>
      <c r="P47" s="4"/>
      <c r="Q47" s="4"/>
      <c r="R47" s="5"/>
    </row>
    <row r="48" spans="1:18" ht="15" customHeight="1" x14ac:dyDescent="0.25">
      <c r="A48" s="119" t="s">
        <v>32</v>
      </c>
      <c r="B48" s="27" t="s">
        <v>65</v>
      </c>
      <c r="C48" s="10"/>
      <c r="D48" s="12">
        <f>C48*78</f>
        <v>0</v>
      </c>
      <c r="F48" s="59"/>
      <c r="G48" s="59"/>
      <c r="H48" s="122"/>
      <c r="I48" s="123"/>
      <c r="J48" s="124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20"/>
      <c r="B49" s="29" t="s">
        <v>67</v>
      </c>
      <c r="C49" s="33"/>
      <c r="D49" s="12">
        <f>C49*42</f>
        <v>0</v>
      </c>
      <c r="F49" s="125" t="s">
        <v>85</v>
      </c>
      <c r="G49" s="127">
        <f>H34+H35+H36+H37+H38+H39+H40+H41+G42+H44+H45+H46</f>
        <v>0</v>
      </c>
      <c r="H49" s="128"/>
      <c r="I49" s="128"/>
      <c r="J49" s="129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0"/>
      <c r="B50" s="32" t="s">
        <v>69</v>
      </c>
      <c r="C50" s="11"/>
      <c r="D50" s="12">
        <f>C50*1.5</f>
        <v>0</v>
      </c>
      <c r="F50" s="126"/>
      <c r="G50" s="130"/>
      <c r="H50" s="131"/>
      <c r="I50" s="131"/>
      <c r="J50" s="132"/>
      <c r="P50" s="4"/>
      <c r="Q50" s="4"/>
      <c r="R50" s="5"/>
    </row>
    <row r="51" spans="1:18" ht="15" customHeight="1" x14ac:dyDescent="0.25">
      <c r="A51" s="120"/>
      <c r="B51" s="27"/>
      <c r="C51" s="10"/>
      <c r="D51" s="31"/>
      <c r="F51" s="133" t="s">
        <v>106</v>
      </c>
      <c r="G51" s="135">
        <f>G49-H29</f>
        <v>0</v>
      </c>
      <c r="H51" s="136"/>
      <c r="I51" s="136"/>
      <c r="J51" s="137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0"/>
      <c r="B52" s="29"/>
      <c r="C52" s="33"/>
      <c r="D52" s="45"/>
      <c r="F52" s="134"/>
      <c r="G52" s="138"/>
      <c r="H52" s="139"/>
      <c r="I52" s="139"/>
      <c r="J52" s="140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1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05" t="s">
        <v>89</v>
      </c>
      <c r="B54" s="106"/>
      <c r="C54" s="107"/>
      <c r="D54" s="111">
        <f>SUM(D34:D53)</f>
        <v>0</v>
      </c>
      <c r="F54" s="21"/>
      <c r="J54" s="34"/>
    </row>
    <row r="55" spans="1:18" x14ac:dyDescent="0.25">
      <c r="A55" s="108"/>
      <c r="B55" s="109"/>
      <c r="C55" s="110"/>
      <c r="D55" s="11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13" t="s">
        <v>90</v>
      </c>
      <c r="B58" s="114"/>
      <c r="C58" s="114"/>
      <c r="D58" s="115"/>
      <c r="F58" s="113" t="s">
        <v>91</v>
      </c>
      <c r="G58" s="114"/>
      <c r="H58" s="114"/>
      <c r="I58" s="114"/>
      <c r="J58" s="115"/>
    </row>
    <row r="59" spans="1:18" x14ac:dyDescent="0.25">
      <c r="A59" s="116"/>
      <c r="B59" s="117"/>
      <c r="C59" s="117"/>
      <c r="D59" s="118"/>
      <c r="F59" s="116"/>
      <c r="G59" s="117"/>
      <c r="H59" s="117"/>
      <c r="I59" s="117"/>
      <c r="J59" s="118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6E3FC3-EDF4-4980-97CC-739A248BF138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1" t="s">
        <v>1</v>
      </c>
      <c r="O1" s="201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2" t="s">
        <v>7</v>
      </c>
      <c r="B4" s="153"/>
      <c r="C4" s="153"/>
      <c r="D4" s="154"/>
      <c r="F4" s="202" t="s">
        <v>8</v>
      </c>
      <c r="G4" s="204">
        <v>3</v>
      </c>
      <c r="H4" s="206" t="s">
        <v>9</v>
      </c>
      <c r="I4" s="208">
        <v>46144</v>
      </c>
      <c r="J4" s="20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6" t="s">
        <v>7</v>
      </c>
      <c r="B5" s="15" t="s">
        <v>11</v>
      </c>
      <c r="C5" s="9" t="s">
        <v>12</v>
      </c>
      <c r="D5" s="25" t="s">
        <v>13</v>
      </c>
      <c r="F5" s="203"/>
      <c r="G5" s="205"/>
      <c r="H5" s="207"/>
      <c r="I5" s="210"/>
      <c r="J5" s="21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7"/>
      <c r="B6" s="16" t="s">
        <v>15</v>
      </c>
      <c r="C6" s="10">
        <v>786</v>
      </c>
      <c r="D6" s="13">
        <f t="shared" ref="D6:D28" si="1">C6*L6</f>
        <v>598146</v>
      </c>
      <c r="F6" s="212" t="s">
        <v>16</v>
      </c>
      <c r="G6" s="214" t="s">
        <v>117</v>
      </c>
      <c r="H6" s="215"/>
      <c r="I6" s="215"/>
      <c r="J6" s="21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7"/>
      <c r="B7" s="16" t="s">
        <v>18</v>
      </c>
      <c r="C7" s="10">
        <v>2</v>
      </c>
      <c r="D7" s="13">
        <f t="shared" si="1"/>
        <v>1562</v>
      </c>
      <c r="F7" s="213"/>
      <c r="G7" s="217"/>
      <c r="H7" s="218"/>
      <c r="I7" s="218"/>
      <c r="J7" s="21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7"/>
      <c r="B8" s="16" t="s">
        <v>20</v>
      </c>
      <c r="C8" s="10"/>
      <c r="D8" s="13">
        <f t="shared" si="1"/>
        <v>0</v>
      </c>
      <c r="F8" s="220" t="s">
        <v>21</v>
      </c>
      <c r="G8" s="221" t="s">
        <v>110</v>
      </c>
      <c r="H8" s="222"/>
      <c r="I8" s="222"/>
      <c r="J8" s="22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7"/>
      <c r="B9" s="16" t="s">
        <v>23</v>
      </c>
      <c r="C9" s="10">
        <v>7</v>
      </c>
      <c r="D9" s="13">
        <f t="shared" si="1"/>
        <v>5131</v>
      </c>
      <c r="F9" s="213"/>
      <c r="G9" s="224"/>
      <c r="H9" s="225"/>
      <c r="I9" s="225"/>
      <c r="J9" s="22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7"/>
      <c r="B10" t="s">
        <v>25</v>
      </c>
      <c r="C10" s="10">
        <v>2</v>
      </c>
      <c r="D10" s="13">
        <f t="shared" si="1"/>
        <v>2064</v>
      </c>
      <c r="F10" s="212" t="s">
        <v>26</v>
      </c>
      <c r="G10" s="227" t="s">
        <v>124</v>
      </c>
      <c r="H10" s="228"/>
      <c r="I10" s="228"/>
      <c r="J10" s="229"/>
      <c r="K10" s="8"/>
      <c r="L10" s="6">
        <f>R36</f>
        <v>1032</v>
      </c>
      <c r="P10" s="4"/>
      <c r="Q10" s="4"/>
      <c r="R10" s="5"/>
    </row>
    <row r="11" spans="1:18" ht="15.75" x14ac:dyDescent="0.25">
      <c r="A11" s="147"/>
      <c r="B11" s="17" t="s">
        <v>28</v>
      </c>
      <c r="C11" s="10"/>
      <c r="D11" s="13">
        <f t="shared" si="1"/>
        <v>0</v>
      </c>
      <c r="F11" s="213"/>
      <c r="G11" s="224"/>
      <c r="H11" s="225"/>
      <c r="I11" s="225"/>
      <c r="J11" s="22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7"/>
      <c r="B12" s="17" t="s">
        <v>30</v>
      </c>
      <c r="C12" s="10">
        <f>15+2</f>
        <v>17</v>
      </c>
      <c r="D12" s="48">
        <f t="shared" si="1"/>
        <v>16864</v>
      </c>
      <c r="F12" s="230" t="s">
        <v>33</v>
      </c>
      <c r="G12" s="231"/>
      <c r="H12" s="231"/>
      <c r="I12" s="231"/>
      <c r="J12" s="23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7"/>
      <c r="B13" s="17" t="s">
        <v>32</v>
      </c>
      <c r="C13" s="10">
        <v>22</v>
      </c>
      <c r="D13" s="48">
        <f t="shared" si="1"/>
        <v>6754</v>
      </c>
      <c r="F13" s="233" t="s">
        <v>36</v>
      </c>
      <c r="G13" s="197"/>
      <c r="H13" s="188">
        <f>D29</f>
        <v>635011</v>
      </c>
      <c r="I13" s="189"/>
      <c r="J13" s="19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7"/>
      <c r="B14" s="14" t="s">
        <v>35</v>
      </c>
      <c r="C14" s="10"/>
      <c r="D14" s="31">
        <f t="shared" si="1"/>
        <v>0</v>
      </c>
      <c r="F14" s="191" t="s">
        <v>38</v>
      </c>
      <c r="G14" s="192"/>
      <c r="H14" s="193">
        <f>D54</f>
        <v>84996</v>
      </c>
      <c r="I14" s="194"/>
      <c r="J14" s="19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7"/>
      <c r="B15" s="14" t="s">
        <v>122</v>
      </c>
      <c r="C15" s="10">
        <v>2</v>
      </c>
      <c r="D15" s="31">
        <f t="shared" si="1"/>
        <v>1240</v>
      </c>
      <c r="F15" s="196" t="s">
        <v>39</v>
      </c>
      <c r="G15" s="197"/>
      <c r="H15" s="198">
        <f>H13-H14</f>
        <v>550015</v>
      </c>
      <c r="I15" s="199"/>
      <c r="J15" s="200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7"/>
      <c r="B16" s="18" t="s">
        <v>111</v>
      </c>
      <c r="C16" s="10">
        <v>5</v>
      </c>
      <c r="D16" s="48">
        <f t="shared" si="1"/>
        <v>3250</v>
      </c>
      <c r="F16" s="67" t="s">
        <v>41</v>
      </c>
      <c r="G16" s="66" t="s">
        <v>42</v>
      </c>
      <c r="H16" s="158">
        <f>2694+300+522</f>
        <v>3516</v>
      </c>
      <c r="I16" s="158"/>
      <c r="J16" s="158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7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69"/>
      <c r="I17" s="169"/>
      <c r="J17" s="169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7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69"/>
      <c r="I18" s="169"/>
      <c r="J18" s="169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7"/>
      <c r="B19" s="87" t="s">
        <v>105</v>
      </c>
      <c r="C19" s="10"/>
      <c r="D19" s="48">
        <f t="shared" si="1"/>
        <v>0</v>
      </c>
      <c r="F19" s="56"/>
      <c r="G19" s="68" t="s">
        <v>49</v>
      </c>
      <c r="H19" s="253"/>
      <c r="I19" s="253"/>
      <c r="J19" s="253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7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58"/>
      <c r="I20" s="158"/>
      <c r="J20" s="158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7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71" t="s">
        <v>13</v>
      </c>
      <c r="I21" s="172"/>
      <c r="J21" s="173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7"/>
      <c r="B22" s="46" t="s">
        <v>103</v>
      </c>
      <c r="C22" s="10"/>
      <c r="D22" s="48">
        <f t="shared" si="1"/>
        <v>0</v>
      </c>
      <c r="F22" s="77"/>
      <c r="G22" s="73"/>
      <c r="H22" s="174"/>
      <c r="I22" s="174"/>
      <c r="J22" s="174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7"/>
      <c r="B23" s="14" t="s">
        <v>121</v>
      </c>
      <c r="C23" s="10"/>
      <c r="D23" s="48">
        <f t="shared" si="1"/>
        <v>0</v>
      </c>
      <c r="F23" s="78"/>
      <c r="G23" s="79"/>
      <c r="H23" s="175"/>
      <c r="I23" s="144"/>
      <c r="J23" s="144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7"/>
      <c r="B24" s="14" t="s">
        <v>128</v>
      </c>
      <c r="C24" s="10"/>
      <c r="D24" s="48">
        <f t="shared" si="1"/>
        <v>0</v>
      </c>
      <c r="F24" s="38"/>
      <c r="G24" s="37"/>
      <c r="H24" s="175"/>
      <c r="I24" s="144"/>
      <c r="J24" s="144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7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76" t="s">
        <v>13</v>
      </c>
      <c r="I25" s="177"/>
      <c r="J25" s="178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7"/>
      <c r="B26" s="14" t="s">
        <v>129</v>
      </c>
      <c r="C26" s="10"/>
      <c r="D26" s="48">
        <f t="shared" si="1"/>
        <v>0</v>
      </c>
      <c r="F26" s="64"/>
      <c r="G26" s="59"/>
      <c r="H26" s="179"/>
      <c r="I26" s="180"/>
      <c r="J26" s="181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7"/>
      <c r="B27" s="14" t="s">
        <v>130</v>
      </c>
      <c r="C27" s="10"/>
      <c r="D27" s="44">
        <f t="shared" si="1"/>
        <v>0</v>
      </c>
      <c r="F27" s="25"/>
      <c r="G27" s="80"/>
      <c r="H27" s="182"/>
      <c r="I27" s="183"/>
      <c r="J27" s="184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8"/>
      <c r="B28" s="46" t="s">
        <v>92</v>
      </c>
      <c r="C28" s="10"/>
      <c r="D28" s="48">
        <f t="shared" si="1"/>
        <v>0</v>
      </c>
      <c r="F28" s="91"/>
      <c r="G28" s="61"/>
      <c r="H28" s="185"/>
      <c r="I28" s="186"/>
      <c r="J28" s="187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9" t="s">
        <v>36</v>
      </c>
      <c r="B29" s="160"/>
      <c r="C29" s="161"/>
      <c r="D29" s="165">
        <f>SUM(D6:D28)</f>
        <v>635011</v>
      </c>
      <c r="F29" s="105" t="s">
        <v>54</v>
      </c>
      <c r="G29" s="167"/>
      <c r="H29" s="127">
        <f>H15-H16-H17-H18-H19-H20-H22-H23-H24+H26+H27</f>
        <v>546499</v>
      </c>
      <c r="I29" s="128"/>
      <c r="J29" s="129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08"/>
      <c r="G30" s="168"/>
      <c r="H30" s="130"/>
      <c r="I30" s="131"/>
      <c r="J30" s="132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2" t="s">
        <v>57</v>
      </c>
      <c r="B32" s="153"/>
      <c r="C32" s="153"/>
      <c r="D32" s="154"/>
      <c r="F32" s="155" t="s">
        <v>58</v>
      </c>
      <c r="G32" s="156"/>
      <c r="H32" s="156"/>
      <c r="I32" s="156"/>
      <c r="J32" s="157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2" t="s">
        <v>62</v>
      </c>
      <c r="H33" s="155" t="s">
        <v>13</v>
      </c>
      <c r="I33" s="156"/>
      <c r="J33" s="157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6" t="s">
        <v>64</v>
      </c>
      <c r="B34" s="26" t="s">
        <v>65</v>
      </c>
      <c r="C34" s="51">
        <v>6</v>
      </c>
      <c r="D34" s="30">
        <f>C34*120</f>
        <v>720</v>
      </c>
      <c r="F34" s="12">
        <v>1000</v>
      </c>
      <c r="G34" s="74">
        <v>182</v>
      </c>
      <c r="H34" s="149">
        <f>F34*G34</f>
        <v>182000</v>
      </c>
      <c r="I34" s="150"/>
      <c r="J34" s="151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7"/>
      <c r="B35" s="27" t="s">
        <v>67</v>
      </c>
      <c r="C35" s="52"/>
      <c r="D35" s="30">
        <f>C35*84</f>
        <v>0</v>
      </c>
      <c r="F35" s="58">
        <v>500</v>
      </c>
      <c r="G35" s="41">
        <v>59</v>
      </c>
      <c r="H35" s="149">
        <f>F35*G35</f>
        <v>29500</v>
      </c>
      <c r="I35" s="150"/>
      <c r="J35" s="15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8"/>
      <c r="B36" s="26" t="s">
        <v>69</v>
      </c>
      <c r="C36" s="10">
        <v>21</v>
      </c>
      <c r="D36" s="12">
        <f>C36*1.5</f>
        <v>31.5</v>
      </c>
      <c r="F36" s="12">
        <v>200</v>
      </c>
      <c r="G36" s="37"/>
      <c r="H36" s="149">
        <f t="shared" ref="H36:H39" si="2">F36*G36</f>
        <v>0</v>
      </c>
      <c r="I36" s="150"/>
      <c r="J36" s="151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6" t="s">
        <v>71</v>
      </c>
      <c r="B37" s="28" t="s">
        <v>65</v>
      </c>
      <c r="C37" s="53">
        <v>677</v>
      </c>
      <c r="D37" s="12">
        <f>C37*111</f>
        <v>75147</v>
      </c>
      <c r="F37" s="12">
        <v>100</v>
      </c>
      <c r="G37" s="39">
        <v>14</v>
      </c>
      <c r="H37" s="149">
        <f t="shared" si="2"/>
        <v>1400</v>
      </c>
      <c r="I37" s="150"/>
      <c r="J37" s="151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7"/>
      <c r="B38" s="29" t="s">
        <v>67</v>
      </c>
      <c r="C38" s="54">
        <v>23</v>
      </c>
      <c r="D38" s="12">
        <f>C38*84</f>
        <v>1932</v>
      </c>
      <c r="F38" s="30">
        <v>50</v>
      </c>
      <c r="G38" s="39"/>
      <c r="H38" s="149">
        <f t="shared" si="2"/>
        <v>0</v>
      </c>
      <c r="I38" s="150"/>
      <c r="J38" s="151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8"/>
      <c r="B39" s="29" t="s">
        <v>69</v>
      </c>
      <c r="C39" s="52"/>
      <c r="D39" s="31">
        <f>C39*4.5</f>
        <v>0</v>
      </c>
      <c r="F39" s="12">
        <v>20</v>
      </c>
      <c r="G39" s="37"/>
      <c r="H39" s="149">
        <f t="shared" si="2"/>
        <v>0</v>
      </c>
      <c r="I39" s="150"/>
      <c r="J39" s="15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6" t="s">
        <v>75</v>
      </c>
      <c r="B40" s="27" t="s">
        <v>65</v>
      </c>
      <c r="C40" s="63">
        <v>28</v>
      </c>
      <c r="D40" s="12">
        <f>C40*111</f>
        <v>3108</v>
      </c>
      <c r="F40" s="12">
        <v>10</v>
      </c>
      <c r="G40" s="42"/>
      <c r="H40" s="149"/>
      <c r="I40" s="150"/>
      <c r="J40" s="151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7"/>
      <c r="B41" s="27" t="s">
        <v>67</v>
      </c>
      <c r="C41" s="10">
        <v>2</v>
      </c>
      <c r="D41" s="12">
        <f>C41*84</f>
        <v>168</v>
      </c>
      <c r="F41" s="12">
        <v>5</v>
      </c>
      <c r="G41" s="42"/>
      <c r="H41" s="149"/>
      <c r="I41" s="150"/>
      <c r="J41" s="151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8"/>
      <c r="B42" s="27" t="s">
        <v>69</v>
      </c>
      <c r="C42" s="11"/>
      <c r="D42" s="12">
        <f>C42*2.25</f>
        <v>0</v>
      </c>
      <c r="F42" s="39" t="s">
        <v>78</v>
      </c>
      <c r="G42" s="149">
        <v>1</v>
      </c>
      <c r="H42" s="150"/>
      <c r="I42" s="150"/>
      <c r="J42" s="151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19" t="s">
        <v>80</v>
      </c>
      <c r="C43" s="11"/>
      <c r="D43" s="12"/>
      <c r="F43" s="59" t="s">
        <v>81</v>
      </c>
      <c r="G43" s="88" t="s">
        <v>82</v>
      </c>
      <c r="H43" s="141" t="s">
        <v>13</v>
      </c>
      <c r="I43" s="142"/>
      <c r="J43" s="143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20"/>
      <c r="B44" s="27" t="s">
        <v>65</v>
      </c>
      <c r="C44" s="10">
        <v>15</v>
      </c>
      <c r="D44" s="12">
        <f>C44*120</f>
        <v>1800</v>
      </c>
      <c r="F44" s="37" t="s">
        <v>136</v>
      </c>
      <c r="G44" s="76" t="s">
        <v>138</v>
      </c>
      <c r="H44" s="144">
        <v>296674</v>
      </c>
      <c r="I44" s="144"/>
      <c r="J44" s="144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20"/>
      <c r="B45" s="27" t="s">
        <v>67</v>
      </c>
      <c r="C45" s="33">
        <v>11</v>
      </c>
      <c r="D45" s="12">
        <f>C45*84</f>
        <v>924</v>
      </c>
      <c r="F45" s="37" t="s">
        <v>136</v>
      </c>
      <c r="G45" s="76" t="s">
        <v>139</v>
      </c>
      <c r="H45" s="144">
        <v>32658</v>
      </c>
      <c r="I45" s="144"/>
      <c r="J45" s="144"/>
      <c r="K45" s="21"/>
      <c r="P45" s="4"/>
      <c r="Q45" s="4"/>
      <c r="R45" s="5"/>
    </row>
    <row r="46" spans="1:18" ht="15.75" x14ac:dyDescent="0.25">
      <c r="A46" s="120"/>
      <c r="B46" s="49" t="s">
        <v>69</v>
      </c>
      <c r="C46" s="81">
        <v>21</v>
      </c>
      <c r="D46" s="12">
        <f>C46*1.5</f>
        <v>31.5</v>
      </c>
      <c r="F46" s="37" t="s">
        <v>137</v>
      </c>
      <c r="G46" s="62"/>
      <c r="H46" s="144">
        <v>4250</v>
      </c>
      <c r="I46" s="144"/>
      <c r="J46" s="144"/>
      <c r="K46" s="21"/>
      <c r="P46" s="4"/>
      <c r="Q46" s="4"/>
      <c r="R46" s="5"/>
    </row>
    <row r="47" spans="1:18" ht="15.75" x14ac:dyDescent="0.25">
      <c r="A47" s="121"/>
      <c r="B47" s="27"/>
      <c r="C47" s="11"/>
      <c r="D47" s="12"/>
      <c r="F47" s="59"/>
      <c r="G47" s="59"/>
      <c r="H47" s="122"/>
      <c r="I47" s="123"/>
      <c r="J47" s="124"/>
      <c r="K47" s="21"/>
      <c r="P47" s="4"/>
      <c r="Q47" s="4"/>
      <c r="R47" s="5"/>
    </row>
    <row r="48" spans="1:18" ht="15" customHeight="1" x14ac:dyDescent="0.25">
      <c r="A48" s="119" t="s">
        <v>32</v>
      </c>
      <c r="B48" s="27" t="s">
        <v>65</v>
      </c>
      <c r="C48" s="10">
        <v>7</v>
      </c>
      <c r="D48" s="12">
        <f>C48*78</f>
        <v>546</v>
      </c>
      <c r="F48" s="59"/>
      <c r="G48" s="59"/>
      <c r="H48" s="122"/>
      <c r="I48" s="123"/>
      <c r="J48" s="124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20"/>
      <c r="B49" s="29" t="s">
        <v>67</v>
      </c>
      <c r="C49" s="33">
        <v>14</v>
      </c>
      <c r="D49" s="12">
        <f>C49*42</f>
        <v>588</v>
      </c>
      <c r="F49" s="125" t="s">
        <v>85</v>
      </c>
      <c r="G49" s="127">
        <f>H34+H35+H36+H37+H38+H39+H40+H41+G42+H44+H45+H46</f>
        <v>546483</v>
      </c>
      <c r="H49" s="128"/>
      <c r="I49" s="128"/>
      <c r="J49" s="129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0"/>
      <c r="B50" s="32" t="s">
        <v>69</v>
      </c>
      <c r="C50" s="11"/>
      <c r="D50" s="12">
        <f>C50*1.5</f>
        <v>0</v>
      </c>
      <c r="F50" s="126"/>
      <c r="G50" s="130"/>
      <c r="H50" s="131"/>
      <c r="I50" s="131"/>
      <c r="J50" s="132"/>
      <c r="O50" t="s">
        <v>114</v>
      </c>
      <c r="P50" s="4">
        <v>1204</v>
      </c>
      <c r="Q50" s="4"/>
      <c r="R50" s="5"/>
    </row>
    <row r="51" spans="1:18" ht="15" customHeight="1" x14ac:dyDescent="0.25">
      <c r="A51" s="120"/>
      <c r="B51" s="27"/>
      <c r="C51" s="10"/>
      <c r="D51" s="31"/>
      <c r="F51" s="133" t="s">
        <v>140</v>
      </c>
      <c r="G51" s="246">
        <f>G49-H29</f>
        <v>-16</v>
      </c>
      <c r="H51" s="247"/>
      <c r="I51" s="247"/>
      <c r="J51" s="248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20"/>
      <c r="B52" s="29"/>
      <c r="C52" s="33"/>
      <c r="D52" s="45"/>
      <c r="F52" s="134"/>
      <c r="G52" s="249"/>
      <c r="H52" s="250"/>
      <c r="I52" s="250"/>
      <c r="J52" s="251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1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05" t="s">
        <v>89</v>
      </c>
      <c r="B54" s="106"/>
      <c r="C54" s="107"/>
      <c r="D54" s="111">
        <f>SUM(D34:D53)</f>
        <v>84996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08"/>
      <c r="B55" s="109"/>
      <c r="C55" s="110"/>
      <c r="D55" s="11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13" t="s">
        <v>90</v>
      </c>
      <c r="B58" s="114"/>
      <c r="C58" s="114"/>
      <c r="D58" s="115"/>
      <c r="F58" s="113" t="s">
        <v>91</v>
      </c>
      <c r="G58" s="114"/>
      <c r="H58" s="114"/>
      <c r="I58" s="114"/>
      <c r="J58" s="115"/>
    </row>
    <row r="59" spans="1:18" x14ac:dyDescent="0.25">
      <c r="A59" s="116"/>
      <c r="B59" s="117"/>
      <c r="C59" s="117"/>
      <c r="D59" s="118"/>
      <c r="F59" s="116"/>
      <c r="G59" s="117"/>
      <c r="H59" s="117"/>
      <c r="I59" s="117"/>
      <c r="J59" s="118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8FA120-1D1E-4EA9-9568-A1410D5DF8C1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01" t="s">
        <v>1</v>
      </c>
      <c r="O1" s="201"/>
      <c r="P1" s="90" t="s">
        <v>2</v>
      </c>
      <c r="Q1" s="90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52" t="s">
        <v>7</v>
      </c>
      <c r="B4" s="153"/>
      <c r="C4" s="153"/>
      <c r="D4" s="154"/>
      <c r="F4" s="202" t="s">
        <v>8</v>
      </c>
      <c r="G4" s="204"/>
      <c r="H4" s="206" t="s">
        <v>9</v>
      </c>
      <c r="I4" s="208"/>
      <c r="J4" s="20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46" t="s">
        <v>7</v>
      </c>
      <c r="B5" s="15" t="s">
        <v>11</v>
      </c>
      <c r="C5" s="9" t="s">
        <v>12</v>
      </c>
      <c r="D5" s="25" t="s">
        <v>13</v>
      </c>
      <c r="F5" s="203"/>
      <c r="G5" s="205"/>
      <c r="H5" s="207"/>
      <c r="I5" s="210"/>
      <c r="J5" s="21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47"/>
      <c r="B6" s="16"/>
      <c r="C6" s="10"/>
      <c r="D6" s="13">
        <f t="shared" ref="D6:D28" si="1">C6*L6</f>
        <v>0</v>
      </c>
      <c r="F6" s="212" t="s">
        <v>16</v>
      </c>
      <c r="G6" s="214"/>
      <c r="H6" s="215"/>
      <c r="I6" s="215"/>
      <c r="J6" s="216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47"/>
      <c r="B7" s="16"/>
      <c r="C7" s="10"/>
      <c r="D7" s="13">
        <f t="shared" si="1"/>
        <v>0</v>
      </c>
      <c r="F7" s="213"/>
      <c r="G7" s="217"/>
      <c r="H7" s="218"/>
      <c r="I7" s="218"/>
      <c r="J7" s="219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47"/>
      <c r="B8" s="16"/>
      <c r="C8" s="10"/>
      <c r="D8" s="13">
        <f t="shared" si="1"/>
        <v>0</v>
      </c>
      <c r="F8" s="220" t="s">
        <v>21</v>
      </c>
      <c r="G8" s="221"/>
      <c r="H8" s="222"/>
      <c r="I8" s="222"/>
      <c r="J8" s="223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47"/>
      <c r="B9" s="16"/>
      <c r="C9" s="10"/>
      <c r="D9" s="13">
        <f t="shared" si="1"/>
        <v>0</v>
      </c>
      <c r="F9" s="213"/>
      <c r="G9" s="224"/>
      <c r="H9" s="225"/>
      <c r="I9" s="225"/>
      <c r="J9" s="226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47"/>
      <c r="C10" s="10"/>
      <c r="D10" s="13">
        <f t="shared" si="1"/>
        <v>0</v>
      </c>
      <c r="F10" s="212" t="s">
        <v>26</v>
      </c>
      <c r="G10" s="227"/>
      <c r="H10" s="228"/>
      <c r="I10" s="228"/>
      <c r="J10" s="229"/>
      <c r="K10" s="8"/>
      <c r="L10" s="6">
        <f>R36</f>
        <v>972</v>
      </c>
      <c r="P10" s="4"/>
      <c r="Q10" s="4"/>
      <c r="R10" s="5"/>
    </row>
    <row r="11" spans="1:19" ht="15.75" x14ac:dyDescent="0.25">
      <c r="A11" s="147"/>
      <c r="B11" s="17"/>
      <c r="C11" s="10"/>
      <c r="D11" s="13">
        <f t="shared" si="1"/>
        <v>0</v>
      </c>
      <c r="F11" s="213"/>
      <c r="G11" s="224"/>
      <c r="H11" s="225"/>
      <c r="I11" s="225"/>
      <c r="J11" s="226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47"/>
      <c r="B12" s="17"/>
      <c r="C12" s="10"/>
      <c r="D12" s="48">
        <f t="shared" si="1"/>
        <v>0</v>
      </c>
      <c r="F12" s="230" t="s">
        <v>33</v>
      </c>
      <c r="G12" s="231"/>
      <c r="H12" s="231"/>
      <c r="I12" s="231"/>
      <c r="J12" s="232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47"/>
      <c r="B13" s="17"/>
      <c r="C13" s="10"/>
      <c r="D13" s="48">
        <f t="shared" si="1"/>
        <v>0</v>
      </c>
      <c r="F13" s="233" t="s">
        <v>36</v>
      </c>
      <c r="G13" s="197"/>
      <c r="H13" s="188">
        <f>D29</f>
        <v>0</v>
      </c>
      <c r="I13" s="189"/>
      <c r="J13" s="19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47"/>
      <c r="B14" s="14"/>
      <c r="C14" s="10"/>
      <c r="D14" s="31">
        <f t="shared" si="1"/>
        <v>0</v>
      </c>
      <c r="F14" s="191" t="s">
        <v>38</v>
      </c>
      <c r="G14" s="192"/>
      <c r="H14" s="193">
        <f>D54</f>
        <v>0</v>
      </c>
      <c r="I14" s="194"/>
      <c r="J14" s="19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47"/>
      <c r="B15" s="14"/>
      <c r="C15" s="10"/>
      <c r="D15" s="31">
        <f t="shared" si="1"/>
        <v>0</v>
      </c>
      <c r="F15" s="196" t="s">
        <v>39</v>
      </c>
      <c r="G15" s="197"/>
      <c r="H15" s="198">
        <f>H13-H14</f>
        <v>0</v>
      </c>
      <c r="I15" s="199"/>
      <c r="J15" s="200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47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58"/>
      <c r="I16" s="158"/>
      <c r="J16" s="158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7"/>
      <c r="C17" s="10"/>
      <c r="D17" s="48">
        <f t="shared" si="1"/>
        <v>0</v>
      </c>
      <c r="F17" s="56"/>
      <c r="G17" s="66" t="s">
        <v>44</v>
      </c>
      <c r="H17" s="169"/>
      <c r="I17" s="169"/>
      <c r="J17" s="169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7"/>
      <c r="B18" s="19"/>
      <c r="C18" s="10"/>
      <c r="D18" s="48">
        <f t="shared" si="1"/>
        <v>0</v>
      </c>
      <c r="F18" s="56"/>
      <c r="G18" s="66" t="s">
        <v>46</v>
      </c>
      <c r="H18" s="169"/>
      <c r="I18" s="169"/>
      <c r="J18" s="16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7"/>
      <c r="B19" s="14"/>
      <c r="C19" s="10"/>
      <c r="D19" s="48">
        <f t="shared" si="1"/>
        <v>0</v>
      </c>
      <c r="F19" s="56"/>
      <c r="G19" s="68" t="s">
        <v>49</v>
      </c>
      <c r="H19" s="170"/>
      <c r="I19" s="170"/>
      <c r="J19" s="170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7"/>
      <c r="B20" s="46"/>
      <c r="C20" s="10"/>
      <c r="D20" s="13">
        <f t="shared" si="1"/>
        <v>0</v>
      </c>
      <c r="F20" s="57"/>
      <c r="G20" s="70" t="s">
        <v>102</v>
      </c>
      <c r="H20" s="158"/>
      <c r="I20" s="158"/>
      <c r="J20" s="158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7"/>
      <c r="B21" s="14"/>
      <c r="C21" s="10"/>
      <c r="D21" s="48">
        <f t="shared" si="1"/>
        <v>0</v>
      </c>
      <c r="F21" s="69" t="s">
        <v>94</v>
      </c>
      <c r="G21" s="82" t="s">
        <v>93</v>
      </c>
      <c r="H21" s="171" t="s">
        <v>13</v>
      </c>
      <c r="I21" s="172"/>
      <c r="J21" s="173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7"/>
      <c r="B22" s="46"/>
      <c r="C22" s="10"/>
      <c r="D22" s="48">
        <f t="shared" si="1"/>
        <v>0</v>
      </c>
      <c r="F22" s="77"/>
      <c r="G22" s="73"/>
      <c r="H22" s="174"/>
      <c r="I22" s="174"/>
      <c r="J22" s="174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7"/>
      <c r="B23" s="14"/>
      <c r="C23" s="10"/>
      <c r="D23" s="48">
        <f t="shared" si="1"/>
        <v>0</v>
      </c>
      <c r="F23" s="78"/>
      <c r="G23" s="79"/>
      <c r="H23" s="175"/>
      <c r="I23" s="144"/>
      <c r="J23" s="144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7"/>
      <c r="B24" s="14"/>
      <c r="C24" s="10"/>
      <c r="D24" s="48">
        <f t="shared" si="1"/>
        <v>0</v>
      </c>
      <c r="F24" s="38"/>
      <c r="G24" s="37"/>
      <c r="H24" s="175"/>
      <c r="I24" s="144"/>
      <c r="J24" s="144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7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176" t="s">
        <v>13</v>
      </c>
      <c r="I25" s="177"/>
      <c r="J25" s="178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7"/>
      <c r="B26" s="14"/>
      <c r="C26" s="10"/>
      <c r="D26" s="48">
        <f t="shared" si="1"/>
        <v>0</v>
      </c>
      <c r="F26" s="64"/>
      <c r="G26" s="59"/>
      <c r="H26" s="179"/>
      <c r="I26" s="180"/>
      <c r="J26" s="181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7"/>
      <c r="B27" s="14"/>
      <c r="C27" s="10"/>
      <c r="D27" s="44">
        <f t="shared" si="1"/>
        <v>0</v>
      </c>
      <c r="F27" s="25"/>
      <c r="G27" s="80"/>
      <c r="H27" s="182"/>
      <c r="I27" s="183"/>
      <c r="J27" s="184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8"/>
      <c r="B28" s="46"/>
      <c r="C28" s="10"/>
      <c r="D28" s="48">
        <f t="shared" si="1"/>
        <v>0</v>
      </c>
      <c r="F28" s="91"/>
      <c r="G28" s="61"/>
      <c r="H28" s="185"/>
      <c r="I28" s="186"/>
      <c r="J28" s="187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9" t="s">
        <v>36</v>
      </c>
      <c r="B29" s="160"/>
      <c r="C29" s="161"/>
      <c r="D29" s="165">
        <f>SUM(D6:D28)</f>
        <v>0</v>
      </c>
      <c r="F29" s="105" t="s">
        <v>54</v>
      </c>
      <c r="G29" s="167"/>
      <c r="H29" s="127">
        <f>H15-H16-H17-H18-H19-H20-H22-H23-H24+H26+H27</f>
        <v>0</v>
      </c>
      <c r="I29" s="128"/>
      <c r="J29" s="129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08"/>
      <c r="G30" s="168"/>
      <c r="H30" s="130"/>
      <c r="I30" s="131"/>
      <c r="J30" s="132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52" t="s">
        <v>57</v>
      </c>
      <c r="B32" s="153"/>
      <c r="C32" s="153"/>
      <c r="D32" s="154"/>
      <c r="F32" s="155" t="s">
        <v>58</v>
      </c>
      <c r="G32" s="156"/>
      <c r="H32" s="156"/>
      <c r="I32" s="156"/>
      <c r="J32" s="157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2" t="s">
        <v>62</v>
      </c>
      <c r="H33" s="155" t="s">
        <v>13</v>
      </c>
      <c r="I33" s="156"/>
      <c r="J33" s="157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6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149"/>
      <c r="I34" s="150"/>
      <c r="J34" s="151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7"/>
      <c r="B35" s="27" t="s">
        <v>67</v>
      </c>
      <c r="C35" s="52"/>
      <c r="D35" s="30">
        <f>C35*84</f>
        <v>0</v>
      </c>
      <c r="F35" s="58">
        <v>500</v>
      </c>
      <c r="G35" s="41"/>
      <c r="H35" s="149"/>
      <c r="I35" s="150"/>
      <c r="J35" s="15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8"/>
      <c r="B36" s="26" t="s">
        <v>69</v>
      </c>
      <c r="C36" s="10"/>
      <c r="D36" s="12">
        <f>C36*1.5</f>
        <v>0</v>
      </c>
      <c r="F36" s="12">
        <v>200</v>
      </c>
      <c r="G36" s="37"/>
      <c r="H36" s="149"/>
      <c r="I36" s="150"/>
      <c r="J36" s="151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6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49"/>
      <c r="I37" s="150"/>
      <c r="J37" s="151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7"/>
      <c r="B38" s="29" t="s">
        <v>67</v>
      </c>
      <c r="C38" s="54"/>
      <c r="D38" s="12">
        <f>C38*84</f>
        <v>0</v>
      </c>
      <c r="F38" s="30">
        <v>50</v>
      </c>
      <c r="G38" s="39"/>
      <c r="H38" s="149"/>
      <c r="I38" s="150"/>
      <c r="J38" s="151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8"/>
      <c r="B39" s="29" t="s">
        <v>69</v>
      </c>
      <c r="C39" s="52"/>
      <c r="D39" s="31">
        <f>C39*4.5</f>
        <v>0</v>
      </c>
      <c r="F39" s="12">
        <v>20</v>
      </c>
      <c r="G39" s="37"/>
      <c r="H39" s="149"/>
      <c r="I39" s="150"/>
      <c r="J39" s="15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6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49"/>
      <c r="I40" s="150"/>
      <c r="J40" s="151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7"/>
      <c r="B41" s="27" t="s">
        <v>67</v>
      </c>
      <c r="C41" s="10"/>
      <c r="D41" s="12">
        <f>C41*84</f>
        <v>0</v>
      </c>
      <c r="F41" s="12">
        <v>5</v>
      </c>
      <c r="G41" s="42"/>
      <c r="H41" s="149"/>
      <c r="I41" s="150"/>
      <c r="J41" s="151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8"/>
      <c r="B42" s="27" t="s">
        <v>69</v>
      </c>
      <c r="C42" s="11"/>
      <c r="D42" s="12">
        <f>C42*2.25</f>
        <v>0</v>
      </c>
      <c r="F42" s="39" t="s">
        <v>78</v>
      </c>
      <c r="G42" s="149"/>
      <c r="H42" s="150"/>
      <c r="I42" s="150"/>
      <c r="J42" s="151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19" t="s">
        <v>80</v>
      </c>
      <c r="C43" s="11"/>
      <c r="D43" s="12"/>
      <c r="F43" s="59" t="s">
        <v>81</v>
      </c>
      <c r="G43" s="88" t="s">
        <v>82</v>
      </c>
      <c r="H43" s="141" t="s">
        <v>13</v>
      </c>
      <c r="I43" s="142"/>
      <c r="J43" s="143"/>
      <c r="K43" s="21"/>
      <c r="P43" s="4"/>
      <c r="Q43" s="4"/>
      <c r="R43" s="5"/>
    </row>
    <row r="44" spans="1:18" ht="15.75" x14ac:dyDescent="0.25">
      <c r="A44" s="120"/>
      <c r="B44" s="27" t="s">
        <v>65</v>
      </c>
      <c r="C44" s="10"/>
      <c r="D44" s="12">
        <f>C44*120</f>
        <v>0</v>
      </c>
      <c r="F44" s="37"/>
      <c r="G44" s="76"/>
      <c r="H44" s="144"/>
      <c r="I44" s="144"/>
      <c r="J44" s="144"/>
      <c r="K44" s="21"/>
      <c r="P44" s="4"/>
      <c r="Q44" s="4"/>
      <c r="R44" s="5"/>
    </row>
    <row r="45" spans="1:18" ht="15.75" x14ac:dyDescent="0.25">
      <c r="A45" s="120"/>
      <c r="B45" s="27" t="s">
        <v>67</v>
      </c>
      <c r="C45" s="33"/>
      <c r="D45" s="12">
        <f>C45*84</f>
        <v>0</v>
      </c>
      <c r="F45" s="37"/>
      <c r="G45" s="76"/>
      <c r="H45" s="144"/>
      <c r="I45" s="144"/>
      <c r="J45" s="144"/>
      <c r="K45" s="21"/>
      <c r="P45" s="4"/>
      <c r="Q45" s="4"/>
      <c r="R45" s="5"/>
    </row>
    <row r="46" spans="1:18" ht="15.75" x14ac:dyDescent="0.25">
      <c r="A46" s="120"/>
      <c r="B46" s="49" t="s">
        <v>69</v>
      </c>
      <c r="C46" s="81"/>
      <c r="D46" s="12">
        <f>C46*1.5</f>
        <v>0</v>
      </c>
      <c r="F46" s="37"/>
      <c r="G46" s="62"/>
      <c r="H46" s="145"/>
      <c r="I46" s="145"/>
      <c r="J46" s="145"/>
      <c r="K46" s="21"/>
      <c r="P46" s="4"/>
      <c r="Q46" s="4"/>
      <c r="R46" s="5"/>
    </row>
    <row r="47" spans="1:18" ht="15.75" x14ac:dyDescent="0.25">
      <c r="A47" s="121"/>
      <c r="B47" s="27"/>
      <c r="C47" s="11"/>
      <c r="D47" s="12"/>
      <c r="F47" s="59"/>
      <c r="G47" s="59"/>
      <c r="H47" s="122"/>
      <c r="I47" s="123"/>
      <c r="J47" s="124"/>
      <c r="K47" s="21"/>
      <c r="P47" s="4"/>
      <c r="Q47" s="4"/>
      <c r="R47" s="5"/>
    </row>
    <row r="48" spans="1:18" ht="15" customHeight="1" x14ac:dyDescent="0.25">
      <c r="A48" s="119" t="s">
        <v>32</v>
      </c>
      <c r="B48" s="27" t="s">
        <v>65</v>
      </c>
      <c r="C48" s="10"/>
      <c r="D48" s="12">
        <f>C48*78</f>
        <v>0</v>
      </c>
      <c r="F48" s="59"/>
      <c r="G48" s="59"/>
      <c r="H48" s="122"/>
      <c r="I48" s="123"/>
      <c r="J48" s="124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20"/>
      <c r="B49" s="29" t="s">
        <v>67</v>
      </c>
      <c r="C49" s="33"/>
      <c r="D49" s="12">
        <f>C49*42</f>
        <v>0</v>
      </c>
      <c r="F49" s="125" t="s">
        <v>85</v>
      </c>
      <c r="G49" s="127">
        <f>H34+H35+H36+H37+H38+H39+H40+H41+G42+H44+H45+H46</f>
        <v>0</v>
      </c>
      <c r="H49" s="128"/>
      <c r="I49" s="128"/>
      <c r="J49" s="129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0"/>
      <c r="B50" s="32" t="s">
        <v>69</v>
      </c>
      <c r="C50" s="11"/>
      <c r="D50" s="12">
        <f>C50*1.5</f>
        <v>0</v>
      </c>
      <c r="F50" s="126"/>
      <c r="G50" s="130"/>
      <c r="H50" s="131"/>
      <c r="I50" s="131"/>
      <c r="J50" s="132"/>
      <c r="P50" s="4"/>
      <c r="Q50" s="4"/>
      <c r="R50" s="5"/>
    </row>
    <row r="51" spans="1:18" ht="15" customHeight="1" x14ac:dyDescent="0.25">
      <c r="A51" s="120"/>
      <c r="B51" s="27"/>
      <c r="C51" s="10"/>
      <c r="D51" s="31"/>
      <c r="F51" s="133" t="s">
        <v>106</v>
      </c>
      <c r="G51" s="135">
        <f>G49-H29</f>
        <v>0</v>
      </c>
      <c r="H51" s="136"/>
      <c r="I51" s="136"/>
      <c r="J51" s="137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0"/>
      <c r="B52" s="29"/>
      <c r="C52" s="33"/>
      <c r="D52" s="45"/>
      <c r="F52" s="134"/>
      <c r="G52" s="138"/>
      <c r="H52" s="139"/>
      <c r="I52" s="139"/>
      <c r="J52" s="140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1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05" t="s">
        <v>89</v>
      </c>
      <c r="B54" s="106"/>
      <c r="C54" s="107"/>
      <c r="D54" s="111">
        <f>SUM(D34:D53)</f>
        <v>0</v>
      </c>
      <c r="F54" s="21"/>
      <c r="J54" s="34"/>
    </row>
    <row r="55" spans="1:18" x14ac:dyDescent="0.25">
      <c r="A55" s="108"/>
      <c r="B55" s="109"/>
      <c r="C55" s="110"/>
      <c r="D55" s="11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13" t="s">
        <v>90</v>
      </c>
      <c r="B58" s="114"/>
      <c r="C58" s="114"/>
      <c r="D58" s="115"/>
      <c r="F58" s="113" t="s">
        <v>91</v>
      </c>
      <c r="G58" s="114"/>
      <c r="H58" s="114"/>
      <c r="I58" s="114"/>
      <c r="J58" s="115"/>
    </row>
    <row r="59" spans="1:18" x14ac:dyDescent="0.25">
      <c r="A59" s="116"/>
      <c r="B59" s="117"/>
      <c r="C59" s="117"/>
      <c r="D59" s="118"/>
      <c r="F59" s="116"/>
      <c r="G59" s="117"/>
      <c r="H59" s="117"/>
      <c r="I59" s="117"/>
      <c r="J59" s="118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4BC8DC-9C35-494E-924A-55B35D5980D1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1" t="s">
        <v>1</v>
      </c>
      <c r="O1" s="201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2" t="s">
        <v>7</v>
      </c>
      <c r="B4" s="153"/>
      <c r="C4" s="153"/>
      <c r="D4" s="154"/>
      <c r="F4" s="202" t="s">
        <v>8</v>
      </c>
      <c r="G4" s="204">
        <v>1</v>
      </c>
      <c r="H4" s="206" t="s">
        <v>9</v>
      </c>
      <c r="I4" s="208">
        <v>46146</v>
      </c>
      <c r="J4" s="20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6" t="s">
        <v>7</v>
      </c>
      <c r="B5" s="15" t="s">
        <v>11</v>
      </c>
      <c r="C5" s="9" t="s">
        <v>12</v>
      </c>
      <c r="D5" s="25" t="s">
        <v>13</v>
      </c>
      <c r="F5" s="203"/>
      <c r="G5" s="205"/>
      <c r="H5" s="207"/>
      <c r="I5" s="210"/>
      <c r="J5" s="21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7"/>
      <c r="B6" s="16" t="s">
        <v>15</v>
      </c>
      <c r="C6" s="10">
        <v>344</v>
      </c>
      <c r="D6" s="13">
        <f t="shared" ref="D6:D28" si="1">C6*L6</f>
        <v>261784</v>
      </c>
      <c r="F6" s="212" t="s">
        <v>16</v>
      </c>
      <c r="G6" s="214" t="s">
        <v>99</v>
      </c>
      <c r="H6" s="215"/>
      <c r="I6" s="215"/>
      <c r="J6" s="21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7"/>
      <c r="B7" s="16" t="s">
        <v>18</v>
      </c>
      <c r="C7" s="10">
        <v>9</v>
      </c>
      <c r="D7" s="13">
        <f t="shared" si="1"/>
        <v>7029</v>
      </c>
      <c r="F7" s="213"/>
      <c r="G7" s="217"/>
      <c r="H7" s="218"/>
      <c r="I7" s="218"/>
      <c r="J7" s="21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7"/>
      <c r="B8" s="16" t="s">
        <v>20</v>
      </c>
      <c r="C8" s="10"/>
      <c r="D8" s="13">
        <f t="shared" si="1"/>
        <v>0</v>
      </c>
      <c r="F8" s="220" t="s">
        <v>21</v>
      </c>
      <c r="G8" s="221" t="s">
        <v>120</v>
      </c>
      <c r="H8" s="222"/>
      <c r="I8" s="222"/>
      <c r="J8" s="22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7"/>
      <c r="B9" s="16" t="s">
        <v>23</v>
      </c>
      <c r="C9" s="10">
        <v>25</v>
      </c>
      <c r="D9" s="13">
        <f t="shared" si="1"/>
        <v>18325</v>
      </c>
      <c r="F9" s="213"/>
      <c r="G9" s="224"/>
      <c r="H9" s="225"/>
      <c r="I9" s="225"/>
      <c r="J9" s="22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7"/>
      <c r="B10" t="s">
        <v>25</v>
      </c>
      <c r="C10" s="10"/>
      <c r="D10" s="13">
        <f t="shared" si="1"/>
        <v>0</v>
      </c>
      <c r="F10" s="212" t="s">
        <v>26</v>
      </c>
      <c r="G10" s="227" t="s">
        <v>108</v>
      </c>
      <c r="H10" s="228"/>
      <c r="I10" s="228"/>
      <c r="J10" s="229"/>
      <c r="K10" s="8"/>
      <c r="L10" s="6">
        <f>R36</f>
        <v>1032</v>
      </c>
      <c r="P10" s="4"/>
      <c r="Q10" s="4"/>
      <c r="R10" s="5"/>
    </row>
    <row r="11" spans="1:18" ht="15.75" x14ac:dyDescent="0.25">
      <c r="A11" s="147"/>
      <c r="B11" s="17" t="s">
        <v>28</v>
      </c>
      <c r="C11" s="10"/>
      <c r="D11" s="13">
        <f t="shared" si="1"/>
        <v>0</v>
      </c>
      <c r="F11" s="213"/>
      <c r="G11" s="224"/>
      <c r="H11" s="225"/>
      <c r="I11" s="225"/>
      <c r="J11" s="22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7"/>
      <c r="B12" s="17" t="s">
        <v>30</v>
      </c>
      <c r="C12" s="10">
        <v>2</v>
      </c>
      <c r="D12" s="48">
        <f t="shared" si="1"/>
        <v>1984</v>
      </c>
      <c r="F12" s="230" t="s">
        <v>33</v>
      </c>
      <c r="G12" s="231"/>
      <c r="H12" s="231"/>
      <c r="I12" s="231"/>
      <c r="J12" s="23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7"/>
      <c r="B13" s="17" t="s">
        <v>32</v>
      </c>
      <c r="C13" s="10">
        <v>3</v>
      </c>
      <c r="D13" s="48">
        <f t="shared" si="1"/>
        <v>921</v>
      </c>
      <c r="F13" s="233" t="s">
        <v>36</v>
      </c>
      <c r="G13" s="197"/>
      <c r="H13" s="188">
        <f>D29</f>
        <v>290296</v>
      </c>
      <c r="I13" s="189"/>
      <c r="J13" s="19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7"/>
      <c r="B14" s="14" t="s">
        <v>35</v>
      </c>
      <c r="C14" s="10">
        <v>23</v>
      </c>
      <c r="D14" s="31">
        <f t="shared" si="1"/>
        <v>253</v>
      </c>
      <c r="F14" s="191" t="s">
        <v>38</v>
      </c>
      <c r="G14" s="192"/>
      <c r="H14" s="193">
        <f>D54</f>
        <v>42017.25</v>
      </c>
      <c r="I14" s="194"/>
      <c r="J14" s="19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7"/>
      <c r="B15" s="14" t="s">
        <v>122</v>
      </c>
      <c r="C15" s="10"/>
      <c r="D15" s="31">
        <f t="shared" si="1"/>
        <v>0</v>
      </c>
      <c r="F15" s="196" t="s">
        <v>39</v>
      </c>
      <c r="G15" s="197"/>
      <c r="H15" s="198">
        <f>H13-H14</f>
        <v>248278.75</v>
      </c>
      <c r="I15" s="199"/>
      <c r="J15" s="200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7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58"/>
      <c r="I16" s="158"/>
      <c r="J16" s="158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7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69"/>
      <c r="I17" s="169"/>
      <c r="J17" s="169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7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69"/>
      <c r="I18" s="169"/>
      <c r="J18" s="169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7"/>
      <c r="B19" s="83" t="s">
        <v>105</v>
      </c>
      <c r="C19" s="10"/>
      <c r="D19" s="48">
        <f t="shared" si="1"/>
        <v>0</v>
      </c>
      <c r="F19" s="56"/>
      <c r="G19" s="68" t="s">
        <v>49</v>
      </c>
      <c r="H19" s="158"/>
      <c r="I19" s="158"/>
      <c r="J19" s="158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7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58">
        <v>200</v>
      </c>
      <c r="I20" s="158"/>
      <c r="J20" s="158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7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71" t="s">
        <v>13</v>
      </c>
      <c r="I21" s="172"/>
      <c r="J21" s="173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7"/>
      <c r="B22" s="46" t="s">
        <v>103</v>
      </c>
      <c r="C22" s="10"/>
      <c r="D22" s="48">
        <f t="shared" si="1"/>
        <v>0</v>
      </c>
      <c r="F22" s="77"/>
      <c r="G22" s="73"/>
      <c r="H22" s="174"/>
      <c r="I22" s="174"/>
      <c r="J22" s="174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7"/>
      <c r="B23" s="14" t="s">
        <v>121</v>
      </c>
      <c r="C23" s="10"/>
      <c r="D23" s="48">
        <f t="shared" si="1"/>
        <v>0</v>
      </c>
      <c r="F23" s="77"/>
      <c r="G23" s="79"/>
      <c r="H23" s="242"/>
      <c r="I23" s="243"/>
      <c r="J23" s="243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7"/>
      <c r="B24" s="14" t="s">
        <v>128</v>
      </c>
      <c r="C24" s="10"/>
      <c r="D24" s="48">
        <f t="shared" si="1"/>
        <v>0</v>
      </c>
      <c r="F24" s="77"/>
      <c r="G24" s="79"/>
      <c r="H24" s="242"/>
      <c r="I24" s="243"/>
      <c r="J24" s="243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7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76" t="s">
        <v>13</v>
      </c>
      <c r="I25" s="177"/>
      <c r="J25" s="178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7"/>
      <c r="B26" s="14" t="s">
        <v>129</v>
      </c>
      <c r="C26" s="10"/>
      <c r="D26" s="48">
        <f t="shared" si="1"/>
        <v>0</v>
      </c>
      <c r="F26" s="75"/>
      <c r="G26" s="65"/>
      <c r="H26" s="144"/>
      <c r="I26" s="144"/>
      <c r="J26" s="144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7"/>
      <c r="B27" s="14" t="s">
        <v>130</v>
      </c>
      <c r="C27" s="10"/>
      <c r="D27" s="44">
        <f t="shared" si="1"/>
        <v>0</v>
      </c>
      <c r="F27" s="71"/>
      <c r="G27" s="88"/>
      <c r="H27" s="244"/>
      <c r="I27" s="245"/>
      <c r="J27" s="245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8"/>
      <c r="B28" s="46" t="s">
        <v>92</v>
      </c>
      <c r="C28" s="10"/>
      <c r="D28" s="48">
        <f t="shared" si="1"/>
        <v>0</v>
      </c>
      <c r="F28" s="91"/>
      <c r="G28" s="61"/>
      <c r="H28" s="185"/>
      <c r="I28" s="186"/>
      <c r="J28" s="187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9" t="s">
        <v>36</v>
      </c>
      <c r="B29" s="160"/>
      <c r="C29" s="161"/>
      <c r="D29" s="165">
        <f>SUM(D6:D28)</f>
        <v>290296</v>
      </c>
      <c r="F29" s="105" t="s">
        <v>54</v>
      </c>
      <c r="G29" s="167"/>
      <c r="H29" s="127">
        <f>H15-H16-H17-H18-H19-H20-H22-H23-H24+H26+H27+H28</f>
        <v>248078.75</v>
      </c>
      <c r="I29" s="128"/>
      <c r="J29" s="129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08"/>
      <c r="G30" s="168"/>
      <c r="H30" s="130"/>
      <c r="I30" s="131"/>
      <c r="J30" s="132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2" t="s">
        <v>57</v>
      </c>
      <c r="B32" s="153"/>
      <c r="C32" s="153"/>
      <c r="D32" s="154"/>
      <c r="F32" s="155" t="s">
        <v>58</v>
      </c>
      <c r="G32" s="156"/>
      <c r="H32" s="156"/>
      <c r="I32" s="156"/>
      <c r="J32" s="157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2" t="s">
        <v>62</v>
      </c>
      <c r="H33" s="155" t="s">
        <v>13</v>
      </c>
      <c r="I33" s="156"/>
      <c r="J33" s="157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6" t="s">
        <v>64</v>
      </c>
      <c r="B34" s="26" t="s">
        <v>65</v>
      </c>
      <c r="C34" s="51"/>
      <c r="D34" s="30">
        <f>C34*120</f>
        <v>0</v>
      </c>
      <c r="F34" s="12">
        <v>1000</v>
      </c>
      <c r="G34" s="40">
        <v>131</v>
      </c>
      <c r="H34" s="149">
        <f t="shared" ref="H34:H39" si="2">F34*G34</f>
        <v>131000</v>
      </c>
      <c r="I34" s="150"/>
      <c r="J34" s="151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7"/>
      <c r="B35" s="27" t="s">
        <v>67</v>
      </c>
      <c r="C35" s="52"/>
      <c r="D35" s="30">
        <f>C35*84</f>
        <v>0</v>
      </c>
      <c r="F35" s="58">
        <v>500</v>
      </c>
      <c r="G35" s="41">
        <v>74</v>
      </c>
      <c r="H35" s="149">
        <f t="shared" si="2"/>
        <v>37000</v>
      </c>
      <c r="I35" s="150"/>
      <c r="J35" s="15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8"/>
      <c r="B36" s="26" t="s">
        <v>69</v>
      </c>
      <c r="C36" s="10">
        <v>1</v>
      </c>
      <c r="D36" s="12">
        <f>C36*1.5</f>
        <v>1.5</v>
      </c>
      <c r="F36" s="12">
        <v>200</v>
      </c>
      <c r="G36" s="37"/>
      <c r="H36" s="149">
        <f t="shared" si="2"/>
        <v>0</v>
      </c>
      <c r="I36" s="150"/>
      <c r="J36" s="151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6" t="s">
        <v>71</v>
      </c>
      <c r="B37" s="28" t="s">
        <v>65</v>
      </c>
      <c r="C37" s="53">
        <v>358</v>
      </c>
      <c r="D37" s="12">
        <f>C37*111</f>
        <v>39738</v>
      </c>
      <c r="F37" s="12">
        <v>100</v>
      </c>
      <c r="G37" s="39">
        <v>47</v>
      </c>
      <c r="H37" s="149">
        <f t="shared" si="2"/>
        <v>4700</v>
      </c>
      <c r="I37" s="150"/>
      <c r="J37" s="151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7"/>
      <c r="B38" s="29" t="s">
        <v>67</v>
      </c>
      <c r="C38" s="54">
        <v>3</v>
      </c>
      <c r="D38" s="12">
        <f>C38*84</f>
        <v>252</v>
      </c>
      <c r="F38" s="30">
        <v>50</v>
      </c>
      <c r="G38" s="39">
        <v>1</v>
      </c>
      <c r="H38" s="149">
        <f t="shared" si="2"/>
        <v>50</v>
      </c>
      <c r="I38" s="150"/>
      <c r="J38" s="151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8"/>
      <c r="B39" s="29" t="s">
        <v>69</v>
      </c>
      <c r="C39" s="52">
        <v>7</v>
      </c>
      <c r="D39" s="31">
        <f>C39*4.5</f>
        <v>31.5</v>
      </c>
      <c r="F39" s="12">
        <v>20</v>
      </c>
      <c r="G39" s="37"/>
      <c r="H39" s="149">
        <f t="shared" si="2"/>
        <v>0</v>
      </c>
      <c r="I39" s="150"/>
      <c r="J39" s="15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6" t="s">
        <v>75</v>
      </c>
      <c r="B40" s="27" t="s">
        <v>65</v>
      </c>
      <c r="C40" s="63">
        <v>7</v>
      </c>
      <c r="D40" s="12">
        <f>C40*111</f>
        <v>777</v>
      </c>
      <c r="F40" s="12">
        <v>10</v>
      </c>
      <c r="G40" s="42"/>
      <c r="H40" s="149"/>
      <c r="I40" s="150"/>
      <c r="J40" s="151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7"/>
      <c r="B41" s="27" t="s">
        <v>67</v>
      </c>
      <c r="C41" s="10">
        <v>8</v>
      </c>
      <c r="D41" s="12">
        <f>C41*84</f>
        <v>672</v>
      </c>
      <c r="F41" s="12">
        <v>5</v>
      </c>
      <c r="G41" s="42"/>
      <c r="H41" s="149"/>
      <c r="I41" s="150"/>
      <c r="J41" s="151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8"/>
      <c r="B42" s="27" t="s">
        <v>69</v>
      </c>
      <c r="C42" s="11">
        <v>9</v>
      </c>
      <c r="D42" s="12">
        <f>C42*2.25</f>
        <v>20.25</v>
      </c>
      <c r="F42" s="39" t="s">
        <v>78</v>
      </c>
      <c r="G42" s="149">
        <v>45</v>
      </c>
      <c r="H42" s="150"/>
      <c r="I42" s="150"/>
      <c r="J42" s="151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19" t="s">
        <v>80</v>
      </c>
      <c r="C43" s="11"/>
      <c r="D43" s="12"/>
      <c r="F43" s="59" t="s">
        <v>81</v>
      </c>
      <c r="G43" s="88" t="s">
        <v>82</v>
      </c>
      <c r="H43" s="141" t="s">
        <v>13</v>
      </c>
      <c r="I43" s="142"/>
      <c r="J43" s="143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20"/>
      <c r="B44" s="27" t="s">
        <v>65</v>
      </c>
      <c r="C44" s="10">
        <v>1</v>
      </c>
      <c r="D44" s="12">
        <f>C44*120</f>
        <v>120</v>
      </c>
      <c r="F44" s="37" t="s">
        <v>136</v>
      </c>
      <c r="G44" s="93" t="s">
        <v>141</v>
      </c>
      <c r="H44" s="144">
        <v>65000</v>
      </c>
      <c r="I44" s="144"/>
      <c r="J44" s="144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20"/>
      <c r="B45" s="27" t="s">
        <v>67</v>
      </c>
      <c r="C45" s="33">
        <v>1</v>
      </c>
      <c r="D45" s="12">
        <f>C45*84</f>
        <v>84</v>
      </c>
      <c r="F45" s="37" t="s">
        <v>137</v>
      </c>
      <c r="G45" s="62"/>
      <c r="H45" s="144">
        <v>2600</v>
      </c>
      <c r="I45" s="144"/>
      <c r="J45" s="144"/>
      <c r="K45" s="21"/>
      <c r="P45" s="4"/>
      <c r="Q45" s="4"/>
      <c r="R45" s="5"/>
    </row>
    <row r="46" spans="1:18" ht="15.75" x14ac:dyDescent="0.25">
      <c r="A46" s="120"/>
      <c r="B46" s="49" t="s">
        <v>69</v>
      </c>
      <c r="C46" s="81">
        <v>8</v>
      </c>
      <c r="D46" s="12">
        <f>C46*1.5</f>
        <v>12</v>
      </c>
      <c r="F46" s="37" t="s">
        <v>137</v>
      </c>
      <c r="G46" s="62"/>
      <c r="H46" s="144">
        <v>9750</v>
      </c>
      <c r="I46" s="144"/>
      <c r="J46" s="144"/>
      <c r="K46" s="21"/>
      <c r="P46" s="4"/>
      <c r="Q46" s="4"/>
      <c r="R46" s="5"/>
    </row>
    <row r="47" spans="1:18" ht="15.75" x14ac:dyDescent="0.25">
      <c r="A47" s="121"/>
      <c r="B47" s="27"/>
      <c r="C47" s="11"/>
      <c r="D47" s="12"/>
      <c r="F47" s="59"/>
      <c r="G47" s="59"/>
      <c r="H47" s="122"/>
      <c r="I47" s="123"/>
      <c r="J47" s="124"/>
      <c r="K47" s="21"/>
      <c r="P47" s="4"/>
      <c r="Q47" s="4"/>
      <c r="R47" s="5"/>
    </row>
    <row r="48" spans="1:18" ht="15" customHeight="1" x14ac:dyDescent="0.25">
      <c r="A48" s="119" t="s">
        <v>32</v>
      </c>
      <c r="B48" s="27" t="s">
        <v>65</v>
      </c>
      <c r="C48" s="10">
        <v>3</v>
      </c>
      <c r="D48" s="12">
        <f>C48*78</f>
        <v>234</v>
      </c>
      <c r="F48" s="59"/>
      <c r="G48" s="59"/>
      <c r="H48" s="122"/>
      <c r="I48" s="123"/>
      <c r="J48" s="124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20"/>
      <c r="B49" s="29" t="s">
        <v>67</v>
      </c>
      <c r="C49" s="33">
        <v>1</v>
      </c>
      <c r="D49" s="12">
        <f>C49*42</f>
        <v>42</v>
      </c>
      <c r="F49" s="125" t="s">
        <v>85</v>
      </c>
      <c r="G49" s="127">
        <f>H34+H35+H36+H37+H38+H39+H40+H41+G42+H44+H45+H46</f>
        <v>250145</v>
      </c>
      <c r="H49" s="128"/>
      <c r="I49" s="128"/>
      <c r="J49" s="129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0"/>
      <c r="B50" s="32" t="s">
        <v>69</v>
      </c>
      <c r="C50" s="11">
        <v>22</v>
      </c>
      <c r="D50" s="12">
        <f>C50*1.5</f>
        <v>33</v>
      </c>
      <c r="F50" s="126"/>
      <c r="G50" s="130"/>
      <c r="H50" s="131"/>
      <c r="I50" s="131"/>
      <c r="J50" s="132"/>
      <c r="O50" t="s">
        <v>114</v>
      </c>
      <c r="P50" s="4">
        <v>1204</v>
      </c>
      <c r="Q50" s="4"/>
      <c r="R50" s="5"/>
    </row>
    <row r="51" spans="1:18" ht="15" customHeight="1" x14ac:dyDescent="0.25">
      <c r="A51" s="120"/>
      <c r="B51" s="27"/>
      <c r="C51" s="10"/>
      <c r="D51" s="31"/>
      <c r="F51" s="234" t="s">
        <v>142</v>
      </c>
      <c r="G51" s="236">
        <f>G49-H29</f>
        <v>2066.25</v>
      </c>
      <c r="H51" s="237"/>
      <c r="I51" s="237"/>
      <c r="J51" s="238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20"/>
      <c r="B52" s="29"/>
      <c r="C52" s="33"/>
      <c r="D52" s="45"/>
      <c r="F52" s="235"/>
      <c r="G52" s="239"/>
      <c r="H52" s="240"/>
      <c r="I52" s="240"/>
      <c r="J52" s="241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1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05" t="s">
        <v>89</v>
      </c>
      <c r="B54" s="106"/>
      <c r="C54" s="107"/>
      <c r="D54" s="111">
        <f>SUM(D34:D53)</f>
        <v>42017.25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08"/>
      <c r="B55" s="109"/>
      <c r="C55" s="110"/>
      <c r="D55" s="11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113" t="s">
        <v>90</v>
      </c>
      <c r="B58" s="114"/>
      <c r="C58" s="114"/>
      <c r="D58" s="115"/>
      <c r="F58" s="113" t="s">
        <v>91</v>
      </c>
      <c r="G58" s="114"/>
      <c r="H58" s="114"/>
      <c r="I58" s="114"/>
      <c r="J58" s="115"/>
    </row>
    <row r="59" spans="1:18" x14ac:dyDescent="0.25">
      <c r="A59" s="116"/>
      <c r="B59" s="117"/>
      <c r="C59" s="117"/>
      <c r="D59" s="118"/>
      <c r="F59" s="116"/>
      <c r="G59" s="117"/>
      <c r="H59" s="117"/>
      <c r="I59" s="117"/>
      <c r="J59" s="118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DDE12C-97E5-4DE5-BDD4-7748303F42B1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1" t="s">
        <v>1</v>
      </c>
      <c r="O1" s="201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2" t="s">
        <v>7</v>
      </c>
      <c r="B4" s="153"/>
      <c r="C4" s="153"/>
      <c r="D4" s="154"/>
      <c r="F4" s="202" t="s">
        <v>8</v>
      </c>
      <c r="G4" s="204">
        <v>2</v>
      </c>
      <c r="H4" s="206" t="s">
        <v>9</v>
      </c>
      <c r="I4" s="208">
        <v>46146</v>
      </c>
      <c r="J4" s="20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6" t="s">
        <v>7</v>
      </c>
      <c r="B5" s="15" t="s">
        <v>11</v>
      </c>
      <c r="C5" s="9" t="s">
        <v>12</v>
      </c>
      <c r="D5" s="25" t="s">
        <v>13</v>
      </c>
      <c r="F5" s="203"/>
      <c r="G5" s="205"/>
      <c r="H5" s="207"/>
      <c r="I5" s="210"/>
      <c r="J5" s="21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7"/>
      <c r="B6" s="16" t="s">
        <v>15</v>
      </c>
      <c r="C6" s="10">
        <v>344</v>
      </c>
      <c r="D6" s="13">
        <f t="shared" ref="D6:D28" si="1">C6*L6</f>
        <v>261784</v>
      </c>
      <c r="F6" s="212" t="s">
        <v>16</v>
      </c>
      <c r="G6" s="214" t="s">
        <v>107</v>
      </c>
      <c r="H6" s="215"/>
      <c r="I6" s="215"/>
      <c r="J6" s="21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7"/>
      <c r="B7" s="16" t="s">
        <v>18</v>
      </c>
      <c r="C7" s="10">
        <v>5</v>
      </c>
      <c r="D7" s="13">
        <f t="shared" si="1"/>
        <v>3905</v>
      </c>
      <c r="F7" s="213"/>
      <c r="G7" s="217"/>
      <c r="H7" s="218"/>
      <c r="I7" s="218"/>
      <c r="J7" s="21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7"/>
      <c r="B8" s="16" t="s">
        <v>20</v>
      </c>
      <c r="C8" s="10"/>
      <c r="D8" s="13">
        <f t="shared" si="1"/>
        <v>0</v>
      </c>
      <c r="F8" s="220" t="s">
        <v>21</v>
      </c>
      <c r="G8" s="221" t="s">
        <v>100</v>
      </c>
      <c r="H8" s="222"/>
      <c r="I8" s="222"/>
      <c r="J8" s="22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7"/>
      <c r="B9" s="16" t="s">
        <v>23</v>
      </c>
      <c r="C9" s="10">
        <v>21</v>
      </c>
      <c r="D9" s="13">
        <f t="shared" si="1"/>
        <v>15393</v>
      </c>
      <c r="F9" s="213"/>
      <c r="G9" s="224"/>
      <c r="H9" s="225"/>
      <c r="I9" s="225"/>
      <c r="J9" s="22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7"/>
      <c r="B10" t="s">
        <v>25</v>
      </c>
      <c r="C10" s="10"/>
      <c r="D10" s="13">
        <f t="shared" si="1"/>
        <v>0</v>
      </c>
      <c r="F10" s="212" t="s">
        <v>26</v>
      </c>
      <c r="G10" s="227" t="s">
        <v>101</v>
      </c>
      <c r="H10" s="228"/>
      <c r="I10" s="228"/>
      <c r="J10" s="229"/>
      <c r="K10" s="8"/>
      <c r="L10" s="6">
        <f>R36</f>
        <v>1032</v>
      </c>
      <c r="P10" s="4"/>
      <c r="Q10" s="4"/>
      <c r="R10" s="5"/>
    </row>
    <row r="11" spans="1:18" ht="15.75" x14ac:dyDescent="0.25">
      <c r="A11" s="147"/>
      <c r="B11" s="17" t="s">
        <v>28</v>
      </c>
      <c r="C11" s="10"/>
      <c r="D11" s="13">
        <f t="shared" si="1"/>
        <v>0</v>
      </c>
      <c r="F11" s="213"/>
      <c r="G11" s="224"/>
      <c r="H11" s="225"/>
      <c r="I11" s="225"/>
      <c r="J11" s="22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7"/>
      <c r="B12" s="17" t="s">
        <v>30</v>
      </c>
      <c r="C12" s="10"/>
      <c r="D12" s="48">
        <f t="shared" si="1"/>
        <v>0</v>
      </c>
      <c r="F12" s="230" t="s">
        <v>33</v>
      </c>
      <c r="G12" s="231"/>
      <c r="H12" s="231"/>
      <c r="I12" s="231"/>
      <c r="J12" s="23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7"/>
      <c r="B13" s="17" t="s">
        <v>32</v>
      </c>
      <c r="C13" s="10">
        <v>12</v>
      </c>
      <c r="D13" s="48">
        <f t="shared" si="1"/>
        <v>3684</v>
      </c>
      <c r="F13" s="233" t="s">
        <v>36</v>
      </c>
      <c r="G13" s="197"/>
      <c r="H13" s="188">
        <f>D29</f>
        <v>285008</v>
      </c>
      <c r="I13" s="189"/>
      <c r="J13" s="19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7"/>
      <c r="B14" s="14" t="s">
        <v>35</v>
      </c>
      <c r="C14" s="10">
        <v>22</v>
      </c>
      <c r="D14" s="31">
        <f t="shared" si="1"/>
        <v>242</v>
      </c>
      <c r="F14" s="191" t="s">
        <v>38</v>
      </c>
      <c r="G14" s="192"/>
      <c r="H14" s="193">
        <f>D54</f>
        <v>42628.5</v>
      </c>
      <c r="I14" s="194"/>
      <c r="J14" s="19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7"/>
      <c r="B15" s="14" t="s">
        <v>122</v>
      </c>
      <c r="C15" s="10"/>
      <c r="D15" s="31">
        <f t="shared" si="1"/>
        <v>0</v>
      </c>
      <c r="F15" s="196" t="s">
        <v>39</v>
      </c>
      <c r="G15" s="197"/>
      <c r="H15" s="198">
        <f>H13-H14</f>
        <v>242379.5</v>
      </c>
      <c r="I15" s="199"/>
      <c r="J15" s="200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7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58">
        <v>1296</v>
      </c>
      <c r="I16" s="158"/>
      <c r="J16" s="158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7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69"/>
      <c r="I17" s="169"/>
      <c r="J17" s="169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7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69"/>
      <c r="I18" s="169"/>
      <c r="J18" s="169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7"/>
      <c r="B19" s="87" t="s">
        <v>105</v>
      </c>
      <c r="C19" s="10"/>
      <c r="D19" s="48">
        <f t="shared" si="1"/>
        <v>0</v>
      </c>
      <c r="F19" s="56"/>
      <c r="G19" s="68" t="s">
        <v>49</v>
      </c>
      <c r="H19" s="252"/>
      <c r="I19" s="252"/>
      <c r="J19" s="252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7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69"/>
      <c r="I20" s="169"/>
      <c r="J20" s="169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7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71" t="s">
        <v>13</v>
      </c>
      <c r="I21" s="172"/>
      <c r="J21" s="173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7"/>
      <c r="B22" s="46" t="s">
        <v>103</v>
      </c>
      <c r="C22" s="10"/>
      <c r="D22" s="48">
        <f t="shared" si="1"/>
        <v>0</v>
      </c>
      <c r="F22" s="72"/>
      <c r="G22" s="73"/>
      <c r="H22" s="174"/>
      <c r="I22" s="174"/>
      <c r="J22" s="174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7"/>
      <c r="B23" s="14" t="s">
        <v>121</v>
      </c>
      <c r="C23" s="10"/>
      <c r="D23" s="48">
        <f t="shared" si="1"/>
        <v>0</v>
      </c>
      <c r="F23" s="25"/>
      <c r="G23" s="37"/>
      <c r="H23" s="175"/>
      <c r="I23" s="144"/>
      <c r="J23" s="144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7"/>
      <c r="B24" s="14" t="s">
        <v>128</v>
      </c>
      <c r="C24" s="10"/>
      <c r="D24" s="48">
        <f t="shared" si="1"/>
        <v>0</v>
      </c>
      <c r="F24" s="38"/>
      <c r="G24" s="37"/>
      <c r="H24" s="175"/>
      <c r="I24" s="144"/>
      <c r="J24" s="144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7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76" t="s">
        <v>13</v>
      </c>
      <c r="I25" s="177"/>
      <c r="J25" s="178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7"/>
      <c r="B26" s="14" t="s">
        <v>129</v>
      </c>
      <c r="C26" s="10"/>
      <c r="D26" s="48">
        <f t="shared" si="1"/>
        <v>0</v>
      </c>
      <c r="F26" s="64"/>
      <c r="G26" s="10"/>
      <c r="H26" s="179"/>
      <c r="I26" s="180"/>
      <c r="J26" s="181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7"/>
      <c r="B27" s="14" t="s">
        <v>130</v>
      </c>
      <c r="C27" s="10"/>
      <c r="D27" s="44">
        <f t="shared" si="1"/>
        <v>0</v>
      </c>
      <c r="F27" s="14"/>
      <c r="G27" s="14"/>
      <c r="H27" s="182"/>
      <c r="I27" s="183"/>
      <c r="J27" s="184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8"/>
      <c r="B28" s="46" t="s">
        <v>92</v>
      </c>
      <c r="C28" s="10"/>
      <c r="D28" s="48">
        <f t="shared" si="1"/>
        <v>0</v>
      </c>
      <c r="F28" s="91"/>
      <c r="G28" s="61"/>
      <c r="H28" s="185"/>
      <c r="I28" s="186"/>
      <c r="J28" s="187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9" t="s">
        <v>36</v>
      </c>
      <c r="B29" s="160"/>
      <c r="C29" s="161"/>
      <c r="D29" s="165">
        <f>SUM(D6:D28)</f>
        <v>285008</v>
      </c>
      <c r="F29" s="105" t="s">
        <v>54</v>
      </c>
      <c r="G29" s="167"/>
      <c r="H29" s="127">
        <f>H15-H16-H17-H18-H19-H20-H22-H23-H24+H26+H27</f>
        <v>241083.5</v>
      </c>
      <c r="I29" s="128"/>
      <c r="J29" s="129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08"/>
      <c r="G30" s="168"/>
      <c r="H30" s="130"/>
      <c r="I30" s="131"/>
      <c r="J30" s="132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2" t="s">
        <v>57</v>
      </c>
      <c r="B32" s="153"/>
      <c r="C32" s="153"/>
      <c r="D32" s="154"/>
      <c r="F32" s="155" t="s">
        <v>58</v>
      </c>
      <c r="G32" s="156"/>
      <c r="H32" s="156"/>
      <c r="I32" s="156"/>
      <c r="J32" s="157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2" t="s">
        <v>62</v>
      </c>
      <c r="H33" s="155" t="s">
        <v>13</v>
      </c>
      <c r="I33" s="156"/>
      <c r="J33" s="157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6" t="s">
        <v>64</v>
      </c>
      <c r="B34" s="26" t="s">
        <v>65</v>
      </c>
      <c r="C34" s="51"/>
      <c r="D34" s="30">
        <f>C34*120</f>
        <v>0</v>
      </c>
      <c r="F34" s="12">
        <v>1000</v>
      </c>
      <c r="G34" s="74">
        <v>221</v>
      </c>
      <c r="H34" s="149">
        <f>F34*G34</f>
        <v>221000</v>
      </c>
      <c r="I34" s="150"/>
      <c r="J34" s="151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7"/>
      <c r="B35" s="27" t="s">
        <v>67</v>
      </c>
      <c r="C35" s="52"/>
      <c r="D35" s="30">
        <f>C35*84</f>
        <v>0</v>
      </c>
      <c r="F35" s="58">
        <v>500</v>
      </c>
      <c r="G35" s="41">
        <v>37</v>
      </c>
      <c r="H35" s="149">
        <f t="shared" ref="H35:H39" si="2">F35*G35</f>
        <v>18500</v>
      </c>
      <c r="I35" s="150"/>
      <c r="J35" s="15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8"/>
      <c r="B36" s="26" t="s">
        <v>69</v>
      </c>
      <c r="C36" s="10"/>
      <c r="D36" s="12">
        <f>C36*1.5</f>
        <v>0</v>
      </c>
      <c r="F36" s="12">
        <v>200</v>
      </c>
      <c r="G36" s="37"/>
      <c r="H36" s="149">
        <f>F36*G36</f>
        <v>0</v>
      </c>
      <c r="I36" s="150"/>
      <c r="J36" s="151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6" t="s">
        <v>71</v>
      </c>
      <c r="B37" s="28" t="s">
        <v>65</v>
      </c>
      <c r="C37" s="53">
        <v>369</v>
      </c>
      <c r="D37" s="12">
        <f>C37*111</f>
        <v>40959</v>
      </c>
      <c r="F37" s="12">
        <v>100</v>
      </c>
      <c r="G37" s="39">
        <v>2</v>
      </c>
      <c r="H37" s="149">
        <f t="shared" si="2"/>
        <v>200</v>
      </c>
      <c r="I37" s="150"/>
      <c r="J37" s="151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7"/>
      <c r="B38" s="29" t="s">
        <v>67</v>
      </c>
      <c r="C38" s="54">
        <v>1</v>
      </c>
      <c r="D38" s="12">
        <f>C38*84</f>
        <v>84</v>
      </c>
      <c r="F38" s="30">
        <v>50</v>
      </c>
      <c r="G38" s="39">
        <v>1</v>
      </c>
      <c r="H38" s="149">
        <f t="shared" si="2"/>
        <v>50</v>
      </c>
      <c r="I38" s="150"/>
      <c r="J38" s="151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8"/>
      <c r="B39" s="29" t="s">
        <v>69</v>
      </c>
      <c r="C39" s="52">
        <v>4</v>
      </c>
      <c r="D39" s="31">
        <f>C39*4.5</f>
        <v>18</v>
      </c>
      <c r="F39" s="12">
        <v>20</v>
      </c>
      <c r="G39" s="37">
        <v>2</v>
      </c>
      <c r="H39" s="149">
        <f t="shared" si="2"/>
        <v>40</v>
      </c>
      <c r="I39" s="150"/>
      <c r="J39" s="15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6" t="s">
        <v>75</v>
      </c>
      <c r="B40" s="27" t="s">
        <v>65</v>
      </c>
      <c r="C40" s="63">
        <v>5</v>
      </c>
      <c r="D40" s="12">
        <f>C40*111</f>
        <v>555</v>
      </c>
      <c r="F40" s="12">
        <v>10</v>
      </c>
      <c r="G40" s="42"/>
      <c r="H40" s="149"/>
      <c r="I40" s="150"/>
      <c r="J40" s="151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7"/>
      <c r="B41" s="27" t="s">
        <v>67</v>
      </c>
      <c r="C41" s="10"/>
      <c r="D41" s="12">
        <f>C41*84</f>
        <v>0</v>
      </c>
      <c r="F41" s="12">
        <v>5</v>
      </c>
      <c r="G41" s="42"/>
      <c r="H41" s="149"/>
      <c r="I41" s="150"/>
      <c r="J41" s="151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8"/>
      <c r="B42" s="27" t="s">
        <v>69</v>
      </c>
      <c r="C42" s="11"/>
      <c r="D42" s="12">
        <f>C42*2.25</f>
        <v>0</v>
      </c>
      <c r="F42" s="39" t="s">
        <v>78</v>
      </c>
      <c r="G42" s="149">
        <v>67</v>
      </c>
      <c r="H42" s="150"/>
      <c r="I42" s="150"/>
      <c r="J42" s="151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19" t="s">
        <v>80</v>
      </c>
      <c r="C43" s="11"/>
      <c r="D43" s="12"/>
      <c r="F43" s="59" t="s">
        <v>81</v>
      </c>
      <c r="G43" s="88" t="s">
        <v>82</v>
      </c>
      <c r="H43" s="141" t="s">
        <v>13</v>
      </c>
      <c r="I43" s="142"/>
      <c r="J43" s="143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20"/>
      <c r="B44" s="27" t="s">
        <v>65</v>
      </c>
      <c r="C44" s="10"/>
      <c r="D44" s="12">
        <f>C44*120</f>
        <v>0</v>
      </c>
      <c r="F44" s="37"/>
      <c r="G44" s="62"/>
      <c r="H44" s="144"/>
      <c r="I44" s="144"/>
      <c r="J44" s="144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20"/>
      <c r="B45" s="27" t="s">
        <v>67</v>
      </c>
      <c r="C45" s="33"/>
      <c r="D45" s="12">
        <f>C45*84</f>
        <v>0</v>
      </c>
      <c r="F45" s="37"/>
      <c r="G45" s="62"/>
      <c r="H45" s="144"/>
      <c r="I45" s="144"/>
      <c r="J45" s="144"/>
      <c r="K45" s="21"/>
      <c r="P45" s="4"/>
      <c r="Q45" s="4"/>
      <c r="R45" s="5"/>
    </row>
    <row r="46" spans="1:18" ht="15.75" x14ac:dyDescent="0.25">
      <c r="A46" s="120"/>
      <c r="B46" s="49" t="s">
        <v>69</v>
      </c>
      <c r="C46" s="81"/>
      <c r="D46" s="12">
        <f>C46*1.5</f>
        <v>0</v>
      </c>
      <c r="F46" s="37"/>
      <c r="G46" s="89"/>
      <c r="H46" s="145"/>
      <c r="I46" s="145"/>
      <c r="J46" s="145"/>
      <c r="K46" s="21"/>
      <c r="P46" s="4"/>
      <c r="Q46" s="4"/>
      <c r="R46" s="5"/>
    </row>
    <row r="47" spans="1:18" ht="15.75" x14ac:dyDescent="0.25">
      <c r="A47" s="121"/>
      <c r="B47" s="27"/>
      <c r="C47" s="11"/>
      <c r="D47" s="12"/>
      <c r="F47" s="59"/>
      <c r="G47" s="59"/>
      <c r="H47" s="122"/>
      <c r="I47" s="123"/>
      <c r="J47" s="124"/>
      <c r="K47" s="21"/>
      <c r="P47" s="4"/>
      <c r="Q47" s="4"/>
      <c r="R47" s="5"/>
    </row>
    <row r="48" spans="1:18" ht="15" customHeight="1" x14ac:dyDescent="0.25">
      <c r="A48" s="119" t="s">
        <v>32</v>
      </c>
      <c r="B48" s="27" t="s">
        <v>65</v>
      </c>
      <c r="C48" s="10">
        <v>7</v>
      </c>
      <c r="D48" s="12">
        <f>C48*78</f>
        <v>546</v>
      </c>
      <c r="F48" s="59"/>
      <c r="G48" s="59"/>
      <c r="H48" s="122"/>
      <c r="I48" s="123"/>
      <c r="J48" s="124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20"/>
      <c r="B49" s="29" t="s">
        <v>67</v>
      </c>
      <c r="C49" s="33">
        <v>11</v>
      </c>
      <c r="D49" s="12">
        <f>C49*42</f>
        <v>462</v>
      </c>
      <c r="F49" s="125" t="s">
        <v>85</v>
      </c>
      <c r="G49" s="127">
        <f>H34+H35+H36+H37+H38+H39+H40+H41+G42+H44+H45+H46</f>
        <v>239857</v>
      </c>
      <c r="H49" s="128"/>
      <c r="I49" s="128"/>
      <c r="J49" s="129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0"/>
      <c r="B50" s="32" t="s">
        <v>69</v>
      </c>
      <c r="C50" s="11">
        <v>3</v>
      </c>
      <c r="D50" s="12">
        <f>C50*1.5</f>
        <v>4.5</v>
      </c>
      <c r="F50" s="126"/>
      <c r="G50" s="130"/>
      <c r="H50" s="131"/>
      <c r="I50" s="131"/>
      <c r="J50" s="132"/>
      <c r="O50" t="s">
        <v>114</v>
      </c>
      <c r="P50" s="4">
        <v>1204</v>
      </c>
      <c r="Q50" s="4"/>
      <c r="R50" s="5"/>
    </row>
    <row r="51" spans="1:18" ht="15" customHeight="1" x14ac:dyDescent="0.25">
      <c r="A51" s="120"/>
      <c r="B51" s="27"/>
      <c r="C51" s="10"/>
      <c r="D51" s="31"/>
      <c r="F51" s="133" t="s">
        <v>131</v>
      </c>
      <c r="G51" s="246">
        <f>G49-H29</f>
        <v>-1226.5</v>
      </c>
      <c r="H51" s="247"/>
      <c r="I51" s="247"/>
      <c r="J51" s="248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20"/>
      <c r="B52" s="29"/>
      <c r="C52" s="33"/>
      <c r="D52" s="45"/>
      <c r="F52" s="134"/>
      <c r="G52" s="249"/>
      <c r="H52" s="250"/>
      <c r="I52" s="250"/>
      <c r="J52" s="251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1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05" t="s">
        <v>89</v>
      </c>
      <c r="B54" s="106"/>
      <c r="C54" s="107"/>
      <c r="D54" s="111">
        <f>SUM(D34:D53)</f>
        <v>42628.5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08"/>
      <c r="B55" s="109"/>
      <c r="C55" s="110"/>
      <c r="D55" s="11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119</v>
      </c>
      <c r="D57" s="34"/>
      <c r="F57" s="36"/>
      <c r="G57" s="50"/>
      <c r="H57" s="50"/>
      <c r="I57" s="50"/>
      <c r="J57" s="43"/>
    </row>
    <row r="58" spans="1:18" x14ac:dyDescent="0.25">
      <c r="A58" s="113" t="s">
        <v>90</v>
      </c>
      <c r="B58" s="114"/>
      <c r="C58" s="114"/>
      <c r="D58" s="115"/>
      <c r="F58" s="113" t="s">
        <v>91</v>
      </c>
      <c r="G58" s="114"/>
      <c r="H58" s="114"/>
      <c r="I58" s="114"/>
      <c r="J58" s="115"/>
    </row>
    <row r="59" spans="1:18" x14ac:dyDescent="0.25">
      <c r="A59" s="116"/>
      <c r="B59" s="117"/>
      <c r="C59" s="117"/>
      <c r="D59" s="118"/>
      <c r="F59" s="116"/>
      <c r="G59" s="117"/>
      <c r="H59" s="117"/>
      <c r="I59" s="117"/>
      <c r="J59" s="118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375459-EBEB-44EA-BD15-F3772CC98A12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1" t="s">
        <v>1</v>
      </c>
      <c r="O1" s="201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2" t="s">
        <v>7</v>
      </c>
      <c r="B4" s="153"/>
      <c r="C4" s="153"/>
      <c r="D4" s="154"/>
      <c r="F4" s="202" t="s">
        <v>8</v>
      </c>
      <c r="G4" s="204">
        <v>3</v>
      </c>
      <c r="H4" s="206" t="s">
        <v>9</v>
      </c>
      <c r="I4" s="208">
        <v>46146</v>
      </c>
      <c r="J4" s="20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6" t="s">
        <v>7</v>
      </c>
      <c r="B5" s="15" t="s">
        <v>11</v>
      </c>
      <c r="C5" s="9" t="s">
        <v>12</v>
      </c>
      <c r="D5" s="25" t="s">
        <v>13</v>
      </c>
      <c r="F5" s="203"/>
      <c r="G5" s="205"/>
      <c r="H5" s="207"/>
      <c r="I5" s="210"/>
      <c r="J5" s="21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7"/>
      <c r="B6" s="16" t="s">
        <v>15</v>
      </c>
      <c r="C6" s="10">
        <v>484</v>
      </c>
      <c r="D6" s="13">
        <f t="shared" ref="D6:D28" si="1">C6*L6</f>
        <v>368324</v>
      </c>
      <c r="F6" s="212" t="s">
        <v>16</v>
      </c>
      <c r="G6" s="214" t="s">
        <v>117</v>
      </c>
      <c r="H6" s="215"/>
      <c r="I6" s="215"/>
      <c r="J6" s="21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7"/>
      <c r="B7" s="16" t="s">
        <v>18</v>
      </c>
      <c r="C7" s="10">
        <v>11</v>
      </c>
      <c r="D7" s="13">
        <f t="shared" si="1"/>
        <v>8591</v>
      </c>
      <c r="F7" s="213"/>
      <c r="G7" s="217"/>
      <c r="H7" s="218"/>
      <c r="I7" s="218"/>
      <c r="J7" s="21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7"/>
      <c r="B8" s="16" t="s">
        <v>20</v>
      </c>
      <c r="C8" s="10"/>
      <c r="D8" s="13">
        <f t="shared" si="1"/>
        <v>0</v>
      </c>
      <c r="F8" s="220" t="s">
        <v>21</v>
      </c>
      <c r="G8" s="221" t="s">
        <v>110</v>
      </c>
      <c r="H8" s="222"/>
      <c r="I8" s="222"/>
      <c r="J8" s="22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7"/>
      <c r="B9" s="16" t="s">
        <v>23</v>
      </c>
      <c r="C9" s="10">
        <v>58</v>
      </c>
      <c r="D9" s="13">
        <f t="shared" si="1"/>
        <v>42514</v>
      </c>
      <c r="F9" s="213"/>
      <c r="G9" s="224"/>
      <c r="H9" s="225"/>
      <c r="I9" s="225"/>
      <c r="J9" s="22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7"/>
      <c r="B10" t="s">
        <v>25</v>
      </c>
      <c r="C10" s="10">
        <v>2</v>
      </c>
      <c r="D10" s="13">
        <f t="shared" si="1"/>
        <v>2064</v>
      </c>
      <c r="F10" s="212" t="s">
        <v>26</v>
      </c>
      <c r="G10" s="227" t="s">
        <v>124</v>
      </c>
      <c r="H10" s="228"/>
      <c r="I10" s="228"/>
      <c r="J10" s="229"/>
      <c r="K10" s="8"/>
      <c r="L10" s="6">
        <f>R36</f>
        <v>1032</v>
      </c>
      <c r="P10" s="4"/>
      <c r="Q10" s="4"/>
      <c r="R10" s="5"/>
    </row>
    <row r="11" spans="1:18" ht="15.75" x14ac:dyDescent="0.25">
      <c r="A11" s="147"/>
      <c r="B11" s="17" t="s">
        <v>28</v>
      </c>
      <c r="C11" s="10"/>
      <c r="D11" s="13">
        <f t="shared" si="1"/>
        <v>0</v>
      </c>
      <c r="F11" s="213"/>
      <c r="G11" s="224"/>
      <c r="H11" s="225"/>
      <c r="I11" s="225"/>
      <c r="J11" s="22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7"/>
      <c r="B12" s="17" t="s">
        <v>30</v>
      </c>
      <c r="C12" s="10"/>
      <c r="D12" s="48">
        <f t="shared" si="1"/>
        <v>0</v>
      </c>
      <c r="F12" s="230" t="s">
        <v>33</v>
      </c>
      <c r="G12" s="231"/>
      <c r="H12" s="231"/>
      <c r="I12" s="231"/>
      <c r="J12" s="23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7"/>
      <c r="B13" s="17" t="s">
        <v>32</v>
      </c>
      <c r="C13" s="10">
        <v>16</v>
      </c>
      <c r="D13" s="48">
        <f t="shared" si="1"/>
        <v>4912</v>
      </c>
      <c r="F13" s="233" t="s">
        <v>36</v>
      </c>
      <c r="G13" s="197"/>
      <c r="H13" s="188">
        <f>D29</f>
        <v>426537</v>
      </c>
      <c r="I13" s="189"/>
      <c r="J13" s="19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7"/>
      <c r="B14" s="14" t="s">
        <v>35</v>
      </c>
      <c r="C14" s="10">
        <v>12</v>
      </c>
      <c r="D14" s="31">
        <f t="shared" si="1"/>
        <v>132</v>
      </c>
      <c r="F14" s="191" t="s">
        <v>38</v>
      </c>
      <c r="G14" s="192"/>
      <c r="H14" s="193">
        <f>D54</f>
        <v>63285</v>
      </c>
      <c r="I14" s="194"/>
      <c r="J14" s="19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7"/>
      <c r="B15" s="14" t="s">
        <v>122</v>
      </c>
      <c r="C15" s="10"/>
      <c r="D15" s="31">
        <f t="shared" si="1"/>
        <v>0</v>
      </c>
      <c r="F15" s="196" t="s">
        <v>39</v>
      </c>
      <c r="G15" s="197"/>
      <c r="H15" s="198">
        <f>H13-H14</f>
        <v>363252</v>
      </c>
      <c r="I15" s="199"/>
      <c r="J15" s="200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7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58">
        <f>1296+300+732</f>
        <v>2328</v>
      </c>
      <c r="I16" s="158"/>
      <c r="J16" s="158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7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69"/>
      <c r="I17" s="169"/>
      <c r="J17" s="169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7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69"/>
      <c r="I18" s="169"/>
      <c r="J18" s="169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7"/>
      <c r="B19" s="87" t="s">
        <v>105</v>
      </c>
      <c r="C19" s="10"/>
      <c r="D19" s="48">
        <f t="shared" si="1"/>
        <v>0</v>
      </c>
      <c r="F19" s="56"/>
      <c r="G19" s="68" t="s">
        <v>49</v>
      </c>
      <c r="H19" s="253">
        <v>50</v>
      </c>
      <c r="I19" s="253"/>
      <c r="J19" s="253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7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58"/>
      <c r="I20" s="158"/>
      <c r="J20" s="158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7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71" t="s">
        <v>13</v>
      </c>
      <c r="I21" s="172"/>
      <c r="J21" s="173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7"/>
      <c r="B22" s="46" t="s">
        <v>103</v>
      </c>
      <c r="C22" s="10"/>
      <c r="D22" s="48">
        <f t="shared" si="1"/>
        <v>0</v>
      </c>
      <c r="F22" s="77"/>
      <c r="G22" s="73"/>
      <c r="H22" s="174"/>
      <c r="I22" s="174"/>
      <c r="J22" s="174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7"/>
      <c r="B23" s="14" t="s">
        <v>121</v>
      </c>
      <c r="C23" s="10"/>
      <c r="D23" s="48">
        <f t="shared" si="1"/>
        <v>0</v>
      </c>
      <c r="F23" s="78"/>
      <c r="G23" s="79"/>
      <c r="H23" s="175"/>
      <c r="I23" s="144"/>
      <c r="J23" s="144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7"/>
      <c r="B24" s="14" t="s">
        <v>128</v>
      </c>
      <c r="C24" s="10"/>
      <c r="D24" s="48">
        <f t="shared" si="1"/>
        <v>0</v>
      </c>
      <c r="F24" s="38"/>
      <c r="G24" s="37"/>
      <c r="H24" s="175"/>
      <c r="I24" s="144"/>
      <c r="J24" s="144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7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76" t="s">
        <v>13</v>
      </c>
      <c r="I25" s="177"/>
      <c r="J25" s="178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7"/>
      <c r="B26" s="14" t="s">
        <v>129</v>
      </c>
      <c r="C26" s="10"/>
      <c r="D26" s="48">
        <f t="shared" si="1"/>
        <v>0</v>
      </c>
      <c r="F26" s="64"/>
      <c r="G26" s="59"/>
      <c r="H26" s="179"/>
      <c r="I26" s="180"/>
      <c r="J26" s="181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7"/>
      <c r="B27" s="14" t="s">
        <v>130</v>
      </c>
      <c r="C27" s="10"/>
      <c r="D27" s="44">
        <f t="shared" si="1"/>
        <v>0</v>
      </c>
      <c r="F27" s="25"/>
      <c r="G27" s="80"/>
      <c r="H27" s="182"/>
      <c r="I27" s="183"/>
      <c r="J27" s="184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8"/>
      <c r="B28" s="46" t="s">
        <v>92</v>
      </c>
      <c r="C28" s="10"/>
      <c r="D28" s="48">
        <f t="shared" si="1"/>
        <v>0</v>
      </c>
      <c r="F28" s="91"/>
      <c r="G28" s="61"/>
      <c r="H28" s="185"/>
      <c r="I28" s="186"/>
      <c r="J28" s="187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9" t="s">
        <v>36</v>
      </c>
      <c r="B29" s="160"/>
      <c r="C29" s="161"/>
      <c r="D29" s="165">
        <f>SUM(D6:D28)</f>
        <v>426537</v>
      </c>
      <c r="F29" s="105" t="s">
        <v>54</v>
      </c>
      <c r="G29" s="167"/>
      <c r="H29" s="127">
        <f>H15-H16-H17-H18-H19-H20-H22-H23-H24+H26+H27</f>
        <v>360874</v>
      </c>
      <c r="I29" s="128"/>
      <c r="J29" s="129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08"/>
      <c r="G30" s="168"/>
      <c r="H30" s="130"/>
      <c r="I30" s="131"/>
      <c r="J30" s="132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2" t="s">
        <v>57</v>
      </c>
      <c r="B32" s="153"/>
      <c r="C32" s="153"/>
      <c r="D32" s="154"/>
      <c r="F32" s="155" t="s">
        <v>58</v>
      </c>
      <c r="G32" s="156"/>
      <c r="H32" s="156"/>
      <c r="I32" s="156"/>
      <c r="J32" s="157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2" t="s">
        <v>62</v>
      </c>
      <c r="H33" s="155" t="s">
        <v>13</v>
      </c>
      <c r="I33" s="156"/>
      <c r="J33" s="157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6" t="s">
        <v>64</v>
      </c>
      <c r="B34" s="26" t="s">
        <v>65</v>
      </c>
      <c r="C34" s="51"/>
      <c r="D34" s="30">
        <f>C34*120</f>
        <v>0</v>
      </c>
      <c r="F34" s="12">
        <v>1000</v>
      </c>
      <c r="G34" s="74">
        <v>177</v>
      </c>
      <c r="H34" s="149">
        <f>F34*G34</f>
        <v>177000</v>
      </c>
      <c r="I34" s="150"/>
      <c r="J34" s="151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7"/>
      <c r="B35" s="27" t="s">
        <v>67</v>
      </c>
      <c r="C35" s="52"/>
      <c r="D35" s="30">
        <f>C35*84</f>
        <v>0</v>
      </c>
      <c r="F35" s="58">
        <v>500</v>
      </c>
      <c r="G35" s="41">
        <v>201</v>
      </c>
      <c r="H35" s="149">
        <f>F35*G35</f>
        <v>100500</v>
      </c>
      <c r="I35" s="150"/>
      <c r="J35" s="15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8"/>
      <c r="B36" s="26" t="s">
        <v>69</v>
      </c>
      <c r="C36" s="10"/>
      <c r="D36" s="12">
        <f>C36*1.5</f>
        <v>0</v>
      </c>
      <c r="F36" s="12">
        <v>200</v>
      </c>
      <c r="G36" s="37"/>
      <c r="H36" s="149">
        <f t="shared" ref="H36:H39" si="2">F36*G36</f>
        <v>0</v>
      </c>
      <c r="I36" s="150"/>
      <c r="J36" s="151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6" t="s">
        <v>71</v>
      </c>
      <c r="B37" s="28" t="s">
        <v>65</v>
      </c>
      <c r="C37" s="53">
        <f>432+97</f>
        <v>529</v>
      </c>
      <c r="D37" s="12">
        <f>C37*111</f>
        <v>58719</v>
      </c>
      <c r="F37" s="12">
        <v>100</v>
      </c>
      <c r="G37" s="39">
        <v>51</v>
      </c>
      <c r="H37" s="149">
        <f t="shared" si="2"/>
        <v>5100</v>
      </c>
      <c r="I37" s="150"/>
      <c r="J37" s="151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7"/>
      <c r="B38" s="29" t="s">
        <v>67</v>
      </c>
      <c r="C38" s="54">
        <v>22</v>
      </c>
      <c r="D38" s="12">
        <f>C38*84</f>
        <v>1848</v>
      </c>
      <c r="F38" s="30">
        <v>50</v>
      </c>
      <c r="G38" s="39">
        <v>12</v>
      </c>
      <c r="H38" s="149">
        <f t="shared" si="2"/>
        <v>600</v>
      </c>
      <c r="I38" s="150"/>
      <c r="J38" s="151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8"/>
      <c r="B39" s="29" t="s">
        <v>69</v>
      </c>
      <c r="C39" s="52">
        <v>5</v>
      </c>
      <c r="D39" s="31">
        <f>C39*4.5</f>
        <v>22.5</v>
      </c>
      <c r="F39" s="12">
        <v>20</v>
      </c>
      <c r="G39" s="37"/>
      <c r="H39" s="149">
        <f t="shared" si="2"/>
        <v>0</v>
      </c>
      <c r="I39" s="150"/>
      <c r="J39" s="15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6" t="s">
        <v>75</v>
      </c>
      <c r="B40" s="27" t="s">
        <v>65</v>
      </c>
      <c r="C40" s="63">
        <v>10</v>
      </c>
      <c r="D40" s="12">
        <f>C40*111</f>
        <v>1110</v>
      </c>
      <c r="F40" s="12">
        <v>10</v>
      </c>
      <c r="G40" s="42"/>
      <c r="H40" s="149"/>
      <c r="I40" s="150"/>
      <c r="J40" s="151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7"/>
      <c r="B41" s="27" t="s">
        <v>67</v>
      </c>
      <c r="C41" s="10">
        <v>3</v>
      </c>
      <c r="D41" s="12">
        <f>C41*84</f>
        <v>252</v>
      </c>
      <c r="F41" s="12">
        <v>5</v>
      </c>
      <c r="G41" s="42"/>
      <c r="H41" s="149"/>
      <c r="I41" s="150"/>
      <c r="J41" s="151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8"/>
      <c r="B42" s="27" t="s">
        <v>69</v>
      </c>
      <c r="C42" s="11">
        <v>8</v>
      </c>
      <c r="D42" s="12">
        <f>C42*2.25</f>
        <v>18</v>
      </c>
      <c r="F42" s="39" t="s">
        <v>78</v>
      </c>
      <c r="G42" s="149">
        <v>101</v>
      </c>
      <c r="H42" s="150"/>
      <c r="I42" s="150"/>
      <c r="J42" s="151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19" t="s">
        <v>80</v>
      </c>
      <c r="C43" s="11"/>
      <c r="D43" s="12"/>
      <c r="F43" s="59" t="s">
        <v>81</v>
      </c>
      <c r="G43" s="88" t="s">
        <v>82</v>
      </c>
      <c r="H43" s="141" t="s">
        <v>13</v>
      </c>
      <c r="I43" s="142"/>
      <c r="J43" s="143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20"/>
      <c r="B44" s="27" t="s">
        <v>65</v>
      </c>
      <c r="C44" s="10">
        <v>2</v>
      </c>
      <c r="D44" s="12">
        <f>C44*120</f>
        <v>240</v>
      </c>
      <c r="F44" s="37" t="s">
        <v>132</v>
      </c>
      <c r="G44" s="62" t="s">
        <v>143</v>
      </c>
      <c r="H44" s="144">
        <v>79565</v>
      </c>
      <c r="I44" s="144"/>
      <c r="J44" s="144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20"/>
      <c r="B45" s="27" t="s">
        <v>67</v>
      </c>
      <c r="C45" s="33"/>
      <c r="D45" s="12">
        <f>C45*84</f>
        <v>0</v>
      </c>
      <c r="F45" s="37"/>
      <c r="G45" s="76"/>
      <c r="H45" s="144"/>
      <c r="I45" s="144"/>
      <c r="J45" s="144"/>
      <c r="K45" s="21"/>
      <c r="P45" s="4"/>
      <c r="Q45" s="4"/>
      <c r="R45" s="5"/>
    </row>
    <row r="46" spans="1:18" ht="15.75" x14ac:dyDescent="0.25">
      <c r="A46" s="120"/>
      <c r="B46" s="49" t="s">
        <v>69</v>
      </c>
      <c r="C46" s="81"/>
      <c r="D46" s="12">
        <f>C46*1.5</f>
        <v>0</v>
      </c>
      <c r="F46" s="37"/>
      <c r="G46" s="62"/>
      <c r="H46" s="145"/>
      <c r="I46" s="145"/>
      <c r="J46" s="145"/>
      <c r="K46" s="21"/>
      <c r="P46" s="4"/>
      <c r="Q46" s="4"/>
      <c r="R46" s="5"/>
    </row>
    <row r="47" spans="1:18" ht="15.75" x14ac:dyDescent="0.25">
      <c r="A47" s="121"/>
      <c r="B47" s="27"/>
      <c r="C47" s="11"/>
      <c r="D47" s="12"/>
      <c r="F47" s="59"/>
      <c r="G47" s="59"/>
      <c r="H47" s="122"/>
      <c r="I47" s="123"/>
      <c r="J47" s="124"/>
      <c r="K47" s="21"/>
      <c r="P47" s="4"/>
      <c r="Q47" s="4"/>
      <c r="R47" s="5"/>
    </row>
    <row r="48" spans="1:18" ht="15" customHeight="1" x14ac:dyDescent="0.25">
      <c r="A48" s="119" t="s">
        <v>32</v>
      </c>
      <c r="B48" s="27" t="s">
        <v>65</v>
      </c>
      <c r="C48" s="10">
        <v>13</v>
      </c>
      <c r="D48" s="12">
        <f>C48*78</f>
        <v>1014</v>
      </c>
      <c r="F48" s="59"/>
      <c r="G48" s="59"/>
      <c r="H48" s="122"/>
      <c r="I48" s="123"/>
      <c r="J48" s="124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20"/>
      <c r="B49" s="29" t="s">
        <v>67</v>
      </c>
      <c r="C49" s="33">
        <v>1</v>
      </c>
      <c r="D49" s="12">
        <f>C49*42</f>
        <v>42</v>
      </c>
      <c r="F49" s="125" t="s">
        <v>85</v>
      </c>
      <c r="G49" s="127">
        <f>H34+H35+H36+H37+H38+H39+H40+H41+G42+H44+H45+H46</f>
        <v>362866</v>
      </c>
      <c r="H49" s="128"/>
      <c r="I49" s="128"/>
      <c r="J49" s="129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0"/>
      <c r="B50" s="32" t="s">
        <v>69</v>
      </c>
      <c r="C50" s="11">
        <v>13</v>
      </c>
      <c r="D50" s="12">
        <f>C50*1.5</f>
        <v>19.5</v>
      </c>
      <c r="F50" s="126"/>
      <c r="G50" s="130"/>
      <c r="H50" s="131"/>
      <c r="I50" s="131"/>
      <c r="J50" s="132"/>
      <c r="O50" t="s">
        <v>114</v>
      </c>
      <c r="P50" s="4">
        <v>1204</v>
      </c>
      <c r="Q50" s="4"/>
      <c r="R50" s="5"/>
    </row>
    <row r="51" spans="1:18" ht="15" customHeight="1" x14ac:dyDescent="0.25">
      <c r="A51" s="120"/>
      <c r="B51" s="27"/>
      <c r="C51" s="10"/>
      <c r="D51" s="31"/>
      <c r="F51" s="133" t="s">
        <v>115</v>
      </c>
      <c r="G51" s="135">
        <f>G49-H29</f>
        <v>1992</v>
      </c>
      <c r="H51" s="136"/>
      <c r="I51" s="136"/>
      <c r="J51" s="137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20"/>
      <c r="B52" s="29"/>
      <c r="C52" s="33"/>
      <c r="D52" s="45"/>
      <c r="F52" s="134"/>
      <c r="G52" s="138"/>
      <c r="H52" s="139"/>
      <c r="I52" s="139"/>
      <c r="J52" s="140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1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05" t="s">
        <v>89</v>
      </c>
      <c r="B54" s="106"/>
      <c r="C54" s="107"/>
      <c r="D54" s="111">
        <f>SUM(D34:D53)</f>
        <v>63285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08"/>
      <c r="B55" s="109"/>
      <c r="C55" s="110"/>
      <c r="D55" s="11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13" t="s">
        <v>90</v>
      </c>
      <c r="B58" s="114"/>
      <c r="C58" s="114"/>
      <c r="D58" s="115"/>
      <c r="F58" s="113" t="s">
        <v>91</v>
      </c>
      <c r="G58" s="114"/>
      <c r="H58" s="114"/>
      <c r="I58" s="114"/>
      <c r="J58" s="115"/>
    </row>
    <row r="59" spans="1:18" x14ac:dyDescent="0.25">
      <c r="A59" s="116"/>
      <c r="B59" s="117"/>
      <c r="C59" s="117"/>
      <c r="D59" s="118"/>
      <c r="F59" s="116"/>
      <c r="G59" s="117"/>
      <c r="H59" s="117"/>
      <c r="I59" s="117"/>
      <c r="J59" s="118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0B753A-9F26-44C6-A6ED-0043AF28A941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01" t="s">
        <v>1</v>
      </c>
      <c r="O1" s="201"/>
      <c r="P1" s="90" t="s">
        <v>2</v>
      </c>
      <c r="Q1" s="90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52" t="s">
        <v>7</v>
      </c>
      <c r="B4" s="153"/>
      <c r="C4" s="153"/>
      <c r="D4" s="154"/>
      <c r="F4" s="202" t="s">
        <v>8</v>
      </c>
      <c r="G4" s="204"/>
      <c r="H4" s="206" t="s">
        <v>9</v>
      </c>
      <c r="I4" s="208"/>
      <c r="J4" s="20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46" t="s">
        <v>7</v>
      </c>
      <c r="B5" s="15" t="s">
        <v>11</v>
      </c>
      <c r="C5" s="9" t="s">
        <v>12</v>
      </c>
      <c r="D5" s="25" t="s">
        <v>13</v>
      </c>
      <c r="F5" s="203"/>
      <c r="G5" s="205"/>
      <c r="H5" s="207"/>
      <c r="I5" s="210"/>
      <c r="J5" s="21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47"/>
      <c r="B6" s="16"/>
      <c r="C6" s="10"/>
      <c r="D6" s="13">
        <f t="shared" ref="D6:D28" si="1">C6*L6</f>
        <v>0</v>
      </c>
      <c r="F6" s="212" t="s">
        <v>16</v>
      </c>
      <c r="G6" s="214"/>
      <c r="H6" s="215"/>
      <c r="I6" s="215"/>
      <c r="J6" s="216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47"/>
      <c r="B7" s="16"/>
      <c r="C7" s="10"/>
      <c r="D7" s="13">
        <f t="shared" si="1"/>
        <v>0</v>
      </c>
      <c r="F7" s="213"/>
      <c r="G7" s="217"/>
      <c r="H7" s="218"/>
      <c r="I7" s="218"/>
      <c r="J7" s="219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47"/>
      <c r="B8" s="16"/>
      <c r="C8" s="10"/>
      <c r="D8" s="13">
        <f t="shared" si="1"/>
        <v>0</v>
      </c>
      <c r="F8" s="220" t="s">
        <v>21</v>
      </c>
      <c r="G8" s="221"/>
      <c r="H8" s="222"/>
      <c r="I8" s="222"/>
      <c r="J8" s="223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47"/>
      <c r="B9" s="16"/>
      <c r="C9" s="10"/>
      <c r="D9" s="13">
        <f t="shared" si="1"/>
        <v>0</v>
      </c>
      <c r="F9" s="213"/>
      <c r="G9" s="224"/>
      <c r="H9" s="225"/>
      <c r="I9" s="225"/>
      <c r="J9" s="226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47"/>
      <c r="C10" s="10"/>
      <c r="D10" s="13">
        <f t="shared" si="1"/>
        <v>0</v>
      </c>
      <c r="F10" s="212" t="s">
        <v>26</v>
      </c>
      <c r="G10" s="227"/>
      <c r="H10" s="228"/>
      <c r="I10" s="228"/>
      <c r="J10" s="229"/>
      <c r="K10" s="8"/>
      <c r="L10" s="6">
        <f>R36</f>
        <v>972</v>
      </c>
      <c r="P10" s="4"/>
      <c r="Q10" s="4"/>
      <c r="R10" s="5"/>
    </row>
    <row r="11" spans="1:19" ht="15.75" x14ac:dyDescent="0.25">
      <c r="A11" s="147"/>
      <c r="B11" s="17"/>
      <c r="C11" s="10"/>
      <c r="D11" s="13">
        <f t="shared" si="1"/>
        <v>0</v>
      </c>
      <c r="F11" s="213"/>
      <c r="G11" s="224"/>
      <c r="H11" s="225"/>
      <c r="I11" s="225"/>
      <c r="J11" s="226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47"/>
      <c r="B12" s="17"/>
      <c r="C12" s="10"/>
      <c r="D12" s="48">
        <f t="shared" si="1"/>
        <v>0</v>
      </c>
      <c r="F12" s="230" t="s">
        <v>33</v>
      </c>
      <c r="G12" s="231"/>
      <c r="H12" s="231"/>
      <c r="I12" s="231"/>
      <c r="J12" s="232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47"/>
      <c r="B13" s="17"/>
      <c r="C13" s="10"/>
      <c r="D13" s="48">
        <f t="shared" si="1"/>
        <v>0</v>
      </c>
      <c r="F13" s="233" t="s">
        <v>36</v>
      </c>
      <c r="G13" s="197"/>
      <c r="H13" s="188">
        <f>D29</f>
        <v>0</v>
      </c>
      <c r="I13" s="189"/>
      <c r="J13" s="19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47"/>
      <c r="B14" s="14"/>
      <c r="C14" s="10"/>
      <c r="D14" s="31">
        <f t="shared" si="1"/>
        <v>0</v>
      </c>
      <c r="F14" s="191" t="s">
        <v>38</v>
      </c>
      <c r="G14" s="192"/>
      <c r="H14" s="193">
        <f>D54</f>
        <v>0</v>
      </c>
      <c r="I14" s="194"/>
      <c r="J14" s="19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47"/>
      <c r="B15" s="14"/>
      <c r="C15" s="10"/>
      <c r="D15" s="31">
        <f t="shared" si="1"/>
        <v>0</v>
      </c>
      <c r="F15" s="196" t="s">
        <v>39</v>
      </c>
      <c r="G15" s="197"/>
      <c r="H15" s="198">
        <f>H13-H14</f>
        <v>0</v>
      </c>
      <c r="I15" s="199"/>
      <c r="J15" s="200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47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58"/>
      <c r="I16" s="158"/>
      <c r="J16" s="158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7"/>
      <c r="C17" s="10"/>
      <c r="D17" s="48">
        <f t="shared" si="1"/>
        <v>0</v>
      </c>
      <c r="F17" s="56"/>
      <c r="G17" s="66" t="s">
        <v>44</v>
      </c>
      <c r="H17" s="169"/>
      <c r="I17" s="169"/>
      <c r="J17" s="169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7"/>
      <c r="B18" s="19"/>
      <c r="C18" s="10"/>
      <c r="D18" s="48">
        <f t="shared" si="1"/>
        <v>0</v>
      </c>
      <c r="F18" s="56"/>
      <c r="G18" s="66" t="s">
        <v>46</v>
      </c>
      <c r="H18" s="169"/>
      <c r="I18" s="169"/>
      <c r="J18" s="16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7"/>
      <c r="B19" s="14"/>
      <c r="C19" s="10"/>
      <c r="D19" s="48">
        <f t="shared" si="1"/>
        <v>0</v>
      </c>
      <c r="F19" s="56"/>
      <c r="G19" s="68" t="s">
        <v>49</v>
      </c>
      <c r="H19" s="170"/>
      <c r="I19" s="170"/>
      <c r="J19" s="170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7"/>
      <c r="B20" s="46"/>
      <c r="C20" s="10"/>
      <c r="D20" s="13">
        <f t="shared" si="1"/>
        <v>0</v>
      </c>
      <c r="F20" s="57"/>
      <c r="G20" s="70" t="s">
        <v>102</v>
      </c>
      <c r="H20" s="158"/>
      <c r="I20" s="158"/>
      <c r="J20" s="158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7"/>
      <c r="B21" s="14"/>
      <c r="C21" s="10"/>
      <c r="D21" s="48">
        <f t="shared" si="1"/>
        <v>0</v>
      </c>
      <c r="F21" s="69" t="s">
        <v>94</v>
      </c>
      <c r="G21" s="82" t="s">
        <v>93</v>
      </c>
      <c r="H21" s="171" t="s">
        <v>13</v>
      </c>
      <c r="I21" s="172"/>
      <c r="J21" s="173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7"/>
      <c r="B22" s="46"/>
      <c r="C22" s="10"/>
      <c r="D22" s="48">
        <f t="shared" si="1"/>
        <v>0</v>
      </c>
      <c r="F22" s="77"/>
      <c r="G22" s="73"/>
      <c r="H22" s="174"/>
      <c r="I22" s="174"/>
      <c r="J22" s="174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7"/>
      <c r="B23" s="14"/>
      <c r="C23" s="10"/>
      <c r="D23" s="48">
        <f t="shared" si="1"/>
        <v>0</v>
      </c>
      <c r="F23" s="78"/>
      <c r="G23" s="79"/>
      <c r="H23" s="175"/>
      <c r="I23" s="144"/>
      <c r="J23" s="144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7"/>
      <c r="B24" s="14"/>
      <c r="C24" s="10"/>
      <c r="D24" s="48">
        <f t="shared" si="1"/>
        <v>0</v>
      </c>
      <c r="F24" s="38"/>
      <c r="G24" s="37"/>
      <c r="H24" s="175"/>
      <c r="I24" s="144"/>
      <c r="J24" s="144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7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176" t="s">
        <v>13</v>
      </c>
      <c r="I25" s="177"/>
      <c r="J25" s="178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7"/>
      <c r="B26" s="14"/>
      <c r="C26" s="10"/>
      <c r="D26" s="48">
        <f t="shared" si="1"/>
        <v>0</v>
      </c>
      <c r="F26" s="64"/>
      <c r="G26" s="59"/>
      <c r="H26" s="179"/>
      <c r="I26" s="180"/>
      <c r="J26" s="181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7"/>
      <c r="B27" s="14"/>
      <c r="C27" s="10"/>
      <c r="D27" s="44">
        <f t="shared" si="1"/>
        <v>0</v>
      </c>
      <c r="F27" s="25"/>
      <c r="G27" s="80"/>
      <c r="H27" s="182"/>
      <c r="I27" s="183"/>
      <c r="J27" s="184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8"/>
      <c r="B28" s="46"/>
      <c r="C28" s="10"/>
      <c r="D28" s="48">
        <f t="shared" si="1"/>
        <v>0</v>
      </c>
      <c r="F28" s="91"/>
      <c r="G28" s="61"/>
      <c r="H28" s="185"/>
      <c r="I28" s="186"/>
      <c r="J28" s="187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9" t="s">
        <v>36</v>
      </c>
      <c r="B29" s="160"/>
      <c r="C29" s="161"/>
      <c r="D29" s="165">
        <f>SUM(D6:D28)</f>
        <v>0</v>
      </c>
      <c r="F29" s="105" t="s">
        <v>54</v>
      </c>
      <c r="G29" s="167"/>
      <c r="H29" s="127">
        <f>H15-H16-H17-H18-H19-H20-H22-H23-H24+H26+H27</f>
        <v>0</v>
      </c>
      <c r="I29" s="128"/>
      <c r="J29" s="129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08"/>
      <c r="G30" s="168"/>
      <c r="H30" s="130"/>
      <c r="I30" s="131"/>
      <c r="J30" s="132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52" t="s">
        <v>57</v>
      </c>
      <c r="B32" s="153"/>
      <c r="C32" s="153"/>
      <c r="D32" s="154"/>
      <c r="F32" s="155" t="s">
        <v>58</v>
      </c>
      <c r="G32" s="156"/>
      <c r="H32" s="156"/>
      <c r="I32" s="156"/>
      <c r="J32" s="157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2" t="s">
        <v>62</v>
      </c>
      <c r="H33" s="155" t="s">
        <v>13</v>
      </c>
      <c r="I33" s="156"/>
      <c r="J33" s="157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6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149"/>
      <c r="I34" s="150"/>
      <c r="J34" s="151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7"/>
      <c r="B35" s="27" t="s">
        <v>67</v>
      </c>
      <c r="C35" s="52"/>
      <c r="D35" s="30">
        <f>C35*84</f>
        <v>0</v>
      </c>
      <c r="F35" s="58">
        <v>500</v>
      </c>
      <c r="G35" s="41"/>
      <c r="H35" s="149"/>
      <c r="I35" s="150"/>
      <c r="J35" s="15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8"/>
      <c r="B36" s="26" t="s">
        <v>69</v>
      </c>
      <c r="C36" s="10"/>
      <c r="D36" s="12">
        <f>C36*1.5</f>
        <v>0</v>
      </c>
      <c r="F36" s="12">
        <v>200</v>
      </c>
      <c r="G36" s="37"/>
      <c r="H36" s="149"/>
      <c r="I36" s="150"/>
      <c r="J36" s="151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6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49"/>
      <c r="I37" s="150"/>
      <c r="J37" s="151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7"/>
      <c r="B38" s="29" t="s">
        <v>67</v>
      </c>
      <c r="C38" s="54"/>
      <c r="D38" s="12">
        <f>C38*84</f>
        <v>0</v>
      </c>
      <c r="F38" s="30">
        <v>50</v>
      </c>
      <c r="G38" s="39"/>
      <c r="H38" s="149"/>
      <c r="I38" s="150"/>
      <c r="J38" s="151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8"/>
      <c r="B39" s="29" t="s">
        <v>69</v>
      </c>
      <c r="C39" s="52"/>
      <c r="D39" s="31">
        <f>C39*4.5</f>
        <v>0</v>
      </c>
      <c r="F39" s="12">
        <v>20</v>
      </c>
      <c r="G39" s="37"/>
      <c r="H39" s="149"/>
      <c r="I39" s="150"/>
      <c r="J39" s="15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6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49"/>
      <c r="I40" s="150"/>
      <c r="J40" s="151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7"/>
      <c r="B41" s="27" t="s">
        <v>67</v>
      </c>
      <c r="C41" s="10"/>
      <c r="D41" s="12">
        <f>C41*84</f>
        <v>0</v>
      </c>
      <c r="F41" s="12">
        <v>5</v>
      </c>
      <c r="G41" s="42"/>
      <c r="H41" s="149"/>
      <c r="I41" s="150"/>
      <c r="J41" s="151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8"/>
      <c r="B42" s="27" t="s">
        <v>69</v>
      </c>
      <c r="C42" s="11"/>
      <c r="D42" s="12">
        <f>C42*2.25</f>
        <v>0</v>
      </c>
      <c r="F42" s="39" t="s">
        <v>78</v>
      </c>
      <c r="G42" s="149"/>
      <c r="H42" s="150"/>
      <c r="I42" s="150"/>
      <c r="J42" s="151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19" t="s">
        <v>80</v>
      </c>
      <c r="C43" s="11"/>
      <c r="D43" s="12"/>
      <c r="F43" s="59" t="s">
        <v>81</v>
      </c>
      <c r="G43" s="88" t="s">
        <v>82</v>
      </c>
      <c r="H43" s="141" t="s">
        <v>13</v>
      </c>
      <c r="I43" s="142"/>
      <c r="J43" s="143"/>
      <c r="K43" s="21"/>
      <c r="P43" s="4"/>
      <c r="Q43" s="4"/>
      <c r="R43" s="5"/>
    </row>
    <row r="44" spans="1:18" ht="15.75" x14ac:dyDescent="0.25">
      <c r="A44" s="120"/>
      <c r="B44" s="27" t="s">
        <v>65</v>
      </c>
      <c r="C44" s="10"/>
      <c r="D44" s="12">
        <f>C44*120</f>
        <v>0</v>
      </c>
      <c r="F44" s="37"/>
      <c r="G44" s="76"/>
      <c r="H44" s="144"/>
      <c r="I44" s="144"/>
      <c r="J44" s="144"/>
      <c r="K44" s="21"/>
      <c r="P44" s="4"/>
      <c r="Q44" s="4"/>
      <c r="R44" s="5"/>
    </row>
    <row r="45" spans="1:18" ht="15.75" x14ac:dyDescent="0.25">
      <c r="A45" s="120"/>
      <c r="B45" s="27" t="s">
        <v>67</v>
      </c>
      <c r="C45" s="33"/>
      <c r="D45" s="12">
        <f>C45*84</f>
        <v>0</v>
      </c>
      <c r="F45" s="37"/>
      <c r="G45" s="76"/>
      <c r="H45" s="144"/>
      <c r="I45" s="144"/>
      <c r="J45" s="144"/>
      <c r="K45" s="21"/>
      <c r="P45" s="4"/>
      <c r="Q45" s="4"/>
      <c r="R45" s="5"/>
    </row>
    <row r="46" spans="1:18" ht="15.75" x14ac:dyDescent="0.25">
      <c r="A46" s="120"/>
      <c r="B46" s="49" t="s">
        <v>69</v>
      </c>
      <c r="C46" s="81"/>
      <c r="D46" s="12">
        <f>C46*1.5</f>
        <v>0</v>
      </c>
      <c r="F46" s="37"/>
      <c r="G46" s="62"/>
      <c r="H46" s="145"/>
      <c r="I46" s="145"/>
      <c r="J46" s="145"/>
      <c r="K46" s="21"/>
      <c r="P46" s="4"/>
      <c r="Q46" s="4"/>
      <c r="R46" s="5"/>
    </row>
    <row r="47" spans="1:18" ht="15.75" x14ac:dyDescent="0.25">
      <c r="A47" s="121"/>
      <c r="B47" s="27"/>
      <c r="C47" s="11"/>
      <c r="D47" s="12"/>
      <c r="F47" s="59"/>
      <c r="G47" s="59"/>
      <c r="H47" s="122"/>
      <c r="I47" s="123"/>
      <c r="J47" s="124"/>
      <c r="K47" s="21"/>
      <c r="P47" s="4"/>
      <c r="Q47" s="4"/>
      <c r="R47" s="5"/>
    </row>
    <row r="48" spans="1:18" ht="15" customHeight="1" x14ac:dyDescent="0.25">
      <c r="A48" s="119" t="s">
        <v>32</v>
      </c>
      <c r="B48" s="27" t="s">
        <v>65</v>
      </c>
      <c r="C48" s="10"/>
      <c r="D48" s="12">
        <f>C48*78</f>
        <v>0</v>
      </c>
      <c r="F48" s="59"/>
      <c r="G48" s="59"/>
      <c r="H48" s="122"/>
      <c r="I48" s="123"/>
      <c r="J48" s="124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20"/>
      <c r="B49" s="29" t="s">
        <v>67</v>
      </c>
      <c r="C49" s="33"/>
      <c r="D49" s="12">
        <f>C49*42</f>
        <v>0</v>
      </c>
      <c r="F49" s="125" t="s">
        <v>85</v>
      </c>
      <c r="G49" s="127">
        <f>H34+H35+H36+H37+H38+H39+H40+H41+G42+H44+H45+H46</f>
        <v>0</v>
      </c>
      <c r="H49" s="128"/>
      <c r="I49" s="128"/>
      <c r="J49" s="129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0"/>
      <c r="B50" s="32" t="s">
        <v>69</v>
      </c>
      <c r="C50" s="11"/>
      <c r="D50" s="12">
        <f>C50*1.5</f>
        <v>0</v>
      </c>
      <c r="F50" s="126"/>
      <c r="G50" s="130"/>
      <c r="H50" s="131"/>
      <c r="I50" s="131"/>
      <c r="J50" s="132"/>
      <c r="P50" s="4"/>
      <c r="Q50" s="4"/>
      <c r="R50" s="5"/>
    </row>
    <row r="51" spans="1:18" ht="15" customHeight="1" x14ac:dyDescent="0.25">
      <c r="A51" s="120"/>
      <c r="B51" s="27"/>
      <c r="C51" s="10"/>
      <c r="D51" s="31"/>
      <c r="F51" s="133" t="s">
        <v>106</v>
      </c>
      <c r="G51" s="135">
        <f>G49-H29</f>
        <v>0</v>
      </c>
      <c r="H51" s="136"/>
      <c r="I51" s="136"/>
      <c r="J51" s="137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0"/>
      <c r="B52" s="29"/>
      <c r="C52" s="33"/>
      <c r="D52" s="45"/>
      <c r="F52" s="134"/>
      <c r="G52" s="138"/>
      <c r="H52" s="139"/>
      <c r="I52" s="139"/>
      <c r="J52" s="140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1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05" t="s">
        <v>89</v>
      </c>
      <c r="B54" s="106"/>
      <c r="C54" s="107"/>
      <c r="D54" s="111">
        <f>SUM(D34:D53)</f>
        <v>0</v>
      </c>
      <c r="F54" s="21"/>
      <c r="J54" s="34"/>
    </row>
    <row r="55" spans="1:18" x14ac:dyDescent="0.25">
      <c r="A55" s="108"/>
      <c r="B55" s="109"/>
      <c r="C55" s="110"/>
      <c r="D55" s="11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13" t="s">
        <v>90</v>
      </c>
      <c r="B58" s="114"/>
      <c r="C58" s="114"/>
      <c r="D58" s="115"/>
      <c r="F58" s="113" t="s">
        <v>91</v>
      </c>
      <c r="G58" s="114"/>
      <c r="H58" s="114"/>
      <c r="I58" s="114"/>
      <c r="J58" s="115"/>
    </row>
    <row r="59" spans="1:18" x14ac:dyDescent="0.25">
      <c r="A59" s="116"/>
      <c r="B59" s="117"/>
      <c r="C59" s="117"/>
      <c r="D59" s="118"/>
      <c r="F59" s="116"/>
      <c r="G59" s="117"/>
      <c r="H59" s="117"/>
      <c r="I59" s="117"/>
      <c r="J59" s="118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081491-97FD-42F4-B570-A89C1B48DB0E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1" t="s">
        <v>1</v>
      </c>
      <c r="O1" s="201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2" t="s">
        <v>7</v>
      </c>
      <c r="B4" s="153"/>
      <c r="C4" s="153"/>
      <c r="D4" s="154"/>
      <c r="F4" s="202" t="s">
        <v>8</v>
      </c>
      <c r="G4" s="204">
        <v>1</v>
      </c>
      <c r="H4" s="206" t="s">
        <v>9</v>
      </c>
      <c r="I4" s="208">
        <v>46147</v>
      </c>
      <c r="J4" s="20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6" t="s">
        <v>7</v>
      </c>
      <c r="B5" s="15" t="s">
        <v>11</v>
      </c>
      <c r="C5" s="9" t="s">
        <v>12</v>
      </c>
      <c r="D5" s="25" t="s">
        <v>13</v>
      </c>
      <c r="F5" s="203"/>
      <c r="G5" s="205"/>
      <c r="H5" s="207"/>
      <c r="I5" s="210"/>
      <c r="J5" s="21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7"/>
      <c r="B6" s="16" t="s">
        <v>15</v>
      </c>
      <c r="C6" s="10">
        <v>458</v>
      </c>
      <c r="D6" s="13">
        <f t="shared" ref="D6:D28" si="1">C6*L6</f>
        <v>348538</v>
      </c>
      <c r="F6" s="212" t="s">
        <v>16</v>
      </c>
      <c r="G6" s="214" t="s">
        <v>99</v>
      </c>
      <c r="H6" s="215"/>
      <c r="I6" s="215"/>
      <c r="J6" s="21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7"/>
      <c r="B7" s="16" t="s">
        <v>18</v>
      </c>
      <c r="C7" s="10">
        <v>12</v>
      </c>
      <c r="D7" s="13">
        <f t="shared" si="1"/>
        <v>9372</v>
      </c>
      <c r="F7" s="213"/>
      <c r="G7" s="217"/>
      <c r="H7" s="218"/>
      <c r="I7" s="218"/>
      <c r="J7" s="21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7"/>
      <c r="B8" s="16" t="s">
        <v>20</v>
      </c>
      <c r="C8" s="10"/>
      <c r="D8" s="13">
        <f t="shared" si="1"/>
        <v>0</v>
      </c>
      <c r="F8" s="220" t="s">
        <v>21</v>
      </c>
      <c r="G8" s="221" t="s">
        <v>120</v>
      </c>
      <c r="H8" s="222"/>
      <c r="I8" s="222"/>
      <c r="J8" s="22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7"/>
      <c r="B9" s="16" t="s">
        <v>23</v>
      </c>
      <c r="C9" s="10">
        <v>108</v>
      </c>
      <c r="D9" s="13">
        <f t="shared" si="1"/>
        <v>79164</v>
      </c>
      <c r="F9" s="213"/>
      <c r="G9" s="224"/>
      <c r="H9" s="225"/>
      <c r="I9" s="225"/>
      <c r="J9" s="22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7"/>
      <c r="B10" t="s">
        <v>25</v>
      </c>
      <c r="C10" s="10">
        <v>7</v>
      </c>
      <c r="D10" s="13">
        <f t="shared" si="1"/>
        <v>7224</v>
      </c>
      <c r="F10" s="212" t="s">
        <v>26</v>
      </c>
      <c r="G10" s="227" t="s">
        <v>108</v>
      </c>
      <c r="H10" s="228"/>
      <c r="I10" s="228"/>
      <c r="J10" s="229"/>
      <c r="K10" s="8"/>
      <c r="L10" s="6">
        <f>R36</f>
        <v>1032</v>
      </c>
      <c r="P10" s="4"/>
      <c r="Q10" s="4"/>
      <c r="R10" s="5"/>
    </row>
    <row r="11" spans="1:18" ht="15.75" x14ac:dyDescent="0.25">
      <c r="A11" s="147"/>
      <c r="B11" s="17" t="s">
        <v>28</v>
      </c>
      <c r="C11" s="10"/>
      <c r="D11" s="13">
        <f t="shared" si="1"/>
        <v>0</v>
      </c>
      <c r="F11" s="213"/>
      <c r="G11" s="224"/>
      <c r="H11" s="225"/>
      <c r="I11" s="225"/>
      <c r="J11" s="22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7"/>
      <c r="B12" s="17" t="s">
        <v>30</v>
      </c>
      <c r="C12" s="10">
        <f>6+5+2</f>
        <v>13</v>
      </c>
      <c r="D12" s="48">
        <f t="shared" si="1"/>
        <v>12896</v>
      </c>
      <c r="F12" s="230" t="s">
        <v>33</v>
      </c>
      <c r="G12" s="231"/>
      <c r="H12" s="231"/>
      <c r="I12" s="231"/>
      <c r="J12" s="23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7"/>
      <c r="B13" s="17" t="s">
        <v>32</v>
      </c>
      <c r="C13" s="10">
        <v>5</v>
      </c>
      <c r="D13" s="48">
        <f t="shared" si="1"/>
        <v>1535</v>
      </c>
      <c r="F13" s="233" t="s">
        <v>36</v>
      </c>
      <c r="G13" s="197"/>
      <c r="H13" s="188">
        <f>D29</f>
        <v>470610</v>
      </c>
      <c r="I13" s="189"/>
      <c r="J13" s="19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7"/>
      <c r="B14" s="14" t="s">
        <v>35</v>
      </c>
      <c r="C14" s="10">
        <v>6</v>
      </c>
      <c r="D14" s="31">
        <f t="shared" si="1"/>
        <v>66</v>
      </c>
      <c r="F14" s="191" t="s">
        <v>38</v>
      </c>
      <c r="G14" s="192"/>
      <c r="H14" s="193">
        <f>D54</f>
        <v>69966.75</v>
      </c>
      <c r="I14" s="194"/>
      <c r="J14" s="19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7"/>
      <c r="B15" s="14" t="s">
        <v>122</v>
      </c>
      <c r="C15" s="10">
        <v>1</v>
      </c>
      <c r="D15" s="31">
        <f t="shared" si="1"/>
        <v>620</v>
      </c>
      <c r="F15" s="196" t="s">
        <v>39</v>
      </c>
      <c r="G15" s="197"/>
      <c r="H15" s="198">
        <f>H13-H14</f>
        <v>400643.25</v>
      </c>
      <c r="I15" s="199"/>
      <c r="J15" s="200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7"/>
      <c r="B16" s="18" t="s">
        <v>111</v>
      </c>
      <c r="C16" s="10">
        <f>2+1</f>
        <v>3</v>
      </c>
      <c r="D16" s="48">
        <f t="shared" si="1"/>
        <v>1950</v>
      </c>
      <c r="F16" s="67" t="s">
        <v>41</v>
      </c>
      <c r="G16" s="66" t="s">
        <v>42</v>
      </c>
      <c r="H16" s="158">
        <v>2682</v>
      </c>
      <c r="I16" s="158"/>
      <c r="J16" s="158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7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69"/>
      <c r="I17" s="169"/>
      <c r="J17" s="169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7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69"/>
      <c r="I18" s="169"/>
      <c r="J18" s="169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7"/>
      <c r="B19" s="83" t="s">
        <v>105</v>
      </c>
      <c r="C19" s="10">
        <v>1</v>
      </c>
      <c r="D19" s="48">
        <f t="shared" si="1"/>
        <v>1175</v>
      </c>
      <c r="F19" s="56"/>
      <c r="G19" s="68" t="s">
        <v>49</v>
      </c>
      <c r="H19" s="158"/>
      <c r="I19" s="158"/>
      <c r="J19" s="158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7"/>
      <c r="B20" s="46" t="s">
        <v>144</v>
      </c>
      <c r="C20" s="10">
        <v>1</v>
      </c>
      <c r="D20" s="13">
        <f t="shared" si="1"/>
        <v>1582</v>
      </c>
      <c r="F20" s="57"/>
      <c r="G20" s="70" t="s">
        <v>102</v>
      </c>
      <c r="H20" s="158">
        <v>200</v>
      </c>
      <c r="I20" s="158"/>
      <c r="J20" s="158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7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71" t="s">
        <v>13</v>
      </c>
      <c r="I21" s="172"/>
      <c r="J21" s="173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7"/>
      <c r="B22" s="46" t="s">
        <v>103</v>
      </c>
      <c r="C22" s="10"/>
      <c r="D22" s="48">
        <f t="shared" si="1"/>
        <v>0</v>
      </c>
      <c r="F22" s="77" t="s">
        <v>146</v>
      </c>
      <c r="G22" s="73">
        <v>10342</v>
      </c>
      <c r="H22" s="174">
        <v>92804</v>
      </c>
      <c r="I22" s="174"/>
      <c r="J22" s="174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7"/>
      <c r="B23" s="14" t="s">
        <v>121</v>
      </c>
      <c r="C23" s="10"/>
      <c r="D23" s="48">
        <f t="shared" si="1"/>
        <v>0</v>
      </c>
      <c r="F23" s="77"/>
      <c r="G23" s="79"/>
      <c r="H23" s="242"/>
      <c r="I23" s="243"/>
      <c r="J23" s="243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7"/>
      <c r="B24" s="14" t="s">
        <v>128</v>
      </c>
      <c r="C24" s="10"/>
      <c r="D24" s="48">
        <f t="shared" si="1"/>
        <v>0</v>
      </c>
      <c r="F24" s="77"/>
      <c r="G24" s="79"/>
      <c r="H24" s="242"/>
      <c r="I24" s="243"/>
      <c r="J24" s="243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7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76" t="s">
        <v>13</v>
      </c>
      <c r="I25" s="177"/>
      <c r="J25" s="178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7"/>
      <c r="B26" s="14" t="s">
        <v>129</v>
      </c>
      <c r="C26" s="10"/>
      <c r="D26" s="48">
        <f t="shared" si="1"/>
        <v>0</v>
      </c>
      <c r="F26" s="75" t="s">
        <v>146</v>
      </c>
      <c r="G26" s="65">
        <v>10315</v>
      </c>
      <c r="H26" s="144">
        <v>83980</v>
      </c>
      <c r="I26" s="144"/>
      <c r="J26" s="144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7"/>
      <c r="B27" s="14" t="s">
        <v>130</v>
      </c>
      <c r="C27" s="10"/>
      <c r="D27" s="44">
        <f t="shared" si="1"/>
        <v>0</v>
      </c>
      <c r="F27" s="71"/>
      <c r="G27" s="88"/>
      <c r="H27" s="244"/>
      <c r="I27" s="245"/>
      <c r="J27" s="245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8"/>
      <c r="B28" s="46" t="s">
        <v>92</v>
      </c>
      <c r="C28" s="10">
        <v>8</v>
      </c>
      <c r="D28" s="48">
        <f t="shared" si="1"/>
        <v>6488</v>
      </c>
      <c r="F28" s="91"/>
      <c r="G28" s="61"/>
      <c r="H28" s="185"/>
      <c r="I28" s="186"/>
      <c r="J28" s="187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9" t="s">
        <v>36</v>
      </c>
      <c r="B29" s="160"/>
      <c r="C29" s="161"/>
      <c r="D29" s="165">
        <f>SUM(D6:D28)</f>
        <v>470610</v>
      </c>
      <c r="F29" s="105" t="s">
        <v>54</v>
      </c>
      <c r="G29" s="167"/>
      <c r="H29" s="127">
        <f>H15-H16-H17-H18-H19-H20-H22-H23-H24+H26+H27+H28</f>
        <v>388937.25</v>
      </c>
      <c r="I29" s="128"/>
      <c r="J29" s="129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08"/>
      <c r="G30" s="168"/>
      <c r="H30" s="130"/>
      <c r="I30" s="131"/>
      <c r="J30" s="132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2" t="s">
        <v>57</v>
      </c>
      <c r="B32" s="153"/>
      <c r="C32" s="153"/>
      <c r="D32" s="154"/>
      <c r="F32" s="155" t="s">
        <v>58</v>
      </c>
      <c r="G32" s="156"/>
      <c r="H32" s="156"/>
      <c r="I32" s="156"/>
      <c r="J32" s="157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2" t="s">
        <v>62</v>
      </c>
      <c r="H33" s="155" t="s">
        <v>13</v>
      </c>
      <c r="I33" s="156"/>
      <c r="J33" s="157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6" t="s">
        <v>64</v>
      </c>
      <c r="B34" s="26" t="s">
        <v>65</v>
      </c>
      <c r="C34" s="51">
        <v>4</v>
      </c>
      <c r="D34" s="30">
        <f>C34*120</f>
        <v>480</v>
      </c>
      <c r="F34" s="12">
        <v>1000</v>
      </c>
      <c r="G34" s="40">
        <v>6</v>
      </c>
      <c r="H34" s="149">
        <f t="shared" ref="H34:H39" si="2">F34*G34</f>
        <v>6000</v>
      </c>
      <c r="I34" s="150"/>
      <c r="J34" s="151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7"/>
      <c r="B35" s="27" t="s">
        <v>67</v>
      </c>
      <c r="C35" s="52">
        <v>2</v>
      </c>
      <c r="D35" s="30">
        <f>C35*84</f>
        <v>168</v>
      </c>
      <c r="F35" s="58">
        <v>500</v>
      </c>
      <c r="G35" s="41">
        <v>2</v>
      </c>
      <c r="H35" s="149">
        <f t="shared" si="2"/>
        <v>1000</v>
      </c>
      <c r="I35" s="150"/>
      <c r="J35" s="15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8"/>
      <c r="B36" s="26" t="s">
        <v>69</v>
      </c>
      <c r="C36" s="10">
        <v>22</v>
      </c>
      <c r="D36" s="12">
        <f>C36*1.5</f>
        <v>33</v>
      </c>
      <c r="F36" s="12">
        <v>200</v>
      </c>
      <c r="G36" s="37"/>
      <c r="H36" s="149">
        <f t="shared" si="2"/>
        <v>0</v>
      </c>
      <c r="I36" s="150"/>
      <c r="J36" s="151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6" t="s">
        <v>71</v>
      </c>
      <c r="B37" s="28" t="s">
        <v>65</v>
      </c>
      <c r="C37" s="53">
        <v>585</v>
      </c>
      <c r="D37" s="12">
        <f>C37*111</f>
        <v>64935</v>
      </c>
      <c r="F37" s="12">
        <v>100</v>
      </c>
      <c r="G37" s="39"/>
      <c r="H37" s="149">
        <f t="shared" si="2"/>
        <v>0</v>
      </c>
      <c r="I37" s="150"/>
      <c r="J37" s="151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7"/>
      <c r="B38" s="29" t="s">
        <v>67</v>
      </c>
      <c r="C38" s="54">
        <v>12</v>
      </c>
      <c r="D38" s="12">
        <f>C38*84</f>
        <v>1008</v>
      </c>
      <c r="F38" s="30">
        <v>50</v>
      </c>
      <c r="G38" s="39"/>
      <c r="H38" s="149">
        <f t="shared" si="2"/>
        <v>0</v>
      </c>
      <c r="I38" s="150"/>
      <c r="J38" s="151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8"/>
      <c r="B39" s="29" t="s">
        <v>69</v>
      </c>
      <c r="C39" s="52">
        <v>7</v>
      </c>
      <c r="D39" s="31">
        <f>C39*4.5</f>
        <v>31.5</v>
      </c>
      <c r="F39" s="12">
        <v>20</v>
      </c>
      <c r="G39" s="37"/>
      <c r="H39" s="149">
        <f t="shared" si="2"/>
        <v>0</v>
      </c>
      <c r="I39" s="150"/>
      <c r="J39" s="15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6" t="s">
        <v>75</v>
      </c>
      <c r="B40" s="27" t="s">
        <v>65</v>
      </c>
      <c r="C40" s="63">
        <v>14</v>
      </c>
      <c r="D40" s="12">
        <f>C40*111</f>
        <v>1554</v>
      </c>
      <c r="F40" s="12">
        <v>10</v>
      </c>
      <c r="G40" s="42"/>
      <c r="H40" s="149"/>
      <c r="I40" s="150"/>
      <c r="J40" s="151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7"/>
      <c r="B41" s="27" t="s">
        <v>67</v>
      </c>
      <c r="C41" s="10">
        <v>1</v>
      </c>
      <c r="D41" s="12">
        <f>C41*84</f>
        <v>84</v>
      </c>
      <c r="F41" s="12">
        <v>5</v>
      </c>
      <c r="G41" s="42"/>
      <c r="H41" s="149"/>
      <c r="I41" s="150"/>
      <c r="J41" s="151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8"/>
      <c r="B42" s="27" t="s">
        <v>69</v>
      </c>
      <c r="C42" s="11">
        <v>11</v>
      </c>
      <c r="D42" s="12">
        <f>C42*2.25</f>
        <v>24.75</v>
      </c>
      <c r="F42" s="39" t="s">
        <v>78</v>
      </c>
      <c r="G42" s="149"/>
      <c r="H42" s="150"/>
      <c r="I42" s="150"/>
      <c r="J42" s="151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19" t="s">
        <v>80</v>
      </c>
      <c r="C43" s="11"/>
      <c r="D43" s="12"/>
      <c r="F43" s="59" t="s">
        <v>81</v>
      </c>
      <c r="G43" s="88" t="s">
        <v>82</v>
      </c>
      <c r="H43" s="141" t="s">
        <v>13</v>
      </c>
      <c r="I43" s="142"/>
      <c r="J43" s="143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20"/>
      <c r="B44" s="27" t="s">
        <v>65</v>
      </c>
      <c r="C44" s="10">
        <v>8</v>
      </c>
      <c r="D44" s="12">
        <f>C44*120</f>
        <v>960</v>
      </c>
      <c r="F44" s="37" t="s">
        <v>132</v>
      </c>
      <c r="G44" s="62" t="s">
        <v>145</v>
      </c>
      <c r="H44" s="144">
        <v>294438.25</v>
      </c>
      <c r="I44" s="144"/>
      <c r="J44" s="144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20"/>
      <c r="B45" s="27" t="s">
        <v>67</v>
      </c>
      <c r="C45" s="33">
        <v>5</v>
      </c>
      <c r="D45" s="12">
        <f>C45*84</f>
        <v>420</v>
      </c>
      <c r="F45" s="37" t="s">
        <v>136</v>
      </c>
      <c r="G45" s="93" t="s">
        <v>141</v>
      </c>
      <c r="H45" s="144">
        <v>83980</v>
      </c>
      <c r="I45" s="144"/>
      <c r="J45" s="144"/>
      <c r="K45" s="21"/>
      <c r="P45" s="4"/>
      <c r="Q45" s="4"/>
      <c r="R45" s="5"/>
    </row>
    <row r="46" spans="1:18" ht="15.75" x14ac:dyDescent="0.25">
      <c r="A46" s="120"/>
      <c r="B46" s="49" t="s">
        <v>69</v>
      </c>
      <c r="C46" s="81">
        <v>17</v>
      </c>
      <c r="D46" s="12">
        <f>C46*1.5</f>
        <v>25.5</v>
      </c>
      <c r="F46" s="37"/>
      <c r="G46" s="62"/>
      <c r="H46" s="144"/>
      <c r="I46" s="144"/>
      <c r="J46" s="144"/>
      <c r="K46" s="21"/>
      <c r="P46" s="4"/>
      <c r="Q46" s="4"/>
      <c r="R46" s="5"/>
    </row>
    <row r="47" spans="1:18" ht="15.75" x14ac:dyDescent="0.25">
      <c r="A47" s="121"/>
      <c r="B47" s="27"/>
      <c r="C47" s="11"/>
      <c r="D47" s="12"/>
      <c r="F47" s="59"/>
      <c r="G47" s="59"/>
      <c r="H47" s="122"/>
      <c r="I47" s="123"/>
      <c r="J47" s="124"/>
      <c r="K47" s="21"/>
      <c r="P47" s="4"/>
      <c r="Q47" s="4"/>
      <c r="R47" s="5"/>
    </row>
    <row r="48" spans="1:18" ht="15" customHeight="1" x14ac:dyDescent="0.25">
      <c r="A48" s="119" t="s">
        <v>32</v>
      </c>
      <c r="B48" s="27" t="s">
        <v>65</v>
      </c>
      <c r="C48" s="10">
        <v>3</v>
      </c>
      <c r="D48" s="12">
        <f>C48*78</f>
        <v>234</v>
      </c>
      <c r="F48" s="59"/>
      <c r="G48" s="59"/>
      <c r="H48" s="122"/>
      <c r="I48" s="123"/>
      <c r="J48" s="124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20"/>
      <c r="B49" s="29" t="s">
        <v>67</v>
      </c>
      <c r="C49" s="33"/>
      <c r="D49" s="12">
        <f>C49*42</f>
        <v>0</v>
      </c>
      <c r="F49" s="125" t="s">
        <v>85</v>
      </c>
      <c r="G49" s="127">
        <f>H34+H35+H36+H37+H38+H39+H40+H41+G42+H44+H45+H46</f>
        <v>385418.25</v>
      </c>
      <c r="H49" s="128"/>
      <c r="I49" s="128"/>
      <c r="J49" s="129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0"/>
      <c r="B50" s="32" t="s">
        <v>69</v>
      </c>
      <c r="C50" s="11">
        <v>6</v>
      </c>
      <c r="D50" s="12">
        <f>C50*1.5</f>
        <v>9</v>
      </c>
      <c r="F50" s="126"/>
      <c r="G50" s="130"/>
      <c r="H50" s="131"/>
      <c r="I50" s="131"/>
      <c r="J50" s="132"/>
      <c r="O50" t="s">
        <v>114</v>
      </c>
      <c r="P50" s="4">
        <v>1204</v>
      </c>
      <c r="Q50" s="4"/>
      <c r="R50" s="5"/>
    </row>
    <row r="51" spans="1:18" ht="15" customHeight="1" x14ac:dyDescent="0.25">
      <c r="A51" s="120"/>
      <c r="B51" s="27"/>
      <c r="C51" s="10"/>
      <c r="D51" s="31"/>
      <c r="F51" s="133" t="s">
        <v>109</v>
      </c>
      <c r="G51" s="246">
        <f>G49-H29</f>
        <v>-3519</v>
      </c>
      <c r="H51" s="247"/>
      <c r="I51" s="247"/>
      <c r="J51" s="248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20"/>
      <c r="B52" s="29"/>
      <c r="C52" s="33"/>
      <c r="D52" s="45"/>
      <c r="F52" s="134"/>
      <c r="G52" s="249"/>
      <c r="H52" s="250"/>
      <c r="I52" s="250"/>
      <c r="J52" s="251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1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05" t="s">
        <v>89</v>
      </c>
      <c r="B54" s="106"/>
      <c r="C54" s="107"/>
      <c r="D54" s="111">
        <f>SUM(D34:D53)</f>
        <v>69966.75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08"/>
      <c r="B55" s="109"/>
      <c r="C55" s="110"/>
      <c r="D55" s="11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113" t="s">
        <v>90</v>
      </c>
      <c r="B58" s="114"/>
      <c r="C58" s="114"/>
      <c r="D58" s="115"/>
      <c r="F58" s="113" t="s">
        <v>91</v>
      </c>
      <c r="G58" s="114"/>
      <c r="H58" s="114"/>
      <c r="I58" s="114"/>
      <c r="J58" s="115"/>
    </row>
    <row r="59" spans="1:18" x14ac:dyDescent="0.25">
      <c r="A59" s="116"/>
      <c r="B59" s="117"/>
      <c r="C59" s="117"/>
      <c r="D59" s="118"/>
      <c r="F59" s="116"/>
      <c r="G59" s="117"/>
      <c r="H59" s="117"/>
      <c r="I59" s="117"/>
      <c r="J59" s="118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4339C5-1B85-45D5-83F6-A2EED0AC8264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1" t="s">
        <v>1</v>
      </c>
      <c r="O1" s="201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2" t="s">
        <v>7</v>
      </c>
      <c r="B4" s="153"/>
      <c r="C4" s="153"/>
      <c r="D4" s="154"/>
      <c r="F4" s="202" t="s">
        <v>8</v>
      </c>
      <c r="G4" s="204">
        <v>2</v>
      </c>
      <c r="H4" s="206" t="s">
        <v>9</v>
      </c>
      <c r="I4" s="208">
        <v>46147</v>
      </c>
      <c r="J4" s="20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6" t="s">
        <v>7</v>
      </c>
      <c r="B5" s="15" t="s">
        <v>11</v>
      </c>
      <c r="C5" s="9" t="s">
        <v>12</v>
      </c>
      <c r="D5" s="25" t="s">
        <v>13</v>
      </c>
      <c r="F5" s="203"/>
      <c r="G5" s="205"/>
      <c r="H5" s="207"/>
      <c r="I5" s="210"/>
      <c r="J5" s="21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7"/>
      <c r="B6" s="16" t="s">
        <v>15</v>
      </c>
      <c r="C6" s="10">
        <v>414</v>
      </c>
      <c r="D6" s="13">
        <f t="shared" ref="D6:D28" si="1">C6*L6</f>
        <v>315054</v>
      </c>
      <c r="F6" s="212" t="s">
        <v>16</v>
      </c>
      <c r="G6" s="214" t="s">
        <v>107</v>
      </c>
      <c r="H6" s="215"/>
      <c r="I6" s="215"/>
      <c r="J6" s="21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7"/>
      <c r="B7" s="16" t="s">
        <v>18</v>
      </c>
      <c r="C7" s="10">
        <v>11</v>
      </c>
      <c r="D7" s="13">
        <f t="shared" si="1"/>
        <v>8591</v>
      </c>
      <c r="F7" s="213"/>
      <c r="G7" s="217"/>
      <c r="H7" s="218"/>
      <c r="I7" s="218"/>
      <c r="J7" s="21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7"/>
      <c r="B8" s="16" t="s">
        <v>20</v>
      </c>
      <c r="C8" s="10"/>
      <c r="D8" s="13">
        <f t="shared" si="1"/>
        <v>0</v>
      </c>
      <c r="F8" s="220" t="s">
        <v>21</v>
      </c>
      <c r="G8" s="221" t="s">
        <v>100</v>
      </c>
      <c r="H8" s="222"/>
      <c r="I8" s="222"/>
      <c r="J8" s="22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7"/>
      <c r="B9" s="16" t="s">
        <v>23</v>
      </c>
      <c r="C9" s="10">
        <v>59</v>
      </c>
      <c r="D9" s="13">
        <f t="shared" si="1"/>
        <v>43247</v>
      </c>
      <c r="F9" s="213"/>
      <c r="G9" s="224"/>
      <c r="H9" s="225"/>
      <c r="I9" s="225"/>
      <c r="J9" s="22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7"/>
      <c r="B10" t="s">
        <v>25</v>
      </c>
      <c r="C10" s="10"/>
      <c r="D10" s="13">
        <f t="shared" si="1"/>
        <v>0</v>
      </c>
      <c r="F10" s="212" t="s">
        <v>26</v>
      </c>
      <c r="G10" s="227" t="s">
        <v>101</v>
      </c>
      <c r="H10" s="228"/>
      <c r="I10" s="228"/>
      <c r="J10" s="229"/>
      <c r="K10" s="8"/>
      <c r="L10" s="6">
        <f>R36</f>
        <v>1032</v>
      </c>
      <c r="P10" s="4"/>
      <c r="Q10" s="4"/>
      <c r="R10" s="5"/>
    </row>
    <row r="11" spans="1:18" ht="15.75" x14ac:dyDescent="0.25">
      <c r="A11" s="147"/>
      <c r="B11" s="17" t="s">
        <v>28</v>
      </c>
      <c r="C11" s="10"/>
      <c r="D11" s="13">
        <f t="shared" si="1"/>
        <v>0</v>
      </c>
      <c r="F11" s="213"/>
      <c r="G11" s="224"/>
      <c r="H11" s="225"/>
      <c r="I11" s="225"/>
      <c r="J11" s="22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7"/>
      <c r="B12" s="17" t="s">
        <v>30</v>
      </c>
      <c r="C12" s="10"/>
      <c r="D12" s="48">
        <f t="shared" si="1"/>
        <v>0</v>
      </c>
      <c r="F12" s="230" t="s">
        <v>33</v>
      </c>
      <c r="G12" s="231"/>
      <c r="H12" s="231"/>
      <c r="I12" s="231"/>
      <c r="J12" s="23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7"/>
      <c r="B13" s="17" t="s">
        <v>32</v>
      </c>
      <c r="C13" s="10">
        <v>12</v>
      </c>
      <c r="D13" s="48">
        <f t="shared" si="1"/>
        <v>3684</v>
      </c>
      <c r="F13" s="233" t="s">
        <v>36</v>
      </c>
      <c r="G13" s="197"/>
      <c r="H13" s="188">
        <f>D29</f>
        <v>371226</v>
      </c>
      <c r="I13" s="189"/>
      <c r="J13" s="19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7"/>
      <c r="B14" s="14" t="s">
        <v>35</v>
      </c>
      <c r="C14" s="10"/>
      <c r="D14" s="31">
        <f t="shared" si="1"/>
        <v>0</v>
      </c>
      <c r="F14" s="191" t="s">
        <v>38</v>
      </c>
      <c r="G14" s="192"/>
      <c r="H14" s="193">
        <f>D54</f>
        <v>57882</v>
      </c>
      <c r="I14" s="194"/>
      <c r="J14" s="19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7"/>
      <c r="B15" s="14" t="s">
        <v>122</v>
      </c>
      <c r="C15" s="10"/>
      <c r="D15" s="31">
        <f t="shared" si="1"/>
        <v>0</v>
      </c>
      <c r="F15" s="196" t="s">
        <v>39</v>
      </c>
      <c r="G15" s="197"/>
      <c r="H15" s="198">
        <f>H13-H14</f>
        <v>313344</v>
      </c>
      <c r="I15" s="199"/>
      <c r="J15" s="200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7"/>
      <c r="B16" s="18" t="s">
        <v>111</v>
      </c>
      <c r="C16" s="10">
        <v>1</v>
      </c>
      <c r="D16" s="48">
        <f t="shared" si="1"/>
        <v>650</v>
      </c>
      <c r="F16" s="67" t="s">
        <v>41</v>
      </c>
      <c r="G16" s="66" t="s">
        <v>42</v>
      </c>
      <c r="H16" s="158">
        <v>2676</v>
      </c>
      <c r="I16" s="158"/>
      <c r="J16" s="158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7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69"/>
      <c r="I17" s="169"/>
      <c r="J17" s="169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7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69"/>
      <c r="I18" s="169"/>
      <c r="J18" s="169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7"/>
      <c r="B19" s="87" t="s">
        <v>105</v>
      </c>
      <c r="C19" s="10"/>
      <c r="D19" s="48">
        <f t="shared" si="1"/>
        <v>0</v>
      </c>
      <c r="F19" s="56"/>
      <c r="G19" s="68" t="s">
        <v>49</v>
      </c>
      <c r="H19" s="252"/>
      <c r="I19" s="252"/>
      <c r="J19" s="252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7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69"/>
      <c r="I20" s="169"/>
      <c r="J20" s="169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7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71" t="s">
        <v>13</v>
      </c>
      <c r="I21" s="172"/>
      <c r="J21" s="173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7"/>
      <c r="B22" s="46" t="s">
        <v>103</v>
      </c>
      <c r="C22" s="10"/>
      <c r="D22" s="48">
        <f t="shared" si="1"/>
        <v>0</v>
      </c>
      <c r="F22" s="72"/>
      <c r="G22" s="73"/>
      <c r="H22" s="174"/>
      <c r="I22" s="174"/>
      <c r="J22" s="174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7"/>
      <c r="B23" s="14" t="s">
        <v>121</v>
      </c>
      <c r="C23" s="10"/>
      <c r="D23" s="48">
        <f t="shared" si="1"/>
        <v>0</v>
      </c>
      <c r="F23" s="25"/>
      <c r="G23" s="37"/>
      <c r="H23" s="175"/>
      <c r="I23" s="144"/>
      <c r="J23" s="144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7"/>
      <c r="B24" s="14" t="s">
        <v>128</v>
      </c>
      <c r="C24" s="10"/>
      <c r="D24" s="48">
        <f t="shared" si="1"/>
        <v>0</v>
      </c>
      <c r="F24" s="38"/>
      <c r="G24" s="37"/>
      <c r="H24" s="175"/>
      <c r="I24" s="144"/>
      <c r="J24" s="144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7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76" t="s">
        <v>13</v>
      </c>
      <c r="I25" s="177"/>
      <c r="J25" s="178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7"/>
      <c r="B26" s="14" t="s">
        <v>129</v>
      </c>
      <c r="C26" s="10"/>
      <c r="D26" s="48">
        <f t="shared" si="1"/>
        <v>0</v>
      </c>
      <c r="F26" s="64"/>
      <c r="G26" s="10"/>
      <c r="H26" s="179"/>
      <c r="I26" s="180"/>
      <c r="J26" s="181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7"/>
      <c r="B27" s="14" t="s">
        <v>130</v>
      </c>
      <c r="C27" s="10"/>
      <c r="D27" s="44">
        <f t="shared" si="1"/>
        <v>0</v>
      </c>
      <c r="F27" s="14"/>
      <c r="G27" s="14"/>
      <c r="H27" s="182"/>
      <c r="I27" s="183"/>
      <c r="J27" s="184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8"/>
      <c r="B28" s="46" t="s">
        <v>92</v>
      </c>
      <c r="C28" s="10"/>
      <c r="D28" s="48">
        <f t="shared" si="1"/>
        <v>0</v>
      </c>
      <c r="F28" s="91"/>
      <c r="G28" s="61"/>
      <c r="H28" s="185"/>
      <c r="I28" s="186"/>
      <c r="J28" s="187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9" t="s">
        <v>36</v>
      </c>
      <c r="B29" s="160"/>
      <c r="C29" s="161"/>
      <c r="D29" s="165">
        <f>SUM(D6:D28)</f>
        <v>371226</v>
      </c>
      <c r="F29" s="105" t="s">
        <v>54</v>
      </c>
      <c r="G29" s="167"/>
      <c r="H29" s="127">
        <f>H15-H16-H17-H18-H19-H20-H22-H23-H24+H26+H27</f>
        <v>310668</v>
      </c>
      <c r="I29" s="128"/>
      <c r="J29" s="129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08"/>
      <c r="G30" s="168"/>
      <c r="H30" s="130"/>
      <c r="I30" s="131"/>
      <c r="J30" s="132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2" t="s">
        <v>57</v>
      </c>
      <c r="B32" s="153"/>
      <c r="C32" s="153"/>
      <c r="D32" s="154"/>
      <c r="F32" s="155" t="s">
        <v>58</v>
      </c>
      <c r="G32" s="156"/>
      <c r="H32" s="156"/>
      <c r="I32" s="156"/>
      <c r="J32" s="157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2" t="s">
        <v>62</v>
      </c>
      <c r="H33" s="155" t="s">
        <v>13</v>
      </c>
      <c r="I33" s="156"/>
      <c r="J33" s="157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6" t="s">
        <v>64</v>
      </c>
      <c r="B34" s="26" t="s">
        <v>65</v>
      </c>
      <c r="C34" s="51">
        <v>1</v>
      </c>
      <c r="D34" s="30">
        <f>C34*120</f>
        <v>120</v>
      </c>
      <c r="F34" s="12">
        <v>1000</v>
      </c>
      <c r="G34" s="74">
        <v>21</v>
      </c>
      <c r="H34" s="149">
        <f>F34*G34</f>
        <v>21000</v>
      </c>
      <c r="I34" s="150"/>
      <c r="J34" s="151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7"/>
      <c r="B35" s="27" t="s">
        <v>67</v>
      </c>
      <c r="C35" s="52"/>
      <c r="D35" s="30">
        <f>C35*84</f>
        <v>0</v>
      </c>
      <c r="F35" s="58">
        <v>500</v>
      </c>
      <c r="G35" s="41">
        <v>4</v>
      </c>
      <c r="H35" s="149">
        <f t="shared" ref="H35:H39" si="2">F35*G35</f>
        <v>2000</v>
      </c>
      <c r="I35" s="150"/>
      <c r="J35" s="15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8"/>
      <c r="B36" s="26" t="s">
        <v>69</v>
      </c>
      <c r="C36" s="10"/>
      <c r="D36" s="12">
        <f>C36*1.5</f>
        <v>0</v>
      </c>
      <c r="F36" s="12">
        <v>200</v>
      </c>
      <c r="G36" s="37"/>
      <c r="H36" s="149">
        <f>F36*G36</f>
        <v>0</v>
      </c>
      <c r="I36" s="150"/>
      <c r="J36" s="151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6" t="s">
        <v>71</v>
      </c>
      <c r="B37" s="28" t="s">
        <v>65</v>
      </c>
      <c r="C37" s="53">
        <v>487</v>
      </c>
      <c r="D37" s="12">
        <f>C37*111</f>
        <v>54057</v>
      </c>
      <c r="F37" s="12">
        <v>100</v>
      </c>
      <c r="G37" s="39">
        <v>3</v>
      </c>
      <c r="H37" s="149">
        <f t="shared" si="2"/>
        <v>300</v>
      </c>
      <c r="I37" s="150"/>
      <c r="J37" s="151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7"/>
      <c r="B38" s="29" t="s">
        <v>67</v>
      </c>
      <c r="C38" s="54">
        <v>14</v>
      </c>
      <c r="D38" s="12">
        <f>C38*84</f>
        <v>1176</v>
      </c>
      <c r="F38" s="30">
        <v>50</v>
      </c>
      <c r="G38" s="39"/>
      <c r="H38" s="149">
        <f t="shared" si="2"/>
        <v>0</v>
      </c>
      <c r="I38" s="150"/>
      <c r="J38" s="151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8"/>
      <c r="B39" s="29" t="s">
        <v>69</v>
      </c>
      <c r="C39" s="52">
        <v>3</v>
      </c>
      <c r="D39" s="31">
        <f>C39*4.5</f>
        <v>13.5</v>
      </c>
      <c r="F39" s="12">
        <v>20</v>
      </c>
      <c r="G39" s="37"/>
      <c r="H39" s="149">
        <f t="shared" si="2"/>
        <v>0</v>
      </c>
      <c r="I39" s="150"/>
      <c r="J39" s="15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6" t="s">
        <v>75</v>
      </c>
      <c r="B40" s="27" t="s">
        <v>65</v>
      </c>
      <c r="C40" s="63">
        <v>16</v>
      </c>
      <c r="D40" s="12">
        <f>C40*111</f>
        <v>1776</v>
      </c>
      <c r="F40" s="12">
        <v>10</v>
      </c>
      <c r="G40" s="42"/>
      <c r="H40" s="149"/>
      <c r="I40" s="150"/>
      <c r="J40" s="151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7"/>
      <c r="B41" s="27" t="s">
        <v>67</v>
      </c>
      <c r="C41" s="10"/>
      <c r="D41" s="12">
        <f>C41*84</f>
        <v>0</v>
      </c>
      <c r="F41" s="12">
        <v>5</v>
      </c>
      <c r="G41" s="42"/>
      <c r="H41" s="149"/>
      <c r="I41" s="150"/>
      <c r="J41" s="151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8"/>
      <c r="B42" s="27" t="s">
        <v>69</v>
      </c>
      <c r="C42" s="11">
        <v>4</v>
      </c>
      <c r="D42" s="12">
        <f>C42*2.25</f>
        <v>9</v>
      </c>
      <c r="F42" s="39" t="s">
        <v>78</v>
      </c>
      <c r="G42" s="149"/>
      <c r="H42" s="150"/>
      <c r="I42" s="150"/>
      <c r="J42" s="151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19" t="s">
        <v>80</v>
      </c>
      <c r="C43" s="11"/>
      <c r="D43" s="12"/>
      <c r="F43" s="59" t="s">
        <v>81</v>
      </c>
      <c r="G43" s="88" t="s">
        <v>82</v>
      </c>
      <c r="H43" s="141" t="s">
        <v>13</v>
      </c>
      <c r="I43" s="142"/>
      <c r="J43" s="143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20"/>
      <c r="B44" s="27" t="s">
        <v>65</v>
      </c>
      <c r="C44" s="10"/>
      <c r="D44" s="12">
        <f>C44*120</f>
        <v>0</v>
      </c>
      <c r="F44" s="37" t="s">
        <v>147</v>
      </c>
      <c r="G44" s="76" t="s">
        <v>148</v>
      </c>
      <c r="H44" s="144">
        <v>159300</v>
      </c>
      <c r="I44" s="144"/>
      <c r="J44" s="144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20"/>
      <c r="B45" s="27" t="s">
        <v>67</v>
      </c>
      <c r="C45" s="33"/>
      <c r="D45" s="12">
        <f>C45*84</f>
        <v>0</v>
      </c>
      <c r="F45" s="37" t="s">
        <v>132</v>
      </c>
      <c r="G45" s="62" t="s">
        <v>149</v>
      </c>
      <c r="H45" s="144">
        <v>128857</v>
      </c>
      <c r="I45" s="144"/>
      <c r="J45" s="144"/>
      <c r="K45" s="21"/>
      <c r="P45" s="4"/>
      <c r="Q45" s="4"/>
      <c r="R45" s="5"/>
    </row>
    <row r="46" spans="1:18" ht="15.75" x14ac:dyDescent="0.25">
      <c r="A46" s="120"/>
      <c r="B46" s="49" t="s">
        <v>69</v>
      </c>
      <c r="C46" s="81"/>
      <c r="D46" s="12">
        <f>C46*1.5</f>
        <v>0</v>
      </c>
      <c r="F46" s="37"/>
      <c r="G46" s="89"/>
      <c r="H46" s="145"/>
      <c r="I46" s="145"/>
      <c r="J46" s="145"/>
      <c r="K46" s="21"/>
      <c r="P46" s="4"/>
      <c r="Q46" s="4"/>
      <c r="R46" s="5"/>
    </row>
    <row r="47" spans="1:18" ht="15.75" x14ac:dyDescent="0.25">
      <c r="A47" s="121"/>
      <c r="B47" s="27"/>
      <c r="C47" s="11"/>
      <c r="D47" s="12"/>
      <c r="F47" s="59"/>
      <c r="G47" s="59"/>
      <c r="H47" s="122"/>
      <c r="I47" s="123"/>
      <c r="J47" s="124"/>
      <c r="K47" s="21"/>
      <c r="P47" s="4"/>
      <c r="Q47" s="4"/>
      <c r="R47" s="5"/>
    </row>
    <row r="48" spans="1:18" ht="15" customHeight="1" x14ac:dyDescent="0.25">
      <c r="A48" s="119" t="s">
        <v>32</v>
      </c>
      <c r="B48" s="27" t="s">
        <v>65</v>
      </c>
      <c r="C48" s="10">
        <v>7</v>
      </c>
      <c r="D48" s="12">
        <f>C48*78</f>
        <v>546</v>
      </c>
      <c r="F48" s="59"/>
      <c r="G48" s="59"/>
      <c r="H48" s="122"/>
      <c r="I48" s="123"/>
      <c r="J48" s="124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20"/>
      <c r="B49" s="29" t="s">
        <v>67</v>
      </c>
      <c r="C49" s="33">
        <v>4</v>
      </c>
      <c r="D49" s="12">
        <f>C49*42</f>
        <v>168</v>
      </c>
      <c r="F49" s="125" t="s">
        <v>85</v>
      </c>
      <c r="G49" s="127">
        <f>H34+H35+H36+H37+H38+H39+H40+H41+G42+H44+H45+H46</f>
        <v>311457</v>
      </c>
      <c r="H49" s="128"/>
      <c r="I49" s="128"/>
      <c r="J49" s="129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0"/>
      <c r="B50" s="32" t="s">
        <v>69</v>
      </c>
      <c r="C50" s="11">
        <v>11</v>
      </c>
      <c r="D50" s="12">
        <f>C50*1.5</f>
        <v>16.5</v>
      </c>
      <c r="F50" s="126"/>
      <c r="G50" s="130"/>
      <c r="H50" s="131"/>
      <c r="I50" s="131"/>
      <c r="J50" s="132"/>
      <c r="O50" t="s">
        <v>114</v>
      </c>
      <c r="P50" s="4">
        <v>1204</v>
      </c>
      <c r="Q50" s="4"/>
      <c r="R50" s="5"/>
    </row>
    <row r="51" spans="1:18" ht="15" customHeight="1" x14ac:dyDescent="0.25">
      <c r="A51" s="120"/>
      <c r="B51" s="27"/>
      <c r="C51" s="10"/>
      <c r="D51" s="31"/>
      <c r="F51" s="133" t="s">
        <v>112</v>
      </c>
      <c r="G51" s="135">
        <f>G49-H29</f>
        <v>789</v>
      </c>
      <c r="H51" s="136"/>
      <c r="I51" s="136"/>
      <c r="J51" s="137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20"/>
      <c r="B52" s="29"/>
      <c r="C52" s="33"/>
      <c r="D52" s="45"/>
      <c r="F52" s="134"/>
      <c r="G52" s="138"/>
      <c r="H52" s="139"/>
      <c r="I52" s="139"/>
      <c r="J52" s="140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1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05" t="s">
        <v>89</v>
      </c>
      <c r="B54" s="106"/>
      <c r="C54" s="107"/>
      <c r="D54" s="111">
        <f>SUM(D34:D53)</f>
        <v>57882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08"/>
      <c r="B55" s="109"/>
      <c r="C55" s="110"/>
      <c r="D55" s="11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119</v>
      </c>
      <c r="D57" s="34"/>
      <c r="F57" s="36"/>
      <c r="G57" s="50"/>
      <c r="H57" s="50"/>
      <c r="I57" s="50"/>
      <c r="J57" s="43"/>
    </row>
    <row r="58" spans="1:18" x14ac:dyDescent="0.25">
      <c r="A58" s="113" t="s">
        <v>90</v>
      </c>
      <c r="B58" s="114"/>
      <c r="C58" s="114"/>
      <c r="D58" s="115"/>
      <c r="F58" s="113" t="s">
        <v>91</v>
      </c>
      <c r="G58" s="114"/>
      <c r="H58" s="114"/>
      <c r="I58" s="114"/>
      <c r="J58" s="115"/>
    </row>
    <row r="59" spans="1:18" x14ac:dyDescent="0.25">
      <c r="A59" s="116"/>
      <c r="B59" s="117"/>
      <c r="C59" s="117"/>
      <c r="D59" s="118"/>
      <c r="F59" s="116"/>
      <c r="G59" s="117"/>
      <c r="H59" s="117"/>
      <c r="I59" s="117"/>
      <c r="J59" s="118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CCD118-A87B-4CDB-9891-BD41483C1617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1" t="s">
        <v>1</v>
      </c>
      <c r="O1" s="201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2" t="s">
        <v>7</v>
      </c>
      <c r="B4" s="153"/>
      <c r="C4" s="153"/>
      <c r="D4" s="154"/>
      <c r="F4" s="202" t="s">
        <v>8</v>
      </c>
      <c r="G4" s="204">
        <v>3</v>
      </c>
      <c r="H4" s="206" t="s">
        <v>9</v>
      </c>
      <c r="I4" s="208">
        <v>46147</v>
      </c>
      <c r="J4" s="20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6" t="s">
        <v>7</v>
      </c>
      <c r="B5" s="15" t="s">
        <v>11</v>
      </c>
      <c r="C5" s="9" t="s">
        <v>12</v>
      </c>
      <c r="D5" s="25" t="s">
        <v>13</v>
      </c>
      <c r="F5" s="203"/>
      <c r="G5" s="205"/>
      <c r="H5" s="207"/>
      <c r="I5" s="210"/>
      <c r="J5" s="21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7"/>
      <c r="B6" s="16" t="s">
        <v>15</v>
      </c>
      <c r="C6" s="10">
        <v>542</v>
      </c>
      <c r="D6" s="13">
        <f t="shared" ref="D6:D28" si="1">C6*L6</f>
        <v>412462</v>
      </c>
      <c r="F6" s="212" t="s">
        <v>16</v>
      </c>
      <c r="G6" s="214" t="s">
        <v>117</v>
      </c>
      <c r="H6" s="215"/>
      <c r="I6" s="215"/>
      <c r="J6" s="21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7"/>
      <c r="B7" s="16" t="s">
        <v>18</v>
      </c>
      <c r="C7" s="10">
        <v>12</v>
      </c>
      <c r="D7" s="13">
        <f t="shared" si="1"/>
        <v>9372</v>
      </c>
      <c r="F7" s="213"/>
      <c r="G7" s="217"/>
      <c r="H7" s="218"/>
      <c r="I7" s="218"/>
      <c r="J7" s="21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7"/>
      <c r="B8" s="16" t="s">
        <v>20</v>
      </c>
      <c r="C8" s="10"/>
      <c r="D8" s="13">
        <f t="shared" si="1"/>
        <v>0</v>
      </c>
      <c r="F8" s="220" t="s">
        <v>21</v>
      </c>
      <c r="G8" s="221" t="s">
        <v>110</v>
      </c>
      <c r="H8" s="222"/>
      <c r="I8" s="222"/>
      <c r="J8" s="22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7"/>
      <c r="B9" s="16" t="s">
        <v>23</v>
      </c>
      <c r="C9" s="10">
        <v>72</v>
      </c>
      <c r="D9" s="13">
        <f t="shared" si="1"/>
        <v>52776</v>
      </c>
      <c r="F9" s="213"/>
      <c r="G9" s="224"/>
      <c r="H9" s="225"/>
      <c r="I9" s="225"/>
      <c r="J9" s="22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7"/>
      <c r="B10" t="s">
        <v>25</v>
      </c>
      <c r="C10" s="10">
        <v>2</v>
      </c>
      <c r="D10" s="13">
        <f t="shared" si="1"/>
        <v>2064</v>
      </c>
      <c r="F10" s="212" t="s">
        <v>26</v>
      </c>
      <c r="G10" s="227" t="s">
        <v>124</v>
      </c>
      <c r="H10" s="228"/>
      <c r="I10" s="228"/>
      <c r="J10" s="229"/>
      <c r="K10" s="8"/>
      <c r="L10" s="6">
        <f>R36</f>
        <v>1032</v>
      </c>
      <c r="P10" s="4"/>
      <c r="Q10" s="4"/>
      <c r="R10" s="5"/>
    </row>
    <row r="11" spans="1:18" ht="15.75" x14ac:dyDescent="0.25">
      <c r="A11" s="147"/>
      <c r="B11" s="17" t="s">
        <v>28</v>
      </c>
      <c r="C11" s="10"/>
      <c r="D11" s="13">
        <f t="shared" si="1"/>
        <v>0</v>
      </c>
      <c r="F11" s="213"/>
      <c r="G11" s="224"/>
      <c r="H11" s="225"/>
      <c r="I11" s="225"/>
      <c r="J11" s="22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7"/>
      <c r="B12" s="17" t="s">
        <v>30</v>
      </c>
      <c r="C12" s="10"/>
      <c r="D12" s="48">
        <f t="shared" si="1"/>
        <v>0</v>
      </c>
      <c r="F12" s="230" t="s">
        <v>33</v>
      </c>
      <c r="G12" s="231"/>
      <c r="H12" s="231"/>
      <c r="I12" s="231"/>
      <c r="J12" s="23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7"/>
      <c r="B13" s="17" t="s">
        <v>32</v>
      </c>
      <c r="C13" s="10">
        <v>21</v>
      </c>
      <c r="D13" s="48">
        <f t="shared" si="1"/>
        <v>6447</v>
      </c>
      <c r="F13" s="233" t="s">
        <v>36</v>
      </c>
      <c r="G13" s="197"/>
      <c r="H13" s="188">
        <f>D29</f>
        <v>518703</v>
      </c>
      <c r="I13" s="189"/>
      <c r="J13" s="19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7"/>
      <c r="B14" s="14" t="s">
        <v>35</v>
      </c>
      <c r="C14" s="10">
        <v>12</v>
      </c>
      <c r="D14" s="31">
        <f t="shared" si="1"/>
        <v>132</v>
      </c>
      <c r="F14" s="191" t="s">
        <v>38</v>
      </c>
      <c r="G14" s="192"/>
      <c r="H14" s="193">
        <f>D54</f>
        <v>77449.5</v>
      </c>
      <c r="I14" s="194"/>
      <c r="J14" s="19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7"/>
      <c r="B15" s="14" t="s">
        <v>122</v>
      </c>
      <c r="C15" s="10">
        <f>5+5</f>
        <v>10</v>
      </c>
      <c r="D15" s="31">
        <f t="shared" si="1"/>
        <v>6200</v>
      </c>
      <c r="F15" s="196" t="s">
        <v>39</v>
      </c>
      <c r="G15" s="197"/>
      <c r="H15" s="198">
        <f>H13-H14</f>
        <v>441253.5</v>
      </c>
      <c r="I15" s="199"/>
      <c r="J15" s="200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7"/>
      <c r="B16" s="18" t="s">
        <v>111</v>
      </c>
      <c r="C16" s="10">
        <f>22+23</f>
        <v>45</v>
      </c>
      <c r="D16" s="48">
        <f t="shared" si="1"/>
        <v>29250</v>
      </c>
      <c r="F16" s="67" t="s">
        <v>41</v>
      </c>
      <c r="G16" s="66" t="s">
        <v>42</v>
      </c>
      <c r="H16" s="158">
        <f>612+1656+1092</f>
        <v>3360</v>
      </c>
      <c r="I16" s="158"/>
      <c r="J16" s="158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7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69"/>
      <c r="I17" s="169"/>
      <c r="J17" s="169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7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69"/>
      <c r="I18" s="169"/>
      <c r="J18" s="169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7"/>
      <c r="B19" s="87" t="s">
        <v>105</v>
      </c>
      <c r="C19" s="10"/>
      <c r="D19" s="48">
        <f t="shared" si="1"/>
        <v>0</v>
      </c>
      <c r="F19" s="56"/>
      <c r="G19" s="68" t="s">
        <v>49</v>
      </c>
      <c r="H19" s="253"/>
      <c r="I19" s="253"/>
      <c r="J19" s="253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7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58"/>
      <c r="I20" s="158"/>
      <c r="J20" s="158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7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71" t="s">
        <v>13</v>
      </c>
      <c r="I21" s="172"/>
      <c r="J21" s="173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7"/>
      <c r="B22" s="46" t="s">
        <v>103</v>
      </c>
      <c r="C22" s="10"/>
      <c r="D22" s="48">
        <f t="shared" si="1"/>
        <v>0</v>
      </c>
      <c r="F22" s="77"/>
      <c r="G22" s="73"/>
      <c r="H22" s="174"/>
      <c r="I22" s="174"/>
      <c r="J22" s="174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7"/>
      <c r="B23" s="14" t="s">
        <v>121</v>
      </c>
      <c r="C23" s="10"/>
      <c r="D23" s="48">
        <f t="shared" si="1"/>
        <v>0</v>
      </c>
      <c r="F23" s="78"/>
      <c r="G23" s="79"/>
      <c r="H23" s="175"/>
      <c r="I23" s="144"/>
      <c r="J23" s="144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7"/>
      <c r="B24" s="14" t="s">
        <v>128</v>
      </c>
      <c r="C24" s="10"/>
      <c r="D24" s="48">
        <f t="shared" si="1"/>
        <v>0</v>
      </c>
      <c r="F24" s="38"/>
      <c r="G24" s="37"/>
      <c r="H24" s="175"/>
      <c r="I24" s="144"/>
      <c r="J24" s="144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7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76" t="s">
        <v>13</v>
      </c>
      <c r="I25" s="177"/>
      <c r="J25" s="178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7"/>
      <c r="B26" s="14" t="s">
        <v>129</v>
      </c>
      <c r="C26" s="10"/>
      <c r="D26" s="48">
        <f t="shared" si="1"/>
        <v>0</v>
      </c>
      <c r="F26" s="64"/>
      <c r="G26" s="59"/>
      <c r="H26" s="179"/>
      <c r="I26" s="180"/>
      <c r="J26" s="181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7"/>
      <c r="B27" s="14" t="s">
        <v>130</v>
      </c>
      <c r="C27" s="10"/>
      <c r="D27" s="44">
        <f t="shared" si="1"/>
        <v>0</v>
      </c>
      <c r="F27" s="25"/>
      <c r="G27" s="80"/>
      <c r="H27" s="182"/>
      <c r="I27" s="183"/>
      <c r="J27" s="184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8"/>
      <c r="B28" s="46" t="s">
        <v>92</v>
      </c>
      <c r="C28" s="10"/>
      <c r="D28" s="48">
        <f t="shared" si="1"/>
        <v>0</v>
      </c>
      <c r="F28" s="91"/>
      <c r="G28" s="61"/>
      <c r="H28" s="185"/>
      <c r="I28" s="186"/>
      <c r="J28" s="187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9" t="s">
        <v>36</v>
      </c>
      <c r="B29" s="160"/>
      <c r="C29" s="161"/>
      <c r="D29" s="165">
        <f>SUM(D6:D28)</f>
        <v>518703</v>
      </c>
      <c r="F29" s="105" t="s">
        <v>54</v>
      </c>
      <c r="G29" s="167"/>
      <c r="H29" s="127">
        <f>H15-H16-H17-H18-H19-H20-H22-H23-H24+H26+H27</f>
        <v>437893.5</v>
      </c>
      <c r="I29" s="128"/>
      <c r="J29" s="129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08"/>
      <c r="G30" s="168"/>
      <c r="H30" s="130"/>
      <c r="I30" s="131"/>
      <c r="J30" s="132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2" t="s">
        <v>57</v>
      </c>
      <c r="B32" s="153"/>
      <c r="C32" s="153"/>
      <c r="D32" s="154"/>
      <c r="F32" s="155" t="s">
        <v>58</v>
      </c>
      <c r="G32" s="156"/>
      <c r="H32" s="156"/>
      <c r="I32" s="156"/>
      <c r="J32" s="157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2" t="s">
        <v>62</v>
      </c>
      <c r="H33" s="155" t="s">
        <v>13</v>
      </c>
      <c r="I33" s="156"/>
      <c r="J33" s="157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6" t="s">
        <v>64</v>
      </c>
      <c r="B34" s="26" t="s">
        <v>65</v>
      </c>
      <c r="C34" s="51">
        <v>1</v>
      </c>
      <c r="D34" s="30">
        <f>C34*120</f>
        <v>120</v>
      </c>
      <c r="F34" s="12">
        <v>1000</v>
      </c>
      <c r="G34" s="74">
        <v>61</v>
      </c>
      <c r="H34" s="149">
        <f>F34*G34</f>
        <v>61000</v>
      </c>
      <c r="I34" s="150"/>
      <c r="J34" s="151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7"/>
      <c r="B35" s="27" t="s">
        <v>67</v>
      </c>
      <c r="C35" s="52"/>
      <c r="D35" s="30">
        <f>C35*84</f>
        <v>0</v>
      </c>
      <c r="F35" s="58">
        <v>500</v>
      </c>
      <c r="G35" s="41">
        <v>6</v>
      </c>
      <c r="H35" s="149">
        <f>F35*G35</f>
        <v>3000</v>
      </c>
      <c r="I35" s="150"/>
      <c r="J35" s="15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8"/>
      <c r="B36" s="26" t="s">
        <v>69</v>
      </c>
      <c r="C36" s="10"/>
      <c r="D36" s="12">
        <f>C36*1.5</f>
        <v>0</v>
      </c>
      <c r="F36" s="12">
        <v>200</v>
      </c>
      <c r="G36" s="37"/>
      <c r="H36" s="149">
        <f t="shared" ref="H36:H39" si="2">F36*G36</f>
        <v>0</v>
      </c>
      <c r="I36" s="150"/>
      <c r="J36" s="151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6" t="s">
        <v>71</v>
      </c>
      <c r="B37" s="28" t="s">
        <v>65</v>
      </c>
      <c r="C37" s="53">
        <v>688</v>
      </c>
      <c r="D37" s="12">
        <f>C37*111</f>
        <v>76368</v>
      </c>
      <c r="F37" s="12">
        <v>100</v>
      </c>
      <c r="G37" s="39">
        <v>7</v>
      </c>
      <c r="H37" s="149">
        <f t="shared" si="2"/>
        <v>700</v>
      </c>
      <c r="I37" s="150"/>
      <c r="J37" s="151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7"/>
      <c r="B38" s="29" t="s">
        <v>67</v>
      </c>
      <c r="C38" s="54"/>
      <c r="D38" s="12">
        <f>C38*84</f>
        <v>0</v>
      </c>
      <c r="F38" s="30">
        <v>50</v>
      </c>
      <c r="G38" s="39">
        <v>3</v>
      </c>
      <c r="H38" s="149">
        <f t="shared" si="2"/>
        <v>150</v>
      </c>
      <c r="I38" s="150"/>
      <c r="J38" s="151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8"/>
      <c r="B39" s="29" t="s">
        <v>69</v>
      </c>
      <c r="C39" s="52"/>
      <c r="D39" s="31">
        <f>C39*4.5</f>
        <v>0</v>
      </c>
      <c r="F39" s="12">
        <v>20</v>
      </c>
      <c r="G39" s="37"/>
      <c r="H39" s="149">
        <f t="shared" si="2"/>
        <v>0</v>
      </c>
      <c r="I39" s="150"/>
      <c r="J39" s="15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6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49"/>
      <c r="I40" s="150"/>
      <c r="J40" s="151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7"/>
      <c r="B41" s="27" t="s">
        <v>67</v>
      </c>
      <c r="C41" s="10"/>
      <c r="D41" s="12">
        <f>C41*84</f>
        <v>0</v>
      </c>
      <c r="F41" s="12">
        <v>5</v>
      </c>
      <c r="G41" s="42"/>
      <c r="H41" s="149"/>
      <c r="I41" s="150"/>
      <c r="J41" s="151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8"/>
      <c r="B42" s="27" t="s">
        <v>69</v>
      </c>
      <c r="C42" s="11"/>
      <c r="D42" s="12">
        <f>C42*2.25</f>
        <v>0</v>
      </c>
      <c r="F42" s="39" t="s">
        <v>78</v>
      </c>
      <c r="G42" s="149">
        <v>58</v>
      </c>
      <c r="H42" s="150"/>
      <c r="I42" s="150"/>
      <c r="J42" s="151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19" t="s">
        <v>80</v>
      </c>
      <c r="C43" s="11"/>
      <c r="D43" s="12"/>
      <c r="F43" s="59" t="s">
        <v>81</v>
      </c>
      <c r="G43" s="88" t="s">
        <v>82</v>
      </c>
      <c r="H43" s="141" t="s">
        <v>13</v>
      </c>
      <c r="I43" s="142"/>
      <c r="J43" s="143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20"/>
      <c r="B44" s="27" t="s">
        <v>65</v>
      </c>
      <c r="C44" s="10"/>
      <c r="D44" s="12">
        <f>C44*120</f>
        <v>0</v>
      </c>
      <c r="F44" s="37" t="s">
        <v>136</v>
      </c>
      <c r="G44" s="76" t="s">
        <v>150</v>
      </c>
      <c r="H44" s="144">
        <v>61578</v>
      </c>
      <c r="I44" s="144"/>
      <c r="J44" s="144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20"/>
      <c r="B45" s="27" t="s">
        <v>67</v>
      </c>
      <c r="C45" s="33">
        <v>1</v>
      </c>
      <c r="D45" s="12">
        <f>C45*84</f>
        <v>84</v>
      </c>
      <c r="F45" s="37" t="s">
        <v>136</v>
      </c>
      <c r="G45" s="76" t="s">
        <v>151</v>
      </c>
      <c r="H45" s="144">
        <v>193355</v>
      </c>
      <c r="I45" s="144"/>
      <c r="J45" s="144"/>
      <c r="K45" s="21"/>
      <c r="P45" s="4"/>
      <c r="Q45" s="4"/>
      <c r="R45" s="5"/>
    </row>
    <row r="46" spans="1:18" ht="15.75" x14ac:dyDescent="0.25">
      <c r="A46" s="120"/>
      <c r="B46" s="49" t="s">
        <v>69</v>
      </c>
      <c r="C46" s="81">
        <v>13</v>
      </c>
      <c r="D46" s="12">
        <f>C46*1.5</f>
        <v>19.5</v>
      </c>
      <c r="F46" s="37" t="s">
        <v>136</v>
      </c>
      <c r="G46" s="76" t="s">
        <v>152</v>
      </c>
      <c r="H46" s="144">
        <v>118134</v>
      </c>
      <c r="I46" s="144"/>
      <c r="J46" s="144"/>
      <c r="K46" s="21"/>
      <c r="P46" s="4"/>
      <c r="Q46" s="4"/>
      <c r="R46" s="5"/>
    </row>
    <row r="47" spans="1:18" ht="15.75" x14ac:dyDescent="0.25">
      <c r="A47" s="121"/>
      <c r="B47" s="27"/>
      <c r="C47" s="11"/>
      <c r="D47" s="12"/>
      <c r="F47" s="59"/>
      <c r="G47" s="59"/>
      <c r="H47" s="122"/>
      <c r="I47" s="123"/>
      <c r="J47" s="124"/>
      <c r="K47" s="21"/>
      <c r="P47" s="4"/>
      <c r="Q47" s="4"/>
      <c r="R47" s="5"/>
    </row>
    <row r="48" spans="1:18" ht="15" customHeight="1" x14ac:dyDescent="0.25">
      <c r="A48" s="119" t="s">
        <v>32</v>
      </c>
      <c r="B48" s="27" t="s">
        <v>65</v>
      </c>
      <c r="C48" s="10">
        <v>11</v>
      </c>
      <c r="D48" s="12">
        <f>C48*78</f>
        <v>858</v>
      </c>
      <c r="F48" s="59"/>
      <c r="G48" s="59"/>
      <c r="H48" s="122"/>
      <c r="I48" s="123"/>
      <c r="J48" s="124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20"/>
      <c r="B49" s="29" t="s">
        <v>67</v>
      </c>
      <c r="C49" s="33"/>
      <c r="D49" s="12">
        <f>C49*42</f>
        <v>0</v>
      </c>
      <c r="F49" s="125" t="s">
        <v>85</v>
      </c>
      <c r="G49" s="127">
        <f>H34+H35+H36+H37+H38+H39+H40+H41+G42+H44+H45+H46</f>
        <v>437975</v>
      </c>
      <c r="H49" s="128"/>
      <c r="I49" s="128"/>
      <c r="J49" s="129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0"/>
      <c r="B50" s="32" t="s">
        <v>69</v>
      </c>
      <c r="C50" s="11"/>
      <c r="D50" s="12">
        <f>C50*1.5</f>
        <v>0</v>
      </c>
      <c r="F50" s="126"/>
      <c r="G50" s="130"/>
      <c r="H50" s="131"/>
      <c r="I50" s="131"/>
      <c r="J50" s="132"/>
      <c r="O50" t="s">
        <v>114</v>
      </c>
      <c r="P50" s="4">
        <v>1204</v>
      </c>
      <c r="Q50" s="4"/>
      <c r="R50" s="5"/>
    </row>
    <row r="51" spans="1:18" ht="15" customHeight="1" x14ac:dyDescent="0.25">
      <c r="A51" s="120"/>
      <c r="B51" s="27"/>
      <c r="C51" s="10"/>
      <c r="D51" s="31"/>
      <c r="F51" s="133" t="s">
        <v>115</v>
      </c>
      <c r="G51" s="135">
        <f>G49-H29</f>
        <v>81.5</v>
      </c>
      <c r="H51" s="136"/>
      <c r="I51" s="136"/>
      <c r="J51" s="137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20"/>
      <c r="B52" s="29"/>
      <c r="C52" s="33"/>
      <c r="D52" s="45"/>
      <c r="F52" s="134"/>
      <c r="G52" s="138"/>
      <c r="H52" s="139"/>
      <c r="I52" s="139"/>
      <c r="J52" s="140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1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05" t="s">
        <v>89</v>
      </c>
      <c r="B54" s="106"/>
      <c r="C54" s="107"/>
      <c r="D54" s="111">
        <f>SUM(D34:D53)</f>
        <v>77449.5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08"/>
      <c r="B55" s="109"/>
      <c r="C55" s="110"/>
      <c r="D55" s="11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13" t="s">
        <v>90</v>
      </c>
      <c r="B58" s="114"/>
      <c r="C58" s="114"/>
      <c r="D58" s="115"/>
      <c r="F58" s="113" t="s">
        <v>91</v>
      </c>
      <c r="G58" s="114"/>
      <c r="H58" s="114"/>
      <c r="I58" s="114"/>
      <c r="J58" s="115"/>
    </row>
    <row r="59" spans="1:18" x14ac:dyDescent="0.25">
      <c r="A59" s="116"/>
      <c r="B59" s="117"/>
      <c r="C59" s="117"/>
      <c r="D59" s="118"/>
      <c r="F59" s="116"/>
      <c r="G59" s="117"/>
      <c r="H59" s="117"/>
      <c r="I59" s="117"/>
      <c r="J59" s="118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29932F-22C0-4BDB-8974-7752840CA412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01" t="s">
        <v>1</v>
      </c>
      <c r="O1" s="201"/>
      <c r="P1" s="90" t="s">
        <v>2</v>
      </c>
      <c r="Q1" s="90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52" t="s">
        <v>7</v>
      </c>
      <c r="B4" s="153"/>
      <c r="C4" s="153"/>
      <c r="D4" s="154"/>
      <c r="F4" s="202" t="s">
        <v>8</v>
      </c>
      <c r="G4" s="204"/>
      <c r="H4" s="206" t="s">
        <v>9</v>
      </c>
      <c r="I4" s="208"/>
      <c r="J4" s="20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46" t="s">
        <v>7</v>
      </c>
      <c r="B5" s="15" t="s">
        <v>11</v>
      </c>
      <c r="C5" s="9" t="s">
        <v>12</v>
      </c>
      <c r="D5" s="25" t="s">
        <v>13</v>
      </c>
      <c r="F5" s="203"/>
      <c r="G5" s="205"/>
      <c r="H5" s="207"/>
      <c r="I5" s="210"/>
      <c r="J5" s="21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47"/>
      <c r="B6" s="16"/>
      <c r="C6" s="10"/>
      <c r="D6" s="13">
        <f t="shared" ref="D6:D28" si="1">C6*L6</f>
        <v>0</v>
      </c>
      <c r="F6" s="212" t="s">
        <v>16</v>
      </c>
      <c r="G6" s="214"/>
      <c r="H6" s="215"/>
      <c r="I6" s="215"/>
      <c r="J6" s="216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47"/>
      <c r="B7" s="16"/>
      <c r="C7" s="10"/>
      <c r="D7" s="13">
        <f t="shared" si="1"/>
        <v>0</v>
      </c>
      <c r="F7" s="213"/>
      <c r="G7" s="217"/>
      <c r="H7" s="218"/>
      <c r="I7" s="218"/>
      <c r="J7" s="219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47"/>
      <c r="B8" s="16"/>
      <c r="C8" s="10"/>
      <c r="D8" s="13">
        <f t="shared" si="1"/>
        <v>0</v>
      </c>
      <c r="F8" s="220" t="s">
        <v>21</v>
      </c>
      <c r="G8" s="221"/>
      <c r="H8" s="222"/>
      <c r="I8" s="222"/>
      <c r="J8" s="223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47"/>
      <c r="B9" s="16"/>
      <c r="C9" s="10"/>
      <c r="D9" s="13">
        <f t="shared" si="1"/>
        <v>0</v>
      </c>
      <c r="F9" s="213"/>
      <c r="G9" s="224"/>
      <c r="H9" s="225"/>
      <c r="I9" s="225"/>
      <c r="J9" s="226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47"/>
      <c r="C10" s="10"/>
      <c r="D10" s="13">
        <f t="shared" si="1"/>
        <v>0</v>
      </c>
      <c r="F10" s="212" t="s">
        <v>26</v>
      </c>
      <c r="G10" s="227"/>
      <c r="H10" s="228"/>
      <c r="I10" s="228"/>
      <c r="J10" s="229"/>
      <c r="K10" s="8"/>
      <c r="L10" s="6">
        <f>R36</f>
        <v>972</v>
      </c>
      <c r="P10" s="4"/>
      <c r="Q10" s="4"/>
      <c r="R10" s="5"/>
    </row>
    <row r="11" spans="1:19" ht="15.75" x14ac:dyDescent="0.25">
      <c r="A11" s="147"/>
      <c r="B11" s="17"/>
      <c r="C11" s="10"/>
      <c r="D11" s="13">
        <f t="shared" si="1"/>
        <v>0</v>
      </c>
      <c r="F11" s="213"/>
      <c r="G11" s="224"/>
      <c r="H11" s="225"/>
      <c r="I11" s="225"/>
      <c r="J11" s="226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47"/>
      <c r="B12" s="17"/>
      <c r="C12" s="10"/>
      <c r="D12" s="48">
        <f t="shared" si="1"/>
        <v>0</v>
      </c>
      <c r="F12" s="230" t="s">
        <v>33</v>
      </c>
      <c r="G12" s="231"/>
      <c r="H12" s="231"/>
      <c r="I12" s="231"/>
      <c r="J12" s="232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47"/>
      <c r="B13" s="17"/>
      <c r="C13" s="10"/>
      <c r="D13" s="48">
        <f t="shared" si="1"/>
        <v>0</v>
      </c>
      <c r="F13" s="233" t="s">
        <v>36</v>
      </c>
      <c r="G13" s="197"/>
      <c r="H13" s="188">
        <f>D29</f>
        <v>0</v>
      </c>
      <c r="I13" s="189"/>
      <c r="J13" s="19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47"/>
      <c r="B14" s="14"/>
      <c r="C14" s="10"/>
      <c r="D14" s="31">
        <f t="shared" si="1"/>
        <v>0</v>
      </c>
      <c r="F14" s="191" t="s">
        <v>38</v>
      </c>
      <c r="G14" s="192"/>
      <c r="H14" s="193">
        <f>D54</f>
        <v>0</v>
      </c>
      <c r="I14" s="194"/>
      <c r="J14" s="19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47"/>
      <c r="B15" s="14"/>
      <c r="C15" s="10"/>
      <c r="D15" s="31">
        <f t="shared" si="1"/>
        <v>0</v>
      </c>
      <c r="F15" s="196" t="s">
        <v>39</v>
      </c>
      <c r="G15" s="197"/>
      <c r="H15" s="198">
        <f>H13-H14</f>
        <v>0</v>
      </c>
      <c r="I15" s="199"/>
      <c r="J15" s="200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47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58"/>
      <c r="I16" s="158"/>
      <c r="J16" s="158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7"/>
      <c r="C17" s="10"/>
      <c r="D17" s="48">
        <f t="shared" si="1"/>
        <v>0</v>
      </c>
      <c r="F17" s="56"/>
      <c r="G17" s="66" t="s">
        <v>44</v>
      </c>
      <c r="H17" s="169"/>
      <c r="I17" s="169"/>
      <c r="J17" s="169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7"/>
      <c r="B18" s="19"/>
      <c r="C18" s="10"/>
      <c r="D18" s="48">
        <f t="shared" si="1"/>
        <v>0</v>
      </c>
      <c r="F18" s="56"/>
      <c r="G18" s="66" t="s">
        <v>46</v>
      </c>
      <c r="H18" s="169"/>
      <c r="I18" s="169"/>
      <c r="J18" s="16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7"/>
      <c r="B19" s="14"/>
      <c r="C19" s="10"/>
      <c r="D19" s="48">
        <f t="shared" si="1"/>
        <v>0</v>
      </c>
      <c r="F19" s="56"/>
      <c r="G19" s="68" t="s">
        <v>49</v>
      </c>
      <c r="H19" s="170"/>
      <c r="I19" s="170"/>
      <c r="J19" s="170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7"/>
      <c r="B20" s="46"/>
      <c r="C20" s="10"/>
      <c r="D20" s="13">
        <f t="shared" si="1"/>
        <v>0</v>
      </c>
      <c r="F20" s="57"/>
      <c r="G20" s="70" t="s">
        <v>102</v>
      </c>
      <c r="H20" s="158"/>
      <c r="I20" s="158"/>
      <c r="J20" s="158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7"/>
      <c r="B21" s="14"/>
      <c r="C21" s="10"/>
      <c r="D21" s="48">
        <f t="shared" si="1"/>
        <v>0</v>
      </c>
      <c r="F21" s="69" t="s">
        <v>94</v>
      </c>
      <c r="G21" s="82" t="s">
        <v>93</v>
      </c>
      <c r="H21" s="171" t="s">
        <v>13</v>
      </c>
      <c r="I21" s="172"/>
      <c r="J21" s="173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7"/>
      <c r="B22" s="46"/>
      <c r="C22" s="10"/>
      <c r="D22" s="48">
        <f t="shared" si="1"/>
        <v>0</v>
      </c>
      <c r="F22" s="77"/>
      <c r="G22" s="73"/>
      <c r="H22" s="174"/>
      <c r="I22" s="174"/>
      <c r="J22" s="174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7"/>
      <c r="B23" s="14"/>
      <c r="C23" s="10"/>
      <c r="D23" s="48">
        <f t="shared" si="1"/>
        <v>0</v>
      </c>
      <c r="F23" s="78"/>
      <c r="G23" s="79"/>
      <c r="H23" s="175"/>
      <c r="I23" s="144"/>
      <c r="J23" s="144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7"/>
      <c r="B24" s="14"/>
      <c r="C24" s="10"/>
      <c r="D24" s="48">
        <f t="shared" si="1"/>
        <v>0</v>
      </c>
      <c r="F24" s="38"/>
      <c r="G24" s="37"/>
      <c r="H24" s="175"/>
      <c r="I24" s="144"/>
      <c r="J24" s="144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7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176" t="s">
        <v>13</v>
      </c>
      <c r="I25" s="177"/>
      <c r="J25" s="178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7"/>
      <c r="B26" s="14"/>
      <c r="C26" s="10"/>
      <c r="D26" s="48">
        <f t="shared" si="1"/>
        <v>0</v>
      </c>
      <c r="F26" s="64"/>
      <c r="G26" s="59"/>
      <c r="H26" s="179"/>
      <c r="I26" s="180"/>
      <c r="J26" s="181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7"/>
      <c r="B27" s="14"/>
      <c r="C27" s="10"/>
      <c r="D27" s="44">
        <f t="shared" si="1"/>
        <v>0</v>
      </c>
      <c r="F27" s="25"/>
      <c r="G27" s="80"/>
      <c r="H27" s="182"/>
      <c r="I27" s="183"/>
      <c r="J27" s="184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8"/>
      <c r="B28" s="46"/>
      <c r="C28" s="10"/>
      <c r="D28" s="48">
        <f t="shared" si="1"/>
        <v>0</v>
      </c>
      <c r="F28" s="91"/>
      <c r="G28" s="61"/>
      <c r="H28" s="185"/>
      <c r="I28" s="186"/>
      <c r="J28" s="187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9" t="s">
        <v>36</v>
      </c>
      <c r="B29" s="160"/>
      <c r="C29" s="161"/>
      <c r="D29" s="165">
        <f>SUM(D6:D28)</f>
        <v>0</v>
      </c>
      <c r="F29" s="105" t="s">
        <v>54</v>
      </c>
      <c r="G29" s="167"/>
      <c r="H29" s="127">
        <f>H15-H16-H17-H18-H19-H20-H22-H23-H24+H26+H27</f>
        <v>0</v>
      </c>
      <c r="I29" s="128"/>
      <c r="J29" s="129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08"/>
      <c r="G30" s="168"/>
      <c r="H30" s="130"/>
      <c r="I30" s="131"/>
      <c r="J30" s="132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52" t="s">
        <v>57</v>
      </c>
      <c r="B32" s="153"/>
      <c r="C32" s="153"/>
      <c r="D32" s="154"/>
      <c r="F32" s="155" t="s">
        <v>58</v>
      </c>
      <c r="G32" s="156"/>
      <c r="H32" s="156"/>
      <c r="I32" s="156"/>
      <c r="J32" s="157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2" t="s">
        <v>62</v>
      </c>
      <c r="H33" s="155" t="s">
        <v>13</v>
      </c>
      <c r="I33" s="156"/>
      <c r="J33" s="157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6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149"/>
      <c r="I34" s="150"/>
      <c r="J34" s="151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7"/>
      <c r="B35" s="27" t="s">
        <v>67</v>
      </c>
      <c r="C35" s="52"/>
      <c r="D35" s="30">
        <f>C35*84</f>
        <v>0</v>
      </c>
      <c r="F35" s="58">
        <v>500</v>
      </c>
      <c r="G35" s="41"/>
      <c r="H35" s="149"/>
      <c r="I35" s="150"/>
      <c r="J35" s="15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8"/>
      <c r="B36" s="26" t="s">
        <v>69</v>
      </c>
      <c r="C36" s="10"/>
      <c r="D36" s="12">
        <f>C36*1.5</f>
        <v>0</v>
      </c>
      <c r="F36" s="12">
        <v>200</v>
      </c>
      <c r="G36" s="37"/>
      <c r="H36" s="149"/>
      <c r="I36" s="150"/>
      <c r="J36" s="151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6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49"/>
      <c r="I37" s="150"/>
      <c r="J37" s="151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7"/>
      <c r="B38" s="29" t="s">
        <v>67</v>
      </c>
      <c r="C38" s="54"/>
      <c r="D38" s="12">
        <f>C38*84</f>
        <v>0</v>
      </c>
      <c r="F38" s="30">
        <v>50</v>
      </c>
      <c r="G38" s="39"/>
      <c r="H38" s="149"/>
      <c r="I38" s="150"/>
      <c r="J38" s="151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8"/>
      <c r="B39" s="29" t="s">
        <v>69</v>
      </c>
      <c r="C39" s="52"/>
      <c r="D39" s="31">
        <f>C39*4.5</f>
        <v>0</v>
      </c>
      <c r="F39" s="12">
        <v>20</v>
      </c>
      <c r="G39" s="37"/>
      <c r="H39" s="149"/>
      <c r="I39" s="150"/>
      <c r="J39" s="15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6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49"/>
      <c r="I40" s="150"/>
      <c r="J40" s="151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7"/>
      <c r="B41" s="27" t="s">
        <v>67</v>
      </c>
      <c r="C41" s="10"/>
      <c r="D41" s="12">
        <f>C41*84</f>
        <v>0</v>
      </c>
      <c r="F41" s="12">
        <v>5</v>
      </c>
      <c r="G41" s="42"/>
      <c r="H41" s="149"/>
      <c r="I41" s="150"/>
      <c r="J41" s="151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8"/>
      <c r="B42" s="27" t="s">
        <v>69</v>
      </c>
      <c r="C42" s="11"/>
      <c r="D42" s="12">
        <f>C42*2.25</f>
        <v>0</v>
      </c>
      <c r="F42" s="39" t="s">
        <v>78</v>
      </c>
      <c r="G42" s="149"/>
      <c r="H42" s="150"/>
      <c r="I42" s="150"/>
      <c r="J42" s="151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19" t="s">
        <v>80</v>
      </c>
      <c r="C43" s="11"/>
      <c r="D43" s="12"/>
      <c r="F43" s="59" t="s">
        <v>81</v>
      </c>
      <c r="G43" s="88" t="s">
        <v>82</v>
      </c>
      <c r="H43" s="141" t="s">
        <v>13</v>
      </c>
      <c r="I43" s="142"/>
      <c r="J43" s="143"/>
      <c r="K43" s="21"/>
      <c r="P43" s="4"/>
      <c r="Q43" s="4"/>
      <c r="R43" s="5"/>
    </row>
    <row r="44" spans="1:18" ht="15.75" x14ac:dyDescent="0.25">
      <c r="A44" s="120"/>
      <c r="B44" s="27" t="s">
        <v>65</v>
      </c>
      <c r="C44" s="10"/>
      <c r="D44" s="12">
        <f>C44*120</f>
        <v>0</v>
      </c>
      <c r="F44" s="37"/>
      <c r="G44" s="76"/>
      <c r="H44" s="144"/>
      <c r="I44" s="144"/>
      <c r="J44" s="144"/>
      <c r="K44" s="21"/>
      <c r="P44" s="4"/>
      <c r="Q44" s="4"/>
      <c r="R44" s="5"/>
    </row>
    <row r="45" spans="1:18" ht="15.75" x14ac:dyDescent="0.25">
      <c r="A45" s="120"/>
      <c r="B45" s="27" t="s">
        <v>67</v>
      </c>
      <c r="C45" s="33"/>
      <c r="D45" s="12">
        <f>C45*84</f>
        <v>0</v>
      </c>
      <c r="F45" s="37"/>
      <c r="G45" s="76"/>
      <c r="H45" s="144"/>
      <c r="I45" s="144"/>
      <c r="J45" s="144"/>
      <c r="K45" s="21"/>
      <c r="P45" s="4"/>
      <c r="Q45" s="4"/>
      <c r="R45" s="5"/>
    </row>
    <row r="46" spans="1:18" ht="15.75" x14ac:dyDescent="0.25">
      <c r="A46" s="120"/>
      <c r="B46" s="49" t="s">
        <v>69</v>
      </c>
      <c r="C46" s="81"/>
      <c r="D46" s="12">
        <f>C46*1.5</f>
        <v>0</v>
      </c>
      <c r="F46" s="37"/>
      <c r="G46" s="62"/>
      <c r="H46" s="145"/>
      <c r="I46" s="145"/>
      <c r="J46" s="145"/>
      <c r="K46" s="21"/>
      <c r="P46" s="4"/>
      <c r="Q46" s="4"/>
      <c r="R46" s="5"/>
    </row>
    <row r="47" spans="1:18" ht="15.75" x14ac:dyDescent="0.25">
      <c r="A47" s="121"/>
      <c r="B47" s="27"/>
      <c r="C47" s="11"/>
      <c r="D47" s="12"/>
      <c r="F47" s="59"/>
      <c r="G47" s="59"/>
      <c r="H47" s="122"/>
      <c r="I47" s="123"/>
      <c r="J47" s="124"/>
      <c r="K47" s="21"/>
      <c r="P47" s="4"/>
      <c r="Q47" s="4"/>
      <c r="R47" s="5"/>
    </row>
    <row r="48" spans="1:18" ht="15" customHeight="1" x14ac:dyDescent="0.25">
      <c r="A48" s="119" t="s">
        <v>32</v>
      </c>
      <c r="B48" s="27" t="s">
        <v>65</v>
      </c>
      <c r="C48" s="10"/>
      <c r="D48" s="12">
        <f>C48*78</f>
        <v>0</v>
      </c>
      <c r="F48" s="59"/>
      <c r="G48" s="59"/>
      <c r="H48" s="122"/>
      <c r="I48" s="123"/>
      <c r="J48" s="124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20"/>
      <c r="B49" s="29" t="s">
        <v>67</v>
      </c>
      <c r="C49" s="33"/>
      <c r="D49" s="12">
        <f>C49*42</f>
        <v>0</v>
      </c>
      <c r="F49" s="125" t="s">
        <v>85</v>
      </c>
      <c r="G49" s="127">
        <f>H34+H35+H36+H37+H38+H39+H40+H41+G42+H44+H45+H46</f>
        <v>0</v>
      </c>
      <c r="H49" s="128"/>
      <c r="I49" s="128"/>
      <c r="J49" s="129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0"/>
      <c r="B50" s="32" t="s">
        <v>69</v>
      </c>
      <c r="C50" s="11"/>
      <c r="D50" s="12">
        <f>C50*1.5</f>
        <v>0</v>
      </c>
      <c r="F50" s="126"/>
      <c r="G50" s="130"/>
      <c r="H50" s="131"/>
      <c r="I50" s="131"/>
      <c r="J50" s="132"/>
      <c r="P50" s="4"/>
      <c r="Q50" s="4"/>
      <c r="R50" s="5"/>
    </row>
    <row r="51" spans="1:18" ht="15" customHeight="1" x14ac:dyDescent="0.25">
      <c r="A51" s="120"/>
      <c r="B51" s="27"/>
      <c r="C51" s="10"/>
      <c r="D51" s="31"/>
      <c r="F51" s="133" t="s">
        <v>106</v>
      </c>
      <c r="G51" s="135">
        <f>G49-H29</f>
        <v>0</v>
      </c>
      <c r="H51" s="136"/>
      <c r="I51" s="136"/>
      <c r="J51" s="137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0"/>
      <c r="B52" s="29"/>
      <c r="C52" s="33"/>
      <c r="D52" s="45"/>
      <c r="F52" s="134"/>
      <c r="G52" s="138"/>
      <c r="H52" s="139"/>
      <c r="I52" s="139"/>
      <c r="J52" s="140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1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05" t="s">
        <v>89</v>
      </c>
      <c r="B54" s="106"/>
      <c r="C54" s="107"/>
      <c r="D54" s="111">
        <f>SUM(D34:D53)</f>
        <v>0</v>
      </c>
      <c r="F54" s="21"/>
      <c r="J54" s="34"/>
    </row>
    <row r="55" spans="1:18" x14ac:dyDescent="0.25">
      <c r="A55" s="108"/>
      <c r="B55" s="109"/>
      <c r="C55" s="110"/>
      <c r="D55" s="11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13" t="s">
        <v>90</v>
      </c>
      <c r="B58" s="114"/>
      <c r="C58" s="114"/>
      <c r="D58" s="115"/>
      <c r="F58" s="113" t="s">
        <v>91</v>
      </c>
      <c r="G58" s="114"/>
      <c r="H58" s="114"/>
      <c r="I58" s="114"/>
      <c r="J58" s="115"/>
    </row>
    <row r="59" spans="1:18" x14ac:dyDescent="0.25">
      <c r="A59" s="116"/>
      <c r="B59" s="117"/>
      <c r="C59" s="117"/>
      <c r="D59" s="118"/>
      <c r="F59" s="116"/>
      <c r="G59" s="117"/>
      <c r="H59" s="117"/>
      <c r="I59" s="117"/>
      <c r="J59" s="118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E6FC69-08B4-4FA9-ABEE-1D54664A1910}">
  <dimension ref="A1:R59"/>
  <sheetViews>
    <sheetView zoomScaleNormal="100" zoomScaleSheetLayoutView="85" workbookViewId="0">
      <selection activeCell="C26" sqref="C26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1" t="s">
        <v>1</v>
      </c>
      <c r="O1" s="201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2" t="s">
        <v>7</v>
      </c>
      <c r="B4" s="153"/>
      <c r="C4" s="153"/>
      <c r="D4" s="154"/>
      <c r="F4" s="202" t="s">
        <v>8</v>
      </c>
      <c r="G4" s="204">
        <v>1</v>
      </c>
      <c r="H4" s="206" t="s">
        <v>9</v>
      </c>
      <c r="I4" s="208">
        <v>46148</v>
      </c>
      <c r="J4" s="20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6" t="s">
        <v>7</v>
      </c>
      <c r="B5" s="15" t="s">
        <v>11</v>
      </c>
      <c r="C5" s="9" t="s">
        <v>12</v>
      </c>
      <c r="D5" s="25" t="s">
        <v>13</v>
      </c>
      <c r="F5" s="203"/>
      <c r="G5" s="205"/>
      <c r="H5" s="207"/>
      <c r="I5" s="210"/>
      <c r="J5" s="21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7"/>
      <c r="B6" s="16" t="s">
        <v>15</v>
      </c>
      <c r="C6" s="10">
        <v>253</v>
      </c>
      <c r="D6" s="13">
        <f t="shared" ref="D6:D28" si="1">C6*L6</f>
        <v>192533</v>
      </c>
      <c r="F6" s="212" t="s">
        <v>16</v>
      </c>
      <c r="G6" s="214" t="s">
        <v>99</v>
      </c>
      <c r="H6" s="215"/>
      <c r="I6" s="215"/>
      <c r="J6" s="21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7"/>
      <c r="B7" s="16" t="s">
        <v>18</v>
      </c>
      <c r="C7" s="10">
        <v>10</v>
      </c>
      <c r="D7" s="13">
        <f t="shared" si="1"/>
        <v>7810</v>
      </c>
      <c r="F7" s="213"/>
      <c r="G7" s="217"/>
      <c r="H7" s="218"/>
      <c r="I7" s="218"/>
      <c r="J7" s="21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7"/>
      <c r="B8" s="16" t="s">
        <v>20</v>
      </c>
      <c r="C8" s="10">
        <v>67</v>
      </c>
      <c r="D8" s="13">
        <f t="shared" si="1"/>
        <v>73231</v>
      </c>
      <c r="F8" s="220" t="s">
        <v>21</v>
      </c>
      <c r="G8" s="221" t="s">
        <v>120</v>
      </c>
      <c r="H8" s="222"/>
      <c r="I8" s="222"/>
      <c r="J8" s="22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7"/>
      <c r="B9" s="16" t="s">
        <v>23</v>
      </c>
      <c r="C9" s="10">
        <v>22</v>
      </c>
      <c r="D9" s="13">
        <f t="shared" si="1"/>
        <v>16126</v>
      </c>
      <c r="F9" s="213"/>
      <c r="G9" s="224"/>
      <c r="H9" s="225"/>
      <c r="I9" s="225"/>
      <c r="J9" s="22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7"/>
      <c r="B10" t="s">
        <v>25</v>
      </c>
      <c r="C10" s="10">
        <v>4</v>
      </c>
      <c r="D10" s="13">
        <f t="shared" si="1"/>
        <v>4128</v>
      </c>
      <c r="F10" s="212" t="s">
        <v>26</v>
      </c>
      <c r="G10" s="227" t="s">
        <v>108</v>
      </c>
      <c r="H10" s="228"/>
      <c r="I10" s="228"/>
      <c r="J10" s="229"/>
      <c r="K10" s="8"/>
      <c r="L10" s="6">
        <f>R36</f>
        <v>1032</v>
      </c>
      <c r="P10" s="4"/>
      <c r="Q10" s="4"/>
      <c r="R10" s="5"/>
    </row>
    <row r="11" spans="1:18" ht="15.75" x14ac:dyDescent="0.25">
      <c r="A11" s="147"/>
      <c r="B11" s="17" t="s">
        <v>28</v>
      </c>
      <c r="C11" s="10"/>
      <c r="D11" s="13">
        <f t="shared" si="1"/>
        <v>0</v>
      </c>
      <c r="F11" s="213"/>
      <c r="G11" s="224"/>
      <c r="H11" s="225"/>
      <c r="I11" s="225"/>
      <c r="J11" s="22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7"/>
      <c r="B12" s="17" t="s">
        <v>30</v>
      </c>
      <c r="C12" s="10">
        <f>3+1</f>
        <v>4</v>
      </c>
      <c r="D12" s="48">
        <f t="shared" si="1"/>
        <v>3968</v>
      </c>
      <c r="F12" s="230" t="s">
        <v>33</v>
      </c>
      <c r="G12" s="231"/>
      <c r="H12" s="231"/>
      <c r="I12" s="231"/>
      <c r="J12" s="23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7"/>
      <c r="B13" s="17" t="s">
        <v>32</v>
      </c>
      <c r="C13" s="10">
        <v>3</v>
      </c>
      <c r="D13" s="48">
        <f t="shared" si="1"/>
        <v>921</v>
      </c>
      <c r="F13" s="233" t="s">
        <v>36</v>
      </c>
      <c r="G13" s="197"/>
      <c r="H13" s="188">
        <f>D29</f>
        <v>302093.91666666669</v>
      </c>
      <c r="I13" s="189"/>
      <c r="J13" s="19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7"/>
      <c r="B14" s="14" t="s">
        <v>35</v>
      </c>
      <c r="C14" s="10">
        <v>18</v>
      </c>
      <c r="D14" s="31">
        <f t="shared" si="1"/>
        <v>198</v>
      </c>
      <c r="F14" s="191" t="s">
        <v>38</v>
      </c>
      <c r="G14" s="192"/>
      <c r="H14" s="193">
        <f>D54</f>
        <v>40819.5</v>
      </c>
      <c r="I14" s="194"/>
      <c r="J14" s="19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7"/>
      <c r="B15" s="14" t="s">
        <v>122</v>
      </c>
      <c r="C15" s="10">
        <f>1+1</f>
        <v>2</v>
      </c>
      <c r="D15" s="31">
        <f t="shared" si="1"/>
        <v>1240</v>
      </c>
      <c r="F15" s="196" t="s">
        <v>39</v>
      </c>
      <c r="G15" s="197"/>
      <c r="H15" s="198">
        <f>H13-H14</f>
        <v>261274.41666666669</v>
      </c>
      <c r="I15" s="199"/>
      <c r="J15" s="200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7"/>
      <c r="B16" s="18" t="s">
        <v>111</v>
      </c>
      <c r="C16" s="10">
        <f>1+1</f>
        <v>2</v>
      </c>
      <c r="D16" s="48">
        <f t="shared" si="1"/>
        <v>1300</v>
      </c>
      <c r="F16" s="67" t="s">
        <v>41</v>
      </c>
      <c r="G16" s="66" t="s">
        <v>42</v>
      </c>
      <c r="H16" s="158"/>
      <c r="I16" s="158"/>
      <c r="J16" s="158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7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69"/>
      <c r="I17" s="169"/>
      <c r="J17" s="169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7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69"/>
      <c r="I18" s="169"/>
      <c r="J18" s="169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7"/>
      <c r="B19" s="83" t="s">
        <v>105</v>
      </c>
      <c r="C19" s="10"/>
      <c r="D19" s="48">
        <f t="shared" si="1"/>
        <v>0</v>
      </c>
      <c r="F19" s="56"/>
      <c r="G19" s="68" t="s">
        <v>49</v>
      </c>
      <c r="H19" s="158"/>
      <c r="I19" s="158"/>
      <c r="J19" s="158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7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58"/>
      <c r="I20" s="158"/>
      <c r="J20" s="158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7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71" t="s">
        <v>13</v>
      </c>
      <c r="I21" s="172"/>
      <c r="J21" s="173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7"/>
      <c r="B22" s="46" t="s">
        <v>103</v>
      </c>
      <c r="C22" s="10"/>
      <c r="D22" s="48">
        <f t="shared" si="1"/>
        <v>0</v>
      </c>
      <c r="F22" s="77" t="s">
        <v>153</v>
      </c>
      <c r="G22" s="73">
        <v>10503</v>
      </c>
      <c r="H22" s="174">
        <v>70631</v>
      </c>
      <c r="I22" s="174"/>
      <c r="J22" s="174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7"/>
      <c r="B23" s="14" t="s">
        <v>121</v>
      </c>
      <c r="C23" s="10"/>
      <c r="D23" s="48">
        <f t="shared" si="1"/>
        <v>0</v>
      </c>
      <c r="F23" s="77"/>
      <c r="G23" s="79"/>
      <c r="H23" s="242"/>
      <c r="I23" s="243"/>
      <c r="J23" s="243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7"/>
      <c r="B24" s="14" t="s">
        <v>161</v>
      </c>
      <c r="C24" s="10"/>
      <c r="D24" s="48">
        <f t="shared" si="1"/>
        <v>0</v>
      </c>
      <c r="F24" s="77"/>
      <c r="G24" s="79"/>
      <c r="H24" s="242"/>
      <c r="I24" s="243"/>
      <c r="J24" s="243"/>
      <c r="L24" s="47">
        <f>559+111</f>
        <v>670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7"/>
      <c r="B25" s="14" t="s">
        <v>162</v>
      </c>
      <c r="C25" s="10"/>
      <c r="D25" s="48">
        <f t="shared" si="1"/>
        <v>0</v>
      </c>
      <c r="F25" s="60" t="s">
        <v>95</v>
      </c>
      <c r="G25" s="55" t="s">
        <v>93</v>
      </c>
      <c r="H25" s="176" t="s">
        <v>13</v>
      </c>
      <c r="I25" s="177"/>
      <c r="J25" s="178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7"/>
      <c r="B26" s="14" t="s">
        <v>129</v>
      </c>
      <c r="C26" s="10">
        <v>11</v>
      </c>
      <c r="D26" s="48">
        <f>C26*L26</f>
        <v>638.91666666666674</v>
      </c>
      <c r="F26" s="75"/>
      <c r="G26" s="65"/>
      <c r="H26" s="144"/>
      <c r="I26" s="144"/>
      <c r="J26" s="144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7"/>
      <c r="B27" s="14" t="s">
        <v>130</v>
      </c>
      <c r="C27" s="10"/>
      <c r="D27" s="44">
        <f t="shared" si="1"/>
        <v>0</v>
      </c>
      <c r="F27" s="71"/>
      <c r="G27" s="88"/>
      <c r="H27" s="244"/>
      <c r="I27" s="245"/>
      <c r="J27" s="245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8"/>
      <c r="B28" s="46" t="s">
        <v>92</v>
      </c>
      <c r="C28" s="10"/>
      <c r="D28" s="48">
        <f t="shared" si="1"/>
        <v>0</v>
      </c>
      <c r="F28" s="91"/>
      <c r="G28" s="61"/>
      <c r="H28" s="185"/>
      <c r="I28" s="186"/>
      <c r="J28" s="187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9" t="s">
        <v>36</v>
      </c>
      <c r="B29" s="160"/>
      <c r="C29" s="161"/>
      <c r="D29" s="165">
        <f>SUM(D6:D28)</f>
        <v>302093.91666666669</v>
      </c>
      <c r="F29" s="105" t="s">
        <v>54</v>
      </c>
      <c r="G29" s="167"/>
      <c r="H29" s="127">
        <f>H15-H16-H17-H18-H19-H20-H22-H23-H24+H26+H27+H28</f>
        <v>190643.41666666669</v>
      </c>
      <c r="I29" s="128"/>
      <c r="J29" s="129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08"/>
      <c r="G30" s="168"/>
      <c r="H30" s="130"/>
      <c r="I30" s="131"/>
      <c r="J30" s="132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2" t="s">
        <v>57</v>
      </c>
      <c r="B32" s="153"/>
      <c r="C32" s="153"/>
      <c r="D32" s="154"/>
      <c r="F32" s="155" t="s">
        <v>58</v>
      </c>
      <c r="G32" s="156"/>
      <c r="H32" s="156"/>
      <c r="I32" s="156"/>
      <c r="J32" s="157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2" t="s">
        <v>62</v>
      </c>
      <c r="H33" s="155" t="s">
        <v>13</v>
      </c>
      <c r="I33" s="156"/>
      <c r="J33" s="157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6" t="s">
        <v>64</v>
      </c>
      <c r="B34" s="26" t="s">
        <v>65</v>
      </c>
      <c r="C34" s="51"/>
      <c r="D34" s="30">
        <f>C34*120</f>
        <v>0</v>
      </c>
      <c r="F34" s="12">
        <v>1000</v>
      </c>
      <c r="G34" s="40">
        <v>138</v>
      </c>
      <c r="H34" s="149">
        <f t="shared" ref="H34:H39" si="2">F34*G34</f>
        <v>138000</v>
      </c>
      <c r="I34" s="150"/>
      <c r="J34" s="151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7"/>
      <c r="B35" s="27" t="s">
        <v>67</v>
      </c>
      <c r="C35" s="52"/>
      <c r="D35" s="30">
        <f>C35*84</f>
        <v>0</v>
      </c>
      <c r="F35" s="58">
        <v>500</v>
      </c>
      <c r="G35" s="41">
        <v>72</v>
      </c>
      <c r="H35" s="149">
        <f t="shared" si="2"/>
        <v>36000</v>
      </c>
      <c r="I35" s="150"/>
      <c r="J35" s="15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8"/>
      <c r="B36" s="26" t="s">
        <v>69</v>
      </c>
      <c r="C36" s="10">
        <v>1</v>
      </c>
      <c r="D36" s="12">
        <f>C36*1.5</f>
        <v>1.5</v>
      </c>
      <c r="F36" s="12">
        <v>200</v>
      </c>
      <c r="G36" s="37"/>
      <c r="H36" s="149">
        <f t="shared" si="2"/>
        <v>0</v>
      </c>
      <c r="I36" s="150"/>
      <c r="J36" s="151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6" t="s">
        <v>71</v>
      </c>
      <c r="B37" s="28" t="s">
        <v>65</v>
      </c>
      <c r="C37" s="53">
        <v>273</v>
      </c>
      <c r="D37" s="12">
        <f>C37*111</f>
        <v>30303</v>
      </c>
      <c r="F37" s="12">
        <v>100</v>
      </c>
      <c r="G37" s="39">
        <v>2</v>
      </c>
      <c r="H37" s="149">
        <f t="shared" si="2"/>
        <v>200</v>
      </c>
      <c r="I37" s="150"/>
      <c r="J37" s="151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7"/>
      <c r="B38" s="29" t="s">
        <v>67</v>
      </c>
      <c r="C38" s="54">
        <v>5</v>
      </c>
      <c r="D38" s="12">
        <f>C38*84</f>
        <v>420</v>
      </c>
      <c r="F38" s="30">
        <v>50</v>
      </c>
      <c r="G38" s="39">
        <v>14</v>
      </c>
      <c r="H38" s="149">
        <f t="shared" si="2"/>
        <v>700</v>
      </c>
      <c r="I38" s="150"/>
      <c r="J38" s="151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8"/>
      <c r="B39" s="29" t="s">
        <v>69</v>
      </c>
      <c r="C39" s="52">
        <v>3</v>
      </c>
      <c r="D39" s="31">
        <f>C39*4.5</f>
        <v>13.5</v>
      </c>
      <c r="F39" s="12">
        <v>20</v>
      </c>
      <c r="G39" s="37">
        <v>2</v>
      </c>
      <c r="H39" s="149">
        <f t="shared" si="2"/>
        <v>40</v>
      </c>
      <c r="I39" s="150"/>
      <c r="J39" s="15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6" t="s">
        <v>75</v>
      </c>
      <c r="B40" s="27" t="s">
        <v>65</v>
      </c>
      <c r="C40" s="63">
        <v>3</v>
      </c>
      <c r="D40" s="12">
        <f>C40*111</f>
        <v>333</v>
      </c>
      <c r="F40" s="12">
        <v>10</v>
      </c>
      <c r="G40" s="42"/>
      <c r="H40" s="149"/>
      <c r="I40" s="150"/>
      <c r="J40" s="151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7"/>
      <c r="B41" s="27" t="s">
        <v>67</v>
      </c>
      <c r="C41" s="10">
        <v>3</v>
      </c>
      <c r="D41" s="12">
        <f>C41*84</f>
        <v>252</v>
      </c>
      <c r="F41" s="12">
        <v>5</v>
      </c>
      <c r="G41" s="42"/>
      <c r="H41" s="149"/>
      <c r="I41" s="150"/>
      <c r="J41" s="151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8"/>
      <c r="B42" s="27" t="s">
        <v>69</v>
      </c>
      <c r="C42" s="11">
        <v>6</v>
      </c>
      <c r="D42" s="12">
        <f>C42*2.25</f>
        <v>13.5</v>
      </c>
      <c r="F42" s="39" t="s">
        <v>78</v>
      </c>
      <c r="G42" s="149">
        <v>117</v>
      </c>
      <c r="H42" s="150"/>
      <c r="I42" s="150"/>
      <c r="J42" s="151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19" t="s">
        <v>80</v>
      </c>
      <c r="C43" s="11"/>
      <c r="D43" s="12"/>
      <c r="F43" s="59" t="s">
        <v>81</v>
      </c>
      <c r="G43" s="88" t="s">
        <v>82</v>
      </c>
      <c r="H43" s="141" t="s">
        <v>13</v>
      </c>
      <c r="I43" s="142"/>
      <c r="J43" s="143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20"/>
      <c r="B44" s="27" t="s">
        <v>65</v>
      </c>
      <c r="C44" s="10">
        <v>77</v>
      </c>
      <c r="D44" s="12">
        <f>C44*120</f>
        <v>9240</v>
      </c>
      <c r="F44" s="37" t="s">
        <v>137</v>
      </c>
      <c r="G44" s="62"/>
      <c r="H44" s="144">
        <v>10000</v>
      </c>
      <c r="I44" s="144"/>
      <c r="J44" s="144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20"/>
      <c r="B45" s="27" t="s">
        <v>67</v>
      </c>
      <c r="C45" s="33"/>
      <c r="D45" s="12">
        <f>C45*84</f>
        <v>0</v>
      </c>
      <c r="F45" s="37" t="s">
        <v>137</v>
      </c>
      <c r="G45" s="62"/>
      <c r="H45" s="144">
        <v>7230</v>
      </c>
      <c r="I45" s="144"/>
      <c r="J45" s="144"/>
      <c r="K45" s="21"/>
      <c r="P45" s="4"/>
      <c r="Q45" s="4"/>
      <c r="R45" s="5"/>
    </row>
    <row r="46" spans="1:18" ht="15.75" x14ac:dyDescent="0.25">
      <c r="A46" s="120"/>
      <c r="B46" s="49" t="s">
        <v>69</v>
      </c>
      <c r="C46" s="81"/>
      <c r="D46" s="12">
        <f>C46*1.5</f>
        <v>0</v>
      </c>
      <c r="F46" s="37"/>
      <c r="G46" s="62"/>
      <c r="H46" s="144"/>
      <c r="I46" s="144"/>
      <c r="J46" s="144"/>
      <c r="K46" s="21"/>
      <c r="P46" s="4"/>
      <c r="Q46" s="4"/>
      <c r="R46" s="5"/>
    </row>
    <row r="47" spans="1:18" ht="15.75" x14ac:dyDescent="0.25">
      <c r="A47" s="121"/>
      <c r="B47" s="27"/>
      <c r="C47" s="11"/>
      <c r="D47" s="12"/>
      <c r="F47" s="59"/>
      <c r="G47" s="59"/>
      <c r="H47" s="122"/>
      <c r="I47" s="123"/>
      <c r="J47" s="124"/>
      <c r="K47" s="21"/>
      <c r="P47" s="4"/>
      <c r="Q47" s="4"/>
      <c r="R47" s="5"/>
    </row>
    <row r="48" spans="1:18" ht="15" customHeight="1" x14ac:dyDescent="0.25">
      <c r="A48" s="119" t="s">
        <v>32</v>
      </c>
      <c r="B48" s="27" t="s">
        <v>65</v>
      </c>
      <c r="C48" s="10">
        <v>3</v>
      </c>
      <c r="D48" s="12">
        <f>C48*78</f>
        <v>234</v>
      </c>
      <c r="F48" s="59"/>
      <c r="G48" s="59"/>
      <c r="H48" s="122"/>
      <c r="I48" s="123"/>
      <c r="J48" s="124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20"/>
      <c r="B49" s="29" t="s">
        <v>67</v>
      </c>
      <c r="C49" s="33"/>
      <c r="D49" s="12">
        <f>C49*42</f>
        <v>0</v>
      </c>
      <c r="F49" s="125" t="s">
        <v>85</v>
      </c>
      <c r="G49" s="127">
        <f>H34+H35+H36+H37+H38+H39+H40+H41+G42+H44+H45+H46</f>
        <v>192287</v>
      </c>
      <c r="H49" s="128"/>
      <c r="I49" s="128"/>
      <c r="J49" s="129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0"/>
      <c r="B50" s="32" t="s">
        <v>69</v>
      </c>
      <c r="C50" s="11">
        <v>6</v>
      </c>
      <c r="D50" s="12">
        <f>C50*1.5</f>
        <v>9</v>
      </c>
      <c r="F50" s="126"/>
      <c r="G50" s="130"/>
      <c r="H50" s="131"/>
      <c r="I50" s="131"/>
      <c r="J50" s="132"/>
      <c r="O50" t="s">
        <v>114</v>
      </c>
      <c r="P50" s="4">
        <v>1204</v>
      </c>
      <c r="Q50" s="4"/>
      <c r="R50" s="5"/>
    </row>
    <row r="51" spans="1:18" ht="15" customHeight="1" x14ac:dyDescent="0.25">
      <c r="A51" s="120"/>
      <c r="B51" s="27"/>
      <c r="C51" s="10"/>
      <c r="D51" s="31"/>
      <c r="F51" s="133" t="s">
        <v>115</v>
      </c>
      <c r="G51" s="135">
        <f>G49-H29</f>
        <v>1643.5833333333139</v>
      </c>
      <c r="H51" s="136"/>
      <c r="I51" s="136"/>
      <c r="J51" s="137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20"/>
      <c r="B52" s="29"/>
      <c r="C52" s="33"/>
      <c r="D52" s="45"/>
      <c r="F52" s="134"/>
      <c r="G52" s="138"/>
      <c r="H52" s="139"/>
      <c r="I52" s="139"/>
      <c r="J52" s="140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1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05" t="s">
        <v>89</v>
      </c>
      <c r="B54" s="106"/>
      <c r="C54" s="107"/>
      <c r="D54" s="111">
        <f>SUM(D34:D53)</f>
        <v>40819.5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08"/>
      <c r="B55" s="109"/>
      <c r="C55" s="110"/>
      <c r="D55" s="11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113" t="s">
        <v>90</v>
      </c>
      <c r="B58" s="114"/>
      <c r="C58" s="114"/>
      <c r="D58" s="115"/>
      <c r="F58" s="113" t="s">
        <v>91</v>
      </c>
      <c r="G58" s="114"/>
      <c r="H58" s="114"/>
      <c r="I58" s="114"/>
      <c r="J58" s="115"/>
    </row>
    <row r="59" spans="1:18" x14ac:dyDescent="0.25">
      <c r="A59" s="116"/>
      <c r="B59" s="117"/>
      <c r="C59" s="117"/>
      <c r="D59" s="118"/>
      <c r="F59" s="116"/>
      <c r="G59" s="117"/>
      <c r="H59" s="117"/>
      <c r="I59" s="117"/>
      <c r="J59" s="118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93FC04-D11B-4DCF-B47D-D580C4944F9D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1" t="s">
        <v>1</v>
      </c>
      <c r="O1" s="201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2" t="s">
        <v>7</v>
      </c>
      <c r="B4" s="153"/>
      <c r="C4" s="153"/>
      <c r="D4" s="154"/>
      <c r="F4" s="202" t="s">
        <v>8</v>
      </c>
      <c r="G4" s="204">
        <v>2</v>
      </c>
      <c r="H4" s="206" t="s">
        <v>9</v>
      </c>
      <c r="I4" s="208">
        <v>46148</v>
      </c>
      <c r="J4" s="20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6" t="s">
        <v>7</v>
      </c>
      <c r="B5" s="15" t="s">
        <v>11</v>
      </c>
      <c r="C5" s="9" t="s">
        <v>12</v>
      </c>
      <c r="D5" s="25" t="s">
        <v>13</v>
      </c>
      <c r="F5" s="203"/>
      <c r="G5" s="205"/>
      <c r="H5" s="207"/>
      <c r="I5" s="210"/>
      <c r="J5" s="21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7"/>
      <c r="B6" s="16" t="s">
        <v>15</v>
      </c>
      <c r="C6" s="10">
        <v>368</v>
      </c>
      <c r="D6" s="13">
        <f t="shared" ref="D6:D28" si="1">C6*L6</f>
        <v>280048</v>
      </c>
      <c r="F6" s="212" t="s">
        <v>16</v>
      </c>
      <c r="G6" s="214" t="s">
        <v>107</v>
      </c>
      <c r="H6" s="215"/>
      <c r="I6" s="215"/>
      <c r="J6" s="21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7"/>
      <c r="B7" s="16" t="s">
        <v>18</v>
      </c>
      <c r="C7" s="10">
        <v>10</v>
      </c>
      <c r="D7" s="13">
        <f t="shared" si="1"/>
        <v>7810</v>
      </c>
      <c r="F7" s="213"/>
      <c r="G7" s="217"/>
      <c r="H7" s="218"/>
      <c r="I7" s="218"/>
      <c r="J7" s="21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7"/>
      <c r="B8" s="16" t="s">
        <v>20</v>
      </c>
      <c r="C8" s="10"/>
      <c r="D8" s="13">
        <f t="shared" si="1"/>
        <v>0</v>
      </c>
      <c r="F8" s="220" t="s">
        <v>21</v>
      </c>
      <c r="G8" s="221" t="s">
        <v>100</v>
      </c>
      <c r="H8" s="222"/>
      <c r="I8" s="222"/>
      <c r="J8" s="22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7"/>
      <c r="B9" s="16" t="s">
        <v>23</v>
      </c>
      <c r="C9" s="10">
        <v>54</v>
      </c>
      <c r="D9" s="13">
        <f t="shared" si="1"/>
        <v>39582</v>
      </c>
      <c r="F9" s="213"/>
      <c r="G9" s="224"/>
      <c r="H9" s="225"/>
      <c r="I9" s="225"/>
      <c r="J9" s="22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7"/>
      <c r="B10" t="s">
        <v>25</v>
      </c>
      <c r="C10" s="10"/>
      <c r="D10" s="13">
        <f t="shared" si="1"/>
        <v>0</v>
      </c>
      <c r="F10" s="212" t="s">
        <v>26</v>
      </c>
      <c r="G10" s="227" t="s">
        <v>101</v>
      </c>
      <c r="H10" s="228"/>
      <c r="I10" s="228"/>
      <c r="J10" s="229"/>
      <c r="K10" s="8"/>
      <c r="L10" s="6">
        <f>R36</f>
        <v>1032</v>
      </c>
      <c r="P10" s="4"/>
      <c r="Q10" s="4"/>
      <c r="R10" s="5"/>
    </row>
    <row r="11" spans="1:18" ht="15.75" x14ac:dyDescent="0.25">
      <c r="A11" s="147"/>
      <c r="B11" s="17" t="s">
        <v>28</v>
      </c>
      <c r="C11" s="10"/>
      <c r="D11" s="13">
        <f t="shared" si="1"/>
        <v>0</v>
      </c>
      <c r="F11" s="213"/>
      <c r="G11" s="224"/>
      <c r="H11" s="225"/>
      <c r="I11" s="225"/>
      <c r="J11" s="22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7"/>
      <c r="B12" s="17" t="s">
        <v>30</v>
      </c>
      <c r="C12" s="10"/>
      <c r="D12" s="48">
        <f t="shared" si="1"/>
        <v>0</v>
      </c>
      <c r="F12" s="230" t="s">
        <v>33</v>
      </c>
      <c r="G12" s="231"/>
      <c r="H12" s="231"/>
      <c r="I12" s="231"/>
      <c r="J12" s="23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7"/>
      <c r="B13" s="17" t="s">
        <v>32</v>
      </c>
      <c r="C13" s="10">
        <v>13</v>
      </c>
      <c r="D13" s="48">
        <f t="shared" si="1"/>
        <v>3991</v>
      </c>
      <c r="F13" s="233" t="s">
        <v>36</v>
      </c>
      <c r="G13" s="197"/>
      <c r="H13" s="188">
        <f>D29</f>
        <v>331431</v>
      </c>
      <c r="I13" s="189"/>
      <c r="J13" s="19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7"/>
      <c r="B14" s="14" t="s">
        <v>35</v>
      </c>
      <c r="C14" s="10"/>
      <c r="D14" s="31">
        <f t="shared" si="1"/>
        <v>0</v>
      </c>
      <c r="F14" s="191" t="s">
        <v>38</v>
      </c>
      <c r="G14" s="192"/>
      <c r="H14" s="193">
        <f>D54</f>
        <v>48594.75</v>
      </c>
      <c r="I14" s="194"/>
      <c r="J14" s="19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7"/>
      <c r="B15" s="14" t="s">
        <v>122</v>
      </c>
      <c r="C15" s="10"/>
      <c r="D15" s="31">
        <f t="shared" si="1"/>
        <v>0</v>
      </c>
      <c r="F15" s="196" t="s">
        <v>39</v>
      </c>
      <c r="G15" s="197"/>
      <c r="H15" s="198">
        <f>H13-H14</f>
        <v>282836.25</v>
      </c>
      <c r="I15" s="199"/>
      <c r="J15" s="200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7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58">
        <v>2076</v>
      </c>
      <c r="I16" s="158"/>
      <c r="J16" s="158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7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69"/>
      <c r="I17" s="169"/>
      <c r="J17" s="169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7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69"/>
      <c r="I18" s="169"/>
      <c r="J18" s="169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7"/>
      <c r="B19" s="87" t="s">
        <v>105</v>
      </c>
      <c r="C19" s="10"/>
      <c r="D19" s="48">
        <f t="shared" si="1"/>
        <v>0</v>
      </c>
      <c r="F19" s="56"/>
      <c r="G19" s="68" t="s">
        <v>49</v>
      </c>
      <c r="H19" s="252"/>
      <c r="I19" s="252"/>
      <c r="J19" s="252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7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69"/>
      <c r="I20" s="169"/>
      <c r="J20" s="169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7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71" t="s">
        <v>13</v>
      </c>
      <c r="I21" s="172"/>
      <c r="J21" s="173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7"/>
      <c r="B22" s="46" t="s">
        <v>103</v>
      </c>
      <c r="C22" s="10"/>
      <c r="D22" s="48">
        <f t="shared" si="1"/>
        <v>0</v>
      </c>
      <c r="F22" s="72"/>
      <c r="G22" s="73"/>
      <c r="H22" s="174"/>
      <c r="I22" s="174"/>
      <c r="J22" s="174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7"/>
      <c r="B23" s="14" t="s">
        <v>121</v>
      </c>
      <c r="C23" s="10"/>
      <c r="D23" s="48">
        <f t="shared" si="1"/>
        <v>0</v>
      </c>
      <c r="F23" s="25"/>
      <c r="G23" s="37"/>
      <c r="H23" s="175"/>
      <c r="I23" s="144"/>
      <c r="J23" s="144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7"/>
      <c r="B24" s="14" t="s">
        <v>128</v>
      </c>
      <c r="C24" s="10"/>
      <c r="D24" s="48">
        <f t="shared" si="1"/>
        <v>0</v>
      </c>
      <c r="F24" s="38"/>
      <c r="G24" s="37"/>
      <c r="H24" s="175"/>
      <c r="I24" s="144"/>
      <c r="J24" s="144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7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76" t="s">
        <v>13</v>
      </c>
      <c r="I25" s="177"/>
      <c r="J25" s="178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7"/>
      <c r="B26" s="14" t="s">
        <v>129</v>
      </c>
      <c r="C26" s="10"/>
      <c r="D26" s="48">
        <f t="shared" si="1"/>
        <v>0</v>
      </c>
      <c r="F26" s="64"/>
      <c r="G26" s="10"/>
      <c r="H26" s="179"/>
      <c r="I26" s="180"/>
      <c r="J26" s="181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7"/>
      <c r="B27" s="14" t="s">
        <v>130</v>
      </c>
      <c r="C27" s="10"/>
      <c r="D27" s="44">
        <f t="shared" si="1"/>
        <v>0</v>
      </c>
      <c r="F27" s="14"/>
      <c r="G27" s="14"/>
      <c r="H27" s="182"/>
      <c r="I27" s="183"/>
      <c r="J27" s="184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8"/>
      <c r="B28" s="46" t="s">
        <v>92</v>
      </c>
      <c r="C28" s="10"/>
      <c r="D28" s="48">
        <f t="shared" si="1"/>
        <v>0</v>
      </c>
      <c r="F28" s="91"/>
      <c r="G28" s="61"/>
      <c r="H28" s="185"/>
      <c r="I28" s="186"/>
      <c r="J28" s="187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9" t="s">
        <v>36</v>
      </c>
      <c r="B29" s="160"/>
      <c r="C29" s="161"/>
      <c r="D29" s="165">
        <f>SUM(D6:D28)</f>
        <v>331431</v>
      </c>
      <c r="F29" s="105" t="s">
        <v>54</v>
      </c>
      <c r="G29" s="167"/>
      <c r="H29" s="127">
        <f>H15-H16-H17-H18-H19-H20-H22-H23-H24+H26+H27</f>
        <v>280760.25</v>
      </c>
      <c r="I29" s="128"/>
      <c r="J29" s="129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08"/>
      <c r="G30" s="168"/>
      <c r="H30" s="130"/>
      <c r="I30" s="131"/>
      <c r="J30" s="132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2" t="s">
        <v>57</v>
      </c>
      <c r="B32" s="153"/>
      <c r="C32" s="153"/>
      <c r="D32" s="154"/>
      <c r="F32" s="155" t="s">
        <v>58</v>
      </c>
      <c r="G32" s="156"/>
      <c r="H32" s="156"/>
      <c r="I32" s="156"/>
      <c r="J32" s="157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2" t="s">
        <v>62</v>
      </c>
      <c r="H33" s="155" t="s">
        <v>13</v>
      </c>
      <c r="I33" s="156"/>
      <c r="J33" s="157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6" t="s">
        <v>64</v>
      </c>
      <c r="B34" s="26" t="s">
        <v>65</v>
      </c>
      <c r="C34" s="51"/>
      <c r="D34" s="30">
        <f>C34*120</f>
        <v>0</v>
      </c>
      <c r="F34" s="12">
        <v>1000</v>
      </c>
      <c r="G34" s="74">
        <v>227</v>
      </c>
      <c r="H34" s="149">
        <f>F34*G34</f>
        <v>227000</v>
      </c>
      <c r="I34" s="150"/>
      <c r="J34" s="151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7"/>
      <c r="B35" s="27" t="s">
        <v>67</v>
      </c>
      <c r="C35" s="52"/>
      <c r="D35" s="30">
        <f>C35*84</f>
        <v>0</v>
      </c>
      <c r="F35" s="58">
        <v>500</v>
      </c>
      <c r="G35" s="41">
        <v>107</v>
      </c>
      <c r="H35" s="149">
        <f t="shared" ref="H35:H39" si="2">F35*G35</f>
        <v>53500</v>
      </c>
      <c r="I35" s="150"/>
      <c r="J35" s="15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8"/>
      <c r="B36" s="26" t="s">
        <v>69</v>
      </c>
      <c r="C36" s="10"/>
      <c r="D36" s="12">
        <f>C36*1.5</f>
        <v>0</v>
      </c>
      <c r="F36" s="12">
        <v>200</v>
      </c>
      <c r="G36" s="37"/>
      <c r="H36" s="149">
        <f>F36*G36</f>
        <v>0</v>
      </c>
      <c r="I36" s="150"/>
      <c r="J36" s="151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6" t="s">
        <v>71</v>
      </c>
      <c r="B37" s="28" t="s">
        <v>65</v>
      </c>
      <c r="C37" s="53">
        <v>430</v>
      </c>
      <c r="D37" s="12">
        <f>C37*111</f>
        <v>47730</v>
      </c>
      <c r="F37" s="12">
        <v>100</v>
      </c>
      <c r="G37" s="39">
        <v>2</v>
      </c>
      <c r="H37" s="149">
        <f t="shared" si="2"/>
        <v>200</v>
      </c>
      <c r="I37" s="150"/>
      <c r="J37" s="151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7"/>
      <c r="B38" s="29" t="s">
        <v>67</v>
      </c>
      <c r="C38" s="54">
        <v>4</v>
      </c>
      <c r="D38" s="12">
        <f>C38*84</f>
        <v>336</v>
      </c>
      <c r="F38" s="30">
        <v>50</v>
      </c>
      <c r="G38" s="39">
        <v>1</v>
      </c>
      <c r="H38" s="149">
        <f t="shared" si="2"/>
        <v>50</v>
      </c>
      <c r="I38" s="150"/>
      <c r="J38" s="151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8"/>
      <c r="B39" s="29" t="s">
        <v>69</v>
      </c>
      <c r="C39" s="52"/>
      <c r="D39" s="31">
        <f>C39*4.5</f>
        <v>0</v>
      </c>
      <c r="F39" s="12">
        <v>20</v>
      </c>
      <c r="G39" s="37"/>
      <c r="H39" s="149">
        <f t="shared" si="2"/>
        <v>0</v>
      </c>
      <c r="I39" s="150"/>
      <c r="J39" s="15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6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49"/>
      <c r="I40" s="150"/>
      <c r="J40" s="151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7"/>
      <c r="B41" s="27" t="s">
        <v>67</v>
      </c>
      <c r="C41" s="10">
        <v>1</v>
      </c>
      <c r="D41" s="12">
        <f>C41*84</f>
        <v>84</v>
      </c>
      <c r="F41" s="12">
        <v>5</v>
      </c>
      <c r="G41" s="42"/>
      <c r="H41" s="149"/>
      <c r="I41" s="150"/>
      <c r="J41" s="151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8"/>
      <c r="B42" s="27" t="s">
        <v>69</v>
      </c>
      <c r="C42" s="11">
        <v>11</v>
      </c>
      <c r="D42" s="12">
        <f>C42*2.25</f>
        <v>24.75</v>
      </c>
      <c r="F42" s="39" t="s">
        <v>78</v>
      </c>
      <c r="G42" s="149">
        <v>28</v>
      </c>
      <c r="H42" s="150"/>
      <c r="I42" s="150"/>
      <c r="J42" s="151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19" t="s">
        <v>80</v>
      </c>
      <c r="C43" s="11"/>
      <c r="D43" s="12"/>
      <c r="F43" s="59" t="s">
        <v>81</v>
      </c>
      <c r="G43" s="88" t="s">
        <v>82</v>
      </c>
      <c r="H43" s="141" t="s">
        <v>13</v>
      </c>
      <c r="I43" s="142"/>
      <c r="J43" s="143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20"/>
      <c r="B44" s="27" t="s">
        <v>65</v>
      </c>
      <c r="C44" s="10"/>
      <c r="D44" s="12">
        <f>C44*120</f>
        <v>0</v>
      </c>
      <c r="F44" s="37"/>
      <c r="G44" s="62"/>
      <c r="H44" s="144"/>
      <c r="I44" s="144"/>
      <c r="J44" s="144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20"/>
      <c r="B45" s="27" t="s">
        <v>67</v>
      </c>
      <c r="C45" s="33"/>
      <c r="D45" s="12">
        <f>C45*84</f>
        <v>0</v>
      </c>
      <c r="F45" s="37"/>
      <c r="G45" s="62"/>
      <c r="H45" s="144"/>
      <c r="I45" s="144"/>
      <c r="J45" s="144"/>
      <c r="K45" s="21"/>
      <c r="P45" s="4"/>
      <c r="Q45" s="4"/>
      <c r="R45" s="5"/>
    </row>
    <row r="46" spans="1:18" ht="15.75" x14ac:dyDescent="0.25">
      <c r="A46" s="120"/>
      <c r="B46" s="49" t="s">
        <v>69</v>
      </c>
      <c r="C46" s="81"/>
      <c r="D46" s="12">
        <f>C46*1.5</f>
        <v>0</v>
      </c>
      <c r="F46" s="37"/>
      <c r="G46" s="89"/>
      <c r="H46" s="145"/>
      <c r="I46" s="145"/>
      <c r="J46" s="145"/>
      <c r="K46" s="21"/>
      <c r="P46" s="4"/>
      <c r="Q46" s="4"/>
      <c r="R46" s="5"/>
    </row>
    <row r="47" spans="1:18" ht="15.75" x14ac:dyDescent="0.25">
      <c r="A47" s="121"/>
      <c r="B47" s="27"/>
      <c r="C47" s="11"/>
      <c r="D47" s="12"/>
      <c r="F47" s="59"/>
      <c r="G47" s="59"/>
      <c r="H47" s="122"/>
      <c r="I47" s="123"/>
      <c r="J47" s="124"/>
      <c r="K47" s="21"/>
      <c r="P47" s="4"/>
      <c r="Q47" s="4"/>
      <c r="R47" s="5"/>
    </row>
    <row r="48" spans="1:18" ht="15" customHeight="1" x14ac:dyDescent="0.25">
      <c r="A48" s="119" t="s">
        <v>32</v>
      </c>
      <c r="B48" s="27" t="s">
        <v>65</v>
      </c>
      <c r="C48" s="10"/>
      <c r="D48" s="12">
        <f>C48*78</f>
        <v>0</v>
      </c>
      <c r="F48" s="59"/>
      <c r="G48" s="59"/>
      <c r="H48" s="122"/>
      <c r="I48" s="123"/>
      <c r="J48" s="124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20"/>
      <c r="B49" s="29" t="s">
        <v>67</v>
      </c>
      <c r="C49" s="33">
        <v>10</v>
      </c>
      <c r="D49" s="12">
        <f>C49*42</f>
        <v>420</v>
      </c>
      <c r="F49" s="125" t="s">
        <v>85</v>
      </c>
      <c r="G49" s="127">
        <f>H34+H35+H36+H37+H38+H39+H40+H41+G42+H44+H45+H46</f>
        <v>280778</v>
      </c>
      <c r="H49" s="128"/>
      <c r="I49" s="128"/>
      <c r="J49" s="129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0"/>
      <c r="B50" s="32" t="s">
        <v>69</v>
      </c>
      <c r="C50" s="11"/>
      <c r="D50" s="12">
        <f>C50*1.5</f>
        <v>0</v>
      </c>
      <c r="F50" s="126"/>
      <c r="G50" s="130"/>
      <c r="H50" s="131"/>
      <c r="I50" s="131"/>
      <c r="J50" s="132"/>
      <c r="O50" t="s">
        <v>114</v>
      </c>
      <c r="P50" s="4">
        <v>1204</v>
      </c>
      <c r="Q50" s="4"/>
      <c r="R50" s="5"/>
    </row>
    <row r="51" spans="1:18" ht="15" customHeight="1" x14ac:dyDescent="0.25">
      <c r="A51" s="120"/>
      <c r="B51" s="27"/>
      <c r="C51" s="10"/>
      <c r="D51" s="31"/>
      <c r="F51" s="133" t="s">
        <v>112</v>
      </c>
      <c r="G51" s="135">
        <f>G49-H29</f>
        <v>17.75</v>
      </c>
      <c r="H51" s="136"/>
      <c r="I51" s="136"/>
      <c r="J51" s="137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20"/>
      <c r="B52" s="29"/>
      <c r="C52" s="33"/>
      <c r="D52" s="45"/>
      <c r="F52" s="134"/>
      <c r="G52" s="138"/>
      <c r="H52" s="139"/>
      <c r="I52" s="139"/>
      <c r="J52" s="140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1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05" t="s">
        <v>89</v>
      </c>
      <c r="B54" s="106"/>
      <c r="C54" s="107"/>
      <c r="D54" s="111">
        <f>SUM(D34:D53)</f>
        <v>48594.75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08"/>
      <c r="B55" s="109"/>
      <c r="C55" s="110"/>
      <c r="D55" s="11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119</v>
      </c>
      <c r="D57" s="34"/>
      <c r="F57" s="36"/>
      <c r="G57" s="50"/>
      <c r="H57" s="50"/>
      <c r="I57" s="50"/>
      <c r="J57" s="43"/>
    </row>
    <row r="58" spans="1:18" x14ac:dyDescent="0.25">
      <c r="A58" s="113" t="s">
        <v>90</v>
      </c>
      <c r="B58" s="114"/>
      <c r="C58" s="114"/>
      <c r="D58" s="115"/>
      <c r="F58" s="113" t="s">
        <v>91</v>
      </c>
      <c r="G58" s="114"/>
      <c r="H58" s="114"/>
      <c r="I58" s="114"/>
      <c r="J58" s="115"/>
    </row>
    <row r="59" spans="1:18" x14ac:dyDescent="0.25">
      <c r="A59" s="116"/>
      <c r="B59" s="117"/>
      <c r="C59" s="117"/>
      <c r="D59" s="118"/>
      <c r="F59" s="116"/>
      <c r="G59" s="117"/>
      <c r="H59" s="117"/>
      <c r="I59" s="117"/>
      <c r="J59" s="118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8055C0-4DE8-46DB-BCF6-479A351D9D69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1" t="s">
        <v>1</v>
      </c>
      <c r="O1" s="201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2" t="s">
        <v>7</v>
      </c>
      <c r="B4" s="153"/>
      <c r="C4" s="153"/>
      <c r="D4" s="154"/>
      <c r="F4" s="202" t="s">
        <v>8</v>
      </c>
      <c r="G4" s="204">
        <v>3</v>
      </c>
      <c r="H4" s="206" t="s">
        <v>9</v>
      </c>
      <c r="I4" s="208">
        <v>46148</v>
      </c>
      <c r="J4" s="20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6" t="s">
        <v>7</v>
      </c>
      <c r="B5" s="15" t="s">
        <v>11</v>
      </c>
      <c r="C5" s="9" t="s">
        <v>12</v>
      </c>
      <c r="D5" s="25" t="s">
        <v>13</v>
      </c>
      <c r="F5" s="203"/>
      <c r="G5" s="205"/>
      <c r="H5" s="207"/>
      <c r="I5" s="210"/>
      <c r="J5" s="21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7"/>
      <c r="B6" s="16" t="s">
        <v>15</v>
      </c>
      <c r="C6" s="10">
        <v>331</v>
      </c>
      <c r="D6" s="13">
        <f t="shared" ref="D6:D28" si="1">C6*L6</f>
        <v>251891</v>
      </c>
      <c r="F6" s="212" t="s">
        <v>16</v>
      </c>
      <c r="G6" s="214" t="s">
        <v>117</v>
      </c>
      <c r="H6" s="215"/>
      <c r="I6" s="215"/>
      <c r="J6" s="21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7"/>
      <c r="B7" s="16" t="s">
        <v>18</v>
      </c>
      <c r="C7" s="10">
        <v>10</v>
      </c>
      <c r="D7" s="13">
        <f t="shared" si="1"/>
        <v>7810</v>
      </c>
      <c r="F7" s="213"/>
      <c r="G7" s="217"/>
      <c r="H7" s="218"/>
      <c r="I7" s="218"/>
      <c r="J7" s="21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7"/>
      <c r="B8" s="16" t="s">
        <v>20</v>
      </c>
      <c r="C8" s="10"/>
      <c r="D8" s="13">
        <f t="shared" si="1"/>
        <v>0</v>
      </c>
      <c r="F8" s="220" t="s">
        <v>21</v>
      </c>
      <c r="G8" s="221" t="s">
        <v>110</v>
      </c>
      <c r="H8" s="222"/>
      <c r="I8" s="222"/>
      <c r="J8" s="22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7"/>
      <c r="B9" s="16" t="s">
        <v>23</v>
      </c>
      <c r="C9" s="10">
        <v>58</v>
      </c>
      <c r="D9" s="13">
        <f t="shared" si="1"/>
        <v>42514</v>
      </c>
      <c r="F9" s="213"/>
      <c r="G9" s="224"/>
      <c r="H9" s="225"/>
      <c r="I9" s="225"/>
      <c r="J9" s="22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7"/>
      <c r="B10" t="s">
        <v>25</v>
      </c>
      <c r="C10" s="10">
        <v>6</v>
      </c>
      <c r="D10" s="13">
        <f t="shared" si="1"/>
        <v>6192</v>
      </c>
      <c r="F10" s="212" t="s">
        <v>26</v>
      </c>
      <c r="G10" s="227" t="s">
        <v>124</v>
      </c>
      <c r="H10" s="228"/>
      <c r="I10" s="228"/>
      <c r="J10" s="229"/>
      <c r="K10" s="8"/>
      <c r="L10" s="6">
        <f>R36</f>
        <v>1032</v>
      </c>
      <c r="P10" s="4"/>
      <c r="Q10" s="4"/>
      <c r="R10" s="5"/>
    </row>
    <row r="11" spans="1:18" ht="15.75" x14ac:dyDescent="0.25">
      <c r="A11" s="147"/>
      <c r="B11" s="17" t="s">
        <v>28</v>
      </c>
      <c r="C11" s="10"/>
      <c r="D11" s="13">
        <f t="shared" si="1"/>
        <v>0</v>
      </c>
      <c r="F11" s="213"/>
      <c r="G11" s="224"/>
      <c r="H11" s="225"/>
      <c r="I11" s="225"/>
      <c r="J11" s="22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7"/>
      <c r="B12" s="17" t="s">
        <v>30</v>
      </c>
      <c r="C12" s="10">
        <v>2</v>
      </c>
      <c r="D12" s="48">
        <f t="shared" si="1"/>
        <v>1984</v>
      </c>
      <c r="F12" s="230" t="s">
        <v>33</v>
      </c>
      <c r="G12" s="231"/>
      <c r="H12" s="231"/>
      <c r="I12" s="231"/>
      <c r="J12" s="23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7"/>
      <c r="B13" s="17" t="s">
        <v>32</v>
      </c>
      <c r="C13" s="10">
        <v>11</v>
      </c>
      <c r="D13" s="48">
        <f t="shared" si="1"/>
        <v>3377</v>
      </c>
      <c r="F13" s="233" t="s">
        <v>36</v>
      </c>
      <c r="G13" s="197"/>
      <c r="H13" s="188">
        <f>D29</f>
        <v>324737</v>
      </c>
      <c r="I13" s="189"/>
      <c r="J13" s="19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7"/>
      <c r="B14" s="14" t="s">
        <v>35</v>
      </c>
      <c r="C14" s="10">
        <v>15</v>
      </c>
      <c r="D14" s="31">
        <f t="shared" si="1"/>
        <v>165</v>
      </c>
      <c r="F14" s="191" t="s">
        <v>38</v>
      </c>
      <c r="G14" s="192"/>
      <c r="H14" s="193">
        <f>D54</f>
        <v>48459</v>
      </c>
      <c r="I14" s="194"/>
      <c r="J14" s="19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7"/>
      <c r="B15" s="14" t="s">
        <v>122</v>
      </c>
      <c r="C15" s="10"/>
      <c r="D15" s="31">
        <f t="shared" si="1"/>
        <v>0</v>
      </c>
      <c r="F15" s="196" t="s">
        <v>39</v>
      </c>
      <c r="G15" s="197"/>
      <c r="H15" s="198">
        <f>H13-H14</f>
        <v>276278</v>
      </c>
      <c r="I15" s="199"/>
      <c r="J15" s="200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7"/>
      <c r="B16" s="18" t="s">
        <v>111</v>
      </c>
      <c r="C16" s="10">
        <f>3+3</f>
        <v>6</v>
      </c>
      <c r="D16" s="48">
        <f t="shared" si="1"/>
        <v>3900</v>
      </c>
      <c r="F16" s="67" t="s">
        <v>41</v>
      </c>
      <c r="G16" s="66" t="s">
        <v>42</v>
      </c>
      <c r="H16" s="158">
        <f>690+612+888</f>
        <v>2190</v>
      </c>
      <c r="I16" s="158"/>
      <c r="J16" s="158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7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69"/>
      <c r="I17" s="169"/>
      <c r="J17" s="169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7"/>
      <c r="B18" s="86" t="s">
        <v>125</v>
      </c>
      <c r="C18" s="10">
        <f>1+1</f>
        <v>2</v>
      </c>
      <c r="D18" s="48">
        <f t="shared" si="1"/>
        <v>2204</v>
      </c>
      <c r="F18" s="56"/>
      <c r="G18" s="66" t="s">
        <v>46</v>
      </c>
      <c r="H18" s="169"/>
      <c r="I18" s="169"/>
      <c r="J18" s="169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7"/>
      <c r="B19" s="87" t="s">
        <v>105</v>
      </c>
      <c r="C19" s="10">
        <f>1+3</f>
        <v>4</v>
      </c>
      <c r="D19" s="48">
        <f t="shared" si="1"/>
        <v>4700</v>
      </c>
      <c r="F19" s="56"/>
      <c r="G19" s="68" t="s">
        <v>49</v>
      </c>
      <c r="H19" s="253">
        <v>50</v>
      </c>
      <c r="I19" s="253"/>
      <c r="J19" s="253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7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58"/>
      <c r="I20" s="158"/>
      <c r="J20" s="158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7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71" t="s">
        <v>13</v>
      </c>
      <c r="I21" s="172"/>
      <c r="J21" s="173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7"/>
      <c r="B22" s="46" t="s">
        <v>103</v>
      </c>
      <c r="C22" s="10"/>
      <c r="D22" s="48">
        <f t="shared" si="1"/>
        <v>0</v>
      </c>
      <c r="F22" s="77"/>
      <c r="G22" s="73"/>
      <c r="H22" s="174"/>
      <c r="I22" s="174"/>
      <c r="J22" s="174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7"/>
      <c r="B23" s="14" t="s">
        <v>121</v>
      </c>
      <c r="C23" s="10"/>
      <c r="D23" s="48">
        <f t="shared" si="1"/>
        <v>0</v>
      </c>
      <c r="F23" s="78"/>
      <c r="G23" s="79"/>
      <c r="H23" s="175"/>
      <c r="I23" s="144"/>
      <c r="J23" s="144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7"/>
      <c r="B24" s="14" t="s">
        <v>128</v>
      </c>
      <c r="C24" s="10"/>
      <c r="D24" s="48">
        <f t="shared" si="1"/>
        <v>0</v>
      </c>
      <c r="F24" s="38"/>
      <c r="G24" s="37"/>
      <c r="H24" s="175"/>
      <c r="I24" s="144"/>
      <c r="J24" s="144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7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76" t="s">
        <v>13</v>
      </c>
      <c r="I25" s="177"/>
      <c r="J25" s="178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7"/>
      <c r="B26" s="14" t="s">
        <v>129</v>
      </c>
      <c r="C26" s="10"/>
      <c r="D26" s="48">
        <f t="shared" si="1"/>
        <v>0</v>
      </c>
      <c r="F26" s="64"/>
      <c r="G26" s="59"/>
      <c r="H26" s="179"/>
      <c r="I26" s="180"/>
      <c r="J26" s="181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7"/>
      <c r="B27" s="14" t="s">
        <v>130</v>
      </c>
      <c r="C27" s="10"/>
      <c r="D27" s="44">
        <f t="shared" si="1"/>
        <v>0</v>
      </c>
      <c r="F27" s="25"/>
      <c r="G27" s="80"/>
      <c r="H27" s="182"/>
      <c r="I27" s="183"/>
      <c r="J27" s="184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8"/>
      <c r="B28" s="46" t="s">
        <v>92</v>
      </c>
      <c r="C28" s="10"/>
      <c r="D28" s="48">
        <f t="shared" si="1"/>
        <v>0</v>
      </c>
      <c r="F28" s="91"/>
      <c r="G28" s="61"/>
      <c r="H28" s="185"/>
      <c r="I28" s="186"/>
      <c r="J28" s="187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9" t="s">
        <v>36</v>
      </c>
      <c r="B29" s="160"/>
      <c r="C29" s="161"/>
      <c r="D29" s="165">
        <f>SUM(D6:D28)</f>
        <v>324737</v>
      </c>
      <c r="F29" s="105" t="s">
        <v>54</v>
      </c>
      <c r="G29" s="167"/>
      <c r="H29" s="127">
        <f>H15-H16-H17-H18-H19-H20-H22-H23-H24+H26+H27</f>
        <v>274038</v>
      </c>
      <c r="I29" s="128"/>
      <c r="J29" s="129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08"/>
      <c r="G30" s="168"/>
      <c r="H30" s="130"/>
      <c r="I30" s="131"/>
      <c r="J30" s="132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2" t="s">
        <v>57</v>
      </c>
      <c r="B32" s="153"/>
      <c r="C32" s="153"/>
      <c r="D32" s="154"/>
      <c r="F32" s="155" t="s">
        <v>58</v>
      </c>
      <c r="G32" s="156"/>
      <c r="H32" s="156"/>
      <c r="I32" s="156"/>
      <c r="J32" s="157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2" t="s">
        <v>62</v>
      </c>
      <c r="H33" s="155" t="s">
        <v>13</v>
      </c>
      <c r="I33" s="156"/>
      <c r="J33" s="157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6" t="s">
        <v>64</v>
      </c>
      <c r="B34" s="26" t="s">
        <v>65</v>
      </c>
      <c r="C34" s="51">
        <v>3</v>
      </c>
      <c r="D34" s="30">
        <f>C34*120</f>
        <v>360</v>
      </c>
      <c r="F34" s="12">
        <v>1000</v>
      </c>
      <c r="G34" s="74">
        <v>126</v>
      </c>
      <c r="H34" s="149">
        <f>F34*G34</f>
        <v>126000</v>
      </c>
      <c r="I34" s="150"/>
      <c r="J34" s="151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7"/>
      <c r="B35" s="27" t="s">
        <v>67</v>
      </c>
      <c r="C35" s="52"/>
      <c r="D35" s="30">
        <f>C35*84</f>
        <v>0</v>
      </c>
      <c r="F35" s="58">
        <v>500</v>
      </c>
      <c r="G35" s="41">
        <v>1</v>
      </c>
      <c r="H35" s="149">
        <f>F35*G35</f>
        <v>500</v>
      </c>
      <c r="I35" s="150"/>
      <c r="J35" s="15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8"/>
      <c r="B36" s="26" t="s">
        <v>69</v>
      </c>
      <c r="C36" s="10"/>
      <c r="D36" s="12">
        <f>C36*1.5</f>
        <v>0</v>
      </c>
      <c r="F36" s="12">
        <v>200</v>
      </c>
      <c r="G36" s="37"/>
      <c r="H36" s="149">
        <f t="shared" ref="H36:H39" si="2">F36*G36</f>
        <v>0</v>
      </c>
      <c r="I36" s="150"/>
      <c r="J36" s="151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6" t="s">
        <v>71</v>
      </c>
      <c r="B37" s="28" t="s">
        <v>65</v>
      </c>
      <c r="C37" s="53">
        <v>408</v>
      </c>
      <c r="D37" s="12">
        <f>C37*111</f>
        <v>45288</v>
      </c>
      <c r="F37" s="12">
        <v>100</v>
      </c>
      <c r="G37" s="39">
        <v>1</v>
      </c>
      <c r="H37" s="149">
        <f t="shared" si="2"/>
        <v>100</v>
      </c>
      <c r="I37" s="150"/>
      <c r="J37" s="151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7"/>
      <c r="B38" s="29" t="s">
        <v>67</v>
      </c>
      <c r="C38" s="54"/>
      <c r="D38" s="12">
        <f>C38*84</f>
        <v>0</v>
      </c>
      <c r="F38" s="30">
        <v>50</v>
      </c>
      <c r="G38" s="39"/>
      <c r="H38" s="149">
        <f t="shared" si="2"/>
        <v>0</v>
      </c>
      <c r="I38" s="150"/>
      <c r="J38" s="151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8"/>
      <c r="B39" s="29" t="s">
        <v>69</v>
      </c>
      <c r="C39" s="52"/>
      <c r="D39" s="31">
        <f>C39*4.5</f>
        <v>0</v>
      </c>
      <c r="F39" s="12">
        <v>20</v>
      </c>
      <c r="G39" s="37"/>
      <c r="H39" s="149">
        <f t="shared" si="2"/>
        <v>0</v>
      </c>
      <c r="I39" s="150"/>
      <c r="J39" s="15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6" t="s">
        <v>75</v>
      </c>
      <c r="B40" s="27" t="s">
        <v>65</v>
      </c>
      <c r="C40" s="63">
        <v>17</v>
      </c>
      <c r="D40" s="12">
        <f>C40*111</f>
        <v>1887</v>
      </c>
      <c r="F40" s="12">
        <v>10</v>
      </c>
      <c r="G40" s="42"/>
      <c r="H40" s="149"/>
      <c r="I40" s="150"/>
      <c r="J40" s="151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7"/>
      <c r="B41" s="27" t="s">
        <v>67</v>
      </c>
      <c r="C41" s="10"/>
      <c r="D41" s="12">
        <f>C41*84</f>
        <v>0</v>
      </c>
      <c r="F41" s="12">
        <v>5</v>
      </c>
      <c r="G41" s="42"/>
      <c r="H41" s="149"/>
      <c r="I41" s="150"/>
      <c r="J41" s="151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8"/>
      <c r="B42" s="27" t="s">
        <v>69</v>
      </c>
      <c r="C42" s="11"/>
      <c r="D42" s="12">
        <f>C42*2.25</f>
        <v>0</v>
      </c>
      <c r="F42" s="39" t="s">
        <v>78</v>
      </c>
      <c r="G42" s="149">
        <v>2</v>
      </c>
      <c r="H42" s="150"/>
      <c r="I42" s="150"/>
      <c r="J42" s="151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19" t="s">
        <v>80</v>
      </c>
      <c r="C43" s="11"/>
      <c r="D43" s="12"/>
      <c r="F43" s="59" t="s">
        <v>81</v>
      </c>
      <c r="G43" s="88" t="s">
        <v>82</v>
      </c>
      <c r="H43" s="141" t="s">
        <v>13</v>
      </c>
      <c r="I43" s="142"/>
      <c r="J43" s="143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20"/>
      <c r="B44" s="27" t="s">
        <v>65</v>
      </c>
      <c r="C44" s="10">
        <v>5</v>
      </c>
      <c r="D44" s="12">
        <f>C44*120</f>
        <v>600</v>
      </c>
      <c r="F44" s="37" t="s">
        <v>132</v>
      </c>
      <c r="G44" s="76" t="s">
        <v>154</v>
      </c>
      <c r="H44" s="144">
        <v>79238</v>
      </c>
      <c r="I44" s="144"/>
      <c r="J44" s="144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20"/>
      <c r="B45" s="27" t="s">
        <v>67</v>
      </c>
      <c r="C45" s="33"/>
      <c r="D45" s="12">
        <f>C45*84</f>
        <v>0</v>
      </c>
      <c r="F45" s="37" t="s">
        <v>132</v>
      </c>
      <c r="G45" s="76" t="s">
        <v>155</v>
      </c>
      <c r="H45" s="144">
        <v>68148</v>
      </c>
      <c r="I45" s="144"/>
      <c r="J45" s="144"/>
      <c r="K45" s="21"/>
      <c r="P45" s="4"/>
      <c r="Q45" s="4"/>
      <c r="R45" s="5"/>
    </row>
    <row r="46" spans="1:18" ht="15.75" x14ac:dyDescent="0.25">
      <c r="A46" s="120"/>
      <c r="B46" s="49" t="s">
        <v>69</v>
      </c>
      <c r="C46" s="81"/>
      <c r="D46" s="12">
        <f>C46*1.5</f>
        <v>0</v>
      </c>
      <c r="F46" s="37"/>
      <c r="G46" s="62"/>
      <c r="H46" s="145"/>
      <c r="I46" s="145"/>
      <c r="J46" s="145"/>
      <c r="K46" s="21"/>
      <c r="P46" s="4"/>
      <c r="Q46" s="4"/>
      <c r="R46" s="5"/>
    </row>
    <row r="47" spans="1:18" ht="15.75" x14ac:dyDescent="0.25">
      <c r="A47" s="121"/>
      <c r="B47" s="27"/>
      <c r="C47" s="11"/>
      <c r="D47" s="12"/>
      <c r="F47" s="59"/>
      <c r="G47" s="59"/>
      <c r="H47" s="122"/>
      <c r="I47" s="123"/>
      <c r="J47" s="124"/>
      <c r="K47" s="21"/>
      <c r="P47" s="4"/>
      <c r="Q47" s="4"/>
      <c r="R47" s="5"/>
    </row>
    <row r="48" spans="1:18" ht="15" customHeight="1" x14ac:dyDescent="0.25">
      <c r="A48" s="119" t="s">
        <v>32</v>
      </c>
      <c r="B48" s="27" t="s">
        <v>65</v>
      </c>
      <c r="C48" s="10">
        <v>4</v>
      </c>
      <c r="D48" s="12">
        <f>C48*78</f>
        <v>312</v>
      </c>
      <c r="F48" s="59"/>
      <c r="G48" s="59"/>
      <c r="H48" s="122"/>
      <c r="I48" s="123"/>
      <c r="J48" s="124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20"/>
      <c r="B49" s="29" t="s">
        <v>67</v>
      </c>
      <c r="C49" s="33"/>
      <c r="D49" s="12">
        <f>C49*42</f>
        <v>0</v>
      </c>
      <c r="F49" s="125" t="s">
        <v>85</v>
      </c>
      <c r="G49" s="127">
        <f>H34+H35+H36+H37+H38+H39+H40+H41+G42+H44+H45+H46</f>
        <v>273988</v>
      </c>
      <c r="H49" s="128"/>
      <c r="I49" s="128"/>
      <c r="J49" s="129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0"/>
      <c r="B50" s="32" t="s">
        <v>69</v>
      </c>
      <c r="C50" s="11">
        <v>8</v>
      </c>
      <c r="D50" s="12">
        <f>C50*1.5</f>
        <v>12</v>
      </c>
      <c r="F50" s="126"/>
      <c r="G50" s="130"/>
      <c r="H50" s="131"/>
      <c r="I50" s="131"/>
      <c r="J50" s="132"/>
      <c r="O50" t="s">
        <v>114</v>
      </c>
      <c r="P50" s="4">
        <v>1204</v>
      </c>
      <c r="Q50" s="4"/>
      <c r="R50" s="5"/>
    </row>
    <row r="51" spans="1:18" ht="15" customHeight="1" x14ac:dyDescent="0.25">
      <c r="A51" s="120"/>
      <c r="B51" s="27"/>
      <c r="C51" s="10"/>
      <c r="D51" s="31"/>
      <c r="F51" s="133" t="s">
        <v>109</v>
      </c>
      <c r="G51" s="246">
        <f>G49-H29</f>
        <v>-50</v>
      </c>
      <c r="H51" s="247"/>
      <c r="I51" s="247"/>
      <c r="J51" s="248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20"/>
      <c r="B52" s="29"/>
      <c r="C52" s="33"/>
      <c r="D52" s="45"/>
      <c r="F52" s="134"/>
      <c r="G52" s="249"/>
      <c r="H52" s="250"/>
      <c r="I52" s="250"/>
      <c r="J52" s="251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1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05" t="s">
        <v>89</v>
      </c>
      <c r="B54" s="106"/>
      <c r="C54" s="107"/>
      <c r="D54" s="111">
        <f>SUM(D34:D53)</f>
        <v>48459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08"/>
      <c r="B55" s="109"/>
      <c r="C55" s="110"/>
      <c r="D55" s="11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13" t="s">
        <v>90</v>
      </c>
      <c r="B58" s="114"/>
      <c r="C58" s="114"/>
      <c r="D58" s="115"/>
      <c r="F58" s="113" t="s">
        <v>91</v>
      </c>
      <c r="G58" s="114"/>
      <c r="H58" s="114"/>
      <c r="I58" s="114"/>
      <c r="J58" s="115"/>
    </row>
    <row r="59" spans="1:18" x14ac:dyDescent="0.25">
      <c r="A59" s="116"/>
      <c r="B59" s="117"/>
      <c r="C59" s="117"/>
      <c r="D59" s="118"/>
      <c r="F59" s="116"/>
      <c r="G59" s="117"/>
      <c r="H59" s="117"/>
      <c r="I59" s="117"/>
      <c r="J59" s="118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59F317-0097-4DFF-B9AC-43ABCF87CCEA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01" t="s">
        <v>1</v>
      </c>
      <c r="O1" s="201"/>
      <c r="P1" s="90" t="s">
        <v>2</v>
      </c>
      <c r="Q1" s="90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52" t="s">
        <v>7</v>
      </c>
      <c r="B4" s="153"/>
      <c r="C4" s="153"/>
      <c r="D4" s="154"/>
      <c r="F4" s="202" t="s">
        <v>8</v>
      </c>
      <c r="G4" s="204"/>
      <c r="H4" s="206" t="s">
        <v>9</v>
      </c>
      <c r="I4" s="208"/>
      <c r="J4" s="20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46" t="s">
        <v>7</v>
      </c>
      <c r="B5" s="15" t="s">
        <v>11</v>
      </c>
      <c r="C5" s="9" t="s">
        <v>12</v>
      </c>
      <c r="D5" s="25" t="s">
        <v>13</v>
      </c>
      <c r="F5" s="203"/>
      <c r="G5" s="205"/>
      <c r="H5" s="207"/>
      <c r="I5" s="210"/>
      <c r="J5" s="21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47"/>
      <c r="B6" s="16"/>
      <c r="C6" s="10"/>
      <c r="D6" s="13">
        <f t="shared" ref="D6:D28" si="1">C6*L6</f>
        <v>0</v>
      </c>
      <c r="F6" s="212" t="s">
        <v>16</v>
      </c>
      <c r="G6" s="214"/>
      <c r="H6" s="215"/>
      <c r="I6" s="215"/>
      <c r="J6" s="216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47"/>
      <c r="B7" s="16"/>
      <c r="C7" s="10"/>
      <c r="D7" s="13">
        <f t="shared" si="1"/>
        <v>0</v>
      </c>
      <c r="F7" s="213"/>
      <c r="G7" s="217"/>
      <c r="H7" s="218"/>
      <c r="I7" s="218"/>
      <c r="J7" s="219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47"/>
      <c r="B8" s="16"/>
      <c r="C8" s="10"/>
      <c r="D8" s="13">
        <f t="shared" si="1"/>
        <v>0</v>
      </c>
      <c r="F8" s="220" t="s">
        <v>21</v>
      </c>
      <c r="G8" s="221"/>
      <c r="H8" s="222"/>
      <c r="I8" s="222"/>
      <c r="J8" s="223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47"/>
      <c r="B9" s="16"/>
      <c r="C9" s="10"/>
      <c r="D9" s="13">
        <f t="shared" si="1"/>
        <v>0</v>
      </c>
      <c r="F9" s="213"/>
      <c r="G9" s="224"/>
      <c r="H9" s="225"/>
      <c r="I9" s="225"/>
      <c r="J9" s="226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47"/>
      <c r="C10" s="10"/>
      <c r="D10" s="13">
        <f t="shared" si="1"/>
        <v>0</v>
      </c>
      <c r="F10" s="212" t="s">
        <v>26</v>
      </c>
      <c r="G10" s="227"/>
      <c r="H10" s="228"/>
      <c r="I10" s="228"/>
      <c r="J10" s="229"/>
      <c r="K10" s="8"/>
      <c r="L10" s="6">
        <f>R36</f>
        <v>972</v>
      </c>
      <c r="P10" s="4"/>
      <c r="Q10" s="4"/>
      <c r="R10" s="5"/>
    </row>
    <row r="11" spans="1:19" ht="15.75" x14ac:dyDescent="0.25">
      <c r="A11" s="147"/>
      <c r="B11" s="17"/>
      <c r="C11" s="10"/>
      <c r="D11" s="13">
        <f t="shared" si="1"/>
        <v>0</v>
      </c>
      <c r="F11" s="213"/>
      <c r="G11" s="224"/>
      <c r="H11" s="225"/>
      <c r="I11" s="225"/>
      <c r="J11" s="226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47"/>
      <c r="B12" s="17"/>
      <c r="C12" s="10"/>
      <c r="D12" s="48">
        <f t="shared" si="1"/>
        <v>0</v>
      </c>
      <c r="F12" s="230" t="s">
        <v>33</v>
      </c>
      <c r="G12" s="231"/>
      <c r="H12" s="231"/>
      <c r="I12" s="231"/>
      <c r="J12" s="232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47"/>
      <c r="B13" s="17"/>
      <c r="C13" s="10"/>
      <c r="D13" s="48">
        <f t="shared" si="1"/>
        <v>0</v>
      </c>
      <c r="F13" s="233" t="s">
        <v>36</v>
      </c>
      <c r="G13" s="197"/>
      <c r="H13" s="188">
        <f>D29</f>
        <v>0</v>
      </c>
      <c r="I13" s="189"/>
      <c r="J13" s="19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47"/>
      <c r="B14" s="14"/>
      <c r="C14" s="10"/>
      <c r="D14" s="31">
        <f t="shared" si="1"/>
        <v>0</v>
      </c>
      <c r="F14" s="191" t="s">
        <v>38</v>
      </c>
      <c r="G14" s="192"/>
      <c r="H14" s="193">
        <f>D54</f>
        <v>0</v>
      </c>
      <c r="I14" s="194"/>
      <c r="J14" s="19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47"/>
      <c r="B15" s="14"/>
      <c r="C15" s="10"/>
      <c r="D15" s="31">
        <f t="shared" si="1"/>
        <v>0</v>
      </c>
      <c r="F15" s="196" t="s">
        <v>39</v>
      </c>
      <c r="G15" s="197"/>
      <c r="H15" s="198">
        <f>H13-H14</f>
        <v>0</v>
      </c>
      <c r="I15" s="199"/>
      <c r="J15" s="200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47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58"/>
      <c r="I16" s="158"/>
      <c r="J16" s="158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7"/>
      <c r="C17" s="10"/>
      <c r="D17" s="48">
        <f t="shared" si="1"/>
        <v>0</v>
      </c>
      <c r="F17" s="56"/>
      <c r="G17" s="66" t="s">
        <v>44</v>
      </c>
      <c r="H17" s="169"/>
      <c r="I17" s="169"/>
      <c r="J17" s="169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7"/>
      <c r="B18" s="19"/>
      <c r="C18" s="10"/>
      <c r="D18" s="48">
        <f t="shared" si="1"/>
        <v>0</v>
      </c>
      <c r="F18" s="56"/>
      <c r="G18" s="66" t="s">
        <v>46</v>
      </c>
      <c r="H18" s="169"/>
      <c r="I18" s="169"/>
      <c r="J18" s="16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7"/>
      <c r="B19" s="14"/>
      <c r="C19" s="10"/>
      <c r="D19" s="48">
        <f t="shared" si="1"/>
        <v>0</v>
      </c>
      <c r="F19" s="56"/>
      <c r="G19" s="68" t="s">
        <v>49</v>
      </c>
      <c r="H19" s="170"/>
      <c r="I19" s="170"/>
      <c r="J19" s="170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7"/>
      <c r="B20" s="46"/>
      <c r="C20" s="10"/>
      <c r="D20" s="13">
        <f t="shared" si="1"/>
        <v>0</v>
      </c>
      <c r="F20" s="57"/>
      <c r="G20" s="70" t="s">
        <v>102</v>
      </c>
      <c r="H20" s="158"/>
      <c r="I20" s="158"/>
      <c r="J20" s="158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7"/>
      <c r="B21" s="14"/>
      <c r="C21" s="10"/>
      <c r="D21" s="48">
        <f t="shared" si="1"/>
        <v>0</v>
      </c>
      <c r="F21" s="69" t="s">
        <v>94</v>
      </c>
      <c r="G21" s="82" t="s">
        <v>93</v>
      </c>
      <c r="H21" s="171" t="s">
        <v>13</v>
      </c>
      <c r="I21" s="172"/>
      <c r="J21" s="173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7"/>
      <c r="B22" s="46"/>
      <c r="C22" s="10"/>
      <c r="D22" s="48">
        <f t="shared" si="1"/>
        <v>0</v>
      </c>
      <c r="F22" s="77"/>
      <c r="G22" s="73"/>
      <c r="H22" s="174"/>
      <c r="I22" s="174"/>
      <c r="J22" s="174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7"/>
      <c r="B23" s="14"/>
      <c r="C23" s="10"/>
      <c r="D23" s="48">
        <f t="shared" si="1"/>
        <v>0</v>
      </c>
      <c r="F23" s="78"/>
      <c r="G23" s="79"/>
      <c r="H23" s="175"/>
      <c r="I23" s="144"/>
      <c r="J23" s="144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7"/>
      <c r="B24" s="14"/>
      <c r="C24" s="10"/>
      <c r="D24" s="48">
        <f t="shared" si="1"/>
        <v>0</v>
      </c>
      <c r="F24" s="38"/>
      <c r="G24" s="37"/>
      <c r="H24" s="175"/>
      <c r="I24" s="144"/>
      <c r="J24" s="144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7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176" t="s">
        <v>13</v>
      </c>
      <c r="I25" s="177"/>
      <c r="J25" s="178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7"/>
      <c r="B26" s="14"/>
      <c r="C26" s="10"/>
      <c r="D26" s="48">
        <f t="shared" si="1"/>
        <v>0</v>
      </c>
      <c r="F26" s="64"/>
      <c r="G26" s="59"/>
      <c r="H26" s="179"/>
      <c r="I26" s="180"/>
      <c r="J26" s="181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7"/>
      <c r="B27" s="14"/>
      <c r="C27" s="10"/>
      <c r="D27" s="44">
        <f t="shared" si="1"/>
        <v>0</v>
      </c>
      <c r="F27" s="25"/>
      <c r="G27" s="80"/>
      <c r="H27" s="182"/>
      <c r="I27" s="183"/>
      <c r="J27" s="184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8"/>
      <c r="B28" s="46"/>
      <c r="C28" s="10"/>
      <c r="D28" s="48">
        <f t="shared" si="1"/>
        <v>0</v>
      </c>
      <c r="F28" s="91"/>
      <c r="G28" s="61"/>
      <c r="H28" s="185"/>
      <c r="I28" s="186"/>
      <c r="J28" s="187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9" t="s">
        <v>36</v>
      </c>
      <c r="B29" s="160"/>
      <c r="C29" s="161"/>
      <c r="D29" s="165">
        <f>SUM(D6:D28)</f>
        <v>0</v>
      </c>
      <c r="F29" s="105" t="s">
        <v>54</v>
      </c>
      <c r="G29" s="167"/>
      <c r="H29" s="127">
        <f>H15-H16-H17-H18-H19-H20-H22-H23-H24+H26+H27</f>
        <v>0</v>
      </c>
      <c r="I29" s="128"/>
      <c r="J29" s="129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08"/>
      <c r="G30" s="168"/>
      <c r="H30" s="130"/>
      <c r="I30" s="131"/>
      <c r="J30" s="132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52" t="s">
        <v>57</v>
      </c>
      <c r="B32" s="153"/>
      <c r="C32" s="153"/>
      <c r="D32" s="154"/>
      <c r="F32" s="155" t="s">
        <v>58</v>
      </c>
      <c r="G32" s="156"/>
      <c r="H32" s="156"/>
      <c r="I32" s="156"/>
      <c r="J32" s="157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2" t="s">
        <v>62</v>
      </c>
      <c r="H33" s="155" t="s">
        <v>13</v>
      </c>
      <c r="I33" s="156"/>
      <c r="J33" s="157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6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149"/>
      <c r="I34" s="150"/>
      <c r="J34" s="151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7"/>
      <c r="B35" s="27" t="s">
        <v>67</v>
      </c>
      <c r="C35" s="52"/>
      <c r="D35" s="30">
        <f>C35*84</f>
        <v>0</v>
      </c>
      <c r="F35" s="58">
        <v>500</v>
      </c>
      <c r="G35" s="41"/>
      <c r="H35" s="149"/>
      <c r="I35" s="150"/>
      <c r="J35" s="15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8"/>
      <c r="B36" s="26" t="s">
        <v>69</v>
      </c>
      <c r="C36" s="10"/>
      <c r="D36" s="12">
        <f>C36*1.5</f>
        <v>0</v>
      </c>
      <c r="F36" s="12">
        <v>200</v>
      </c>
      <c r="G36" s="37"/>
      <c r="H36" s="149"/>
      <c r="I36" s="150"/>
      <c r="J36" s="151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6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49"/>
      <c r="I37" s="150"/>
      <c r="J37" s="151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7"/>
      <c r="B38" s="29" t="s">
        <v>67</v>
      </c>
      <c r="C38" s="54"/>
      <c r="D38" s="12">
        <f>C38*84</f>
        <v>0</v>
      </c>
      <c r="F38" s="30">
        <v>50</v>
      </c>
      <c r="G38" s="39"/>
      <c r="H38" s="149"/>
      <c r="I38" s="150"/>
      <c r="J38" s="151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8"/>
      <c r="B39" s="29" t="s">
        <v>69</v>
      </c>
      <c r="C39" s="52"/>
      <c r="D39" s="31">
        <f>C39*4.5</f>
        <v>0</v>
      </c>
      <c r="F39" s="12">
        <v>20</v>
      </c>
      <c r="G39" s="37"/>
      <c r="H39" s="149"/>
      <c r="I39" s="150"/>
      <c r="J39" s="15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6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49"/>
      <c r="I40" s="150"/>
      <c r="J40" s="151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7"/>
      <c r="B41" s="27" t="s">
        <v>67</v>
      </c>
      <c r="C41" s="10"/>
      <c r="D41" s="12">
        <f>C41*84</f>
        <v>0</v>
      </c>
      <c r="F41" s="12">
        <v>5</v>
      </c>
      <c r="G41" s="42"/>
      <c r="H41" s="149"/>
      <c r="I41" s="150"/>
      <c r="J41" s="151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8"/>
      <c r="B42" s="27" t="s">
        <v>69</v>
      </c>
      <c r="C42" s="11"/>
      <c r="D42" s="12">
        <f>C42*2.25</f>
        <v>0</v>
      </c>
      <c r="F42" s="39" t="s">
        <v>78</v>
      </c>
      <c r="G42" s="149"/>
      <c r="H42" s="150"/>
      <c r="I42" s="150"/>
      <c r="J42" s="151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19" t="s">
        <v>80</v>
      </c>
      <c r="C43" s="11"/>
      <c r="D43" s="12"/>
      <c r="F43" s="59" t="s">
        <v>81</v>
      </c>
      <c r="G43" s="88" t="s">
        <v>82</v>
      </c>
      <c r="H43" s="141" t="s">
        <v>13</v>
      </c>
      <c r="I43" s="142"/>
      <c r="J43" s="143"/>
      <c r="K43" s="21"/>
      <c r="P43" s="4"/>
      <c r="Q43" s="4"/>
      <c r="R43" s="5"/>
    </row>
    <row r="44" spans="1:18" ht="15.75" x14ac:dyDescent="0.25">
      <c r="A44" s="120"/>
      <c r="B44" s="27" t="s">
        <v>65</v>
      </c>
      <c r="C44" s="10"/>
      <c r="D44" s="12">
        <f>C44*120</f>
        <v>0</v>
      </c>
      <c r="F44" s="37"/>
      <c r="G44" s="76"/>
      <c r="H44" s="144"/>
      <c r="I44" s="144"/>
      <c r="J44" s="144"/>
      <c r="K44" s="21"/>
      <c r="P44" s="4"/>
      <c r="Q44" s="4"/>
      <c r="R44" s="5"/>
    </row>
    <row r="45" spans="1:18" ht="15.75" x14ac:dyDescent="0.25">
      <c r="A45" s="120"/>
      <c r="B45" s="27" t="s">
        <v>67</v>
      </c>
      <c r="C45" s="33"/>
      <c r="D45" s="12">
        <f>C45*84</f>
        <v>0</v>
      </c>
      <c r="F45" s="37"/>
      <c r="G45" s="76"/>
      <c r="H45" s="144"/>
      <c r="I45" s="144"/>
      <c r="J45" s="144"/>
      <c r="K45" s="21"/>
      <c r="P45" s="4"/>
      <c r="Q45" s="4"/>
      <c r="R45" s="5"/>
    </row>
    <row r="46" spans="1:18" ht="15.75" x14ac:dyDescent="0.25">
      <c r="A46" s="120"/>
      <c r="B46" s="49" t="s">
        <v>69</v>
      </c>
      <c r="C46" s="81"/>
      <c r="D46" s="12">
        <f>C46*1.5</f>
        <v>0</v>
      </c>
      <c r="F46" s="37"/>
      <c r="G46" s="62"/>
      <c r="H46" s="145"/>
      <c r="I46" s="145"/>
      <c r="J46" s="145"/>
      <c r="K46" s="21"/>
      <c r="P46" s="4"/>
      <c r="Q46" s="4"/>
      <c r="R46" s="5"/>
    </row>
    <row r="47" spans="1:18" ht="15.75" x14ac:dyDescent="0.25">
      <c r="A47" s="121"/>
      <c r="B47" s="27"/>
      <c r="C47" s="11"/>
      <c r="D47" s="12"/>
      <c r="F47" s="59"/>
      <c r="G47" s="59"/>
      <c r="H47" s="122"/>
      <c r="I47" s="123"/>
      <c r="J47" s="124"/>
      <c r="K47" s="21"/>
      <c r="P47" s="4"/>
      <c r="Q47" s="4"/>
      <c r="R47" s="5"/>
    </row>
    <row r="48" spans="1:18" ht="15" customHeight="1" x14ac:dyDescent="0.25">
      <c r="A48" s="119" t="s">
        <v>32</v>
      </c>
      <c r="B48" s="27" t="s">
        <v>65</v>
      </c>
      <c r="C48" s="10"/>
      <c r="D48" s="12">
        <f>C48*78</f>
        <v>0</v>
      </c>
      <c r="F48" s="59"/>
      <c r="G48" s="59"/>
      <c r="H48" s="122"/>
      <c r="I48" s="123"/>
      <c r="J48" s="124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20"/>
      <c r="B49" s="29" t="s">
        <v>67</v>
      </c>
      <c r="C49" s="33"/>
      <c r="D49" s="12">
        <f>C49*42</f>
        <v>0</v>
      </c>
      <c r="F49" s="125" t="s">
        <v>85</v>
      </c>
      <c r="G49" s="127">
        <f>H34+H35+H36+H37+H38+H39+H40+H41+G42+H44+H45+H46</f>
        <v>0</v>
      </c>
      <c r="H49" s="128"/>
      <c r="I49" s="128"/>
      <c r="J49" s="129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0"/>
      <c r="B50" s="32" t="s">
        <v>69</v>
      </c>
      <c r="C50" s="11"/>
      <c r="D50" s="12">
        <f>C50*1.5</f>
        <v>0</v>
      </c>
      <c r="F50" s="126"/>
      <c r="G50" s="130"/>
      <c r="H50" s="131"/>
      <c r="I50" s="131"/>
      <c r="J50" s="132"/>
      <c r="P50" s="4"/>
      <c r="Q50" s="4"/>
      <c r="R50" s="5"/>
    </row>
    <row r="51" spans="1:18" ht="15" customHeight="1" x14ac:dyDescent="0.25">
      <c r="A51" s="120"/>
      <c r="B51" s="27"/>
      <c r="C51" s="10"/>
      <c r="D51" s="31"/>
      <c r="F51" s="133" t="s">
        <v>106</v>
      </c>
      <c r="G51" s="135">
        <f>G49-H29</f>
        <v>0</v>
      </c>
      <c r="H51" s="136"/>
      <c r="I51" s="136"/>
      <c r="J51" s="137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0"/>
      <c r="B52" s="29"/>
      <c r="C52" s="33"/>
      <c r="D52" s="45"/>
      <c r="F52" s="134"/>
      <c r="G52" s="138"/>
      <c r="H52" s="139"/>
      <c r="I52" s="139"/>
      <c r="J52" s="140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1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05" t="s">
        <v>89</v>
      </c>
      <c r="B54" s="106"/>
      <c r="C54" s="107"/>
      <c r="D54" s="111">
        <f>SUM(D34:D53)</f>
        <v>0</v>
      </c>
      <c r="F54" s="21"/>
      <c r="J54" s="34"/>
    </row>
    <row r="55" spans="1:18" x14ac:dyDescent="0.25">
      <c r="A55" s="108"/>
      <c r="B55" s="109"/>
      <c r="C55" s="110"/>
      <c r="D55" s="11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13" t="s">
        <v>90</v>
      </c>
      <c r="B58" s="114"/>
      <c r="C58" s="114"/>
      <c r="D58" s="115"/>
      <c r="F58" s="113" t="s">
        <v>91</v>
      </c>
      <c r="G58" s="114"/>
      <c r="H58" s="114"/>
      <c r="I58" s="114"/>
      <c r="J58" s="115"/>
    </row>
    <row r="59" spans="1:18" x14ac:dyDescent="0.25">
      <c r="A59" s="116"/>
      <c r="B59" s="117"/>
      <c r="C59" s="117"/>
      <c r="D59" s="118"/>
      <c r="F59" s="116"/>
      <c r="G59" s="117"/>
      <c r="H59" s="117"/>
      <c r="I59" s="117"/>
      <c r="J59" s="118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6A41E9-CAA6-4673-9FF6-45CBF7A22C01}">
  <dimension ref="A1:R59"/>
  <sheetViews>
    <sheetView zoomScaleNormal="100" zoomScaleSheetLayoutView="85" workbookViewId="0">
      <selection activeCell="C6" sqref="C6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1" t="s">
        <v>1</v>
      </c>
      <c r="O1" s="201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2" t="s">
        <v>7</v>
      </c>
      <c r="B4" s="153"/>
      <c r="C4" s="153"/>
      <c r="D4" s="154"/>
      <c r="F4" s="202" t="s">
        <v>8</v>
      </c>
      <c r="G4" s="204">
        <v>1</v>
      </c>
      <c r="H4" s="206" t="s">
        <v>9</v>
      </c>
      <c r="I4" s="208">
        <v>46149</v>
      </c>
      <c r="J4" s="209"/>
      <c r="K4" s="21"/>
      <c r="L4" s="95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6" t="s">
        <v>7</v>
      </c>
      <c r="B5" s="15" t="s">
        <v>11</v>
      </c>
      <c r="C5" s="9" t="s">
        <v>12</v>
      </c>
      <c r="D5" s="25" t="s">
        <v>13</v>
      </c>
      <c r="F5" s="203"/>
      <c r="G5" s="205"/>
      <c r="H5" s="207"/>
      <c r="I5" s="210"/>
      <c r="J5" s="21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7"/>
      <c r="B6" s="16" t="s">
        <v>15</v>
      </c>
      <c r="C6" s="10">
        <v>467</v>
      </c>
      <c r="D6" s="13">
        <f t="shared" ref="D6:D28" si="1">C6*L6</f>
        <v>355387</v>
      </c>
      <c r="F6" s="212" t="s">
        <v>16</v>
      </c>
      <c r="G6" s="214" t="s">
        <v>99</v>
      </c>
      <c r="H6" s="215"/>
      <c r="I6" s="215"/>
      <c r="J6" s="21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7"/>
      <c r="B7" s="16" t="s">
        <v>18</v>
      </c>
      <c r="C7" s="10">
        <v>48</v>
      </c>
      <c r="D7" s="13">
        <f t="shared" si="1"/>
        <v>37488</v>
      </c>
      <c r="F7" s="213"/>
      <c r="G7" s="217"/>
      <c r="H7" s="218"/>
      <c r="I7" s="218"/>
      <c r="J7" s="21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7"/>
      <c r="B8" s="16" t="s">
        <v>20</v>
      </c>
      <c r="C8" s="10"/>
      <c r="D8" s="13">
        <f t="shared" si="1"/>
        <v>0</v>
      </c>
      <c r="F8" s="220" t="s">
        <v>21</v>
      </c>
      <c r="G8" s="221" t="s">
        <v>120</v>
      </c>
      <c r="H8" s="222"/>
      <c r="I8" s="222"/>
      <c r="J8" s="22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7"/>
      <c r="B9" s="16" t="s">
        <v>23</v>
      </c>
      <c r="C9" s="10">
        <v>15</v>
      </c>
      <c r="D9" s="13">
        <f t="shared" si="1"/>
        <v>10995</v>
      </c>
      <c r="F9" s="213"/>
      <c r="G9" s="224"/>
      <c r="H9" s="225"/>
      <c r="I9" s="225"/>
      <c r="J9" s="22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7"/>
      <c r="B10" t="s">
        <v>25</v>
      </c>
      <c r="C10" s="10"/>
      <c r="D10" s="13">
        <f t="shared" si="1"/>
        <v>0</v>
      </c>
      <c r="F10" s="212" t="s">
        <v>26</v>
      </c>
      <c r="G10" s="227" t="s">
        <v>108</v>
      </c>
      <c r="H10" s="228"/>
      <c r="I10" s="228"/>
      <c r="J10" s="229"/>
      <c r="K10" s="8"/>
      <c r="L10" s="6">
        <f>R36</f>
        <v>1032</v>
      </c>
      <c r="P10" s="4"/>
      <c r="Q10" s="4"/>
      <c r="R10" s="5"/>
    </row>
    <row r="11" spans="1:18" ht="15.75" x14ac:dyDescent="0.25">
      <c r="A11" s="147"/>
      <c r="B11" s="17" t="s">
        <v>28</v>
      </c>
      <c r="C11" s="10"/>
      <c r="D11" s="13">
        <f t="shared" si="1"/>
        <v>0</v>
      </c>
      <c r="F11" s="213"/>
      <c r="G11" s="224"/>
      <c r="H11" s="225"/>
      <c r="I11" s="225"/>
      <c r="J11" s="22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7"/>
      <c r="B12" s="17" t="s">
        <v>30</v>
      </c>
      <c r="C12" s="10"/>
      <c r="D12" s="48">
        <f t="shared" si="1"/>
        <v>0</v>
      </c>
      <c r="F12" s="230" t="s">
        <v>33</v>
      </c>
      <c r="G12" s="231"/>
      <c r="H12" s="231"/>
      <c r="I12" s="231"/>
      <c r="J12" s="23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7"/>
      <c r="B13" s="17" t="s">
        <v>32</v>
      </c>
      <c r="C13" s="10">
        <v>5</v>
      </c>
      <c r="D13" s="48">
        <f t="shared" si="1"/>
        <v>1535</v>
      </c>
      <c r="F13" s="233" t="s">
        <v>36</v>
      </c>
      <c r="G13" s="197"/>
      <c r="H13" s="188">
        <f>D29</f>
        <v>405449</v>
      </c>
      <c r="I13" s="189"/>
      <c r="J13" s="19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7"/>
      <c r="B14" s="14" t="s">
        <v>35</v>
      </c>
      <c r="C14" s="10">
        <v>4</v>
      </c>
      <c r="D14" s="31">
        <f>C14*L14</f>
        <v>44</v>
      </c>
      <c r="F14" s="191" t="s">
        <v>38</v>
      </c>
      <c r="G14" s="192"/>
      <c r="H14" s="193">
        <f>D54</f>
        <v>70817.25</v>
      </c>
      <c r="I14" s="194"/>
      <c r="J14" s="19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7"/>
      <c r="B15" s="14" t="s">
        <v>122</v>
      </c>
      <c r="C15" s="10"/>
      <c r="D15" s="31">
        <f t="shared" si="1"/>
        <v>0</v>
      </c>
      <c r="F15" s="196" t="s">
        <v>39</v>
      </c>
      <c r="G15" s="197"/>
      <c r="H15" s="198">
        <f>H13-H14</f>
        <v>334631.75</v>
      </c>
      <c r="I15" s="199"/>
      <c r="J15" s="200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7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58">
        <v>2880</v>
      </c>
      <c r="I16" s="158"/>
      <c r="J16" s="158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7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69"/>
      <c r="I17" s="169"/>
      <c r="J17" s="169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7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69"/>
      <c r="I18" s="169"/>
      <c r="J18" s="169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7"/>
      <c r="B19" s="83" t="s">
        <v>105</v>
      </c>
      <c r="C19" s="10"/>
      <c r="D19" s="48">
        <f t="shared" si="1"/>
        <v>0</v>
      </c>
      <c r="F19" s="56"/>
      <c r="G19" s="68" t="s">
        <v>49</v>
      </c>
      <c r="H19" s="158"/>
      <c r="I19" s="158"/>
      <c r="J19" s="158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7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58"/>
      <c r="I20" s="158"/>
      <c r="J20" s="158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7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71" t="s">
        <v>13</v>
      </c>
      <c r="I21" s="172"/>
      <c r="J21" s="173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7"/>
      <c r="B22" s="46" t="s">
        <v>103</v>
      </c>
      <c r="C22" s="10"/>
      <c r="D22" s="48">
        <f t="shared" si="1"/>
        <v>0</v>
      </c>
      <c r="F22" s="77"/>
      <c r="G22" s="73"/>
      <c r="H22" s="174"/>
      <c r="I22" s="174"/>
      <c r="J22" s="174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7"/>
      <c r="B23" s="14" t="s">
        <v>121</v>
      </c>
      <c r="C23" s="10"/>
      <c r="D23" s="48">
        <f t="shared" si="1"/>
        <v>0</v>
      </c>
      <c r="F23" s="77"/>
      <c r="G23" s="79"/>
      <c r="H23" s="242"/>
      <c r="I23" s="243"/>
      <c r="J23" s="243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7"/>
      <c r="B24" s="14" t="s">
        <v>128</v>
      </c>
      <c r="C24" s="10"/>
      <c r="D24" s="48">
        <f t="shared" si="1"/>
        <v>0</v>
      </c>
      <c r="F24" s="77"/>
      <c r="G24" s="79"/>
      <c r="H24" s="242"/>
      <c r="I24" s="243"/>
      <c r="J24" s="243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7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76" t="s">
        <v>13</v>
      </c>
      <c r="I25" s="177"/>
      <c r="J25" s="178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7"/>
      <c r="B26" s="14" t="s">
        <v>129</v>
      </c>
      <c r="C26" s="10"/>
      <c r="D26" s="48">
        <f t="shared" si="1"/>
        <v>0</v>
      </c>
      <c r="F26" s="75"/>
      <c r="G26" s="65"/>
      <c r="H26" s="144"/>
      <c r="I26" s="144"/>
      <c r="J26" s="144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7"/>
      <c r="B27" s="14" t="s">
        <v>130</v>
      </c>
      <c r="C27" s="10"/>
      <c r="D27" s="44">
        <f t="shared" si="1"/>
        <v>0</v>
      </c>
      <c r="F27" s="71"/>
      <c r="G27" s="88"/>
      <c r="H27" s="244"/>
      <c r="I27" s="245"/>
      <c r="J27" s="245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8"/>
      <c r="B28" s="46" t="s">
        <v>92</v>
      </c>
      <c r="C28" s="10"/>
      <c r="D28" s="48">
        <f t="shared" si="1"/>
        <v>0</v>
      </c>
      <c r="F28" s="91"/>
      <c r="G28" s="61"/>
      <c r="H28" s="185"/>
      <c r="I28" s="186"/>
      <c r="J28" s="187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9" t="s">
        <v>36</v>
      </c>
      <c r="B29" s="160"/>
      <c r="C29" s="161"/>
      <c r="D29" s="165">
        <f>SUM(D6:D28)</f>
        <v>405449</v>
      </c>
      <c r="F29" s="105" t="s">
        <v>54</v>
      </c>
      <c r="G29" s="167"/>
      <c r="H29" s="127">
        <f>H15-H16-H17-H18-H19-H20-H22-H23-H24+H26+H27+H28</f>
        <v>331751.75</v>
      </c>
      <c r="I29" s="128"/>
      <c r="J29" s="129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08"/>
      <c r="G30" s="168"/>
      <c r="H30" s="130"/>
      <c r="I30" s="131"/>
      <c r="J30" s="132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2" t="s">
        <v>57</v>
      </c>
      <c r="B32" s="153"/>
      <c r="C32" s="153"/>
      <c r="D32" s="154"/>
      <c r="F32" s="155" t="s">
        <v>58</v>
      </c>
      <c r="G32" s="156"/>
      <c r="H32" s="156"/>
      <c r="I32" s="156"/>
      <c r="J32" s="157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2" t="s">
        <v>62</v>
      </c>
      <c r="H33" s="155" t="s">
        <v>13</v>
      </c>
      <c r="I33" s="156"/>
      <c r="J33" s="157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6" t="s">
        <v>64</v>
      </c>
      <c r="B34" s="26" t="s">
        <v>65</v>
      </c>
      <c r="C34" s="51">
        <v>3</v>
      </c>
      <c r="D34" s="30">
        <f>C34*120</f>
        <v>360</v>
      </c>
      <c r="F34" s="12">
        <v>1000</v>
      </c>
      <c r="G34" s="40">
        <v>11</v>
      </c>
      <c r="H34" s="149">
        <f t="shared" ref="H34:H39" si="2">F34*G34</f>
        <v>11000</v>
      </c>
      <c r="I34" s="150"/>
      <c r="J34" s="151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7"/>
      <c r="B35" s="27" t="s">
        <v>67</v>
      </c>
      <c r="C35" s="52">
        <v>1</v>
      </c>
      <c r="D35" s="30">
        <f>C35*84</f>
        <v>84</v>
      </c>
      <c r="F35" s="58">
        <v>500</v>
      </c>
      <c r="G35" s="41">
        <v>6</v>
      </c>
      <c r="H35" s="149">
        <f t="shared" si="2"/>
        <v>3000</v>
      </c>
      <c r="I35" s="150"/>
      <c r="J35" s="15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8"/>
      <c r="B36" s="26" t="s">
        <v>69</v>
      </c>
      <c r="C36" s="10"/>
      <c r="D36" s="12">
        <f>C36*1.5</f>
        <v>0</v>
      </c>
      <c r="F36" s="12">
        <v>200</v>
      </c>
      <c r="G36" s="37"/>
      <c r="H36" s="149">
        <f t="shared" si="2"/>
        <v>0</v>
      </c>
      <c r="I36" s="150"/>
      <c r="J36" s="151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6" t="s">
        <v>71</v>
      </c>
      <c r="B37" s="28" t="s">
        <v>65</v>
      </c>
      <c r="C37" s="53">
        <v>559</v>
      </c>
      <c r="D37" s="12">
        <f>C37*111</f>
        <v>62049</v>
      </c>
      <c r="F37" s="12">
        <v>100</v>
      </c>
      <c r="G37" s="39">
        <v>7</v>
      </c>
      <c r="H37" s="149">
        <f t="shared" si="2"/>
        <v>700</v>
      </c>
      <c r="I37" s="150"/>
      <c r="J37" s="151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7"/>
      <c r="B38" s="29" t="s">
        <v>67</v>
      </c>
      <c r="C38" s="54">
        <v>20</v>
      </c>
      <c r="D38" s="12">
        <f>C38*84</f>
        <v>1680</v>
      </c>
      <c r="F38" s="30">
        <v>50</v>
      </c>
      <c r="G38" s="39">
        <v>2</v>
      </c>
      <c r="H38" s="149">
        <f t="shared" si="2"/>
        <v>100</v>
      </c>
      <c r="I38" s="150"/>
      <c r="J38" s="151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8"/>
      <c r="B39" s="29" t="s">
        <v>69</v>
      </c>
      <c r="C39" s="52">
        <v>3</v>
      </c>
      <c r="D39" s="31">
        <f>C39*4.5</f>
        <v>13.5</v>
      </c>
      <c r="F39" s="12">
        <v>20</v>
      </c>
      <c r="G39" s="37">
        <v>1</v>
      </c>
      <c r="H39" s="149">
        <f t="shared" si="2"/>
        <v>20</v>
      </c>
      <c r="I39" s="150"/>
      <c r="J39" s="15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6" t="s">
        <v>75</v>
      </c>
      <c r="B40" s="27" t="s">
        <v>65</v>
      </c>
      <c r="C40" s="63">
        <v>18</v>
      </c>
      <c r="D40" s="12">
        <f>C40*111</f>
        <v>1998</v>
      </c>
      <c r="F40" s="12">
        <v>10</v>
      </c>
      <c r="G40" s="42"/>
      <c r="H40" s="149"/>
      <c r="I40" s="150"/>
      <c r="J40" s="151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7"/>
      <c r="B41" s="27" t="s">
        <v>67</v>
      </c>
      <c r="C41" s="10">
        <v>1</v>
      </c>
      <c r="D41" s="12">
        <f>C41*84</f>
        <v>84</v>
      </c>
      <c r="F41" s="12">
        <v>5</v>
      </c>
      <c r="G41" s="42"/>
      <c r="H41" s="149"/>
      <c r="I41" s="150"/>
      <c r="J41" s="151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8"/>
      <c r="B42" s="27" t="s">
        <v>69</v>
      </c>
      <c r="C42" s="11">
        <v>11</v>
      </c>
      <c r="D42" s="12">
        <f>C42*2.25</f>
        <v>24.75</v>
      </c>
      <c r="F42" s="39" t="s">
        <v>78</v>
      </c>
      <c r="G42" s="149">
        <v>103</v>
      </c>
      <c r="H42" s="150"/>
      <c r="I42" s="150"/>
      <c r="J42" s="151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19" t="s">
        <v>80</v>
      </c>
      <c r="C43" s="11"/>
      <c r="D43" s="12"/>
      <c r="F43" s="59" t="s">
        <v>81</v>
      </c>
      <c r="G43" s="88" t="s">
        <v>82</v>
      </c>
      <c r="H43" s="141" t="s">
        <v>13</v>
      </c>
      <c r="I43" s="142"/>
      <c r="J43" s="143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20"/>
      <c r="B44" s="27" t="s">
        <v>65</v>
      </c>
      <c r="C44" s="10">
        <v>9</v>
      </c>
      <c r="D44" s="12">
        <f>C44*120</f>
        <v>1080</v>
      </c>
      <c r="F44" s="37" t="s">
        <v>132</v>
      </c>
      <c r="G44" s="62" t="s">
        <v>158</v>
      </c>
      <c r="H44" s="144">
        <v>306035</v>
      </c>
      <c r="I44" s="144"/>
      <c r="J44" s="144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20"/>
      <c r="B45" s="27" t="s">
        <v>67</v>
      </c>
      <c r="C45" s="33"/>
      <c r="D45" s="12">
        <f>C45*84</f>
        <v>0</v>
      </c>
      <c r="F45" s="37" t="s">
        <v>136</v>
      </c>
      <c r="G45" s="93" t="s">
        <v>141</v>
      </c>
      <c r="H45" s="144">
        <v>10505</v>
      </c>
      <c r="I45" s="144"/>
      <c r="J45" s="144"/>
      <c r="K45" s="21"/>
      <c r="P45" s="4"/>
      <c r="Q45" s="4"/>
      <c r="R45" s="5"/>
    </row>
    <row r="46" spans="1:18" ht="15.75" x14ac:dyDescent="0.25">
      <c r="A46" s="120"/>
      <c r="B46" s="49" t="s">
        <v>69</v>
      </c>
      <c r="C46" s="81"/>
      <c r="D46" s="12">
        <f>C46*1.5</f>
        <v>0</v>
      </c>
      <c r="F46" s="37"/>
      <c r="G46" s="62"/>
      <c r="H46" s="144"/>
      <c r="I46" s="144"/>
      <c r="J46" s="144"/>
      <c r="K46" s="21"/>
      <c r="P46" s="4"/>
      <c r="Q46" s="4"/>
      <c r="R46" s="5"/>
    </row>
    <row r="47" spans="1:18" ht="15.75" x14ac:dyDescent="0.25">
      <c r="A47" s="121"/>
      <c r="B47" s="27"/>
      <c r="C47" s="11"/>
      <c r="D47" s="12"/>
      <c r="F47" s="59"/>
      <c r="G47" s="59"/>
      <c r="H47" s="122"/>
      <c r="I47" s="123"/>
      <c r="J47" s="124"/>
      <c r="K47" s="21"/>
      <c r="P47" s="4"/>
      <c r="Q47" s="4"/>
      <c r="R47" s="5"/>
    </row>
    <row r="48" spans="1:18" ht="15" customHeight="1" x14ac:dyDescent="0.25">
      <c r="A48" s="119" t="s">
        <v>32</v>
      </c>
      <c r="B48" s="27" t="s">
        <v>65</v>
      </c>
      <c r="C48" s="10">
        <v>7</v>
      </c>
      <c r="D48" s="12">
        <f>C48*78</f>
        <v>546</v>
      </c>
      <c r="F48" s="59"/>
      <c r="G48" s="59"/>
      <c r="H48" s="122"/>
      <c r="I48" s="123"/>
      <c r="J48" s="124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20"/>
      <c r="B49" s="29" t="s">
        <v>67</v>
      </c>
      <c r="C49" s="33">
        <v>69</v>
      </c>
      <c r="D49" s="12">
        <f>C49*42</f>
        <v>2898</v>
      </c>
      <c r="F49" s="125" t="s">
        <v>85</v>
      </c>
      <c r="G49" s="127">
        <f>H34+H35+H36+H37+H38+H39+H40+H41+G42+H44+H45+H46</f>
        <v>331463</v>
      </c>
      <c r="H49" s="128"/>
      <c r="I49" s="128"/>
      <c r="J49" s="129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0"/>
      <c r="B50" s="32" t="s">
        <v>69</v>
      </c>
      <c r="C50" s="11"/>
      <c r="D50" s="12">
        <f>C50*1.5</f>
        <v>0</v>
      </c>
      <c r="F50" s="126"/>
      <c r="G50" s="130"/>
      <c r="H50" s="131"/>
      <c r="I50" s="131"/>
      <c r="J50" s="132"/>
      <c r="O50" t="s">
        <v>114</v>
      </c>
      <c r="P50" s="4">
        <v>1204</v>
      </c>
      <c r="Q50" s="4"/>
      <c r="R50" s="5"/>
    </row>
    <row r="51" spans="1:18" ht="15" customHeight="1" x14ac:dyDescent="0.25">
      <c r="A51" s="120"/>
      <c r="B51" s="27"/>
      <c r="C51" s="10"/>
      <c r="D51" s="31"/>
      <c r="F51" s="133" t="s">
        <v>109</v>
      </c>
      <c r="G51" s="246">
        <f>G49-H29</f>
        <v>-288.75</v>
      </c>
      <c r="H51" s="247"/>
      <c r="I51" s="247"/>
      <c r="J51" s="248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20"/>
      <c r="B52" s="29"/>
      <c r="C52" s="33"/>
      <c r="D52" s="45"/>
      <c r="F52" s="134"/>
      <c r="G52" s="249"/>
      <c r="H52" s="250"/>
      <c r="I52" s="250"/>
      <c r="J52" s="251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1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05" t="s">
        <v>89</v>
      </c>
      <c r="B54" s="106"/>
      <c r="C54" s="107"/>
      <c r="D54" s="111">
        <f>SUM(D34:D53)</f>
        <v>70817.25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08"/>
      <c r="B55" s="109"/>
      <c r="C55" s="110"/>
      <c r="D55" s="11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113" t="s">
        <v>90</v>
      </c>
      <c r="B58" s="114"/>
      <c r="C58" s="114"/>
      <c r="D58" s="115"/>
      <c r="F58" s="113" t="s">
        <v>91</v>
      </c>
      <c r="G58" s="114"/>
      <c r="H58" s="114"/>
      <c r="I58" s="114"/>
      <c r="J58" s="115"/>
    </row>
    <row r="59" spans="1:18" x14ac:dyDescent="0.25">
      <c r="A59" s="116"/>
      <c r="B59" s="117"/>
      <c r="C59" s="117"/>
      <c r="D59" s="118"/>
      <c r="F59" s="116"/>
      <c r="G59" s="117"/>
      <c r="H59" s="117"/>
      <c r="I59" s="117"/>
      <c r="J59" s="118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B77E6E-7D36-4F2D-87E7-46F54FFB6B5E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1" t="s">
        <v>1</v>
      </c>
      <c r="O1" s="201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2" t="s">
        <v>7</v>
      </c>
      <c r="B4" s="153"/>
      <c r="C4" s="153"/>
      <c r="D4" s="154"/>
      <c r="F4" s="202" t="s">
        <v>8</v>
      </c>
      <c r="G4" s="204">
        <v>1</v>
      </c>
      <c r="H4" s="206" t="s">
        <v>9</v>
      </c>
      <c r="I4" s="208">
        <v>46149</v>
      </c>
      <c r="J4" s="20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6" t="s">
        <v>7</v>
      </c>
      <c r="B5" s="15" t="s">
        <v>11</v>
      </c>
      <c r="C5" s="9" t="s">
        <v>12</v>
      </c>
      <c r="D5" s="25" t="s">
        <v>13</v>
      </c>
      <c r="F5" s="203"/>
      <c r="G5" s="205"/>
      <c r="H5" s="207"/>
      <c r="I5" s="210"/>
      <c r="J5" s="21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7"/>
      <c r="B6" s="16" t="s">
        <v>15</v>
      </c>
      <c r="C6" s="10"/>
      <c r="D6" s="13">
        <f t="shared" ref="D6:D28" si="1">C6*L6</f>
        <v>0</v>
      </c>
      <c r="F6" s="212" t="s">
        <v>16</v>
      </c>
      <c r="G6" s="214" t="s">
        <v>99</v>
      </c>
      <c r="H6" s="215"/>
      <c r="I6" s="215"/>
      <c r="J6" s="21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7"/>
      <c r="B7" s="16" t="s">
        <v>18</v>
      </c>
      <c r="C7" s="10"/>
      <c r="D7" s="13">
        <f t="shared" si="1"/>
        <v>0</v>
      </c>
      <c r="F7" s="213"/>
      <c r="G7" s="217"/>
      <c r="H7" s="218"/>
      <c r="I7" s="218"/>
      <c r="J7" s="21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7"/>
      <c r="B8" s="16" t="s">
        <v>20</v>
      </c>
      <c r="C8" s="10"/>
      <c r="D8" s="13">
        <f t="shared" si="1"/>
        <v>0</v>
      </c>
      <c r="F8" s="220" t="s">
        <v>21</v>
      </c>
      <c r="G8" s="221" t="s">
        <v>120</v>
      </c>
      <c r="H8" s="222"/>
      <c r="I8" s="222"/>
      <c r="J8" s="22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7"/>
      <c r="B9" s="16" t="s">
        <v>23</v>
      </c>
      <c r="C9" s="10"/>
      <c r="D9" s="13">
        <f t="shared" si="1"/>
        <v>0</v>
      </c>
      <c r="F9" s="213"/>
      <c r="G9" s="224"/>
      <c r="H9" s="225"/>
      <c r="I9" s="225"/>
      <c r="J9" s="22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7"/>
      <c r="B10" t="s">
        <v>25</v>
      </c>
      <c r="C10" s="10"/>
      <c r="D10" s="13">
        <f t="shared" si="1"/>
        <v>0</v>
      </c>
      <c r="F10" s="212" t="s">
        <v>26</v>
      </c>
      <c r="G10" s="227" t="s">
        <v>108</v>
      </c>
      <c r="H10" s="228"/>
      <c r="I10" s="228"/>
      <c r="J10" s="229"/>
      <c r="K10" s="8"/>
      <c r="L10" s="6">
        <f>R36</f>
        <v>1032</v>
      </c>
      <c r="P10" s="4"/>
      <c r="Q10" s="4"/>
      <c r="R10" s="5"/>
    </row>
    <row r="11" spans="1:18" ht="15.75" x14ac:dyDescent="0.25">
      <c r="A11" s="147"/>
      <c r="B11" s="17" t="s">
        <v>28</v>
      </c>
      <c r="C11" s="10"/>
      <c r="D11" s="13">
        <f t="shared" si="1"/>
        <v>0</v>
      </c>
      <c r="F11" s="213"/>
      <c r="G11" s="224"/>
      <c r="H11" s="225"/>
      <c r="I11" s="225"/>
      <c r="J11" s="22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7"/>
      <c r="B12" s="17" t="s">
        <v>30</v>
      </c>
      <c r="C12" s="10"/>
      <c r="D12" s="48">
        <f t="shared" si="1"/>
        <v>0</v>
      </c>
      <c r="F12" s="230" t="s">
        <v>33</v>
      </c>
      <c r="G12" s="231"/>
      <c r="H12" s="231"/>
      <c r="I12" s="231"/>
      <c r="J12" s="23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7"/>
      <c r="B13" s="17" t="s">
        <v>32</v>
      </c>
      <c r="C13" s="10"/>
      <c r="D13" s="48">
        <f t="shared" si="1"/>
        <v>0</v>
      </c>
      <c r="F13" s="233" t="s">
        <v>36</v>
      </c>
      <c r="G13" s="197"/>
      <c r="H13" s="188">
        <f>D29</f>
        <v>0</v>
      </c>
      <c r="I13" s="189"/>
      <c r="J13" s="19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7"/>
      <c r="B14" s="14" t="s">
        <v>35</v>
      </c>
      <c r="C14" s="10"/>
      <c r="D14" s="31">
        <f t="shared" si="1"/>
        <v>0</v>
      </c>
      <c r="F14" s="191" t="s">
        <v>38</v>
      </c>
      <c r="G14" s="192"/>
      <c r="H14" s="193">
        <f>D54</f>
        <v>0</v>
      </c>
      <c r="I14" s="194"/>
      <c r="J14" s="19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7"/>
      <c r="B15" s="14" t="s">
        <v>122</v>
      </c>
      <c r="C15" s="10"/>
      <c r="D15" s="31">
        <f t="shared" si="1"/>
        <v>0</v>
      </c>
      <c r="F15" s="196" t="s">
        <v>39</v>
      </c>
      <c r="G15" s="197"/>
      <c r="H15" s="198">
        <f>H13-H14</f>
        <v>0</v>
      </c>
      <c r="I15" s="199"/>
      <c r="J15" s="200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7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58"/>
      <c r="I16" s="158"/>
      <c r="J16" s="158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7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69"/>
      <c r="I17" s="169"/>
      <c r="J17" s="169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7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69"/>
      <c r="I18" s="169"/>
      <c r="J18" s="169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7"/>
      <c r="B19" s="83" t="s">
        <v>105</v>
      </c>
      <c r="C19" s="10"/>
      <c r="D19" s="48">
        <f t="shared" si="1"/>
        <v>0</v>
      </c>
      <c r="F19" s="56"/>
      <c r="G19" s="68" t="s">
        <v>49</v>
      </c>
      <c r="H19" s="158"/>
      <c r="I19" s="158"/>
      <c r="J19" s="158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7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58"/>
      <c r="I20" s="158"/>
      <c r="J20" s="158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7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71" t="s">
        <v>13</v>
      </c>
      <c r="I21" s="172"/>
      <c r="J21" s="173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7"/>
      <c r="B22" s="46" t="s">
        <v>103</v>
      </c>
      <c r="C22" s="10"/>
      <c r="D22" s="48">
        <f t="shared" si="1"/>
        <v>0</v>
      </c>
      <c r="F22" s="77"/>
      <c r="G22" s="73"/>
      <c r="H22" s="174"/>
      <c r="I22" s="174"/>
      <c r="J22" s="174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7"/>
      <c r="B23" s="14" t="s">
        <v>121</v>
      </c>
      <c r="C23" s="10"/>
      <c r="D23" s="48">
        <f t="shared" si="1"/>
        <v>0</v>
      </c>
      <c r="F23" s="77"/>
      <c r="G23" s="79"/>
      <c r="H23" s="242"/>
      <c r="I23" s="243"/>
      <c r="J23" s="243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7"/>
      <c r="B24" s="14" t="s">
        <v>128</v>
      </c>
      <c r="C24" s="10"/>
      <c r="D24" s="48">
        <f t="shared" si="1"/>
        <v>0</v>
      </c>
      <c r="F24" s="77"/>
      <c r="G24" s="79"/>
      <c r="H24" s="242"/>
      <c r="I24" s="243"/>
      <c r="J24" s="243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7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76" t="s">
        <v>13</v>
      </c>
      <c r="I25" s="177"/>
      <c r="J25" s="178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7"/>
      <c r="B26" s="14" t="s">
        <v>129</v>
      </c>
      <c r="C26" s="10"/>
      <c r="D26" s="48">
        <f t="shared" si="1"/>
        <v>0</v>
      </c>
      <c r="F26" s="75" t="s">
        <v>153</v>
      </c>
      <c r="G26" s="65">
        <v>10503</v>
      </c>
      <c r="H26" s="144">
        <v>70631</v>
      </c>
      <c r="I26" s="144"/>
      <c r="J26" s="144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7"/>
      <c r="B27" s="14" t="s">
        <v>130</v>
      </c>
      <c r="C27" s="10"/>
      <c r="D27" s="44">
        <f t="shared" si="1"/>
        <v>0</v>
      </c>
      <c r="F27" s="71"/>
      <c r="G27" s="88"/>
      <c r="H27" s="244"/>
      <c r="I27" s="245"/>
      <c r="J27" s="245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8"/>
      <c r="B28" s="46" t="s">
        <v>92</v>
      </c>
      <c r="C28" s="10"/>
      <c r="D28" s="48">
        <f t="shared" si="1"/>
        <v>0</v>
      </c>
      <c r="F28" s="91"/>
      <c r="G28" s="61"/>
      <c r="H28" s="185"/>
      <c r="I28" s="186"/>
      <c r="J28" s="187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9" t="s">
        <v>36</v>
      </c>
      <c r="B29" s="160"/>
      <c r="C29" s="161"/>
      <c r="D29" s="165">
        <f>SUM(D6:D28)</f>
        <v>0</v>
      </c>
      <c r="F29" s="105" t="s">
        <v>54</v>
      </c>
      <c r="G29" s="167"/>
      <c r="H29" s="127">
        <f>H15-H16-H17-H18-H19-H20-H22-H23-H24+H26+H27+H28</f>
        <v>70631</v>
      </c>
      <c r="I29" s="128"/>
      <c r="J29" s="129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08"/>
      <c r="G30" s="168"/>
      <c r="H30" s="130"/>
      <c r="I30" s="131"/>
      <c r="J30" s="132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2" t="s">
        <v>57</v>
      </c>
      <c r="B32" s="153"/>
      <c r="C32" s="153"/>
      <c r="D32" s="154"/>
      <c r="F32" s="155" t="s">
        <v>58</v>
      </c>
      <c r="G32" s="156"/>
      <c r="H32" s="156"/>
      <c r="I32" s="156"/>
      <c r="J32" s="157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2" t="s">
        <v>62</v>
      </c>
      <c r="H33" s="155" t="s">
        <v>13</v>
      </c>
      <c r="I33" s="156"/>
      <c r="J33" s="157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6" t="s">
        <v>64</v>
      </c>
      <c r="B34" s="26" t="s">
        <v>65</v>
      </c>
      <c r="C34" s="51"/>
      <c r="D34" s="30">
        <f>C34*120</f>
        <v>0</v>
      </c>
      <c r="F34" s="12">
        <v>1000</v>
      </c>
      <c r="G34" s="40">
        <v>70</v>
      </c>
      <c r="H34" s="149">
        <f t="shared" ref="H34:H39" si="2">F34*G34</f>
        <v>70000</v>
      </c>
      <c r="I34" s="150"/>
      <c r="J34" s="151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7"/>
      <c r="B35" s="27" t="s">
        <v>67</v>
      </c>
      <c r="C35" s="52"/>
      <c r="D35" s="30">
        <f>C35*84</f>
        <v>0</v>
      </c>
      <c r="F35" s="58">
        <v>500</v>
      </c>
      <c r="G35" s="41">
        <v>1</v>
      </c>
      <c r="H35" s="149">
        <f t="shared" si="2"/>
        <v>500</v>
      </c>
      <c r="I35" s="150"/>
      <c r="J35" s="15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8"/>
      <c r="B36" s="26" t="s">
        <v>69</v>
      </c>
      <c r="C36" s="10"/>
      <c r="D36" s="12">
        <f>C36*1.5</f>
        <v>0</v>
      </c>
      <c r="F36" s="12">
        <v>200</v>
      </c>
      <c r="G36" s="37"/>
      <c r="H36" s="149">
        <f t="shared" si="2"/>
        <v>0</v>
      </c>
      <c r="I36" s="150"/>
      <c r="J36" s="151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6" t="s">
        <v>71</v>
      </c>
      <c r="B37" s="28" t="s">
        <v>65</v>
      </c>
      <c r="C37" s="53"/>
      <c r="D37" s="12">
        <f>C37*111</f>
        <v>0</v>
      </c>
      <c r="F37" s="12">
        <v>100</v>
      </c>
      <c r="G37" s="39">
        <v>1</v>
      </c>
      <c r="H37" s="149">
        <f t="shared" si="2"/>
        <v>100</v>
      </c>
      <c r="I37" s="150"/>
      <c r="J37" s="151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7"/>
      <c r="B38" s="29" t="s">
        <v>67</v>
      </c>
      <c r="C38" s="54"/>
      <c r="D38" s="12">
        <f>C38*84</f>
        <v>0</v>
      </c>
      <c r="F38" s="30">
        <v>50</v>
      </c>
      <c r="G38" s="39"/>
      <c r="H38" s="149">
        <f t="shared" si="2"/>
        <v>0</v>
      </c>
      <c r="I38" s="150"/>
      <c r="J38" s="151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8"/>
      <c r="B39" s="29" t="s">
        <v>69</v>
      </c>
      <c r="C39" s="52"/>
      <c r="D39" s="31">
        <f>C39*4.5</f>
        <v>0</v>
      </c>
      <c r="F39" s="12">
        <v>20</v>
      </c>
      <c r="G39" s="37"/>
      <c r="H39" s="149">
        <f t="shared" si="2"/>
        <v>0</v>
      </c>
      <c r="I39" s="150"/>
      <c r="J39" s="15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6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49"/>
      <c r="I40" s="150"/>
      <c r="J40" s="151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7"/>
      <c r="B41" s="27" t="s">
        <v>67</v>
      </c>
      <c r="C41" s="10"/>
      <c r="D41" s="12">
        <f>C41*84</f>
        <v>0</v>
      </c>
      <c r="F41" s="12">
        <v>5</v>
      </c>
      <c r="G41" s="42"/>
      <c r="H41" s="149"/>
      <c r="I41" s="150"/>
      <c r="J41" s="151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8"/>
      <c r="B42" s="27" t="s">
        <v>69</v>
      </c>
      <c r="C42" s="11"/>
      <c r="D42" s="12">
        <f>C42*2.25</f>
        <v>0</v>
      </c>
      <c r="F42" s="39" t="s">
        <v>78</v>
      </c>
      <c r="G42" s="149">
        <v>31</v>
      </c>
      <c r="H42" s="150"/>
      <c r="I42" s="150"/>
      <c r="J42" s="151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19" t="s">
        <v>80</v>
      </c>
      <c r="C43" s="11"/>
      <c r="D43" s="12"/>
      <c r="F43" s="59" t="s">
        <v>81</v>
      </c>
      <c r="G43" s="88" t="s">
        <v>82</v>
      </c>
      <c r="H43" s="141" t="s">
        <v>13</v>
      </c>
      <c r="I43" s="142"/>
      <c r="J43" s="143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20"/>
      <c r="B44" s="27" t="s">
        <v>65</v>
      </c>
      <c r="C44" s="10"/>
      <c r="D44" s="12">
        <f>C44*120</f>
        <v>0</v>
      </c>
      <c r="F44" s="37"/>
      <c r="G44" s="62"/>
      <c r="H44" s="144"/>
      <c r="I44" s="144"/>
      <c r="J44" s="144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20"/>
      <c r="B45" s="27" t="s">
        <v>67</v>
      </c>
      <c r="C45" s="33"/>
      <c r="D45" s="12">
        <f>C45*84</f>
        <v>0</v>
      </c>
      <c r="F45" s="37"/>
      <c r="G45" s="62"/>
      <c r="H45" s="144"/>
      <c r="I45" s="144"/>
      <c r="J45" s="144"/>
      <c r="K45" s="21"/>
      <c r="P45" s="4"/>
      <c r="Q45" s="4"/>
      <c r="R45" s="5"/>
    </row>
    <row r="46" spans="1:18" ht="15.75" x14ac:dyDescent="0.25">
      <c r="A46" s="120"/>
      <c r="B46" s="49" t="s">
        <v>69</v>
      </c>
      <c r="C46" s="81"/>
      <c r="D46" s="12">
        <f>C46*1.5</f>
        <v>0</v>
      </c>
      <c r="F46" s="37"/>
      <c r="G46" s="62"/>
      <c r="H46" s="144"/>
      <c r="I46" s="144"/>
      <c r="J46" s="144"/>
      <c r="K46" s="21"/>
      <c r="P46" s="4"/>
      <c r="Q46" s="4"/>
      <c r="R46" s="5"/>
    </row>
    <row r="47" spans="1:18" ht="15.75" x14ac:dyDescent="0.25">
      <c r="A47" s="121"/>
      <c r="B47" s="27"/>
      <c r="C47" s="11"/>
      <c r="D47" s="12"/>
      <c r="F47" s="59"/>
      <c r="G47" s="59"/>
      <c r="H47" s="122"/>
      <c r="I47" s="123"/>
      <c r="J47" s="124"/>
      <c r="K47" s="21"/>
      <c r="P47" s="4"/>
      <c r="Q47" s="4"/>
      <c r="R47" s="5"/>
    </row>
    <row r="48" spans="1:18" ht="15" customHeight="1" x14ac:dyDescent="0.25">
      <c r="A48" s="119" t="s">
        <v>32</v>
      </c>
      <c r="B48" s="27" t="s">
        <v>65</v>
      </c>
      <c r="C48" s="10"/>
      <c r="D48" s="12">
        <f>C48*78</f>
        <v>0</v>
      </c>
      <c r="F48" s="59"/>
      <c r="G48" s="59"/>
      <c r="H48" s="122"/>
      <c r="I48" s="123"/>
      <c r="J48" s="124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20"/>
      <c r="B49" s="29" t="s">
        <v>67</v>
      </c>
      <c r="C49" s="33"/>
      <c r="D49" s="12">
        <f>C49*42</f>
        <v>0</v>
      </c>
      <c r="F49" s="125" t="s">
        <v>85</v>
      </c>
      <c r="G49" s="127">
        <f>H34+H35+H36+H37+H38+H39+H40+H41+G42+H44+H45+H46</f>
        <v>70631</v>
      </c>
      <c r="H49" s="128"/>
      <c r="I49" s="128"/>
      <c r="J49" s="129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0"/>
      <c r="B50" s="32" t="s">
        <v>69</v>
      </c>
      <c r="C50" s="11"/>
      <c r="D50" s="12">
        <f>C50*1.5</f>
        <v>0</v>
      </c>
      <c r="F50" s="126"/>
      <c r="G50" s="130"/>
      <c r="H50" s="131"/>
      <c r="I50" s="131"/>
      <c r="J50" s="132"/>
      <c r="O50" t="s">
        <v>114</v>
      </c>
      <c r="P50" s="4">
        <v>1204</v>
      </c>
      <c r="Q50" s="4"/>
      <c r="R50" s="5"/>
    </row>
    <row r="51" spans="1:18" ht="15" customHeight="1" x14ac:dyDescent="0.25">
      <c r="A51" s="120"/>
      <c r="B51" s="27"/>
      <c r="C51" s="10"/>
      <c r="D51" s="31"/>
      <c r="F51" s="133" t="s">
        <v>106</v>
      </c>
      <c r="G51" s="135">
        <f>G49-H29</f>
        <v>0</v>
      </c>
      <c r="H51" s="136"/>
      <c r="I51" s="136"/>
      <c r="J51" s="137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20"/>
      <c r="B52" s="29"/>
      <c r="C52" s="33"/>
      <c r="D52" s="45"/>
      <c r="F52" s="134"/>
      <c r="G52" s="138"/>
      <c r="H52" s="139"/>
      <c r="I52" s="139"/>
      <c r="J52" s="140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1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05" t="s">
        <v>89</v>
      </c>
      <c r="B54" s="106"/>
      <c r="C54" s="107"/>
      <c r="D54" s="111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08"/>
      <c r="B55" s="109"/>
      <c r="C55" s="110"/>
      <c r="D55" s="11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113" t="s">
        <v>90</v>
      </c>
      <c r="B58" s="114"/>
      <c r="C58" s="114"/>
      <c r="D58" s="115"/>
      <c r="F58" s="113" t="s">
        <v>91</v>
      </c>
      <c r="G58" s="114"/>
      <c r="H58" s="114"/>
      <c r="I58" s="114"/>
      <c r="J58" s="115"/>
    </row>
    <row r="59" spans="1:18" x14ac:dyDescent="0.25">
      <c r="A59" s="116"/>
      <c r="B59" s="117"/>
      <c r="C59" s="117"/>
      <c r="D59" s="118"/>
      <c r="F59" s="116"/>
      <c r="G59" s="117"/>
      <c r="H59" s="117"/>
      <c r="I59" s="117"/>
      <c r="J59" s="118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F2F2D2-8872-4F39-A6F5-FA10156504AC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1" t="s">
        <v>1</v>
      </c>
      <c r="O1" s="201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2" t="s">
        <v>7</v>
      </c>
      <c r="B4" s="153"/>
      <c r="C4" s="153"/>
      <c r="D4" s="154"/>
      <c r="F4" s="202" t="s">
        <v>8</v>
      </c>
      <c r="G4" s="204">
        <v>2</v>
      </c>
      <c r="H4" s="206" t="s">
        <v>9</v>
      </c>
      <c r="I4" s="208">
        <v>46149</v>
      </c>
      <c r="J4" s="20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6" t="s">
        <v>7</v>
      </c>
      <c r="B5" s="15" t="s">
        <v>11</v>
      </c>
      <c r="C5" s="9" t="s">
        <v>12</v>
      </c>
      <c r="D5" s="25" t="s">
        <v>13</v>
      </c>
      <c r="F5" s="203"/>
      <c r="G5" s="205"/>
      <c r="H5" s="207"/>
      <c r="I5" s="210"/>
      <c r="J5" s="21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7"/>
      <c r="B6" s="16" t="s">
        <v>15</v>
      </c>
      <c r="C6" s="10">
        <v>283</v>
      </c>
      <c r="D6" s="13">
        <f t="shared" ref="D6:D28" si="1">C6*L6</f>
        <v>215363</v>
      </c>
      <c r="F6" s="212" t="s">
        <v>16</v>
      </c>
      <c r="G6" s="214" t="s">
        <v>107</v>
      </c>
      <c r="H6" s="215"/>
      <c r="I6" s="215"/>
      <c r="J6" s="21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7"/>
      <c r="B7" s="16" t="s">
        <v>18</v>
      </c>
      <c r="C7" s="10">
        <v>9</v>
      </c>
      <c r="D7" s="13">
        <f t="shared" si="1"/>
        <v>7029</v>
      </c>
      <c r="F7" s="213"/>
      <c r="G7" s="217"/>
      <c r="H7" s="218"/>
      <c r="I7" s="218"/>
      <c r="J7" s="21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7"/>
      <c r="B8" s="16" t="s">
        <v>20</v>
      </c>
      <c r="C8" s="10"/>
      <c r="D8" s="13">
        <f t="shared" si="1"/>
        <v>0</v>
      </c>
      <c r="F8" s="220" t="s">
        <v>21</v>
      </c>
      <c r="G8" s="221" t="s">
        <v>100</v>
      </c>
      <c r="H8" s="222"/>
      <c r="I8" s="222"/>
      <c r="J8" s="22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7"/>
      <c r="B9" s="16" t="s">
        <v>23</v>
      </c>
      <c r="C9" s="10">
        <v>23</v>
      </c>
      <c r="D9" s="13">
        <f t="shared" si="1"/>
        <v>16859</v>
      </c>
      <c r="F9" s="213"/>
      <c r="G9" s="224"/>
      <c r="H9" s="225"/>
      <c r="I9" s="225"/>
      <c r="J9" s="22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7"/>
      <c r="B10" t="s">
        <v>25</v>
      </c>
      <c r="C10" s="10"/>
      <c r="D10" s="13">
        <f t="shared" si="1"/>
        <v>0</v>
      </c>
      <c r="F10" s="212" t="s">
        <v>26</v>
      </c>
      <c r="G10" s="227" t="s">
        <v>101</v>
      </c>
      <c r="H10" s="228"/>
      <c r="I10" s="228"/>
      <c r="J10" s="229"/>
      <c r="K10" s="8"/>
      <c r="L10" s="6">
        <f>R36</f>
        <v>1032</v>
      </c>
      <c r="P10" s="4"/>
      <c r="Q10" s="4"/>
      <c r="R10" s="5"/>
    </row>
    <row r="11" spans="1:18" ht="15.75" x14ac:dyDescent="0.25">
      <c r="A11" s="147"/>
      <c r="B11" s="17" t="s">
        <v>28</v>
      </c>
      <c r="C11" s="10"/>
      <c r="D11" s="13">
        <f t="shared" si="1"/>
        <v>0</v>
      </c>
      <c r="F11" s="213"/>
      <c r="G11" s="224"/>
      <c r="H11" s="225"/>
      <c r="I11" s="225"/>
      <c r="J11" s="22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7"/>
      <c r="B12" s="17" t="s">
        <v>30</v>
      </c>
      <c r="C12" s="10"/>
      <c r="D12" s="48">
        <f t="shared" si="1"/>
        <v>0</v>
      </c>
      <c r="F12" s="230" t="s">
        <v>33</v>
      </c>
      <c r="G12" s="231"/>
      <c r="H12" s="231"/>
      <c r="I12" s="231"/>
      <c r="J12" s="23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7"/>
      <c r="B13" s="17" t="s">
        <v>32</v>
      </c>
      <c r="C13" s="10">
        <v>10</v>
      </c>
      <c r="D13" s="48">
        <f t="shared" si="1"/>
        <v>3070</v>
      </c>
      <c r="F13" s="233" t="s">
        <v>36</v>
      </c>
      <c r="G13" s="197"/>
      <c r="H13" s="188">
        <f>D29</f>
        <v>242941</v>
      </c>
      <c r="I13" s="189"/>
      <c r="J13" s="19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7"/>
      <c r="B14" s="14" t="s">
        <v>35</v>
      </c>
      <c r="C14" s="10"/>
      <c r="D14" s="31">
        <f t="shared" si="1"/>
        <v>0</v>
      </c>
      <c r="F14" s="191" t="s">
        <v>38</v>
      </c>
      <c r="G14" s="192"/>
      <c r="H14" s="193">
        <f>D54</f>
        <v>33151.5</v>
      </c>
      <c r="I14" s="194"/>
      <c r="J14" s="19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7"/>
      <c r="B15" s="14" t="s">
        <v>122</v>
      </c>
      <c r="C15" s="10">
        <v>1</v>
      </c>
      <c r="D15" s="31">
        <f t="shared" si="1"/>
        <v>620</v>
      </c>
      <c r="F15" s="196" t="s">
        <v>39</v>
      </c>
      <c r="G15" s="197"/>
      <c r="H15" s="198">
        <f>H13-H14</f>
        <v>209789.5</v>
      </c>
      <c r="I15" s="199"/>
      <c r="J15" s="200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7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58"/>
      <c r="I16" s="158"/>
      <c r="J16" s="158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7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69"/>
      <c r="I17" s="169"/>
      <c r="J17" s="169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7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69"/>
      <c r="I18" s="169"/>
      <c r="J18" s="169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7"/>
      <c r="B19" s="87" t="s">
        <v>105</v>
      </c>
      <c r="C19" s="10"/>
      <c r="D19" s="48">
        <f t="shared" si="1"/>
        <v>0</v>
      </c>
      <c r="F19" s="56"/>
      <c r="G19" s="68" t="s">
        <v>49</v>
      </c>
      <c r="H19" s="252"/>
      <c r="I19" s="252"/>
      <c r="J19" s="252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7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69"/>
      <c r="I20" s="169"/>
      <c r="J20" s="169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7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71" t="s">
        <v>13</v>
      </c>
      <c r="I21" s="172"/>
      <c r="J21" s="173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7"/>
      <c r="B22" s="46" t="s">
        <v>103</v>
      </c>
      <c r="C22" s="10"/>
      <c r="D22" s="48">
        <f t="shared" si="1"/>
        <v>0</v>
      </c>
      <c r="F22" s="72"/>
      <c r="G22" s="73"/>
      <c r="H22" s="174"/>
      <c r="I22" s="174"/>
      <c r="J22" s="174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7"/>
      <c r="B23" s="14" t="s">
        <v>121</v>
      </c>
      <c r="C23" s="10"/>
      <c r="D23" s="48">
        <f t="shared" si="1"/>
        <v>0</v>
      </c>
      <c r="F23" s="25"/>
      <c r="G23" s="37"/>
      <c r="H23" s="175"/>
      <c r="I23" s="144"/>
      <c r="J23" s="144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7"/>
      <c r="B24" s="14" t="s">
        <v>128</v>
      </c>
      <c r="C24" s="10"/>
      <c r="D24" s="48">
        <f t="shared" si="1"/>
        <v>0</v>
      </c>
      <c r="F24" s="38"/>
      <c r="G24" s="37"/>
      <c r="H24" s="175"/>
      <c r="I24" s="144"/>
      <c r="J24" s="144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7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76" t="s">
        <v>13</v>
      </c>
      <c r="I25" s="177"/>
      <c r="J25" s="178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7"/>
      <c r="B26" s="14" t="s">
        <v>129</v>
      </c>
      <c r="C26" s="10"/>
      <c r="D26" s="48">
        <f t="shared" si="1"/>
        <v>0</v>
      </c>
      <c r="F26" s="64"/>
      <c r="G26" s="10"/>
      <c r="H26" s="179"/>
      <c r="I26" s="180"/>
      <c r="J26" s="181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7"/>
      <c r="B27" s="14" t="s">
        <v>130</v>
      </c>
      <c r="C27" s="10"/>
      <c r="D27" s="44">
        <f t="shared" si="1"/>
        <v>0</v>
      </c>
      <c r="F27" s="14"/>
      <c r="G27" s="14"/>
      <c r="H27" s="182"/>
      <c r="I27" s="183"/>
      <c r="J27" s="184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8"/>
      <c r="B28" s="46" t="s">
        <v>92</v>
      </c>
      <c r="C28" s="10"/>
      <c r="D28" s="48">
        <f t="shared" si="1"/>
        <v>0</v>
      </c>
      <c r="F28" s="91"/>
      <c r="G28" s="61"/>
      <c r="H28" s="185"/>
      <c r="I28" s="186"/>
      <c r="J28" s="187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9" t="s">
        <v>36</v>
      </c>
      <c r="B29" s="160"/>
      <c r="C29" s="161"/>
      <c r="D29" s="165">
        <f>SUM(D6:D28)</f>
        <v>242941</v>
      </c>
      <c r="F29" s="105" t="s">
        <v>54</v>
      </c>
      <c r="G29" s="167"/>
      <c r="H29" s="127">
        <f>H15-H16-H17-H18-H19-H20-H22-H23-H24+H26+H27</f>
        <v>209789.5</v>
      </c>
      <c r="I29" s="128"/>
      <c r="J29" s="129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08"/>
      <c r="G30" s="168"/>
      <c r="H30" s="130"/>
      <c r="I30" s="131"/>
      <c r="J30" s="132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2" t="s">
        <v>57</v>
      </c>
      <c r="B32" s="153"/>
      <c r="C32" s="153"/>
      <c r="D32" s="154"/>
      <c r="F32" s="155" t="s">
        <v>58</v>
      </c>
      <c r="G32" s="156"/>
      <c r="H32" s="156"/>
      <c r="I32" s="156"/>
      <c r="J32" s="157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2" t="s">
        <v>62</v>
      </c>
      <c r="H33" s="155" t="s">
        <v>13</v>
      </c>
      <c r="I33" s="156"/>
      <c r="J33" s="157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6" t="s">
        <v>64</v>
      </c>
      <c r="B34" s="26" t="s">
        <v>65</v>
      </c>
      <c r="C34" s="51"/>
      <c r="D34" s="30">
        <f>C34*120</f>
        <v>0</v>
      </c>
      <c r="F34" s="12">
        <v>1000</v>
      </c>
      <c r="G34" s="74">
        <v>179</v>
      </c>
      <c r="H34" s="149">
        <f>F34*G34</f>
        <v>179000</v>
      </c>
      <c r="I34" s="150"/>
      <c r="J34" s="151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7"/>
      <c r="B35" s="27" t="s">
        <v>67</v>
      </c>
      <c r="C35" s="52"/>
      <c r="D35" s="30">
        <f>C35*84</f>
        <v>0</v>
      </c>
      <c r="F35" s="58">
        <v>500</v>
      </c>
      <c r="G35" s="41">
        <v>44</v>
      </c>
      <c r="H35" s="149">
        <f t="shared" ref="H35:H39" si="2">F35*G35</f>
        <v>22000</v>
      </c>
      <c r="I35" s="150"/>
      <c r="J35" s="15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8"/>
      <c r="B36" s="26" t="s">
        <v>69</v>
      </c>
      <c r="C36" s="10"/>
      <c r="D36" s="12">
        <f>C36*1.5</f>
        <v>0</v>
      </c>
      <c r="F36" s="12">
        <v>200</v>
      </c>
      <c r="G36" s="37"/>
      <c r="H36" s="149">
        <f>F36*G36</f>
        <v>0</v>
      </c>
      <c r="I36" s="150"/>
      <c r="J36" s="151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6" t="s">
        <v>71</v>
      </c>
      <c r="B37" s="28" t="s">
        <v>65</v>
      </c>
      <c r="C37" s="53">
        <v>287</v>
      </c>
      <c r="D37" s="12">
        <f>C37*111</f>
        <v>31857</v>
      </c>
      <c r="F37" s="12">
        <v>100</v>
      </c>
      <c r="G37" s="39">
        <v>45</v>
      </c>
      <c r="H37" s="149">
        <f t="shared" si="2"/>
        <v>4500</v>
      </c>
      <c r="I37" s="150"/>
      <c r="J37" s="151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7"/>
      <c r="B38" s="29" t="s">
        <v>67</v>
      </c>
      <c r="C38" s="54">
        <v>15</v>
      </c>
      <c r="D38" s="12">
        <f>C38*84</f>
        <v>1260</v>
      </c>
      <c r="F38" s="30">
        <v>50</v>
      </c>
      <c r="G38" s="39"/>
      <c r="H38" s="149">
        <f t="shared" si="2"/>
        <v>0</v>
      </c>
      <c r="I38" s="150"/>
      <c r="J38" s="151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8"/>
      <c r="B39" s="29" t="s">
        <v>69</v>
      </c>
      <c r="C39" s="52">
        <v>2</v>
      </c>
      <c r="D39" s="31">
        <f>C39*4.5</f>
        <v>9</v>
      </c>
      <c r="F39" s="12">
        <v>20</v>
      </c>
      <c r="G39" s="37"/>
      <c r="H39" s="149">
        <f t="shared" si="2"/>
        <v>0</v>
      </c>
      <c r="I39" s="150"/>
      <c r="J39" s="15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6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49"/>
      <c r="I40" s="150"/>
      <c r="J40" s="151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7"/>
      <c r="B41" s="27" t="s">
        <v>67</v>
      </c>
      <c r="C41" s="10"/>
      <c r="D41" s="12">
        <f>C41*84</f>
        <v>0</v>
      </c>
      <c r="F41" s="12">
        <v>5</v>
      </c>
      <c r="G41" s="42"/>
      <c r="H41" s="149"/>
      <c r="I41" s="150"/>
      <c r="J41" s="151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8"/>
      <c r="B42" s="27" t="s">
        <v>69</v>
      </c>
      <c r="C42" s="11">
        <v>6</v>
      </c>
      <c r="D42" s="12">
        <f>C42*2.25</f>
        <v>13.5</v>
      </c>
      <c r="F42" s="39" t="s">
        <v>78</v>
      </c>
      <c r="G42" s="149">
        <v>295</v>
      </c>
      <c r="H42" s="150"/>
      <c r="I42" s="150"/>
      <c r="J42" s="151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19" t="s">
        <v>80</v>
      </c>
      <c r="C43" s="11"/>
      <c r="D43" s="12"/>
      <c r="F43" s="59" t="s">
        <v>81</v>
      </c>
      <c r="G43" s="88" t="s">
        <v>82</v>
      </c>
      <c r="H43" s="141" t="s">
        <v>13</v>
      </c>
      <c r="I43" s="142"/>
      <c r="J43" s="143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20"/>
      <c r="B44" s="27" t="s">
        <v>65</v>
      </c>
      <c r="C44" s="10"/>
      <c r="D44" s="12">
        <f>C44*120</f>
        <v>0</v>
      </c>
      <c r="F44" s="37"/>
      <c r="G44" s="62"/>
      <c r="H44" s="144"/>
      <c r="I44" s="144"/>
      <c r="J44" s="144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20"/>
      <c r="B45" s="27" t="s">
        <v>67</v>
      </c>
      <c r="C45" s="33"/>
      <c r="D45" s="12">
        <f>C45*84</f>
        <v>0</v>
      </c>
      <c r="F45" s="37"/>
      <c r="G45" s="62"/>
      <c r="H45" s="144"/>
      <c r="I45" s="144"/>
      <c r="J45" s="144"/>
      <c r="K45" s="21"/>
      <c r="P45" s="4"/>
      <c r="Q45" s="4"/>
      <c r="R45" s="5"/>
    </row>
    <row r="46" spans="1:18" ht="15.75" x14ac:dyDescent="0.25">
      <c r="A46" s="120"/>
      <c r="B46" s="49" t="s">
        <v>69</v>
      </c>
      <c r="C46" s="81"/>
      <c r="D46" s="12">
        <f>C46*1.5</f>
        <v>0</v>
      </c>
      <c r="F46" s="37"/>
      <c r="G46" s="89"/>
      <c r="H46" s="145"/>
      <c r="I46" s="145"/>
      <c r="J46" s="145"/>
      <c r="K46" s="21"/>
      <c r="P46" s="4"/>
      <c r="Q46" s="4"/>
      <c r="R46" s="5"/>
    </row>
    <row r="47" spans="1:18" ht="15.75" x14ac:dyDescent="0.25">
      <c r="A47" s="121"/>
      <c r="B47" s="27"/>
      <c r="C47" s="11"/>
      <c r="D47" s="12"/>
      <c r="F47" s="59"/>
      <c r="G47" s="59"/>
      <c r="H47" s="122"/>
      <c r="I47" s="123"/>
      <c r="J47" s="124"/>
      <c r="K47" s="21"/>
      <c r="P47" s="4"/>
      <c r="Q47" s="4"/>
      <c r="R47" s="5"/>
    </row>
    <row r="48" spans="1:18" ht="15" customHeight="1" x14ac:dyDescent="0.25">
      <c r="A48" s="119" t="s">
        <v>32</v>
      </c>
      <c r="B48" s="27" t="s">
        <v>65</v>
      </c>
      <c r="C48" s="10"/>
      <c r="D48" s="12">
        <f>C48*78</f>
        <v>0</v>
      </c>
      <c r="F48" s="59"/>
      <c r="G48" s="59"/>
      <c r="H48" s="122"/>
      <c r="I48" s="123"/>
      <c r="J48" s="124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20"/>
      <c r="B49" s="29" t="s">
        <v>67</v>
      </c>
      <c r="C49" s="33"/>
      <c r="D49" s="12">
        <f>C49*42</f>
        <v>0</v>
      </c>
      <c r="F49" s="125" t="s">
        <v>85</v>
      </c>
      <c r="G49" s="127">
        <f>H34+H35+H36+H37+H38+H39+H40+H41+G42+H44+H45+H46</f>
        <v>205795</v>
      </c>
      <c r="H49" s="128"/>
      <c r="I49" s="128"/>
      <c r="J49" s="129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0"/>
      <c r="B50" s="32" t="s">
        <v>69</v>
      </c>
      <c r="C50" s="11">
        <v>8</v>
      </c>
      <c r="D50" s="12">
        <f>C50*1.5</f>
        <v>12</v>
      </c>
      <c r="F50" s="126"/>
      <c r="G50" s="130"/>
      <c r="H50" s="131"/>
      <c r="I50" s="131"/>
      <c r="J50" s="132"/>
      <c r="O50" t="s">
        <v>114</v>
      </c>
      <c r="P50" s="4">
        <v>1204</v>
      </c>
      <c r="Q50" s="4"/>
      <c r="R50" s="5"/>
    </row>
    <row r="51" spans="1:18" ht="15" customHeight="1" x14ac:dyDescent="0.25">
      <c r="A51" s="120"/>
      <c r="B51" s="27"/>
      <c r="C51" s="10"/>
      <c r="D51" s="31"/>
      <c r="F51" s="133" t="s">
        <v>131</v>
      </c>
      <c r="G51" s="246">
        <f>G49-H29</f>
        <v>-3994.5</v>
      </c>
      <c r="H51" s="247"/>
      <c r="I51" s="247"/>
      <c r="J51" s="248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20"/>
      <c r="B52" s="29"/>
      <c r="C52" s="33"/>
      <c r="D52" s="45"/>
      <c r="F52" s="134"/>
      <c r="G52" s="249"/>
      <c r="H52" s="250"/>
      <c r="I52" s="250"/>
      <c r="J52" s="251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1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05" t="s">
        <v>89</v>
      </c>
      <c r="B54" s="106"/>
      <c r="C54" s="107"/>
      <c r="D54" s="111">
        <f>SUM(D34:D53)</f>
        <v>33151.5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08"/>
      <c r="B55" s="109"/>
      <c r="C55" s="110"/>
      <c r="D55" s="11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119</v>
      </c>
      <c r="D57" s="34"/>
      <c r="F57" s="36"/>
      <c r="G57" s="50"/>
      <c r="H57" s="50"/>
      <c r="I57" s="50"/>
      <c r="J57" s="43"/>
    </row>
    <row r="58" spans="1:18" x14ac:dyDescent="0.25">
      <c r="A58" s="113" t="s">
        <v>90</v>
      </c>
      <c r="B58" s="114"/>
      <c r="C58" s="114"/>
      <c r="D58" s="115"/>
      <c r="F58" s="113" t="s">
        <v>91</v>
      </c>
      <c r="G58" s="114"/>
      <c r="H58" s="114"/>
      <c r="I58" s="114"/>
      <c r="J58" s="115"/>
    </row>
    <row r="59" spans="1:18" x14ac:dyDescent="0.25">
      <c r="A59" s="116"/>
      <c r="B59" s="117"/>
      <c r="C59" s="117"/>
      <c r="D59" s="118"/>
      <c r="F59" s="116"/>
      <c r="G59" s="117"/>
      <c r="H59" s="117"/>
      <c r="I59" s="117"/>
      <c r="J59" s="118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2FFC63-D1FB-444D-98D1-88FF8F70F8A5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1" t="s">
        <v>1</v>
      </c>
      <c r="O1" s="201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2" t="s">
        <v>7</v>
      </c>
      <c r="B4" s="153"/>
      <c r="C4" s="153"/>
      <c r="D4" s="154"/>
      <c r="F4" s="202" t="s">
        <v>8</v>
      </c>
      <c r="G4" s="204">
        <v>3</v>
      </c>
      <c r="H4" s="206" t="s">
        <v>9</v>
      </c>
      <c r="I4" s="208">
        <v>46149</v>
      </c>
      <c r="J4" s="20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6" t="s">
        <v>7</v>
      </c>
      <c r="B5" s="15" t="s">
        <v>11</v>
      </c>
      <c r="C5" s="9" t="s">
        <v>12</v>
      </c>
      <c r="D5" s="25" t="s">
        <v>13</v>
      </c>
      <c r="F5" s="203"/>
      <c r="G5" s="205"/>
      <c r="H5" s="207"/>
      <c r="I5" s="210"/>
      <c r="J5" s="21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7"/>
      <c r="B6" s="16" t="s">
        <v>15</v>
      </c>
      <c r="C6" s="10">
        <v>399</v>
      </c>
      <c r="D6" s="13">
        <f t="shared" ref="D6:D28" si="1">C6*L6</f>
        <v>303639</v>
      </c>
      <c r="F6" s="212" t="s">
        <v>16</v>
      </c>
      <c r="G6" s="214" t="s">
        <v>117</v>
      </c>
      <c r="H6" s="215"/>
      <c r="I6" s="215"/>
      <c r="J6" s="21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7"/>
      <c r="B7" s="16" t="s">
        <v>18</v>
      </c>
      <c r="C7" s="10">
        <v>42</v>
      </c>
      <c r="D7" s="13">
        <f t="shared" si="1"/>
        <v>32802</v>
      </c>
      <c r="F7" s="213"/>
      <c r="G7" s="217"/>
      <c r="H7" s="218"/>
      <c r="I7" s="218"/>
      <c r="J7" s="21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7"/>
      <c r="B8" s="16" t="s">
        <v>20</v>
      </c>
      <c r="C8" s="10"/>
      <c r="D8" s="13">
        <f t="shared" si="1"/>
        <v>0</v>
      </c>
      <c r="F8" s="220" t="s">
        <v>21</v>
      </c>
      <c r="G8" s="221" t="s">
        <v>110</v>
      </c>
      <c r="H8" s="222"/>
      <c r="I8" s="222"/>
      <c r="J8" s="22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7"/>
      <c r="B9" s="16" t="s">
        <v>23</v>
      </c>
      <c r="C9" s="10">
        <v>10</v>
      </c>
      <c r="D9" s="13">
        <f t="shared" si="1"/>
        <v>7330</v>
      </c>
      <c r="F9" s="213"/>
      <c r="G9" s="224"/>
      <c r="H9" s="225"/>
      <c r="I9" s="225"/>
      <c r="J9" s="22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7"/>
      <c r="B10" t="s">
        <v>25</v>
      </c>
      <c r="C10" s="10">
        <v>1</v>
      </c>
      <c r="D10" s="13">
        <f t="shared" si="1"/>
        <v>1032</v>
      </c>
      <c r="F10" s="212" t="s">
        <v>26</v>
      </c>
      <c r="G10" s="227" t="s">
        <v>124</v>
      </c>
      <c r="H10" s="228"/>
      <c r="I10" s="228"/>
      <c r="J10" s="229"/>
      <c r="K10" s="8"/>
      <c r="L10" s="6">
        <f>R36</f>
        <v>1032</v>
      </c>
      <c r="P10" s="4"/>
      <c r="Q10" s="4"/>
      <c r="R10" s="5"/>
    </row>
    <row r="11" spans="1:18" ht="15.75" x14ac:dyDescent="0.25">
      <c r="A11" s="147"/>
      <c r="B11" s="17" t="s">
        <v>28</v>
      </c>
      <c r="C11" s="10"/>
      <c r="D11" s="13">
        <f t="shared" si="1"/>
        <v>0</v>
      </c>
      <c r="F11" s="213"/>
      <c r="G11" s="224"/>
      <c r="H11" s="225"/>
      <c r="I11" s="225"/>
      <c r="J11" s="22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7"/>
      <c r="B12" s="17" t="s">
        <v>30</v>
      </c>
      <c r="C12" s="10"/>
      <c r="D12" s="48">
        <f t="shared" si="1"/>
        <v>0</v>
      </c>
      <c r="F12" s="230" t="s">
        <v>33</v>
      </c>
      <c r="G12" s="231"/>
      <c r="H12" s="231"/>
      <c r="I12" s="231"/>
      <c r="J12" s="23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7"/>
      <c r="B13" s="17" t="s">
        <v>32</v>
      </c>
      <c r="C13" s="10">
        <v>17</v>
      </c>
      <c r="D13" s="48">
        <f t="shared" si="1"/>
        <v>5219</v>
      </c>
      <c r="F13" s="233" t="s">
        <v>36</v>
      </c>
      <c r="G13" s="197"/>
      <c r="H13" s="188">
        <f>D29</f>
        <v>355053</v>
      </c>
      <c r="I13" s="189"/>
      <c r="J13" s="19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7"/>
      <c r="B14" s="14" t="s">
        <v>35</v>
      </c>
      <c r="C14" s="10">
        <v>19</v>
      </c>
      <c r="D14" s="31">
        <f t="shared" si="1"/>
        <v>209</v>
      </c>
      <c r="F14" s="191" t="s">
        <v>38</v>
      </c>
      <c r="G14" s="192"/>
      <c r="H14" s="193">
        <f>D54</f>
        <v>51516.75</v>
      </c>
      <c r="I14" s="194"/>
      <c r="J14" s="19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7"/>
      <c r="B15" s="14" t="s">
        <v>122</v>
      </c>
      <c r="C15" s="10">
        <f>3+3</f>
        <v>6</v>
      </c>
      <c r="D15" s="31">
        <f t="shared" si="1"/>
        <v>3720</v>
      </c>
      <c r="F15" s="196" t="s">
        <v>39</v>
      </c>
      <c r="G15" s="197"/>
      <c r="H15" s="198">
        <f>H13-H14</f>
        <v>303536.25</v>
      </c>
      <c r="I15" s="199"/>
      <c r="J15" s="200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7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58">
        <f>1044+648+336</f>
        <v>2028</v>
      </c>
      <c r="I16" s="158"/>
      <c r="J16" s="158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7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69"/>
      <c r="I17" s="169"/>
      <c r="J17" s="169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7"/>
      <c r="B18" s="86" t="s">
        <v>125</v>
      </c>
      <c r="C18" s="10">
        <f>1</f>
        <v>1</v>
      </c>
      <c r="D18" s="48">
        <f t="shared" si="1"/>
        <v>1102</v>
      </c>
      <c r="F18" s="56"/>
      <c r="G18" s="66" t="s">
        <v>46</v>
      </c>
      <c r="H18" s="169"/>
      <c r="I18" s="169"/>
      <c r="J18" s="169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7"/>
      <c r="B19" s="87" t="s">
        <v>105</v>
      </c>
      <c r="C19" s="10"/>
      <c r="D19" s="48">
        <f t="shared" si="1"/>
        <v>0</v>
      </c>
      <c r="F19" s="56"/>
      <c r="G19" s="68" t="s">
        <v>49</v>
      </c>
      <c r="H19" s="253"/>
      <c r="I19" s="253"/>
      <c r="J19" s="253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7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58"/>
      <c r="I20" s="158"/>
      <c r="J20" s="158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7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71" t="s">
        <v>13</v>
      </c>
      <c r="I21" s="172"/>
      <c r="J21" s="173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7"/>
      <c r="B22" s="46" t="s">
        <v>103</v>
      </c>
      <c r="C22" s="10"/>
      <c r="D22" s="48">
        <f t="shared" si="1"/>
        <v>0</v>
      </c>
      <c r="F22" s="77"/>
      <c r="G22" s="73"/>
      <c r="H22" s="174"/>
      <c r="I22" s="174"/>
      <c r="J22" s="174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7"/>
      <c r="B23" s="14" t="s">
        <v>121</v>
      </c>
      <c r="C23" s="10"/>
      <c r="D23" s="48">
        <f t="shared" si="1"/>
        <v>0</v>
      </c>
      <c r="F23" s="78"/>
      <c r="G23" s="79"/>
      <c r="H23" s="175"/>
      <c r="I23" s="144"/>
      <c r="J23" s="144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7"/>
      <c r="B24" s="14" t="s">
        <v>128</v>
      </c>
      <c r="C24" s="10"/>
      <c r="D24" s="48">
        <f t="shared" si="1"/>
        <v>0</v>
      </c>
      <c r="F24" s="38"/>
      <c r="G24" s="37"/>
      <c r="H24" s="175"/>
      <c r="I24" s="144"/>
      <c r="J24" s="144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7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76" t="s">
        <v>13</v>
      </c>
      <c r="I25" s="177"/>
      <c r="J25" s="178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7"/>
      <c r="B26" s="14" t="s">
        <v>129</v>
      </c>
      <c r="C26" s="10"/>
      <c r="D26" s="48">
        <f t="shared" si="1"/>
        <v>0</v>
      </c>
      <c r="F26" s="64"/>
      <c r="G26" s="59"/>
      <c r="H26" s="179"/>
      <c r="I26" s="180"/>
      <c r="J26" s="181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7"/>
      <c r="B27" s="14" t="s">
        <v>130</v>
      </c>
      <c r="C27" s="10"/>
      <c r="D27" s="44">
        <f t="shared" si="1"/>
        <v>0</v>
      </c>
      <c r="F27" s="25"/>
      <c r="G27" s="80"/>
      <c r="H27" s="182"/>
      <c r="I27" s="183"/>
      <c r="J27" s="184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8"/>
      <c r="B28" s="46" t="s">
        <v>92</v>
      </c>
      <c r="C28" s="10"/>
      <c r="D28" s="48">
        <f t="shared" si="1"/>
        <v>0</v>
      </c>
      <c r="F28" s="91"/>
      <c r="G28" s="61"/>
      <c r="H28" s="185"/>
      <c r="I28" s="186"/>
      <c r="J28" s="187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9" t="s">
        <v>36</v>
      </c>
      <c r="B29" s="160"/>
      <c r="C29" s="161"/>
      <c r="D29" s="165">
        <f>SUM(D6:D28)</f>
        <v>355053</v>
      </c>
      <c r="F29" s="105" t="s">
        <v>54</v>
      </c>
      <c r="G29" s="167"/>
      <c r="H29" s="127">
        <f>H15-H16-H17-H18-H19-H20-H22-H23-H24+H26+H27</f>
        <v>301508.25</v>
      </c>
      <c r="I29" s="128"/>
      <c r="J29" s="129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08"/>
      <c r="G30" s="168"/>
      <c r="H30" s="130"/>
      <c r="I30" s="131"/>
      <c r="J30" s="132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2" t="s">
        <v>57</v>
      </c>
      <c r="B32" s="153"/>
      <c r="C32" s="153"/>
      <c r="D32" s="154"/>
      <c r="F32" s="155" t="s">
        <v>58</v>
      </c>
      <c r="G32" s="156"/>
      <c r="H32" s="156"/>
      <c r="I32" s="156"/>
      <c r="J32" s="157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2" t="s">
        <v>62</v>
      </c>
      <c r="H33" s="155" t="s">
        <v>13</v>
      </c>
      <c r="I33" s="156"/>
      <c r="J33" s="157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6" t="s">
        <v>64</v>
      </c>
      <c r="B34" s="26" t="s">
        <v>65</v>
      </c>
      <c r="C34" s="51">
        <v>1</v>
      </c>
      <c r="D34" s="30">
        <f>C34*120</f>
        <v>120</v>
      </c>
      <c r="F34" s="12">
        <v>1000</v>
      </c>
      <c r="G34" s="74">
        <v>90</v>
      </c>
      <c r="H34" s="149">
        <f>F34*G34</f>
        <v>90000</v>
      </c>
      <c r="I34" s="150"/>
      <c r="J34" s="151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7"/>
      <c r="B35" s="27" t="s">
        <v>67</v>
      </c>
      <c r="C35" s="52"/>
      <c r="D35" s="30">
        <f>C35*84</f>
        <v>0</v>
      </c>
      <c r="F35" s="58">
        <v>500</v>
      </c>
      <c r="G35" s="41">
        <v>38</v>
      </c>
      <c r="H35" s="149">
        <f>F35*G35</f>
        <v>19000</v>
      </c>
      <c r="I35" s="150"/>
      <c r="J35" s="15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8"/>
      <c r="B36" s="26" t="s">
        <v>69</v>
      </c>
      <c r="C36" s="10"/>
      <c r="D36" s="12">
        <f>C36*1.5</f>
        <v>0</v>
      </c>
      <c r="F36" s="12">
        <v>200</v>
      </c>
      <c r="G36" s="37"/>
      <c r="H36" s="149">
        <f t="shared" ref="H36:H39" si="2">F36*G36</f>
        <v>0</v>
      </c>
      <c r="I36" s="150"/>
      <c r="J36" s="151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6" t="s">
        <v>71</v>
      </c>
      <c r="B37" s="28" t="s">
        <v>65</v>
      </c>
      <c r="C37" s="53">
        <v>366</v>
      </c>
      <c r="D37" s="12">
        <f>C37*111</f>
        <v>40626</v>
      </c>
      <c r="F37" s="12">
        <v>100</v>
      </c>
      <c r="G37" s="39">
        <v>49</v>
      </c>
      <c r="H37" s="149">
        <f t="shared" si="2"/>
        <v>4900</v>
      </c>
      <c r="I37" s="150"/>
      <c r="J37" s="151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7"/>
      <c r="B38" s="29" t="s">
        <v>67</v>
      </c>
      <c r="C38" s="54">
        <v>23</v>
      </c>
      <c r="D38" s="12">
        <f>C38*84</f>
        <v>1932</v>
      </c>
      <c r="F38" s="30">
        <v>50</v>
      </c>
      <c r="G38" s="39">
        <v>7</v>
      </c>
      <c r="H38" s="149">
        <f t="shared" si="2"/>
        <v>350</v>
      </c>
      <c r="I38" s="150"/>
      <c r="J38" s="151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8"/>
      <c r="B39" s="29" t="s">
        <v>69</v>
      </c>
      <c r="C39" s="52">
        <v>6</v>
      </c>
      <c r="D39" s="31">
        <f>C39*4.5</f>
        <v>27</v>
      </c>
      <c r="F39" s="12">
        <v>20</v>
      </c>
      <c r="G39" s="37"/>
      <c r="H39" s="149">
        <f t="shared" si="2"/>
        <v>0</v>
      </c>
      <c r="I39" s="150"/>
      <c r="J39" s="15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6" t="s">
        <v>75</v>
      </c>
      <c r="B40" s="27" t="s">
        <v>65</v>
      </c>
      <c r="C40" s="63">
        <v>51</v>
      </c>
      <c r="D40" s="12">
        <f>C40*111</f>
        <v>5661</v>
      </c>
      <c r="F40" s="12">
        <v>10</v>
      </c>
      <c r="G40" s="42"/>
      <c r="H40" s="149"/>
      <c r="I40" s="150"/>
      <c r="J40" s="151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7"/>
      <c r="B41" s="27" t="s">
        <v>67</v>
      </c>
      <c r="C41" s="10">
        <v>7</v>
      </c>
      <c r="D41" s="12">
        <f>C41*84</f>
        <v>588</v>
      </c>
      <c r="F41" s="12">
        <v>5</v>
      </c>
      <c r="G41" s="42"/>
      <c r="H41" s="149"/>
      <c r="I41" s="150"/>
      <c r="J41" s="151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8"/>
      <c r="B42" s="27" t="s">
        <v>69</v>
      </c>
      <c r="C42" s="11">
        <v>5</v>
      </c>
      <c r="D42" s="12">
        <f>C42*2.25</f>
        <v>11.25</v>
      </c>
      <c r="F42" s="39" t="s">
        <v>78</v>
      </c>
      <c r="G42" s="149">
        <v>28</v>
      </c>
      <c r="H42" s="150"/>
      <c r="I42" s="150"/>
      <c r="J42" s="151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19" t="s">
        <v>80</v>
      </c>
      <c r="C43" s="11"/>
      <c r="D43" s="12"/>
      <c r="F43" s="59" t="s">
        <v>81</v>
      </c>
      <c r="G43" s="88" t="s">
        <v>82</v>
      </c>
      <c r="H43" s="141" t="s">
        <v>13</v>
      </c>
      <c r="I43" s="142"/>
      <c r="J43" s="143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20"/>
      <c r="B44" s="27" t="s">
        <v>65</v>
      </c>
      <c r="C44" s="10">
        <v>7</v>
      </c>
      <c r="D44" s="12">
        <f>C44*120</f>
        <v>840</v>
      </c>
      <c r="F44" s="37" t="s">
        <v>136</v>
      </c>
      <c r="G44" s="94" t="s">
        <v>157</v>
      </c>
      <c r="H44" s="144">
        <v>116753</v>
      </c>
      <c r="I44" s="144"/>
      <c r="J44" s="144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20"/>
      <c r="B45" s="27" t="s">
        <v>67</v>
      </c>
      <c r="C45" s="33"/>
      <c r="D45" s="12">
        <f>C45*84</f>
        <v>0</v>
      </c>
      <c r="F45" s="37" t="s">
        <v>136</v>
      </c>
      <c r="G45" s="94" t="s">
        <v>156</v>
      </c>
      <c r="H45" s="144">
        <v>70468</v>
      </c>
      <c r="I45" s="144"/>
      <c r="J45" s="144"/>
      <c r="K45" s="21"/>
      <c r="P45" s="4"/>
      <c r="Q45" s="4"/>
      <c r="R45" s="5"/>
    </row>
    <row r="46" spans="1:18" ht="15.75" x14ac:dyDescent="0.25">
      <c r="A46" s="120"/>
      <c r="B46" s="49" t="s">
        <v>69</v>
      </c>
      <c r="C46" s="81">
        <v>9</v>
      </c>
      <c r="D46" s="12">
        <f>C46*1.5</f>
        <v>13.5</v>
      </c>
      <c r="F46" s="37"/>
      <c r="G46" s="62"/>
      <c r="H46" s="145"/>
      <c r="I46" s="145"/>
      <c r="J46" s="145"/>
      <c r="K46" s="21"/>
      <c r="P46" s="4"/>
      <c r="Q46" s="4"/>
      <c r="R46" s="5"/>
    </row>
    <row r="47" spans="1:18" ht="15.75" x14ac:dyDescent="0.25">
      <c r="A47" s="121"/>
      <c r="B47" s="27"/>
      <c r="C47" s="11"/>
      <c r="D47" s="12"/>
      <c r="F47" s="59"/>
      <c r="G47" s="59"/>
      <c r="H47" s="122"/>
      <c r="I47" s="123"/>
      <c r="J47" s="124"/>
      <c r="K47" s="21"/>
      <c r="P47" s="4"/>
      <c r="Q47" s="4"/>
      <c r="R47" s="5"/>
    </row>
    <row r="48" spans="1:18" ht="15" customHeight="1" x14ac:dyDescent="0.25">
      <c r="A48" s="119" t="s">
        <v>32</v>
      </c>
      <c r="B48" s="27" t="s">
        <v>65</v>
      </c>
      <c r="C48" s="10">
        <v>21</v>
      </c>
      <c r="D48" s="12">
        <f>C48*78</f>
        <v>1638</v>
      </c>
      <c r="F48" s="59"/>
      <c r="G48" s="59"/>
      <c r="H48" s="122"/>
      <c r="I48" s="123"/>
      <c r="J48" s="124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20"/>
      <c r="B49" s="29" t="s">
        <v>67</v>
      </c>
      <c r="C49" s="33">
        <v>1</v>
      </c>
      <c r="D49" s="12">
        <f>C49*42</f>
        <v>42</v>
      </c>
      <c r="F49" s="125" t="s">
        <v>85</v>
      </c>
      <c r="G49" s="127">
        <f>H34+H35+H36+H37+H38+H39+H40+H41+G42+H44+H45+H46</f>
        <v>301499</v>
      </c>
      <c r="H49" s="128"/>
      <c r="I49" s="128"/>
      <c r="J49" s="129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0"/>
      <c r="B50" s="32" t="s">
        <v>69</v>
      </c>
      <c r="C50" s="11">
        <v>12</v>
      </c>
      <c r="D50" s="12">
        <f>C50*1.5</f>
        <v>18</v>
      </c>
      <c r="F50" s="126"/>
      <c r="G50" s="130"/>
      <c r="H50" s="131"/>
      <c r="I50" s="131"/>
      <c r="J50" s="132"/>
      <c r="O50" t="s">
        <v>114</v>
      </c>
      <c r="P50" s="4">
        <v>1204</v>
      </c>
      <c r="Q50" s="4"/>
      <c r="R50" s="5"/>
    </row>
    <row r="51" spans="1:18" ht="15" customHeight="1" x14ac:dyDescent="0.25">
      <c r="A51" s="120"/>
      <c r="B51" s="27"/>
      <c r="C51" s="10"/>
      <c r="D51" s="31"/>
      <c r="F51" s="133" t="s">
        <v>109</v>
      </c>
      <c r="G51" s="246">
        <f>G49-H29</f>
        <v>-9.25</v>
      </c>
      <c r="H51" s="247"/>
      <c r="I51" s="247"/>
      <c r="J51" s="248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20"/>
      <c r="B52" s="29"/>
      <c r="C52" s="33"/>
      <c r="D52" s="45"/>
      <c r="F52" s="134"/>
      <c r="G52" s="249"/>
      <c r="H52" s="250"/>
      <c r="I52" s="250"/>
      <c r="J52" s="251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1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05" t="s">
        <v>89</v>
      </c>
      <c r="B54" s="106"/>
      <c r="C54" s="107"/>
      <c r="D54" s="111">
        <f>SUM(D34:D53)</f>
        <v>51516.75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08"/>
      <c r="B55" s="109"/>
      <c r="C55" s="110"/>
      <c r="D55" s="11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13" t="s">
        <v>90</v>
      </c>
      <c r="B58" s="114"/>
      <c r="C58" s="114"/>
      <c r="D58" s="115"/>
      <c r="F58" s="113" t="s">
        <v>91</v>
      </c>
      <c r="G58" s="114"/>
      <c r="H58" s="114"/>
      <c r="I58" s="114"/>
      <c r="J58" s="115"/>
    </row>
    <row r="59" spans="1:18" x14ac:dyDescent="0.25">
      <c r="A59" s="116"/>
      <c r="B59" s="117"/>
      <c r="C59" s="117"/>
      <c r="D59" s="118"/>
      <c r="F59" s="116"/>
      <c r="G59" s="117"/>
      <c r="H59" s="117"/>
      <c r="I59" s="117"/>
      <c r="J59" s="118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95203A-7A06-42A1-AB52-579A0D196CCE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01" t="s">
        <v>1</v>
      </c>
      <c r="O1" s="201"/>
      <c r="P1" s="90" t="s">
        <v>2</v>
      </c>
      <c r="Q1" s="90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52" t="s">
        <v>7</v>
      </c>
      <c r="B4" s="153"/>
      <c r="C4" s="153"/>
      <c r="D4" s="154"/>
      <c r="F4" s="202" t="s">
        <v>8</v>
      </c>
      <c r="G4" s="204"/>
      <c r="H4" s="206" t="s">
        <v>9</v>
      </c>
      <c r="I4" s="208"/>
      <c r="J4" s="20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46" t="s">
        <v>7</v>
      </c>
      <c r="B5" s="15" t="s">
        <v>11</v>
      </c>
      <c r="C5" s="9" t="s">
        <v>12</v>
      </c>
      <c r="D5" s="25" t="s">
        <v>13</v>
      </c>
      <c r="F5" s="203"/>
      <c r="G5" s="205"/>
      <c r="H5" s="207"/>
      <c r="I5" s="210"/>
      <c r="J5" s="21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47"/>
      <c r="B6" s="16"/>
      <c r="C6" s="10"/>
      <c r="D6" s="13">
        <f t="shared" ref="D6:D28" si="1">C6*L6</f>
        <v>0</v>
      </c>
      <c r="F6" s="212" t="s">
        <v>16</v>
      </c>
      <c r="G6" s="214"/>
      <c r="H6" s="215"/>
      <c r="I6" s="215"/>
      <c r="J6" s="216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47"/>
      <c r="B7" s="16"/>
      <c r="C7" s="10"/>
      <c r="D7" s="13">
        <f t="shared" si="1"/>
        <v>0</v>
      </c>
      <c r="F7" s="213"/>
      <c r="G7" s="217"/>
      <c r="H7" s="218"/>
      <c r="I7" s="218"/>
      <c r="J7" s="219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47"/>
      <c r="B8" s="16"/>
      <c r="C8" s="10"/>
      <c r="D8" s="13">
        <f t="shared" si="1"/>
        <v>0</v>
      </c>
      <c r="F8" s="220" t="s">
        <v>21</v>
      </c>
      <c r="G8" s="221"/>
      <c r="H8" s="222"/>
      <c r="I8" s="222"/>
      <c r="J8" s="223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47"/>
      <c r="B9" s="16"/>
      <c r="C9" s="10"/>
      <c r="D9" s="13">
        <f t="shared" si="1"/>
        <v>0</v>
      </c>
      <c r="F9" s="213"/>
      <c r="G9" s="224"/>
      <c r="H9" s="225"/>
      <c r="I9" s="225"/>
      <c r="J9" s="226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47"/>
      <c r="C10" s="10"/>
      <c r="D10" s="13">
        <f t="shared" si="1"/>
        <v>0</v>
      </c>
      <c r="F10" s="212" t="s">
        <v>26</v>
      </c>
      <c r="G10" s="227"/>
      <c r="H10" s="228"/>
      <c r="I10" s="228"/>
      <c r="J10" s="229"/>
      <c r="K10" s="8"/>
      <c r="L10" s="6">
        <f>R36</f>
        <v>972</v>
      </c>
      <c r="P10" s="4"/>
      <c r="Q10" s="4"/>
      <c r="R10" s="5"/>
    </row>
    <row r="11" spans="1:19" ht="15.75" x14ac:dyDescent="0.25">
      <c r="A11" s="147"/>
      <c r="B11" s="17"/>
      <c r="C11" s="10"/>
      <c r="D11" s="13">
        <f t="shared" si="1"/>
        <v>0</v>
      </c>
      <c r="F11" s="213"/>
      <c r="G11" s="224"/>
      <c r="H11" s="225"/>
      <c r="I11" s="225"/>
      <c r="J11" s="226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47"/>
      <c r="B12" s="17"/>
      <c r="C12" s="10"/>
      <c r="D12" s="48">
        <f t="shared" si="1"/>
        <v>0</v>
      </c>
      <c r="F12" s="230" t="s">
        <v>33</v>
      </c>
      <c r="G12" s="231"/>
      <c r="H12" s="231"/>
      <c r="I12" s="231"/>
      <c r="J12" s="232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47"/>
      <c r="B13" s="17"/>
      <c r="C13" s="10"/>
      <c r="D13" s="48">
        <f t="shared" si="1"/>
        <v>0</v>
      </c>
      <c r="F13" s="233" t="s">
        <v>36</v>
      </c>
      <c r="G13" s="197"/>
      <c r="H13" s="188">
        <f>D29</f>
        <v>0</v>
      </c>
      <c r="I13" s="189"/>
      <c r="J13" s="19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47"/>
      <c r="B14" s="14"/>
      <c r="C14" s="10"/>
      <c r="D14" s="31">
        <f t="shared" si="1"/>
        <v>0</v>
      </c>
      <c r="F14" s="191" t="s">
        <v>38</v>
      </c>
      <c r="G14" s="192"/>
      <c r="H14" s="193">
        <f>D54</f>
        <v>0</v>
      </c>
      <c r="I14" s="194"/>
      <c r="J14" s="19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47"/>
      <c r="B15" s="14"/>
      <c r="C15" s="10"/>
      <c r="D15" s="31">
        <f t="shared" si="1"/>
        <v>0</v>
      </c>
      <c r="F15" s="196" t="s">
        <v>39</v>
      </c>
      <c r="G15" s="197"/>
      <c r="H15" s="198">
        <f>H13-H14</f>
        <v>0</v>
      </c>
      <c r="I15" s="199"/>
      <c r="J15" s="200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47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58"/>
      <c r="I16" s="158"/>
      <c r="J16" s="158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7"/>
      <c r="C17" s="10"/>
      <c r="D17" s="48">
        <f t="shared" si="1"/>
        <v>0</v>
      </c>
      <c r="F17" s="56"/>
      <c r="G17" s="66" t="s">
        <v>44</v>
      </c>
      <c r="H17" s="169"/>
      <c r="I17" s="169"/>
      <c r="J17" s="169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7"/>
      <c r="B18" s="19"/>
      <c r="C18" s="10"/>
      <c r="D18" s="48">
        <f t="shared" si="1"/>
        <v>0</v>
      </c>
      <c r="F18" s="56"/>
      <c r="G18" s="66" t="s">
        <v>46</v>
      </c>
      <c r="H18" s="169"/>
      <c r="I18" s="169"/>
      <c r="J18" s="16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7"/>
      <c r="B19" s="14"/>
      <c r="C19" s="10"/>
      <c r="D19" s="48">
        <f t="shared" si="1"/>
        <v>0</v>
      </c>
      <c r="F19" s="56"/>
      <c r="G19" s="68" t="s">
        <v>49</v>
      </c>
      <c r="H19" s="170"/>
      <c r="I19" s="170"/>
      <c r="J19" s="170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7"/>
      <c r="B20" s="46"/>
      <c r="C20" s="10"/>
      <c r="D20" s="13">
        <f t="shared" si="1"/>
        <v>0</v>
      </c>
      <c r="F20" s="57"/>
      <c r="G20" s="70" t="s">
        <v>102</v>
      </c>
      <c r="H20" s="158"/>
      <c r="I20" s="158"/>
      <c r="J20" s="158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7"/>
      <c r="B21" s="14"/>
      <c r="C21" s="10"/>
      <c r="D21" s="48">
        <f t="shared" si="1"/>
        <v>0</v>
      </c>
      <c r="F21" s="69" t="s">
        <v>94</v>
      </c>
      <c r="G21" s="82" t="s">
        <v>93</v>
      </c>
      <c r="H21" s="171" t="s">
        <v>13</v>
      </c>
      <c r="I21" s="172"/>
      <c r="J21" s="173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7"/>
      <c r="B22" s="46"/>
      <c r="C22" s="10"/>
      <c r="D22" s="48">
        <f t="shared" si="1"/>
        <v>0</v>
      </c>
      <c r="F22" s="77"/>
      <c r="G22" s="73"/>
      <c r="H22" s="174"/>
      <c r="I22" s="174"/>
      <c r="J22" s="174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7"/>
      <c r="B23" s="14"/>
      <c r="C23" s="10"/>
      <c r="D23" s="48">
        <f t="shared" si="1"/>
        <v>0</v>
      </c>
      <c r="F23" s="78"/>
      <c r="G23" s="79"/>
      <c r="H23" s="175"/>
      <c r="I23" s="144"/>
      <c r="J23" s="144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7"/>
      <c r="B24" s="14"/>
      <c r="C24" s="10"/>
      <c r="D24" s="48">
        <f t="shared" si="1"/>
        <v>0</v>
      </c>
      <c r="F24" s="38"/>
      <c r="G24" s="37"/>
      <c r="H24" s="175"/>
      <c r="I24" s="144"/>
      <c r="J24" s="144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7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176" t="s">
        <v>13</v>
      </c>
      <c r="I25" s="177"/>
      <c r="J25" s="178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7"/>
      <c r="B26" s="14"/>
      <c r="C26" s="10"/>
      <c r="D26" s="48">
        <f t="shared" si="1"/>
        <v>0</v>
      </c>
      <c r="F26" s="64"/>
      <c r="G26" s="59"/>
      <c r="H26" s="179"/>
      <c r="I26" s="180"/>
      <c r="J26" s="181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7"/>
      <c r="B27" s="14"/>
      <c r="C27" s="10"/>
      <c r="D27" s="44">
        <f t="shared" si="1"/>
        <v>0</v>
      </c>
      <c r="F27" s="25"/>
      <c r="G27" s="80"/>
      <c r="H27" s="182"/>
      <c r="I27" s="183"/>
      <c r="J27" s="184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8"/>
      <c r="B28" s="46"/>
      <c r="C28" s="10"/>
      <c r="D28" s="48">
        <f t="shared" si="1"/>
        <v>0</v>
      </c>
      <c r="F28" s="91"/>
      <c r="G28" s="61"/>
      <c r="H28" s="185"/>
      <c r="I28" s="186"/>
      <c r="J28" s="187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9" t="s">
        <v>36</v>
      </c>
      <c r="B29" s="160"/>
      <c r="C29" s="161"/>
      <c r="D29" s="165">
        <f>SUM(D6:D28)</f>
        <v>0</v>
      </c>
      <c r="F29" s="105" t="s">
        <v>54</v>
      </c>
      <c r="G29" s="167"/>
      <c r="H29" s="127">
        <f>H15-H16-H17-H18-H19-H20-H22-H23-H24+H26+H27</f>
        <v>0</v>
      </c>
      <c r="I29" s="128"/>
      <c r="J29" s="129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08"/>
      <c r="G30" s="168"/>
      <c r="H30" s="130"/>
      <c r="I30" s="131"/>
      <c r="J30" s="132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52" t="s">
        <v>57</v>
      </c>
      <c r="B32" s="153"/>
      <c r="C32" s="153"/>
      <c r="D32" s="154"/>
      <c r="F32" s="155" t="s">
        <v>58</v>
      </c>
      <c r="G32" s="156"/>
      <c r="H32" s="156"/>
      <c r="I32" s="156"/>
      <c r="J32" s="157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2" t="s">
        <v>62</v>
      </c>
      <c r="H33" s="155" t="s">
        <v>13</v>
      </c>
      <c r="I33" s="156"/>
      <c r="J33" s="157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6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149"/>
      <c r="I34" s="150"/>
      <c r="J34" s="151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7"/>
      <c r="B35" s="27" t="s">
        <v>67</v>
      </c>
      <c r="C35" s="52"/>
      <c r="D35" s="30">
        <f>C35*84</f>
        <v>0</v>
      </c>
      <c r="F35" s="58">
        <v>500</v>
      </c>
      <c r="G35" s="41"/>
      <c r="H35" s="149"/>
      <c r="I35" s="150"/>
      <c r="J35" s="15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8"/>
      <c r="B36" s="26" t="s">
        <v>69</v>
      </c>
      <c r="C36" s="10"/>
      <c r="D36" s="12">
        <f>C36*1.5</f>
        <v>0</v>
      </c>
      <c r="F36" s="12">
        <v>200</v>
      </c>
      <c r="G36" s="37"/>
      <c r="H36" s="149"/>
      <c r="I36" s="150"/>
      <c r="J36" s="151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6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49"/>
      <c r="I37" s="150"/>
      <c r="J37" s="151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7"/>
      <c r="B38" s="29" t="s">
        <v>67</v>
      </c>
      <c r="C38" s="54"/>
      <c r="D38" s="12">
        <f>C38*84</f>
        <v>0</v>
      </c>
      <c r="F38" s="30">
        <v>50</v>
      </c>
      <c r="G38" s="39"/>
      <c r="H38" s="149"/>
      <c r="I38" s="150"/>
      <c r="J38" s="151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8"/>
      <c r="B39" s="29" t="s">
        <v>69</v>
      </c>
      <c r="C39" s="52"/>
      <c r="D39" s="31">
        <f>C39*4.5</f>
        <v>0</v>
      </c>
      <c r="F39" s="12">
        <v>20</v>
      </c>
      <c r="G39" s="37"/>
      <c r="H39" s="149"/>
      <c r="I39" s="150"/>
      <c r="J39" s="15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6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49"/>
      <c r="I40" s="150"/>
      <c r="J40" s="151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7"/>
      <c r="B41" s="27" t="s">
        <v>67</v>
      </c>
      <c r="C41" s="10"/>
      <c r="D41" s="12">
        <f>C41*84</f>
        <v>0</v>
      </c>
      <c r="F41" s="12">
        <v>5</v>
      </c>
      <c r="G41" s="42"/>
      <c r="H41" s="149"/>
      <c r="I41" s="150"/>
      <c r="J41" s="151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8"/>
      <c r="B42" s="27" t="s">
        <v>69</v>
      </c>
      <c r="C42" s="11"/>
      <c r="D42" s="12">
        <f>C42*2.25</f>
        <v>0</v>
      </c>
      <c r="F42" s="39" t="s">
        <v>78</v>
      </c>
      <c r="G42" s="149"/>
      <c r="H42" s="150"/>
      <c r="I42" s="150"/>
      <c r="J42" s="151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19" t="s">
        <v>80</v>
      </c>
      <c r="C43" s="11"/>
      <c r="D43" s="12"/>
      <c r="F43" s="59" t="s">
        <v>81</v>
      </c>
      <c r="G43" s="88" t="s">
        <v>82</v>
      </c>
      <c r="H43" s="141" t="s">
        <v>13</v>
      </c>
      <c r="I43" s="142"/>
      <c r="J43" s="143"/>
      <c r="K43" s="21"/>
      <c r="P43" s="4"/>
      <c r="Q43" s="4"/>
      <c r="R43" s="5"/>
    </row>
    <row r="44" spans="1:18" ht="15.75" x14ac:dyDescent="0.25">
      <c r="A44" s="120"/>
      <c r="B44" s="27" t="s">
        <v>65</v>
      </c>
      <c r="C44" s="10"/>
      <c r="D44" s="12">
        <f>C44*120</f>
        <v>0</v>
      </c>
      <c r="F44" s="37"/>
      <c r="G44" s="76"/>
      <c r="H44" s="144"/>
      <c r="I44" s="144"/>
      <c r="J44" s="144"/>
      <c r="K44" s="21"/>
      <c r="P44" s="4"/>
      <c r="Q44" s="4"/>
      <c r="R44" s="5"/>
    </row>
    <row r="45" spans="1:18" ht="15.75" x14ac:dyDescent="0.25">
      <c r="A45" s="120"/>
      <c r="B45" s="27" t="s">
        <v>67</v>
      </c>
      <c r="C45" s="33"/>
      <c r="D45" s="12">
        <f>C45*84</f>
        <v>0</v>
      </c>
      <c r="F45" s="37"/>
      <c r="G45" s="76"/>
      <c r="H45" s="144"/>
      <c r="I45" s="144"/>
      <c r="J45" s="144"/>
      <c r="K45" s="21"/>
      <c r="P45" s="4"/>
      <c r="Q45" s="4"/>
      <c r="R45" s="5"/>
    </row>
    <row r="46" spans="1:18" ht="15.75" x14ac:dyDescent="0.25">
      <c r="A46" s="120"/>
      <c r="B46" s="49" t="s">
        <v>69</v>
      </c>
      <c r="C46" s="81"/>
      <c r="D46" s="12">
        <f>C46*1.5</f>
        <v>0</v>
      </c>
      <c r="F46" s="37"/>
      <c r="G46" s="62"/>
      <c r="H46" s="145"/>
      <c r="I46" s="145"/>
      <c r="J46" s="145"/>
      <c r="K46" s="21"/>
      <c r="P46" s="4"/>
      <c r="Q46" s="4"/>
      <c r="R46" s="5"/>
    </row>
    <row r="47" spans="1:18" ht="15.75" x14ac:dyDescent="0.25">
      <c r="A47" s="121"/>
      <c r="B47" s="27"/>
      <c r="C47" s="11"/>
      <c r="D47" s="12"/>
      <c r="F47" s="59"/>
      <c r="G47" s="59"/>
      <c r="H47" s="122"/>
      <c r="I47" s="123"/>
      <c r="J47" s="124"/>
      <c r="K47" s="21"/>
      <c r="P47" s="4"/>
      <c r="Q47" s="4"/>
      <c r="R47" s="5"/>
    </row>
    <row r="48" spans="1:18" ht="15" customHeight="1" x14ac:dyDescent="0.25">
      <c r="A48" s="119" t="s">
        <v>32</v>
      </c>
      <c r="B48" s="27" t="s">
        <v>65</v>
      </c>
      <c r="C48" s="10"/>
      <c r="D48" s="12">
        <f>C48*78</f>
        <v>0</v>
      </c>
      <c r="F48" s="59"/>
      <c r="G48" s="59"/>
      <c r="H48" s="122"/>
      <c r="I48" s="123"/>
      <c r="J48" s="124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20"/>
      <c r="B49" s="29" t="s">
        <v>67</v>
      </c>
      <c r="C49" s="33"/>
      <c r="D49" s="12">
        <f>C49*42</f>
        <v>0</v>
      </c>
      <c r="F49" s="125" t="s">
        <v>85</v>
      </c>
      <c r="G49" s="127">
        <f>H34+H35+H36+H37+H38+H39+H40+H41+G42+H44+H45+H46</f>
        <v>0</v>
      </c>
      <c r="H49" s="128"/>
      <c r="I49" s="128"/>
      <c r="J49" s="129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0"/>
      <c r="B50" s="32" t="s">
        <v>69</v>
      </c>
      <c r="C50" s="11"/>
      <c r="D50" s="12">
        <f>C50*1.5</f>
        <v>0</v>
      </c>
      <c r="F50" s="126"/>
      <c r="G50" s="130"/>
      <c r="H50" s="131"/>
      <c r="I50" s="131"/>
      <c r="J50" s="132"/>
      <c r="P50" s="4"/>
      <c r="Q50" s="4"/>
      <c r="R50" s="5"/>
    </row>
    <row r="51" spans="1:18" ht="15" customHeight="1" x14ac:dyDescent="0.25">
      <c r="A51" s="120"/>
      <c r="B51" s="27"/>
      <c r="C51" s="10"/>
      <c r="D51" s="31"/>
      <c r="F51" s="133" t="s">
        <v>106</v>
      </c>
      <c r="G51" s="135">
        <f>G49-H29</f>
        <v>0</v>
      </c>
      <c r="H51" s="136"/>
      <c r="I51" s="136"/>
      <c r="J51" s="137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0"/>
      <c r="B52" s="29"/>
      <c r="C52" s="33"/>
      <c r="D52" s="45"/>
      <c r="F52" s="134"/>
      <c r="G52" s="138"/>
      <c r="H52" s="139"/>
      <c r="I52" s="139"/>
      <c r="J52" s="140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1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05" t="s">
        <v>89</v>
      </c>
      <c r="B54" s="106"/>
      <c r="C54" s="107"/>
      <c r="D54" s="111">
        <f>SUM(D34:D53)</f>
        <v>0</v>
      </c>
      <c r="F54" s="21"/>
      <c r="J54" s="34"/>
    </row>
    <row r="55" spans="1:18" x14ac:dyDescent="0.25">
      <c r="A55" s="108"/>
      <c r="B55" s="109"/>
      <c r="C55" s="110"/>
      <c r="D55" s="11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13" t="s">
        <v>90</v>
      </c>
      <c r="B58" s="114"/>
      <c r="C58" s="114"/>
      <c r="D58" s="115"/>
      <c r="F58" s="113" t="s">
        <v>91</v>
      </c>
      <c r="G58" s="114"/>
      <c r="H58" s="114"/>
      <c r="I58" s="114"/>
      <c r="J58" s="115"/>
    </row>
    <row r="59" spans="1:18" x14ac:dyDescent="0.25">
      <c r="A59" s="116"/>
      <c r="B59" s="117"/>
      <c r="C59" s="117"/>
      <c r="D59" s="118"/>
      <c r="F59" s="116"/>
      <c r="G59" s="117"/>
      <c r="H59" s="117"/>
      <c r="I59" s="117"/>
      <c r="J59" s="118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01A205-1CC3-4004-8D7D-AADC7C96844B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1" t="s">
        <v>1</v>
      </c>
      <c r="O1" s="201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2" t="s">
        <v>7</v>
      </c>
      <c r="B4" s="153"/>
      <c r="C4" s="153"/>
      <c r="D4" s="154"/>
      <c r="F4" s="202" t="s">
        <v>8</v>
      </c>
      <c r="G4" s="204">
        <v>1</v>
      </c>
      <c r="H4" s="206" t="s">
        <v>9</v>
      </c>
      <c r="I4" s="208">
        <v>46150</v>
      </c>
      <c r="J4" s="20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6" t="s">
        <v>7</v>
      </c>
      <c r="B5" s="15" t="s">
        <v>11</v>
      </c>
      <c r="C5" s="9" t="s">
        <v>12</v>
      </c>
      <c r="D5" s="25" t="s">
        <v>13</v>
      </c>
      <c r="F5" s="203"/>
      <c r="G5" s="205"/>
      <c r="H5" s="207"/>
      <c r="I5" s="210"/>
      <c r="J5" s="21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7"/>
      <c r="B6" s="16" t="s">
        <v>15</v>
      </c>
      <c r="C6" s="10"/>
      <c r="D6" s="13">
        <f t="shared" ref="D6:D28" si="1">C6*L6</f>
        <v>0</v>
      </c>
      <c r="F6" s="212" t="s">
        <v>16</v>
      </c>
      <c r="G6" s="214" t="s">
        <v>99</v>
      </c>
      <c r="H6" s="215"/>
      <c r="I6" s="215"/>
      <c r="J6" s="21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7"/>
      <c r="B7" s="16" t="s">
        <v>18</v>
      </c>
      <c r="C7" s="10"/>
      <c r="D7" s="13">
        <f t="shared" si="1"/>
        <v>0</v>
      </c>
      <c r="F7" s="213"/>
      <c r="G7" s="217"/>
      <c r="H7" s="218"/>
      <c r="I7" s="218"/>
      <c r="J7" s="21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7"/>
      <c r="B8" s="16" t="s">
        <v>20</v>
      </c>
      <c r="C8" s="10"/>
      <c r="D8" s="13">
        <f t="shared" si="1"/>
        <v>0</v>
      </c>
      <c r="F8" s="220" t="s">
        <v>21</v>
      </c>
      <c r="G8" s="221" t="s">
        <v>120</v>
      </c>
      <c r="H8" s="222"/>
      <c r="I8" s="222"/>
      <c r="J8" s="22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7"/>
      <c r="B9" s="16" t="s">
        <v>23</v>
      </c>
      <c r="C9" s="10"/>
      <c r="D9" s="13">
        <f t="shared" si="1"/>
        <v>0</v>
      </c>
      <c r="F9" s="213"/>
      <c r="G9" s="224"/>
      <c r="H9" s="225"/>
      <c r="I9" s="225"/>
      <c r="J9" s="22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7"/>
      <c r="B10" t="s">
        <v>25</v>
      </c>
      <c r="C10" s="10"/>
      <c r="D10" s="13">
        <f t="shared" si="1"/>
        <v>0</v>
      </c>
      <c r="F10" s="212" t="s">
        <v>26</v>
      </c>
      <c r="G10" s="227" t="s">
        <v>108</v>
      </c>
      <c r="H10" s="228"/>
      <c r="I10" s="228"/>
      <c r="J10" s="229"/>
      <c r="K10" s="8"/>
      <c r="L10" s="6">
        <f>R36</f>
        <v>1032</v>
      </c>
      <c r="P10" s="4"/>
      <c r="Q10" s="4"/>
      <c r="R10" s="5"/>
    </row>
    <row r="11" spans="1:18" ht="15.75" x14ac:dyDescent="0.25">
      <c r="A11" s="147"/>
      <c r="B11" s="17" t="s">
        <v>28</v>
      </c>
      <c r="C11" s="10"/>
      <c r="D11" s="13">
        <f t="shared" si="1"/>
        <v>0</v>
      </c>
      <c r="F11" s="213"/>
      <c r="G11" s="224"/>
      <c r="H11" s="225"/>
      <c r="I11" s="225"/>
      <c r="J11" s="22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7"/>
      <c r="B12" s="17" t="s">
        <v>30</v>
      </c>
      <c r="C12" s="10"/>
      <c r="D12" s="48">
        <f t="shared" si="1"/>
        <v>0</v>
      </c>
      <c r="F12" s="230" t="s">
        <v>33</v>
      </c>
      <c r="G12" s="231"/>
      <c r="H12" s="231"/>
      <c r="I12" s="231"/>
      <c r="J12" s="23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7"/>
      <c r="B13" s="17" t="s">
        <v>32</v>
      </c>
      <c r="C13" s="10"/>
      <c r="D13" s="48">
        <f t="shared" si="1"/>
        <v>0</v>
      </c>
      <c r="F13" s="233" t="s">
        <v>36</v>
      </c>
      <c r="G13" s="197"/>
      <c r="H13" s="188">
        <f>D29</f>
        <v>0</v>
      </c>
      <c r="I13" s="189"/>
      <c r="J13" s="19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7"/>
      <c r="B14" s="14" t="s">
        <v>35</v>
      </c>
      <c r="C14" s="10"/>
      <c r="D14" s="31">
        <f t="shared" si="1"/>
        <v>0</v>
      </c>
      <c r="F14" s="191" t="s">
        <v>38</v>
      </c>
      <c r="G14" s="192"/>
      <c r="H14" s="193">
        <f>D54</f>
        <v>0</v>
      </c>
      <c r="I14" s="194"/>
      <c r="J14" s="19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7"/>
      <c r="B15" s="14" t="s">
        <v>122</v>
      </c>
      <c r="C15" s="10"/>
      <c r="D15" s="31">
        <f t="shared" si="1"/>
        <v>0</v>
      </c>
      <c r="F15" s="196" t="s">
        <v>39</v>
      </c>
      <c r="G15" s="197"/>
      <c r="H15" s="198">
        <f>H13-H14</f>
        <v>0</v>
      </c>
      <c r="I15" s="199"/>
      <c r="J15" s="200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7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58"/>
      <c r="I16" s="158"/>
      <c r="J16" s="158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7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69"/>
      <c r="I17" s="169"/>
      <c r="J17" s="169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7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69"/>
      <c r="I18" s="169"/>
      <c r="J18" s="169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7"/>
      <c r="B19" s="83" t="s">
        <v>105</v>
      </c>
      <c r="C19" s="10"/>
      <c r="D19" s="48">
        <f t="shared" si="1"/>
        <v>0</v>
      </c>
      <c r="F19" s="56"/>
      <c r="G19" s="68" t="s">
        <v>49</v>
      </c>
      <c r="H19" s="158"/>
      <c r="I19" s="158"/>
      <c r="J19" s="158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7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58"/>
      <c r="I20" s="158"/>
      <c r="J20" s="158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7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71" t="s">
        <v>13</v>
      </c>
      <c r="I21" s="172"/>
      <c r="J21" s="173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7"/>
      <c r="B22" s="46" t="s">
        <v>103</v>
      </c>
      <c r="C22" s="10"/>
      <c r="D22" s="48">
        <f t="shared" si="1"/>
        <v>0</v>
      </c>
      <c r="F22" s="77"/>
      <c r="G22" s="73"/>
      <c r="H22" s="174"/>
      <c r="I22" s="174"/>
      <c r="J22" s="174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7"/>
      <c r="B23" s="14" t="s">
        <v>121</v>
      </c>
      <c r="C23" s="10"/>
      <c r="D23" s="48">
        <f t="shared" si="1"/>
        <v>0</v>
      </c>
      <c r="F23" s="77"/>
      <c r="G23" s="79"/>
      <c r="H23" s="242"/>
      <c r="I23" s="243"/>
      <c r="J23" s="243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7"/>
      <c r="B24" s="14" t="s">
        <v>128</v>
      </c>
      <c r="C24" s="10"/>
      <c r="D24" s="48">
        <f t="shared" si="1"/>
        <v>0</v>
      </c>
      <c r="F24" s="77"/>
      <c r="G24" s="79"/>
      <c r="H24" s="242"/>
      <c r="I24" s="243"/>
      <c r="J24" s="243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7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76" t="s">
        <v>13</v>
      </c>
      <c r="I25" s="177"/>
      <c r="J25" s="178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7"/>
      <c r="B26" s="14" t="s">
        <v>129</v>
      </c>
      <c r="C26" s="10"/>
      <c r="D26" s="48">
        <f t="shared" si="1"/>
        <v>0</v>
      </c>
      <c r="F26" s="75"/>
      <c r="G26" s="65"/>
      <c r="H26" s="144"/>
      <c r="I26" s="144"/>
      <c r="J26" s="144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7"/>
      <c r="B27" s="14" t="s">
        <v>130</v>
      </c>
      <c r="C27" s="10"/>
      <c r="D27" s="44">
        <f t="shared" si="1"/>
        <v>0</v>
      </c>
      <c r="F27" s="71"/>
      <c r="G27" s="88"/>
      <c r="H27" s="244"/>
      <c r="I27" s="245"/>
      <c r="J27" s="245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8"/>
      <c r="B28" s="46" t="s">
        <v>92</v>
      </c>
      <c r="C28" s="10"/>
      <c r="D28" s="48">
        <f t="shared" si="1"/>
        <v>0</v>
      </c>
      <c r="F28" s="91"/>
      <c r="G28" s="61"/>
      <c r="H28" s="185"/>
      <c r="I28" s="186"/>
      <c r="J28" s="187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9" t="s">
        <v>36</v>
      </c>
      <c r="B29" s="160"/>
      <c r="C29" s="161"/>
      <c r="D29" s="165">
        <f>SUM(D6:D28)</f>
        <v>0</v>
      </c>
      <c r="F29" s="105" t="s">
        <v>54</v>
      </c>
      <c r="G29" s="167"/>
      <c r="H29" s="127">
        <f>H15-H16-H17-H18-H19-H20-H22-H23-H24+H26+H27+H28</f>
        <v>0</v>
      </c>
      <c r="I29" s="128"/>
      <c r="J29" s="129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08"/>
      <c r="G30" s="168"/>
      <c r="H30" s="130"/>
      <c r="I30" s="131"/>
      <c r="J30" s="132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2" t="s">
        <v>57</v>
      </c>
      <c r="B32" s="153"/>
      <c r="C32" s="153"/>
      <c r="D32" s="154"/>
      <c r="F32" s="155" t="s">
        <v>58</v>
      </c>
      <c r="G32" s="156"/>
      <c r="H32" s="156"/>
      <c r="I32" s="156"/>
      <c r="J32" s="157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2" t="s">
        <v>62</v>
      </c>
      <c r="H33" s="155" t="s">
        <v>13</v>
      </c>
      <c r="I33" s="156"/>
      <c r="J33" s="157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6" t="s">
        <v>64</v>
      </c>
      <c r="B34" s="26" t="s">
        <v>65</v>
      </c>
      <c r="C34" s="51"/>
      <c r="D34" s="30">
        <f>C34*120</f>
        <v>0</v>
      </c>
      <c r="F34" s="12">
        <v>1000</v>
      </c>
      <c r="G34" s="40"/>
      <c r="H34" s="149">
        <f t="shared" ref="H34:H39" si="2">F34*G34</f>
        <v>0</v>
      </c>
      <c r="I34" s="150"/>
      <c r="J34" s="151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7"/>
      <c r="B35" s="27" t="s">
        <v>67</v>
      </c>
      <c r="C35" s="52"/>
      <c r="D35" s="30">
        <f>C35*84</f>
        <v>0</v>
      </c>
      <c r="F35" s="58">
        <v>500</v>
      </c>
      <c r="G35" s="41"/>
      <c r="H35" s="149">
        <f t="shared" si="2"/>
        <v>0</v>
      </c>
      <c r="I35" s="150"/>
      <c r="J35" s="15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8"/>
      <c r="B36" s="26" t="s">
        <v>69</v>
      </c>
      <c r="C36" s="10"/>
      <c r="D36" s="12">
        <f>C36*1.5</f>
        <v>0</v>
      </c>
      <c r="F36" s="12">
        <v>200</v>
      </c>
      <c r="G36" s="37"/>
      <c r="H36" s="149">
        <f t="shared" si="2"/>
        <v>0</v>
      </c>
      <c r="I36" s="150"/>
      <c r="J36" s="151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6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49">
        <f t="shared" si="2"/>
        <v>0</v>
      </c>
      <c r="I37" s="150"/>
      <c r="J37" s="151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7"/>
      <c r="B38" s="29" t="s">
        <v>67</v>
      </c>
      <c r="C38" s="54"/>
      <c r="D38" s="12">
        <f>C38*84</f>
        <v>0</v>
      </c>
      <c r="F38" s="30">
        <v>50</v>
      </c>
      <c r="G38" s="39"/>
      <c r="H38" s="149">
        <f t="shared" si="2"/>
        <v>0</v>
      </c>
      <c r="I38" s="150"/>
      <c r="J38" s="151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8"/>
      <c r="B39" s="29" t="s">
        <v>69</v>
      </c>
      <c r="C39" s="52"/>
      <c r="D39" s="31">
        <f>C39*4.5</f>
        <v>0</v>
      </c>
      <c r="F39" s="12">
        <v>20</v>
      </c>
      <c r="G39" s="37"/>
      <c r="H39" s="149">
        <f t="shared" si="2"/>
        <v>0</v>
      </c>
      <c r="I39" s="150"/>
      <c r="J39" s="15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6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49"/>
      <c r="I40" s="150"/>
      <c r="J40" s="151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7"/>
      <c r="B41" s="27" t="s">
        <v>67</v>
      </c>
      <c r="C41" s="10"/>
      <c r="D41" s="12">
        <f>C41*84</f>
        <v>0</v>
      </c>
      <c r="F41" s="12">
        <v>5</v>
      </c>
      <c r="G41" s="42"/>
      <c r="H41" s="149"/>
      <c r="I41" s="150"/>
      <c r="J41" s="151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8"/>
      <c r="B42" s="27" t="s">
        <v>69</v>
      </c>
      <c r="C42" s="11"/>
      <c r="D42" s="12">
        <f>C42*2.25</f>
        <v>0</v>
      </c>
      <c r="F42" s="39" t="s">
        <v>78</v>
      </c>
      <c r="G42" s="149"/>
      <c r="H42" s="150"/>
      <c r="I42" s="150"/>
      <c r="J42" s="151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19" t="s">
        <v>80</v>
      </c>
      <c r="C43" s="11"/>
      <c r="D43" s="12"/>
      <c r="F43" s="59" t="s">
        <v>81</v>
      </c>
      <c r="G43" s="88" t="s">
        <v>82</v>
      </c>
      <c r="H43" s="141" t="s">
        <v>13</v>
      </c>
      <c r="I43" s="142"/>
      <c r="J43" s="143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20"/>
      <c r="B44" s="27" t="s">
        <v>65</v>
      </c>
      <c r="C44" s="10"/>
      <c r="D44" s="12">
        <f>C44*120</f>
        <v>0</v>
      </c>
      <c r="F44" s="37"/>
      <c r="G44" s="62"/>
      <c r="H44" s="144"/>
      <c r="I44" s="144"/>
      <c r="J44" s="144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20"/>
      <c r="B45" s="27" t="s">
        <v>67</v>
      </c>
      <c r="C45" s="33"/>
      <c r="D45" s="12">
        <f>C45*84</f>
        <v>0</v>
      </c>
      <c r="F45" s="37"/>
      <c r="G45" s="62"/>
      <c r="H45" s="144"/>
      <c r="I45" s="144"/>
      <c r="J45" s="144"/>
      <c r="K45" s="21"/>
      <c r="P45" s="4"/>
      <c r="Q45" s="4"/>
      <c r="R45" s="5"/>
    </row>
    <row r="46" spans="1:18" ht="15.75" x14ac:dyDescent="0.25">
      <c r="A46" s="120"/>
      <c r="B46" s="49" t="s">
        <v>69</v>
      </c>
      <c r="C46" s="81"/>
      <c r="D46" s="12">
        <f>C46*1.5</f>
        <v>0</v>
      </c>
      <c r="F46" s="37"/>
      <c r="G46" s="62"/>
      <c r="H46" s="144"/>
      <c r="I46" s="144"/>
      <c r="J46" s="144"/>
      <c r="K46" s="21"/>
      <c r="P46" s="4"/>
      <c r="Q46" s="4"/>
      <c r="R46" s="5"/>
    </row>
    <row r="47" spans="1:18" ht="15.75" x14ac:dyDescent="0.25">
      <c r="A47" s="121"/>
      <c r="B47" s="27"/>
      <c r="C47" s="11"/>
      <c r="D47" s="12"/>
      <c r="F47" s="59"/>
      <c r="G47" s="59"/>
      <c r="H47" s="122"/>
      <c r="I47" s="123"/>
      <c r="J47" s="124"/>
      <c r="K47" s="21"/>
      <c r="P47" s="4"/>
      <c r="Q47" s="4"/>
      <c r="R47" s="5"/>
    </row>
    <row r="48" spans="1:18" ht="15" customHeight="1" x14ac:dyDescent="0.25">
      <c r="A48" s="119" t="s">
        <v>32</v>
      </c>
      <c r="B48" s="27" t="s">
        <v>65</v>
      </c>
      <c r="C48" s="10"/>
      <c r="D48" s="12">
        <f>C48*78</f>
        <v>0</v>
      </c>
      <c r="F48" s="59"/>
      <c r="G48" s="59"/>
      <c r="H48" s="122"/>
      <c r="I48" s="123"/>
      <c r="J48" s="124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20"/>
      <c r="B49" s="29" t="s">
        <v>67</v>
      </c>
      <c r="C49" s="33"/>
      <c r="D49" s="12">
        <f>C49*42</f>
        <v>0</v>
      </c>
      <c r="F49" s="125" t="s">
        <v>85</v>
      </c>
      <c r="G49" s="127">
        <f>H34+H35+H36+H37+H38+H39+H40+H41+G42+H44+H45+H46</f>
        <v>0</v>
      </c>
      <c r="H49" s="128"/>
      <c r="I49" s="128"/>
      <c r="J49" s="129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0"/>
      <c r="B50" s="32" t="s">
        <v>69</v>
      </c>
      <c r="C50" s="11"/>
      <c r="D50" s="12">
        <f>C50*1.5</f>
        <v>0</v>
      </c>
      <c r="F50" s="126"/>
      <c r="G50" s="130"/>
      <c r="H50" s="131"/>
      <c r="I50" s="131"/>
      <c r="J50" s="132"/>
      <c r="O50" t="s">
        <v>114</v>
      </c>
      <c r="P50" s="4">
        <v>1204</v>
      </c>
      <c r="Q50" s="4"/>
      <c r="R50" s="5"/>
    </row>
    <row r="51" spans="1:18" ht="15" customHeight="1" x14ac:dyDescent="0.25">
      <c r="A51" s="120"/>
      <c r="B51" s="27"/>
      <c r="C51" s="10"/>
      <c r="D51" s="31"/>
      <c r="F51" s="133" t="s">
        <v>109</v>
      </c>
      <c r="G51" s="246">
        <f>G49-H29</f>
        <v>0</v>
      </c>
      <c r="H51" s="247"/>
      <c r="I51" s="247"/>
      <c r="J51" s="248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20"/>
      <c r="B52" s="29"/>
      <c r="C52" s="33"/>
      <c r="D52" s="45"/>
      <c r="F52" s="134"/>
      <c r="G52" s="249"/>
      <c r="H52" s="250"/>
      <c r="I52" s="250"/>
      <c r="J52" s="251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1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05" t="s">
        <v>89</v>
      </c>
      <c r="B54" s="106"/>
      <c r="C54" s="107"/>
      <c r="D54" s="111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08"/>
      <c r="B55" s="109"/>
      <c r="C55" s="110"/>
      <c r="D55" s="11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113" t="s">
        <v>90</v>
      </c>
      <c r="B58" s="114"/>
      <c r="C58" s="114"/>
      <c r="D58" s="115"/>
      <c r="F58" s="113" t="s">
        <v>91</v>
      </c>
      <c r="G58" s="114"/>
      <c r="H58" s="114"/>
      <c r="I58" s="114"/>
      <c r="J58" s="115"/>
    </row>
    <row r="59" spans="1:18" x14ac:dyDescent="0.25">
      <c r="A59" s="116"/>
      <c r="B59" s="117"/>
      <c r="C59" s="117"/>
      <c r="D59" s="118"/>
      <c r="F59" s="116"/>
      <c r="G59" s="117"/>
      <c r="H59" s="117"/>
      <c r="I59" s="117"/>
      <c r="J59" s="118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6A67ED-5EE3-42FE-B708-111EF87B3F7C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1" t="s">
        <v>1</v>
      </c>
      <c r="O1" s="201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2" t="s">
        <v>7</v>
      </c>
      <c r="B4" s="153"/>
      <c r="C4" s="153"/>
      <c r="D4" s="154"/>
      <c r="F4" s="202" t="s">
        <v>8</v>
      </c>
      <c r="G4" s="204">
        <v>2</v>
      </c>
      <c r="H4" s="206" t="s">
        <v>9</v>
      </c>
      <c r="I4" s="208">
        <v>46150</v>
      </c>
      <c r="J4" s="20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6" t="s">
        <v>7</v>
      </c>
      <c r="B5" s="15" t="s">
        <v>11</v>
      </c>
      <c r="C5" s="9" t="s">
        <v>12</v>
      </c>
      <c r="D5" s="25" t="s">
        <v>13</v>
      </c>
      <c r="F5" s="203"/>
      <c r="G5" s="205"/>
      <c r="H5" s="207"/>
      <c r="I5" s="210"/>
      <c r="J5" s="21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7"/>
      <c r="B6" s="16" t="s">
        <v>15</v>
      </c>
      <c r="C6" s="10">
        <v>298</v>
      </c>
      <c r="D6" s="13">
        <f t="shared" ref="D6:D28" si="1">C6*L6</f>
        <v>226778</v>
      </c>
      <c r="F6" s="212" t="s">
        <v>16</v>
      </c>
      <c r="G6" s="214" t="s">
        <v>107</v>
      </c>
      <c r="H6" s="215"/>
      <c r="I6" s="215"/>
      <c r="J6" s="21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7"/>
      <c r="B7" s="16" t="s">
        <v>18</v>
      </c>
      <c r="C7" s="10">
        <v>3</v>
      </c>
      <c r="D7" s="13">
        <f t="shared" si="1"/>
        <v>2343</v>
      </c>
      <c r="F7" s="213"/>
      <c r="G7" s="217"/>
      <c r="H7" s="218"/>
      <c r="I7" s="218"/>
      <c r="J7" s="21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7"/>
      <c r="B8" s="16" t="s">
        <v>20</v>
      </c>
      <c r="C8" s="10"/>
      <c r="D8" s="13">
        <f t="shared" si="1"/>
        <v>0</v>
      </c>
      <c r="F8" s="220" t="s">
        <v>21</v>
      </c>
      <c r="G8" s="221" t="s">
        <v>100</v>
      </c>
      <c r="H8" s="222"/>
      <c r="I8" s="222"/>
      <c r="J8" s="22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7"/>
      <c r="B9" s="16" t="s">
        <v>23</v>
      </c>
      <c r="C9" s="10">
        <v>24</v>
      </c>
      <c r="D9" s="13">
        <f t="shared" si="1"/>
        <v>17592</v>
      </c>
      <c r="F9" s="213"/>
      <c r="G9" s="224"/>
      <c r="H9" s="225"/>
      <c r="I9" s="225"/>
      <c r="J9" s="22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7"/>
      <c r="B10" t="s">
        <v>25</v>
      </c>
      <c r="C10" s="10"/>
      <c r="D10" s="13">
        <f t="shared" si="1"/>
        <v>0</v>
      </c>
      <c r="F10" s="212" t="s">
        <v>26</v>
      </c>
      <c r="G10" s="227" t="s">
        <v>101</v>
      </c>
      <c r="H10" s="228"/>
      <c r="I10" s="228"/>
      <c r="J10" s="229"/>
      <c r="K10" s="8"/>
      <c r="L10" s="6">
        <f>R36</f>
        <v>1032</v>
      </c>
      <c r="P10" s="4"/>
      <c r="Q10" s="4"/>
      <c r="R10" s="5"/>
    </row>
    <row r="11" spans="1:18" ht="15.75" x14ac:dyDescent="0.25">
      <c r="A11" s="147"/>
      <c r="B11" s="17" t="s">
        <v>28</v>
      </c>
      <c r="C11" s="10"/>
      <c r="D11" s="13">
        <f t="shared" si="1"/>
        <v>0</v>
      </c>
      <c r="F11" s="213"/>
      <c r="G11" s="224"/>
      <c r="H11" s="225"/>
      <c r="I11" s="225"/>
      <c r="J11" s="22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7"/>
      <c r="B12" s="17" t="s">
        <v>30</v>
      </c>
      <c r="C12" s="10">
        <v>1</v>
      </c>
      <c r="D12" s="48">
        <f t="shared" si="1"/>
        <v>992</v>
      </c>
      <c r="F12" s="230" t="s">
        <v>33</v>
      </c>
      <c r="G12" s="231"/>
      <c r="H12" s="231"/>
      <c r="I12" s="231"/>
      <c r="J12" s="23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7"/>
      <c r="B13" s="17" t="s">
        <v>32</v>
      </c>
      <c r="C13" s="10">
        <v>9</v>
      </c>
      <c r="D13" s="48">
        <f t="shared" si="1"/>
        <v>2763</v>
      </c>
      <c r="F13" s="233" t="s">
        <v>36</v>
      </c>
      <c r="G13" s="197"/>
      <c r="H13" s="188">
        <f>D29</f>
        <v>257721</v>
      </c>
      <c r="I13" s="189"/>
      <c r="J13" s="19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7"/>
      <c r="B14" s="14" t="s">
        <v>35</v>
      </c>
      <c r="C14" s="10">
        <v>9</v>
      </c>
      <c r="D14" s="31">
        <f t="shared" si="1"/>
        <v>99</v>
      </c>
      <c r="F14" s="191" t="s">
        <v>38</v>
      </c>
      <c r="G14" s="192"/>
      <c r="H14" s="193">
        <f>D54</f>
        <v>24684</v>
      </c>
      <c r="I14" s="194"/>
      <c r="J14" s="19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7"/>
      <c r="B15" s="14" t="s">
        <v>122</v>
      </c>
      <c r="C15" s="10"/>
      <c r="D15" s="31">
        <f t="shared" si="1"/>
        <v>0</v>
      </c>
      <c r="F15" s="196" t="s">
        <v>39</v>
      </c>
      <c r="G15" s="197"/>
      <c r="H15" s="198">
        <f>H13-H14</f>
        <v>233037</v>
      </c>
      <c r="I15" s="199"/>
      <c r="J15" s="200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7"/>
      <c r="B16" s="18" t="s">
        <v>111</v>
      </c>
      <c r="C16" s="10">
        <v>4</v>
      </c>
      <c r="D16" s="48">
        <f t="shared" si="1"/>
        <v>2600</v>
      </c>
      <c r="F16" s="67" t="s">
        <v>41</v>
      </c>
      <c r="G16" s="66" t="s">
        <v>42</v>
      </c>
      <c r="H16" s="158">
        <v>1140</v>
      </c>
      <c r="I16" s="158"/>
      <c r="J16" s="158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7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69"/>
      <c r="I17" s="169"/>
      <c r="J17" s="169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7"/>
      <c r="B18" s="86" t="s">
        <v>125</v>
      </c>
      <c r="C18" s="10">
        <v>2</v>
      </c>
      <c r="D18" s="48">
        <f t="shared" si="1"/>
        <v>2204</v>
      </c>
      <c r="F18" s="56"/>
      <c r="G18" s="66" t="s">
        <v>46</v>
      </c>
      <c r="H18" s="169"/>
      <c r="I18" s="169"/>
      <c r="J18" s="169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7"/>
      <c r="B19" s="87" t="s">
        <v>105</v>
      </c>
      <c r="C19" s="10">
        <v>2</v>
      </c>
      <c r="D19" s="48">
        <f t="shared" si="1"/>
        <v>2350</v>
      </c>
      <c r="F19" s="56"/>
      <c r="G19" s="68" t="s">
        <v>49</v>
      </c>
      <c r="H19" s="252"/>
      <c r="I19" s="252"/>
      <c r="J19" s="252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7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69"/>
      <c r="I20" s="169"/>
      <c r="J20" s="169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7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71" t="s">
        <v>13</v>
      </c>
      <c r="I21" s="172"/>
      <c r="J21" s="173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7"/>
      <c r="B22" s="46" t="s">
        <v>103</v>
      </c>
      <c r="C22" s="10"/>
      <c r="D22" s="48">
        <f t="shared" si="1"/>
        <v>0</v>
      </c>
      <c r="F22" s="72"/>
      <c r="G22" s="73"/>
      <c r="H22" s="174"/>
      <c r="I22" s="174"/>
      <c r="J22" s="174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7"/>
      <c r="B23" s="14" t="s">
        <v>121</v>
      </c>
      <c r="C23" s="10"/>
      <c r="D23" s="48">
        <f t="shared" si="1"/>
        <v>0</v>
      </c>
      <c r="F23" s="25"/>
      <c r="G23" s="37"/>
      <c r="H23" s="175"/>
      <c r="I23" s="144"/>
      <c r="J23" s="144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7"/>
      <c r="B24" s="14" t="s">
        <v>128</v>
      </c>
      <c r="C24" s="10"/>
      <c r="D24" s="48">
        <f t="shared" si="1"/>
        <v>0</v>
      </c>
      <c r="F24" s="38"/>
      <c r="G24" s="37"/>
      <c r="H24" s="175"/>
      <c r="I24" s="144"/>
      <c r="J24" s="144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7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76" t="s">
        <v>13</v>
      </c>
      <c r="I25" s="177"/>
      <c r="J25" s="178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7"/>
      <c r="B26" s="14" t="s">
        <v>129</v>
      </c>
      <c r="C26" s="10"/>
      <c r="D26" s="48">
        <f t="shared" si="1"/>
        <v>0</v>
      </c>
      <c r="F26" s="64"/>
      <c r="G26" s="10"/>
      <c r="H26" s="179"/>
      <c r="I26" s="180"/>
      <c r="J26" s="181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7"/>
      <c r="B27" s="14" t="s">
        <v>130</v>
      </c>
      <c r="C27" s="10"/>
      <c r="D27" s="44">
        <f t="shared" si="1"/>
        <v>0</v>
      </c>
      <c r="F27" s="14"/>
      <c r="G27" s="14"/>
      <c r="H27" s="182"/>
      <c r="I27" s="183"/>
      <c r="J27" s="184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8"/>
      <c r="B28" s="46" t="s">
        <v>92</v>
      </c>
      <c r="C28" s="10"/>
      <c r="D28" s="48">
        <f t="shared" si="1"/>
        <v>0</v>
      </c>
      <c r="F28" s="91"/>
      <c r="G28" s="61"/>
      <c r="H28" s="185"/>
      <c r="I28" s="186"/>
      <c r="J28" s="187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9" t="s">
        <v>36</v>
      </c>
      <c r="B29" s="160"/>
      <c r="C29" s="161"/>
      <c r="D29" s="165">
        <f>SUM(D6:D28)</f>
        <v>257721</v>
      </c>
      <c r="F29" s="105" t="s">
        <v>54</v>
      </c>
      <c r="G29" s="167"/>
      <c r="H29" s="127">
        <f>H15-H16-H17-H18-H19-H20-H22-H23-H24+H26+H27</f>
        <v>231897</v>
      </c>
      <c r="I29" s="128"/>
      <c r="J29" s="129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08"/>
      <c r="G30" s="168"/>
      <c r="H30" s="130"/>
      <c r="I30" s="131"/>
      <c r="J30" s="132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2" t="s">
        <v>57</v>
      </c>
      <c r="B32" s="153"/>
      <c r="C32" s="153"/>
      <c r="D32" s="154"/>
      <c r="F32" s="155" t="s">
        <v>58</v>
      </c>
      <c r="G32" s="156"/>
      <c r="H32" s="156"/>
      <c r="I32" s="156"/>
      <c r="J32" s="157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2" t="s">
        <v>62</v>
      </c>
      <c r="H33" s="155" t="s">
        <v>13</v>
      </c>
      <c r="I33" s="156"/>
      <c r="J33" s="157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6" t="s">
        <v>64</v>
      </c>
      <c r="B34" s="26" t="s">
        <v>65</v>
      </c>
      <c r="C34" s="51"/>
      <c r="D34" s="30">
        <f>C34*120</f>
        <v>0</v>
      </c>
      <c r="F34" s="12">
        <v>1000</v>
      </c>
      <c r="G34" s="74">
        <v>48</v>
      </c>
      <c r="H34" s="149">
        <f>F34*G34</f>
        <v>48000</v>
      </c>
      <c r="I34" s="150"/>
      <c r="J34" s="151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7"/>
      <c r="B35" s="27" t="s">
        <v>67</v>
      </c>
      <c r="C35" s="52">
        <v>2</v>
      </c>
      <c r="D35" s="30">
        <f>C35*84</f>
        <v>168</v>
      </c>
      <c r="F35" s="58">
        <v>500</v>
      </c>
      <c r="G35" s="41">
        <v>84</v>
      </c>
      <c r="H35" s="149">
        <f t="shared" ref="H35:H39" si="2">F35*G35</f>
        <v>42000</v>
      </c>
      <c r="I35" s="150"/>
      <c r="J35" s="15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8"/>
      <c r="B36" s="26" t="s">
        <v>69</v>
      </c>
      <c r="C36" s="10">
        <v>20</v>
      </c>
      <c r="D36" s="12">
        <f>C36*1.5</f>
        <v>30</v>
      </c>
      <c r="F36" s="12">
        <v>200</v>
      </c>
      <c r="G36" s="37">
        <v>1</v>
      </c>
      <c r="H36" s="149">
        <f>F36*G36</f>
        <v>200</v>
      </c>
      <c r="I36" s="150"/>
      <c r="J36" s="151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6" t="s">
        <v>71</v>
      </c>
      <c r="B37" s="28" t="s">
        <v>65</v>
      </c>
      <c r="C37" s="53">
        <v>207</v>
      </c>
      <c r="D37" s="12">
        <f>C37*111</f>
        <v>22977</v>
      </c>
      <c r="F37" s="12">
        <v>100</v>
      </c>
      <c r="G37" s="39"/>
      <c r="H37" s="149">
        <f t="shared" si="2"/>
        <v>0</v>
      </c>
      <c r="I37" s="150"/>
      <c r="J37" s="151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7"/>
      <c r="B38" s="29" t="s">
        <v>67</v>
      </c>
      <c r="C38" s="54"/>
      <c r="D38" s="12">
        <f>C38*84</f>
        <v>0</v>
      </c>
      <c r="F38" s="30">
        <v>50</v>
      </c>
      <c r="G38" s="39"/>
      <c r="H38" s="149">
        <f t="shared" si="2"/>
        <v>0</v>
      </c>
      <c r="I38" s="150"/>
      <c r="J38" s="151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8"/>
      <c r="B39" s="29" t="s">
        <v>69</v>
      </c>
      <c r="C39" s="52">
        <v>14</v>
      </c>
      <c r="D39" s="31">
        <f>C39*4.5</f>
        <v>63</v>
      </c>
      <c r="F39" s="12">
        <v>20</v>
      </c>
      <c r="G39" s="37"/>
      <c r="H39" s="149">
        <f t="shared" si="2"/>
        <v>0</v>
      </c>
      <c r="I39" s="150"/>
      <c r="J39" s="15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6" t="s">
        <v>75</v>
      </c>
      <c r="B40" s="27" t="s">
        <v>65</v>
      </c>
      <c r="C40" s="63">
        <v>4</v>
      </c>
      <c r="D40" s="12">
        <f>C40*111</f>
        <v>444</v>
      </c>
      <c r="F40" s="12">
        <v>10</v>
      </c>
      <c r="G40" s="42"/>
      <c r="H40" s="149"/>
      <c r="I40" s="150"/>
      <c r="J40" s="151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7"/>
      <c r="B41" s="27" t="s">
        <v>67</v>
      </c>
      <c r="C41" s="10"/>
      <c r="D41" s="12">
        <f>C41*84</f>
        <v>0</v>
      </c>
      <c r="F41" s="12">
        <v>5</v>
      </c>
      <c r="G41" s="42"/>
      <c r="H41" s="149"/>
      <c r="I41" s="150"/>
      <c r="J41" s="151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8"/>
      <c r="B42" s="27" t="s">
        <v>69</v>
      </c>
      <c r="C42" s="11">
        <v>24</v>
      </c>
      <c r="D42" s="12">
        <f>C42*2.25</f>
        <v>54</v>
      </c>
      <c r="F42" s="39" t="s">
        <v>78</v>
      </c>
      <c r="G42" s="149">
        <v>30</v>
      </c>
      <c r="H42" s="150"/>
      <c r="I42" s="150"/>
      <c r="J42" s="151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19" t="s">
        <v>80</v>
      </c>
      <c r="C43" s="11"/>
      <c r="D43" s="12"/>
      <c r="F43" s="59" t="s">
        <v>81</v>
      </c>
      <c r="G43" s="88" t="s">
        <v>82</v>
      </c>
      <c r="H43" s="141" t="s">
        <v>13</v>
      </c>
      <c r="I43" s="142"/>
      <c r="J43" s="143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20"/>
      <c r="B44" s="27" t="s">
        <v>65</v>
      </c>
      <c r="C44" s="10">
        <v>2</v>
      </c>
      <c r="D44" s="12">
        <f>C44*120</f>
        <v>240</v>
      </c>
      <c r="F44" s="37" t="s">
        <v>132</v>
      </c>
      <c r="G44" s="62" t="s">
        <v>159</v>
      </c>
      <c r="H44" s="144">
        <v>144012</v>
      </c>
      <c r="I44" s="144"/>
      <c r="J44" s="144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20"/>
      <c r="B45" s="27" t="s">
        <v>67</v>
      </c>
      <c r="C45" s="33"/>
      <c r="D45" s="12">
        <f>C45*84</f>
        <v>0</v>
      </c>
      <c r="F45" s="37"/>
      <c r="G45" s="62"/>
      <c r="H45" s="144"/>
      <c r="I45" s="144"/>
      <c r="J45" s="144"/>
      <c r="K45" s="21"/>
      <c r="P45" s="4"/>
      <c r="Q45" s="4"/>
      <c r="R45" s="5"/>
    </row>
    <row r="46" spans="1:18" ht="15.75" x14ac:dyDescent="0.25">
      <c r="A46" s="120"/>
      <c r="B46" s="49" t="s">
        <v>69</v>
      </c>
      <c r="C46" s="81">
        <v>6</v>
      </c>
      <c r="D46" s="12">
        <f>C46*1.5</f>
        <v>9</v>
      </c>
      <c r="F46" s="37"/>
      <c r="G46" s="89"/>
      <c r="H46" s="145"/>
      <c r="I46" s="145"/>
      <c r="J46" s="145"/>
      <c r="K46" s="21"/>
      <c r="P46" s="4"/>
      <c r="Q46" s="4"/>
      <c r="R46" s="5"/>
    </row>
    <row r="47" spans="1:18" ht="15.75" x14ac:dyDescent="0.25">
      <c r="A47" s="121"/>
      <c r="B47" s="27"/>
      <c r="C47" s="11"/>
      <c r="D47" s="12"/>
      <c r="F47" s="59"/>
      <c r="G47" s="59"/>
      <c r="H47" s="122"/>
      <c r="I47" s="123"/>
      <c r="J47" s="124"/>
      <c r="K47" s="21"/>
      <c r="P47" s="4"/>
      <c r="Q47" s="4"/>
      <c r="R47" s="5"/>
    </row>
    <row r="48" spans="1:18" ht="15" customHeight="1" x14ac:dyDescent="0.25">
      <c r="A48" s="119" t="s">
        <v>32</v>
      </c>
      <c r="B48" s="27" t="s">
        <v>65</v>
      </c>
      <c r="C48" s="10">
        <v>5</v>
      </c>
      <c r="D48" s="12">
        <f>C48*78</f>
        <v>390</v>
      </c>
      <c r="F48" s="59"/>
      <c r="G48" s="59"/>
      <c r="H48" s="122"/>
      <c r="I48" s="123"/>
      <c r="J48" s="124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20"/>
      <c r="B49" s="29" t="s">
        <v>67</v>
      </c>
      <c r="C49" s="33">
        <v>7</v>
      </c>
      <c r="D49" s="12">
        <f>C49*42</f>
        <v>294</v>
      </c>
      <c r="F49" s="125" t="s">
        <v>85</v>
      </c>
      <c r="G49" s="127">
        <f>H34+H35+H36+H37+H38+H39+H40+H41+G42+H44+H45+H46</f>
        <v>234242</v>
      </c>
      <c r="H49" s="128"/>
      <c r="I49" s="128"/>
      <c r="J49" s="129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0"/>
      <c r="B50" s="32" t="s">
        <v>69</v>
      </c>
      <c r="C50" s="11">
        <v>10</v>
      </c>
      <c r="D50" s="12">
        <f>C50*1.5</f>
        <v>15</v>
      </c>
      <c r="F50" s="126"/>
      <c r="G50" s="130"/>
      <c r="H50" s="131"/>
      <c r="I50" s="131"/>
      <c r="J50" s="132"/>
      <c r="O50" t="s">
        <v>114</v>
      </c>
      <c r="P50" s="4">
        <v>1204</v>
      </c>
      <c r="Q50" s="4"/>
      <c r="R50" s="5"/>
    </row>
    <row r="51" spans="1:18" ht="15" customHeight="1" x14ac:dyDescent="0.25">
      <c r="A51" s="120"/>
      <c r="B51" s="27"/>
      <c r="C51" s="10"/>
      <c r="D51" s="31"/>
      <c r="F51" s="133" t="s">
        <v>112</v>
      </c>
      <c r="G51" s="135">
        <f>G49-H29</f>
        <v>2345</v>
      </c>
      <c r="H51" s="136"/>
      <c r="I51" s="136"/>
      <c r="J51" s="137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20"/>
      <c r="B52" s="29"/>
      <c r="C52" s="33"/>
      <c r="D52" s="45"/>
      <c r="F52" s="134"/>
      <c r="G52" s="138"/>
      <c r="H52" s="139"/>
      <c r="I52" s="139"/>
      <c r="J52" s="140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1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05" t="s">
        <v>89</v>
      </c>
      <c r="B54" s="106"/>
      <c r="C54" s="107"/>
      <c r="D54" s="111">
        <f>SUM(D34:D53)</f>
        <v>24684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08"/>
      <c r="B55" s="109"/>
      <c r="C55" s="110"/>
      <c r="D55" s="11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119</v>
      </c>
      <c r="D57" s="34"/>
      <c r="F57" s="36"/>
      <c r="G57" s="50"/>
      <c r="H57" s="50"/>
      <c r="I57" s="50"/>
      <c r="J57" s="43"/>
    </row>
    <row r="58" spans="1:18" x14ac:dyDescent="0.25">
      <c r="A58" s="113" t="s">
        <v>90</v>
      </c>
      <c r="B58" s="114"/>
      <c r="C58" s="114"/>
      <c r="D58" s="115"/>
      <c r="F58" s="113" t="s">
        <v>91</v>
      </c>
      <c r="G58" s="114"/>
      <c r="H58" s="114"/>
      <c r="I58" s="114"/>
      <c r="J58" s="115"/>
    </row>
    <row r="59" spans="1:18" x14ac:dyDescent="0.25">
      <c r="A59" s="116"/>
      <c r="B59" s="117"/>
      <c r="C59" s="117"/>
      <c r="D59" s="118"/>
      <c r="F59" s="116"/>
      <c r="G59" s="117"/>
      <c r="H59" s="117"/>
      <c r="I59" s="117"/>
      <c r="J59" s="118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027F19-129E-47B5-AFBE-5E474785B41D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1" t="s">
        <v>1</v>
      </c>
      <c r="O1" s="201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2" t="s">
        <v>7</v>
      </c>
      <c r="B4" s="153"/>
      <c r="C4" s="153"/>
      <c r="D4" s="154"/>
      <c r="F4" s="202" t="s">
        <v>8</v>
      </c>
      <c r="G4" s="204">
        <v>3</v>
      </c>
      <c r="H4" s="206" t="s">
        <v>9</v>
      </c>
      <c r="I4" s="208">
        <v>46150</v>
      </c>
      <c r="J4" s="20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6" t="s">
        <v>7</v>
      </c>
      <c r="B5" s="15" t="s">
        <v>11</v>
      </c>
      <c r="C5" s="9" t="s">
        <v>12</v>
      </c>
      <c r="D5" s="25" t="s">
        <v>13</v>
      </c>
      <c r="F5" s="203"/>
      <c r="G5" s="205"/>
      <c r="H5" s="207"/>
      <c r="I5" s="210"/>
      <c r="J5" s="21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7"/>
      <c r="B6" s="16" t="s">
        <v>15</v>
      </c>
      <c r="C6" s="10">
        <v>471</v>
      </c>
      <c r="D6" s="13">
        <f t="shared" ref="D6:D28" si="1">C6*L6</f>
        <v>358431</v>
      </c>
      <c r="F6" s="212" t="s">
        <v>16</v>
      </c>
      <c r="G6" s="214" t="s">
        <v>117</v>
      </c>
      <c r="H6" s="215"/>
      <c r="I6" s="215"/>
      <c r="J6" s="21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7"/>
      <c r="B7" s="16" t="s">
        <v>18</v>
      </c>
      <c r="C7" s="10">
        <v>20</v>
      </c>
      <c r="D7" s="13">
        <f t="shared" si="1"/>
        <v>15620</v>
      </c>
      <c r="F7" s="213"/>
      <c r="G7" s="217"/>
      <c r="H7" s="218"/>
      <c r="I7" s="218"/>
      <c r="J7" s="21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7"/>
      <c r="B8" s="16" t="s">
        <v>20</v>
      </c>
      <c r="C8" s="10">
        <v>1</v>
      </c>
      <c r="D8" s="13">
        <f t="shared" si="1"/>
        <v>1093</v>
      </c>
      <c r="F8" s="220" t="s">
        <v>21</v>
      </c>
      <c r="G8" s="221" t="s">
        <v>110</v>
      </c>
      <c r="H8" s="222"/>
      <c r="I8" s="222"/>
      <c r="J8" s="22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7"/>
      <c r="B9" s="16" t="s">
        <v>23</v>
      </c>
      <c r="C9" s="10">
        <v>40</v>
      </c>
      <c r="D9" s="13">
        <f t="shared" si="1"/>
        <v>29320</v>
      </c>
      <c r="F9" s="213"/>
      <c r="G9" s="224"/>
      <c r="H9" s="225"/>
      <c r="I9" s="225"/>
      <c r="J9" s="22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7"/>
      <c r="B10" t="s">
        <v>25</v>
      </c>
      <c r="C10" s="10">
        <v>2</v>
      </c>
      <c r="D10" s="13">
        <f t="shared" si="1"/>
        <v>2064</v>
      </c>
      <c r="F10" s="212" t="s">
        <v>26</v>
      </c>
      <c r="G10" s="227" t="s">
        <v>124</v>
      </c>
      <c r="H10" s="228"/>
      <c r="I10" s="228"/>
      <c r="J10" s="229"/>
      <c r="K10" s="8"/>
      <c r="L10" s="6">
        <f>R36</f>
        <v>1032</v>
      </c>
      <c r="P10" s="4"/>
      <c r="Q10" s="4"/>
      <c r="R10" s="5"/>
    </row>
    <row r="11" spans="1:18" ht="15.75" x14ac:dyDescent="0.25">
      <c r="A11" s="147"/>
      <c r="B11" s="17" t="s">
        <v>28</v>
      </c>
      <c r="C11" s="10"/>
      <c r="D11" s="13">
        <f t="shared" si="1"/>
        <v>0</v>
      </c>
      <c r="F11" s="213"/>
      <c r="G11" s="224"/>
      <c r="H11" s="225"/>
      <c r="I11" s="225"/>
      <c r="J11" s="22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7"/>
      <c r="B12" s="17" t="s">
        <v>30</v>
      </c>
      <c r="C12" s="10"/>
      <c r="D12" s="48">
        <f t="shared" si="1"/>
        <v>0</v>
      </c>
      <c r="F12" s="230" t="s">
        <v>33</v>
      </c>
      <c r="G12" s="231"/>
      <c r="H12" s="231"/>
      <c r="I12" s="231"/>
      <c r="J12" s="23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7"/>
      <c r="B13" s="17" t="s">
        <v>32</v>
      </c>
      <c r="C13" s="10">
        <v>15</v>
      </c>
      <c r="D13" s="48">
        <f t="shared" si="1"/>
        <v>4605</v>
      </c>
      <c r="F13" s="233" t="s">
        <v>36</v>
      </c>
      <c r="G13" s="197"/>
      <c r="H13" s="188">
        <f>D29</f>
        <v>411243</v>
      </c>
      <c r="I13" s="189"/>
      <c r="J13" s="19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7"/>
      <c r="B14" s="14" t="s">
        <v>35</v>
      </c>
      <c r="C14" s="10">
        <v>10</v>
      </c>
      <c r="D14" s="31">
        <f t="shared" si="1"/>
        <v>110</v>
      </c>
      <c r="F14" s="191" t="s">
        <v>38</v>
      </c>
      <c r="G14" s="192"/>
      <c r="H14" s="193">
        <f>D54</f>
        <v>62579.25</v>
      </c>
      <c r="I14" s="194"/>
      <c r="J14" s="19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7"/>
      <c r="B15" s="14" t="s">
        <v>122</v>
      </c>
      <c r="C15" s="10"/>
      <c r="D15" s="31">
        <f t="shared" si="1"/>
        <v>0</v>
      </c>
      <c r="F15" s="196" t="s">
        <v>39</v>
      </c>
      <c r="G15" s="197"/>
      <c r="H15" s="198">
        <f>H13-H14</f>
        <v>348663.75</v>
      </c>
      <c r="I15" s="199"/>
      <c r="J15" s="200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7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58">
        <f>888+300+1356</f>
        <v>2544</v>
      </c>
      <c r="I16" s="158"/>
      <c r="J16" s="158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7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69"/>
      <c r="I17" s="169"/>
      <c r="J17" s="169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7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69"/>
      <c r="I18" s="169"/>
      <c r="J18" s="169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7"/>
      <c r="B19" s="87" t="s">
        <v>105</v>
      </c>
      <c r="C19" s="10"/>
      <c r="D19" s="48">
        <f t="shared" si="1"/>
        <v>0</v>
      </c>
      <c r="F19" s="56"/>
      <c r="G19" s="68" t="s">
        <v>49</v>
      </c>
      <c r="H19" s="253"/>
      <c r="I19" s="253"/>
      <c r="J19" s="253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7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58"/>
      <c r="I20" s="158"/>
      <c r="J20" s="158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7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71" t="s">
        <v>13</v>
      </c>
      <c r="I21" s="172"/>
      <c r="J21" s="173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7"/>
      <c r="B22" s="46" t="s">
        <v>103</v>
      </c>
      <c r="C22" s="10"/>
      <c r="D22" s="48">
        <f t="shared" si="1"/>
        <v>0</v>
      </c>
      <c r="F22" s="77"/>
      <c r="G22" s="73"/>
      <c r="H22" s="174"/>
      <c r="I22" s="174"/>
      <c r="J22" s="174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7"/>
      <c r="B23" s="14" t="s">
        <v>121</v>
      </c>
      <c r="C23" s="10"/>
      <c r="D23" s="48">
        <f t="shared" si="1"/>
        <v>0</v>
      </c>
      <c r="F23" s="78"/>
      <c r="G23" s="79"/>
      <c r="H23" s="175"/>
      <c r="I23" s="144"/>
      <c r="J23" s="144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7"/>
      <c r="B24" s="14" t="s">
        <v>128</v>
      </c>
      <c r="C24" s="10"/>
      <c r="D24" s="48">
        <f t="shared" si="1"/>
        <v>0</v>
      </c>
      <c r="F24" s="38"/>
      <c r="G24" s="37"/>
      <c r="H24" s="175"/>
      <c r="I24" s="144"/>
      <c r="J24" s="144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7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76" t="s">
        <v>13</v>
      </c>
      <c r="I25" s="177"/>
      <c r="J25" s="178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7"/>
      <c r="B26" s="14" t="s">
        <v>129</v>
      </c>
      <c r="C26" s="10"/>
      <c r="D26" s="48">
        <f t="shared" si="1"/>
        <v>0</v>
      </c>
      <c r="F26" s="64"/>
      <c r="G26" s="59"/>
      <c r="H26" s="179"/>
      <c r="I26" s="180"/>
      <c r="J26" s="181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7"/>
      <c r="B27" s="14" t="s">
        <v>130</v>
      </c>
      <c r="C27" s="10"/>
      <c r="D27" s="44">
        <f t="shared" si="1"/>
        <v>0</v>
      </c>
      <c r="F27" s="25"/>
      <c r="G27" s="80"/>
      <c r="H27" s="182"/>
      <c r="I27" s="183"/>
      <c r="J27" s="184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8"/>
      <c r="B28" s="46" t="s">
        <v>92</v>
      </c>
      <c r="C28" s="10"/>
      <c r="D28" s="48">
        <f t="shared" si="1"/>
        <v>0</v>
      </c>
      <c r="F28" s="91"/>
      <c r="G28" s="61"/>
      <c r="H28" s="185"/>
      <c r="I28" s="186"/>
      <c r="J28" s="187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9" t="s">
        <v>36</v>
      </c>
      <c r="B29" s="160"/>
      <c r="C29" s="161"/>
      <c r="D29" s="165">
        <f>SUM(D6:D28)</f>
        <v>411243</v>
      </c>
      <c r="F29" s="105" t="s">
        <v>54</v>
      </c>
      <c r="G29" s="167"/>
      <c r="H29" s="127">
        <f>H15-H16-H17-H18-H19-H20-H22-H23-H24+H26+H27</f>
        <v>346119.75</v>
      </c>
      <c r="I29" s="128"/>
      <c r="J29" s="129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08"/>
      <c r="G30" s="168"/>
      <c r="H30" s="130"/>
      <c r="I30" s="131"/>
      <c r="J30" s="132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2" t="s">
        <v>57</v>
      </c>
      <c r="B32" s="153"/>
      <c r="C32" s="153"/>
      <c r="D32" s="154"/>
      <c r="F32" s="155" t="s">
        <v>58</v>
      </c>
      <c r="G32" s="156"/>
      <c r="H32" s="156"/>
      <c r="I32" s="156"/>
      <c r="J32" s="157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2" t="s">
        <v>62</v>
      </c>
      <c r="H33" s="155" t="s">
        <v>13</v>
      </c>
      <c r="I33" s="156"/>
      <c r="J33" s="157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6" t="s">
        <v>64</v>
      </c>
      <c r="B34" s="26" t="s">
        <v>65</v>
      </c>
      <c r="C34" s="51">
        <v>1</v>
      </c>
      <c r="D34" s="30">
        <f>C34*120</f>
        <v>120</v>
      </c>
      <c r="F34" s="12">
        <v>1000</v>
      </c>
      <c r="G34" s="74">
        <v>202</v>
      </c>
      <c r="H34" s="149">
        <f>F34*G34</f>
        <v>202000</v>
      </c>
      <c r="I34" s="150"/>
      <c r="J34" s="151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7"/>
      <c r="B35" s="27" t="s">
        <v>67</v>
      </c>
      <c r="C35" s="52">
        <v>1</v>
      </c>
      <c r="D35" s="30">
        <f>C35*84</f>
        <v>84</v>
      </c>
      <c r="F35" s="58">
        <v>500</v>
      </c>
      <c r="G35" s="41">
        <v>60</v>
      </c>
      <c r="H35" s="149">
        <f>F35*G35</f>
        <v>30000</v>
      </c>
      <c r="I35" s="150"/>
      <c r="J35" s="15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8"/>
      <c r="B36" s="26" t="s">
        <v>69</v>
      </c>
      <c r="C36" s="10">
        <v>18</v>
      </c>
      <c r="D36" s="12">
        <f>C36*1.5</f>
        <v>27</v>
      </c>
      <c r="F36" s="12">
        <v>200</v>
      </c>
      <c r="G36" s="37"/>
      <c r="H36" s="149">
        <f t="shared" ref="H36:H39" si="2">F36*G36</f>
        <v>0</v>
      </c>
      <c r="I36" s="150"/>
      <c r="J36" s="151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6" t="s">
        <v>71</v>
      </c>
      <c r="B37" s="28" t="s">
        <v>65</v>
      </c>
      <c r="C37" s="53">
        <v>518</v>
      </c>
      <c r="D37" s="12">
        <f>C37*111</f>
        <v>57498</v>
      </c>
      <c r="F37" s="12">
        <v>100</v>
      </c>
      <c r="G37" s="39">
        <v>6</v>
      </c>
      <c r="H37" s="149">
        <f t="shared" si="2"/>
        <v>600</v>
      </c>
      <c r="I37" s="150"/>
      <c r="J37" s="151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7"/>
      <c r="B38" s="29" t="s">
        <v>67</v>
      </c>
      <c r="C38" s="54">
        <v>9</v>
      </c>
      <c r="D38" s="12">
        <f>C38*84</f>
        <v>756</v>
      </c>
      <c r="F38" s="30">
        <v>50</v>
      </c>
      <c r="G38" s="39">
        <v>1</v>
      </c>
      <c r="H38" s="149">
        <f t="shared" si="2"/>
        <v>50</v>
      </c>
      <c r="I38" s="150"/>
      <c r="J38" s="151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8"/>
      <c r="B39" s="29" t="s">
        <v>69</v>
      </c>
      <c r="C39" s="52">
        <v>5</v>
      </c>
      <c r="D39" s="31">
        <f>C39*4.5</f>
        <v>22.5</v>
      </c>
      <c r="F39" s="12">
        <v>20</v>
      </c>
      <c r="G39" s="37"/>
      <c r="H39" s="149">
        <f t="shared" si="2"/>
        <v>0</v>
      </c>
      <c r="I39" s="150"/>
      <c r="J39" s="15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6" t="s">
        <v>75</v>
      </c>
      <c r="B40" s="27" t="s">
        <v>65</v>
      </c>
      <c r="C40" s="63">
        <v>16</v>
      </c>
      <c r="D40" s="12">
        <f>C40*111</f>
        <v>1776</v>
      </c>
      <c r="F40" s="12">
        <v>10</v>
      </c>
      <c r="G40" s="42"/>
      <c r="H40" s="149"/>
      <c r="I40" s="150"/>
      <c r="J40" s="151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7"/>
      <c r="B41" s="27" t="s">
        <v>67</v>
      </c>
      <c r="C41" s="10">
        <v>2</v>
      </c>
      <c r="D41" s="12">
        <f>C41*84</f>
        <v>168</v>
      </c>
      <c r="F41" s="12">
        <v>5</v>
      </c>
      <c r="G41" s="42"/>
      <c r="H41" s="149"/>
      <c r="I41" s="150"/>
      <c r="J41" s="151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8"/>
      <c r="B42" s="27" t="s">
        <v>69</v>
      </c>
      <c r="C42" s="11">
        <v>5</v>
      </c>
      <c r="D42" s="12">
        <f>C42*2.25</f>
        <v>11.25</v>
      </c>
      <c r="F42" s="39" t="s">
        <v>78</v>
      </c>
      <c r="G42" s="149">
        <v>84</v>
      </c>
      <c r="H42" s="150"/>
      <c r="I42" s="150"/>
      <c r="J42" s="151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19" t="s">
        <v>80</v>
      </c>
      <c r="C43" s="11"/>
      <c r="D43" s="12"/>
      <c r="F43" s="59" t="s">
        <v>81</v>
      </c>
      <c r="G43" s="88" t="s">
        <v>82</v>
      </c>
      <c r="H43" s="141" t="s">
        <v>13</v>
      </c>
      <c r="I43" s="142"/>
      <c r="J43" s="143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20"/>
      <c r="B44" s="27" t="s">
        <v>65</v>
      </c>
      <c r="C44" s="10">
        <v>1</v>
      </c>
      <c r="D44" s="12">
        <f>C44*120</f>
        <v>120</v>
      </c>
      <c r="F44" s="37" t="s">
        <v>132</v>
      </c>
      <c r="G44" s="62" t="s">
        <v>160</v>
      </c>
      <c r="H44" s="144">
        <v>95996</v>
      </c>
      <c r="I44" s="144"/>
      <c r="J44" s="144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20"/>
      <c r="B45" s="27" t="s">
        <v>67</v>
      </c>
      <c r="C45" s="33"/>
      <c r="D45" s="12">
        <f>C45*84</f>
        <v>0</v>
      </c>
      <c r="F45" s="37" t="s">
        <v>137</v>
      </c>
      <c r="G45" s="76"/>
      <c r="H45" s="144">
        <v>18000</v>
      </c>
      <c r="I45" s="144"/>
      <c r="J45" s="144"/>
      <c r="K45" s="21"/>
      <c r="P45" s="4"/>
      <c r="Q45" s="4"/>
      <c r="R45" s="5"/>
    </row>
    <row r="46" spans="1:18" ht="15.75" x14ac:dyDescent="0.25">
      <c r="A46" s="120"/>
      <c r="B46" s="49" t="s">
        <v>69</v>
      </c>
      <c r="C46" s="81">
        <v>8</v>
      </c>
      <c r="D46" s="12">
        <f>C46*1.5</f>
        <v>12</v>
      </c>
      <c r="F46" s="37"/>
      <c r="G46" s="62"/>
      <c r="H46" s="145"/>
      <c r="I46" s="145"/>
      <c r="J46" s="145"/>
      <c r="K46" s="21"/>
      <c r="P46" s="4"/>
      <c r="Q46" s="4"/>
      <c r="R46" s="5"/>
    </row>
    <row r="47" spans="1:18" ht="15.75" x14ac:dyDescent="0.25">
      <c r="A47" s="121"/>
      <c r="B47" s="27"/>
      <c r="C47" s="11"/>
      <c r="D47" s="12"/>
      <c r="F47" s="59"/>
      <c r="G47" s="59"/>
      <c r="H47" s="122"/>
      <c r="I47" s="123"/>
      <c r="J47" s="124"/>
      <c r="K47" s="21"/>
      <c r="P47" s="4"/>
      <c r="Q47" s="4"/>
      <c r="R47" s="5"/>
    </row>
    <row r="48" spans="1:18" ht="15" customHeight="1" x14ac:dyDescent="0.25">
      <c r="A48" s="119" t="s">
        <v>32</v>
      </c>
      <c r="B48" s="27" t="s">
        <v>65</v>
      </c>
      <c r="C48" s="10">
        <v>7</v>
      </c>
      <c r="D48" s="12">
        <f>C48*78</f>
        <v>546</v>
      </c>
      <c r="F48" s="59"/>
      <c r="G48" s="59"/>
      <c r="H48" s="122"/>
      <c r="I48" s="123"/>
      <c r="J48" s="124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20"/>
      <c r="B49" s="29" t="s">
        <v>67</v>
      </c>
      <c r="C49" s="33">
        <v>34</v>
      </c>
      <c r="D49" s="12">
        <f>C49*42</f>
        <v>1428</v>
      </c>
      <c r="F49" s="125" t="s">
        <v>85</v>
      </c>
      <c r="G49" s="127">
        <f>H34+H35+H36+H37+H38+H39+H40+H41+G42+H44+H45+H46</f>
        <v>346730</v>
      </c>
      <c r="H49" s="128"/>
      <c r="I49" s="128"/>
      <c r="J49" s="129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0"/>
      <c r="B50" s="32" t="s">
        <v>69</v>
      </c>
      <c r="C50" s="11">
        <v>7</v>
      </c>
      <c r="D50" s="12">
        <f>C50*1.5</f>
        <v>10.5</v>
      </c>
      <c r="F50" s="126"/>
      <c r="G50" s="130"/>
      <c r="H50" s="131"/>
      <c r="I50" s="131"/>
      <c r="J50" s="132"/>
      <c r="O50" t="s">
        <v>114</v>
      </c>
      <c r="P50" s="4">
        <v>1204</v>
      </c>
      <c r="Q50" s="4"/>
      <c r="R50" s="5"/>
    </row>
    <row r="51" spans="1:18" ht="15" customHeight="1" x14ac:dyDescent="0.25">
      <c r="A51" s="120"/>
      <c r="B51" s="27"/>
      <c r="C51" s="10"/>
      <c r="D51" s="31"/>
      <c r="F51" s="133" t="s">
        <v>115</v>
      </c>
      <c r="G51" s="135">
        <f>G49-H29</f>
        <v>610.25</v>
      </c>
      <c r="H51" s="136"/>
      <c r="I51" s="136"/>
      <c r="J51" s="137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20"/>
      <c r="B52" s="29"/>
      <c r="C52" s="33"/>
      <c r="D52" s="45"/>
      <c r="F52" s="134"/>
      <c r="G52" s="138"/>
      <c r="H52" s="139"/>
      <c r="I52" s="139"/>
      <c r="J52" s="140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1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05" t="s">
        <v>89</v>
      </c>
      <c r="B54" s="106"/>
      <c r="C54" s="107"/>
      <c r="D54" s="111">
        <f>SUM(D34:D53)</f>
        <v>62579.25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08"/>
      <c r="B55" s="109"/>
      <c r="C55" s="110"/>
      <c r="D55" s="11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13" t="s">
        <v>90</v>
      </c>
      <c r="B58" s="114"/>
      <c r="C58" s="114"/>
      <c r="D58" s="115"/>
      <c r="F58" s="113" t="s">
        <v>91</v>
      </c>
      <c r="G58" s="114"/>
      <c r="H58" s="114"/>
      <c r="I58" s="114"/>
      <c r="J58" s="115"/>
    </row>
    <row r="59" spans="1:18" x14ac:dyDescent="0.25">
      <c r="A59" s="116"/>
      <c r="B59" s="117"/>
      <c r="C59" s="117"/>
      <c r="D59" s="118"/>
      <c r="F59" s="116"/>
      <c r="G59" s="117"/>
      <c r="H59" s="117"/>
      <c r="I59" s="117"/>
      <c r="J59" s="118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35625F-E069-4BC5-B50C-6B25FD34001C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01" t="s">
        <v>1</v>
      </c>
      <c r="O1" s="201"/>
      <c r="P1" s="90" t="s">
        <v>2</v>
      </c>
      <c r="Q1" s="90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52" t="s">
        <v>7</v>
      </c>
      <c r="B4" s="153"/>
      <c r="C4" s="153"/>
      <c r="D4" s="154"/>
      <c r="F4" s="202" t="s">
        <v>8</v>
      </c>
      <c r="G4" s="204"/>
      <c r="H4" s="206" t="s">
        <v>9</v>
      </c>
      <c r="I4" s="208"/>
      <c r="J4" s="20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46" t="s">
        <v>7</v>
      </c>
      <c r="B5" s="15" t="s">
        <v>11</v>
      </c>
      <c r="C5" s="9" t="s">
        <v>12</v>
      </c>
      <c r="D5" s="25" t="s">
        <v>13</v>
      </c>
      <c r="F5" s="203"/>
      <c r="G5" s="205"/>
      <c r="H5" s="207"/>
      <c r="I5" s="210"/>
      <c r="J5" s="21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47"/>
      <c r="B6" s="16"/>
      <c r="C6" s="10"/>
      <c r="D6" s="13">
        <f t="shared" ref="D6:D28" si="1">C6*L6</f>
        <v>0</v>
      </c>
      <c r="F6" s="212" t="s">
        <v>16</v>
      </c>
      <c r="G6" s="214"/>
      <c r="H6" s="215"/>
      <c r="I6" s="215"/>
      <c r="J6" s="216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47"/>
      <c r="B7" s="16"/>
      <c r="C7" s="10"/>
      <c r="D7" s="13">
        <f t="shared" si="1"/>
        <v>0</v>
      </c>
      <c r="F7" s="213"/>
      <c r="G7" s="217"/>
      <c r="H7" s="218"/>
      <c r="I7" s="218"/>
      <c r="J7" s="219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47"/>
      <c r="B8" s="16"/>
      <c r="C8" s="10"/>
      <c r="D8" s="13">
        <f t="shared" si="1"/>
        <v>0</v>
      </c>
      <c r="F8" s="220" t="s">
        <v>21</v>
      </c>
      <c r="G8" s="221"/>
      <c r="H8" s="222"/>
      <c r="I8" s="222"/>
      <c r="J8" s="223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47"/>
      <c r="B9" s="16"/>
      <c r="C9" s="10"/>
      <c r="D9" s="13">
        <f t="shared" si="1"/>
        <v>0</v>
      </c>
      <c r="F9" s="213"/>
      <c r="G9" s="224"/>
      <c r="H9" s="225"/>
      <c r="I9" s="225"/>
      <c r="J9" s="226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47"/>
      <c r="C10" s="10"/>
      <c r="D10" s="13">
        <f t="shared" si="1"/>
        <v>0</v>
      </c>
      <c r="F10" s="212" t="s">
        <v>26</v>
      </c>
      <c r="G10" s="227"/>
      <c r="H10" s="228"/>
      <c r="I10" s="228"/>
      <c r="J10" s="229"/>
      <c r="K10" s="8"/>
      <c r="L10" s="6">
        <f>R36</f>
        <v>972</v>
      </c>
      <c r="P10" s="4"/>
      <c r="Q10" s="4"/>
      <c r="R10" s="5"/>
    </row>
    <row r="11" spans="1:19" ht="15.75" x14ac:dyDescent="0.25">
      <c r="A11" s="147"/>
      <c r="B11" s="17"/>
      <c r="C11" s="10"/>
      <c r="D11" s="13">
        <f t="shared" si="1"/>
        <v>0</v>
      </c>
      <c r="F11" s="213"/>
      <c r="G11" s="224"/>
      <c r="H11" s="225"/>
      <c r="I11" s="225"/>
      <c r="J11" s="226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47"/>
      <c r="B12" s="17"/>
      <c r="C12" s="10"/>
      <c r="D12" s="48">
        <f t="shared" si="1"/>
        <v>0</v>
      </c>
      <c r="F12" s="230" t="s">
        <v>33</v>
      </c>
      <c r="G12" s="231"/>
      <c r="H12" s="231"/>
      <c r="I12" s="231"/>
      <c r="J12" s="232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47"/>
      <c r="B13" s="17"/>
      <c r="C13" s="10"/>
      <c r="D13" s="48">
        <f t="shared" si="1"/>
        <v>0</v>
      </c>
      <c r="F13" s="233" t="s">
        <v>36</v>
      </c>
      <c r="G13" s="197"/>
      <c r="H13" s="188">
        <f>D29</f>
        <v>0</v>
      </c>
      <c r="I13" s="189"/>
      <c r="J13" s="19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47"/>
      <c r="B14" s="14"/>
      <c r="C14" s="10"/>
      <c r="D14" s="31">
        <f t="shared" si="1"/>
        <v>0</v>
      </c>
      <c r="F14" s="191" t="s">
        <v>38</v>
      </c>
      <c r="G14" s="192"/>
      <c r="H14" s="193">
        <f>D54</f>
        <v>0</v>
      </c>
      <c r="I14" s="194"/>
      <c r="J14" s="19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47"/>
      <c r="B15" s="14"/>
      <c r="C15" s="10"/>
      <c r="D15" s="31">
        <f t="shared" si="1"/>
        <v>0</v>
      </c>
      <c r="F15" s="196" t="s">
        <v>39</v>
      </c>
      <c r="G15" s="197"/>
      <c r="H15" s="198">
        <f>H13-H14</f>
        <v>0</v>
      </c>
      <c r="I15" s="199"/>
      <c r="J15" s="200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47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58"/>
      <c r="I16" s="158"/>
      <c r="J16" s="158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7"/>
      <c r="C17" s="10"/>
      <c r="D17" s="48">
        <f t="shared" si="1"/>
        <v>0</v>
      </c>
      <c r="F17" s="56"/>
      <c r="G17" s="66" t="s">
        <v>44</v>
      </c>
      <c r="H17" s="169"/>
      <c r="I17" s="169"/>
      <c r="J17" s="169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7"/>
      <c r="B18" s="19"/>
      <c r="C18" s="10"/>
      <c r="D18" s="48">
        <f t="shared" si="1"/>
        <v>0</v>
      </c>
      <c r="F18" s="56"/>
      <c r="G18" s="66" t="s">
        <v>46</v>
      </c>
      <c r="H18" s="169"/>
      <c r="I18" s="169"/>
      <c r="J18" s="16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7"/>
      <c r="B19" s="14"/>
      <c r="C19" s="10"/>
      <c r="D19" s="48">
        <f t="shared" si="1"/>
        <v>0</v>
      </c>
      <c r="F19" s="56"/>
      <c r="G19" s="68" t="s">
        <v>49</v>
      </c>
      <c r="H19" s="170"/>
      <c r="I19" s="170"/>
      <c r="J19" s="170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7"/>
      <c r="B20" s="46"/>
      <c r="C20" s="10"/>
      <c r="D20" s="13">
        <f t="shared" si="1"/>
        <v>0</v>
      </c>
      <c r="F20" s="57"/>
      <c r="G20" s="70" t="s">
        <v>102</v>
      </c>
      <c r="H20" s="158"/>
      <c r="I20" s="158"/>
      <c r="J20" s="158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7"/>
      <c r="B21" s="14"/>
      <c r="C21" s="10"/>
      <c r="D21" s="48">
        <f t="shared" si="1"/>
        <v>0</v>
      </c>
      <c r="F21" s="69" t="s">
        <v>94</v>
      </c>
      <c r="G21" s="82" t="s">
        <v>93</v>
      </c>
      <c r="H21" s="171" t="s">
        <v>13</v>
      </c>
      <c r="I21" s="172"/>
      <c r="J21" s="173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7"/>
      <c r="B22" s="46"/>
      <c r="C22" s="10"/>
      <c r="D22" s="48">
        <f t="shared" si="1"/>
        <v>0</v>
      </c>
      <c r="F22" s="77"/>
      <c r="G22" s="73"/>
      <c r="H22" s="174"/>
      <c r="I22" s="174"/>
      <c r="J22" s="174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7"/>
      <c r="B23" s="14"/>
      <c r="C23" s="10"/>
      <c r="D23" s="48">
        <f t="shared" si="1"/>
        <v>0</v>
      </c>
      <c r="F23" s="78"/>
      <c r="G23" s="79"/>
      <c r="H23" s="175"/>
      <c r="I23" s="144"/>
      <c r="J23" s="144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7"/>
      <c r="B24" s="14"/>
      <c r="C24" s="10"/>
      <c r="D24" s="48">
        <f t="shared" si="1"/>
        <v>0</v>
      </c>
      <c r="F24" s="38"/>
      <c r="G24" s="37"/>
      <c r="H24" s="175"/>
      <c r="I24" s="144"/>
      <c r="J24" s="144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7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176" t="s">
        <v>13</v>
      </c>
      <c r="I25" s="177"/>
      <c r="J25" s="178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7"/>
      <c r="B26" s="14"/>
      <c r="C26" s="10"/>
      <c r="D26" s="48">
        <f t="shared" si="1"/>
        <v>0</v>
      </c>
      <c r="F26" s="64"/>
      <c r="G26" s="59"/>
      <c r="H26" s="179"/>
      <c r="I26" s="180"/>
      <c r="J26" s="181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7"/>
      <c r="B27" s="14"/>
      <c r="C27" s="10"/>
      <c r="D27" s="44">
        <f t="shared" si="1"/>
        <v>0</v>
      </c>
      <c r="F27" s="25"/>
      <c r="G27" s="80"/>
      <c r="H27" s="182"/>
      <c r="I27" s="183"/>
      <c r="J27" s="184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8"/>
      <c r="B28" s="46"/>
      <c r="C28" s="10"/>
      <c r="D28" s="48">
        <f t="shared" si="1"/>
        <v>0</v>
      </c>
      <c r="F28" s="91"/>
      <c r="G28" s="61"/>
      <c r="H28" s="185"/>
      <c r="I28" s="186"/>
      <c r="J28" s="187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9" t="s">
        <v>36</v>
      </c>
      <c r="B29" s="160"/>
      <c r="C29" s="161"/>
      <c r="D29" s="165">
        <f>SUM(D6:D28)</f>
        <v>0</v>
      </c>
      <c r="F29" s="105" t="s">
        <v>54</v>
      </c>
      <c r="G29" s="167"/>
      <c r="H29" s="127">
        <f>H15-H16-H17-H18-H19-H20-H22-H23-H24+H26+H27</f>
        <v>0</v>
      </c>
      <c r="I29" s="128"/>
      <c r="J29" s="129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08"/>
      <c r="G30" s="168"/>
      <c r="H30" s="130"/>
      <c r="I30" s="131"/>
      <c r="J30" s="132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52" t="s">
        <v>57</v>
      </c>
      <c r="B32" s="153"/>
      <c r="C32" s="153"/>
      <c r="D32" s="154"/>
      <c r="F32" s="155" t="s">
        <v>58</v>
      </c>
      <c r="G32" s="156"/>
      <c r="H32" s="156"/>
      <c r="I32" s="156"/>
      <c r="J32" s="157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2" t="s">
        <v>62</v>
      </c>
      <c r="H33" s="155" t="s">
        <v>13</v>
      </c>
      <c r="I33" s="156"/>
      <c r="J33" s="157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6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149"/>
      <c r="I34" s="150"/>
      <c r="J34" s="151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7"/>
      <c r="B35" s="27" t="s">
        <v>67</v>
      </c>
      <c r="C35" s="52"/>
      <c r="D35" s="30">
        <f>C35*84</f>
        <v>0</v>
      </c>
      <c r="F35" s="58">
        <v>500</v>
      </c>
      <c r="G35" s="41"/>
      <c r="H35" s="149"/>
      <c r="I35" s="150"/>
      <c r="J35" s="15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8"/>
      <c r="B36" s="26" t="s">
        <v>69</v>
      </c>
      <c r="C36" s="10"/>
      <c r="D36" s="12">
        <f>C36*1.5</f>
        <v>0</v>
      </c>
      <c r="F36" s="12">
        <v>200</v>
      </c>
      <c r="G36" s="37"/>
      <c r="H36" s="149"/>
      <c r="I36" s="150"/>
      <c r="J36" s="151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6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49"/>
      <c r="I37" s="150"/>
      <c r="J37" s="151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7"/>
      <c r="B38" s="29" t="s">
        <v>67</v>
      </c>
      <c r="C38" s="54"/>
      <c r="D38" s="12">
        <f>C38*84</f>
        <v>0</v>
      </c>
      <c r="F38" s="30">
        <v>50</v>
      </c>
      <c r="G38" s="39"/>
      <c r="H38" s="149"/>
      <c r="I38" s="150"/>
      <c r="J38" s="151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8"/>
      <c r="B39" s="29" t="s">
        <v>69</v>
      </c>
      <c r="C39" s="52"/>
      <c r="D39" s="31">
        <f>C39*4.5</f>
        <v>0</v>
      </c>
      <c r="F39" s="12">
        <v>20</v>
      </c>
      <c r="G39" s="37"/>
      <c r="H39" s="149"/>
      <c r="I39" s="150"/>
      <c r="J39" s="15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6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49"/>
      <c r="I40" s="150"/>
      <c r="J40" s="151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7"/>
      <c r="B41" s="27" t="s">
        <v>67</v>
      </c>
      <c r="C41" s="10"/>
      <c r="D41" s="12">
        <f>C41*84</f>
        <v>0</v>
      </c>
      <c r="F41" s="12">
        <v>5</v>
      </c>
      <c r="G41" s="42"/>
      <c r="H41" s="149"/>
      <c r="I41" s="150"/>
      <c r="J41" s="151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8"/>
      <c r="B42" s="27" t="s">
        <v>69</v>
      </c>
      <c r="C42" s="11"/>
      <c r="D42" s="12">
        <f>C42*2.25</f>
        <v>0</v>
      </c>
      <c r="F42" s="39" t="s">
        <v>78</v>
      </c>
      <c r="G42" s="149"/>
      <c r="H42" s="150"/>
      <c r="I42" s="150"/>
      <c r="J42" s="151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19" t="s">
        <v>80</v>
      </c>
      <c r="C43" s="11"/>
      <c r="D43" s="12"/>
      <c r="F43" s="59" t="s">
        <v>81</v>
      </c>
      <c r="G43" s="88" t="s">
        <v>82</v>
      </c>
      <c r="H43" s="141" t="s">
        <v>13</v>
      </c>
      <c r="I43" s="142"/>
      <c r="J43" s="143"/>
      <c r="K43" s="21"/>
      <c r="P43" s="4"/>
      <c r="Q43" s="4"/>
      <c r="R43" s="5"/>
    </row>
    <row r="44" spans="1:18" ht="15.75" x14ac:dyDescent="0.25">
      <c r="A44" s="120"/>
      <c r="B44" s="27" t="s">
        <v>65</v>
      </c>
      <c r="C44" s="10"/>
      <c r="D44" s="12">
        <f>C44*120</f>
        <v>0</v>
      </c>
      <c r="F44" s="37"/>
      <c r="G44" s="76"/>
      <c r="H44" s="144"/>
      <c r="I44" s="144"/>
      <c r="J44" s="144"/>
      <c r="K44" s="21"/>
      <c r="P44" s="4"/>
      <c r="Q44" s="4"/>
      <c r="R44" s="5"/>
    </row>
    <row r="45" spans="1:18" ht="15.75" x14ac:dyDescent="0.25">
      <c r="A45" s="120"/>
      <c r="B45" s="27" t="s">
        <v>67</v>
      </c>
      <c r="C45" s="33"/>
      <c r="D45" s="12">
        <f>C45*84</f>
        <v>0</v>
      </c>
      <c r="F45" s="37"/>
      <c r="G45" s="76"/>
      <c r="H45" s="144"/>
      <c r="I45" s="144"/>
      <c r="J45" s="144"/>
      <c r="K45" s="21"/>
      <c r="P45" s="4"/>
      <c r="Q45" s="4"/>
      <c r="R45" s="5"/>
    </row>
    <row r="46" spans="1:18" ht="15.75" x14ac:dyDescent="0.25">
      <c r="A46" s="120"/>
      <c r="B46" s="49" t="s">
        <v>69</v>
      </c>
      <c r="C46" s="81"/>
      <c r="D46" s="12">
        <f>C46*1.5</f>
        <v>0</v>
      </c>
      <c r="F46" s="37"/>
      <c r="G46" s="62"/>
      <c r="H46" s="145"/>
      <c r="I46" s="145"/>
      <c r="J46" s="145"/>
      <c r="K46" s="21"/>
      <c r="P46" s="4"/>
      <c r="Q46" s="4"/>
      <c r="R46" s="5"/>
    </row>
    <row r="47" spans="1:18" ht="15.75" x14ac:dyDescent="0.25">
      <c r="A47" s="121"/>
      <c r="B47" s="27"/>
      <c r="C47" s="11"/>
      <c r="D47" s="12"/>
      <c r="F47" s="59"/>
      <c r="G47" s="59"/>
      <c r="H47" s="122"/>
      <c r="I47" s="123"/>
      <c r="J47" s="124"/>
      <c r="K47" s="21"/>
      <c r="P47" s="4"/>
      <c r="Q47" s="4"/>
      <c r="R47" s="5"/>
    </row>
    <row r="48" spans="1:18" ht="15" customHeight="1" x14ac:dyDescent="0.25">
      <c r="A48" s="119" t="s">
        <v>32</v>
      </c>
      <c r="B48" s="27" t="s">
        <v>65</v>
      </c>
      <c r="C48" s="10"/>
      <c r="D48" s="12">
        <f>C48*78</f>
        <v>0</v>
      </c>
      <c r="F48" s="59"/>
      <c r="G48" s="59"/>
      <c r="H48" s="122"/>
      <c r="I48" s="123"/>
      <c r="J48" s="124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20"/>
      <c r="B49" s="29" t="s">
        <v>67</v>
      </c>
      <c r="C49" s="33"/>
      <c r="D49" s="12">
        <f>C49*42</f>
        <v>0</v>
      </c>
      <c r="F49" s="125" t="s">
        <v>85</v>
      </c>
      <c r="G49" s="127">
        <f>H34+H35+H36+H37+H38+H39+H40+H41+G42+H44+H45+H46</f>
        <v>0</v>
      </c>
      <c r="H49" s="128"/>
      <c r="I49" s="128"/>
      <c r="J49" s="129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0"/>
      <c r="B50" s="32" t="s">
        <v>69</v>
      </c>
      <c r="C50" s="11"/>
      <c r="D50" s="12">
        <f>C50*1.5</f>
        <v>0</v>
      </c>
      <c r="F50" s="126"/>
      <c r="G50" s="130"/>
      <c r="H50" s="131"/>
      <c r="I50" s="131"/>
      <c r="J50" s="132"/>
      <c r="P50" s="4"/>
      <c r="Q50" s="4"/>
      <c r="R50" s="5"/>
    </row>
    <row r="51" spans="1:18" ht="15" customHeight="1" x14ac:dyDescent="0.25">
      <c r="A51" s="120"/>
      <c r="B51" s="27"/>
      <c r="C51" s="10"/>
      <c r="D51" s="31"/>
      <c r="F51" s="133" t="s">
        <v>106</v>
      </c>
      <c r="G51" s="135">
        <f>G49-H29</f>
        <v>0</v>
      </c>
      <c r="H51" s="136"/>
      <c r="I51" s="136"/>
      <c r="J51" s="137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0"/>
      <c r="B52" s="29"/>
      <c r="C52" s="33"/>
      <c r="D52" s="45"/>
      <c r="F52" s="134"/>
      <c r="G52" s="138"/>
      <c r="H52" s="139"/>
      <c r="I52" s="139"/>
      <c r="J52" s="140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1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05" t="s">
        <v>89</v>
      </c>
      <c r="B54" s="106"/>
      <c r="C54" s="107"/>
      <c r="D54" s="111">
        <f>SUM(D34:D53)</f>
        <v>0</v>
      </c>
      <c r="F54" s="21"/>
      <c r="J54" s="34"/>
    </row>
    <row r="55" spans="1:18" x14ac:dyDescent="0.25">
      <c r="A55" s="108"/>
      <c r="B55" s="109"/>
      <c r="C55" s="110"/>
      <c r="D55" s="11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13" t="s">
        <v>90</v>
      </c>
      <c r="B58" s="114"/>
      <c r="C58" s="114"/>
      <c r="D58" s="115"/>
      <c r="F58" s="113" t="s">
        <v>91</v>
      </c>
      <c r="G58" s="114"/>
      <c r="H58" s="114"/>
      <c r="I58" s="114"/>
      <c r="J58" s="115"/>
    </row>
    <row r="59" spans="1:18" x14ac:dyDescent="0.25">
      <c r="A59" s="116"/>
      <c r="B59" s="117"/>
      <c r="C59" s="117"/>
      <c r="D59" s="118"/>
      <c r="F59" s="116"/>
      <c r="G59" s="117"/>
      <c r="H59" s="117"/>
      <c r="I59" s="117"/>
      <c r="J59" s="118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35F04B-4B43-4BB4-94E5-312CCA41D043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1" t="s">
        <v>1</v>
      </c>
      <c r="O1" s="201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2" t="s">
        <v>7</v>
      </c>
      <c r="B4" s="153"/>
      <c r="C4" s="153"/>
      <c r="D4" s="154"/>
      <c r="F4" s="202" t="s">
        <v>8</v>
      </c>
      <c r="G4" s="204">
        <v>1</v>
      </c>
      <c r="H4" s="206" t="s">
        <v>9</v>
      </c>
      <c r="I4" s="208">
        <v>46153</v>
      </c>
      <c r="J4" s="20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6" t="s">
        <v>7</v>
      </c>
      <c r="B5" s="15" t="s">
        <v>11</v>
      </c>
      <c r="C5" s="9" t="s">
        <v>12</v>
      </c>
      <c r="D5" s="25" t="s">
        <v>13</v>
      </c>
      <c r="F5" s="203"/>
      <c r="G5" s="205"/>
      <c r="H5" s="207"/>
      <c r="I5" s="210"/>
      <c r="J5" s="21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7"/>
      <c r="B6" s="16" t="s">
        <v>15</v>
      </c>
      <c r="C6" s="10">
        <v>365</v>
      </c>
      <c r="D6" s="13">
        <f t="shared" ref="D6:D28" si="1">C6*L6</f>
        <v>277765</v>
      </c>
      <c r="F6" s="212" t="s">
        <v>16</v>
      </c>
      <c r="G6" s="214" t="s">
        <v>99</v>
      </c>
      <c r="H6" s="215"/>
      <c r="I6" s="215"/>
      <c r="J6" s="21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7"/>
      <c r="B7" s="16" t="s">
        <v>18</v>
      </c>
      <c r="C7" s="10">
        <v>10</v>
      </c>
      <c r="D7" s="13">
        <f t="shared" si="1"/>
        <v>7810</v>
      </c>
      <c r="F7" s="213"/>
      <c r="G7" s="217"/>
      <c r="H7" s="218"/>
      <c r="I7" s="218"/>
      <c r="J7" s="21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7"/>
      <c r="B8" s="16" t="s">
        <v>20</v>
      </c>
      <c r="C8" s="10">
        <v>1</v>
      </c>
      <c r="D8" s="13">
        <f t="shared" si="1"/>
        <v>1093</v>
      </c>
      <c r="F8" s="220" t="s">
        <v>21</v>
      </c>
      <c r="G8" s="221" t="s">
        <v>120</v>
      </c>
      <c r="H8" s="222"/>
      <c r="I8" s="222"/>
      <c r="J8" s="22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7"/>
      <c r="B9" s="16" t="s">
        <v>23</v>
      </c>
      <c r="C9" s="10">
        <v>30</v>
      </c>
      <c r="D9" s="13">
        <f t="shared" si="1"/>
        <v>21990</v>
      </c>
      <c r="F9" s="213"/>
      <c r="G9" s="224"/>
      <c r="H9" s="225"/>
      <c r="I9" s="225"/>
      <c r="J9" s="22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7"/>
      <c r="B10" t="s">
        <v>25</v>
      </c>
      <c r="C10" s="10">
        <v>1</v>
      </c>
      <c r="D10" s="13">
        <f t="shared" si="1"/>
        <v>1032</v>
      </c>
      <c r="F10" s="212" t="s">
        <v>26</v>
      </c>
      <c r="G10" s="227" t="s">
        <v>108</v>
      </c>
      <c r="H10" s="228"/>
      <c r="I10" s="228"/>
      <c r="J10" s="229"/>
      <c r="K10" s="8"/>
      <c r="L10" s="6">
        <f>R36</f>
        <v>1032</v>
      </c>
      <c r="P10" s="4"/>
      <c r="Q10" s="4"/>
      <c r="R10" s="5"/>
    </row>
    <row r="11" spans="1:18" ht="15.75" x14ac:dyDescent="0.25">
      <c r="A11" s="147"/>
      <c r="B11" s="17" t="s">
        <v>28</v>
      </c>
      <c r="C11" s="10"/>
      <c r="D11" s="13">
        <f t="shared" si="1"/>
        <v>0</v>
      </c>
      <c r="F11" s="213"/>
      <c r="G11" s="224"/>
      <c r="H11" s="225"/>
      <c r="I11" s="225"/>
      <c r="J11" s="22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7"/>
      <c r="B12" s="17" t="s">
        <v>30</v>
      </c>
      <c r="C12" s="10">
        <f>2</f>
        <v>2</v>
      </c>
      <c r="D12" s="48">
        <f t="shared" si="1"/>
        <v>1984</v>
      </c>
      <c r="F12" s="230" t="s">
        <v>33</v>
      </c>
      <c r="G12" s="231"/>
      <c r="H12" s="231"/>
      <c r="I12" s="231"/>
      <c r="J12" s="23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7"/>
      <c r="B13" s="17" t="s">
        <v>32</v>
      </c>
      <c r="C13" s="10">
        <v>1</v>
      </c>
      <c r="D13" s="48">
        <f t="shared" si="1"/>
        <v>307</v>
      </c>
      <c r="F13" s="233" t="s">
        <v>36</v>
      </c>
      <c r="G13" s="197"/>
      <c r="H13" s="188">
        <f>D29</f>
        <v>312686.83333333331</v>
      </c>
      <c r="I13" s="189"/>
      <c r="J13" s="19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7"/>
      <c r="B14" s="14" t="s">
        <v>35</v>
      </c>
      <c r="C14" s="10">
        <v>10</v>
      </c>
      <c r="D14" s="31">
        <f t="shared" si="1"/>
        <v>110</v>
      </c>
      <c r="F14" s="191" t="s">
        <v>38</v>
      </c>
      <c r="G14" s="192"/>
      <c r="H14" s="193">
        <f>D54</f>
        <v>42262.5</v>
      </c>
      <c r="I14" s="194"/>
      <c r="J14" s="19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7"/>
      <c r="B15" s="14" t="s">
        <v>122</v>
      </c>
      <c r="C15" s="10"/>
      <c r="D15" s="31">
        <f t="shared" si="1"/>
        <v>0</v>
      </c>
      <c r="F15" s="196" t="s">
        <v>39</v>
      </c>
      <c r="G15" s="197"/>
      <c r="H15" s="198">
        <f>H13-H14</f>
        <v>270424.33333333331</v>
      </c>
      <c r="I15" s="199"/>
      <c r="J15" s="200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7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58"/>
      <c r="I16" s="158"/>
      <c r="J16" s="158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7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69"/>
      <c r="I17" s="169"/>
      <c r="J17" s="169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7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69"/>
      <c r="I18" s="169"/>
      <c r="J18" s="169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7"/>
      <c r="B19" s="83" t="s">
        <v>105</v>
      </c>
      <c r="C19" s="10"/>
      <c r="D19" s="48">
        <f t="shared" si="1"/>
        <v>0</v>
      </c>
      <c r="F19" s="56"/>
      <c r="G19" s="68" t="s">
        <v>49</v>
      </c>
      <c r="H19" s="158"/>
      <c r="I19" s="158"/>
      <c r="J19" s="158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7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58"/>
      <c r="I20" s="158"/>
      <c r="J20" s="158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7"/>
      <c r="B21" s="14" t="s">
        <v>163</v>
      </c>
      <c r="C21" s="10">
        <v>22</v>
      </c>
      <c r="D21" s="48">
        <f t="shared" si="1"/>
        <v>595.83333333333326</v>
      </c>
      <c r="F21" s="69" t="s">
        <v>94</v>
      </c>
      <c r="G21" s="82" t="s">
        <v>93</v>
      </c>
      <c r="H21" s="171" t="s">
        <v>13</v>
      </c>
      <c r="I21" s="172"/>
      <c r="J21" s="173"/>
      <c r="L21" s="7">
        <f>650/24</f>
        <v>27.083333333333332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7"/>
      <c r="B22" s="46" t="s">
        <v>103</v>
      </c>
      <c r="C22" s="10"/>
      <c r="D22" s="48">
        <f t="shared" si="1"/>
        <v>0</v>
      </c>
      <c r="F22" s="77"/>
      <c r="G22" s="73"/>
      <c r="H22" s="174"/>
      <c r="I22" s="174"/>
      <c r="J22" s="174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7"/>
      <c r="B23" s="14" t="s">
        <v>121</v>
      </c>
      <c r="C23" s="10"/>
      <c r="D23" s="48">
        <f t="shared" si="1"/>
        <v>0</v>
      </c>
      <c r="F23" s="77"/>
      <c r="G23" s="79"/>
      <c r="H23" s="242"/>
      <c r="I23" s="243"/>
      <c r="J23" s="243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7"/>
      <c r="B24" s="14" t="s">
        <v>128</v>
      </c>
      <c r="C24" s="10"/>
      <c r="D24" s="48">
        <f t="shared" si="1"/>
        <v>0</v>
      </c>
      <c r="F24" s="77"/>
      <c r="G24" s="79"/>
      <c r="H24" s="242"/>
      <c r="I24" s="243"/>
      <c r="J24" s="243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7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76" t="s">
        <v>13</v>
      </c>
      <c r="I25" s="177"/>
      <c r="J25" s="178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7"/>
      <c r="B26" s="14" t="s">
        <v>129</v>
      </c>
      <c r="C26" s="10"/>
      <c r="D26" s="48">
        <f t="shared" si="1"/>
        <v>0</v>
      </c>
      <c r="F26" s="75"/>
      <c r="G26" s="65"/>
      <c r="H26" s="144"/>
      <c r="I26" s="144"/>
      <c r="J26" s="144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7"/>
      <c r="B27" s="14" t="s">
        <v>130</v>
      </c>
      <c r="C27" s="10"/>
      <c r="D27" s="44">
        <f t="shared" si="1"/>
        <v>0</v>
      </c>
      <c r="F27" s="71"/>
      <c r="G27" s="88"/>
      <c r="H27" s="244"/>
      <c r="I27" s="245"/>
      <c r="J27" s="245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8"/>
      <c r="B28" s="46" t="s">
        <v>92</v>
      </c>
      <c r="C28" s="10"/>
      <c r="D28" s="48">
        <f t="shared" si="1"/>
        <v>0</v>
      </c>
      <c r="F28" s="91"/>
      <c r="G28" s="61"/>
      <c r="H28" s="185"/>
      <c r="I28" s="186"/>
      <c r="J28" s="187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9" t="s">
        <v>36</v>
      </c>
      <c r="B29" s="160"/>
      <c r="C29" s="161"/>
      <c r="D29" s="165">
        <f>SUM(D6:D28)</f>
        <v>312686.83333333331</v>
      </c>
      <c r="F29" s="105" t="s">
        <v>54</v>
      </c>
      <c r="G29" s="167"/>
      <c r="H29" s="127">
        <f>H15-H16-H17-H18-H19-H20-H22-H23-H24+H26+H27+H28</f>
        <v>270424.33333333331</v>
      </c>
      <c r="I29" s="128"/>
      <c r="J29" s="129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08"/>
      <c r="G30" s="168"/>
      <c r="H30" s="130"/>
      <c r="I30" s="131"/>
      <c r="J30" s="132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2" t="s">
        <v>57</v>
      </c>
      <c r="B32" s="153"/>
      <c r="C32" s="153"/>
      <c r="D32" s="154"/>
      <c r="F32" s="155" t="s">
        <v>58</v>
      </c>
      <c r="G32" s="156"/>
      <c r="H32" s="156"/>
      <c r="I32" s="156"/>
      <c r="J32" s="157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2" t="s">
        <v>62</v>
      </c>
      <c r="H33" s="155" t="s">
        <v>13</v>
      </c>
      <c r="I33" s="156"/>
      <c r="J33" s="157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6" t="s">
        <v>64</v>
      </c>
      <c r="B34" s="26" t="s">
        <v>65</v>
      </c>
      <c r="C34" s="51">
        <v>1</v>
      </c>
      <c r="D34" s="30">
        <f>C34*120</f>
        <v>120</v>
      </c>
      <c r="F34" s="12">
        <v>1000</v>
      </c>
      <c r="G34" s="40">
        <v>136</v>
      </c>
      <c r="H34" s="149">
        <f t="shared" ref="H34:H39" si="2">F34*G34</f>
        <v>136000</v>
      </c>
      <c r="I34" s="150"/>
      <c r="J34" s="151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7"/>
      <c r="B35" s="27" t="s">
        <v>67</v>
      </c>
      <c r="C35" s="52"/>
      <c r="D35" s="30">
        <f>C35*84</f>
        <v>0</v>
      </c>
      <c r="F35" s="58">
        <v>500</v>
      </c>
      <c r="G35" s="41">
        <v>108</v>
      </c>
      <c r="H35" s="149">
        <f t="shared" si="2"/>
        <v>54000</v>
      </c>
      <c r="I35" s="150"/>
      <c r="J35" s="15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8"/>
      <c r="B36" s="26" t="s">
        <v>69</v>
      </c>
      <c r="C36" s="10"/>
      <c r="D36" s="12">
        <f>C36*1.5</f>
        <v>0</v>
      </c>
      <c r="F36" s="12">
        <v>200</v>
      </c>
      <c r="G36" s="37"/>
      <c r="H36" s="149">
        <f t="shared" si="2"/>
        <v>0</v>
      </c>
      <c r="I36" s="150"/>
      <c r="J36" s="151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6" t="s">
        <v>71</v>
      </c>
      <c r="B37" s="28" t="s">
        <v>65</v>
      </c>
      <c r="C37" s="53">
        <v>356</v>
      </c>
      <c r="D37" s="12">
        <f>C37*111</f>
        <v>39516</v>
      </c>
      <c r="F37" s="12">
        <v>100</v>
      </c>
      <c r="G37" s="39">
        <v>68</v>
      </c>
      <c r="H37" s="149">
        <f t="shared" si="2"/>
        <v>6800</v>
      </c>
      <c r="I37" s="150"/>
      <c r="J37" s="151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7"/>
      <c r="B38" s="29" t="s">
        <v>67</v>
      </c>
      <c r="C38" s="54">
        <v>12</v>
      </c>
      <c r="D38" s="12">
        <f>C38*84</f>
        <v>1008</v>
      </c>
      <c r="F38" s="30">
        <v>50</v>
      </c>
      <c r="G38" s="39">
        <v>1</v>
      </c>
      <c r="H38" s="149">
        <f t="shared" si="2"/>
        <v>50</v>
      </c>
      <c r="I38" s="150"/>
      <c r="J38" s="151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8"/>
      <c r="B39" s="29" t="s">
        <v>69</v>
      </c>
      <c r="C39" s="52"/>
      <c r="D39" s="31">
        <f>C39*4.5</f>
        <v>0</v>
      </c>
      <c r="F39" s="12">
        <v>20</v>
      </c>
      <c r="G39" s="37"/>
      <c r="H39" s="149">
        <f t="shared" si="2"/>
        <v>0</v>
      </c>
      <c r="I39" s="150"/>
      <c r="J39" s="15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6" t="s">
        <v>75</v>
      </c>
      <c r="B40" s="27" t="s">
        <v>65</v>
      </c>
      <c r="C40" s="63">
        <v>10</v>
      </c>
      <c r="D40" s="12">
        <f>C40*111</f>
        <v>1110</v>
      </c>
      <c r="F40" s="12">
        <v>10</v>
      </c>
      <c r="G40" s="42"/>
      <c r="H40" s="149"/>
      <c r="I40" s="150"/>
      <c r="J40" s="151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7"/>
      <c r="B41" s="27" t="s">
        <v>67</v>
      </c>
      <c r="C41" s="10"/>
      <c r="D41" s="12">
        <f>C41*84</f>
        <v>0</v>
      </c>
      <c r="F41" s="12">
        <v>5</v>
      </c>
      <c r="G41" s="42"/>
      <c r="H41" s="149"/>
      <c r="I41" s="150"/>
      <c r="J41" s="151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8"/>
      <c r="B42" s="27" t="s">
        <v>69</v>
      </c>
      <c r="C42" s="11">
        <v>8</v>
      </c>
      <c r="D42" s="12">
        <f>C42*2.25</f>
        <v>18</v>
      </c>
      <c r="F42" s="39" t="s">
        <v>78</v>
      </c>
      <c r="G42" s="149">
        <v>11</v>
      </c>
      <c r="H42" s="150"/>
      <c r="I42" s="150"/>
      <c r="J42" s="151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19" t="s">
        <v>80</v>
      </c>
      <c r="C43" s="11"/>
      <c r="D43" s="12"/>
      <c r="F43" s="59" t="s">
        <v>81</v>
      </c>
      <c r="G43" s="88" t="s">
        <v>82</v>
      </c>
      <c r="H43" s="141" t="s">
        <v>13</v>
      </c>
      <c r="I43" s="142"/>
      <c r="J43" s="143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20"/>
      <c r="B44" s="27" t="s">
        <v>65</v>
      </c>
      <c r="C44" s="10">
        <v>3</v>
      </c>
      <c r="D44" s="12">
        <f>C44*120</f>
        <v>360</v>
      </c>
      <c r="F44" s="37" t="s">
        <v>136</v>
      </c>
      <c r="G44" s="93" t="s">
        <v>141</v>
      </c>
      <c r="H44" s="144">
        <v>64500</v>
      </c>
      <c r="I44" s="144"/>
      <c r="J44" s="144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20"/>
      <c r="B45" s="27" t="s">
        <v>67</v>
      </c>
      <c r="C45" s="33"/>
      <c r="D45" s="12">
        <f>C45*84</f>
        <v>0</v>
      </c>
      <c r="F45" s="37" t="s">
        <v>137</v>
      </c>
      <c r="G45" s="62"/>
      <c r="H45" s="144">
        <v>9016</v>
      </c>
      <c r="I45" s="144"/>
      <c r="J45" s="144"/>
      <c r="K45" s="21"/>
      <c r="P45" s="4"/>
      <c r="Q45" s="4"/>
      <c r="R45" s="5"/>
    </row>
    <row r="46" spans="1:18" ht="15.75" x14ac:dyDescent="0.25">
      <c r="A46" s="120"/>
      <c r="B46" s="49" t="s">
        <v>69</v>
      </c>
      <c r="C46" s="81"/>
      <c r="D46" s="12">
        <f>C46*1.5</f>
        <v>0</v>
      </c>
      <c r="F46" s="37"/>
      <c r="G46" s="62"/>
      <c r="H46" s="144"/>
      <c r="I46" s="144"/>
      <c r="J46" s="144"/>
      <c r="K46" s="21"/>
      <c r="P46" s="4"/>
      <c r="Q46" s="4"/>
      <c r="R46" s="5"/>
    </row>
    <row r="47" spans="1:18" ht="15.75" x14ac:dyDescent="0.25">
      <c r="A47" s="121"/>
      <c r="B47" s="27"/>
      <c r="C47" s="11"/>
      <c r="D47" s="12"/>
      <c r="F47" s="59"/>
      <c r="G47" s="59"/>
      <c r="H47" s="122"/>
      <c r="I47" s="123"/>
      <c r="J47" s="124"/>
      <c r="K47" s="21"/>
      <c r="P47" s="4"/>
      <c r="Q47" s="4"/>
      <c r="R47" s="5"/>
    </row>
    <row r="48" spans="1:18" ht="15" customHeight="1" x14ac:dyDescent="0.25">
      <c r="A48" s="119" t="s">
        <v>32</v>
      </c>
      <c r="B48" s="27" t="s">
        <v>65</v>
      </c>
      <c r="C48" s="10">
        <v>1</v>
      </c>
      <c r="D48" s="12">
        <f>C48*78</f>
        <v>78</v>
      </c>
      <c r="F48" s="59"/>
      <c r="G48" s="59"/>
      <c r="H48" s="122"/>
      <c r="I48" s="123"/>
      <c r="J48" s="124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20"/>
      <c r="B49" s="29" t="s">
        <v>67</v>
      </c>
      <c r="C49" s="33">
        <v>1</v>
      </c>
      <c r="D49" s="12">
        <f>C49*42</f>
        <v>42</v>
      </c>
      <c r="F49" s="125" t="s">
        <v>85</v>
      </c>
      <c r="G49" s="127">
        <f>H34+H35+H36+H37+H38+H39+H40+H41+G42+H44+H45+H46</f>
        <v>270377</v>
      </c>
      <c r="H49" s="128"/>
      <c r="I49" s="128"/>
      <c r="J49" s="129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0"/>
      <c r="B50" s="32" t="s">
        <v>69</v>
      </c>
      <c r="C50" s="11">
        <v>7</v>
      </c>
      <c r="D50" s="12">
        <f>C50*1.5</f>
        <v>10.5</v>
      </c>
      <c r="F50" s="126"/>
      <c r="G50" s="130"/>
      <c r="H50" s="131"/>
      <c r="I50" s="131"/>
      <c r="J50" s="132"/>
      <c r="O50" t="s">
        <v>114</v>
      </c>
      <c r="P50" s="4">
        <v>1204</v>
      </c>
      <c r="Q50" s="4"/>
      <c r="R50" s="5"/>
    </row>
    <row r="51" spans="1:18" ht="15" customHeight="1" x14ac:dyDescent="0.25">
      <c r="A51" s="120"/>
      <c r="B51" s="27"/>
      <c r="C51" s="10"/>
      <c r="D51" s="31"/>
      <c r="F51" s="133" t="s">
        <v>164</v>
      </c>
      <c r="G51" s="246">
        <f>G49-H29</f>
        <v>-47.333333333313931</v>
      </c>
      <c r="H51" s="247"/>
      <c r="I51" s="247"/>
      <c r="J51" s="248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20"/>
      <c r="B52" s="29"/>
      <c r="C52" s="33"/>
      <c r="D52" s="45"/>
      <c r="F52" s="134"/>
      <c r="G52" s="249"/>
      <c r="H52" s="250"/>
      <c r="I52" s="250"/>
      <c r="J52" s="251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1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05" t="s">
        <v>89</v>
      </c>
      <c r="B54" s="106"/>
      <c r="C54" s="107"/>
      <c r="D54" s="111">
        <f>SUM(D34:D53)</f>
        <v>42262.5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08"/>
      <c r="B55" s="109"/>
      <c r="C55" s="110"/>
      <c r="D55" s="11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113" t="s">
        <v>90</v>
      </c>
      <c r="B58" s="114"/>
      <c r="C58" s="114"/>
      <c r="D58" s="115"/>
      <c r="F58" s="113" t="s">
        <v>91</v>
      </c>
      <c r="G58" s="114"/>
      <c r="H58" s="114"/>
      <c r="I58" s="114"/>
      <c r="J58" s="115"/>
    </row>
    <row r="59" spans="1:18" x14ac:dyDescent="0.25">
      <c r="A59" s="116"/>
      <c r="B59" s="117"/>
      <c r="C59" s="117"/>
      <c r="D59" s="118"/>
      <c r="F59" s="116"/>
      <c r="G59" s="117"/>
      <c r="H59" s="117"/>
      <c r="I59" s="117"/>
      <c r="J59" s="118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11CEF7-40EE-4266-A801-E9F322143952}">
  <dimension ref="A1:R59"/>
  <sheetViews>
    <sheetView topLeftCell="A16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1" t="s">
        <v>1</v>
      </c>
      <c r="O1" s="201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2" t="s">
        <v>7</v>
      </c>
      <c r="B4" s="153"/>
      <c r="C4" s="153"/>
      <c r="D4" s="154"/>
      <c r="F4" s="202" t="s">
        <v>8</v>
      </c>
      <c r="G4" s="204">
        <v>2</v>
      </c>
      <c r="H4" s="206" t="s">
        <v>9</v>
      </c>
      <c r="I4" s="208">
        <v>46153</v>
      </c>
      <c r="J4" s="20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6" t="s">
        <v>7</v>
      </c>
      <c r="B5" s="15" t="s">
        <v>11</v>
      </c>
      <c r="C5" s="9" t="s">
        <v>12</v>
      </c>
      <c r="D5" s="25" t="s">
        <v>13</v>
      </c>
      <c r="F5" s="203"/>
      <c r="G5" s="205"/>
      <c r="H5" s="207"/>
      <c r="I5" s="210"/>
      <c r="J5" s="21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7"/>
      <c r="B6" s="16" t="s">
        <v>15</v>
      </c>
      <c r="C6" s="10">
        <v>375</v>
      </c>
      <c r="D6" s="13">
        <f t="shared" ref="D6:D28" si="1">C6*L6</f>
        <v>285375</v>
      </c>
      <c r="F6" s="212" t="s">
        <v>16</v>
      </c>
      <c r="G6" s="214" t="s">
        <v>107</v>
      </c>
      <c r="H6" s="215"/>
      <c r="I6" s="215"/>
      <c r="J6" s="21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7"/>
      <c r="B7" s="16" t="s">
        <v>18</v>
      </c>
      <c r="C7" s="10"/>
      <c r="D7" s="13">
        <f t="shared" si="1"/>
        <v>0</v>
      </c>
      <c r="F7" s="213"/>
      <c r="G7" s="217"/>
      <c r="H7" s="218"/>
      <c r="I7" s="218"/>
      <c r="J7" s="21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7"/>
      <c r="B8" s="16" t="s">
        <v>20</v>
      </c>
      <c r="C8" s="10"/>
      <c r="D8" s="13">
        <f t="shared" si="1"/>
        <v>0</v>
      </c>
      <c r="F8" s="220" t="s">
        <v>21</v>
      </c>
      <c r="G8" s="221" t="s">
        <v>100</v>
      </c>
      <c r="H8" s="222"/>
      <c r="I8" s="222"/>
      <c r="J8" s="22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7"/>
      <c r="B9" s="16" t="s">
        <v>23</v>
      </c>
      <c r="C9" s="10">
        <v>130</v>
      </c>
      <c r="D9" s="13">
        <f t="shared" si="1"/>
        <v>95290</v>
      </c>
      <c r="F9" s="213"/>
      <c r="G9" s="224"/>
      <c r="H9" s="225"/>
      <c r="I9" s="225"/>
      <c r="J9" s="22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7"/>
      <c r="B10" t="s">
        <v>25</v>
      </c>
      <c r="C10" s="10"/>
      <c r="D10" s="13">
        <f t="shared" si="1"/>
        <v>0</v>
      </c>
      <c r="F10" s="212" t="s">
        <v>26</v>
      </c>
      <c r="G10" s="227" t="s">
        <v>101</v>
      </c>
      <c r="H10" s="228"/>
      <c r="I10" s="228"/>
      <c r="J10" s="229"/>
      <c r="K10" s="8"/>
      <c r="L10" s="6">
        <f>R36</f>
        <v>1032</v>
      </c>
      <c r="P10" s="4"/>
      <c r="Q10" s="4"/>
      <c r="R10" s="5"/>
    </row>
    <row r="11" spans="1:18" ht="15.75" x14ac:dyDescent="0.25">
      <c r="A11" s="147"/>
      <c r="B11" s="17" t="s">
        <v>28</v>
      </c>
      <c r="C11" s="10"/>
      <c r="D11" s="13">
        <f t="shared" si="1"/>
        <v>0</v>
      </c>
      <c r="F11" s="213"/>
      <c r="G11" s="224"/>
      <c r="H11" s="225"/>
      <c r="I11" s="225"/>
      <c r="J11" s="22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7"/>
      <c r="B12" s="17" t="s">
        <v>30</v>
      </c>
      <c r="C12" s="10"/>
      <c r="D12" s="48">
        <f t="shared" si="1"/>
        <v>0</v>
      </c>
      <c r="F12" s="230" t="s">
        <v>33</v>
      </c>
      <c r="G12" s="231"/>
      <c r="H12" s="231"/>
      <c r="I12" s="231"/>
      <c r="J12" s="23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7"/>
      <c r="B13" s="17" t="s">
        <v>32</v>
      </c>
      <c r="C13" s="10">
        <v>15</v>
      </c>
      <c r="D13" s="48">
        <f t="shared" si="1"/>
        <v>4605</v>
      </c>
      <c r="F13" s="233" t="s">
        <v>36</v>
      </c>
      <c r="G13" s="197"/>
      <c r="H13" s="188">
        <f>D29</f>
        <v>385347</v>
      </c>
      <c r="I13" s="189"/>
      <c r="J13" s="19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7"/>
      <c r="B14" s="14" t="s">
        <v>35</v>
      </c>
      <c r="C14" s="10">
        <v>7</v>
      </c>
      <c r="D14" s="31">
        <f t="shared" si="1"/>
        <v>77</v>
      </c>
      <c r="F14" s="191" t="s">
        <v>38</v>
      </c>
      <c r="G14" s="192"/>
      <c r="H14" s="193">
        <f>D54</f>
        <v>57529.5</v>
      </c>
      <c r="I14" s="194"/>
      <c r="J14" s="19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7"/>
      <c r="B15" s="14" t="s">
        <v>122</v>
      </c>
      <c r="C15" s="10"/>
      <c r="D15" s="31">
        <f t="shared" si="1"/>
        <v>0</v>
      </c>
      <c r="F15" s="196" t="s">
        <v>39</v>
      </c>
      <c r="G15" s="197"/>
      <c r="H15" s="198">
        <f>H13-H14</f>
        <v>327817.5</v>
      </c>
      <c r="I15" s="199"/>
      <c r="J15" s="200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7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58">
        <v>2880</v>
      </c>
      <c r="I16" s="158"/>
      <c r="J16" s="158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7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69"/>
      <c r="I17" s="169"/>
      <c r="J17" s="169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7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69"/>
      <c r="I18" s="169"/>
      <c r="J18" s="169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7"/>
      <c r="B19" s="87" t="s">
        <v>105</v>
      </c>
      <c r="C19" s="10"/>
      <c r="D19" s="48">
        <f t="shared" si="1"/>
        <v>0</v>
      </c>
      <c r="F19" s="56"/>
      <c r="G19" s="68" t="s">
        <v>49</v>
      </c>
      <c r="H19" s="252"/>
      <c r="I19" s="252"/>
      <c r="J19" s="252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7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69"/>
      <c r="I20" s="169"/>
      <c r="J20" s="169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7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71" t="s">
        <v>13</v>
      </c>
      <c r="I21" s="172"/>
      <c r="J21" s="173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7"/>
      <c r="B22" s="46" t="s">
        <v>103</v>
      </c>
      <c r="C22" s="10"/>
      <c r="D22" s="48">
        <f t="shared" si="1"/>
        <v>0</v>
      </c>
      <c r="F22" s="72"/>
      <c r="G22" s="73"/>
      <c r="H22" s="174"/>
      <c r="I22" s="174"/>
      <c r="J22" s="174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7"/>
      <c r="B23" s="14" t="s">
        <v>121</v>
      </c>
      <c r="C23" s="10"/>
      <c r="D23" s="48">
        <f t="shared" si="1"/>
        <v>0</v>
      </c>
      <c r="F23" s="25"/>
      <c r="G23" s="37"/>
      <c r="H23" s="175"/>
      <c r="I23" s="144"/>
      <c r="J23" s="144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7"/>
      <c r="B24" s="14" t="s">
        <v>128</v>
      </c>
      <c r="C24" s="10"/>
      <c r="D24" s="48">
        <f t="shared" si="1"/>
        <v>0</v>
      </c>
      <c r="F24" s="38"/>
      <c r="G24" s="37"/>
      <c r="H24" s="175"/>
      <c r="I24" s="144"/>
      <c r="J24" s="144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7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76" t="s">
        <v>13</v>
      </c>
      <c r="I25" s="177"/>
      <c r="J25" s="178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7"/>
      <c r="B26" s="14" t="s">
        <v>129</v>
      </c>
      <c r="C26" s="10"/>
      <c r="D26" s="48">
        <f t="shared" si="1"/>
        <v>0</v>
      </c>
      <c r="F26" s="64"/>
      <c r="G26" s="10"/>
      <c r="H26" s="179"/>
      <c r="I26" s="180"/>
      <c r="J26" s="181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7"/>
      <c r="B27" s="14" t="s">
        <v>130</v>
      </c>
      <c r="C27" s="10"/>
      <c r="D27" s="44">
        <f t="shared" si="1"/>
        <v>0</v>
      </c>
      <c r="F27" s="14"/>
      <c r="G27" s="14"/>
      <c r="H27" s="182"/>
      <c r="I27" s="183"/>
      <c r="J27" s="184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8"/>
      <c r="B28" s="46" t="s">
        <v>92</v>
      </c>
      <c r="C28" s="10"/>
      <c r="D28" s="48">
        <f t="shared" si="1"/>
        <v>0</v>
      </c>
      <c r="F28" s="91"/>
      <c r="G28" s="61"/>
      <c r="H28" s="185"/>
      <c r="I28" s="186"/>
      <c r="J28" s="187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9" t="s">
        <v>36</v>
      </c>
      <c r="B29" s="160"/>
      <c r="C29" s="161"/>
      <c r="D29" s="165">
        <f>SUM(D6:D28)</f>
        <v>385347</v>
      </c>
      <c r="F29" s="105" t="s">
        <v>54</v>
      </c>
      <c r="G29" s="167"/>
      <c r="H29" s="127">
        <f>H15-H16-H17-H18-H19-H20-H22-H23-H24+H26+H27</f>
        <v>324937.5</v>
      </c>
      <c r="I29" s="128"/>
      <c r="J29" s="129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08"/>
      <c r="G30" s="168"/>
      <c r="H30" s="130"/>
      <c r="I30" s="131"/>
      <c r="J30" s="132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2" t="s">
        <v>57</v>
      </c>
      <c r="B32" s="153"/>
      <c r="C32" s="153"/>
      <c r="D32" s="154"/>
      <c r="F32" s="155" t="s">
        <v>58</v>
      </c>
      <c r="G32" s="156"/>
      <c r="H32" s="156"/>
      <c r="I32" s="156"/>
      <c r="J32" s="157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2" t="s">
        <v>62</v>
      </c>
      <c r="H33" s="155" t="s">
        <v>13</v>
      </c>
      <c r="I33" s="156"/>
      <c r="J33" s="157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6" t="s">
        <v>64</v>
      </c>
      <c r="B34" s="26" t="s">
        <v>65</v>
      </c>
      <c r="C34" s="51"/>
      <c r="D34" s="30">
        <f>C34*120</f>
        <v>0</v>
      </c>
      <c r="F34" s="12">
        <v>1000</v>
      </c>
      <c r="G34" s="74">
        <v>203</v>
      </c>
      <c r="H34" s="149">
        <f>F34*G34</f>
        <v>203000</v>
      </c>
      <c r="I34" s="150"/>
      <c r="J34" s="151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7"/>
      <c r="B35" s="27" t="s">
        <v>67</v>
      </c>
      <c r="C35" s="52"/>
      <c r="D35" s="30">
        <f>C35*84</f>
        <v>0</v>
      </c>
      <c r="F35" s="58">
        <v>500</v>
      </c>
      <c r="G35" s="41">
        <v>141</v>
      </c>
      <c r="H35" s="149">
        <f t="shared" ref="H35:H39" si="2">F35*G35</f>
        <v>70500</v>
      </c>
      <c r="I35" s="150"/>
      <c r="J35" s="15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8"/>
      <c r="B36" s="26" t="s">
        <v>69</v>
      </c>
      <c r="C36" s="10"/>
      <c r="D36" s="12">
        <f>C36*1.5</f>
        <v>0</v>
      </c>
      <c r="F36" s="12">
        <v>200</v>
      </c>
      <c r="G36" s="37">
        <v>1</v>
      </c>
      <c r="H36" s="149">
        <f>F36*G36</f>
        <v>200</v>
      </c>
      <c r="I36" s="150"/>
      <c r="J36" s="151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6" t="s">
        <v>71</v>
      </c>
      <c r="B37" s="28" t="s">
        <v>65</v>
      </c>
      <c r="C37" s="53">
        <v>507</v>
      </c>
      <c r="D37" s="12">
        <f>C37*111</f>
        <v>56277</v>
      </c>
      <c r="F37" s="12">
        <v>100</v>
      </c>
      <c r="G37" s="39">
        <v>318</v>
      </c>
      <c r="H37" s="149">
        <f t="shared" si="2"/>
        <v>31800</v>
      </c>
      <c r="I37" s="150"/>
      <c r="J37" s="151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7"/>
      <c r="B38" s="29" t="s">
        <v>67</v>
      </c>
      <c r="C38" s="54">
        <v>1</v>
      </c>
      <c r="D38" s="12">
        <f>C38*84</f>
        <v>84</v>
      </c>
      <c r="F38" s="30">
        <v>50</v>
      </c>
      <c r="G38" s="39">
        <v>404</v>
      </c>
      <c r="H38" s="149">
        <f t="shared" si="2"/>
        <v>20200</v>
      </c>
      <c r="I38" s="150"/>
      <c r="J38" s="151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8"/>
      <c r="B39" s="29" t="s">
        <v>69</v>
      </c>
      <c r="C39" s="52">
        <v>4</v>
      </c>
      <c r="D39" s="31">
        <f>C39*4.5</f>
        <v>18</v>
      </c>
      <c r="F39" s="12">
        <v>20</v>
      </c>
      <c r="G39" s="37"/>
      <c r="H39" s="149">
        <f t="shared" si="2"/>
        <v>0</v>
      </c>
      <c r="I39" s="150"/>
      <c r="J39" s="15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6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49"/>
      <c r="I40" s="150"/>
      <c r="J40" s="151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7"/>
      <c r="B41" s="27" t="s">
        <v>67</v>
      </c>
      <c r="C41" s="10"/>
      <c r="D41" s="12">
        <f>C41*84</f>
        <v>0</v>
      </c>
      <c r="F41" s="12">
        <v>5</v>
      </c>
      <c r="G41" s="42"/>
      <c r="H41" s="149"/>
      <c r="I41" s="150"/>
      <c r="J41" s="151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8"/>
      <c r="B42" s="27" t="s">
        <v>69</v>
      </c>
      <c r="C42" s="11"/>
      <c r="D42" s="12">
        <f>C42*2.25</f>
        <v>0</v>
      </c>
      <c r="F42" s="39" t="s">
        <v>78</v>
      </c>
      <c r="G42" s="149"/>
      <c r="H42" s="150"/>
      <c r="I42" s="150"/>
      <c r="J42" s="151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19" t="s">
        <v>80</v>
      </c>
      <c r="C43" s="11"/>
      <c r="D43" s="12"/>
      <c r="F43" s="59" t="s">
        <v>81</v>
      </c>
      <c r="G43" s="88" t="s">
        <v>82</v>
      </c>
      <c r="H43" s="141" t="s">
        <v>13</v>
      </c>
      <c r="I43" s="142"/>
      <c r="J43" s="143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20"/>
      <c r="B44" s="27" t="s">
        <v>65</v>
      </c>
      <c r="C44" s="10"/>
      <c r="D44" s="12">
        <f>C44*120</f>
        <v>0</v>
      </c>
      <c r="F44" s="37"/>
      <c r="G44" s="62"/>
      <c r="H44" s="144"/>
      <c r="I44" s="144"/>
      <c r="J44" s="144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20"/>
      <c r="B45" s="27" t="s">
        <v>67</v>
      </c>
      <c r="C45" s="33"/>
      <c r="D45" s="12">
        <f>C45*84</f>
        <v>0</v>
      </c>
      <c r="F45" s="37"/>
      <c r="G45" s="62"/>
      <c r="H45" s="144"/>
      <c r="I45" s="144"/>
      <c r="J45" s="144"/>
      <c r="K45" s="21"/>
      <c r="P45" s="4"/>
      <c r="Q45" s="4"/>
      <c r="R45" s="5"/>
    </row>
    <row r="46" spans="1:18" ht="15.75" x14ac:dyDescent="0.25">
      <c r="A46" s="120"/>
      <c r="B46" s="49" t="s">
        <v>69</v>
      </c>
      <c r="C46" s="81"/>
      <c r="D46" s="12">
        <f>C46*1.5</f>
        <v>0</v>
      </c>
      <c r="F46" s="37"/>
      <c r="G46" s="89"/>
      <c r="H46" s="145"/>
      <c r="I46" s="145"/>
      <c r="J46" s="145"/>
      <c r="K46" s="21"/>
      <c r="P46" s="4"/>
      <c r="Q46" s="4"/>
      <c r="R46" s="5"/>
    </row>
    <row r="47" spans="1:18" ht="15.75" x14ac:dyDescent="0.25">
      <c r="A47" s="121"/>
      <c r="B47" s="27"/>
      <c r="C47" s="11"/>
      <c r="D47" s="12"/>
      <c r="F47" s="59"/>
      <c r="G47" s="59"/>
      <c r="H47" s="122"/>
      <c r="I47" s="123"/>
      <c r="J47" s="124"/>
      <c r="K47" s="21"/>
      <c r="P47" s="4"/>
      <c r="Q47" s="4"/>
      <c r="R47" s="5"/>
    </row>
    <row r="48" spans="1:18" ht="15" customHeight="1" x14ac:dyDescent="0.25">
      <c r="A48" s="119" t="s">
        <v>32</v>
      </c>
      <c r="B48" s="27" t="s">
        <v>65</v>
      </c>
      <c r="C48" s="10">
        <v>13</v>
      </c>
      <c r="D48" s="12">
        <f>C48*78</f>
        <v>1014</v>
      </c>
      <c r="F48" s="59"/>
      <c r="G48" s="59"/>
      <c r="H48" s="122"/>
      <c r="I48" s="123"/>
      <c r="J48" s="124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20"/>
      <c r="B49" s="29" t="s">
        <v>67</v>
      </c>
      <c r="C49" s="33">
        <v>3</v>
      </c>
      <c r="D49" s="12">
        <f>C49*42</f>
        <v>126</v>
      </c>
      <c r="F49" s="125" t="s">
        <v>85</v>
      </c>
      <c r="G49" s="127">
        <f>H34+H35+H36+H37+H38+H39+H40+H41+G42+H44+H45+H46</f>
        <v>325700</v>
      </c>
      <c r="H49" s="128"/>
      <c r="I49" s="128"/>
      <c r="J49" s="129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0"/>
      <c r="B50" s="32" t="s">
        <v>69</v>
      </c>
      <c r="C50" s="11">
        <v>7</v>
      </c>
      <c r="D50" s="12">
        <f>C50*1.5</f>
        <v>10.5</v>
      </c>
      <c r="F50" s="126"/>
      <c r="G50" s="130"/>
      <c r="H50" s="131"/>
      <c r="I50" s="131"/>
      <c r="J50" s="132"/>
      <c r="O50" t="s">
        <v>114</v>
      </c>
      <c r="P50" s="4">
        <v>1204</v>
      </c>
      <c r="Q50" s="4"/>
      <c r="R50" s="5"/>
    </row>
    <row r="51" spans="1:18" ht="15" customHeight="1" x14ac:dyDescent="0.25">
      <c r="A51" s="120"/>
      <c r="B51" s="27"/>
      <c r="C51" s="10"/>
      <c r="D51" s="31"/>
      <c r="F51" s="133" t="s">
        <v>112</v>
      </c>
      <c r="G51" s="135">
        <f>G49-H29</f>
        <v>762.5</v>
      </c>
      <c r="H51" s="136"/>
      <c r="I51" s="136"/>
      <c r="J51" s="137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20"/>
      <c r="B52" s="29"/>
      <c r="C52" s="33"/>
      <c r="D52" s="45"/>
      <c r="F52" s="134"/>
      <c r="G52" s="138"/>
      <c r="H52" s="139"/>
      <c r="I52" s="139"/>
      <c r="J52" s="140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1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05" t="s">
        <v>89</v>
      </c>
      <c r="B54" s="106"/>
      <c r="C54" s="107"/>
      <c r="D54" s="111">
        <f>SUM(D34:D53)</f>
        <v>57529.5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08"/>
      <c r="B55" s="109"/>
      <c r="C55" s="110"/>
      <c r="D55" s="11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119</v>
      </c>
      <c r="D57" s="34"/>
      <c r="F57" s="36"/>
      <c r="G57" s="50"/>
      <c r="H57" s="50"/>
      <c r="I57" s="50"/>
      <c r="J57" s="43"/>
    </row>
    <row r="58" spans="1:18" x14ac:dyDescent="0.25">
      <c r="A58" s="113" t="s">
        <v>90</v>
      </c>
      <c r="B58" s="114"/>
      <c r="C58" s="114"/>
      <c r="D58" s="115"/>
      <c r="F58" s="113" t="s">
        <v>91</v>
      </c>
      <c r="G58" s="114"/>
      <c r="H58" s="114"/>
      <c r="I58" s="114"/>
      <c r="J58" s="115"/>
    </row>
    <row r="59" spans="1:18" x14ac:dyDescent="0.25">
      <c r="A59" s="116"/>
      <c r="B59" s="117"/>
      <c r="C59" s="117"/>
      <c r="D59" s="118"/>
      <c r="F59" s="116"/>
      <c r="G59" s="117"/>
      <c r="H59" s="117"/>
      <c r="I59" s="117"/>
      <c r="J59" s="118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2356DE-0757-4D68-9F36-AC6D547EC76E}">
  <dimension ref="A1:R59"/>
  <sheetViews>
    <sheetView zoomScaleNormal="100" zoomScaleSheetLayoutView="85" workbookViewId="0">
      <selection activeCell="G51" sqref="G51:J52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1" t="s">
        <v>1</v>
      </c>
      <c r="O1" s="201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2" t="s">
        <v>7</v>
      </c>
      <c r="B4" s="153"/>
      <c r="C4" s="153"/>
      <c r="D4" s="154"/>
      <c r="F4" s="202" t="s">
        <v>8</v>
      </c>
      <c r="G4" s="204">
        <v>3</v>
      </c>
      <c r="H4" s="206" t="s">
        <v>9</v>
      </c>
      <c r="I4" s="208">
        <v>46153</v>
      </c>
      <c r="J4" s="20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6" t="s">
        <v>7</v>
      </c>
      <c r="B5" s="15" t="s">
        <v>11</v>
      </c>
      <c r="C5" s="9" t="s">
        <v>12</v>
      </c>
      <c r="D5" s="25" t="s">
        <v>13</v>
      </c>
      <c r="F5" s="203"/>
      <c r="G5" s="205"/>
      <c r="H5" s="207"/>
      <c r="I5" s="210"/>
      <c r="J5" s="21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7"/>
      <c r="B6" s="16" t="s">
        <v>15</v>
      </c>
      <c r="C6" s="10">
        <v>295</v>
      </c>
      <c r="D6" s="13">
        <f t="shared" ref="D6:D28" si="1">C6*L6</f>
        <v>224495</v>
      </c>
      <c r="F6" s="212" t="s">
        <v>16</v>
      </c>
      <c r="G6" s="214" t="s">
        <v>117</v>
      </c>
      <c r="H6" s="215"/>
      <c r="I6" s="215"/>
      <c r="J6" s="21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7"/>
      <c r="B7" s="16" t="s">
        <v>18</v>
      </c>
      <c r="C7" s="10">
        <v>9</v>
      </c>
      <c r="D7" s="13">
        <f t="shared" si="1"/>
        <v>7029</v>
      </c>
      <c r="F7" s="213"/>
      <c r="G7" s="217"/>
      <c r="H7" s="218"/>
      <c r="I7" s="218"/>
      <c r="J7" s="21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7"/>
      <c r="B8" s="16" t="s">
        <v>20</v>
      </c>
      <c r="C8" s="10"/>
      <c r="D8" s="13">
        <f t="shared" si="1"/>
        <v>0</v>
      </c>
      <c r="F8" s="220" t="s">
        <v>21</v>
      </c>
      <c r="G8" s="221" t="s">
        <v>110</v>
      </c>
      <c r="H8" s="222"/>
      <c r="I8" s="222"/>
      <c r="J8" s="22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7"/>
      <c r="B9" s="16" t="s">
        <v>23</v>
      </c>
      <c r="C9" s="10">
        <v>95</v>
      </c>
      <c r="D9" s="13">
        <f t="shared" si="1"/>
        <v>69635</v>
      </c>
      <c r="F9" s="213"/>
      <c r="G9" s="224"/>
      <c r="H9" s="225"/>
      <c r="I9" s="225"/>
      <c r="J9" s="22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7"/>
      <c r="B10" t="s">
        <v>25</v>
      </c>
      <c r="C10" s="10"/>
      <c r="D10" s="13">
        <f t="shared" si="1"/>
        <v>0</v>
      </c>
      <c r="F10" s="212" t="s">
        <v>26</v>
      </c>
      <c r="G10" s="227" t="s">
        <v>124</v>
      </c>
      <c r="H10" s="228"/>
      <c r="I10" s="228"/>
      <c r="J10" s="229"/>
      <c r="K10" s="8"/>
      <c r="L10" s="6">
        <f>R36</f>
        <v>1032</v>
      </c>
      <c r="P10" s="4"/>
      <c r="Q10" s="4"/>
      <c r="R10" s="5"/>
    </row>
    <row r="11" spans="1:18" ht="15.75" x14ac:dyDescent="0.25">
      <c r="A11" s="147"/>
      <c r="B11" s="17" t="s">
        <v>28</v>
      </c>
      <c r="C11" s="10"/>
      <c r="D11" s="13">
        <f t="shared" si="1"/>
        <v>0</v>
      </c>
      <c r="F11" s="213"/>
      <c r="G11" s="224"/>
      <c r="H11" s="225"/>
      <c r="I11" s="225"/>
      <c r="J11" s="22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7"/>
      <c r="B12" s="17" t="s">
        <v>30</v>
      </c>
      <c r="C12" s="10">
        <v>2</v>
      </c>
      <c r="D12" s="48">
        <f t="shared" si="1"/>
        <v>1984</v>
      </c>
      <c r="F12" s="230" t="s">
        <v>33</v>
      </c>
      <c r="G12" s="231"/>
      <c r="H12" s="231"/>
      <c r="I12" s="231"/>
      <c r="J12" s="23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7"/>
      <c r="B13" s="17" t="s">
        <v>32</v>
      </c>
      <c r="C13" s="10">
        <v>4</v>
      </c>
      <c r="D13" s="48">
        <f t="shared" si="1"/>
        <v>1228</v>
      </c>
      <c r="F13" s="233" t="s">
        <v>36</v>
      </c>
      <c r="G13" s="197"/>
      <c r="H13" s="188">
        <f>D29</f>
        <v>306343</v>
      </c>
      <c r="I13" s="189"/>
      <c r="J13" s="19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7"/>
      <c r="B14" s="14" t="s">
        <v>35</v>
      </c>
      <c r="C14" s="10">
        <v>2</v>
      </c>
      <c r="D14" s="31">
        <f t="shared" si="1"/>
        <v>22</v>
      </c>
      <c r="F14" s="191" t="s">
        <v>38</v>
      </c>
      <c r="G14" s="192"/>
      <c r="H14" s="193">
        <f>D54</f>
        <v>51729</v>
      </c>
      <c r="I14" s="194"/>
      <c r="J14" s="19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7"/>
      <c r="B15" s="14" t="s">
        <v>122</v>
      </c>
      <c r="C15" s="10"/>
      <c r="D15" s="31">
        <f t="shared" si="1"/>
        <v>0</v>
      </c>
      <c r="F15" s="196" t="s">
        <v>39</v>
      </c>
      <c r="G15" s="197"/>
      <c r="H15" s="198">
        <f>H13-H14</f>
        <v>254614</v>
      </c>
      <c r="I15" s="199"/>
      <c r="J15" s="200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7"/>
      <c r="B16" s="18" t="s">
        <v>111</v>
      </c>
      <c r="C16" s="10">
        <v>3</v>
      </c>
      <c r="D16" s="48">
        <f t="shared" si="1"/>
        <v>1950</v>
      </c>
      <c r="F16" s="67" t="s">
        <v>41</v>
      </c>
      <c r="G16" s="66" t="s">
        <v>42</v>
      </c>
      <c r="H16" s="158">
        <f>300+612+420+300</f>
        <v>1632</v>
      </c>
      <c r="I16" s="158"/>
      <c r="J16" s="158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7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69"/>
      <c r="I17" s="169"/>
      <c r="J17" s="169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7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69"/>
      <c r="I18" s="169"/>
      <c r="J18" s="169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7"/>
      <c r="B19" s="87" t="s">
        <v>105</v>
      </c>
      <c r="C19" s="10"/>
      <c r="D19" s="48">
        <f t="shared" si="1"/>
        <v>0</v>
      </c>
      <c r="F19" s="56"/>
      <c r="G19" s="68" t="s">
        <v>49</v>
      </c>
      <c r="H19" s="253">
        <v>50</v>
      </c>
      <c r="I19" s="253"/>
      <c r="J19" s="253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7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58"/>
      <c r="I20" s="158"/>
      <c r="J20" s="158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7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71" t="s">
        <v>13</v>
      </c>
      <c r="I21" s="172"/>
      <c r="J21" s="173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7"/>
      <c r="B22" s="46" t="s">
        <v>103</v>
      </c>
      <c r="C22" s="10"/>
      <c r="D22" s="48">
        <f t="shared" si="1"/>
        <v>0</v>
      </c>
      <c r="F22" s="77"/>
      <c r="G22" s="73"/>
      <c r="H22" s="174"/>
      <c r="I22" s="174"/>
      <c r="J22" s="174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7"/>
      <c r="B23" s="14" t="s">
        <v>121</v>
      </c>
      <c r="C23" s="10"/>
      <c r="D23" s="48">
        <f t="shared" si="1"/>
        <v>0</v>
      </c>
      <c r="F23" s="78"/>
      <c r="G23" s="79"/>
      <c r="H23" s="175"/>
      <c r="I23" s="144"/>
      <c r="J23" s="144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7"/>
      <c r="B24" s="14" t="s">
        <v>128</v>
      </c>
      <c r="C24" s="10"/>
      <c r="D24" s="48">
        <f t="shared" si="1"/>
        <v>0</v>
      </c>
      <c r="F24" s="38"/>
      <c r="G24" s="37"/>
      <c r="H24" s="175"/>
      <c r="I24" s="144"/>
      <c r="J24" s="144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7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76" t="s">
        <v>13</v>
      </c>
      <c r="I25" s="177"/>
      <c r="J25" s="178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7"/>
      <c r="B26" s="14" t="s">
        <v>129</v>
      </c>
      <c r="C26" s="10"/>
      <c r="D26" s="48">
        <f t="shared" si="1"/>
        <v>0</v>
      </c>
      <c r="F26" s="64"/>
      <c r="G26" s="59"/>
      <c r="H26" s="179"/>
      <c r="I26" s="180"/>
      <c r="J26" s="181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7"/>
      <c r="B27" s="14" t="s">
        <v>130</v>
      </c>
      <c r="C27" s="10"/>
      <c r="D27" s="44">
        <f t="shared" si="1"/>
        <v>0</v>
      </c>
      <c r="F27" s="25"/>
      <c r="G27" s="80"/>
      <c r="H27" s="182"/>
      <c r="I27" s="183"/>
      <c r="J27" s="184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8"/>
      <c r="B28" s="46" t="s">
        <v>92</v>
      </c>
      <c r="C28" s="10"/>
      <c r="D28" s="48">
        <f t="shared" si="1"/>
        <v>0</v>
      </c>
      <c r="F28" s="91"/>
      <c r="G28" s="61"/>
      <c r="H28" s="185"/>
      <c r="I28" s="186"/>
      <c r="J28" s="187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9" t="s">
        <v>36</v>
      </c>
      <c r="B29" s="160"/>
      <c r="C29" s="161"/>
      <c r="D29" s="165">
        <f>SUM(D6:D28)</f>
        <v>306343</v>
      </c>
      <c r="F29" s="105" t="s">
        <v>54</v>
      </c>
      <c r="G29" s="167"/>
      <c r="H29" s="127">
        <f>H15-H16-H17-H18-H19-H20-H22-H23-H24+H26+H27</f>
        <v>252932</v>
      </c>
      <c r="I29" s="128"/>
      <c r="J29" s="129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08"/>
      <c r="G30" s="168"/>
      <c r="H30" s="130"/>
      <c r="I30" s="131"/>
      <c r="J30" s="132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2" t="s">
        <v>57</v>
      </c>
      <c r="B32" s="153"/>
      <c r="C32" s="153"/>
      <c r="D32" s="154"/>
      <c r="F32" s="155" t="s">
        <v>58</v>
      </c>
      <c r="G32" s="156"/>
      <c r="H32" s="156"/>
      <c r="I32" s="156"/>
      <c r="J32" s="157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2" t="s">
        <v>62</v>
      </c>
      <c r="H33" s="155" t="s">
        <v>13</v>
      </c>
      <c r="I33" s="156"/>
      <c r="J33" s="157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6" t="s">
        <v>64</v>
      </c>
      <c r="B34" s="26" t="s">
        <v>65</v>
      </c>
      <c r="C34" s="51"/>
      <c r="D34" s="30">
        <f>C34*120</f>
        <v>0</v>
      </c>
      <c r="F34" s="12">
        <v>1000</v>
      </c>
      <c r="G34" s="74">
        <v>88</v>
      </c>
      <c r="H34" s="149">
        <f>F34*G34</f>
        <v>88000</v>
      </c>
      <c r="I34" s="150"/>
      <c r="J34" s="151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7"/>
      <c r="B35" s="27" t="s">
        <v>67</v>
      </c>
      <c r="C35" s="52"/>
      <c r="D35" s="30">
        <f>C35*84</f>
        <v>0</v>
      </c>
      <c r="F35" s="58">
        <v>500</v>
      </c>
      <c r="G35" s="41">
        <v>102</v>
      </c>
      <c r="H35" s="149">
        <f>F35*G35</f>
        <v>51000</v>
      </c>
      <c r="I35" s="150"/>
      <c r="J35" s="15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8"/>
      <c r="B36" s="26" t="s">
        <v>69</v>
      </c>
      <c r="C36" s="10"/>
      <c r="D36" s="12">
        <f>C36*1.5</f>
        <v>0</v>
      </c>
      <c r="F36" s="12">
        <v>200</v>
      </c>
      <c r="G36" s="37">
        <v>3</v>
      </c>
      <c r="H36" s="149">
        <f t="shared" ref="H36:H39" si="2">F36*G36</f>
        <v>600</v>
      </c>
      <c r="I36" s="150"/>
      <c r="J36" s="151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6" t="s">
        <v>71</v>
      </c>
      <c r="B37" s="28" t="s">
        <v>65</v>
      </c>
      <c r="C37" s="53">
        <v>451</v>
      </c>
      <c r="D37" s="12">
        <f>C37*111</f>
        <v>50061</v>
      </c>
      <c r="F37" s="12">
        <v>100</v>
      </c>
      <c r="G37" s="39">
        <v>47</v>
      </c>
      <c r="H37" s="149">
        <f t="shared" si="2"/>
        <v>4700</v>
      </c>
      <c r="I37" s="150"/>
      <c r="J37" s="151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7"/>
      <c r="B38" s="29" t="s">
        <v>67</v>
      </c>
      <c r="C38" s="54"/>
      <c r="D38" s="12">
        <f>C38*84</f>
        <v>0</v>
      </c>
      <c r="F38" s="30">
        <v>50</v>
      </c>
      <c r="G38" s="39">
        <v>4</v>
      </c>
      <c r="H38" s="149">
        <f t="shared" si="2"/>
        <v>200</v>
      </c>
      <c r="I38" s="150"/>
      <c r="J38" s="151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8"/>
      <c r="B39" s="29" t="s">
        <v>69</v>
      </c>
      <c r="C39" s="52">
        <v>31</v>
      </c>
      <c r="D39" s="31">
        <f>C39*4.5</f>
        <v>139.5</v>
      </c>
      <c r="F39" s="12">
        <v>20</v>
      </c>
      <c r="G39" s="37"/>
      <c r="H39" s="149">
        <f t="shared" si="2"/>
        <v>0</v>
      </c>
      <c r="I39" s="150"/>
      <c r="J39" s="15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6" t="s">
        <v>75</v>
      </c>
      <c r="B40" s="27" t="s">
        <v>65</v>
      </c>
      <c r="C40" s="63">
        <v>9</v>
      </c>
      <c r="D40" s="12">
        <f>C40*111</f>
        <v>999</v>
      </c>
      <c r="F40" s="12">
        <v>10</v>
      </c>
      <c r="G40" s="42"/>
      <c r="H40" s="149"/>
      <c r="I40" s="150"/>
      <c r="J40" s="151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7"/>
      <c r="B41" s="27" t="s">
        <v>67</v>
      </c>
      <c r="C41" s="10"/>
      <c r="D41" s="12">
        <f>C41*84</f>
        <v>0</v>
      </c>
      <c r="F41" s="12">
        <v>5</v>
      </c>
      <c r="G41" s="42"/>
      <c r="H41" s="149"/>
      <c r="I41" s="150"/>
      <c r="J41" s="151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8"/>
      <c r="B42" s="27" t="s">
        <v>69</v>
      </c>
      <c r="C42" s="11"/>
      <c r="D42" s="12">
        <f>C42*2.25</f>
        <v>0</v>
      </c>
      <c r="F42" s="39" t="s">
        <v>78</v>
      </c>
      <c r="G42" s="149">
        <v>131</v>
      </c>
      <c r="H42" s="150"/>
      <c r="I42" s="150"/>
      <c r="J42" s="151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19" t="s">
        <v>80</v>
      </c>
      <c r="C43" s="11"/>
      <c r="D43" s="12"/>
      <c r="F43" s="59" t="s">
        <v>81</v>
      </c>
      <c r="G43" s="88" t="s">
        <v>82</v>
      </c>
      <c r="H43" s="141" t="s">
        <v>13</v>
      </c>
      <c r="I43" s="142"/>
      <c r="J43" s="143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20"/>
      <c r="B44" s="27" t="s">
        <v>65</v>
      </c>
      <c r="C44" s="10">
        <v>2</v>
      </c>
      <c r="D44" s="12">
        <f>C44*120</f>
        <v>240</v>
      </c>
      <c r="F44" s="37" t="s">
        <v>132</v>
      </c>
      <c r="G44" s="76" t="s">
        <v>165</v>
      </c>
      <c r="H44" s="144">
        <v>65537.5</v>
      </c>
      <c r="I44" s="144"/>
      <c r="J44" s="144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20"/>
      <c r="B45" s="27" t="s">
        <v>67</v>
      </c>
      <c r="C45" s="33"/>
      <c r="D45" s="12">
        <f>C45*84</f>
        <v>0</v>
      </c>
      <c r="F45" s="37" t="s">
        <v>132</v>
      </c>
      <c r="G45" s="76" t="s">
        <v>166</v>
      </c>
      <c r="H45" s="144">
        <v>45415</v>
      </c>
      <c r="I45" s="144"/>
      <c r="J45" s="144"/>
      <c r="K45" s="21"/>
      <c r="P45" s="4"/>
      <c r="Q45" s="4"/>
      <c r="R45" s="5"/>
    </row>
    <row r="46" spans="1:18" ht="15.75" x14ac:dyDescent="0.25">
      <c r="A46" s="120"/>
      <c r="B46" s="49" t="s">
        <v>69</v>
      </c>
      <c r="C46" s="81">
        <v>8</v>
      </c>
      <c r="D46" s="12">
        <f>C46*1.5</f>
        <v>12</v>
      </c>
      <c r="F46" s="37"/>
      <c r="G46" s="62"/>
      <c r="H46" s="145"/>
      <c r="I46" s="145"/>
      <c r="J46" s="145"/>
      <c r="K46" s="21"/>
      <c r="P46" s="4"/>
      <c r="Q46" s="4"/>
      <c r="R46" s="5"/>
    </row>
    <row r="47" spans="1:18" ht="15.75" x14ac:dyDescent="0.25">
      <c r="A47" s="121"/>
      <c r="B47" s="27"/>
      <c r="C47" s="11"/>
      <c r="D47" s="12"/>
      <c r="F47" s="59"/>
      <c r="G47" s="59"/>
      <c r="H47" s="122"/>
      <c r="I47" s="123"/>
      <c r="J47" s="124"/>
      <c r="K47" s="21"/>
      <c r="P47" s="4"/>
      <c r="Q47" s="4"/>
      <c r="R47" s="5"/>
    </row>
    <row r="48" spans="1:18" ht="15" customHeight="1" x14ac:dyDescent="0.25">
      <c r="A48" s="119" t="s">
        <v>32</v>
      </c>
      <c r="B48" s="27" t="s">
        <v>65</v>
      </c>
      <c r="C48" s="10">
        <v>3</v>
      </c>
      <c r="D48" s="12">
        <f>C48*78</f>
        <v>234</v>
      </c>
      <c r="F48" s="59"/>
      <c r="G48" s="59"/>
      <c r="H48" s="122"/>
      <c r="I48" s="123"/>
      <c r="J48" s="124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20"/>
      <c r="B49" s="29" t="s">
        <v>67</v>
      </c>
      <c r="C49" s="33">
        <v>1</v>
      </c>
      <c r="D49" s="12">
        <f>C49*42</f>
        <v>42</v>
      </c>
      <c r="F49" s="125" t="s">
        <v>85</v>
      </c>
      <c r="G49" s="127">
        <f>H34+H35+H36+H37+H38+H39+H40+H41+G42+H44+H45+H46</f>
        <v>255583.5</v>
      </c>
      <c r="H49" s="128"/>
      <c r="I49" s="128"/>
      <c r="J49" s="129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0"/>
      <c r="B50" s="32" t="s">
        <v>69</v>
      </c>
      <c r="C50" s="11">
        <v>1</v>
      </c>
      <c r="D50" s="12">
        <f>C50*1.5</f>
        <v>1.5</v>
      </c>
      <c r="F50" s="126"/>
      <c r="G50" s="130"/>
      <c r="H50" s="131"/>
      <c r="I50" s="131"/>
      <c r="J50" s="132"/>
      <c r="O50" t="s">
        <v>114</v>
      </c>
      <c r="P50" s="4">
        <v>1204</v>
      </c>
      <c r="Q50" s="4"/>
      <c r="R50" s="5"/>
    </row>
    <row r="51" spans="1:18" ht="15" customHeight="1" x14ac:dyDescent="0.25">
      <c r="A51" s="120"/>
      <c r="B51" s="27"/>
      <c r="C51" s="10"/>
      <c r="D51" s="31"/>
      <c r="F51" s="133" t="s">
        <v>115</v>
      </c>
      <c r="G51" s="135">
        <f>G49-H29</f>
        <v>2651.5</v>
      </c>
      <c r="H51" s="136"/>
      <c r="I51" s="136"/>
      <c r="J51" s="137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20"/>
      <c r="B52" s="29"/>
      <c r="C52" s="33"/>
      <c r="D52" s="45"/>
      <c r="F52" s="134"/>
      <c r="G52" s="138"/>
      <c r="H52" s="139"/>
      <c r="I52" s="139"/>
      <c r="J52" s="140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1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05" t="s">
        <v>89</v>
      </c>
      <c r="B54" s="106"/>
      <c r="C54" s="107"/>
      <c r="D54" s="111">
        <f>SUM(D34:D53)</f>
        <v>51729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08"/>
      <c r="B55" s="109"/>
      <c r="C55" s="110"/>
      <c r="D55" s="11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13" t="s">
        <v>90</v>
      </c>
      <c r="B58" s="114"/>
      <c r="C58" s="114"/>
      <c r="D58" s="115"/>
      <c r="F58" s="113" t="s">
        <v>91</v>
      </c>
      <c r="G58" s="114"/>
      <c r="H58" s="114"/>
      <c r="I58" s="114"/>
      <c r="J58" s="115"/>
    </row>
    <row r="59" spans="1:18" x14ac:dyDescent="0.25">
      <c r="A59" s="116"/>
      <c r="B59" s="117"/>
      <c r="C59" s="117"/>
      <c r="D59" s="118"/>
      <c r="F59" s="116"/>
      <c r="G59" s="117"/>
      <c r="H59" s="117"/>
      <c r="I59" s="117"/>
      <c r="J59" s="118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49A070-2B26-49D3-99F7-A4706756C6BE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01" t="s">
        <v>1</v>
      </c>
      <c r="O1" s="201"/>
      <c r="P1" s="90" t="s">
        <v>2</v>
      </c>
      <c r="Q1" s="90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52" t="s">
        <v>7</v>
      </c>
      <c r="B4" s="153"/>
      <c r="C4" s="153"/>
      <c r="D4" s="154"/>
      <c r="F4" s="202" t="s">
        <v>8</v>
      </c>
      <c r="G4" s="204"/>
      <c r="H4" s="206" t="s">
        <v>9</v>
      </c>
      <c r="I4" s="208"/>
      <c r="J4" s="20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46" t="s">
        <v>7</v>
      </c>
      <c r="B5" s="15" t="s">
        <v>11</v>
      </c>
      <c r="C5" s="9" t="s">
        <v>12</v>
      </c>
      <c r="D5" s="25" t="s">
        <v>13</v>
      </c>
      <c r="F5" s="203"/>
      <c r="G5" s="205"/>
      <c r="H5" s="207"/>
      <c r="I5" s="210"/>
      <c r="J5" s="21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47"/>
      <c r="B6" s="16"/>
      <c r="C6" s="10"/>
      <c r="D6" s="13">
        <f t="shared" ref="D6:D28" si="1">C6*L6</f>
        <v>0</v>
      </c>
      <c r="F6" s="212" t="s">
        <v>16</v>
      </c>
      <c r="G6" s="214"/>
      <c r="H6" s="215"/>
      <c r="I6" s="215"/>
      <c r="J6" s="216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47"/>
      <c r="B7" s="16"/>
      <c r="C7" s="10"/>
      <c r="D7" s="13">
        <f t="shared" si="1"/>
        <v>0</v>
      </c>
      <c r="F7" s="213"/>
      <c r="G7" s="217"/>
      <c r="H7" s="218"/>
      <c r="I7" s="218"/>
      <c r="J7" s="219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47"/>
      <c r="B8" s="16"/>
      <c r="C8" s="10"/>
      <c r="D8" s="13">
        <f t="shared" si="1"/>
        <v>0</v>
      </c>
      <c r="F8" s="220" t="s">
        <v>21</v>
      </c>
      <c r="G8" s="221"/>
      <c r="H8" s="222"/>
      <c r="I8" s="222"/>
      <c r="J8" s="223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47"/>
      <c r="B9" s="16"/>
      <c r="C9" s="10"/>
      <c r="D9" s="13">
        <f t="shared" si="1"/>
        <v>0</v>
      </c>
      <c r="F9" s="213"/>
      <c r="G9" s="224"/>
      <c r="H9" s="225"/>
      <c r="I9" s="225"/>
      <c r="J9" s="226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47"/>
      <c r="C10" s="10"/>
      <c r="D10" s="13">
        <f t="shared" si="1"/>
        <v>0</v>
      </c>
      <c r="F10" s="212" t="s">
        <v>26</v>
      </c>
      <c r="G10" s="227"/>
      <c r="H10" s="228"/>
      <c r="I10" s="228"/>
      <c r="J10" s="229"/>
      <c r="K10" s="8"/>
      <c r="L10" s="6">
        <f>R36</f>
        <v>972</v>
      </c>
      <c r="P10" s="4"/>
      <c r="Q10" s="4"/>
      <c r="R10" s="5"/>
    </row>
    <row r="11" spans="1:19" ht="15.75" x14ac:dyDescent="0.25">
      <c r="A11" s="147"/>
      <c r="B11" s="17"/>
      <c r="C11" s="10"/>
      <c r="D11" s="13">
        <f t="shared" si="1"/>
        <v>0</v>
      </c>
      <c r="F11" s="213"/>
      <c r="G11" s="224"/>
      <c r="H11" s="225"/>
      <c r="I11" s="225"/>
      <c r="J11" s="226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47"/>
      <c r="B12" s="17"/>
      <c r="C12" s="10"/>
      <c r="D12" s="48">
        <f t="shared" si="1"/>
        <v>0</v>
      </c>
      <c r="F12" s="230" t="s">
        <v>33</v>
      </c>
      <c r="G12" s="231"/>
      <c r="H12" s="231"/>
      <c r="I12" s="231"/>
      <c r="J12" s="232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47"/>
      <c r="B13" s="17"/>
      <c r="C13" s="10"/>
      <c r="D13" s="48">
        <f t="shared" si="1"/>
        <v>0</v>
      </c>
      <c r="F13" s="233" t="s">
        <v>36</v>
      </c>
      <c r="G13" s="197"/>
      <c r="H13" s="188">
        <f>D29</f>
        <v>0</v>
      </c>
      <c r="I13" s="189"/>
      <c r="J13" s="19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47"/>
      <c r="B14" s="14"/>
      <c r="C14" s="10"/>
      <c r="D14" s="31">
        <f t="shared" si="1"/>
        <v>0</v>
      </c>
      <c r="F14" s="191" t="s">
        <v>38</v>
      </c>
      <c r="G14" s="192"/>
      <c r="H14" s="193">
        <f>D54</f>
        <v>0</v>
      </c>
      <c r="I14" s="194"/>
      <c r="J14" s="19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47"/>
      <c r="B15" s="14"/>
      <c r="C15" s="10"/>
      <c r="D15" s="31">
        <f t="shared" si="1"/>
        <v>0</v>
      </c>
      <c r="F15" s="196" t="s">
        <v>39</v>
      </c>
      <c r="G15" s="197"/>
      <c r="H15" s="198">
        <f>H13-H14</f>
        <v>0</v>
      </c>
      <c r="I15" s="199"/>
      <c r="J15" s="200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47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58"/>
      <c r="I16" s="158"/>
      <c r="J16" s="158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7"/>
      <c r="C17" s="10"/>
      <c r="D17" s="48">
        <f t="shared" si="1"/>
        <v>0</v>
      </c>
      <c r="F17" s="56"/>
      <c r="G17" s="66" t="s">
        <v>44</v>
      </c>
      <c r="H17" s="169"/>
      <c r="I17" s="169"/>
      <c r="J17" s="169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7"/>
      <c r="B18" s="19"/>
      <c r="C18" s="10"/>
      <c r="D18" s="48">
        <f t="shared" si="1"/>
        <v>0</v>
      </c>
      <c r="F18" s="56"/>
      <c r="G18" s="66" t="s">
        <v>46</v>
      </c>
      <c r="H18" s="169"/>
      <c r="I18" s="169"/>
      <c r="J18" s="16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7"/>
      <c r="B19" s="14"/>
      <c r="C19" s="10"/>
      <c r="D19" s="48">
        <f t="shared" si="1"/>
        <v>0</v>
      </c>
      <c r="F19" s="56"/>
      <c r="G19" s="68" t="s">
        <v>49</v>
      </c>
      <c r="H19" s="170"/>
      <c r="I19" s="170"/>
      <c r="J19" s="170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7"/>
      <c r="B20" s="46"/>
      <c r="C20" s="10"/>
      <c r="D20" s="13">
        <f t="shared" si="1"/>
        <v>0</v>
      </c>
      <c r="F20" s="57"/>
      <c r="G20" s="70" t="s">
        <v>102</v>
      </c>
      <c r="H20" s="158"/>
      <c r="I20" s="158"/>
      <c r="J20" s="158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7"/>
      <c r="B21" s="14"/>
      <c r="C21" s="10"/>
      <c r="D21" s="48">
        <f t="shared" si="1"/>
        <v>0</v>
      </c>
      <c r="F21" s="69" t="s">
        <v>94</v>
      </c>
      <c r="G21" s="82" t="s">
        <v>93</v>
      </c>
      <c r="H21" s="171" t="s">
        <v>13</v>
      </c>
      <c r="I21" s="172"/>
      <c r="J21" s="173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7"/>
      <c r="B22" s="46"/>
      <c r="C22" s="10"/>
      <c r="D22" s="48">
        <f t="shared" si="1"/>
        <v>0</v>
      </c>
      <c r="F22" s="77"/>
      <c r="G22" s="73"/>
      <c r="H22" s="174"/>
      <c r="I22" s="174"/>
      <c r="J22" s="174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7"/>
      <c r="B23" s="14"/>
      <c r="C23" s="10"/>
      <c r="D23" s="48">
        <f t="shared" si="1"/>
        <v>0</v>
      </c>
      <c r="F23" s="78"/>
      <c r="G23" s="79"/>
      <c r="H23" s="175"/>
      <c r="I23" s="144"/>
      <c r="J23" s="144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7"/>
      <c r="B24" s="14"/>
      <c r="C24" s="10"/>
      <c r="D24" s="48">
        <f t="shared" si="1"/>
        <v>0</v>
      </c>
      <c r="F24" s="38"/>
      <c r="G24" s="37"/>
      <c r="H24" s="175"/>
      <c r="I24" s="144"/>
      <c r="J24" s="144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7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176" t="s">
        <v>13</v>
      </c>
      <c r="I25" s="177"/>
      <c r="J25" s="178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7"/>
      <c r="B26" s="14"/>
      <c r="C26" s="10"/>
      <c r="D26" s="48">
        <f t="shared" si="1"/>
        <v>0</v>
      </c>
      <c r="F26" s="64"/>
      <c r="G26" s="59"/>
      <c r="H26" s="179"/>
      <c r="I26" s="180"/>
      <c r="J26" s="181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7"/>
      <c r="B27" s="14"/>
      <c r="C27" s="10"/>
      <c r="D27" s="44">
        <f t="shared" si="1"/>
        <v>0</v>
      </c>
      <c r="F27" s="25"/>
      <c r="G27" s="80"/>
      <c r="H27" s="182"/>
      <c r="I27" s="183"/>
      <c r="J27" s="184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8"/>
      <c r="B28" s="46"/>
      <c r="C28" s="10"/>
      <c r="D28" s="48">
        <f t="shared" si="1"/>
        <v>0</v>
      </c>
      <c r="F28" s="91"/>
      <c r="G28" s="61"/>
      <c r="H28" s="185"/>
      <c r="I28" s="186"/>
      <c r="J28" s="187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9" t="s">
        <v>36</v>
      </c>
      <c r="B29" s="160"/>
      <c r="C29" s="161"/>
      <c r="D29" s="165">
        <f>SUM(D6:D28)</f>
        <v>0</v>
      </c>
      <c r="F29" s="105" t="s">
        <v>54</v>
      </c>
      <c r="G29" s="167"/>
      <c r="H29" s="127">
        <f>H15-H16-H17-H18-H19-H20-H22-H23-H24+H26+H27</f>
        <v>0</v>
      </c>
      <c r="I29" s="128"/>
      <c r="J29" s="129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08"/>
      <c r="G30" s="168"/>
      <c r="H30" s="130"/>
      <c r="I30" s="131"/>
      <c r="J30" s="132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52" t="s">
        <v>57</v>
      </c>
      <c r="B32" s="153"/>
      <c r="C32" s="153"/>
      <c r="D32" s="154"/>
      <c r="F32" s="155" t="s">
        <v>58</v>
      </c>
      <c r="G32" s="156"/>
      <c r="H32" s="156"/>
      <c r="I32" s="156"/>
      <c r="J32" s="157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2" t="s">
        <v>62</v>
      </c>
      <c r="H33" s="155" t="s">
        <v>13</v>
      </c>
      <c r="I33" s="156"/>
      <c r="J33" s="157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6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149"/>
      <c r="I34" s="150"/>
      <c r="J34" s="151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7"/>
      <c r="B35" s="27" t="s">
        <v>67</v>
      </c>
      <c r="C35" s="52"/>
      <c r="D35" s="30">
        <f>C35*84</f>
        <v>0</v>
      </c>
      <c r="F35" s="58">
        <v>500</v>
      </c>
      <c r="G35" s="41"/>
      <c r="H35" s="149"/>
      <c r="I35" s="150"/>
      <c r="J35" s="15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8"/>
      <c r="B36" s="26" t="s">
        <v>69</v>
      </c>
      <c r="C36" s="10"/>
      <c r="D36" s="12">
        <f>C36*1.5</f>
        <v>0</v>
      </c>
      <c r="F36" s="12">
        <v>200</v>
      </c>
      <c r="G36" s="37"/>
      <c r="H36" s="149"/>
      <c r="I36" s="150"/>
      <c r="J36" s="151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6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49"/>
      <c r="I37" s="150"/>
      <c r="J37" s="151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7"/>
      <c r="B38" s="29" t="s">
        <v>67</v>
      </c>
      <c r="C38" s="54"/>
      <c r="D38" s="12">
        <f>C38*84</f>
        <v>0</v>
      </c>
      <c r="F38" s="30">
        <v>50</v>
      </c>
      <c r="G38" s="39"/>
      <c r="H38" s="149"/>
      <c r="I38" s="150"/>
      <c r="J38" s="151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8"/>
      <c r="B39" s="29" t="s">
        <v>69</v>
      </c>
      <c r="C39" s="52"/>
      <c r="D39" s="31">
        <f>C39*4.5</f>
        <v>0</v>
      </c>
      <c r="F39" s="12">
        <v>20</v>
      </c>
      <c r="G39" s="37"/>
      <c r="H39" s="149"/>
      <c r="I39" s="150"/>
      <c r="J39" s="15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6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49"/>
      <c r="I40" s="150"/>
      <c r="J40" s="151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7"/>
      <c r="B41" s="27" t="s">
        <v>67</v>
      </c>
      <c r="C41" s="10"/>
      <c r="D41" s="12">
        <f>C41*84</f>
        <v>0</v>
      </c>
      <c r="F41" s="12">
        <v>5</v>
      </c>
      <c r="G41" s="42"/>
      <c r="H41" s="149"/>
      <c r="I41" s="150"/>
      <c r="J41" s="151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8"/>
      <c r="B42" s="27" t="s">
        <v>69</v>
      </c>
      <c r="C42" s="11"/>
      <c r="D42" s="12">
        <f>C42*2.25</f>
        <v>0</v>
      </c>
      <c r="F42" s="39" t="s">
        <v>78</v>
      </c>
      <c r="G42" s="149"/>
      <c r="H42" s="150"/>
      <c r="I42" s="150"/>
      <c r="J42" s="151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19" t="s">
        <v>80</v>
      </c>
      <c r="C43" s="11"/>
      <c r="D43" s="12"/>
      <c r="F43" s="59" t="s">
        <v>81</v>
      </c>
      <c r="G43" s="88" t="s">
        <v>82</v>
      </c>
      <c r="H43" s="141" t="s">
        <v>13</v>
      </c>
      <c r="I43" s="142"/>
      <c r="J43" s="143"/>
      <c r="K43" s="21"/>
      <c r="P43" s="4"/>
      <c r="Q43" s="4"/>
      <c r="R43" s="5"/>
    </row>
    <row r="44" spans="1:18" ht="15.75" x14ac:dyDescent="0.25">
      <c r="A44" s="120"/>
      <c r="B44" s="27" t="s">
        <v>65</v>
      </c>
      <c r="C44" s="10"/>
      <c r="D44" s="12">
        <f>C44*120</f>
        <v>0</v>
      </c>
      <c r="F44" s="37"/>
      <c r="G44" s="76"/>
      <c r="H44" s="144"/>
      <c r="I44" s="144"/>
      <c r="J44" s="144"/>
      <c r="K44" s="21"/>
      <c r="P44" s="4"/>
      <c r="Q44" s="4"/>
      <c r="R44" s="5"/>
    </row>
    <row r="45" spans="1:18" ht="15.75" x14ac:dyDescent="0.25">
      <c r="A45" s="120"/>
      <c r="B45" s="27" t="s">
        <v>67</v>
      </c>
      <c r="C45" s="33"/>
      <c r="D45" s="12">
        <f>C45*84</f>
        <v>0</v>
      </c>
      <c r="F45" s="37"/>
      <c r="G45" s="76"/>
      <c r="H45" s="144"/>
      <c r="I45" s="144"/>
      <c r="J45" s="144"/>
      <c r="K45" s="21"/>
      <c r="P45" s="4"/>
      <c r="Q45" s="4"/>
      <c r="R45" s="5"/>
    </row>
    <row r="46" spans="1:18" ht="15.75" x14ac:dyDescent="0.25">
      <c r="A46" s="120"/>
      <c r="B46" s="49" t="s">
        <v>69</v>
      </c>
      <c r="C46" s="81"/>
      <c r="D46" s="12">
        <f>C46*1.5</f>
        <v>0</v>
      </c>
      <c r="F46" s="37"/>
      <c r="G46" s="62"/>
      <c r="H46" s="145"/>
      <c r="I46" s="145"/>
      <c r="J46" s="145"/>
      <c r="K46" s="21"/>
      <c r="P46" s="4"/>
      <c r="Q46" s="4"/>
      <c r="R46" s="5"/>
    </row>
    <row r="47" spans="1:18" ht="15.75" x14ac:dyDescent="0.25">
      <c r="A47" s="121"/>
      <c r="B47" s="27"/>
      <c r="C47" s="11"/>
      <c r="D47" s="12"/>
      <c r="F47" s="59"/>
      <c r="G47" s="59"/>
      <c r="H47" s="122"/>
      <c r="I47" s="123"/>
      <c r="J47" s="124"/>
      <c r="K47" s="21"/>
      <c r="P47" s="4"/>
      <c r="Q47" s="4"/>
      <c r="R47" s="5"/>
    </row>
    <row r="48" spans="1:18" ht="15" customHeight="1" x14ac:dyDescent="0.25">
      <c r="A48" s="119" t="s">
        <v>32</v>
      </c>
      <c r="B48" s="27" t="s">
        <v>65</v>
      </c>
      <c r="C48" s="10"/>
      <c r="D48" s="12">
        <f>C48*78</f>
        <v>0</v>
      </c>
      <c r="F48" s="59"/>
      <c r="G48" s="59"/>
      <c r="H48" s="122"/>
      <c r="I48" s="123"/>
      <c r="J48" s="124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20"/>
      <c r="B49" s="29" t="s">
        <v>67</v>
      </c>
      <c r="C49" s="33"/>
      <c r="D49" s="12">
        <f>C49*42</f>
        <v>0</v>
      </c>
      <c r="F49" s="125" t="s">
        <v>85</v>
      </c>
      <c r="G49" s="127">
        <f>H34+H35+H36+H37+H38+H39+H40+H41+G42+H44+H45+H46</f>
        <v>0</v>
      </c>
      <c r="H49" s="128"/>
      <c r="I49" s="128"/>
      <c r="J49" s="129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0"/>
      <c r="B50" s="32" t="s">
        <v>69</v>
      </c>
      <c r="C50" s="11"/>
      <c r="D50" s="12">
        <f>C50*1.5</f>
        <v>0</v>
      </c>
      <c r="F50" s="126"/>
      <c r="G50" s="130"/>
      <c r="H50" s="131"/>
      <c r="I50" s="131"/>
      <c r="J50" s="132"/>
      <c r="P50" s="4"/>
      <c r="Q50" s="4"/>
      <c r="R50" s="5"/>
    </row>
    <row r="51" spans="1:18" ht="15" customHeight="1" x14ac:dyDescent="0.25">
      <c r="A51" s="120"/>
      <c r="B51" s="27"/>
      <c r="C51" s="10"/>
      <c r="D51" s="31"/>
      <c r="F51" s="133" t="s">
        <v>106</v>
      </c>
      <c r="G51" s="135">
        <f>G49-H29</f>
        <v>0</v>
      </c>
      <c r="H51" s="136"/>
      <c r="I51" s="136"/>
      <c r="J51" s="137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0"/>
      <c r="B52" s="29"/>
      <c r="C52" s="33"/>
      <c r="D52" s="45"/>
      <c r="F52" s="134"/>
      <c r="G52" s="138"/>
      <c r="H52" s="139"/>
      <c r="I52" s="139"/>
      <c r="J52" s="140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1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05" t="s">
        <v>89</v>
      </c>
      <c r="B54" s="106"/>
      <c r="C54" s="107"/>
      <c r="D54" s="111">
        <f>SUM(D34:D53)</f>
        <v>0</v>
      </c>
      <c r="F54" s="21"/>
      <c r="J54" s="34"/>
    </row>
    <row r="55" spans="1:18" x14ac:dyDescent="0.25">
      <c r="A55" s="108"/>
      <c r="B55" s="109"/>
      <c r="C55" s="110"/>
      <c r="D55" s="11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13" t="s">
        <v>90</v>
      </c>
      <c r="B58" s="114"/>
      <c r="C58" s="114"/>
      <c r="D58" s="115"/>
      <c r="F58" s="113" t="s">
        <v>91</v>
      </c>
      <c r="G58" s="114"/>
      <c r="H58" s="114"/>
      <c r="I58" s="114"/>
      <c r="J58" s="115"/>
    </row>
    <row r="59" spans="1:18" x14ac:dyDescent="0.25">
      <c r="A59" s="116"/>
      <c r="B59" s="117"/>
      <c r="C59" s="117"/>
      <c r="D59" s="118"/>
      <c r="F59" s="116"/>
      <c r="G59" s="117"/>
      <c r="H59" s="117"/>
      <c r="I59" s="117"/>
      <c r="J59" s="118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255631-AF90-414A-8303-EF0A633D4529}">
  <dimension ref="A1:R59"/>
  <sheetViews>
    <sheetView zoomScaleNormal="100" zoomScaleSheetLayoutView="85" workbookViewId="0">
      <selection activeCell="H35" sqref="H35:J3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1" t="s">
        <v>1</v>
      </c>
      <c r="O1" s="201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2" t="s">
        <v>7</v>
      </c>
      <c r="B4" s="153"/>
      <c r="C4" s="153"/>
      <c r="D4" s="154"/>
      <c r="F4" s="202" t="s">
        <v>8</v>
      </c>
      <c r="G4" s="204">
        <v>1</v>
      </c>
      <c r="H4" s="206" t="s">
        <v>9</v>
      </c>
      <c r="I4" s="208">
        <v>46154</v>
      </c>
      <c r="J4" s="20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6" t="s">
        <v>7</v>
      </c>
      <c r="B5" s="15" t="s">
        <v>11</v>
      </c>
      <c r="C5" s="9" t="s">
        <v>12</v>
      </c>
      <c r="D5" s="25" t="s">
        <v>13</v>
      </c>
      <c r="F5" s="203"/>
      <c r="G5" s="205"/>
      <c r="H5" s="207"/>
      <c r="I5" s="210"/>
      <c r="J5" s="21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7"/>
      <c r="B6" s="16" t="s">
        <v>15</v>
      </c>
      <c r="C6" s="10">
        <v>352</v>
      </c>
      <c r="D6" s="13">
        <f t="shared" ref="D6:D28" si="1">C6*L6</f>
        <v>267872</v>
      </c>
      <c r="F6" s="212" t="s">
        <v>16</v>
      </c>
      <c r="G6" s="214" t="s">
        <v>99</v>
      </c>
      <c r="H6" s="215"/>
      <c r="I6" s="215"/>
      <c r="J6" s="21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7"/>
      <c r="B7" s="16" t="s">
        <v>18</v>
      </c>
      <c r="C7" s="10">
        <v>20</v>
      </c>
      <c r="D7" s="13">
        <f t="shared" si="1"/>
        <v>15620</v>
      </c>
      <c r="F7" s="213"/>
      <c r="G7" s="217"/>
      <c r="H7" s="218"/>
      <c r="I7" s="218"/>
      <c r="J7" s="21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7"/>
      <c r="B8" s="16" t="s">
        <v>20</v>
      </c>
      <c r="C8" s="10">
        <v>5</v>
      </c>
      <c r="D8" s="13">
        <f t="shared" si="1"/>
        <v>5465</v>
      </c>
      <c r="F8" s="220" t="s">
        <v>21</v>
      </c>
      <c r="G8" s="221" t="s">
        <v>120</v>
      </c>
      <c r="H8" s="222"/>
      <c r="I8" s="222"/>
      <c r="J8" s="22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7"/>
      <c r="B9" s="16" t="s">
        <v>23</v>
      </c>
      <c r="C9" s="10">
        <v>14</v>
      </c>
      <c r="D9" s="13">
        <f t="shared" si="1"/>
        <v>10262</v>
      </c>
      <c r="F9" s="213"/>
      <c r="G9" s="224"/>
      <c r="H9" s="225"/>
      <c r="I9" s="225"/>
      <c r="J9" s="22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7"/>
      <c r="B10" t="s">
        <v>25</v>
      </c>
      <c r="C10" s="10"/>
      <c r="D10" s="13">
        <f t="shared" si="1"/>
        <v>0</v>
      </c>
      <c r="F10" s="212" t="s">
        <v>26</v>
      </c>
      <c r="G10" s="227" t="s">
        <v>108</v>
      </c>
      <c r="H10" s="228"/>
      <c r="I10" s="228"/>
      <c r="J10" s="229"/>
      <c r="K10" s="8"/>
      <c r="L10" s="6">
        <f>R36</f>
        <v>1032</v>
      </c>
      <c r="P10" s="4"/>
      <c r="Q10" s="4"/>
      <c r="R10" s="5"/>
    </row>
    <row r="11" spans="1:18" ht="15.75" x14ac:dyDescent="0.25">
      <c r="A11" s="147"/>
      <c r="B11" s="17" t="s">
        <v>28</v>
      </c>
      <c r="C11" s="10"/>
      <c r="D11" s="13">
        <f t="shared" si="1"/>
        <v>0</v>
      </c>
      <c r="F11" s="213"/>
      <c r="G11" s="224"/>
      <c r="H11" s="225"/>
      <c r="I11" s="225"/>
      <c r="J11" s="22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7"/>
      <c r="B12" s="17" t="s">
        <v>30</v>
      </c>
      <c r="C12" s="10"/>
      <c r="D12" s="48">
        <f t="shared" si="1"/>
        <v>0</v>
      </c>
      <c r="F12" s="230" t="s">
        <v>33</v>
      </c>
      <c r="G12" s="231"/>
      <c r="H12" s="231"/>
      <c r="I12" s="231"/>
      <c r="J12" s="23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7"/>
      <c r="B13" s="17" t="s">
        <v>32</v>
      </c>
      <c r="C13" s="10">
        <v>10</v>
      </c>
      <c r="D13" s="48">
        <f t="shared" si="1"/>
        <v>3070</v>
      </c>
      <c r="F13" s="233" t="s">
        <v>36</v>
      </c>
      <c r="G13" s="197"/>
      <c r="H13" s="188">
        <f>D29</f>
        <v>302421</v>
      </c>
      <c r="I13" s="189"/>
      <c r="J13" s="19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7"/>
      <c r="B14" s="14" t="s">
        <v>35</v>
      </c>
      <c r="C14" s="10">
        <v>12</v>
      </c>
      <c r="D14" s="31">
        <f t="shared" si="1"/>
        <v>132</v>
      </c>
      <c r="F14" s="191" t="s">
        <v>38</v>
      </c>
      <c r="G14" s="192"/>
      <c r="H14" s="193">
        <f>D54</f>
        <v>42444.75</v>
      </c>
      <c r="I14" s="194"/>
      <c r="J14" s="19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7"/>
      <c r="B15" s="14" t="s">
        <v>122</v>
      </c>
      <c r="C15" s="10"/>
      <c r="D15" s="31">
        <f t="shared" si="1"/>
        <v>0</v>
      </c>
      <c r="F15" s="196" t="s">
        <v>39</v>
      </c>
      <c r="G15" s="197"/>
      <c r="H15" s="198">
        <f>H13-H14</f>
        <v>259976.25</v>
      </c>
      <c r="I15" s="199"/>
      <c r="J15" s="200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7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58">
        <v>2094</v>
      </c>
      <c r="I16" s="158"/>
      <c r="J16" s="158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7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69"/>
      <c r="I17" s="169"/>
      <c r="J17" s="169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7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69"/>
      <c r="I18" s="169"/>
      <c r="J18" s="169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7"/>
      <c r="B19" s="83" t="s">
        <v>105</v>
      </c>
      <c r="C19" s="10"/>
      <c r="D19" s="48">
        <f t="shared" si="1"/>
        <v>0</v>
      </c>
      <c r="F19" s="56"/>
      <c r="G19" s="68" t="s">
        <v>49</v>
      </c>
      <c r="H19" s="158"/>
      <c r="I19" s="158"/>
      <c r="J19" s="158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7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58">
        <v>102.46</v>
      </c>
      <c r="I20" s="158"/>
      <c r="J20" s="158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7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71" t="s">
        <v>13</v>
      </c>
      <c r="I21" s="172"/>
      <c r="J21" s="173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7"/>
      <c r="B22" s="46" t="s">
        <v>103</v>
      </c>
      <c r="C22" s="10"/>
      <c r="D22" s="48">
        <f t="shared" si="1"/>
        <v>0</v>
      </c>
      <c r="F22" s="77"/>
      <c r="G22" s="73"/>
      <c r="H22" s="174"/>
      <c r="I22" s="174"/>
      <c r="J22" s="174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7"/>
      <c r="B23" s="14" t="s">
        <v>121</v>
      </c>
      <c r="C23" s="10"/>
      <c r="D23" s="48">
        <f t="shared" si="1"/>
        <v>0</v>
      </c>
      <c r="F23" s="77"/>
      <c r="G23" s="79"/>
      <c r="H23" s="242"/>
      <c r="I23" s="243"/>
      <c r="J23" s="243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7"/>
      <c r="B24" s="14" t="s">
        <v>128</v>
      </c>
      <c r="C24" s="10"/>
      <c r="D24" s="48">
        <f t="shared" si="1"/>
        <v>0</v>
      </c>
      <c r="F24" s="77"/>
      <c r="G24" s="79"/>
      <c r="H24" s="242"/>
      <c r="I24" s="243"/>
      <c r="J24" s="243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7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76" t="s">
        <v>13</v>
      </c>
      <c r="I25" s="177"/>
      <c r="J25" s="178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7"/>
      <c r="B26" s="14" t="s">
        <v>129</v>
      </c>
      <c r="C26" s="10"/>
      <c r="D26" s="48">
        <f t="shared" si="1"/>
        <v>0</v>
      </c>
      <c r="F26" s="75"/>
      <c r="G26" s="65"/>
      <c r="H26" s="144"/>
      <c r="I26" s="144"/>
      <c r="J26" s="144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7"/>
      <c r="B27" s="14" t="s">
        <v>130</v>
      </c>
      <c r="C27" s="10"/>
      <c r="D27" s="44">
        <f t="shared" si="1"/>
        <v>0</v>
      </c>
      <c r="F27" s="71"/>
      <c r="G27" s="88"/>
      <c r="H27" s="244"/>
      <c r="I27" s="245"/>
      <c r="J27" s="245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8"/>
      <c r="B28" s="46" t="s">
        <v>92</v>
      </c>
      <c r="C28" s="10"/>
      <c r="D28" s="48">
        <f t="shared" si="1"/>
        <v>0</v>
      </c>
      <c r="F28" s="91"/>
      <c r="G28" s="61"/>
      <c r="H28" s="185"/>
      <c r="I28" s="186"/>
      <c r="J28" s="187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9" t="s">
        <v>36</v>
      </c>
      <c r="B29" s="160"/>
      <c r="C29" s="161"/>
      <c r="D29" s="165">
        <f>SUM(D6:D28)</f>
        <v>302421</v>
      </c>
      <c r="F29" s="105" t="s">
        <v>54</v>
      </c>
      <c r="G29" s="167"/>
      <c r="H29" s="127">
        <f>H15-H16-H17-H18-H19-H20-H22-H23-H24+H26+H27+H28</f>
        <v>257779.79</v>
      </c>
      <c r="I29" s="128"/>
      <c r="J29" s="129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08"/>
      <c r="G30" s="168"/>
      <c r="H30" s="130"/>
      <c r="I30" s="131"/>
      <c r="J30" s="132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2" t="s">
        <v>57</v>
      </c>
      <c r="B32" s="153"/>
      <c r="C32" s="153"/>
      <c r="D32" s="154"/>
      <c r="F32" s="155" t="s">
        <v>58</v>
      </c>
      <c r="G32" s="156"/>
      <c r="H32" s="156"/>
      <c r="I32" s="156"/>
      <c r="J32" s="157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2" t="s">
        <v>62</v>
      </c>
      <c r="H33" s="155" t="s">
        <v>13</v>
      </c>
      <c r="I33" s="156"/>
      <c r="J33" s="157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6" t="s">
        <v>64</v>
      </c>
      <c r="B34" s="26" t="s">
        <v>65</v>
      </c>
      <c r="C34" s="51">
        <v>2</v>
      </c>
      <c r="D34" s="30">
        <f>C34*120</f>
        <v>240</v>
      </c>
      <c r="F34" s="12">
        <v>1000</v>
      </c>
      <c r="G34" s="40">
        <v>25</v>
      </c>
      <c r="H34" s="149">
        <f t="shared" ref="H34:H39" si="2">F34*G34</f>
        <v>25000</v>
      </c>
      <c r="I34" s="150"/>
      <c r="J34" s="151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7"/>
      <c r="B35" s="27" t="s">
        <v>67</v>
      </c>
      <c r="C35" s="52">
        <v>1</v>
      </c>
      <c r="D35" s="30">
        <f>C35*84</f>
        <v>84</v>
      </c>
      <c r="F35" s="58">
        <v>500</v>
      </c>
      <c r="G35" s="41">
        <v>1</v>
      </c>
      <c r="H35" s="149">
        <f t="shared" si="2"/>
        <v>500</v>
      </c>
      <c r="I35" s="150"/>
      <c r="J35" s="15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8"/>
      <c r="B36" s="26" t="s">
        <v>69</v>
      </c>
      <c r="C36" s="10">
        <v>4</v>
      </c>
      <c r="D36" s="12">
        <f>C36*1.5</f>
        <v>6</v>
      </c>
      <c r="F36" s="12">
        <v>200</v>
      </c>
      <c r="G36" s="37"/>
      <c r="H36" s="149">
        <f t="shared" si="2"/>
        <v>0</v>
      </c>
      <c r="I36" s="150"/>
      <c r="J36" s="151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6" t="s">
        <v>71</v>
      </c>
      <c r="B37" s="28" t="s">
        <v>65</v>
      </c>
      <c r="C37" s="53">
        <v>362</v>
      </c>
      <c r="D37" s="12">
        <f>C37*111</f>
        <v>40182</v>
      </c>
      <c r="F37" s="12">
        <v>100</v>
      </c>
      <c r="G37" s="39">
        <v>8</v>
      </c>
      <c r="H37" s="149">
        <f t="shared" si="2"/>
        <v>800</v>
      </c>
      <c r="I37" s="150"/>
      <c r="J37" s="151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7"/>
      <c r="B38" s="29" t="s">
        <v>67</v>
      </c>
      <c r="C38" s="54">
        <v>3</v>
      </c>
      <c r="D38" s="12">
        <f>C38*84</f>
        <v>252</v>
      </c>
      <c r="F38" s="30">
        <v>50</v>
      </c>
      <c r="G38" s="39">
        <v>2</v>
      </c>
      <c r="H38" s="149">
        <f t="shared" si="2"/>
        <v>100</v>
      </c>
      <c r="I38" s="150"/>
      <c r="J38" s="151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8"/>
      <c r="B39" s="29" t="s">
        <v>69</v>
      </c>
      <c r="C39" s="52"/>
      <c r="D39" s="31">
        <f>C39*4.5</f>
        <v>0</v>
      </c>
      <c r="F39" s="12">
        <v>20</v>
      </c>
      <c r="G39" s="37"/>
      <c r="H39" s="149">
        <f t="shared" si="2"/>
        <v>0</v>
      </c>
      <c r="I39" s="150"/>
      <c r="J39" s="15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6" t="s">
        <v>75</v>
      </c>
      <c r="B40" s="27" t="s">
        <v>65</v>
      </c>
      <c r="C40" s="63">
        <v>7</v>
      </c>
      <c r="D40" s="12">
        <f>C40*111</f>
        <v>777</v>
      </c>
      <c r="F40" s="12">
        <v>10</v>
      </c>
      <c r="G40" s="42"/>
      <c r="H40" s="149"/>
      <c r="I40" s="150"/>
      <c r="J40" s="151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7"/>
      <c r="B41" s="27" t="s">
        <v>67</v>
      </c>
      <c r="C41" s="10">
        <v>1</v>
      </c>
      <c r="D41" s="12">
        <f>C41*84</f>
        <v>84</v>
      </c>
      <c r="F41" s="12">
        <v>5</v>
      </c>
      <c r="G41" s="42"/>
      <c r="H41" s="149"/>
      <c r="I41" s="150"/>
      <c r="J41" s="151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8"/>
      <c r="B42" s="27" t="s">
        <v>69</v>
      </c>
      <c r="C42" s="11">
        <v>11</v>
      </c>
      <c r="D42" s="12">
        <f>C42*2.25</f>
        <v>24.75</v>
      </c>
      <c r="F42" s="39" t="s">
        <v>78</v>
      </c>
      <c r="G42" s="149"/>
      <c r="H42" s="150"/>
      <c r="I42" s="150"/>
      <c r="J42" s="151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19" t="s">
        <v>80</v>
      </c>
      <c r="C43" s="11"/>
      <c r="D43" s="12"/>
      <c r="F43" s="59" t="s">
        <v>81</v>
      </c>
      <c r="G43" s="88" t="s">
        <v>82</v>
      </c>
      <c r="H43" s="141" t="s">
        <v>13</v>
      </c>
      <c r="I43" s="142"/>
      <c r="J43" s="143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20"/>
      <c r="B44" s="27" t="s">
        <v>65</v>
      </c>
      <c r="C44" s="10">
        <v>2</v>
      </c>
      <c r="D44" s="12">
        <f>C44*120</f>
        <v>240</v>
      </c>
      <c r="F44" s="37" t="s">
        <v>132</v>
      </c>
      <c r="G44" s="62" t="s">
        <v>167</v>
      </c>
      <c r="H44" s="144">
        <v>231190.25</v>
      </c>
      <c r="I44" s="144"/>
      <c r="J44" s="144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20"/>
      <c r="B45" s="27" t="s">
        <v>67</v>
      </c>
      <c r="C45" s="33">
        <v>1</v>
      </c>
      <c r="D45" s="12">
        <f>C45*84</f>
        <v>84</v>
      </c>
      <c r="F45" s="37"/>
      <c r="G45" s="62"/>
      <c r="H45" s="144"/>
      <c r="I45" s="144"/>
      <c r="J45" s="144"/>
      <c r="K45" s="21"/>
      <c r="P45" s="4"/>
      <c r="Q45" s="4"/>
      <c r="R45" s="5"/>
    </row>
    <row r="46" spans="1:18" ht="15.75" x14ac:dyDescent="0.25">
      <c r="A46" s="120"/>
      <c r="B46" s="49" t="s">
        <v>69</v>
      </c>
      <c r="C46" s="81">
        <v>20</v>
      </c>
      <c r="D46" s="12">
        <f>C46*1.5</f>
        <v>30</v>
      </c>
      <c r="F46" s="37"/>
      <c r="G46" s="62"/>
      <c r="H46" s="144"/>
      <c r="I46" s="144"/>
      <c r="J46" s="144"/>
      <c r="K46" s="21"/>
      <c r="P46" s="4"/>
      <c r="Q46" s="4"/>
      <c r="R46" s="5"/>
    </row>
    <row r="47" spans="1:18" ht="15.75" x14ac:dyDescent="0.25">
      <c r="A47" s="121"/>
      <c r="B47" s="27"/>
      <c r="C47" s="11"/>
      <c r="D47" s="12"/>
      <c r="F47" s="59"/>
      <c r="G47" s="59"/>
      <c r="H47" s="122"/>
      <c r="I47" s="123"/>
      <c r="J47" s="124"/>
      <c r="K47" s="21"/>
      <c r="P47" s="4"/>
      <c r="Q47" s="4"/>
      <c r="R47" s="5"/>
    </row>
    <row r="48" spans="1:18" ht="15" customHeight="1" x14ac:dyDescent="0.25">
      <c r="A48" s="119" t="s">
        <v>32</v>
      </c>
      <c r="B48" s="27" t="s">
        <v>65</v>
      </c>
      <c r="C48" s="10">
        <v>2</v>
      </c>
      <c r="D48" s="12">
        <f>C48*78</f>
        <v>156</v>
      </c>
      <c r="F48" s="59"/>
      <c r="G48" s="59"/>
      <c r="H48" s="122"/>
      <c r="I48" s="123"/>
      <c r="J48" s="124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20"/>
      <c r="B49" s="29" t="s">
        <v>67</v>
      </c>
      <c r="C49" s="33">
        <v>6</v>
      </c>
      <c r="D49" s="12">
        <f>C49*42</f>
        <v>252</v>
      </c>
      <c r="F49" s="125" t="s">
        <v>85</v>
      </c>
      <c r="G49" s="127">
        <f>H34+H35+H36+H37+H38+H39+H40+H41+G42+H44+H45+H46</f>
        <v>257590.25</v>
      </c>
      <c r="H49" s="128"/>
      <c r="I49" s="128"/>
      <c r="J49" s="129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0"/>
      <c r="B50" s="32" t="s">
        <v>69</v>
      </c>
      <c r="C50" s="11">
        <v>22</v>
      </c>
      <c r="D50" s="12">
        <f>C50*1.5</f>
        <v>33</v>
      </c>
      <c r="F50" s="126"/>
      <c r="G50" s="130"/>
      <c r="H50" s="131"/>
      <c r="I50" s="131"/>
      <c r="J50" s="132"/>
      <c r="O50" t="s">
        <v>114</v>
      </c>
      <c r="P50" s="4">
        <v>1204</v>
      </c>
      <c r="Q50" s="4"/>
      <c r="R50" s="5"/>
    </row>
    <row r="51" spans="1:18" ht="15" customHeight="1" x14ac:dyDescent="0.25">
      <c r="A51" s="120"/>
      <c r="B51" s="27"/>
      <c r="C51" s="10"/>
      <c r="D51" s="31"/>
      <c r="F51" s="133" t="s">
        <v>109</v>
      </c>
      <c r="G51" s="246">
        <f>G49-H29</f>
        <v>-189.54000000000815</v>
      </c>
      <c r="H51" s="247"/>
      <c r="I51" s="247"/>
      <c r="J51" s="248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20"/>
      <c r="B52" s="29"/>
      <c r="C52" s="33"/>
      <c r="D52" s="45"/>
      <c r="F52" s="134"/>
      <c r="G52" s="249"/>
      <c r="H52" s="250"/>
      <c r="I52" s="250"/>
      <c r="J52" s="251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1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05" t="s">
        <v>89</v>
      </c>
      <c r="B54" s="106"/>
      <c r="C54" s="107"/>
      <c r="D54" s="111">
        <f>SUM(D34:D53)</f>
        <v>42444.75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08"/>
      <c r="B55" s="109"/>
      <c r="C55" s="110"/>
      <c r="D55" s="11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113" t="s">
        <v>90</v>
      </c>
      <c r="B58" s="114"/>
      <c r="C58" s="114"/>
      <c r="D58" s="115"/>
      <c r="F58" s="113" t="s">
        <v>91</v>
      </c>
      <c r="G58" s="114"/>
      <c r="H58" s="114"/>
      <c r="I58" s="114"/>
      <c r="J58" s="115"/>
    </row>
    <row r="59" spans="1:18" x14ac:dyDescent="0.25">
      <c r="A59" s="116"/>
      <c r="B59" s="117"/>
      <c r="C59" s="117"/>
      <c r="D59" s="118"/>
      <c r="F59" s="116"/>
      <c r="G59" s="117"/>
      <c r="H59" s="117"/>
      <c r="I59" s="117"/>
      <c r="J59" s="118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EFD090-C2CE-46BD-B4A6-EF20290A1516}">
  <dimension ref="A1:R59"/>
  <sheetViews>
    <sheetView topLeftCell="A23" zoomScaleNormal="100" zoomScaleSheetLayoutView="85" workbookViewId="0">
      <selection activeCell="L57" sqref="L57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1" t="s">
        <v>1</v>
      </c>
      <c r="O1" s="201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2" t="s">
        <v>7</v>
      </c>
      <c r="B4" s="153"/>
      <c r="C4" s="153"/>
      <c r="D4" s="154"/>
      <c r="F4" s="202" t="s">
        <v>8</v>
      </c>
      <c r="G4" s="204">
        <v>2</v>
      </c>
      <c r="H4" s="206" t="s">
        <v>9</v>
      </c>
      <c r="I4" s="208">
        <v>46154</v>
      </c>
      <c r="J4" s="20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6" t="s">
        <v>7</v>
      </c>
      <c r="B5" s="15" t="s">
        <v>11</v>
      </c>
      <c r="C5" s="9" t="s">
        <v>12</v>
      </c>
      <c r="D5" s="25" t="s">
        <v>13</v>
      </c>
      <c r="F5" s="203"/>
      <c r="G5" s="205"/>
      <c r="H5" s="207"/>
      <c r="I5" s="210"/>
      <c r="J5" s="21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7"/>
      <c r="B6" s="16" t="s">
        <v>15</v>
      </c>
      <c r="C6" s="10">
        <v>310</v>
      </c>
      <c r="D6" s="13">
        <f t="shared" ref="D6:D28" si="1">C6*L6</f>
        <v>235910</v>
      </c>
      <c r="F6" s="212" t="s">
        <v>16</v>
      </c>
      <c r="G6" s="214" t="s">
        <v>107</v>
      </c>
      <c r="H6" s="215"/>
      <c r="I6" s="215"/>
      <c r="J6" s="21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7"/>
      <c r="B7" s="16" t="s">
        <v>18</v>
      </c>
      <c r="C7" s="10">
        <v>6</v>
      </c>
      <c r="D7" s="13">
        <f t="shared" si="1"/>
        <v>4686</v>
      </c>
      <c r="F7" s="213"/>
      <c r="G7" s="217"/>
      <c r="H7" s="218"/>
      <c r="I7" s="218"/>
      <c r="J7" s="21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7"/>
      <c r="B8" s="16" t="s">
        <v>20</v>
      </c>
      <c r="C8" s="10"/>
      <c r="D8" s="13">
        <f t="shared" si="1"/>
        <v>0</v>
      </c>
      <c r="F8" s="220" t="s">
        <v>21</v>
      </c>
      <c r="G8" s="221" t="s">
        <v>100</v>
      </c>
      <c r="H8" s="222"/>
      <c r="I8" s="222"/>
      <c r="J8" s="22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7"/>
      <c r="B9" s="16" t="s">
        <v>23</v>
      </c>
      <c r="C9" s="10">
        <v>60</v>
      </c>
      <c r="D9" s="13">
        <f t="shared" si="1"/>
        <v>43980</v>
      </c>
      <c r="F9" s="213"/>
      <c r="G9" s="224"/>
      <c r="H9" s="225"/>
      <c r="I9" s="225"/>
      <c r="J9" s="22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7"/>
      <c r="B10" t="s">
        <v>25</v>
      </c>
      <c r="C10" s="10"/>
      <c r="D10" s="13">
        <f t="shared" si="1"/>
        <v>0</v>
      </c>
      <c r="F10" s="212" t="s">
        <v>26</v>
      </c>
      <c r="G10" s="227" t="s">
        <v>101</v>
      </c>
      <c r="H10" s="228"/>
      <c r="I10" s="228"/>
      <c r="J10" s="229"/>
      <c r="K10" s="8"/>
      <c r="L10" s="6">
        <f>R36</f>
        <v>1032</v>
      </c>
      <c r="P10" s="4"/>
      <c r="Q10" s="4"/>
      <c r="R10" s="5"/>
    </row>
    <row r="11" spans="1:18" ht="15.75" x14ac:dyDescent="0.25">
      <c r="A11" s="147"/>
      <c r="B11" s="17" t="s">
        <v>28</v>
      </c>
      <c r="C11" s="10"/>
      <c r="D11" s="13">
        <f t="shared" si="1"/>
        <v>0</v>
      </c>
      <c r="F11" s="213"/>
      <c r="G11" s="224"/>
      <c r="H11" s="225"/>
      <c r="I11" s="225"/>
      <c r="J11" s="22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7"/>
      <c r="B12" s="17" t="s">
        <v>30</v>
      </c>
      <c r="C12" s="10"/>
      <c r="D12" s="48">
        <f t="shared" si="1"/>
        <v>0</v>
      </c>
      <c r="F12" s="230" t="s">
        <v>33</v>
      </c>
      <c r="G12" s="231"/>
      <c r="H12" s="231"/>
      <c r="I12" s="231"/>
      <c r="J12" s="23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7"/>
      <c r="B13" s="17" t="s">
        <v>32</v>
      </c>
      <c r="C13" s="10">
        <v>8</v>
      </c>
      <c r="D13" s="48">
        <f t="shared" si="1"/>
        <v>2456</v>
      </c>
      <c r="F13" s="233" t="s">
        <v>36</v>
      </c>
      <c r="G13" s="197"/>
      <c r="H13" s="188">
        <f>D29</f>
        <v>288065.5</v>
      </c>
      <c r="I13" s="189"/>
      <c r="J13" s="19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7"/>
      <c r="B14" s="14" t="s">
        <v>35</v>
      </c>
      <c r="C14" s="10">
        <v>5</v>
      </c>
      <c r="D14" s="31">
        <f t="shared" si="1"/>
        <v>55</v>
      </c>
      <c r="F14" s="191" t="s">
        <v>38</v>
      </c>
      <c r="G14" s="192"/>
      <c r="H14" s="193">
        <f>D54</f>
        <v>41509.5</v>
      </c>
      <c r="I14" s="194"/>
      <c r="J14" s="19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7"/>
      <c r="B15" s="14" t="s">
        <v>122</v>
      </c>
      <c r="C15" s="10"/>
      <c r="D15" s="31">
        <f t="shared" si="1"/>
        <v>0</v>
      </c>
      <c r="F15" s="196" t="s">
        <v>39</v>
      </c>
      <c r="G15" s="197"/>
      <c r="H15" s="198">
        <f>H13-H14</f>
        <v>246556</v>
      </c>
      <c r="I15" s="199"/>
      <c r="J15" s="200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7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58">
        <v>1446</v>
      </c>
      <c r="I16" s="158"/>
      <c r="J16" s="158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7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69"/>
      <c r="I17" s="169"/>
      <c r="J17" s="169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7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69"/>
      <c r="I18" s="169"/>
      <c r="J18" s="169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7"/>
      <c r="B19" s="87" t="s">
        <v>105</v>
      </c>
      <c r="C19" s="10"/>
      <c r="D19" s="48">
        <f t="shared" si="1"/>
        <v>0</v>
      </c>
      <c r="F19" s="56"/>
      <c r="G19" s="68" t="s">
        <v>49</v>
      </c>
      <c r="H19" s="252"/>
      <c r="I19" s="252"/>
      <c r="J19" s="252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7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69"/>
      <c r="I20" s="169"/>
      <c r="J20" s="169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7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71" t="s">
        <v>13</v>
      </c>
      <c r="I21" s="172"/>
      <c r="J21" s="173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7"/>
      <c r="B22" s="46" t="s">
        <v>103</v>
      </c>
      <c r="C22" s="10">
        <v>12</v>
      </c>
      <c r="D22" s="48">
        <f t="shared" si="1"/>
        <v>504.5</v>
      </c>
      <c r="F22" s="72"/>
      <c r="G22" s="73"/>
      <c r="H22" s="174"/>
      <c r="I22" s="174"/>
      <c r="J22" s="174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7"/>
      <c r="B23" s="14" t="s">
        <v>121</v>
      </c>
      <c r="C23" s="10">
        <v>12</v>
      </c>
      <c r="D23" s="48">
        <f t="shared" si="1"/>
        <v>474</v>
      </c>
      <c r="F23" s="25"/>
      <c r="G23" s="37"/>
      <c r="H23" s="175"/>
      <c r="I23" s="144"/>
      <c r="J23" s="144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7"/>
      <c r="B24" s="14" t="s">
        <v>128</v>
      </c>
      <c r="C24" s="10"/>
      <c r="D24" s="48">
        <f t="shared" si="1"/>
        <v>0</v>
      </c>
      <c r="F24" s="38"/>
      <c r="G24" s="37"/>
      <c r="H24" s="175"/>
      <c r="I24" s="144"/>
      <c r="J24" s="144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7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76" t="s">
        <v>13</v>
      </c>
      <c r="I25" s="177"/>
      <c r="J25" s="178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7"/>
      <c r="B26" s="14" t="s">
        <v>129</v>
      </c>
      <c r="C26" s="10"/>
      <c r="D26" s="48">
        <f t="shared" si="1"/>
        <v>0</v>
      </c>
      <c r="F26" s="64"/>
      <c r="G26" s="10"/>
      <c r="H26" s="179"/>
      <c r="I26" s="180"/>
      <c r="J26" s="181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7"/>
      <c r="B27" s="14" t="s">
        <v>130</v>
      </c>
      <c r="C27" s="10"/>
      <c r="D27" s="44">
        <f t="shared" si="1"/>
        <v>0</v>
      </c>
      <c r="F27" s="14"/>
      <c r="G27" s="14"/>
      <c r="H27" s="182"/>
      <c r="I27" s="183"/>
      <c r="J27" s="184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8"/>
      <c r="B28" s="46" t="s">
        <v>92</v>
      </c>
      <c r="C28" s="10"/>
      <c r="D28" s="48">
        <f t="shared" si="1"/>
        <v>0</v>
      </c>
      <c r="F28" s="91"/>
      <c r="G28" s="61"/>
      <c r="H28" s="185"/>
      <c r="I28" s="186"/>
      <c r="J28" s="187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9" t="s">
        <v>36</v>
      </c>
      <c r="B29" s="160"/>
      <c r="C29" s="161"/>
      <c r="D29" s="165">
        <f>SUM(D6:D28)</f>
        <v>288065.5</v>
      </c>
      <c r="F29" s="105" t="s">
        <v>54</v>
      </c>
      <c r="G29" s="167"/>
      <c r="H29" s="127">
        <f>H15-H16-H17-H18-H19-H20-H22-H23-H24+H26+H27</f>
        <v>245110</v>
      </c>
      <c r="I29" s="128"/>
      <c r="J29" s="129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08"/>
      <c r="G30" s="168"/>
      <c r="H30" s="130"/>
      <c r="I30" s="131"/>
      <c r="J30" s="132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2" t="s">
        <v>57</v>
      </c>
      <c r="B32" s="153"/>
      <c r="C32" s="153"/>
      <c r="D32" s="154"/>
      <c r="F32" s="155" t="s">
        <v>58</v>
      </c>
      <c r="G32" s="156"/>
      <c r="H32" s="156"/>
      <c r="I32" s="156"/>
      <c r="J32" s="157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2" t="s">
        <v>62</v>
      </c>
      <c r="H33" s="155" t="s">
        <v>13</v>
      </c>
      <c r="I33" s="156"/>
      <c r="J33" s="157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6" t="s">
        <v>64</v>
      </c>
      <c r="B34" s="26" t="s">
        <v>65</v>
      </c>
      <c r="C34" s="51">
        <v>1</v>
      </c>
      <c r="D34" s="30">
        <f>C34*120</f>
        <v>120</v>
      </c>
      <c r="F34" s="12">
        <v>1000</v>
      </c>
      <c r="G34" s="74">
        <v>84</v>
      </c>
      <c r="H34" s="149">
        <f>F34*G34</f>
        <v>84000</v>
      </c>
      <c r="I34" s="150"/>
      <c r="J34" s="151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7"/>
      <c r="B35" s="27" t="s">
        <v>67</v>
      </c>
      <c r="C35" s="52"/>
      <c r="D35" s="30">
        <f>C35*84</f>
        <v>0</v>
      </c>
      <c r="F35" s="58">
        <v>500</v>
      </c>
      <c r="G35" s="41">
        <v>6</v>
      </c>
      <c r="H35" s="149">
        <f t="shared" ref="H35:H39" si="2">F35*G35</f>
        <v>3000</v>
      </c>
      <c r="I35" s="150"/>
      <c r="J35" s="15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8"/>
      <c r="B36" s="26" t="s">
        <v>69</v>
      </c>
      <c r="C36" s="10"/>
      <c r="D36" s="12">
        <f>C36*1.5</f>
        <v>0</v>
      </c>
      <c r="F36" s="12">
        <v>200</v>
      </c>
      <c r="G36" s="37"/>
      <c r="H36" s="149">
        <f>F36*G36</f>
        <v>0</v>
      </c>
      <c r="I36" s="150"/>
      <c r="J36" s="151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6" t="s">
        <v>71</v>
      </c>
      <c r="B37" s="28" t="s">
        <v>65</v>
      </c>
      <c r="C37" s="53">
        <v>355</v>
      </c>
      <c r="D37" s="12">
        <f>C37*111</f>
        <v>39405</v>
      </c>
      <c r="F37" s="12">
        <v>100</v>
      </c>
      <c r="G37" s="39"/>
      <c r="H37" s="149">
        <f t="shared" si="2"/>
        <v>0</v>
      </c>
      <c r="I37" s="150"/>
      <c r="J37" s="151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7"/>
      <c r="B38" s="29" t="s">
        <v>67</v>
      </c>
      <c r="C38" s="54">
        <v>7</v>
      </c>
      <c r="D38" s="12">
        <f>C38*84</f>
        <v>588</v>
      </c>
      <c r="F38" s="30">
        <v>50</v>
      </c>
      <c r="G38" s="39"/>
      <c r="H38" s="149">
        <f t="shared" si="2"/>
        <v>0</v>
      </c>
      <c r="I38" s="150"/>
      <c r="J38" s="151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8"/>
      <c r="B39" s="29" t="s">
        <v>69</v>
      </c>
      <c r="C39" s="52">
        <v>5</v>
      </c>
      <c r="D39" s="31">
        <f>C39*4.5</f>
        <v>22.5</v>
      </c>
      <c r="F39" s="12">
        <v>20</v>
      </c>
      <c r="G39" s="37"/>
      <c r="H39" s="149">
        <f t="shared" si="2"/>
        <v>0</v>
      </c>
      <c r="I39" s="150"/>
      <c r="J39" s="15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6" t="s">
        <v>75</v>
      </c>
      <c r="B40" s="27" t="s">
        <v>65</v>
      </c>
      <c r="C40" s="63">
        <v>10</v>
      </c>
      <c r="D40" s="12">
        <f>C40*111</f>
        <v>1110</v>
      </c>
      <c r="F40" s="12">
        <v>10</v>
      </c>
      <c r="G40" s="42"/>
      <c r="H40" s="149"/>
      <c r="I40" s="150"/>
      <c r="J40" s="151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7"/>
      <c r="B41" s="27" t="s">
        <v>67</v>
      </c>
      <c r="C41" s="10"/>
      <c r="D41" s="12">
        <f>C41*84</f>
        <v>0</v>
      </c>
      <c r="F41" s="12">
        <v>5</v>
      </c>
      <c r="G41" s="42"/>
      <c r="H41" s="149"/>
      <c r="I41" s="150"/>
      <c r="J41" s="151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8"/>
      <c r="B42" s="27" t="s">
        <v>69</v>
      </c>
      <c r="C42" s="11">
        <v>10</v>
      </c>
      <c r="D42" s="12">
        <f>C42*2.25</f>
        <v>22.5</v>
      </c>
      <c r="F42" s="39" t="s">
        <v>78</v>
      </c>
      <c r="G42" s="149">
        <v>87</v>
      </c>
      <c r="H42" s="150"/>
      <c r="I42" s="150"/>
      <c r="J42" s="151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19" t="s">
        <v>80</v>
      </c>
      <c r="C43" s="11"/>
      <c r="D43" s="12"/>
      <c r="F43" s="59" t="s">
        <v>81</v>
      </c>
      <c r="G43" s="88" t="s">
        <v>82</v>
      </c>
      <c r="H43" s="141" t="s">
        <v>13</v>
      </c>
      <c r="I43" s="142"/>
      <c r="J43" s="143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20"/>
      <c r="B44" s="27" t="s">
        <v>65</v>
      </c>
      <c r="C44" s="10"/>
      <c r="D44" s="12">
        <f>C44*120</f>
        <v>0</v>
      </c>
      <c r="F44" s="37" t="s">
        <v>147</v>
      </c>
      <c r="G44" s="62" t="s">
        <v>168</v>
      </c>
      <c r="H44" s="144">
        <v>157141</v>
      </c>
      <c r="I44" s="144"/>
      <c r="J44" s="144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20"/>
      <c r="B45" s="27" t="s">
        <v>67</v>
      </c>
      <c r="C45" s="33"/>
      <c r="D45" s="12">
        <f>C45*84</f>
        <v>0</v>
      </c>
      <c r="F45" s="37"/>
      <c r="G45" s="62"/>
      <c r="H45" s="144"/>
      <c r="I45" s="144"/>
      <c r="J45" s="144"/>
      <c r="K45" s="21"/>
      <c r="P45" s="4"/>
      <c r="Q45" s="4"/>
      <c r="R45" s="5"/>
    </row>
    <row r="46" spans="1:18" ht="15.75" x14ac:dyDescent="0.25">
      <c r="A46" s="120"/>
      <c r="B46" s="49" t="s">
        <v>69</v>
      </c>
      <c r="C46" s="81"/>
      <c r="D46" s="12">
        <f>C46*1.5</f>
        <v>0</v>
      </c>
      <c r="F46" s="37"/>
      <c r="G46" s="89"/>
      <c r="H46" s="145"/>
      <c r="I46" s="145"/>
      <c r="J46" s="145"/>
      <c r="K46" s="21"/>
      <c r="P46" s="4"/>
      <c r="Q46" s="4"/>
      <c r="R46" s="5"/>
    </row>
    <row r="47" spans="1:18" ht="15.75" x14ac:dyDescent="0.25">
      <c r="A47" s="121"/>
      <c r="B47" s="27"/>
      <c r="C47" s="11"/>
      <c r="D47" s="12"/>
      <c r="F47" s="59"/>
      <c r="G47" s="59"/>
      <c r="H47" s="122"/>
      <c r="I47" s="123"/>
      <c r="J47" s="124"/>
      <c r="K47" s="21"/>
      <c r="P47" s="4"/>
      <c r="Q47" s="4"/>
      <c r="R47" s="5"/>
    </row>
    <row r="48" spans="1:18" ht="15" customHeight="1" x14ac:dyDescent="0.25">
      <c r="A48" s="119" t="s">
        <v>32</v>
      </c>
      <c r="B48" s="27" t="s">
        <v>65</v>
      </c>
      <c r="C48" s="10">
        <v>2</v>
      </c>
      <c r="D48" s="12">
        <f>C48*78</f>
        <v>156</v>
      </c>
      <c r="F48" s="59"/>
      <c r="G48" s="59"/>
      <c r="H48" s="122"/>
      <c r="I48" s="123"/>
      <c r="J48" s="124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20"/>
      <c r="B49" s="29" t="s">
        <v>67</v>
      </c>
      <c r="C49" s="33">
        <v>2</v>
      </c>
      <c r="D49" s="12">
        <f>C49*42</f>
        <v>84</v>
      </c>
      <c r="F49" s="125" t="s">
        <v>85</v>
      </c>
      <c r="G49" s="127">
        <f>H34+H35+H36+H37+H38+H39+H40+H41+G42+H44+H45+H46</f>
        <v>244228</v>
      </c>
      <c r="H49" s="128"/>
      <c r="I49" s="128"/>
      <c r="J49" s="129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0"/>
      <c r="B50" s="32" t="s">
        <v>69</v>
      </c>
      <c r="C50" s="11">
        <v>1</v>
      </c>
      <c r="D50" s="12">
        <f>C50*1.5</f>
        <v>1.5</v>
      </c>
      <c r="F50" s="126"/>
      <c r="G50" s="130"/>
      <c r="H50" s="131"/>
      <c r="I50" s="131"/>
      <c r="J50" s="132"/>
      <c r="O50" t="s">
        <v>114</v>
      </c>
      <c r="P50" s="4">
        <v>1204</v>
      </c>
      <c r="Q50" s="4"/>
      <c r="R50" s="5"/>
    </row>
    <row r="51" spans="1:18" ht="15" customHeight="1" x14ac:dyDescent="0.25">
      <c r="A51" s="120"/>
      <c r="B51" s="27"/>
      <c r="C51" s="10"/>
      <c r="D51" s="31"/>
      <c r="F51" s="133" t="s">
        <v>169</v>
      </c>
      <c r="G51" s="246">
        <f>G49-H29</f>
        <v>-882</v>
      </c>
      <c r="H51" s="247"/>
      <c r="I51" s="247"/>
      <c r="J51" s="248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20"/>
      <c r="B52" s="29"/>
      <c r="C52" s="33"/>
      <c r="D52" s="45"/>
      <c r="F52" s="134"/>
      <c r="G52" s="249"/>
      <c r="H52" s="250"/>
      <c r="I52" s="250"/>
      <c r="J52" s="251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1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05" t="s">
        <v>89</v>
      </c>
      <c r="B54" s="106"/>
      <c r="C54" s="107"/>
      <c r="D54" s="111">
        <f>SUM(D34:D53)</f>
        <v>41509.5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08"/>
      <c r="B55" s="109"/>
      <c r="C55" s="110"/>
      <c r="D55" s="11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119</v>
      </c>
      <c r="D57" s="34"/>
      <c r="F57" s="36"/>
      <c r="G57" s="50"/>
      <c r="H57" s="50"/>
      <c r="I57" s="50"/>
      <c r="J57" s="43"/>
    </row>
    <row r="58" spans="1:18" x14ac:dyDescent="0.25">
      <c r="A58" s="113" t="s">
        <v>90</v>
      </c>
      <c r="B58" s="114"/>
      <c r="C58" s="114"/>
      <c r="D58" s="115"/>
      <c r="F58" s="113" t="s">
        <v>91</v>
      </c>
      <c r="G58" s="114"/>
      <c r="H58" s="114"/>
      <c r="I58" s="114"/>
      <c r="J58" s="115"/>
    </row>
    <row r="59" spans="1:18" x14ac:dyDescent="0.25">
      <c r="A59" s="116"/>
      <c r="B59" s="117"/>
      <c r="C59" s="117"/>
      <c r="D59" s="118"/>
      <c r="F59" s="116"/>
      <c r="G59" s="117"/>
      <c r="H59" s="117"/>
      <c r="I59" s="117"/>
      <c r="J59" s="118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7CADB1-C1A1-49F5-943A-8AFB6D23C889}">
  <dimension ref="A1:R59"/>
  <sheetViews>
    <sheetView topLeftCell="A19" zoomScaleNormal="100" zoomScaleSheetLayoutView="85" workbookViewId="0">
      <selection activeCell="G51" sqref="G51:J52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1" t="s">
        <v>1</v>
      </c>
      <c r="O1" s="201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2" t="s">
        <v>7</v>
      </c>
      <c r="B4" s="153"/>
      <c r="C4" s="153"/>
      <c r="D4" s="154"/>
      <c r="F4" s="202" t="s">
        <v>8</v>
      </c>
      <c r="G4" s="204">
        <v>3</v>
      </c>
      <c r="H4" s="206" t="s">
        <v>9</v>
      </c>
      <c r="I4" s="208">
        <v>46154</v>
      </c>
      <c r="J4" s="20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6" t="s">
        <v>7</v>
      </c>
      <c r="B5" s="15" t="s">
        <v>11</v>
      </c>
      <c r="C5" s="9" t="s">
        <v>12</v>
      </c>
      <c r="D5" s="25" t="s">
        <v>13</v>
      </c>
      <c r="F5" s="203"/>
      <c r="G5" s="205"/>
      <c r="H5" s="207"/>
      <c r="I5" s="210"/>
      <c r="J5" s="21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7"/>
      <c r="B6" s="16" t="s">
        <v>15</v>
      </c>
      <c r="C6" s="10">
        <v>527</v>
      </c>
      <c r="D6" s="13">
        <f t="shared" ref="D6:D28" si="1">C6*L6</f>
        <v>401047</v>
      </c>
      <c r="F6" s="212" t="s">
        <v>16</v>
      </c>
      <c r="G6" s="214" t="s">
        <v>117</v>
      </c>
      <c r="H6" s="215"/>
      <c r="I6" s="215"/>
      <c r="J6" s="21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7"/>
      <c r="B7" s="16" t="s">
        <v>18</v>
      </c>
      <c r="C7" s="10">
        <v>19</v>
      </c>
      <c r="D7" s="13">
        <f t="shared" si="1"/>
        <v>14839</v>
      </c>
      <c r="F7" s="213"/>
      <c r="G7" s="217"/>
      <c r="H7" s="218"/>
      <c r="I7" s="218"/>
      <c r="J7" s="21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7"/>
      <c r="B8" s="16" t="s">
        <v>20</v>
      </c>
      <c r="C8" s="10"/>
      <c r="D8" s="13">
        <f t="shared" si="1"/>
        <v>0</v>
      </c>
      <c r="F8" s="220" t="s">
        <v>21</v>
      </c>
      <c r="G8" s="221" t="s">
        <v>110</v>
      </c>
      <c r="H8" s="222"/>
      <c r="I8" s="222"/>
      <c r="J8" s="22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7"/>
      <c r="B9" s="16" t="s">
        <v>23</v>
      </c>
      <c r="C9" s="10">
        <v>69</v>
      </c>
      <c r="D9" s="13">
        <f t="shared" si="1"/>
        <v>50577</v>
      </c>
      <c r="F9" s="213"/>
      <c r="G9" s="224"/>
      <c r="H9" s="225"/>
      <c r="I9" s="225"/>
      <c r="J9" s="22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7"/>
      <c r="B10" t="s">
        <v>25</v>
      </c>
      <c r="C10" s="10">
        <v>5</v>
      </c>
      <c r="D10" s="13">
        <f t="shared" si="1"/>
        <v>5160</v>
      </c>
      <c r="F10" s="212" t="s">
        <v>26</v>
      </c>
      <c r="G10" s="227" t="s">
        <v>124</v>
      </c>
      <c r="H10" s="228"/>
      <c r="I10" s="228"/>
      <c r="J10" s="229"/>
      <c r="K10" s="8"/>
      <c r="L10" s="6">
        <f>R36</f>
        <v>1032</v>
      </c>
      <c r="P10" s="4"/>
      <c r="Q10" s="4"/>
      <c r="R10" s="5"/>
    </row>
    <row r="11" spans="1:18" ht="15.75" x14ac:dyDescent="0.25">
      <c r="A11" s="147"/>
      <c r="B11" s="17" t="s">
        <v>28</v>
      </c>
      <c r="C11" s="10"/>
      <c r="D11" s="13">
        <f t="shared" si="1"/>
        <v>0</v>
      </c>
      <c r="F11" s="213"/>
      <c r="G11" s="224"/>
      <c r="H11" s="225"/>
      <c r="I11" s="225"/>
      <c r="J11" s="22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7"/>
      <c r="B12" s="17" t="s">
        <v>30</v>
      </c>
      <c r="C12" s="10"/>
      <c r="D12" s="48">
        <f t="shared" si="1"/>
        <v>0</v>
      </c>
      <c r="F12" s="230" t="s">
        <v>33</v>
      </c>
      <c r="G12" s="231"/>
      <c r="H12" s="231"/>
      <c r="I12" s="231"/>
      <c r="J12" s="23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7"/>
      <c r="B13" s="17" t="s">
        <v>32</v>
      </c>
      <c r="C13" s="10">
        <v>22</v>
      </c>
      <c r="D13" s="48">
        <f t="shared" si="1"/>
        <v>6754</v>
      </c>
      <c r="F13" s="233" t="s">
        <v>36</v>
      </c>
      <c r="G13" s="197"/>
      <c r="H13" s="188">
        <f>D29</f>
        <v>485304</v>
      </c>
      <c r="I13" s="189"/>
      <c r="J13" s="19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7"/>
      <c r="B14" s="14" t="s">
        <v>35</v>
      </c>
      <c r="C14" s="10">
        <v>7</v>
      </c>
      <c r="D14" s="31">
        <f t="shared" si="1"/>
        <v>77</v>
      </c>
      <c r="F14" s="191" t="s">
        <v>38</v>
      </c>
      <c r="G14" s="192"/>
      <c r="H14" s="193">
        <f>D54</f>
        <v>77406</v>
      </c>
      <c r="I14" s="194"/>
      <c r="J14" s="19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7"/>
      <c r="B15" s="14" t="s">
        <v>122</v>
      </c>
      <c r="C15" s="10">
        <v>10</v>
      </c>
      <c r="D15" s="31">
        <f t="shared" si="1"/>
        <v>6200</v>
      </c>
      <c r="F15" s="196" t="s">
        <v>39</v>
      </c>
      <c r="G15" s="197"/>
      <c r="H15" s="198">
        <f>H13-H14</f>
        <v>407898</v>
      </c>
      <c r="I15" s="199"/>
      <c r="J15" s="200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7"/>
      <c r="B16" s="18" t="s">
        <v>111</v>
      </c>
      <c r="C16" s="10">
        <v>1</v>
      </c>
      <c r="D16" s="48">
        <f t="shared" si="1"/>
        <v>650</v>
      </c>
      <c r="F16" s="67" t="s">
        <v>41</v>
      </c>
      <c r="G16" s="66" t="s">
        <v>42</v>
      </c>
      <c r="H16" s="158">
        <f>600+2682+384</f>
        <v>3666</v>
      </c>
      <c r="I16" s="158"/>
      <c r="J16" s="158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7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69"/>
      <c r="I17" s="169"/>
      <c r="J17" s="169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7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69"/>
      <c r="I18" s="169"/>
      <c r="J18" s="169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7"/>
      <c r="B19" s="87" t="s">
        <v>105</v>
      </c>
      <c r="C19" s="10"/>
      <c r="D19" s="48">
        <f t="shared" si="1"/>
        <v>0</v>
      </c>
      <c r="F19" s="56"/>
      <c r="G19" s="68" t="s">
        <v>49</v>
      </c>
      <c r="H19" s="253"/>
      <c r="I19" s="253"/>
      <c r="J19" s="253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7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58"/>
      <c r="I20" s="158"/>
      <c r="J20" s="158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7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71" t="s">
        <v>13</v>
      </c>
      <c r="I21" s="172"/>
      <c r="J21" s="173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7"/>
      <c r="B22" s="46" t="s">
        <v>103</v>
      </c>
      <c r="C22" s="10"/>
      <c r="D22" s="48">
        <f t="shared" si="1"/>
        <v>0</v>
      </c>
      <c r="F22" s="77"/>
      <c r="G22" s="73"/>
      <c r="H22" s="174"/>
      <c r="I22" s="174"/>
      <c r="J22" s="174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7"/>
      <c r="B23" s="14" t="s">
        <v>121</v>
      </c>
      <c r="C23" s="10"/>
      <c r="D23" s="48">
        <f t="shared" si="1"/>
        <v>0</v>
      </c>
      <c r="F23" s="78"/>
      <c r="G23" s="79"/>
      <c r="H23" s="175"/>
      <c r="I23" s="144"/>
      <c r="J23" s="144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7"/>
      <c r="B24" s="14" t="s">
        <v>128</v>
      </c>
      <c r="C24" s="10"/>
      <c r="D24" s="48">
        <f t="shared" si="1"/>
        <v>0</v>
      </c>
      <c r="F24" s="38"/>
      <c r="G24" s="37"/>
      <c r="H24" s="175"/>
      <c r="I24" s="144"/>
      <c r="J24" s="144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7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76" t="s">
        <v>13</v>
      </c>
      <c r="I25" s="177"/>
      <c r="J25" s="178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7"/>
      <c r="B26" s="14" t="s">
        <v>129</v>
      </c>
      <c r="C26" s="10"/>
      <c r="D26" s="48">
        <f t="shared" si="1"/>
        <v>0</v>
      </c>
      <c r="F26" s="64"/>
      <c r="G26" s="59"/>
      <c r="H26" s="179"/>
      <c r="I26" s="180"/>
      <c r="J26" s="181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7"/>
      <c r="B27" s="14" t="s">
        <v>130</v>
      </c>
      <c r="C27" s="10"/>
      <c r="D27" s="44">
        <f t="shared" si="1"/>
        <v>0</v>
      </c>
      <c r="F27" s="25"/>
      <c r="G27" s="80"/>
      <c r="H27" s="182"/>
      <c r="I27" s="183"/>
      <c r="J27" s="184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8"/>
      <c r="B28" s="46" t="s">
        <v>92</v>
      </c>
      <c r="C28" s="10"/>
      <c r="D28" s="48">
        <f t="shared" si="1"/>
        <v>0</v>
      </c>
      <c r="F28" s="91"/>
      <c r="G28" s="61"/>
      <c r="H28" s="185"/>
      <c r="I28" s="186"/>
      <c r="J28" s="187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9" t="s">
        <v>36</v>
      </c>
      <c r="B29" s="160"/>
      <c r="C29" s="161"/>
      <c r="D29" s="165">
        <f>SUM(D6:D28)</f>
        <v>485304</v>
      </c>
      <c r="F29" s="105" t="s">
        <v>54</v>
      </c>
      <c r="G29" s="167"/>
      <c r="H29" s="127">
        <f>H15-H16-H17-H18-H19-H20-H22-H23-H24+H26+H27</f>
        <v>404232</v>
      </c>
      <c r="I29" s="128"/>
      <c r="J29" s="129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08"/>
      <c r="G30" s="168"/>
      <c r="H30" s="130"/>
      <c r="I30" s="131"/>
      <c r="J30" s="132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2" t="s">
        <v>57</v>
      </c>
      <c r="B32" s="153"/>
      <c r="C32" s="153"/>
      <c r="D32" s="154"/>
      <c r="F32" s="155" t="s">
        <v>58</v>
      </c>
      <c r="G32" s="156"/>
      <c r="H32" s="156"/>
      <c r="I32" s="156"/>
      <c r="J32" s="157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2" t="s">
        <v>62</v>
      </c>
      <c r="H33" s="155" t="s">
        <v>13</v>
      </c>
      <c r="I33" s="156"/>
      <c r="J33" s="157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6" t="s">
        <v>64</v>
      </c>
      <c r="B34" s="26" t="s">
        <v>65</v>
      </c>
      <c r="C34" s="51">
        <v>2</v>
      </c>
      <c r="D34" s="30">
        <f>C34*120</f>
        <v>240</v>
      </c>
      <c r="F34" s="12">
        <v>1000</v>
      </c>
      <c r="G34" s="74">
        <v>46</v>
      </c>
      <c r="H34" s="149">
        <f>F34*G34</f>
        <v>46000</v>
      </c>
      <c r="I34" s="150"/>
      <c r="J34" s="151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7"/>
      <c r="B35" s="27" t="s">
        <v>67</v>
      </c>
      <c r="C35" s="52"/>
      <c r="D35" s="30">
        <f>C35*84</f>
        <v>0</v>
      </c>
      <c r="F35" s="58">
        <v>500</v>
      </c>
      <c r="G35" s="41">
        <v>1</v>
      </c>
      <c r="H35" s="149">
        <f>F35*G35</f>
        <v>500</v>
      </c>
      <c r="I35" s="150"/>
      <c r="J35" s="15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8"/>
      <c r="B36" s="26" t="s">
        <v>69</v>
      </c>
      <c r="C36" s="10"/>
      <c r="D36" s="12">
        <f>C36*1.5</f>
        <v>0</v>
      </c>
      <c r="F36" s="12">
        <v>200</v>
      </c>
      <c r="G36" s="37"/>
      <c r="H36" s="149">
        <f t="shared" ref="H36:H39" si="2">F36*G36</f>
        <v>0</v>
      </c>
      <c r="I36" s="150"/>
      <c r="J36" s="151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6" t="s">
        <v>71</v>
      </c>
      <c r="B37" s="28" t="s">
        <v>65</v>
      </c>
      <c r="C37" s="53">
        <v>639</v>
      </c>
      <c r="D37" s="12">
        <f>C37*111</f>
        <v>70929</v>
      </c>
      <c r="F37" s="12">
        <v>100</v>
      </c>
      <c r="G37" s="39">
        <v>1</v>
      </c>
      <c r="H37" s="149">
        <f t="shared" si="2"/>
        <v>100</v>
      </c>
      <c r="I37" s="150"/>
      <c r="J37" s="151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7"/>
      <c r="B38" s="29" t="s">
        <v>67</v>
      </c>
      <c r="C38" s="54"/>
      <c r="D38" s="12">
        <f>C38*84</f>
        <v>0</v>
      </c>
      <c r="F38" s="30">
        <v>50</v>
      </c>
      <c r="G38" s="39">
        <v>1</v>
      </c>
      <c r="H38" s="149">
        <f t="shared" si="2"/>
        <v>50</v>
      </c>
      <c r="I38" s="150"/>
      <c r="J38" s="151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8"/>
      <c r="B39" s="29" t="s">
        <v>69</v>
      </c>
      <c r="C39" s="52">
        <v>2</v>
      </c>
      <c r="D39" s="31">
        <f>C39*4.5</f>
        <v>9</v>
      </c>
      <c r="F39" s="12">
        <v>20</v>
      </c>
      <c r="G39" s="37"/>
      <c r="H39" s="149">
        <f t="shared" si="2"/>
        <v>0</v>
      </c>
      <c r="I39" s="150"/>
      <c r="J39" s="15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6" t="s">
        <v>75</v>
      </c>
      <c r="B40" s="27" t="s">
        <v>65</v>
      </c>
      <c r="C40" s="63">
        <v>25</v>
      </c>
      <c r="D40" s="12">
        <f>C40*111</f>
        <v>2775</v>
      </c>
      <c r="F40" s="12">
        <v>10</v>
      </c>
      <c r="G40" s="42"/>
      <c r="H40" s="149"/>
      <c r="I40" s="150"/>
      <c r="J40" s="151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7"/>
      <c r="B41" s="27" t="s">
        <v>67</v>
      </c>
      <c r="C41" s="10"/>
      <c r="D41" s="12">
        <f>C41*84</f>
        <v>0</v>
      </c>
      <c r="F41" s="12">
        <v>5</v>
      </c>
      <c r="G41" s="42"/>
      <c r="H41" s="149"/>
      <c r="I41" s="150"/>
      <c r="J41" s="151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8"/>
      <c r="B42" s="27" t="s">
        <v>69</v>
      </c>
      <c r="C42" s="11"/>
      <c r="D42" s="12">
        <f>C42*2.25</f>
        <v>0</v>
      </c>
      <c r="F42" s="39" t="s">
        <v>78</v>
      </c>
      <c r="G42" s="149">
        <v>55</v>
      </c>
      <c r="H42" s="150"/>
      <c r="I42" s="150"/>
      <c r="J42" s="151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19" t="s">
        <v>80</v>
      </c>
      <c r="C43" s="11"/>
      <c r="D43" s="12"/>
      <c r="F43" s="59" t="s">
        <v>81</v>
      </c>
      <c r="G43" s="88" t="s">
        <v>82</v>
      </c>
      <c r="H43" s="141" t="s">
        <v>13</v>
      </c>
      <c r="I43" s="142"/>
      <c r="J43" s="143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20"/>
      <c r="B44" s="27" t="s">
        <v>65</v>
      </c>
      <c r="C44" s="10">
        <v>11</v>
      </c>
      <c r="D44" s="12">
        <f>C44*120</f>
        <v>1320</v>
      </c>
      <c r="F44" s="37" t="s">
        <v>136</v>
      </c>
      <c r="G44" s="76" t="s">
        <v>170</v>
      </c>
      <c r="H44" s="144">
        <v>60416</v>
      </c>
      <c r="I44" s="144"/>
      <c r="J44" s="144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20"/>
      <c r="B45" s="27" t="s">
        <v>67</v>
      </c>
      <c r="C45" s="33">
        <v>1</v>
      </c>
      <c r="D45" s="12">
        <f>C45*84</f>
        <v>84</v>
      </c>
      <c r="F45" s="37" t="s">
        <v>136</v>
      </c>
      <c r="G45" s="76" t="s">
        <v>171</v>
      </c>
      <c r="H45" s="144">
        <v>295595</v>
      </c>
      <c r="I45" s="144"/>
      <c r="J45" s="144"/>
      <c r="K45" s="21"/>
      <c r="P45" s="4"/>
      <c r="Q45" s="4"/>
      <c r="R45" s="5"/>
    </row>
    <row r="46" spans="1:18" ht="15.75" x14ac:dyDescent="0.25">
      <c r="A46" s="120"/>
      <c r="B46" s="49" t="s">
        <v>69</v>
      </c>
      <c r="C46" s="81">
        <v>19</v>
      </c>
      <c r="D46" s="12">
        <f>C46*1.5</f>
        <v>28.5</v>
      </c>
      <c r="F46" s="37"/>
      <c r="G46" s="62"/>
      <c r="H46" s="145"/>
      <c r="I46" s="145"/>
      <c r="J46" s="145"/>
      <c r="K46" s="21"/>
      <c r="P46" s="4"/>
      <c r="Q46" s="4"/>
      <c r="R46" s="5"/>
    </row>
    <row r="47" spans="1:18" ht="15.75" x14ac:dyDescent="0.25">
      <c r="A47" s="121"/>
      <c r="B47" s="27"/>
      <c r="C47" s="11"/>
      <c r="D47" s="12"/>
      <c r="F47" s="59"/>
      <c r="G47" s="59"/>
      <c r="H47" s="122"/>
      <c r="I47" s="123"/>
      <c r="J47" s="124"/>
      <c r="K47" s="21"/>
      <c r="P47" s="4"/>
      <c r="Q47" s="4"/>
      <c r="R47" s="5"/>
    </row>
    <row r="48" spans="1:18" ht="15" customHeight="1" x14ac:dyDescent="0.25">
      <c r="A48" s="119" t="s">
        <v>32</v>
      </c>
      <c r="B48" s="27" t="s">
        <v>65</v>
      </c>
      <c r="C48" s="10">
        <v>23</v>
      </c>
      <c r="D48" s="12">
        <f>C48*78</f>
        <v>1794</v>
      </c>
      <c r="F48" s="59"/>
      <c r="G48" s="59"/>
      <c r="H48" s="122"/>
      <c r="I48" s="123"/>
      <c r="J48" s="124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20"/>
      <c r="B49" s="29" t="s">
        <v>67</v>
      </c>
      <c r="C49" s="33">
        <v>5</v>
      </c>
      <c r="D49" s="12">
        <f>C49*42</f>
        <v>210</v>
      </c>
      <c r="F49" s="125" t="s">
        <v>85</v>
      </c>
      <c r="G49" s="127">
        <f>H34+H35+H36+H37+H38+H39+H40+H41+G42+H44+H45+H46</f>
        <v>402716</v>
      </c>
      <c r="H49" s="128"/>
      <c r="I49" s="128"/>
      <c r="J49" s="129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0"/>
      <c r="B50" s="32" t="s">
        <v>69</v>
      </c>
      <c r="C50" s="11">
        <v>11</v>
      </c>
      <c r="D50" s="12">
        <f>C50*1.5</f>
        <v>16.5</v>
      </c>
      <c r="F50" s="126"/>
      <c r="G50" s="130"/>
      <c r="H50" s="131"/>
      <c r="I50" s="131"/>
      <c r="J50" s="132"/>
      <c r="O50" t="s">
        <v>114</v>
      </c>
      <c r="P50" s="4">
        <v>1204</v>
      </c>
      <c r="Q50" s="4"/>
      <c r="R50" s="5"/>
    </row>
    <row r="51" spans="1:18" ht="15" customHeight="1" x14ac:dyDescent="0.25">
      <c r="A51" s="120"/>
      <c r="B51" s="27"/>
      <c r="C51" s="10"/>
      <c r="D51" s="31"/>
      <c r="F51" s="133" t="s">
        <v>172</v>
      </c>
      <c r="G51" s="246">
        <f>G49-H29</f>
        <v>-1516</v>
      </c>
      <c r="H51" s="247"/>
      <c r="I51" s="247"/>
      <c r="J51" s="248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20"/>
      <c r="B52" s="29"/>
      <c r="C52" s="33"/>
      <c r="D52" s="45"/>
      <c r="F52" s="134"/>
      <c r="G52" s="249"/>
      <c r="H52" s="250"/>
      <c r="I52" s="250"/>
      <c r="J52" s="251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1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05" t="s">
        <v>89</v>
      </c>
      <c r="B54" s="106"/>
      <c r="C54" s="107"/>
      <c r="D54" s="111">
        <f>SUM(D34:D53)</f>
        <v>77406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08"/>
      <c r="B55" s="109"/>
      <c r="C55" s="110"/>
      <c r="D55" s="11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13" t="s">
        <v>90</v>
      </c>
      <c r="B58" s="114"/>
      <c r="C58" s="114"/>
      <c r="D58" s="115"/>
      <c r="F58" s="113" t="s">
        <v>91</v>
      </c>
      <c r="G58" s="114"/>
      <c r="H58" s="114"/>
      <c r="I58" s="114"/>
      <c r="J58" s="115"/>
    </row>
    <row r="59" spans="1:18" x14ac:dyDescent="0.25">
      <c r="A59" s="116"/>
      <c r="B59" s="117"/>
      <c r="C59" s="117"/>
      <c r="D59" s="118"/>
      <c r="F59" s="116"/>
      <c r="G59" s="117"/>
      <c r="H59" s="117"/>
      <c r="I59" s="117"/>
      <c r="J59" s="118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2A82DE-848E-4D18-B3B6-32FC97A7F698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01" t="s">
        <v>1</v>
      </c>
      <c r="O1" s="201"/>
      <c r="P1" s="90" t="s">
        <v>2</v>
      </c>
      <c r="Q1" s="90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52" t="s">
        <v>7</v>
      </c>
      <c r="B4" s="153"/>
      <c r="C4" s="153"/>
      <c r="D4" s="154"/>
      <c r="F4" s="202" t="s">
        <v>8</v>
      </c>
      <c r="G4" s="204"/>
      <c r="H4" s="206" t="s">
        <v>9</v>
      </c>
      <c r="I4" s="208"/>
      <c r="J4" s="20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46" t="s">
        <v>7</v>
      </c>
      <c r="B5" s="15" t="s">
        <v>11</v>
      </c>
      <c r="C5" s="9" t="s">
        <v>12</v>
      </c>
      <c r="D5" s="25" t="s">
        <v>13</v>
      </c>
      <c r="F5" s="203"/>
      <c r="G5" s="205"/>
      <c r="H5" s="207"/>
      <c r="I5" s="210"/>
      <c r="J5" s="21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47"/>
      <c r="B6" s="16"/>
      <c r="C6" s="10"/>
      <c r="D6" s="13">
        <f t="shared" ref="D6:D28" si="1">C6*L6</f>
        <v>0</v>
      </c>
      <c r="F6" s="212" t="s">
        <v>16</v>
      </c>
      <c r="G6" s="214"/>
      <c r="H6" s="215"/>
      <c r="I6" s="215"/>
      <c r="J6" s="216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47"/>
      <c r="B7" s="16"/>
      <c r="C7" s="10"/>
      <c r="D7" s="13">
        <f t="shared" si="1"/>
        <v>0</v>
      </c>
      <c r="F7" s="213"/>
      <c r="G7" s="217"/>
      <c r="H7" s="218"/>
      <c r="I7" s="218"/>
      <c r="J7" s="219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47"/>
      <c r="B8" s="16"/>
      <c r="C8" s="10"/>
      <c r="D8" s="13">
        <f t="shared" si="1"/>
        <v>0</v>
      </c>
      <c r="F8" s="220" t="s">
        <v>21</v>
      </c>
      <c r="G8" s="221"/>
      <c r="H8" s="222"/>
      <c r="I8" s="222"/>
      <c r="J8" s="223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47"/>
      <c r="B9" s="16"/>
      <c r="C9" s="10"/>
      <c r="D9" s="13">
        <f t="shared" si="1"/>
        <v>0</v>
      </c>
      <c r="F9" s="213"/>
      <c r="G9" s="224"/>
      <c r="H9" s="225"/>
      <c r="I9" s="225"/>
      <c r="J9" s="226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47"/>
      <c r="C10" s="10"/>
      <c r="D10" s="13">
        <f t="shared" si="1"/>
        <v>0</v>
      </c>
      <c r="F10" s="212" t="s">
        <v>26</v>
      </c>
      <c r="G10" s="227"/>
      <c r="H10" s="228"/>
      <c r="I10" s="228"/>
      <c r="J10" s="229"/>
      <c r="K10" s="8"/>
      <c r="L10" s="6">
        <f>R36</f>
        <v>972</v>
      </c>
      <c r="P10" s="4"/>
      <c r="Q10" s="4"/>
      <c r="R10" s="5"/>
    </row>
    <row r="11" spans="1:19" ht="15.75" x14ac:dyDescent="0.25">
      <c r="A11" s="147"/>
      <c r="B11" s="17"/>
      <c r="C11" s="10"/>
      <c r="D11" s="13">
        <f t="shared" si="1"/>
        <v>0</v>
      </c>
      <c r="F11" s="213"/>
      <c r="G11" s="224"/>
      <c r="H11" s="225"/>
      <c r="I11" s="225"/>
      <c r="J11" s="226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47"/>
      <c r="B12" s="17"/>
      <c r="C12" s="10"/>
      <c r="D12" s="48">
        <f t="shared" si="1"/>
        <v>0</v>
      </c>
      <c r="F12" s="230" t="s">
        <v>33</v>
      </c>
      <c r="G12" s="231"/>
      <c r="H12" s="231"/>
      <c r="I12" s="231"/>
      <c r="J12" s="232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47"/>
      <c r="B13" s="17"/>
      <c r="C13" s="10"/>
      <c r="D13" s="48">
        <f t="shared" si="1"/>
        <v>0</v>
      </c>
      <c r="F13" s="233" t="s">
        <v>36</v>
      </c>
      <c r="G13" s="197"/>
      <c r="H13" s="188">
        <f>D29</f>
        <v>0</v>
      </c>
      <c r="I13" s="189"/>
      <c r="J13" s="19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47"/>
      <c r="B14" s="14"/>
      <c r="C14" s="10"/>
      <c r="D14" s="31">
        <f t="shared" si="1"/>
        <v>0</v>
      </c>
      <c r="F14" s="191" t="s">
        <v>38</v>
      </c>
      <c r="G14" s="192"/>
      <c r="H14" s="193">
        <f>D54</f>
        <v>0</v>
      </c>
      <c r="I14" s="194"/>
      <c r="J14" s="19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47"/>
      <c r="B15" s="14"/>
      <c r="C15" s="10"/>
      <c r="D15" s="31">
        <f t="shared" si="1"/>
        <v>0</v>
      </c>
      <c r="F15" s="196" t="s">
        <v>39</v>
      </c>
      <c r="G15" s="197"/>
      <c r="H15" s="198">
        <f>H13-H14</f>
        <v>0</v>
      </c>
      <c r="I15" s="199"/>
      <c r="J15" s="200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47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58"/>
      <c r="I16" s="158"/>
      <c r="J16" s="158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7"/>
      <c r="C17" s="10"/>
      <c r="D17" s="48">
        <f t="shared" si="1"/>
        <v>0</v>
      </c>
      <c r="F17" s="56"/>
      <c r="G17" s="66" t="s">
        <v>44</v>
      </c>
      <c r="H17" s="169"/>
      <c r="I17" s="169"/>
      <c r="J17" s="169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7"/>
      <c r="B18" s="19"/>
      <c r="C18" s="10"/>
      <c r="D18" s="48">
        <f t="shared" si="1"/>
        <v>0</v>
      </c>
      <c r="F18" s="56"/>
      <c r="G18" s="66" t="s">
        <v>46</v>
      </c>
      <c r="H18" s="169"/>
      <c r="I18" s="169"/>
      <c r="J18" s="16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7"/>
      <c r="B19" s="14"/>
      <c r="C19" s="10"/>
      <c r="D19" s="48">
        <f t="shared" si="1"/>
        <v>0</v>
      </c>
      <c r="F19" s="56"/>
      <c r="G19" s="68" t="s">
        <v>49</v>
      </c>
      <c r="H19" s="170"/>
      <c r="I19" s="170"/>
      <c r="J19" s="170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7"/>
      <c r="B20" s="46"/>
      <c r="C20" s="10"/>
      <c r="D20" s="13">
        <f t="shared" si="1"/>
        <v>0</v>
      </c>
      <c r="F20" s="57"/>
      <c r="G20" s="70" t="s">
        <v>102</v>
      </c>
      <c r="H20" s="158"/>
      <c r="I20" s="158"/>
      <c r="J20" s="158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7"/>
      <c r="B21" s="14"/>
      <c r="C21" s="10"/>
      <c r="D21" s="48">
        <f t="shared" si="1"/>
        <v>0</v>
      </c>
      <c r="F21" s="69" t="s">
        <v>94</v>
      </c>
      <c r="G21" s="82" t="s">
        <v>93</v>
      </c>
      <c r="H21" s="171" t="s">
        <v>13</v>
      </c>
      <c r="I21" s="172"/>
      <c r="J21" s="173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7"/>
      <c r="B22" s="46"/>
      <c r="C22" s="10"/>
      <c r="D22" s="48">
        <f t="shared" si="1"/>
        <v>0</v>
      </c>
      <c r="F22" s="77"/>
      <c r="G22" s="73"/>
      <c r="H22" s="174"/>
      <c r="I22" s="174"/>
      <c r="J22" s="174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7"/>
      <c r="B23" s="14"/>
      <c r="C23" s="10"/>
      <c r="D23" s="48">
        <f t="shared" si="1"/>
        <v>0</v>
      </c>
      <c r="F23" s="78"/>
      <c r="G23" s="79"/>
      <c r="H23" s="175"/>
      <c r="I23" s="144"/>
      <c r="J23" s="144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7"/>
      <c r="B24" s="14"/>
      <c r="C24" s="10"/>
      <c r="D24" s="48">
        <f t="shared" si="1"/>
        <v>0</v>
      </c>
      <c r="F24" s="38"/>
      <c r="G24" s="37"/>
      <c r="H24" s="175"/>
      <c r="I24" s="144"/>
      <c r="J24" s="144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7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176" t="s">
        <v>13</v>
      </c>
      <c r="I25" s="177"/>
      <c r="J25" s="178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7"/>
      <c r="B26" s="14"/>
      <c r="C26" s="10"/>
      <c r="D26" s="48">
        <f t="shared" si="1"/>
        <v>0</v>
      </c>
      <c r="F26" s="64"/>
      <c r="G26" s="59"/>
      <c r="H26" s="179"/>
      <c r="I26" s="180"/>
      <c r="J26" s="181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7"/>
      <c r="B27" s="14"/>
      <c r="C27" s="10"/>
      <c r="D27" s="44">
        <f t="shared" si="1"/>
        <v>0</v>
      </c>
      <c r="F27" s="25"/>
      <c r="G27" s="80"/>
      <c r="H27" s="182"/>
      <c r="I27" s="183"/>
      <c r="J27" s="184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8"/>
      <c r="B28" s="46"/>
      <c r="C28" s="10"/>
      <c r="D28" s="48">
        <f t="shared" si="1"/>
        <v>0</v>
      </c>
      <c r="F28" s="91"/>
      <c r="G28" s="61"/>
      <c r="H28" s="185"/>
      <c r="I28" s="186"/>
      <c r="J28" s="187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9" t="s">
        <v>36</v>
      </c>
      <c r="B29" s="160"/>
      <c r="C29" s="161"/>
      <c r="D29" s="165">
        <f>SUM(D6:D28)</f>
        <v>0</v>
      </c>
      <c r="F29" s="105" t="s">
        <v>54</v>
      </c>
      <c r="G29" s="167"/>
      <c r="H29" s="127">
        <f>H15-H16-H17-H18-H19-H20-H22-H23-H24+H26+H27</f>
        <v>0</v>
      </c>
      <c r="I29" s="128"/>
      <c r="J29" s="129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08"/>
      <c r="G30" s="168"/>
      <c r="H30" s="130"/>
      <c r="I30" s="131"/>
      <c r="J30" s="132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52" t="s">
        <v>57</v>
      </c>
      <c r="B32" s="153"/>
      <c r="C32" s="153"/>
      <c r="D32" s="154"/>
      <c r="F32" s="155" t="s">
        <v>58</v>
      </c>
      <c r="G32" s="156"/>
      <c r="H32" s="156"/>
      <c r="I32" s="156"/>
      <c r="J32" s="157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2" t="s">
        <v>62</v>
      </c>
      <c r="H33" s="155" t="s">
        <v>13</v>
      </c>
      <c r="I33" s="156"/>
      <c r="J33" s="157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6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149"/>
      <c r="I34" s="150"/>
      <c r="J34" s="151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7"/>
      <c r="B35" s="27" t="s">
        <v>67</v>
      </c>
      <c r="C35" s="52"/>
      <c r="D35" s="30">
        <f>C35*84</f>
        <v>0</v>
      </c>
      <c r="F35" s="58">
        <v>500</v>
      </c>
      <c r="G35" s="41"/>
      <c r="H35" s="149"/>
      <c r="I35" s="150"/>
      <c r="J35" s="15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8"/>
      <c r="B36" s="26" t="s">
        <v>69</v>
      </c>
      <c r="C36" s="10"/>
      <c r="D36" s="12">
        <f>C36*1.5</f>
        <v>0</v>
      </c>
      <c r="F36" s="12">
        <v>200</v>
      </c>
      <c r="G36" s="37"/>
      <c r="H36" s="149"/>
      <c r="I36" s="150"/>
      <c r="J36" s="151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6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49"/>
      <c r="I37" s="150"/>
      <c r="J37" s="151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7"/>
      <c r="B38" s="29" t="s">
        <v>67</v>
      </c>
      <c r="C38" s="54"/>
      <c r="D38" s="12">
        <f>C38*84</f>
        <v>0</v>
      </c>
      <c r="F38" s="30">
        <v>50</v>
      </c>
      <c r="G38" s="39"/>
      <c r="H38" s="149"/>
      <c r="I38" s="150"/>
      <c r="J38" s="151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8"/>
      <c r="B39" s="29" t="s">
        <v>69</v>
      </c>
      <c r="C39" s="52"/>
      <c r="D39" s="31">
        <f>C39*4.5</f>
        <v>0</v>
      </c>
      <c r="F39" s="12">
        <v>20</v>
      </c>
      <c r="G39" s="37"/>
      <c r="H39" s="149"/>
      <c r="I39" s="150"/>
      <c r="J39" s="15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6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49"/>
      <c r="I40" s="150"/>
      <c r="J40" s="151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7"/>
      <c r="B41" s="27" t="s">
        <v>67</v>
      </c>
      <c r="C41" s="10"/>
      <c r="D41" s="12">
        <f>C41*84</f>
        <v>0</v>
      </c>
      <c r="F41" s="12">
        <v>5</v>
      </c>
      <c r="G41" s="42"/>
      <c r="H41" s="149"/>
      <c r="I41" s="150"/>
      <c r="J41" s="151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8"/>
      <c r="B42" s="27" t="s">
        <v>69</v>
      </c>
      <c r="C42" s="11"/>
      <c r="D42" s="12">
        <f>C42*2.25</f>
        <v>0</v>
      </c>
      <c r="F42" s="39" t="s">
        <v>78</v>
      </c>
      <c r="G42" s="149"/>
      <c r="H42" s="150"/>
      <c r="I42" s="150"/>
      <c r="J42" s="151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19" t="s">
        <v>80</v>
      </c>
      <c r="C43" s="11"/>
      <c r="D43" s="12"/>
      <c r="F43" s="59" t="s">
        <v>81</v>
      </c>
      <c r="G43" s="88" t="s">
        <v>82</v>
      </c>
      <c r="H43" s="141" t="s">
        <v>13</v>
      </c>
      <c r="I43" s="142"/>
      <c r="J43" s="143"/>
      <c r="K43" s="21"/>
      <c r="P43" s="4"/>
      <c r="Q43" s="4"/>
      <c r="R43" s="5"/>
    </row>
    <row r="44" spans="1:18" ht="15.75" x14ac:dyDescent="0.25">
      <c r="A44" s="120"/>
      <c r="B44" s="27" t="s">
        <v>65</v>
      </c>
      <c r="C44" s="10"/>
      <c r="D44" s="12">
        <f>C44*120</f>
        <v>0</v>
      </c>
      <c r="F44" s="37"/>
      <c r="G44" s="76"/>
      <c r="H44" s="144"/>
      <c r="I44" s="144"/>
      <c r="J44" s="144"/>
      <c r="K44" s="21"/>
      <c r="P44" s="4"/>
      <c r="Q44" s="4"/>
      <c r="R44" s="5"/>
    </row>
    <row r="45" spans="1:18" ht="15.75" x14ac:dyDescent="0.25">
      <c r="A45" s="120"/>
      <c r="B45" s="27" t="s">
        <v>67</v>
      </c>
      <c r="C45" s="33"/>
      <c r="D45" s="12">
        <f>C45*84</f>
        <v>0</v>
      </c>
      <c r="F45" s="37"/>
      <c r="G45" s="76"/>
      <c r="H45" s="144"/>
      <c r="I45" s="144"/>
      <c r="J45" s="144"/>
      <c r="K45" s="21"/>
      <c r="P45" s="4"/>
      <c r="Q45" s="4"/>
      <c r="R45" s="5"/>
    </row>
    <row r="46" spans="1:18" ht="15.75" x14ac:dyDescent="0.25">
      <c r="A46" s="120"/>
      <c r="B46" s="49" t="s">
        <v>69</v>
      </c>
      <c r="C46" s="81"/>
      <c r="D46" s="12">
        <f>C46*1.5</f>
        <v>0</v>
      </c>
      <c r="F46" s="37"/>
      <c r="G46" s="62"/>
      <c r="H46" s="145"/>
      <c r="I46" s="145"/>
      <c r="J46" s="145"/>
      <c r="K46" s="21"/>
      <c r="P46" s="4"/>
      <c r="Q46" s="4"/>
      <c r="R46" s="5"/>
    </row>
    <row r="47" spans="1:18" ht="15.75" x14ac:dyDescent="0.25">
      <c r="A47" s="121"/>
      <c r="B47" s="27"/>
      <c r="C47" s="11"/>
      <c r="D47" s="12"/>
      <c r="F47" s="59"/>
      <c r="G47" s="59"/>
      <c r="H47" s="122"/>
      <c r="I47" s="123"/>
      <c r="J47" s="124"/>
      <c r="K47" s="21"/>
      <c r="P47" s="4"/>
      <c r="Q47" s="4"/>
      <c r="R47" s="5"/>
    </row>
    <row r="48" spans="1:18" ht="15" customHeight="1" x14ac:dyDescent="0.25">
      <c r="A48" s="119" t="s">
        <v>32</v>
      </c>
      <c r="B48" s="27" t="s">
        <v>65</v>
      </c>
      <c r="C48" s="10"/>
      <c r="D48" s="12">
        <f>C48*78</f>
        <v>0</v>
      </c>
      <c r="F48" s="59"/>
      <c r="G48" s="59"/>
      <c r="H48" s="122"/>
      <c r="I48" s="123"/>
      <c r="J48" s="124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20"/>
      <c r="B49" s="29" t="s">
        <v>67</v>
      </c>
      <c r="C49" s="33"/>
      <c r="D49" s="12">
        <f>C49*42</f>
        <v>0</v>
      </c>
      <c r="F49" s="125" t="s">
        <v>85</v>
      </c>
      <c r="G49" s="127">
        <f>H34+H35+H36+H37+H38+H39+H40+H41+G42+H44+H45+H46</f>
        <v>0</v>
      </c>
      <c r="H49" s="128"/>
      <c r="I49" s="128"/>
      <c r="J49" s="129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0"/>
      <c r="B50" s="32" t="s">
        <v>69</v>
      </c>
      <c r="C50" s="11"/>
      <c r="D50" s="12">
        <f>C50*1.5</f>
        <v>0</v>
      </c>
      <c r="F50" s="126"/>
      <c r="G50" s="130"/>
      <c r="H50" s="131"/>
      <c r="I50" s="131"/>
      <c r="J50" s="132"/>
      <c r="P50" s="4"/>
      <c r="Q50" s="4"/>
      <c r="R50" s="5"/>
    </row>
    <row r="51" spans="1:18" ht="15" customHeight="1" x14ac:dyDescent="0.25">
      <c r="A51" s="120"/>
      <c r="B51" s="27"/>
      <c r="C51" s="10"/>
      <c r="D51" s="31"/>
      <c r="F51" s="133" t="s">
        <v>106</v>
      </c>
      <c r="G51" s="135">
        <f>G49-H29</f>
        <v>0</v>
      </c>
      <c r="H51" s="136"/>
      <c r="I51" s="136"/>
      <c r="J51" s="137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0"/>
      <c r="B52" s="29"/>
      <c r="C52" s="33"/>
      <c r="D52" s="45"/>
      <c r="F52" s="134"/>
      <c r="G52" s="138"/>
      <c r="H52" s="139"/>
      <c r="I52" s="139"/>
      <c r="J52" s="140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1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05" t="s">
        <v>89</v>
      </c>
      <c r="B54" s="106"/>
      <c r="C54" s="107"/>
      <c r="D54" s="111">
        <f>SUM(D34:D53)</f>
        <v>0</v>
      </c>
      <c r="F54" s="21"/>
      <c r="J54" s="34"/>
    </row>
    <row r="55" spans="1:18" x14ac:dyDescent="0.25">
      <c r="A55" s="108"/>
      <c r="B55" s="109"/>
      <c r="C55" s="110"/>
      <c r="D55" s="11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13" t="s">
        <v>90</v>
      </c>
      <c r="B58" s="114"/>
      <c r="C58" s="114"/>
      <c r="D58" s="115"/>
      <c r="F58" s="113" t="s">
        <v>91</v>
      </c>
      <c r="G58" s="114"/>
      <c r="H58" s="114"/>
      <c r="I58" s="114"/>
      <c r="J58" s="115"/>
    </row>
    <row r="59" spans="1:18" x14ac:dyDescent="0.25">
      <c r="A59" s="116"/>
      <c r="B59" s="117"/>
      <c r="C59" s="117"/>
      <c r="D59" s="118"/>
      <c r="F59" s="116"/>
      <c r="G59" s="117"/>
      <c r="H59" s="117"/>
      <c r="I59" s="117"/>
      <c r="J59" s="118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0000AB-57DA-4F70-BEF5-1E4FB759994C}">
  <dimension ref="A1:R59"/>
  <sheetViews>
    <sheetView topLeftCell="A28" zoomScaleNormal="100" zoomScaleSheetLayoutView="85" workbookViewId="0">
      <selection activeCell="M52" sqref="M52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1" t="s">
        <v>1</v>
      </c>
      <c r="O1" s="201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2" t="s">
        <v>7</v>
      </c>
      <c r="B4" s="153"/>
      <c r="C4" s="153"/>
      <c r="D4" s="154"/>
      <c r="F4" s="202" t="s">
        <v>8</v>
      </c>
      <c r="G4" s="204">
        <v>1</v>
      </c>
      <c r="H4" s="206" t="s">
        <v>9</v>
      </c>
      <c r="I4" s="208">
        <v>46155</v>
      </c>
      <c r="J4" s="20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6" t="s">
        <v>7</v>
      </c>
      <c r="B5" s="15" t="s">
        <v>11</v>
      </c>
      <c r="C5" s="9" t="s">
        <v>12</v>
      </c>
      <c r="D5" s="25" t="s">
        <v>13</v>
      </c>
      <c r="F5" s="203"/>
      <c r="G5" s="205"/>
      <c r="H5" s="207"/>
      <c r="I5" s="210"/>
      <c r="J5" s="21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7"/>
      <c r="B6" s="16" t="s">
        <v>15</v>
      </c>
      <c r="C6" s="10">
        <v>321</v>
      </c>
      <c r="D6" s="13">
        <f t="shared" ref="D6:D28" si="1">C6*L6</f>
        <v>244281</v>
      </c>
      <c r="F6" s="212" t="s">
        <v>16</v>
      </c>
      <c r="G6" s="214" t="s">
        <v>99</v>
      </c>
      <c r="H6" s="215"/>
      <c r="I6" s="215"/>
      <c r="J6" s="21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7"/>
      <c r="B7" s="16" t="s">
        <v>18</v>
      </c>
      <c r="C7" s="10">
        <v>6</v>
      </c>
      <c r="D7" s="13">
        <f t="shared" si="1"/>
        <v>4686</v>
      </c>
      <c r="F7" s="213"/>
      <c r="G7" s="217"/>
      <c r="H7" s="218"/>
      <c r="I7" s="218"/>
      <c r="J7" s="21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7"/>
      <c r="B8" s="16" t="s">
        <v>20</v>
      </c>
      <c r="C8" s="10">
        <v>62</v>
      </c>
      <c r="D8" s="13">
        <f t="shared" si="1"/>
        <v>67766</v>
      </c>
      <c r="F8" s="220" t="s">
        <v>21</v>
      </c>
      <c r="G8" s="221" t="s">
        <v>120</v>
      </c>
      <c r="H8" s="222"/>
      <c r="I8" s="222"/>
      <c r="J8" s="22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7"/>
      <c r="B9" s="16" t="s">
        <v>23</v>
      </c>
      <c r="C9" s="10">
        <v>24</v>
      </c>
      <c r="D9" s="13">
        <f t="shared" si="1"/>
        <v>17592</v>
      </c>
      <c r="F9" s="213"/>
      <c r="G9" s="224"/>
      <c r="H9" s="225"/>
      <c r="I9" s="225"/>
      <c r="J9" s="22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7"/>
      <c r="B10" t="s">
        <v>25</v>
      </c>
      <c r="C10" s="10">
        <v>3</v>
      </c>
      <c r="D10" s="13">
        <f t="shared" si="1"/>
        <v>3096</v>
      </c>
      <c r="F10" s="212" t="s">
        <v>26</v>
      </c>
      <c r="G10" s="227" t="s">
        <v>108</v>
      </c>
      <c r="H10" s="228"/>
      <c r="I10" s="228"/>
      <c r="J10" s="229"/>
      <c r="K10" s="8"/>
      <c r="L10" s="6">
        <f>R36</f>
        <v>1032</v>
      </c>
      <c r="P10" s="4"/>
      <c r="Q10" s="4"/>
      <c r="R10" s="5"/>
    </row>
    <row r="11" spans="1:18" ht="15.75" x14ac:dyDescent="0.25">
      <c r="A11" s="147"/>
      <c r="B11" s="17" t="s">
        <v>28</v>
      </c>
      <c r="C11" s="10"/>
      <c r="D11" s="13">
        <f t="shared" si="1"/>
        <v>0</v>
      </c>
      <c r="F11" s="213"/>
      <c r="G11" s="224"/>
      <c r="H11" s="225"/>
      <c r="I11" s="225"/>
      <c r="J11" s="22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7"/>
      <c r="B12" s="17" t="s">
        <v>30</v>
      </c>
      <c r="C12" s="10">
        <v>4</v>
      </c>
      <c r="D12" s="48">
        <f t="shared" si="1"/>
        <v>3968</v>
      </c>
      <c r="F12" s="230" t="s">
        <v>33</v>
      </c>
      <c r="G12" s="231"/>
      <c r="H12" s="231"/>
      <c r="I12" s="231"/>
      <c r="J12" s="23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7"/>
      <c r="B13" s="17" t="s">
        <v>32</v>
      </c>
      <c r="C13" s="10">
        <v>9</v>
      </c>
      <c r="D13" s="48">
        <f t="shared" si="1"/>
        <v>2763</v>
      </c>
      <c r="F13" s="233" t="s">
        <v>36</v>
      </c>
      <c r="G13" s="197"/>
      <c r="H13" s="188">
        <f>D29</f>
        <v>346170.83333333331</v>
      </c>
      <c r="I13" s="189"/>
      <c r="J13" s="19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7"/>
      <c r="B14" s="14" t="s">
        <v>35</v>
      </c>
      <c r="C14" s="10"/>
      <c r="D14" s="31">
        <f t="shared" si="1"/>
        <v>0</v>
      </c>
      <c r="F14" s="191" t="s">
        <v>38</v>
      </c>
      <c r="G14" s="192"/>
      <c r="H14" s="193">
        <f>D54</f>
        <v>46051.5</v>
      </c>
      <c r="I14" s="194"/>
      <c r="J14" s="19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7"/>
      <c r="B15" s="14" t="s">
        <v>122</v>
      </c>
      <c r="C15" s="10"/>
      <c r="D15" s="31">
        <f t="shared" si="1"/>
        <v>0</v>
      </c>
      <c r="F15" s="196" t="s">
        <v>39</v>
      </c>
      <c r="G15" s="197"/>
      <c r="H15" s="198">
        <f>H13-H14</f>
        <v>300119.33333333331</v>
      </c>
      <c r="I15" s="199"/>
      <c r="J15" s="200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7"/>
      <c r="B16" s="18" t="s">
        <v>111</v>
      </c>
      <c r="C16" s="10">
        <v>2</v>
      </c>
      <c r="D16" s="48">
        <f t="shared" si="1"/>
        <v>1300</v>
      </c>
      <c r="F16" s="67" t="s">
        <v>41</v>
      </c>
      <c r="G16" s="66" t="s">
        <v>42</v>
      </c>
      <c r="H16" s="158"/>
      <c r="I16" s="158"/>
      <c r="J16" s="158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7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69"/>
      <c r="I17" s="169"/>
      <c r="J17" s="169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7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69"/>
      <c r="I18" s="169"/>
      <c r="J18" s="169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7"/>
      <c r="B19" s="83" t="s">
        <v>105</v>
      </c>
      <c r="C19" s="10"/>
      <c r="D19" s="48">
        <f t="shared" si="1"/>
        <v>0</v>
      </c>
      <c r="F19" s="56"/>
      <c r="G19" s="68" t="s">
        <v>49</v>
      </c>
      <c r="H19" s="158"/>
      <c r="I19" s="158"/>
      <c r="J19" s="158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7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58"/>
      <c r="I20" s="158"/>
      <c r="J20" s="158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7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71" t="s">
        <v>13</v>
      </c>
      <c r="I21" s="172"/>
      <c r="J21" s="173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7"/>
      <c r="B22" s="46" t="s">
        <v>103</v>
      </c>
      <c r="C22" s="10"/>
      <c r="D22" s="48">
        <f t="shared" si="1"/>
        <v>0</v>
      </c>
      <c r="F22" s="77" t="s">
        <v>153</v>
      </c>
      <c r="G22" s="73">
        <v>10543</v>
      </c>
      <c r="H22" s="174">
        <v>65678</v>
      </c>
      <c r="I22" s="174"/>
      <c r="J22" s="174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7"/>
      <c r="B23" s="14" t="s">
        <v>121</v>
      </c>
      <c r="C23" s="10"/>
      <c r="D23" s="48">
        <f t="shared" si="1"/>
        <v>0</v>
      </c>
      <c r="F23" s="77"/>
      <c r="G23" s="79"/>
      <c r="H23" s="242"/>
      <c r="I23" s="243"/>
      <c r="J23" s="243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7"/>
      <c r="B24" s="14" t="s">
        <v>128</v>
      </c>
      <c r="C24" s="10">
        <v>19</v>
      </c>
      <c r="D24" s="48">
        <f t="shared" si="1"/>
        <v>718.83333333333337</v>
      </c>
      <c r="F24" s="77"/>
      <c r="G24" s="79"/>
      <c r="H24" s="242"/>
      <c r="I24" s="243"/>
      <c r="J24" s="243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7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76" t="s">
        <v>13</v>
      </c>
      <c r="I25" s="177"/>
      <c r="J25" s="178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7"/>
      <c r="B26" s="14" t="s">
        <v>129</v>
      </c>
      <c r="C26" s="10"/>
      <c r="D26" s="48">
        <f t="shared" si="1"/>
        <v>0</v>
      </c>
      <c r="F26" s="75"/>
      <c r="G26" s="65"/>
      <c r="H26" s="144"/>
      <c r="I26" s="144"/>
      <c r="J26" s="144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7"/>
      <c r="B27" s="14" t="s">
        <v>130</v>
      </c>
      <c r="C27" s="10"/>
      <c r="D27" s="44">
        <f t="shared" si="1"/>
        <v>0</v>
      </c>
      <c r="F27" s="71"/>
      <c r="G27" s="88"/>
      <c r="H27" s="244"/>
      <c r="I27" s="245"/>
      <c r="J27" s="245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8"/>
      <c r="B28" s="46" t="s">
        <v>92</v>
      </c>
      <c r="C28" s="10"/>
      <c r="D28" s="48">
        <f t="shared" si="1"/>
        <v>0</v>
      </c>
      <c r="F28" s="91"/>
      <c r="G28" s="61"/>
      <c r="H28" s="185"/>
      <c r="I28" s="186"/>
      <c r="J28" s="187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9" t="s">
        <v>36</v>
      </c>
      <c r="B29" s="160"/>
      <c r="C29" s="161"/>
      <c r="D29" s="165">
        <f>SUM(D6:D28)</f>
        <v>346170.83333333331</v>
      </c>
      <c r="F29" s="105" t="s">
        <v>54</v>
      </c>
      <c r="G29" s="167"/>
      <c r="H29" s="127">
        <f>H15-H16-H17-H18-H19-H20-H22-H23-H24+H26+H27+H28</f>
        <v>234441.33333333331</v>
      </c>
      <c r="I29" s="128"/>
      <c r="J29" s="129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08"/>
      <c r="G30" s="168"/>
      <c r="H30" s="130"/>
      <c r="I30" s="131"/>
      <c r="J30" s="132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2" t="s">
        <v>57</v>
      </c>
      <c r="B32" s="153"/>
      <c r="C32" s="153"/>
      <c r="D32" s="154"/>
      <c r="F32" s="155" t="s">
        <v>58</v>
      </c>
      <c r="G32" s="156"/>
      <c r="H32" s="156"/>
      <c r="I32" s="156"/>
      <c r="J32" s="157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2" t="s">
        <v>62</v>
      </c>
      <c r="H33" s="155" t="s">
        <v>13</v>
      </c>
      <c r="I33" s="156"/>
      <c r="J33" s="157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6" t="s">
        <v>64</v>
      </c>
      <c r="B34" s="26" t="s">
        <v>65</v>
      </c>
      <c r="C34" s="51">
        <v>5</v>
      </c>
      <c r="D34" s="30">
        <f>C34*120</f>
        <v>600</v>
      </c>
      <c r="F34" s="12">
        <v>1000</v>
      </c>
      <c r="G34" s="40">
        <v>181</v>
      </c>
      <c r="H34" s="149">
        <f t="shared" ref="H34:H39" si="2">F34*G34</f>
        <v>181000</v>
      </c>
      <c r="I34" s="150"/>
      <c r="J34" s="151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7"/>
      <c r="B35" s="27" t="s">
        <v>67</v>
      </c>
      <c r="C35" s="52"/>
      <c r="D35" s="30">
        <f>C35*84</f>
        <v>0</v>
      </c>
      <c r="F35" s="58">
        <v>500</v>
      </c>
      <c r="G35" s="41">
        <v>106</v>
      </c>
      <c r="H35" s="149">
        <f t="shared" si="2"/>
        <v>53000</v>
      </c>
      <c r="I35" s="150"/>
      <c r="J35" s="15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8"/>
      <c r="B36" s="26" t="s">
        <v>69</v>
      </c>
      <c r="C36" s="10">
        <v>1</v>
      </c>
      <c r="D36" s="12">
        <f>C36*1.5</f>
        <v>1.5</v>
      </c>
      <c r="F36" s="12">
        <v>200</v>
      </c>
      <c r="G36" s="37"/>
      <c r="H36" s="149">
        <f t="shared" si="2"/>
        <v>0</v>
      </c>
      <c r="I36" s="150"/>
      <c r="J36" s="151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6" t="s">
        <v>71</v>
      </c>
      <c r="B37" s="28" t="s">
        <v>65</v>
      </c>
      <c r="C37" s="53">
        <v>320</v>
      </c>
      <c r="D37" s="12">
        <f>C37*111</f>
        <v>35520</v>
      </c>
      <c r="F37" s="12">
        <v>100</v>
      </c>
      <c r="G37" s="39">
        <v>3</v>
      </c>
      <c r="H37" s="149">
        <f t="shared" si="2"/>
        <v>300</v>
      </c>
      <c r="I37" s="150"/>
      <c r="J37" s="151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7"/>
      <c r="B38" s="29" t="s">
        <v>67</v>
      </c>
      <c r="C38" s="54">
        <v>8</v>
      </c>
      <c r="D38" s="12">
        <f>C38*84</f>
        <v>672</v>
      </c>
      <c r="F38" s="30">
        <v>50</v>
      </c>
      <c r="G38" s="39">
        <v>2</v>
      </c>
      <c r="H38" s="149">
        <f t="shared" si="2"/>
        <v>100</v>
      </c>
      <c r="I38" s="150"/>
      <c r="J38" s="151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8"/>
      <c r="B39" s="29" t="s">
        <v>69</v>
      </c>
      <c r="C39" s="52">
        <v>2</v>
      </c>
      <c r="D39" s="31">
        <f>C39*4.5</f>
        <v>9</v>
      </c>
      <c r="F39" s="12">
        <v>20</v>
      </c>
      <c r="G39" s="37"/>
      <c r="H39" s="149">
        <f t="shared" si="2"/>
        <v>0</v>
      </c>
      <c r="I39" s="150"/>
      <c r="J39" s="15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6" t="s">
        <v>75</v>
      </c>
      <c r="B40" s="27" t="s">
        <v>65</v>
      </c>
      <c r="C40" s="63">
        <v>6</v>
      </c>
      <c r="D40" s="12">
        <f>C40*111</f>
        <v>666</v>
      </c>
      <c r="F40" s="12">
        <v>10</v>
      </c>
      <c r="G40" s="42"/>
      <c r="H40" s="149"/>
      <c r="I40" s="150"/>
      <c r="J40" s="151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7"/>
      <c r="B41" s="27" t="s">
        <v>67</v>
      </c>
      <c r="C41" s="10"/>
      <c r="D41" s="12">
        <f>C41*84</f>
        <v>0</v>
      </c>
      <c r="F41" s="12">
        <v>5</v>
      </c>
      <c r="G41" s="42"/>
      <c r="H41" s="149"/>
      <c r="I41" s="150"/>
      <c r="J41" s="151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8"/>
      <c r="B42" s="27" t="s">
        <v>69</v>
      </c>
      <c r="C42" s="11"/>
      <c r="D42" s="12">
        <f>C42*2.25</f>
        <v>0</v>
      </c>
      <c r="F42" s="39" t="s">
        <v>78</v>
      </c>
      <c r="G42" s="149">
        <v>45</v>
      </c>
      <c r="H42" s="150"/>
      <c r="I42" s="150"/>
      <c r="J42" s="151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19" t="s">
        <v>80</v>
      </c>
      <c r="C43" s="11"/>
      <c r="D43" s="12"/>
      <c r="F43" s="59" t="s">
        <v>81</v>
      </c>
      <c r="G43" s="88" t="s">
        <v>82</v>
      </c>
      <c r="H43" s="141" t="s">
        <v>13</v>
      </c>
      <c r="I43" s="142"/>
      <c r="J43" s="143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20"/>
      <c r="B44" s="27" t="s">
        <v>65</v>
      </c>
      <c r="C44" s="10">
        <v>65</v>
      </c>
      <c r="D44" s="12">
        <f>C44*120</f>
        <v>7800</v>
      </c>
      <c r="F44" s="37"/>
      <c r="G44" s="62"/>
      <c r="H44" s="144"/>
      <c r="I44" s="144"/>
      <c r="J44" s="144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20"/>
      <c r="B45" s="27" t="s">
        <v>67</v>
      </c>
      <c r="C45" s="33">
        <v>1</v>
      </c>
      <c r="D45" s="12">
        <f>C45*84</f>
        <v>84</v>
      </c>
      <c r="F45" s="37"/>
      <c r="G45" s="62"/>
      <c r="H45" s="144"/>
      <c r="I45" s="144"/>
      <c r="J45" s="144"/>
      <c r="K45" s="21"/>
      <c r="P45" s="4"/>
      <c r="Q45" s="4"/>
      <c r="R45" s="5"/>
    </row>
    <row r="46" spans="1:18" ht="15.75" x14ac:dyDescent="0.25">
      <c r="A46" s="120"/>
      <c r="B46" s="49" t="s">
        <v>69</v>
      </c>
      <c r="C46" s="81">
        <v>13</v>
      </c>
      <c r="D46" s="12">
        <f>C46*1.5</f>
        <v>19.5</v>
      </c>
      <c r="F46" s="37"/>
      <c r="G46" s="62"/>
      <c r="H46" s="144"/>
      <c r="I46" s="144"/>
      <c r="J46" s="144"/>
      <c r="K46" s="21"/>
      <c r="P46" s="4"/>
      <c r="Q46" s="4"/>
      <c r="R46" s="5"/>
    </row>
    <row r="47" spans="1:18" ht="15.75" x14ac:dyDescent="0.25">
      <c r="A47" s="121"/>
      <c r="B47" s="27"/>
      <c r="C47" s="11"/>
      <c r="D47" s="12"/>
      <c r="F47" s="59"/>
      <c r="G47" s="59"/>
      <c r="H47" s="122"/>
      <c r="I47" s="123"/>
      <c r="J47" s="124"/>
      <c r="K47" s="21"/>
      <c r="P47" s="4"/>
      <c r="Q47" s="4"/>
      <c r="R47" s="5"/>
    </row>
    <row r="48" spans="1:18" ht="15" customHeight="1" x14ac:dyDescent="0.25">
      <c r="A48" s="119" t="s">
        <v>32</v>
      </c>
      <c r="B48" s="27" t="s">
        <v>65</v>
      </c>
      <c r="C48" s="10">
        <v>8</v>
      </c>
      <c r="D48" s="12">
        <f>C48*78</f>
        <v>624</v>
      </c>
      <c r="F48" s="59"/>
      <c r="G48" s="59"/>
      <c r="H48" s="122"/>
      <c r="I48" s="123"/>
      <c r="J48" s="124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20"/>
      <c r="B49" s="29" t="s">
        <v>67</v>
      </c>
      <c r="C49" s="33">
        <v>1</v>
      </c>
      <c r="D49" s="12">
        <f>C49*42</f>
        <v>42</v>
      </c>
      <c r="F49" s="125" t="s">
        <v>85</v>
      </c>
      <c r="G49" s="127">
        <f>H34+H35+H36+H37+H38+H39+H40+H41+G42+H44+H45+H46</f>
        <v>234445</v>
      </c>
      <c r="H49" s="128"/>
      <c r="I49" s="128"/>
      <c r="J49" s="129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0"/>
      <c r="B50" s="32" t="s">
        <v>69</v>
      </c>
      <c r="C50" s="11">
        <v>9</v>
      </c>
      <c r="D50" s="12">
        <f>C50*1.5</f>
        <v>13.5</v>
      </c>
      <c r="F50" s="126"/>
      <c r="G50" s="130"/>
      <c r="H50" s="131"/>
      <c r="I50" s="131"/>
      <c r="J50" s="132"/>
      <c r="O50" t="s">
        <v>114</v>
      </c>
      <c r="P50" s="4">
        <v>1204</v>
      </c>
      <c r="Q50" s="4"/>
      <c r="R50" s="5"/>
    </row>
    <row r="51" spans="1:18" ht="15" customHeight="1" x14ac:dyDescent="0.25">
      <c r="A51" s="120"/>
      <c r="B51" s="27"/>
      <c r="C51" s="10"/>
      <c r="D51" s="31"/>
      <c r="F51" s="133" t="s">
        <v>173</v>
      </c>
      <c r="G51" s="236">
        <f>G49-H29</f>
        <v>3.6666666666860692</v>
      </c>
      <c r="H51" s="237"/>
      <c r="I51" s="237"/>
      <c r="J51" s="238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20"/>
      <c r="B52" s="29"/>
      <c r="C52" s="33"/>
      <c r="D52" s="45"/>
      <c r="F52" s="134"/>
      <c r="G52" s="239"/>
      <c r="H52" s="240"/>
      <c r="I52" s="240"/>
      <c r="J52" s="241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1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05" t="s">
        <v>89</v>
      </c>
      <c r="B54" s="106"/>
      <c r="C54" s="107"/>
      <c r="D54" s="111">
        <f>SUM(D34:D53)</f>
        <v>46051.5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08"/>
      <c r="B55" s="109"/>
      <c r="C55" s="110"/>
      <c r="D55" s="11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113" t="s">
        <v>90</v>
      </c>
      <c r="B58" s="114"/>
      <c r="C58" s="114"/>
      <c r="D58" s="115"/>
      <c r="F58" s="113" t="s">
        <v>91</v>
      </c>
      <c r="G58" s="114"/>
      <c r="H58" s="114"/>
      <c r="I58" s="114"/>
      <c r="J58" s="115"/>
    </row>
    <row r="59" spans="1:18" x14ac:dyDescent="0.25">
      <c r="A59" s="116"/>
      <c r="B59" s="117"/>
      <c r="C59" s="117"/>
      <c r="D59" s="118"/>
      <c r="F59" s="116"/>
      <c r="G59" s="117"/>
      <c r="H59" s="117"/>
      <c r="I59" s="117"/>
      <c r="J59" s="118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D91635-EC5E-4041-8C33-B85E2C196EDB}">
  <dimension ref="A1:R59"/>
  <sheetViews>
    <sheetView topLeftCell="A31" zoomScaleNormal="100" zoomScaleSheetLayoutView="85" workbookViewId="0">
      <selection activeCell="F56" sqref="F56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1" t="s">
        <v>1</v>
      </c>
      <c r="O1" s="201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2" t="s">
        <v>7</v>
      </c>
      <c r="B4" s="153"/>
      <c r="C4" s="153"/>
      <c r="D4" s="154"/>
      <c r="F4" s="202" t="s">
        <v>8</v>
      </c>
      <c r="G4" s="204">
        <v>2</v>
      </c>
      <c r="H4" s="206" t="s">
        <v>9</v>
      </c>
      <c r="I4" s="208">
        <v>46155</v>
      </c>
      <c r="J4" s="20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6" t="s">
        <v>7</v>
      </c>
      <c r="B5" s="15" t="s">
        <v>11</v>
      </c>
      <c r="C5" s="9" t="s">
        <v>12</v>
      </c>
      <c r="D5" s="25" t="s">
        <v>13</v>
      </c>
      <c r="F5" s="203"/>
      <c r="G5" s="205"/>
      <c r="H5" s="207"/>
      <c r="I5" s="210"/>
      <c r="J5" s="21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7"/>
      <c r="B6" s="16" t="s">
        <v>15</v>
      </c>
      <c r="C6" s="10">
        <v>343</v>
      </c>
      <c r="D6" s="13">
        <f t="shared" ref="D6:D28" si="1">C6*L6</f>
        <v>261023</v>
      </c>
      <c r="F6" s="212" t="s">
        <v>16</v>
      </c>
      <c r="G6" s="214" t="s">
        <v>107</v>
      </c>
      <c r="H6" s="215"/>
      <c r="I6" s="215"/>
      <c r="J6" s="21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7"/>
      <c r="B7" s="16" t="s">
        <v>18</v>
      </c>
      <c r="C7" s="10"/>
      <c r="D7" s="13">
        <f t="shared" si="1"/>
        <v>0</v>
      </c>
      <c r="F7" s="213"/>
      <c r="G7" s="217"/>
      <c r="H7" s="218"/>
      <c r="I7" s="218"/>
      <c r="J7" s="21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7"/>
      <c r="B8" s="16" t="s">
        <v>20</v>
      </c>
      <c r="C8" s="10"/>
      <c r="D8" s="13">
        <f t="shared" si="1"/>
        <v>0</v>
      </c>
      <c r="F8" s="220" t="s">
        <v>21</v>
      </c>
      <c r="G8" s="221" t="s">
        <v>100</v>
      </c>
      <c r="H8" s="222"/>
      <c r="I8" s="222"/>
      <c r="J8" s="22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7"/>
      <c r="B9" s="16" t="s">
        <v>23</v>
      </c>
      <c r="C9" s="10">
        <v>10</v>
      </c>
      <c r="D9" s="13">
        <f t="shared" si="1"/>
        <v>7330</v>
      </c>
      <c r="F9" s="213"/>
      <c r="G9" s="224"/>
      <c r="H9" s="225"/>
      <c r="I9" s="225"/>
      <c r="J9" s="22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7"/>
      <c r="B10" t="s">
        <v>25</v>
      </c>
      <c r="C10" s="10"/>
      <c r="D10" s="13">
        <f t="shared" si="1"/>
        <v>0</v>
      </c>
      <c r="F10" s="212" t="s">
        <v>26</v>
      </c>
      <c r="G10" s="227" t="s">
        <v>101</v>
      </c>
      <c r="H10" s="228"/>
      <c r="I10" s="228"/>
      <c r="J10" s="229"/>
      <c r="K10" s="8"/>
      <c r="L10" s="6">
        <f>R36</f>
        <v>1032</v>
      </c>
      <c r="P10" s="4"/>
      <c r="Q10" s="4"/>
      <c r="R10" s="5"/>
    </row>
    <row r="11" spans="1:18" ht="15.75" x14ac:dyDescent="0.25">
      <c r="A11" s="147"/>
      <c r="B11" s="17" t="s">
        <v>28</v>
      </c>
      <c r="C11" s="10"/>
      <c r="D11" s="13">
        <f t="shared" si="1"/>
        <v>0</v>
      </c>
      <c r="F11" s="213"/>
      <c r="G11" s="224"/>
      <c r="H11" s="225"/>
      <c r="I11" s="225"/>
      <c r="J11" s="22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7"/>
      <c r="B12" s="17" t="s">
        <v>30</v>
      </c>
      <c r="C12" s="10">
        <v>1</v>
      </c>
      <c r="D12" s="48">
        <f t="shared" si="1"/>
        <v>992</v>
      </c>
      <c r="F12" s="230" t="s">
        <v>33</v>
      </c>
      <c r="G12" s="231"/>
      <c r="H12" s="231"/>
      <c r="I12" s="231"/>
      <c r="J12" s="23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7"/>
      <c r="B13" s="17" t="s">
        <v>32</v>
      </c>
      <c r="C13" s="10">
        <v>12</v>
      </c>
      <c r="D13" s="48">
        <f t="shared" si="1"/>
        <v>3684</v>
      </c>
      <c r="F13" s="233" t="s">
        <v>36</v>
      </c>
      <c r="G13" s="197"/>
      <c r="H13" s="188">
        <f>D29</f>
        <v>274505</v>
      </c>
      <c r="I13" s="189"/>
      <c r="J13" s="19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7"/>
      <c r="B14" s="14" t="s">
        <v>35</v>
      </c>
      <c r="C14" s="10">
        <v>16</v>
      </c>
      <c r="D14" s="31">
        <f t="shared" si="1"/>
        <v>176</v>
      </c>
      <c r="F14" s="191" t="s">
        <v>38</v>
      </c>
      <c r="G14" s="192"/>
      <c r="H14" s="193">
        <f>D54</f>
        <v>40630.5</v>
      </c>
      <c r="I14" s="194"/>
      <c r="J14" s="19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7"/>
      <c r="B15" s="14" t="s">
        <v>122</v>
      </c>
      <c r="C15" s="10"/>
      <c r="D15" s="31">
        <f t="shared" si="1"/>
        <v>0</v>
      </c>
      <c r="F15" s="196" t="s">
        <v>39</v>
      </c>
      <c r="G15" s="197"/>
      <c r="H15" s="198">
        <f>H13-H14</f>
        <v>233874.5</v>
      </c>
      <c r="I15" s="199"/>
      <c r="J15" s="200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7"/>
      <c r="B16" s="18" t="s">
        <v>111</v>
      </c>
      <c r="C16" s="10">
        <v>2</v>
      </c>
      <c r="D16" s="48">
        <f t="shared" si="1"/>
        <v>1300</v>
      </c>
      <c r="F16" s="67" t="s">
        <v>41</v>
      </c>
      <c r="G16" s="66" t="s">
        <v>42</v>
      </c>
      <c r="H16" s="158">
        <v>1944</v>
      </c>
      <c r="I16" s="158"/>
      <c r="J16" s="158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7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69"/>
      <c r="I17" s="169"/>
      <c r="J17" s="169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7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69"/>
      <c r="I18" s="169"/>
      <c r="J18" s="169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7"/>
      <c r="B19" s="87" t="s">
        <v>105</v>
      </c>
      <c r="C19" s="10"/>
      <c r="D19" s="48">
        <f t="shared" si="1"/>
        <v>0</v>
      </c>
      <c r="F19" s="56"/>
      <c r="G19" s="68" t="s">
        <v>49</v>
      </c>
      <c r="H19" s="252"/>
      <c r="I19" s="252"/>
      <c r="J19" s="252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7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69"/>
      <c r="I20" s="169"/>
      <c r="J20" s="169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7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71" t="s">
        <v>13</v>
      </c>
      <c r="I21" s="172"/>
      <c r="J21" s="173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7"/>
      <c r="B22" s="46" t="s">
        <v>103</v>
      </c>
      <c r="C22" s="10"/>
      <c r="D22" s="48">
        <f t="shared" si="1"/>
        <v>0</v>
      </c>
      <c r="F22" s="72"/>
      <c r="G22" s="73"/>
      <c r="H22" s="174"/>
      <c r="I22" s="174"/>
      <c r="J22" s="174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7"/>
      <c r="B23" s="14" t="s">
        <v>121</v>
      </c>
      <c r="C23" s="10"/>
      <c r="D23" s="48">
        <f t="shared" si="1"/>
        <v>0</v>
      </c>
      <c r="F23" s="25"/>
      <c r="G23" s="37"/>
      <c r="H23" s="175"/>
      <c r="I23" s="144"/>
      <c r="J23" s="144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7"/>
      <c r="B24" s="14" t="s">
        <v>128</v>
      </c>
      <c r="C24" s="10"/>
      <c r="D24" s="48">
        <f t="shared" si="1"/>
        <v>0</v>
      </c>
      <c r="F24" s="38"/>
      <c r="G24" s="37"/>
      <c r="H24" s="175"/>
      <c r="I24" s="144"/>
      <c r="J24" s="144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7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76" t="s">
        <v>13</v>
      </c>
      <c r="I25" s="177"/>
      <c r="J25" s="178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7"/>
      <c r="B26" s="14" t="s">
        <v>129</v>
      </c>
      <c r="C26" s="10"/>
      <c r="D26" s="48">
        <f t="shared" si="1"/>
        <v>0</v>
      </c>
      <c r="F26" s="64"/>
      <c r="G26" s="10"/>
      <c r="H26" s="179"/>
      <c r="I26" s="180"/>
      <c r="J26" s="181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7"/>
      <c r="B27" s="14" t="s">
        <v>130</v>
      </c>
      <c r="C27" s="10"/>
      <c r="D27" s="44">
        <f t="shared" si="1"/>
        <v>0</v>
      </c>
      <c r="F27" s="14"/>
      <c r="G27" s="14"/>
      <c r="H27" s="182"/>
      <c r="I27" s="183"/>
      <c r="J27" s="184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8"/>
      <c r="B28" s="46" t="s">
        <v>92</v>
      </c>
      <c r="C28" s="10"/>
      <c r="D28" s="48">
        <f t="shared" si="1"/>
        <v>0</v>
      </c>
      <c r="F28" s="91"/>
      <c r="G28" s="61"/>
      <c r="H28" s="185"/>
      <c r="I28" s="186"/>
      <c r="J28" s="187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9" t="s">
        <v>36</v>
      </c>
      <c r="B29" s="160"/>
      <c r="C29" s="161"/>
      <c r="D29" s="165">
        <f>SUM(D6:D28)</f>
        <v>274505</v>
      </c>
      <c r="F29" s="105" t="s">
        <v>54</v>
      </c>
      <c r="G29" s="167"/>
      <c r="H29" s="127">
        <f>H15-H16-H17-H18-H19-H20-H22-H23-H24+H26+H27</f>
        <v>231930.5</v>
      </c>
      <c r="I29" s="128"/>
      <c r="J29" s="129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08"/>
      <c r="G30" s="168"/>
      <c r="H30" s="130"/>
      <c r="I30" s="131"/>
      <c r="J30" s="132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2" t="s">
        <v>57</v>
      </c>
      <c r="B32" s="153"/>
      <c r="C32" s="153"/>
      <c r="D32" s="154"/>
      <c r="F32" s="155" t="s">
        <v>58</v>
      </c>
      <c r="G32" s="156"/>
      <c r="H32" s="156"/>
      <c r="I32" s="156"/>
      <c r="J32" s="157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2" t="s">
        <v>62</v>
      </c>
      <c r="H33" s="155" t="s">
        <v>13</v>
      </c>
      <c r="I33" s="156"/>
      <c r="J33" s="157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6" t="s">
        <v>64</v>
      </c>
      <c r="B34" s="26" t="s">
        <v>65</v>
      </c>
      <c r="C34" s="51"/>
      <c r="D34" s="30">
        <f>C34*120</f>
        <v>0</v>
      </c>
      <c r="F34" s="12">
        <v>1000</v>
      </c>
      <c r="G34" s="74">
        <v>220</v>
      </c>
      <c r="H34" s="149">
        <f>F34*G34</f>
        <v>220000</v>
      </c>
      <c r="I34" s="150"/>
      <c r="J34" s="151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7"/>
      <c r="B35" s="27" t="s">
        <v>67</v>
      </c>
      <c r="C35" s="52"/>
      <c r="D35" s="30">
        <f>C35*84</f>
        <v>0</v>
      </c>
      <c r="F35" s="58">
        <v>500</v>
      </c>
      <c r="G35" s="41">
        <v>2</v>
      </c>
      <c r="H35" s="149">
        <f t="shared" ref="H35:H39" si="2">F35*G35</f>
        <v>1000</v>
      </c>
      <c r="I35" s="150"/>
      <c r="J35" s="15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8"/>
      <c r="B36" s="26" t="s">
        <v>69</v>
      </c>
      <c r="C36" s="10">
        <v>2</v>
      </c>
      <c r="D36" s="12">
        <f>C36*1.5</f>
        <v>3</v>
      </c>
      <c r="F36" s="12">
        <v>200</v>
      </c>
      <c r="G36" s="37"/>
      <c r="H36" s="149">
        <f>F36*G36</f>
        <v>0</v>
      </c>
      <c r="I36" s="150"/>
      <c r="J36" s="151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6" t="s">
        <v>71</v>
      </c>
      <c r="B37" s="28" t="s">
        <v>65</v>
      </c>
      <c r="C37" s="53">
        <v>358</v>
      </c>
      <c r="D37" s="12">
        <f>C37*111</f>
        <v>39738</v>
      </c>
      <c r="F37" s="12">
        <v>100</v>
      </c>
      <c r="G37" s="39">
        <v>100</v>
      </c>
      <c r="H37" s="149">
        <f t="shared" si="2"/>
        <v>10000</v>
      </c>
      <c r="I37" s="150"/>
      <c r="J37" s="151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7"/>
      <c r="B38" s="29" t="s">
        <v>67</v>
      </c>
      <c r="C38" s="54">
        <v>2</v>
      </c>
      <c r="D38" s="12">
        <f>C38*84</f>
        <v>168</v>
      </c>
      <c r="F38" s="30">
        <v>50</v>
      </c>
      <c r="G38" s="39">
        <v>7</v>
      </c>
      <c r="H38" s="149">
        <f t="shared" si="2"/>
        <v>350</v>
      </c>
      <c r="I38" s="150"/>
      <c r="J38" s="151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8"/>
      <c r="B39" s="29" t="s">
        <v>69</v>
      </c>
      <c r="C39" s="52">
        <v>8</v>
      </c>
      <c r="D39" s="31">
        <f>C39*4.5</f>
        <v>36</v>
      </c>
      <c r="F39" s="12">
        <v>20</v>
      </c>
      <c r="G39" s="37"/>
      <c r="H39" s="149">
        <f t="shared" si="2"/>
        <v>0</v>
      </c>
      <c r="I39" s="150"/>
      <c r="J39" s="15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6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49"/>
      <c r="I40" s="150"/>
      <c r="J40" s="151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7"/>
      <c r="B41" s="27" t="s">
        <v>67</v>
      </c>
      <c r="C41" s="10"/>
      <c r="D41" s="12">
        <f>C41*84</f>
        <v>0</v>
      </c>
      <c r="F41" s="12">
        <v>5</v>
      </c>
      <c r="G41" s="42"/>
      <c r="H41" s="149"/>
      <c r="I41" s="150"/>
      <c r="J41" s="151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8"/>
      <c r="B42" s="27" t="s">
        <v>69</v>
      </c>
      <c r="C42" s="11"/>
      <c r="D42" s="12">
        <f>C42*2.25</f>
        <v>0</v>
      </c>
      <c r="F42" s="39" t="s">
        <v>78</v>
      </c>
      <c r="G42" s="149">
        <v>310</v>
      </c>
      <c r="H42" s="150"/>
      <c r="I42" s="150"/>
      <c r="J42" s="151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19" t="s">
        <v>80</v>
      </c>
      <c r="C43" s="11"/>
      <c r="D43" s="12"/>
      <c r="F43" s="59" t="s">
        <v>81</v>
      </c>
      <c r="G43" s="88" t="s">
        <v>82</v>
      </c>
      <c r="H43" s="141" t="s">
        <v>13</v>
      </c>
      <c r="I43" s="142"/>
      <c r="J43" s="143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20"/>
      <c r="B44" s="27" t="s">
        <v>65</v>
      </c>
      <c r="C44" s="10"/>
      <c r="D44" s="12">
        <f>C44*120</f>
        <v>0</v>
      </c>
      <c r="F44" s="37"/>
      <c r="G44" s="62"/>
      <c r="H44" s="144"/>
      <c r="I44" s="144"/>
      <c r="J44" s="144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20"/>
      <c r="B45" s="27" t="s">
        <v>67</v>
      </c>
      <c r="C45" s="33">
        <v>1</v>
      </c>
      <c r="D45" s="12">
        <f>C45*84</f>
        <v>84</v>
      </c>
      <c r="F45" s="37"/>
      <c r="G45" s="62"/>
      <c r="H45" s="144"/>
      <c r="I45" s="144"/>
      <c r="J45" s="144"/>
      <c r="K45" s="21"/>
      <c r="P45" s="4"/>
      <c r="Q45" s="4"/>
      <c r="R45" s="5"/>
    </row>
    <row r="46" spans="1:18" ht="15.75" x14ac:dyDescent="0.25">
      <c r="A46" s="120"/>
      <c r="B46" s="49" t="s">
        <v>69</v>
      </c>
      <c r="C46" s="81">
        <v>15</v>
      </c>
      <c r="D46" s="12">
        <f>C46*1.5</f>
        <v>22.5</v>
      </c>
      <c r="F46" s="37"/>
      <c r="G46" s="89"/>
      <c r="H46" s="145"/>
      <c r="I46" s="145"/>
      <c r="J46" s="145"/>
      <c r="K46" s="21"/>
      <c r="P46" s="4"/>
      <c r="Q46" s="4"/>
      <c r="R46" s="5"/>
    </row>
    <row r="47" spans="1:18" ht="15.75" x14ac:dyDescent="0.25">
      <c r="A47" s="121"/>
      <c r="B47" s="27"/>
      <c r="C47" s="11"/>
      <c r="D47" s="12"/>
      <c r="F47" s="59"/>
      <c r="G47" s="59"/>
      <c r="H47" s="122"/>
      <c r="I47" s="123"/>
      <c r="J47" s="124"/>
      <c r="K47" s="21"/>
      <c r="P47" s="4"/>
      <c r="Q47" s="4"/>
      <c r="R47" s="5"/>
    </row>
    <row r="48" spans="1:18" ht="15" customHeight="1" x14ac:dyDescent="0.25">
      <c r="A48" s="119" t="s">
        <v>32</v>
      </c>
      <c r="B48" s="27" t="s">
        <v>65</v>
      </c>
      <c r="C48" s="10">
        <v>6</v>
      </c>
      <c r="D48" s="12">
        <f>C48*78</f>
        <v>468</v>
      </c>
      <c r="F48" s="59"/>
      <c r="G48" s="59"/>
      <c r="H48" s="122"/>
      <c r="I48" s="123"/>
      <c r="J48" s="124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20"/>
      <c r="B49" s="29" t="s">
        <v>67</v>
      </c>
      <c r="C49" s="33">
        <v>2</v>
      </c>
      <c r="D49" s="12">
        <f>C49*42</f>
        <v>84</v>
      </c>
      <c r="F49" s="125" t="s">
        <v>85</v>
      </c>
      <c r="G49" s="127">
        <f>H34+H35+H36+H37+H38+H39+H40+H41+G42+H44+H45+H46</f>
        <v>231660</v>
      </c>
      <c r="H49" s="128"/>
      <c r="I49" s="128"/>
      <c r="J49" s="129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0"/>
      <c r="B50" s="32" t="s">
        <v>69</v>
      </c>
      <c r="C50" s="11">
        <v>18</v>
      </c>
      <c r="D50" s="12">
        <f>C50*1.5</f>
        <v>27</v>
      </c>
      <c r="F50" s="126"/>
      <c r="G50" s="130"/>
      <c r="H50" s="131"/>
      <c r="I50" s="131"/>
      <c r="J50" s="132"/>
      <c r="O50" t="s">
        <v>114</v>
      </c>
      <c r="P50" s="4">
        <v>1204</v>
      </c>
      <c r="Q50" s="4"/>
      <c r="R50" s="5"/>
    </row>
    <row r="51" spans="1:18" ht="15" customHeight="1" x14ac:dyDescent="0.25">
      <c r="A51" s="120"/>
      <c r="B51" s="27"/>
      <c r="C51" s="10"/>
      <c r="D51" s="31"/>
      <c r="F51" s="133" t="s">
        <v>169</v>
      </c>
      <c r="G51" s="246">
        <f>G49-H29</f>
        <v>-270.5</v>
      </c>
      <c r="H51" s="247"/>
      <c r="I51" s="247"/>
      <c r="J51" s="248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20"/>
      <c r="B52" s="29"/>
      <c r="C52" s="33"/>
      <c r="D52" s="45"/>
      <c r="F52" s="134"/>
      <c r="G52" s="249"/>
      <c r="H52" s="250"/>
      <c r="I52" s="250"/>
      <c r="J52" s="251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1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05" t="s">
        <v>89</v>
      </c>
      <c r="B54" s="106"/>
      <c r="C54" s="107"/>
      <c r="D54" s="111">
        <f>SUM(D34:D53)</f>
        <v>40630.5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08"/>
      <c r="B55" s="109"/>
      <c r="C55" s="110"/>
      <c r="D55" s="11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119</v>
      </c>
      <c r="D57" s="34"/>
      <c r="F57" s="36"/>
      <c r="G57" s="50"/>
      <c r="H57" s="50"/>
      <c r="I57" s="50"/>
      <c r="J57" s="43"/>
    </row>
    <row r="58" spans="1:18" x14ac:dyDescent="0.25">
      <c r="A58" s="113" t="s">
        <v>90</v>
      </c>
      <c r="B58" s="114"/>
      <c r="C58" s="114"/>
      <c r="D58" s="115"/>
      <c r="F58" s="113" t="s">
        <v>91</v>
      </c>
      <c r="G58" s="114"/>
      <c r="H58" s="114"/>
      <c r="I58" s="114"/>
      <c r="J58" s="115"/>
    </row>
    <row r="59" spans="1:18" x14ac:dyDescent="0.25">
      <c r="A59" s="116"/>
      <c r="B59" s="117"/>
      <c r="C59" s="117"/>
      <c r="D59" s="118"/>
      <c r="F59" s="116"/>
      <c r="G59" s="117"/>
      <c r="H59" s="117"/>
      <c r="I59" s="117"/>
      <c r="J59" s="118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856F6A-0CF6-4172-83F9-07AD0F9C08D7}">
  <dimension ref="A1:R59"/>
  <sheetViews>
    <sheetView topLeftCell="A25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1" t="s">
        <v>1</v>
      </c>
      <c r="O1" s="201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2" t="s">
        <v>7</v>
      </c>
      <c r="B4" s="153"/>
      <c r="C4" s="153"/>
      <c r="D4" s="154"/>
      <c r="F4" s="202" t="s">
        <v>8</v>
      </c>
      <c r="G4" s="204">
        <v>3</v>
      </c>
      <c r="H4" s="206" t="s">
        <v>9</v>
      </c>
      <c r="I4" s="208">
        <v>46155</v>
      </c>
      <c r="J4" s="20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6" t="s">
        <v>7</v>
      </c>
      <c r="B5" s="15" t="s">
        <v>11</v>
      </c>
      <c r="C5" s="9" t="s">
        <v>12</v>
      </c>
      <c r="D5" s="25" t="s">
        <v>13</v>
      </c>
      <c r="F5" s="203"/>
      <c r="G5" s="205"/>
      <c r="H5" s="207"/>
      <c r="I5" s="210"/>
      <c r="J5" s="21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7"/>
      <c r="B6" s="16" t="s">
        <v>15</v>
      </c>
      <c r="C6" s="10"/>
      <c r="D6" s="13">
        <f t="shared" ref="D6:D28" si="1">C6*L6</f>
        <v>0</v>
      </c>
      <c r="F6" s="212" t="s">
        <v>16</v>
      </c>
      <c r="G6" s="214" t="s">
        <v>117</v>
      </c>
      <c r="H6" s="215"/>
      <c r="I6" s="215"/>
      <c r="J6" s="21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7"/>
      <c r="B7" s="16" t="s">
        <v>18</v>
      </c>
      <c r="C7" s="10"/>
      <c r="D7" s="13">
        <f t="shared" si="1"/>
        <v>0</v>
      </c>
      <c r="F7" s="213"/>
      <c r="G7" s="217"/>
      <c r="H7" s="218"/>
      <c r="I7" s="218"/>
      <c r="J7" s="21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7"/>
      <c r="B8" s="16" t="s">
        <v>20</v>
      </c>
      <c r="C8" s="10"/>
      <c r="D8" s="13">
        <f t="shared" si="1"/>
        <v>0</v>
      </c>
      <c r="F8" s="220" t="s">
        <v>21</v>
      </c>
      <c r="G8" s="221" t="s">
        <v>110</v>
      </c>
      <c r="H8" s="222"/>
      <c r="I8" s="222"/>
      <c r="J8" s="22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7"/>
      <c r="B9" s="16" t="s">
        <v>23</v>
      </c>
      <c r="C9" s="10"/>
      <c r="D9" s="13">
        <f t="shared" si="1"/>
        <v>0</v>
      </c>
      <c r="F9" s="213"/>
      <c r="G9" s="224"/>
      <c r="H9" s="225"/>
      <c r="I9" s="225"/>
      <c r="J9" s="22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7"/>
      <c r="B10" t="s">
        <v>25</v>
      </c>
      <c r="C10" s="10"/>
      <c r="D10" s="13">
        <f t="shared" si="1"/>
        <v>0</v>
      </c>
      <c r="F10" s="212" t="s">
        <v>26</v>
      </c>
      <c r="G10" s="227" t="s">
        <v>124</v>
      </c>
      <c r="H10" s="228"/>
      <c r="I10" s="228"/>
      <c r="J10" s="229"/>
      <c r="K10" s="8"/>
      <c r="L10" s="6">
        <f>R36</f>
        <v>1032</v>
      </c>
      <c r="P10" s="4"/>
      <c r="Q10" s="4"/>
      <c r="R10" s="5"/>
    </row>
    <row r="11" spans="1:18" ht="15.75" x14ac:dyDescent="0.25">
      <c r="A11" s="147"/>
      <c r="B11" s="17" t="s">
        <v>28</v>
      </c>
      <c r="C11" s="10"/>
      <c r="D11" s="13">
        <f t="shared" si="1"/>
        <v>0</v>
      </c>
      <c r="F11" s="213"/>
      <c r="G11" s="224"/>
      <c r="H11" s="225"/>
      <c r="I11" s="225"/>
      <c r="J11" s="22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7"/>
      <c r="B12" s="17" t="s">
        <v>30</v>
      </c>
      <c r="C12" s="10"/>
      <c r="D12" s="48">
        <f t="shared" si="1"/>
        <v>0</v>
      </c>
      <c r="F12" s="230" t="s">
        <v>33</v>
      </c>
      <c r="G12" s="231"/>
      <c r="H12" s="231"/>
      <c r="I12" s="231"/>
      <c r="J12" s="23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7"/>
      <c r="B13" s="17" t="s">
        <v>32</v>
      </c>
      <c r="C13" s="10"/>
      <c r="D13" s="48">
        <f t="shared" si="1"/>
        <v>0</v>
      </c>
      <c r="F13" s="233" t="s">
        <v>36</v>
      </c>
      <c r="G13" s="197"/>
      <c r="H13" s="188">
        <f>D29</f>
        <v>0</v>
      </c>
      <c r="I13" s="189"/>
      <c r="J13" s="19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7"/>
      <c r="B14" s="14" t="s">
        <v>35</v>
      </c>
      <c r="C14" s="10"/>
      <c r="D14" s="31">
        <f t="shared" si="1"/>
        <v>0</v>
      </c>
      <c r="F14" s="191" t="s">
        <v>38</v>
      </c>
      <c r="G14" s="192"/>
      <c r="H14" s="193">
        <f>D54</f>
        <v>0</v>
      </c>
      <c r="I14" s="194"/>
      <c r="J14" s="19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7"/>
      <c r="B15" s="14" t="s">
        <v>122</v>
      </c>
      <c r="C15" s="10"/>
      <c r="D15" s="31">
        <f t="shared" si="1"/>
        <v>0</v>
      </c>
      <c r="F15" s="196" t="s">
        <v>39</v>
      </c>
      <c r="G15" s="197"/>
      <c r="H15" s="198">
        <f>H13-H14</f>
        <v>0</v>
      </c>
      <c r="I15" s="199"/>
      <c r="J15" s="200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7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58"/>
      <c r="I16" s="158"/>
      <c r="J16" s="158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7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69"/>
      <c r="I17" s="169"/>
      <c r="J17" s="169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7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69"/>
      <c r="I18" s="169"/>
      <c r="J18" s="169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7"/>
      <c r="B19" s="87" t="s">
        <v>105</v>
      </c>
      <c r="C19" s="10"/>
      <c r="D19" s="48">
        <f t="shared" si="1"/>
        <v>0</v>
      </c>
      <c r="F19" s="56"/>
      <c r="G19" s="68" t="s">
        <v>49</v>
      </c>
      <c r="H19" s="253"/>
      <c r="I19" s="253"/>
      <c r="J19" s="253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7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58"/>
      <c r="I20" s="158"/>
      <c r="J20" s="158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7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71" t="s">
        <v>13</v>
      </c>
      <c r="I21" s="172"/>
      <c r="J21" s="173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7"/>
      <c r="B22" s="46" t="s">
        <v>103</v>
      </c>
      <c r="C22" s="10"/>
      <c r="D22" s="48">
        <f t="shared" si="1"/>
        <v>0</v>
      </c>
      <c r="F22" s="77"/>
      <c r="G22" s="73"/>
      <c r="H22" s="174"/>
      <c r="I22" s="174"/>
      <c r="J22" s="174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7"/>
      <c r="B23" s="14" t="s">
        <v>121</v>
      </c>
      <c r="C23" s="10"/>
      <c r="D23" s="48">
        <f t="shared" si="1"/>
        <v>0</v>
      </c>
      <c r="F23" s="78"/>
      <c r="G23" s="79"/>
      <c r="H23" s="175"/>
      <c r="I23" s="144"/>
      <c r="J23" s="144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7"/>
      <c r="B24" s="14" t="s">
        <v>128</v>
      </c>
      <c r="C24" s="10"/>
      <c r="D24" s="48">
        <f t="shared" si="1"/>
        <v>0</v>
      </c>
      <c r="F24" s="38"/>
      <c r="G24" s="37"/>
      <c r="H24" s="175"/>
      <c r="I24" s="144"/>
      <c r="J24" s="144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7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76" t="s">
        <v>13</v>
      </c>
      <c r="I25" s="177"/>
      <c r="J25" s="178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7"/>
      <c r="B26" s="14" t="s">
        <v>129</v>
      </c>
      <c r="C26" s="10"/>
      <c r="D26" s="48">
        <f t="shared" si="1"/>
        <v>0</v>
      </c>
      <c r="F26" s="64"/>
      <c r="G26" s="59"/>
      <c r="H26" s="179"/>
      <c r="I26" s="180"/>
      <c r="J26" s="181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7"/>
      <c r="B27" s="14" t="s">
        <v>130</v>
      </c>
      <c r="C27" s="10"/>
      <c r="D27" s="44">
        <f t="shared" si="1"/>
        <v>0</v>
      </c>
      <c r="F27" s="25"/>
      <c r="G27" s="80"/>
      <c r="H27" s="182"/>
      <c r="I27" s="183"/>
      <c r="J27" s="184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8"/>
      <c r="B28" s="46" t="s">
        <v>92</v>
      </c>
      <c r="C28" s="10"/>
      <c r="D28" s="48">
        <f t="shared" si="1"/>
        <v>0</v>
      </c>
      <c r="F28" s="91"/>
      <c r="G28" s="61"/>
      <c r="H28" s="185"/>
      <c r="I28" s="186"/>
      <c r="J28" s="187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9" t="s">
        <v>36</v>
      </c>
      <c r="B29" s="160"/>
      <c r="C29" s="161"/>
      <c r="D29" s="165">
        <f>SUM(D6:D28)</f>
        <v>0</v>
      </c>
      <c r="F29" s="105" t="s">
        <v>54</v>
      </c>
      <c r="G29" s="167"/>
      <c r="H29" s="127">
        <f>H15-H16-H17-H18-H19-H20-H22-H23-H24+H26+H27</f>
        <v>0</v>
      </c>
      <c r="I29" s="128"/>
      <c r="J29" s="129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08"/>
      <c r="G30" s="168"/>
      <c r="H30" s="130"/>
      <c r="I30" s="131"/>
      <c r="J30" s="132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2" t="s">
        <v>57</v>
      </c>
      <c r="B32" s="153"/>
      <c r="C32" s="153"/>
      <c r="D32" s="154"/>
      <c r="F32" s="155" t="s">
        <v>58</v>
      </c>
      <c r="G32" s="156"/>
      <c r="H32" s="156"/>
      <c r="I32" s="156"/>
      <c r="J32" s="157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2" t="s">
        <v>62</v>
      </c>
      <c r="H33" s="155" t="s">
        <v>13</v>
      </c>
      <c r="I33" s="156"/>
      <c r="J33" s="157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6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149">
        <f>F34*G34</f>
        <v>0</v>
      </c>
      <c r="I34" s="150"/>
      <c r="J34" s="151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7"/>
      <c r="B35" s="27" t="s">
        <v>67</v>
      </c>
      <c r="C35" s="52"/>
      <c r="D35" s="30">
        <f>C35*84</f>
        <v>0</v>
      </c>
      <c r="F35" s="58">
        <v>500</v>
      </c>
      <c r="G35" s="41"/>
      <c r="H35" s="149">
        <f>F35*G35</f>
        <v>0</v>
      </c>
      <c r="I35" s="150"/>
      <c r="J35" s="15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8"/>
      <c r="B36" s="26" t="s">
        <v>69</v>
      </c>
      <c r="C36" s="10"/>
      <c r="D36" s="12">
        <f>C36*1.5</f>
        <v>0</v>
      </c>
      <c r="F36" s="12">
        <v>200</v>
      </c>
      <c r="G36" s="37"/>
      <c r="H36" s="149">
        <f t="shared" ref="H36:H39" si="2">F36*G36</f>
        <v>0</v>
      </c>
      <c r="I36" s="150"/>
      <c r="J36" s="151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6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49">
        <f t="shared" si="2"/>
        <v>0</v>
      </c>
      <c r="I37" s="150"/>
      <c r="J37" s="151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7"/>
      <c r="B38" s="29" t="s">
        <v>67</v>
      </c>
      <c r="C38" s="54"/>
      <c r="D38" s="12">
        <f>C38*84</f>
        <v>0</v>
      </c>
      <c r="F38" s="30">
        <v>50</v>
      </c>
      <c r="G38" s="39"/>
      <c r="H38" s="149">
        <f t="shared" si="2"/>
        <v>0</v>
      </c>
      <c r="I38" s="150"/>
      <c r="J38" s="151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8"/>
      <c r="B39" s="29" t="s">
        <v>69</v>
      </c>
      <c r="C39" s="52"/>
      <c r="D39" s="31">
        <f>C39*4.5</f>
        <v>0</v>
      </c>
      <c r="F39" s="12">
        <v>20</v>
      </c>
      <c r="G39" s="37"/>
      <c r="H39" s="149">
        <f t="shared" si="2"/>
        <v>0</v>
      </c>
      <c r="I39" s="150"/>
      <c r="J39" s="15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6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49"/>
      <c r="I40" s="150"/>
      <c r="J40" s="151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7"/>
      <c r="B41" s="27" t="s">
        <v>67</v>
      </c>
      <c r="C41" s="10"/>
      <c r="D41" s="12">
        <f>C41*84</f>
        <v>0</v>
      </c>
      <c r="F41" s="12">
        <v>5</v>
      </c>
      <c r="G41" s="42"/>
      <c r="H41" s="149"/>
      <c r="I41" s="150"/>
      <c r="J41" s="151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8"/>
      <c r="B42" s="27" t="s">
        <v>69</v>
      </c>
      <c r="C42" s="11"/>
      <c r="D42" s="12">
        <f>C42*2.25</f>
        <v>0</v>
      </c>
      <c r="F42" s="39" t="s">
        <v>78</v>
      </c>
      <c r="G42" s="149"/>
      <c r="H42" s="150"/>
      <c r="I42" s="150"/>
      <c r="J42" s="151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19" t="s">
        <v>80</v>
      </c>
      <c r="C43" s="11"/>
      <c r="D43" s="12"/>
      <c r="F43" s="59" t="s">
        <v>81</v>
      </c>
      <c r="G43" s="88" t="s">
        <v>82</v>
      </c>
      <c r="H43" s="141" t="s">
        <v>13</v>
      </c>
      <c r="I43" s="142"/>
      <c r="J43" s="143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20"/>
      <c r="B44" s="27" t="s">
        <v>65</v>
      </c>
      <c r="C44" s="10"/>
      <c r="D44" s="12">
        <f>C44*120</f>
        <v>0</v>
      </c>
      <c r="F44" s="37"/>
      <c r="G44" s="76"/>
      <c r="H44" s="144"/>
      <c r="I44" s="144"/>
      <c r="J44" s="144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20"/>
      <c r="B45" s="27" t="s">
        <v>67</v>
      </c>
      <c r="C45" s="33"/>
      <c r="D45" s="12">
        <f>C45*84</f>
        <v>0</v>
      </c>
      <c r="F45" s="37"/>
      <c r="G45" s="76"/>
      <c r="H45" s="144"/>
      <c r="I45" s="144"/>
      <c r="J45" s="144"/>
      <c r="K45" s="21"/>
      <c r="P45" s="4"/>
      <c r="Q45" s="4"/>
      <c r="R45" s="5"/>
    </row>
    <row r="46" spans="1:18" ht="15.75" x14ac:dyDescent="0.25">
      <c r="A46" s="120"/>
      <c r="B46" s="49" t="s">
        <v>69</v>
      </c>
      <c r="C46" s="81"/>
      <c r="D46" s="12">
        <f>C46*1.5</f>
        <v>0</v>
      </c>
      <c r="F46" s="37"/>
      <c r="G46" s="62"/>
      <c r="H46" s="145"/>
      <c r="I46" s="145"/>
      <c r="J46" s="145"/>
      <c r="K46" s="21"/>
      <c r="P46" s="4"/>
      <c r="Q46" s="4"/>
      <c r="R46" s="5"/>
    </row>
    <row r="47" spans="1:18" ht="15.75" x14ac:dyDescent="0.25">
      <c r="A47" s="121"/>
      <c r="B47" s="27"/>
      <c r="C47" s="11"/>
      <c r="D47" s="12"/>
      <c r="F47" s="59"/>
      <c r="G47" s="59"/>
      <c r="H47" s="122"/>
      <c r="I47" s="123"/>
      <c r="J47" s="124"/>
      <c r="K47" s="21"/>
      <c r="P47" s="4"/>
      <c r="Q47" s="4"/>
      <c r="R47" s="5"/>
    </row>
    <row r="48" spans="1:18" ht="15" customHeight="1" x14ac:dyDescent="0.25">
      <c r="A48" s="119" t="s">
        <v>32</v>
      </c>
      <c r="B48" s="27" t="s">
        <v>65</v>
      </c>
      <c r="C48" s="10"/>
      <c r="D48" s="12">
        <f>C48*78</f>
        <v>0</v>
      </c>
      <c r="F48" s="59"/>
      <c r="G48" s="59"/>
      <c r="H48" s="122"/>
      <c r="I48" s="123"/>
      <c r="J48" s="124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20"/>
      <c r="B49" s="29" t="s">
        <v>67</v>
      </c>
      <c r="C49" s="33"/>
      <c r="D49" s="12">
        <f>C49*42</f>
        <v>0</v>
      </c>
      <c r="F49" s="125" t="s">
        <v>85</v>
      </c>
      <c r="G49" s="127">
        <f>H34+H35+H36+H37+H38+H39+H40+H41+G42+H44+H45+H46</f>
        <v>0</v>
      </c>
      <c r="H49" s="128"/>
      <c r="I49" s="128"/>
      <c r="J49" s="129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0"/>
      <c r="B50" s="32" t="s">
        <v>69</v>
      </c>
      <c r="C50" s="11"/>
      <c r="D50" s="12">
        <f>C50*1.5</f>
        <v>0</v>
      </c>
      <c r="F50" s="126"/>
      <c r="G50" s="130"/>
      <c r="H50" s="131"/>
      <c r="I50" s="131"/>
      <c r="J50" s="132"/>
      <c r="O50" t="s">
        <v>114</v>
      </c>
      <c r="P50" s="4">
        <v>1204</v>
      </c>
      <c r="Q50" s="4"/>
      <c r="R50" s="5"/>
    </row>
    <row r="51" spans="1:18" ht="15" customHeight="1" x14ac:dyDescent="0.25">
      <c r="A51" s="120"/>
      <c r="B51" s="27"/>
      <c r="C51" s="10"/>
      <c r="D51" s="31"/>
      <c r="F51" s="133" t="s">
        <v>115</v>
      </c>
      <c r="G51" s="135">
        <f>G49-H29</f>
        <v>0</v>
      </c>
      <c r="H51" s="136"/>
      <c r="I51" s="136"/>
      <c r="J51" s="137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20"/>
      <c r="B52" s="29"/>
      <c r="C52" s="33"/>
      <c r="D52" s="45"/>
      <c r="F52" s="134"/>
      <c r="G52" s="138"/>
      <c r="H52" s="139"/>
      <c r="I52" s="139"/>
      <c r="J52" s="140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1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05" t="s">
        <v>89</v>
      </c>
      <c r="B54" s="106"/>
      <c r="C54" s="107"/>
      <c r="D54" s="111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08"/>
      <c r="B55" s="109"/>
      <c r="C55" s="110"/>
      <c r="D55" s="11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13" t="s">
        <v>90</v>
      </c>
      <c r="B58" s="114"/>
      <c r="C58" s="114"/>
      <c r="D58" s="115"/>
      <c r="F58" s="113" t="s">
        <v>91</v>
      </c>
      <c r="G58" s="114"/>
      <c r="H58" s="114"/>
      <c r="I58" s="114"/>
      <c r="J58" s="115"/>
    </row>
    <row r="59" spans="1:18" x14ac:dyDescent="0.25">
      <c r="A59" s="116"/>
      <c r="B59" s="117"/>
      <c r="C59" s="117"/>
      <c r="D59" s="118"/>
      <c r="F59" s="116"/>
      <c r="G59" s="117"/>
      <c r="H59" s="117"/>
      <c r="I59" s="117"/>
      <c r="J59" s="118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BDC929-679D-4984-9828-75E8A904ADCB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01" t="s">
        <v>1</v>
      </c>
      <c r="O1" s="201"/>
      <c r="P1" s="90" t="s">
        <v>2</v>
      </c>
      <c r="Q1" s="90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52" t="s">
        <v>7</v>
      </c>
      <c r="B4" s="153"/>
      <c r="C4" s="153"/>
      <c r="D4" s="154"/>
      <c r="F4" s="202" t="s">
        <v>8</v>
      </c>
      <c r="G4" s="204"/>
      <c r="H4" s="206" t="s">
        <v>9</v>
      </c>
      <c r="I4" s="208"/>
      <c r="J4" s="20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46" t="s">
        <v>7</v>
      </c>
      <c r="B5" s="15" t="s">
        <v>11</v>
      </c>
      <c r="C5" s="9" t="s">
        <v>12</v>
      </c>
      <c r="D5" s="25" t="s">
        <v>13</v>
      </c>
      <c r="F5" s="203"/>
      <c r="G5" s="205"/>
      <c r="H5" s="207"/>
      <c r="I5" s="210"/>
      <c r="J5" s="21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47"/>
      <c r="B6" s="16"/>
      <c r="C6" s="10"/>
      <c r="D6" s="13">
        <f t="shared" ref="D6:D28" si="1">C6*L6</f>
        <v>0</v>
      </c>
      <c r="F6" s="212" t="s">
        <v>16</v>
      </c>
      <c r="G6" s="214"/>
      <c r="H6" s="215"/>
      <c r="I6" s="215"/>
      <c r="J6" s="216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47"/>
      <c r="B7" s="16"/>
      <c r="C7" s="10"/>
      <c r="D7" s="13">
        <f t="shared" si="1"/>
        <v>0</v>
      </c>
      <c r="F7" s="213"/>
      <c r="G7" s="217"/>
      <c r="H7" s="218"/>
      <c r="I7" s="218"/>
      <c r="J7" s="219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47"/>
      <c r="B8" s="16"/>
      <c r="C8" s="10"/>
      <c r="D8" s="13">
        <f t="shared" si="1"/>
        <v>0</v>
      </c>
      <c r="F8" s="220" t="s">
        <v>21</v>
      </c>
      <c r="G8" s="221"/>
      <c r="H8" s="222"/>
      <c r="I8" s="222"/>
      <c r="J8" s="223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47"/>
      <c r="B9" s="16"/>
      <c r="C9" s="10"/>
      <c r="D9" s="13">
        <f t="shared" si="1"/>
        <v>0</v>
      </c>
      <c r="F9" s="213"/>
      <c r="G9" s="224"/>
      <c r="H9" s="225"/>
      <c r="I9" s="225"/>
      <c r="J9" s="226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47"/>
      <c r="C10" s="10"/>
      <c r="D10" s="13">
        <f t="shared" si="1"/>
        <v>0</v>
      </c>
      <c r="F10" s="212" t="s">
        <v>26</v>
      </c>
      <c r="G10" s="227"/>
      <c r="H10" s="228"/>
      <c r="I10" s="228"/>
      <c r="J10" s="229"/>
      <c r="K10" s="8"/>
      <c r="L10" s="6">
        <f>R36</f>
        <v>972</v>
      </c>
      <c r="P10" s="4"/>
      <c r="Q10" s="4"/>
      <c r="R10" s="5"/>
    </row>
    <row r="11" spans="1:19" ht="15.75" x14ac:dyDescent="0.25">
      <c r="A11" s="147"/>
      <c r="B11" s="17"/>
      <c r="C11" s="10"/>
      <c r="D11" s="13">
        <f t="shared" si="1"/>
        <v>0</v>
      </c>
      <c r="F11" s="213"/>
      <c r="G11" s="224"/>
      <c r="H11" s="225"/>
      <c r="I11" s="225"/>
      <c r="J11" s="226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47"/>
      <c r="B12" s="17"/>
      <c r="C12" s="10"/>
      <c r="D12" s="48">
        <f t="shared" si="1"/>
        <v>0</v>
      </c>
      <c r="F12" s="230" t="s">
        <v>33</v>
      </c>
      <c r="G12" s="231"/>
      <c r="H12" s="231"/>
      <c r="I12" s="231"/>
      <c r="J12" s="232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47"/>
      <c r="B13" s="17"/>
      <c r="C13" s="10"/>
      <c r="D13" s="48">
        <f t="shared" si="1"/>
        <v>0</v>
      </c>
      <c r="F13" s="233" t="s">
        <v>36</v>
      </c>
      <c r="G13" s="197"/>
      <c r="H13" s="188">
        <f>D29</f>
        <v>0</v>
      </c>
      <c r="I13" s="189"/>
      <c r="J13" s="19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47"/>
      <c r="B14" s="14"/>
      <c r="C14" s="10"/>
      <c r="D14" s="31">
        <f t="shared" si="1"/>
        <v>0</v>
      </c>
      <c r="F14" s="191" t="s">
        <v>38</v>
      </c>
      <c r="G14" s="192"/>
      <c r="H14" s="193">
        <f>D54</f>
        <v>0</v>
      </c>
      <c r="I14" s="194"/>
      <c r="J14" s="19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47"/>
      <c r="B15" s="14"/>
      <c r="C15" s="10"/>
      <c r="D15" s="31">
        <f t="shared" si="1"/>
        <v>0</v>
      </c>
      <c r="F15" s="196" t="s">
        <v>39</v>
      </c>
      <c r="G15" s="197"/>
      <c r="H15" s="198">
        <f>H13-H14</f>
        <v>0</v>
      </c>
      <c r="I15" s="199"/>
      <c r="J15" s="200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47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58"/>
      <c r="I16" s="158"/>
      <c r="J16" s="158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7"/>
      <c r="C17" s="10"/>
      <c r="D17" s="48">
        <f t="shared" si="1"/>
        <v>0</v>
      </c>
      <c r="F17" s="56"/>
      <c r="G17" s="66" t="s">
        <v>44</v>
      </c>
      <c r="H17" s="169"/>
      <c r="I17" s="169"/>
      <c r="J17" s="169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7"/>
      <c r="B18" s="19"/>
      <c r="C18" s="10"/>
      <c r="D18" s="48">
        <f t="shared" si="1"/>
        <v>0</v>
      </c>
      <c r="F18" s="56"/>
      <c r="G18" s="66" t="s">
        <v>46</v>
      </c>
      <c r="H18" s="169"/>
      <c r="I18" s="169"/>
      <c r="J18" s="16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7"/>
      <c r="B19" s="14"/>
      <c r="C19" s="10"/>
      <c r="D19" s="48">
        <f t="shared" si="1"/>
        <v>0</v>
      </c>
      <c r="F19" s="56"/>
      <c r="G19" s="68" t="s">
        <v>49</v>
      </c>
      <c r="H19" s="170"/>
      <c r="I19" s="170"/>
      <c r="J19" s="170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7"/>
      <c r="B20" s="46"/>
      <c r="C20" s="10"/>
      <c r="D20" s="13">
        <f t="shared" si="1"/>
        <v>0</v>
      </c>
      <c r="F20" s="57"/>
      <c r="G20" s="70" t="s">
        <v>102</v>
      </c>
      <c r="H20" s="158"/>
      <c r="I20" s="158"/>
      <c r="J20" s="158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7"/>
      <c r="B21" s="14"/>
      <c r="C21" s="10"/>
      <c r="D21" s="48">
        <f t="shared" si="1"/>
        <v>0</v>
      </c>
      <c r="F21" s="69" t="s">
        <v>94</v>
      </c>
      <c r="G21" s="82" t="s">
        <v>93</v>
      </c>
      <c r="H21" s="171" t="s">
        <v>13</v>
      </c>
      <c r="I21" s="172"/>
      <c r="J21" s="173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7"/>
      <c r="B22" s="46"/>
      <c r="C22" s="10"/>
      <c r="D22" s="48">
        <f t="shared" si="1"/>
        <v>0</v>
      </c>
      <c r="F22" s="77"/>
      <c r="G22" s="73"/>
      <c r="H22" s="174"/>
      <c r="I22" s="174"/>
      <c r="J22" s="174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7"/>
      <c r="B23" s="14"/>
      <c r="C23" s="10"/>
      <c r="D23" s="48">
        <f t="shared" si="1"/>
        <v>0</v>
      </c>
      <c r="F23" s="78"/>
      <c r="G23" s="79"/>
      <c r="H23" s="175"/>
      <c r="I23" s="144"/>
      <c r="J23" s="144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7"/>
      <c r="B24" s="14"/>
      <c r="C24" s="10"/>
      <c r="D24" s="48">
        <f t="shared" si="1"/>
        <v>0</v>
      </c>
      <c r="F24" s="38"/>
      <c r="G24" s="37"/>
      <c r="H24" s="175"/>
      <c r="I24" s="144"/>
      <c r="J24" s="144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7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176" t="s">
        <v>13</v>
      </c>
      <c r="I25" s="177"/>
      <c r="J25" s="178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7"/>
      <c r="B26" s="14"/>
      <c r="C26" s="10"/>
      <c r="D26" s="48">
        <f t="shared" si="1"/>
        <v>0</v>
      </c>
      <c r="F26" s="64"/>
      <c r="G26" s="59"/>
      <c r="H26" s="179"/>
      <c r="I26" s="180"/>
      <c r="J26" s="181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7"/>
      <c r="B27" s="14"/>
      <c r="C27" s="10"/>
      <c r="D27" s="44">
        <f t="shared" si="1"/>
        <v>0</v>
      </c>
      <c r="F27" s="25"/>
      <c r="G27" s="80"/>
      <c r="H27" s="182"/>
      <c r="I27" s="183"/>
      <c r="J27" s="184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8"/>
      <c r="B28" s="46"/>
      <c r="C28" s="10"/>
      <c r="D28" s="48">
        <f t="shared" si="1"/>
        <v>0</v>
      </c>
      <c r="F28" s="91"/>
      <c r="G28" s="61"/>
      <c r="H28" s="185"/>
      <c r="I28" s="186"/>
      <c r="J28" s="187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9" t="s">
        <v>36</v>
      </c>
      <c r="B29" s="160"/>
      <c r="C29" s="161"/>
      <c r="D29" s="165">
        <f>SUM(D6:D28)</f>
        <v>0</v>
      </c>
      <c r="F29" s="105" t="s">
        <v>54</v>
      </c>
      <c r="G29" s="167"/>
      <c r="H29" s="127">
        <f>H15-H16-H17-H18-H19-H20-H22-H23-H24+H26+H27</f>
        <v>0</v>
      </c>
      <c r="I29" s="128"/>
      <c r="J29" s="129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08"/>
      <c r="G30" s="168"/>
      <c r="H30" s="130"/>
      <c r="I30" s="131"/>
      <c r="J30" s="132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52" t="s">
        <v>57</v>
      </c>
      <c r="B32" s="153"/>
      <c r="C32" s="153"/>
      <c r="D32" s="154"/>
      <c r="F32" s="155" t="s">
        <v>58</v>
      </c>
      <c r="G32" s="156"/>
      <c r="H32" s="156"/>
      <c r="I32" s="156"/>
      <c r="J32" s="157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2" t="s">
        <v>62</v>
      </c>
      <c r="H33" s="155" t="s">
        <v>13</v>
      </c>
      <c r="I33" s="156"/>
      <c r="J33" s="157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6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149"/>
      <c r="I34" s="150"/>
      <c r="J34" s="151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7"/>
      <c r="B35" s="27" t="s">
        <v>67</v>
      </c>
      <c r="C35" s="52"/>
      <c r="D35" s="30">
        <f>C35*84</f>
        <v>0</v>
      </c>
      <c r="F35" s="58">
        <v>500</v>
      </c>
      <c r="G35" s="41"/>
      <c r="H35" s="149"/>
      <c r="I35" s="150"/>
      <c r="J35" s="15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8"/>
      <c r="B36" s="26" t="s">
        <v>69</v>
      </c>
      <c r="C36" s="10"/>
      <c r="D36" s="12">
        <f>C36*1.5</f>
        <v>0</v>
      </c>
      <c r="F36" s="12">
        <v>200</v>
      </c>
      <c r="G36" s="37"/>
      <c r="H36" s="149"/>
      <c r="I36" s="150"/>
      <c r="J36" s="151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6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49"/>
      <c r="I37" s="150"/>
      <c r="J37" s="151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7"/>
      <c r="B38" s="29" t="s">
        <v>67</v>
      </c>
      <c r="C38" s="54"/>
      <c r="D38" s="12">
        <f>C38*84</f>
        <v>0</v>
      </c>
      <c r="F38" s="30">
        <v>50</v>
      </c>
      <c r="G38" s="39"/>
      <c r="H38" s="149"/>
      <c r="I38" s="150"/>
      <c r="J38" s="151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8"/>
      <c r="B39" s="29" t="s">
        <v>69</v>
      </c>
      <c r="C39" s="52"/>
      <c r="D39" s="31">
        <f>C39*4.5</f>
        <v>0</v>
      </c>
      <c r="F39" s="12">
        <v>20</v>
      </c>
      <c r="G39" s="37"/>
      <c r="H39" s="149"/>
      <c r="I39" s="150"/>
      <c r="J39" s="15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6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49"/>
      <c r="I40" s="150"/>
      <c r="J40" s="151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7"/>
      <c r="B41" s="27" t="s">
        <v>67</v>
      </c>
      <c r="C41" s="10"/>
      <c r="D41" s="12">
        <f>C41*84</f>
        <v>0</v>
      </c>
      <c r="F41" s="12">
        <v>5</v>
      </c>
      <c r="G41" s="42"/>
      <c r="H41" s="149"/>
      <c r="I41" s="150"/>
      <c r="J41" s="151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8"/>
      <c r="B42" s="27" t="s">
        <v>69</v>
      </c>
      <c r="C42" s="11"/>
      <c r="D42" s="12">
        <f>C42*2.25</f>
        <v>0</v>
      </c>
      <c r="F42" s="39" t="s">
        <v>78</v>
      </c>
      <c r="G42" s="149"/>
      <c r="H42" s="150"/>
      <c r="I42" s="150"/>
      <c r="J42" s="151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19" t="s">
        <v>80</v>
      </c>
      <c r="C43" s="11"/>
      <c r="D43" s="12"/>
      <c r="F43" s="59" t="s">
        <v>81</v>
      </c>
      <c r="G43" s="88" t="s">
        <v>82</v>
      </c>
      <c r="H43" s="141" t="s">
        <v>13</v>
      </c>
      <c r="I43" s="142"/>
      <c r="J43" s="143"/>
      <c r="K43" s="21"/>
      <c r="P43" s="4"/>
      <c r="Q43" s="4"/>
      <c r="R43" s="5"/>
    </row>
    <row r="44" spans="1:18" ht="15.75" x14ac:dyDescent="0.25">
      <c r="A44" s="120"/>
      <c r="B44" s="27" t="s">
        <v>65</v>
      </c>
      <c r="C44" s="10"/>
      <c r="D44" s="12">
        <f>C44*120</f>
        <v>0</v>
      </c>
      <c r="F44" s="37"/>
      <c r="G44" s="76"/>
      <c r="H44" s="144"/>
      <c r="I44" s="144"/>
      <c r="J44" s="144"/>
      <c r="K44" s="21"/>
      <c r="P44" s="4"/>
      <c r="Q44" s="4"/>
      <c r="R44" s="5"/>
    </row>
    <row r="45" spans="1:18" ht="15.75" x14ac:dyDescent="0.25">
      <c r="A45" s="120"/>
      <c r="B45" s="27" t="s">
        <v>67</v>
      </c>
      <c r="C45" s="33"/>
      <c r="D45" s="12">
        <f>C45*84</f>
        <v>0</v>
      </c>
      <c r="F45" s="37"/>
      <c r="G45" s="76"/>
      <c r="H45" s="144"/>
      <c r="I45" s="144"/>
      <c r="J45" s="144"/>
      <c r="K45" s="21"/>
      <c r="P45" s="4"/>
      <c r="Q45" s="4"/>
      <c r="R45" s="5"/>
    </row>
    <row r="46" spans="1:18" ht="15.75" x14ac:dyDescent="0.25">
      <c r="A46" s="120"/>
      <c r="B46" s="49" t="s">
        <v>69</v>
      </c>
      <c r="C46" s="81"/>
      <c r="D46" s="12">
        <f>C46*1.5</f>
        <v>0</v>
      </c>
      <c r="F46" s="37"/>
      <c r="G46" s="62"/>
      <c r="H46" s="145"/>
      <c r="I46" s="145"/>
      <c r="J46" s="145"/>
      <c r="K46" s="21"/>
      <c r="P46" s="4"/>
      <c r="Q46" s="4"/>
      <c r="R46" s="5"/>
    </row>
    <row r="47" spans="1:18" ht="15.75" x14ac:dyDescent="0.25">
      <c r="A47" s="121"/>
      <c r="B47" s="27"/>
      <c r="C47" s="11"/>
      <c r="D47" s="12"/>
      <c r="F47" s="59"/>
      <c r="G47" s="59"/>
      <c r="H47" s="122"/>
      <c r="I47" s="123"/>
      <c r="J47" s="124"/>
      <c r="K47" s="21"/>
      <c r="P47" s="4"/>
      <c r="Q47" s="4"/>
      <c r="R47" s="5"/>
    </row>
    <row r="48" spans="1:18" ht="15" customHeight="1" x14ac:dyDescent="0.25">
      <c r="A48" s="119" t="s">
        <v>32</v>
      </c>
      <c r="B48" s="27" t="s">
        <v>65</v>
      </c>
      <c r="C48" s="10"/>
      <c r="D48" s="12">
        <f>C48*78</f>
        <v>0</v>
      </c>
      <c r="F48" s="59"/>
      <c r="G48" s="59"/>
      <c r="H48" s="122"/>
      <c r="I48" s="123"/>
      <c r="J48" s="124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20"/>
      <c r="B49" s="29" t="s">
        <v>67</v>
      </c>
      <c r="C49" s="33"/>
      <c r="D49" s="12">
        <f>C49*42</f>
        <v>0</v>
      </c>
      <c r="F49" s="125" t="s">
        <v>85</v>
      </c>
      <c r="G49" s="127">
        <f>H34+H35+H36+H37+H38+H39+H40+H41+G42+H44+H45+H46</f>
        <v>0</v>
      </c>
      <c r="H49" s="128"/>
      <c r="I49" s="128"/>
      <c r="J49" s="129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0"/>
      <c r="B50" s="32" t="s">
        <v>69</v>
      </c>
      <c r="C50" s="11"/>
      <c r="D50" s="12">
        <f>C50*1.5</f>
        <v>0</v>
      </c>
      <c r="F50" s="126"/>
      <c r="G50" s="130"/>
      <c r="H50" s="131"/>
      <c r="I50" s="131"/>
      <c r="J50" s="132"/>
      <c r="P50" s="4"/>
      <c r="Q50" s="4"/>
      <c r="R50" s="5"/>
    </row>
    <row r="51" spans="1:18" ht="15" customHeight="1" x14ac:dyDescent="0.25">
      <c r="A51" s="120"/>
      <c r="B51" s="27"/>
      <c r="C51" s="10"/>
      <c r="D51" s="31"/>
      <c r="F51" s="133" t="s">
        <v>106</v>
      </c>
      <c r="G51" s="135">
        <f>G49-H29</f>
        <v>0</v>
      </c>
      <c r="H51" s="136"/>
      <c r="I51" s="136"/>
      <c r="J51" s="137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0"/>
      <c r="B52" s="29"/>
      <c r="C52" s="33"/>
      <c r="D52" s="45"/>
      <c r="F52" s="134"/>
      <c r="G52" s="138"/>
      <c r="H52" s="139"/>
      <c r="I52" s="139"/>
      <c r="J52" s="140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1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05" t="s">
        <v>89</v>
      </c>
      <c r="B54" s="106"/>
      <c r="C54" s="107"/>
      <c r="D54" s="111">
        <f>SUM(D34:D53)</f>
        <v>0</v>
      </c>
      <c r="F54" s="21"/>
      <c r="J54" s="34"/>
    </row>
    <row r="55" spans="1:18" x14ac:dyDescent="0.25">
      <c r="A55" s="108"/>
      <c r="B55" s="109"/>
      <c r="C55" s="110"/>
      <c r="D55" s="11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13" t="s">
        <v>90</v>
      </c>
      <c r="B58" s="114"/>
      <c r="C58" s="114"/>
      <c r="D58" s="115"/>
      <c r="F58" s="113" t="s">
        <v>91</v>
      </c>
      <c r="G58" s="114"/>
      <c r="H58" s="114"/>
      <c r="I58" s="114"/>
      <c r="J58" s="115"/>
    </row>
    <row r="59" spans="1:18" x14ac:dyDescent="0.25">
      <c r="A59" s="116"/>
      <c r="B59" s="117"/>
      <c r="C59" s="117"/>
      <c r="D59" s="118"/>
      <c r="F59" s="116"/>
      <c r="G59" s="117"/>
      <c r="H59" s="117"/>
      <c r="I59" s="117"/>
      <c r="J59" s="118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A1E40B-D58A-4F9B-82BB-82A235139286}">
  <dimension ref="A1:R59"/>
  <sheetViews>
    <sheetView topLeftCell="A27" zoomScaleNormal="100" zoomScaleSheetLayoutView="85" workbookViewId="0">
      <selection activeCell="G47" sqref="G47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1" t="s">
        <v>1</v>
      </c>
      <c r="O1" s="201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2" t="s">
        <v>7</v>
      </c>
      <c r="B4" s="153"/>
      <c r="C4" s="153"/>
      <c r="D4" s="154"/>
      <c r="F4" s="202" t="s">
        <v>8</v>
      </c>
      <c r="G4" s="204">
        <v>1</v>
      </c>
      <c r="H4" s="206" t="s">
        <v>9</v>
      </c>
      <c r="I4" s="208">
        <v>46156</v>
      </c>
      <c r="J4" s="20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6" t="s">
        <v>7</v>
      </c>
      <c r="B5" s="15" t="s">
        <v>11</v>
      </c>
      <c r="C5" s="9" t="s">
        <v>12</v>
      </c>
      <c r="D5" s="25" t="s">
        <v>13</v>
      </c>
      <c r="F5" s="203"/>
      <c r="G5" s="205"/>
      <c r="H5" s="207"/>
      <c r="I5" s="210"/>
      <c r="J5" s="21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7"/>
      <c r="B6" s="16" t="s">
        <v>15</v>
      </c>
      <c r="C6" s="10">
        <v>675</v>
      </c>
      <c r="D6" s="13">
        <f t="shared" ref="D6:D28" si="1">C6*L6</f>
        <v>513675</v>
      </c>
      <c r="F6" s="212" t="s">
        <v>16</v>
      </c>
      <c r="G6" s="214" t="s">
        <v>99</v>
      </c>
      <c r="H6" s="215"/>
      <c r="I6" s="215"/>
      <c r="J6" s="21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7"/>
      <c r="B7" s="16" t="s">
        <v>18</v>
      </c>
      <c r="C7" s="10">
        <v>5</v>
      </c>
      <c r="D7" s="13">
        <f t="shared" si="1"/>
        <v>3905</v>
      </c>
      <c r="F7" s="213"/>
      <c r="G7" s="217"/>
      <c r="H7" s="218"/>
      <c r="I7" s="218"/>
      <c r="J7" s="21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7"/>
      <c r="B8" s="16" t="s">
        <v>20</v>
      </c>
      <c r="C8" s="10">
        <v>1</v>
      </c>
      <c r="D8" s="13">
        <f t="shared" si="1"/>
        <v>1093</v>
      </c>
      <c r="F8" s="220" t="s">
        <v>21</v>
      </c>
      <c r="G8" s="221" t="s">
        <v>120</v>
      </c>
      <c r="H8" s="222"/>
      <c r="I8" s="222"/>
      <c r="J8" s="22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7"/>
      <c r="B9" s="16" t="s">
        <v>23</v>
      </c>
      <c r="C9" s="10">
        <v>43</v>
      </c>
      <c r="D9" s="13">
        <f t="shared" si="1"/>
        <v>31519</v>
      </c>
      <c r="F9" s="213"/>
      <c r="G9" s="224"/>
      <c r="H9" s="225"/>
      <c r="I9" s="225"/>
      <c r="J9" s="22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7"/>
      <c r="B10" t="s">
        <v>25</v>
      </c>
      <c r="C10" s="10"/>
      <c r="D10" s="13">
        <f t="shared" si="1"/>
        <v>0</v>
      </c>
      <c r="F10" s="212" t="s">
        <v>26</v>
      </c>
      <c r="G10" s="227" t="s">
        <v>108</v>
      </c>
      <c r="H10" s="228"/>
      <c r="I10" s="228"/>
      <c r="J10" s="229"/>
      <c r="K10" s="8"/>
      <c r="L10" s="6">
        <f>R36</f>
        <v>1032</v>
      </c>
      <c r="P10" s="4"/>
      <c r="Q10" s="4"/>
      <c r="R10" s="5"/>
    </row>
    <row r="11" spans="1:18" ht="15.75" x14ac:dyDescent="0.25">
      <c r="A11" s="147"/>
      <c r="B11" s="17" t="s">
        <v>28</v>
      </c>
      <c r="C11" s="10"/>
      <c r="D11" s="13">
        <f t="shared" si="1"/>
        <v>0</v>
      </c>
      <c r="F11" s="213"/>
      <c r="G11" s="224"/>
      <c r="H11" s="225"/>
      <c r="I11" s="225"/>
      <c r="J11" s="22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7"/>
      <c r="B12" s="17" t="s">
        <v>30</v>
      </c>
      <c r="C12" s="10"/>
      <c r="D12" s="48">
        <f t="shared" si="1"/>
        <v>0</v>
      </c>
      <c r="F12" s="230" t="s">
        <v>33</v>
      </c>
      <c r="G12" s="231"/>
      <c r="H12" s="231"/>
      <c r="I12" s="231"/>
      <c r="J12" s="23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7"/>
      <c r="B13" s="17" t="s">
        <v>32</v>
      </c>
      <c r="C13" s="10">
        <v>25</v>
      </c>
      <c r="D13" s="48">
        <f t="shared" si="1"/>
        <v>7675</v>
      </c>
      <c r="F13" s="233" t="s">
        <v>36</v>
      </c>
      <c r="G13" s="197"/>
      <c r="H13" s="188">
        <f>D29</f>
        <v>563496</v>
      </c>
      <c r="I13" s="189"/>
      <c r="J13" s="19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7"/>
      <c r="B14" s="14" t="s">
        <v>35</v>
      </c>
      <c r="C14" s="10">
        <v>13</v>
      </c>
      <c r="D14" s="31">
        <f t="shared" si="1"/>
        <v>143</v>
      </c>
      <c r="F14" s="191" t="s">
        <v>38</v>
      </c>
      <c r="G14" s="192"/>
      <c r="H14" s="193">
        <f>D54</f>
        <v>77337.75</v>
      </c>
      <c r="I14" s="194"/>
      <c r="J14" s="19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7"/>
      <c r="B15" s="14" t="s">
        <v>122</v>
      </c>
      <c r="C15" s="10">
        <v>1</v>
      </c>
      <c r="D15" s="31">
        <f t="shared" si="1"/>
        <v>620</v>
      </c>
      <c r="F15" s="196" t="s">
        <v>39</v>
      </c>
      <c r="G15" s="197"/>
      <c r="H15" s="198">
        <f>H13-H14</f>
        <v>486158.25</v>
      </c>
      <c r="I15" s="199"/>
      <c r="J15" s="200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7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58">
        <v>3420</v>
      </c>
      <c r="I16" s="158"/>
      <c r="J16" s="158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7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69"/>
      <c r="I17" s="169"/>
      <c r="J17" s="169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7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69"/>
      <c r="I18" s="169"/>
      <c r="J18" s="169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7"/>
      <c r="B19" s="83" t="s">
        <v>105</v>
      </c>
      <c r="C19" s="10"/>
      <c r="D19" s="48">
        <f t="shared" si="1"/>
        <v>0</v>
      </c>
      <c r="F19" s="56"/>
      <c r="G19" s="68" t="s">
        <v>49</v>
      </c>
      <c r="H19" s="158"/>
      <c r="I19" s="158"/>
      <c r="J19" s="158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7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58"/>
      <c r="I20" s="158"/>
      <c r="J20" s="158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7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71" t="s">
        <v>13</v>
      </c>
      <c r="I21" s="172"/>
      <c r="J21" s="173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7"/>
      <c r="B22" s="46" t="s">
        <v>103</v>
      </c>
      <c r="C22" s="10"/>
      <c r="D22" s="48">
        <f t="shared" si="1"/>
        <v>0</v>
      </c>
      <c r="F22" s="77" t="s">
        <v>146</v>
      </c>
      <c r="G22" s="73">
        <v>10547</v>
      </c>
      <c r="H22" s="174">
        <v>78233</v>
      </c>
      <c r="I22" s="174"/>
      <c r="J22" s="174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7"/>
      <c r="B23" s="14" t="s">
        <v>121</v>
      </c>
      <c r="C23" s="10"/>
      <c r="D23" s="48">
        <f t="shared" si="1"/>
        <v>0</v>
      </c>
      <c r="F23" s="77"/>
      <c r="G23" s="79"/>
      <c r="H23" s="242"/>
      <c r="I23" s="243"/>
      <c r="J23" s="243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7"/>
      <c r="B24" s="14" t="s">
        <v>128</v>
      </c>
      <c r="C24" s="10"/>
      <c r="D24" s="48">
        <f t="shared" si="1"/>
        <v>0</v>
      </c>
      <c r="F24" s="77"/>
      <c r="G24" s="79"/>
      <c r="H24" s="242"/>
      <c r="I24" s="243"/>
      <c r="J24" s="243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7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76" t="s">
        <v>13</v>
      </c>
      <c r="I25" s="177"/>
      <c r="J25" s="178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7"/>
      <c r="B26" s="14" t="s">
        <v>129</v>
      </c>
      <c r="C26" s="10"/>
      <c r="D26" s="48">
        <f t="shared" si="1"/>
        <v>0</v>
      </c>
      <c r="F26" s="75" t="s">
        <v>146</v>
      </c>
      <c r="G26" s="65">
        <v>10342</v>
      </c>
      <c r="H26" s="144">
        <v>92804</v>
      </c>
      <c r="I26" s="144"/>
      <c r="J26" s="144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7"/>
      <c r="B27" s="14" t="s">
        <v>130</v>
      </c>
      <c r="C27" s="10"/>
      <c r="D27" s="44">
        <f t="shared" si="1"/>
        <v>0</v>
      </c>
      <c r="F27" s="71"/>
      <c r="G27" s="88"/>
      <c r="H27" s="244"/>
      <c r="I27" s="245"/>
      <c r="J27" s="245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8"/>
      <c r="B28" s="46" t="s">
        <v>92</v>
      </c>
      <c r="C28" s="10">
        <v>6</v>
      </c>
      <c r="D28" s="48">
        <f t="shared" si="1"/>
        <v>4866</v>
      </c>
      <c r="F28" s="91"/>
      <c r="G28" s="61"/>
      <c r="H28" s="185"/>
      <c r="I28" s="186"/>
      <c r="J28" s="187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9" t="s">
        <v>36</v>
      </c>
      <c r="B29" s="160"/>
      <c r="C29" s="161"/>
      <c r="D29" s="165">
        <f>SUM(D6:D28)</f>
        <v>563496</v>
      </c>
      <c r="F29" s="105" t="s">
        <v>54</v>
      </c>
      <c r="G29" s="167"/>
      <c r="H29" s="127">
        <f>H15-H16-H17-H18-H19-H20-H22-H23-H24+H26+H27+H28</f>
        <v>497309.25</v>
      </c>
      <c r="I29" s="128"/>
      <c r="J29" s="129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08"/>
      <c r="G30" s="168"/>
      <c r="H30" s="130"/>
      <c r="I30" s="131"/>
      <c r="J30" s="132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2" t="s">
        <v>57</v>
      </c>
      <c r="B32" s="153"/>
      <c r="C32" s="153"/>
      <c r="D32" s="154"/>
      <c r="F32" s="155" t="s">
        <v>58</v>
      </c>
      <c r="G32" s="156"/>
      <c r="H32" s="156"/>
      <c r="I32" s="156"/>
      <c r="J32" s="157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2" t="s">
        <v>62</v>
      </c>
      <c r="H33" s="155" t="s">
        <v>13</v>
      </c>
      <c r="I33" s="156"/>
      <c r="J33" s="157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6" t="s">
        <v>64</v>
      </c>
      <c r="B34" s="26" t="s">
        <v>65</v>
      </c>
      <c r="C34" s="51"/>
      <c r="D34" s="30">
        <f>C34*120</f>
        <v>0</v>
      </c>
      <c r="F34" s="12">
        <v>1000</v>
      </c>
      <c r="G34" s="40">
        <v>300</v>
      </c>
      <c r="H34" s="149">
        <f t="shared" ref="H34:H39" si="2">F34*G34</f>
        <v>300000</v>
      </c>
      <c r="I34" s="150"/>
      <c r="J34" s="151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7"/>
      <c r="B35" s="27" t="s">
        <v>67</v>
      </c>
      <c r="C35" s="52"/>
      <c r="D35" s="30">
        <f>C35*84</f>
        <v>0</v>
      </c>
      <c r="F35" s="58">
        <v>500</v>
      </c>
      <c r="G35" s="41">
        <v>206</v>
      </c>
      <c r="H35" s="149">
        <f t="shared" si="2"/>
        <v>103000</v>
      </c>
      <c r="I35" s="150"/>
      <c r="J35" s="15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8"/>
      <c r="B36" s="26" t="s">
        <v>69</v>
      </c>
      <c r="C36" s="10">
        <v>2</v>
      </c>
      <c r="D36" s="12">
        <f>C36*1.5</f>
        <v>3</v>
      </c>
      <c r="F36" s="12">
        <v>200</v>
      </c>
      <c r="G36" s="37"/>
      <c r="H36" s="149">
        <f t="shared" si="2"/>
        <v>0</v>
      </c>
      <c r="I36" s="150"/>
      <c r="J36" s="151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6" t="s">
        <v>71</v>
      </c>
      <c r="B37" s="28" t="s">
        <v>65</v>
      </c>
      <c r="C37" s="53">
        <v>670</v>
      </c>
      <c r="D37" s="12">
        <f>C37*111</f>
        <v>74370</v>
      </c>
      <c r="F37" s="12">
        <v>100</v>
      </c>
      <c r="G37" s="39">
        <v>8</v>
      </c>
      <c r="H37" s="149">
        <f t="shared" si="2"/>
        <v>800</v>
      </c>
      <c r="I37" s="150"/>
      <c r="J37" s="151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7"/>
      <c r="B38" s="29" t="s">
        <v>67</v>
      </c>
      <c r="C38" s="54">
        <v>2</v>
      </c>
      <c r="D38" s="12">
        <f>C38*84</f>
        <v>168</v>
      </c>
      <c r="F38" s="30">
        <v>50</v>
      </c>
      <c r="G38" s="39">
        <v>10</v>
      </c>
      <c r="H38" s="149">
        <f t="shared" si="2"/>
        <v>500</v>
      </c>
      <c r="I38" s="150"/>
      <c r="J38" s="151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8"/>
      <c r="B39" s="29" t="s">
        <v>69</v>
      </c>
      <c r="C39" s="52"/>
      <c r="D39" s="31">
        <f>C39*4.5</f>
        <v>0</v>
      </c>
      <c r="F39" s="12">
        <v>20</v>
      </c>
      <c r="G39" s="37"/>
      <c r="H39" s="149">
        <f t="shared" si="2"/>
        <v>0</v>
      </c>
      <c r="I39" s="150"/>
      <c r="J39" s="15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6" t="s">
        <v>75</v>
      </c>
      <c r="B40" s="27" t="s">
        <v>65</v>
      </c>
      <c r="C40" s="63">
        <v>5</v>
      </c>
      <c r="D40" s="12">
        <f>C40*111</f>
        <v>555</v>
      </c>
      <c r="F40" s="12">
        <v>10</v>
      </c>
      <c r="G40" s="42"/>
      <c r="H40" s="149"/>
      <c r="I40" s="150"/>
      <c r="J40" s="151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7"/>
      <c r="B41" s="27" t="s">
        <v>67</v>
      </c>
      <c r="C41" s="10">
        <v>3</v>
      </c>
      <c r="D41" s="12">
        <f>C41*84</f>
        <v>252</v>
      </c>
      <c r="F41" s="12">
        <v>5</v>
      </c>
      <c r="G41" s="42"/>
      <c r="H41" s="149"/>
      <c r="I41" s="150"/>
      <c r="J41" s="151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8"/>
      <c r="B42" s="27" t="s">
        <v>69</v>
      </c>
      <c r="C42" s="11">
        <v>11</v>
      </c>
      <c r="D42" s="12">
        <f>C42*2.25</f>
        <v>24.75</v>
      </c>
      <c r="F42" s="39" t="s">
        <v>78</v>
      </c>
      <c r="G42" s="149">
        <v>57</v>
      </c>
      <c r="H42" s="150"/>
      <c r="I42" s="150"/>
      <c r="J42" s="151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19" t="s">
        <v>80</v>
      </c>
      <c r="C43" s="11"/>
      <c r="D43" s="12"/>
      <c r="F43" s="59" t="s">
        <v>81</v>
      </c>
      <c r="G43" s="88" t="s">
        <v>82</v>
      </c>
      <c r="H43" s="141" t="s">
        <v>13</v>
      </c>
      <c r="I43" s="142"/>
      <c r="J43" s="143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20"/>
      <c r="B44" s="27" t="s">
        <v>65</v>
      </c>
      <c r="C44" s="10">
        <v>2</v>
      </c>
      <c r="D44" s="12">
        <f>C44*120</f>
        <v>240</v>
      </c>
      <c r="F44" s="37" t="s">
        <v>136</v>
      </c>
      <c r="G44" s="93" t="s">
        <v>141</v>
      </c>
      <c r="H44" s="144">
        <v>92804</v>
      </c>
      <c r="I44" s="144"/>
      <c r="J44" s="144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20"/>
      <c r="B45" s="27" t="s">
        <v>67</v>
      </c>
      <c r="C45" s="33"/>
      <c r="D45" s="12">
        <f>C45*84</f>
        <v>0</v>
      </c>
      <c r="F45" s="37"/>
      <c r="G45" s="62"/>
      <c r="H45" s="144"/>
      <c r="I45" s="144"/>
      <c r="J45" s="144"/>
      <c r="K45" s="21"/>
      <c r="P45" s="4"/>
      <c r="Q45" s="4"/>
      <c r="R45" s="5"/>
    </row>
    <row r="46" spans="1:18" ht="15.75" x14ac:dyDescent="0.25">
      <c r="A46" s="120"/>
      <c r="B46" s="49" t="s">
        <v>69</v>
      </c>
      <c r="C46" s="81"/>
      <c r="D46" s="12">
        <f>C46*1.5</f>
        <v>0</v>
      </c>
      <c r="F46" s="37"/>
      <c r="G46" s="62"/>
      <c r="H46" s="144"/>
      <c r="I46" s="144"/>
      <c r="J46" s="144"/>
      <c r="K46" s="21"/>
      <c r="P46" s="4"/>
      <c r="Q46" s="4"/>
      <c r="R46" s="5"/>
    </row>
    <row r="47" spans="1:18" ht="15.75" x14ac:dyDescent="0.25">
      <c r="A47" s="121"/>
      <c r="B47" s="27"/>
      <c r="C47" s="11"/>
      <c r="D47" s="12"/>
      <c r="F47" s="59"/>
      <c r="G47" s="59"/>
      <c r="H47" s="122"/>
      <c r="I47" s="123"/>
      <c r="J47" s="124"/>
      <c r="K47" s="21"/>
      <c r="P47" s="4"/>
      <c r="Q47" s="4"/>
      <c r="R47" s="5"/>
    </row>
    <row r="48" spans="1:18" ht="15" customHeight="1" x14ac:dyDescent="0.25">
      <c r="A48" s="119" t="s">
        <v>32</v>
      </c>
      <c r="B48" s="27" t="s">
        <v>65</v>
      </c>
      <c r="C48" s="10">
        <v>1</v>
      </c>
      <c r="D48" s="12">
        <f>C48*78</f>
        <v>78</v>
      </c>
      <c r="F48" s="59"/>
      <c r="G48" s="59"/>
      <c r="H48" s="122"/>
      <c r="I48" s="123"/>
      <c r="J48" s="124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20"/>
      <c r="B49" s="29" t="s">
        <v>67</v>
      </c>
      <c r="C49" s="33">
        <v>38</v>
      </c>
      <c r="D49" s="12">
        <f>C49*42</f>
        <v>1596</v>
      </c>
      <c r="F49" s="125" t="s">
        <v>85</v>
      </c>
      <c r="G49" s="127">
        <f>H34+H35+H36+H37+H38+H39+H40+H41+G42+H44+H45+H46</f>
        <v>497161</v>
      </c>
      <c r="H49" s="128"/>
      <c r="I49" s="128"/>
      <c r="J49" s="129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0"/>
      <c r="B50" s="32" t="s">
        <v>69</v>
      </c>
      <c r="C50" s="11">
        <v>34</v>
      </c>
      <c r="D50" s="12">
        <f>C50*1.5</f>
        <v>51</v>
      </c>
      <c r="F50" s="126"/>
      <c r="G50" s="130"/>
      <c r="H50" s="131"/>
      <c r="I50" s="131"/>
      <c r="J50" s="132"/>
      <c r="O50" t="s">
        <v>114</v>
      </c>
      <c r="P50" s="4">
        <v>1204</v>
      </c>
      <c r="Q50" s="4"/>
      <c r="R50" s="5"/>
    </row>
    <row r="51" spans="1:18" ht="15" customHeight="1" x14ac:dyDescent="0.25">
      <c r="A51" s="120"/>
      <c r="B51" s="27"/>
      <c r="C51" s="10"/>
      <c r="D51" s="31"/>
      <c r="F51" s="133" t="s">
        <v>109</v>
      </c>
      <c r="G51" s="246">
        <f>G49-H29</f>
        <v>-148.25</v>
      </c>
      <c r="H51" s="247"/>
      <c r="I51" s="247"/>
      <c r="J51" s="248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20"/>
      <c r="B52" s="29"/>
      <c r="C52" s="33"/>
      <c r="D52" s="45"/>
      <c r="F52" s="134"/>
      <c r="G52" s="249"/>
      <c r="H52" s="250"/>
      <c r="I52" s="250"/>
      <c r="J52" s="251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1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05" t="s">
        <v>89</v>
      </c>
      <c r="B54" s="106"/>
      <c r="C54" s="107"/>
      <c r="D54" s="111">
        <f>SUM(D34:D53)</f>
        <v>77337.75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08"/>
      <c r="B55" s="109"/>
      <c r="C55" s="110"/>
      <c r="D55" s="11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113" t="s">
        <v>90</v>
      </c>
      <c r="B58" s="114"/>
      <c r="C58" s="114"/>
      <c r="D58" s="115"/>
      <c r="F58" s="113" t="s">
        <v>91</v>
      </c>
      <c r="G58" s="114"/>
      <c r="H58" s="114"/>
      <c r="I58" s="114"/>
      <c r="J58" s="115"/>
    </row>
    <row r="59" spans="1:18" x14ac:dyDescent="0.25">
      <c r="A59" s="116"/>
      <c r="B59" s="117"/>
      <c r="C59" s="117"/>
      <c r="D59" s="118"/>
      <c r="F59" s="116"/>
      <c r="G59" s="117"/>
      <c r="H59" s="117"/>
      <c r="I59" s="117"/>
      <c r="J59" s="118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1A6604-0014-45A1-979D-2F42B5F60299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1" t="s">
        <v>1</v>
      </c>
      <c r="O1" s="201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2" t="s">
        <v>7</v>
      </c>
      <c r="B4" s="153"/>
      <c r="C4" s="153"/>
      <c r="D4" s="154"/>
      <c r="F4" s="202" t="s">
        <v>8</v>
      </c>
      <c r="G4" s="204">
        <v>2</v>
      </c>
      <c r="H4" s="206" t="s">
        <v>9</v>
      </c>
      <c r="I4" s="208">
        <v>46156</v>
      </c>
      <c r="J4" s="20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6" t="s">
        <v>7</v>
      </c>
      <c r="B5" s="15" t="s">
        <v>11</v>
      </c>
      <c r="C5" s="9" t="s">
        <v>12</v>
      </c>
      <c r="D5" s="25" t="s">
        <v>13</v>
      </c>
      <c r="F5" s="203"/>
      <c r="G5" s="205"/>
      <c r="H5" s="207"/>
      <c r="I5" s="210"/>
      <c r="J5" s="21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7"/>
      <c r="B6" s="16" t="s">
        <v>15</v>
      </c>
      <c r="C6" s="10"/>
      <c r="D6" s="13">
        <f t="shared" ref="D6:D28" si="1">C6*L6</f>
        <v>0</v>
      </c>
      <c r="F6" s="212" t="s">
        <v>16</v>
      </c>
      <c r="G6" s="214" t="s">
        <v>107</v>
      </c>
      <c r="H6" s="215"/>
      <c r="I6" s="215"/>
      <c r="J6" s="21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7"/>
      <c r="B7" s="16" t="s">
        <v>18</v>
      </c>
      <c r="C7" s="10"/>
      <c r="D7" s="13">
        <f t="shared" si="1"/>
        <v>0</v>
      </c>
      <c r="F7" s="213"/>
      <c r="G7" s="217"/>
      <c r="H7" s="218"/>
      <c r="I7" s="218"/>
      <c r="J7" s="21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7"/>
      <c r="B8" s="16" t="s">
        <v>20</v>
      </c>
      <c r="C8" s="10"/>
      <c r="D8" s="13">
        <f t="shared" si="1"/>
        <v>0</v>
      </c>
      <c r="F8" s="220" t="s">
        <v>21</v>
      </c>
      <c r="G8" s="221" t="s">
        <v>100</v>
      </c>
      <c r="H8" s="222"/>
      <c r="I8" s="222"/>
      <c r="J8" s="22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7"/>
      <c r="B9" s="16" t="s">
        <v>23</v>
      </c>
      <c r="C9" s="10"/>
      <c r="D9" s="13">
        <f t="shared" si="1"/>
        <v>0</v>
      </c>
      <c r="F9" s="213"/>
      <c r="G9" s="224"/>
      <c r="H9" s="225"/>
      <c r="I9" s="225"/>
      <c r="J9" s="22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7"/>
      <c r="B10" t="s">
        <v>25</v>
      </c>
      <c r="C10" s="10"/>
      <c r="D10" s="13">
        <f t="shared" si="1"/>
        <v>0</v>
      </c>
      <c r="F10" s="212" t="s">
        <v>26</v>
      </c>
      <c r="G10" s="227" t="s">
        <v>101</v>
      </c>
      <c r="H10" s="228"/>
      <c r="I10" s="228"/>
      <c r="J10" s="229"/>
      <c r="K10" s="8"/>
      <c r="L10" s="6">
        <f>R36</f>
        <v>1032</v>
      </c>
      <c r="P10" s="4"/>
      <c r="Q10" s="4"/>
      <c r="R10" s="5"/>
    </row>
    <row r="11" spans="1:18" ht="15.75" x14ac:dyDescent="0.25">
      <c r="A11" s="147"/>
      <c r="B11" s="17" t="s">
        <v>28</v>
      </c>
      <c r="C11" s="10"/>
      <c r="D11" s="13">
        <f t="shared" si="1"/>
        <v>0</v>
      </c>
      <c r="F11" s="213"/>
      <c r="G11" s="224"/>
      <c r="H11" s="225"/>
      <c r="I11" s="225"/>
      <c r="J11" s="22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7"/>
      <c r="B12" s="17" t="s">
        <v>30</v>
      </c>
      <c r="C12" s="10"/>
      <c r="D12" s="48">
        <f t="shared" si="1"/>
        <v>0</v>
      </c>
      <c r="F12" s="230" t="s">
        <v>33</v>
      </c>
      <c r="G12" s="231"/>
      <c r="H12" s="231"/>
      <c r="I12" s="231"/>
      <c r="J12" s="23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7"/>
      <c r="B13" s="17" t="s">
        <v>32</v>
      </c>
      <c r="C13" s="10"/>
      <c r="D13" s="48">
        <f t="shared" si="1"/>
        <v>0</v>
      </c>
      <c r="F13" s="233" t="s">
        <v>36</v>
      </c>
      <c r="G13" s="197"/>
      <c r="H13" s="188">
        <f>D29</f>
        <v>0</v>
      </c>
      <c r="I13" s="189"/>
      <c r="J13" s="19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7"/>
      <c r="B14" s="14" t="s">
        <v>35</v>
      </c>
      <c r="C14" s="10"/>
      <c r="D14" s="31">
        <f t="shared" si="1"/>
        <v>0</v>
      </c>
      <c r="F14" s="191" t="s">
        <v>38</v>
      </c>
      <c r="G14" s="192"/>
      <c r="H14" s="193">
        <f>D54</f>
        <v>0</v>
      </c>
      <c r="I14" s="194"/>
      <c r="J14" s="19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7"/>
      <c r="B15" s="14" t="s">
        <v>122</v>
      </c>
      <c r="C15" s="10"/>
      <c r="D15" s="31">
        <f t="shared" si="1"/>
        <v>0</v>
      </c>
      <c r="F15" s="196" t="s">
        <v>39</v>
      </c>
      <c r="G15" s="197"/>
      <c r="H15" s="198">
        <f>H13-H14</f>
        <v>0</v>
      </c>
      <c r="I15" s="199"/>
      <c r="J15" s="200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7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58"/>
      <c r="I16" s="158"/>
      <c r="J16" s="158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7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69"/>
      <c r="I17" s="169"/>
      <c r="J17" s="169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7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69"/>
      <c r="I18" s="169"/>
      <c r="J18" s="169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7"/>
      <c r="B19" s="87" t="s">
        <v>105</v>
      </c>
      <c r="C19" s="10"/>
      <c r="D19" s="48">
        <f t="shared" si="1"/>
        <v>0</v>
      </c>
      <c r="F19" s="56"/>
      <c r="G19" s="68" t="s">
        <v>49</v>
      </c>
      <c r="H19" s="252"/>
      <c r="I19" s="252"/>
      <c r="J19" s="252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7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69"/>
      <c r="I20" s="169"/>
      <c r="J20" s="169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7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71" t="s">
        <v>13</v>
      </c>
      <c r="I21" s="172"/>
      <c r="J21" s="173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7"/>
      <c r="B22" s="46" t="s">
        <v>103</v>
      </c>
      <c r="C22" s="10"/>
      <c r="D22" s="48">
        <f t="shared" si="1"/>
        <v>0</v>
      </c>
      <c r="F22" s="72"/>
      <c r="G22" s="73"/>
      <c r="H22" s="174"/>
      <c r="I22" s="174"/>
      <c r="J22" s="174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7"/>
      <c r="B23" s="14" t="s">
        <v>121</v>
      </c>
      <c r="C23" s="10"/>
      <c r="D23" s="48">
        <f t="shared" si="1"/>
        <v>0</v>
      </c>
      <c r="F23" s="25"/>
      <c r="G23" s="37"/>
      <c r="H23" s="175"/>
      <c r="I23" s="144"/>
      <c r="J23" s="144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7"/>
      <c r="B24" s="14" t="s">
        <v>128</v>
      </c>
      <c r="C24" s="10"/>
      <c r="D24" s="48">
        <f t="shared" si="1"/>
        <v>0</v>
      </c>
      <c r="F24" s="38"/>
      <c r="G24" s="37"/>
      <c r="H24" s="175"/>
      <c r="I24" s="144"/>
      <c r="J24" s="144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7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76" t="s">
        <v>13</v>
      </c>
      <c r="I25" s="177"/>
      <c r="J25" s="178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7"/>
      <c r="B26" s="14" t="s">
        <v>129</v>
      </c>
      <c r="C26" s="10"/>
      <c r="D26" s="48">
        <f t="shared" si="1"/>
        <v>0</v>
      </c>
      <c r="F26" s="64"/>
      <c r="G26" s="10"/>
      <c r="H26" s="179"/>
      <c r="I26" s="180"/>
      <c r="J26" s="181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7"/>
      <c r="B27" s="14" t="s">
        <v>130</v>
      </c>
      <c r="C27" s="10"/>
      <c r="D27" s="44">
        <f t="shared" si="1"/>
        <v>0</v>
      </c>
      <c r="F27" s="14"/>
      <c r="G27" s="14"/>
      <c r="H27" s="182"/>
      <c r="I27" s="183"/>
      <c r="J27" s="184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8"/>
      <c r="B28" s="46" t="s">
        <v>92</v>
      </c>
      <c r="C28" s="10"/>
      <c r="D28" s="48">
        <f t="shared" si="1"/>
        <v>0</v>
      </c>
      <c r="F28" s="91"/>
      <c r="G28" s="61"/>
      <c r="H28" s="185"/>
      <c r="I28" s="186"/>
      <c r="J28" s="187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9" t="s">
        <v>36</v>
      </c>
      <c r="B29" s="160"/>
      <c r="C29" s="161"/>
      <c r="D29" s="165">
        <f>SUM(D6:D28)</f>
        <v>0</v>
      </c>
      <c r="F29" s="105" t="s">
        <v>54</v>
      </c>
      <c r="G29" s="167"/>
      <c r="H29" s="127">
        <f>H15-H16-H17-H18-H19-H20-H22-H23-H24+H26+H27</f>
        <v>0</v>
      </c>
      <c r="I29" s="128"/>
      <c r="J29" s="129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08"/>
      <c r="G30" s="168"/>
      <c r="H30" s="130"/>
      <c r="I30" s="131"/>
      <c r="J30" s="132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2" t="s">
        <v>57</v>
      </c>
      <c r="B32" s="153"/>
      <c r="C32" s="153"/>
      <c r="D32" s="154"/>
      <c r="F32" s="155" t="s">
        <v>58</v>
      </c>
      <c r="G32" s="156"/>
      <c r="H32" s="156"/>
      <c r="I32" s="156"/>
      <c r="J32" s="157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2" t="s">
        <v>62</v>
      </c>
      <c r="H33" s="155" t="s">
        <v>13</v>
      </c>
      <c r="I33" s="156"/>
      <c r="J33" s="157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6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149">
        <f>F34*G34</f>
        <v>0</v>
      </c>
      <c r="I34" s="150"/>
      <c r="J34" s="151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7"/>
      <c r="B35" s="27" t="s">
        <v>67</v>
      </c>
      <c r="C35" s="52"/>
      <c r="D35" s="30">
        <f>C35*84</f>
        <v>0</v>
      </c>
      <c r="F35" s="58">
        <v>500</v>
      </c>
      <c r="G35" s="41"/>
      <c r="H35" s="149">
        <f t="shared" ref="H35:H39" si="2">F35*G35</f>
        <v>0</v>
      </c>
      <c r="I35" s="150"/>
      <c r="J35" s="15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8"/>
      <c r="B36" s="26" t="s">
        <v>69</v>
      </c>
      <c r="C36" s="10"/>
      <c r="D36" s="12">
        <f>C36*1.5</f>
        <v>0</v>
      </c>
      <c r="F36" s="12">
        <v>200</v>
      </c>
      <c r="G36" s="37"/>
      <c r="H36" s="149">
        <f>F36*G36</f>
        <v>0</v>
      </c>
      <c r="I36" s="150"/>
      <c r="J36" s="151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6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49">
        <f t="shared" si="2"/>
        <v>0</v>
      </c>
      <c r="I37" s="150"/>
      <c r="J37" s="151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7"/>
      <c r="B38" s="29" t="s">
        <v>67</v>
      </c>
      <c r="C38" s="54"/>
      <c r="D38" s="12">
        <f>C38*84</f>
        <v>0</v>
      </c>
      <c r="F38" s="30">
        <v>50</v>
      </c>
      <c r="G38" s="39"/>
      <c r="H38" s="149">
        <f t="shared" si="2"/>
        <v>0</v>
      </c>
      <c r="I38" s="150"/>
      <c r="J38" s="151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8"/>
      <c r="B39" s="29" t="s">
        <v>69</v>
      </c>
      <c r="C39" s="52"/>
      <c r="D39" s="31">
        <f>C39*4.5</f>
        <v>0</v>
      </c>
      <c r="F39" s="12">
        <v>20</v>
      </c>
      <c r="G39" s="37"/>
      <c r="H39" s="149">
        <f t="shared" si="2"/>
        <v>0</v>
      </c>
      <c r="I39" s="150"/>
      <c r="J39" s="15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6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49"/>
      <c r="I40" s="150"/>
      <c r="J40" s="151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7"/>
      <c r="B41" s="27" t="s">
        <v>67</v>
      </c>
      <c r="C41" s="10"/>
      <c r="D41" s="12">
        <f>C41*84</f>
        <v>0</v>
      </c>
      <c r="F41" s="12">
        <v>5</v>
      </c>
      <c r="G41" s="42"/>
      <c r="H41" s="149"/>
      <c r="I41" s="150"/>
      <c r="J41" s="151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8"/>
      <c r="B42" s="27" t="s">
        <v>69</v>
      </c>
      <c r="C42" s="11"/>
      <c r="D42" s="12">
        <f>C42*2.25</f>
        <v>0</v>
      </c>
      <c r="F42" s="39" t="s">
        <v>78</v>
      </c>
      <c r="G42" s="149"/>
      <c r="H42" s="150"/>
      <c r="I42" s="150"/>
      <c r="J42" s="151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19" t="s">
        <v>80</v>
      </c>
      <c r="C43" s="11"/>
      <c r="D43" s="12"/>
      <c r="F43" s="59" t="s">
        <v>81</v>
      </c>
      <c r="G43" s="88" t="s">
        <v>82</v>
      </c>
      <c r="H43" s="141" t="s">
        <v>13</v>
      </c>
      <c r="I43" s="142"/>
      <c r="J43" s="143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20"/>
      <c r="B44" s="27" t="s">
        <v>65</v>
      </c>
      <c r="C44" s="10"/>
      <c r="D44" s="12">
        <f>C44*120</f>
        <v>0</v>
      </c>
      <c r="F44" s="37"/>
      <c r="G44" s="62"/>
      <c r="H44" s="144"/>
      <c r="I44" s="144"/>
      <c r="J44" s="144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20"/>
      <c r="B45" s="27" t="s">
        <v>67</v>
      </c>
      <c r="C45" s="33"/>
      <c r="D45" s="12">
        <f>C45*84</f>
        <v>0</v>
      </c>
      <c r="F45" s="37"/>
      <c r="G45" s="62"/>
      <c r="H45" s="144"/>
      <c r="I45" s="144"/>
      <c r="J45" s="144"/>
      <c r="K45" s="21"/>
      <c r="P45" s="4"/>
      <c r="Q45" s="4"/>
      <c r="R45" s="5"/>
    </row>
    <row r="46" spans="1:18" ht="15.75" x14ac:dyDescent="0.25">
      <c r="A46" s="120"/>
      <c r="B46" s="49" t="s">
        <v>69</v>
      </c>
      <c r="C46" s="81"/>
      <c r="D46" s="12">
        <f>C46*1.5</f>
        <v>0</v>
      </c>
      <c r="F46" s="37"/>
      <c r="G46" s="89"/>
      <c r="H46" s="145"/>
      <c r="I46" s="145"/>
      <c r="J46" s="145"/>
      <c r="K46" s="21"/>
      <c r="P46" s="4"/>
      <c r="Q46" s="4"/>
      <c r="R46" s="5"/>
    </row>
    <row r="47" spans="1:18" ht="15.75" x14ac:dyDescent="0.25">
      <c r="A47" s="121"/>
      <c r="B47" s="27"/>
      <c r="C47" s="11"/>
      <c r="D47" s="12"/>
      <c r="F47" s="59"/>
      <c r="G47" s="59"/>
      <c r="H47" s="122"/>
      <c r="I47" s="123"/>
      <c r="J47" s="124"/>
      <c r="K47" s="21"/>
      <c r="P47" s="4"/>
      <c r="Q47" s="4"/>
      <c r="R47" s="5"/>
    </row>
    <row r="48" spans="1:18" ht="15" customHeight="1" x14ac:dyDescent="0.25">
      <c r="A48" s="119" t="s">
        <v>32</v>
      </c>
      <c r="B48" s="27" t="s">
        <v>65</v>
      </c>
      <c r="C48" s="10"/>
      <c r="D48" s="12">
        <f>C48*78</f>
        <v>0</v>
      </c>
      <c r="F48" s="59"/>
      <c r="G48" s="59"/>
      <c r="H48" s="122"/>
      <c r="I48" s="123"/>
      <c r="J48" s="124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20"/>
      <c r="B49" s="29" t="s">
        <v>67</v>
      </c>
      <c r="C49" s="33"/>
      <c r="D49" s="12">
        <f>C49*42</f>
        <v>0</v>
      </c>
      <c r="F49" s="125" t="s">
        <v>85</v>
      </c>
      <c r="G49" s="127">
        <f>H34+H35+H36+H37+H38+H39+H40+H41+G42+H44+H45+H46</f>
        <v>0</v>
      </c>
      <c r="H49" s="128"/>
      <c r="I49" s="128"/>
      <c r="J49" s="129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0"/>
      <c r="B50" s="32" t="s">
        <v>69</v>
      </c>
      <c r="C50" s="11"/>
      <c r="D50" s="12">
        <f>C50*1.5</f>
        <v>0</v>
      </c>
      <c r="F50" s="126"/>
      <c r="G50" s="130"/>
      <c r="H50" s="131"/>
      <c r="I50" s="131"/>
      <c r="J50" s="132"/>
      <c r="O50" t="s">
        <v>114</v>
      </c>
      <c r="P50" s="4">
        <v>1204</v>
      </c>
      <c r="Q50" s="4"/>
      <c r="R50" s="5"/>
    </row>
    <row r="51" spans="1:18" ht="15" customHeight="1" x14ac:dyDescent="0.25">
      <c r="A51" s="120"/>
      <c r="B51" s="27"/>
      <c r="C51" s="10"/>
      <c r="D51" s="31"/>
      <c r="F51" s="133" t="s">
        <v>112</v>
      </c>
      <c r="G51" s="135">
        <f>G49-H29</f>
        <v>0</v>
      </c>
      <c r="H51" s="136"/>
      <c r="I51" s="136"/>
      <c r="J51" s="137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20"/>
      <c r="B52" s="29"/>
      <c r="C52" s="33"/>
      <c r="D52" s="45"/>
      <c r="F52" s="134"/>
      <c r="G52" s="138"/>
      <c r="H52" s="139"/>
      <c r="I52" s="139"/>
      <c r="J52" s="140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1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05" t="s">
        <v>89</v>
      </c>
      <c r="B54" s="106"/>
      <c r="C54" s="107"/>
      <c r="D54" s="111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08"/>
      <c r="B55" s="109"/>
      <c r="C55" s="110"/>
      <c r="D55" s="11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119</v>
      </c>
      <c r="D57" s="34"/>
      <c r="F57" s="36"/>
      <c r="G57" s="50"/>
      <c r="H57" s="50"/>
      <c r="I57" s="50"/>
      <c r="J57" s="43"/>
    </row>
    <row r="58" spans="1:18" x14ac:dyDescent="0.25">
      <c r="A58" s="113" t="s">
        <v>90</v>
      </c>
      <c r="B58" s="114"/>
      <c r="C58" s="114"/>
      <c r="D58" s="115"/>
      <c r="F58" s="113" t="s">
        <v>91</v>
      </c>
      <c r="G58" s="114"/>
      <c r="H58" s="114"/>
      <c r="I58" s="114"/>
      <c r="J58" s="115"/>
    </row>
    <row r="59" spans="1:18" x14ac:dyDescent="0.25">
      <c r="A59" s="116"/>
      <c r="B59" s="117"/>
      <c r="C59" s="117"/>
      <c r="D59" s="118"/>
      <c r="F59" s="116"/>
      <c r="G59" s="117"/>
      <c r="H59" s="117"/>
      <c r="I59" s="117"/>
      <c r="J59" s="118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BD3EF8-75F8-472F-912A-02E756786B7C}">
  <dimension ref="A1:R59"/>
  <sheetViews>
    <sheetView topLeftCell="A25" zoomScaleNormal="100" zoomScaleSheetLayoutView="85" workbookViewId="0">
      <selection activeCell="H46" sqref="H46:J46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1" t="s">
        <v>1</v>
      </c>
      <c r="O1" s="201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2" t="s">
        <v>7</v>
      </c>
      <c r="B4" s="153"/>
      <c r="C4" s="153"/>
      <c r="D4" s="154"/>
      <c r="F4" s="202" t="s">
        <v>8</v>
      </c>
      <c r="G4" s="204">
        <v>3</v>
      </c>
      <c r="H4" s="206" t="s">
        <v>9</v>
      </c>
      <c r="I4" s="208">
        <v>46156</v>
      </c>
      <c r="J4" s="20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6" t="s">
        <v>7</v>
      </c>
      <c r="B5" s="15" t="s">
        <v>11</v>
      </c>
      <c r="C5" s="9" t="s">
        <v>12</v>
      </c>
      <c r="D5" s="25" t="s">
        <v>13</v>
      </c>
      <c r="F5" s="203"/>
      <c r="G5" s="205"/>
      <c r="H5" s="207"/>
      <c r="I5" s="210"/>
      <c r="J5" s="21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7"/>
      <c r="B6" s="16" t="s">
        <v>15</v>
      </c>
      <c r="C6" s="10">
        <v>336</v>
      </c>
      <c r="D6" s="13">
        <f t="shared" ref="D6:D28" si="1">C6*L6</f>
        <v>255696</v>
      </c>
      <c r="F6" s="212" t="s">
        <v>16</v>
      </c>
      <c r="G6" s="214" t="s">
        <v>117</v>
      </c>
      <c r="H6" s="215"/>
      <c r="I6" s="215"/>
      <c r="J6" s="21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7"/>
      <c r="B7" s="16" t="s">
        <v>18</v>
      </c>
      <c r="C7" s="10">
        <v>20</v>
      </c>
      <c r="D7" s="13">
        <f t="shared" si="1"/>
        <v>15620</v>
      </c>
      <c r="F7" s="213"/>
      <c r="G7" s="217"/>
      <c r="H7" s="218"/>
      <c r="I7" s="218"/>
      <c r="J7" s="21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7"/>
      <c r="B8" s="16" t="s">
        <v>20</v>
      </c>
      <c r="C8" s="10"/>
      <c r="D8" s="13">
        <f t="shared" si="1"/>
        <v>0</v>
      </c>
      <c r="F8" s="220" t="s">
        <v>21</v>
      </c>
      <c r="G8" s="221" t="s">
        <v>110</v>
      </c>
      <c r="H8" s="222"/>
      <c r="I8" s="222"/>
      <c r="J8" s="22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7"/>
      <c r="B9" s="16" t="s">
        <v>23</v>
      </c>
      <c r="C9" s="10">
        <v>92</v>
      </c>
      <c r="D9" s="13">
        <f t="shared" si="1"/>
        <v>67436</v>
      </c>
      <c r="F9" s="213"/>
      <c r="G9" s="224"/>
      <c r="H9" s="225"/>
      <c r="I9" s="225"/>
      <c r="J9" s="22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7"/>
      <c r="B10" t="s">
        <v>25</v>
      </c>
      <c r="C10" s="10"/>
      <c r="D10" s="13">
        <f t="shared" si="1"/>
        <v>0</v>
      </c>
      <c r="F10" s="212" t="s">
        <v>26</v>
      </c>
      <c r="G10" s="227" t="s">
        <v>124</v>
      </c>
      <c r="H10" s="228"/>
      <c r="I10" s="228"/>
      <c r="J10" s="229"/>
      <c r="K10" s="8"/>
      <c r="L10" s="6">
        <f>R36</f>
        <v>1032</v>
      </c>
      <c r="P10" s="4"/>
      <c r="Q10" s="4"/>
      <c r="R10" s="5"/>
    </row>
    <row r="11" spans="1:18" ht="15.75" x14ac:dyDescent="0.25">
      <c r="A11" s="147"/>
      <c r="B11" s="17" t="s">
        <v>28</v>
      </c>
      <c r="C11" s="10"/>
      <c r="D11" s="13">
        <f t="shared" si="1"/>
        <v>0</v>
      </c>
      <c r="F11" s="213"/>
      <c r="G11" s="224"/>
      <c r="H11" s="225"/>
      <c r="I11" s="225"/>
      <c r="J11" s="22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7"/>
      <c r="B12" s="17" t="s">
        <v>30</v>
      </c>
      <c r="C12" s="10">
        <v>1</v>
      </c>
      <c r="D12" s="48">
        <f t="shared" si="1"/>
        <v>992</v>
      </c>
      <c r="F12" s="230" t="s">
        <v>33</v>
      </c>
      <c r="G12" s="231"/>
      <c r="H12" s="231"/>
      <c r="I12" s="231"/>
      <c r="J12" s="23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7"/>
      <c r="B13" s="17" t="s">
        <v>32</v>
      </c>
      <c r="C13" s="10">
        <v>14</v>
      </c>
      <c r="D13" s="48">
        <f t="shared" si="1"/>
        <v>4298</v>
      </c>
      <c r="F13" s="233" t="s">
        <v>36</v>
      </c>
      <c r="G13" s="197"/>
      <c r="H13" s="188">
        <f>D29</f>
        <v>344042</v>
      </c>
      <c r="I13" s="189"/>
      <c r="J13" s="19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7"/>
      <c r="B14" s="14" t="s">
        <v>35</v>
      </c>
      <c r="C14" s="10"/>
      <c r="D14" s="31">
        <f t="shared" si="1"/>
        <v>0</v>
      </c>
      <c r="F14" s="191" t="s">
        <v>38</v>
      </c>
      <c r="G14" s="192"/>
      <c r="H14" s="193">
        <f>D54</f>
        <v>46017.75</v>
      </c>
      <c r="I14" s="194"/>
      <c r="J14" s="19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7"/>
      <c r="B15" s="14" t="s">
        <v>122</v>
      </c>
      <c r="C15" s="10"/>
      <c r="D15" s="31">
        <f t="shared" si="1"/>
        <v>0</v>
      </c>
      <c r="F15" s="196" t="s">
        <v>39</v>
      </c>
      <c r="G15" s="197"/>
      <c r="H15" s="198">
        <f>H13-H14</f>
        <v>298024.25</v>
      </c>
      <c r="I15" s="199"/>
      <c r="J15" s="200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7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58">
        <v>1656</v>
      </c>
      <c r="I16" s="158"/>
      <c r="J16" s="158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7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69"/>
      <c r="I17" s="169"/>
      <c r="J17" s="169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7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69"/>
      <c r="I18" s="169"/>
      <c r="J18" s="169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7"/>
      <c r="B19" s="87" t="s">
        <v>105</v>
      </c>
      <c r="C19" s="10"/>
      <c r="D19" s="48">
        <f t="shared" si="1"/>
        <v>0</v>
      </c>
      <c r="F19" s="56"/>
      <c r="G19" s="68" t="s">
        <v>49</v>
      </c>
      <c r="H19" s="253">
        <v>50</v>
      </c>
      <c r="I19" s="253"/>
      <c r="J19" s="253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7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58"/>
      <c r="I20" s="158"/>
      <c r="J20" s="158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7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71" t="s">
        <v>13</v>
      </c>
      <c r="I21" s="172"/>
      <c r="J21" s="173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7"/>
      <c r="B22" s="46" t="s">
        <v>103</v>
      </c>
      <c r="C22" s="10"/>
      <c r="D22" s="48">
        <f t="shared" si="1"/>
        <v>0</v>
      </c>
      <c r="F22" s="77"/>
      <c r="G22" s="73"/>
      <c r="H22" s="174"/>
      <c r="I22" s="174"/>
      <c r="J22" s="174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7"/>
      <c r="B23" s="14" t="s">
        <v>121</v>
      </c>
      <c r="C23" s="10"/>
      <c r="D23" s="48">
        <f t="shared" si="1"/>
        <v>0</v>
      </c>
      <c r="F23" s="78"/>
      <c r="G23" s="79"/>
      <c r="H23" s="175"/>
      <c r="I23" s="144"/>
      <c r="J23" s="144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7"/>
      <c r="B24" s="14" t="s">
        <v>128</v>
      </c>
      <c r="C24" s="10"/>
      <c r="D24" s="48">
        <f t="shared" si="1"/>
        <v>0</v>
      </c>
      <c r="F24" s="38"/>
      <c r="G24" s="37"/>
      <c r="H24" s="175"/>
      <c r="I24" s="144"/>
      <c r="J24" s="144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7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76" t="s">
        <v>13</v>
      </c>
      <c r="I25" s="177"/>
      <c r="J25" s="178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7"/>
      <c r="B26" s="14" t="s">
        <v>129</v>
      </c>
      <c r="C26" s="10"/>
      <c r="D26" s="48">
        <f t="shared" si="1"/>
        <v>0</v>
      </c>
      <c r="F26" s="64"/>
      <c r="G26" s="59"/>
      <c r="H26" s="179"/>
      <c r="I26" s="180"/>
      <c r="J26" s="181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7"/>
      <c r="B27" s="14" t="s">
        <v>130</v>
      </c>
      <c r="C27" s="10"/>
      <c r="D27" s="44">
        <f t="shared" si="1"/>
        <v>0</v>
      </c>
      <c r="F27" s="25"/>
      <c r="G27" s="80"/>
      <c r="H27" s="182"/>
      <c r="I27" s="183"/>
      <c r="J27" s="184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8"/>
      <c r="B28" s="46" t="s">
        <v>92</v>
      </c>
      <c r="C28" s="10"/>
      <c r="D28" s="48">
        <f t="shared" si="1"/>
        <v>0</v>
      </c>
      <c r="F28" s="91"/>
      <c r="G28" s="61"/>
      <c r="H28" s="185"/>
      <c r="I28" s="186"/>
      <c r="J28" s="187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9" t="s">
        <v>36</v>
      </c>
      <c r="B29" s="160"/>
      <c r="C29" s="161"/>
      <c r="D29" s="165">
        <f>SUM(D6:D28)</f>
        <v>344042</v>
      </c>
      <c r="F29" s="105" t="s">
        <v>54</v>
      </c>
      <c r="G29" s="167"/>
      <c r="H29" s="127">
        <f>H15-H16-H17-H18-H19-H20-H22-H23-H24+H26+H27</f>
        <v>296318.25</v>
      </c>
      <c r="I29" s="128"/>
      <c r="J29" s="129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08"/>
      <c r="G30" s="168"/>
      <c r="H30" s="130"/>
      <c r="I30" s="131"/>
      <c r="J30" s="132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2" t="s">
        <v>57</v>
      </c>
      <c r="B32" s="153"/>
      <c r="C32" s="153"/>
      <c r="D32" s="154"/>
      <c r="F32" s="155" t="s">
        <v>58</v>
      </c>
      <c r="G32" s="156"/>
      <c r="H32" s="156"/>
      <c r="I32" s="156"/>
      <c r="J32" s="157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2" t="s">
        <v>62</v>
      </c>
      <c r="H33" s="155" t="s">
        <v>13</v>
      </c>
      <c r="I33" s="156"/>
      <c r="J33" s="157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6" t="s">
        <v>64</v>
      </c>
      <c r="B34" s="26" t="s">
        <v>65</v>
      </c>
      <c r="C34" s="51"/>
      <c r="D34" s="30">
        <f>C34*120</f>
        <v>0</v>
      </c>
      <c r="F34" s="12">
        <v>1000</v>
      </c>
      <c r="G34" s="74">
        <v>76</v>
      </c>
      <c r="H34" s="149">
        <f>F34*G34</f>
        <v>76000</v>
      </c>
      <c r="I34" s="150"/>
      <c r="J34" s="151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7"/>
      <c r="B35" s="27" t="s">
        <v>67</v>
      </c>
      <c r="C35" s="52"/>
      <c r="D35" s="30">
        <f>C35*84</f>
        <v>0</v>
      </c>
      <c r="F35" s="58">
        <v>500</v>
      </c>
      <c r="G35" s="41">
        <v>34</v>
      </c>
      <c r="H35" s="149">
        <f>F35*G35</f>
        <v>17000</v>
      </c>
      <c r="I35" s="150"/>
      <c r="J35" s="15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8"/>
      <c r="B36" s="26" t="s">
        <v>69</v>
      </c>
      <c r="C36" s="10"/>
      <c r="D36" s="12">
        <f>C36*1.5</f>
        <v>0</v>
      </c>
      <c r="F36" s="12">
        <v>200</v>
      </c>
      <c r="G36" s="37"/>
      <c r="H36" s="149">
        <f t="shared" ref="H36:H39" si="2">F36*G36</f>
        <v>0</v>
      </c>
      <c r="I36" s="150"/>
      <c r="J36" s="151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6" t="s">
        <v>71</v>
      </c>
      <c r="B37" s="28" t="s">
        <v>65</v>
      </c>
      <c r="C37" s="53">
        <v>393</v>
      </c>
      <c r="D37" s="12">
        <f>C37*111</f>
        <v>43623</v>
      </c>
      <c r="F37" s="12">
        <v>100</v>
      </c>
      <c r="G37" s="39"/>
      <c r="H37" s="149">
        <f t="shared" si="2"/>
        <v>0</v>
      </c>
      <c r="I37" s="150"/>
      <c r="J37" s="151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7"/>
      <c r="B38" s="29" t="s">
        <v>67</v>
      </c>
      <c r="C38" s="54">
        <v>6</v>
      </c>
      <c r="D38" s="12">
        <f>C38*84</f>
        <v>504</v>
      </c>
      <c r="F38" s="30">
        <v>50</v>
      </c>
      <c r="G38" s="39">
        <v>1</v>
      </c>
      <c r="H38" s="149">
        <f t="shared" si="2"/>
        <v>50</v>
      </c>
      <c r="I38" s="150"/>
      <c r="J38" s="151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8"/>
      <c r="B39" s="29" t="s">
        <v>69</v>
      </c>
      <c r="C39" s="52"/>
      <c r="D39" s="31">
        <f>C39*4.5</f>
        <v>0</v>
      </c>
      <c r="F39" s="12">
        <v>20</v>
      </c>
      <c r="G39" s="37"/>
      <c r="H39" s="149">
        <f t="shared" si="2"/>
        <v>0</v>
      </c>
      <c r="I39" s="150"/>
      <c r="J39" s="15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6" t="s">
        <v>75</v>
      </c>
      <c r="B40" s="27" t="s">
        <v>65</v>
      </c>
      <c r="C40" s="63">
        <v>7</v>
      </c>
      <c r="D40" s="12">
        <f>C40*111</f>
        <v>777</v>
      </c>
      <c r="F40" s="12">
        <v>10</v>
      </c>
      <c r="G40" s="42"/>
      <c r="H40" s="149"/>
      <c r="I40" s="150"/>
      <c r="J40" s="151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7"/>
      <c r="B41" s="27" t="s">
        <v>67</v>
      </c>
      <c r="C41" s="10">
        <v>3</v>
      </c>
      <c r="D41" s="12">
        <f>C41*84</f>
        <v>252</v>
      </c>
      <c r="F41" s="12">
        <v>5</v>
      </c>
      <c r="G41" s="42"/>
      <c r="H41" s="149"/>
      <c r="I41" s="150"/>
      <c r="J41" s="151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8"/>
      <c r="B42" s="27" t="s">
        <v>69</v>
      </c>
      <c r="C42" s="11">
        <v>1</v>
      </c>
      <c r="D42" s="12">
        <f>C42*2.25</f>
        <v>2.25</v>
      </c>
      <c r="F42" s="39" t="s">
        <v>78</v>
      </c>
      <c r="G42" s="149"/>
      <c r="H42" s="150"/>
      <c r="I42" s="150"/>
      <c r="J42" s="151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19" t="s">
        <v>80</v>
      </c>
      <c r="C43" s="11"/>
      <c r="D43" s="12"/>
      <c r="F43" s="59" t="s">
        <v>81</v>
      </c>
      <c r="G43" s="88" t="s">
        <v>82</v>
      </c>
      <c r="H43" s="141" t="s">
        <v>13</v>
      </c>
      <c r="I43" s="142"/>
      <c r="J43" s="143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20"/>
      <c r="B44" s="27" t="s">
        <v>65</v>
      </c>
      <c r="C44" s="10"/>
      <c r="D44" s="12">
        <f>C44*120</f>
        <v>0</v>
      </c>
      <c r="F44" s="37" t="s">
        <v>132</v>
      </c>
      <c r="G44" s="76" t="s">
        <v>174</v>
      </c>
      <c r="H44" s="144">
        <v>183675</v>
      </c>
      <c r="I44" s="144"/>
      <c r="J44" s="144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20"/>
      <c r="B45" s="27" t="s">
        <v>67</v>
      </c>
      <c r="C45" s="33">
        <v>1</v>
      </c>
      <c r="D45" s="12">
        <f>C45*84</f>
        <v>84</v>
      </c>
      <c r="F45" s="37" t="s">
        <v>175</v>
      </c>
      <c r="G45" s="76" t="s">
        <v>176</v>
      </c>
      <c r="H45" s="144">
        <v>19904</v>
      </c>
      <c r="I45" s="144"/>
      <c r="J45" s="144"/>
      <c r="K45" s="21"/>
      <c r="P45" s="4"/>
      <c r="Q45" s="4"/>
      <c r="R45" s="5"/>
    </row>
    <row r="46" spans="1:18" ht="15.75" x14ac:dyDescent="0.25">
      <c r="A46" s="120"/>
      <c r="B46" s="49" t="s">
        <v>69</v>
      </c>
      <c r="C46" s="81">
        <v>20</v>
      </c>
      <c r="D46" s="12">
        <f>C46*1.5</f>
        <v>30</v>
      </c>
      <c r="F46" s="37"/>
      <c r="G46" s="62"/>
      <c r="H46" s="145"/>
      <c r="I46" s="145"/>
      <c r="J46" s="145"/>
      <c r="K46" s="21"/>
      <c r="P46" s="4"/>
      <c r="Q46" s="4"/>
      <c r="R46" s="5"/>
    </row>
    <row r="47" spans="1:18" ht="15.75" x14ac:dyDescent="0.25">
      <c r="A47" s="121"/>
      <c r="B47" s="27"/>
      <c r="C47" s="11"/>
      <c r="D47" s="12"/>
      <c r="F47" s="59"/>
      <c r="G47" s="59"/>
      <c r="H47" s="122"/>
      <c r="I47" s="123"/>
      <c r="J47" s="124"/>
      <c r="K47" s="21"/>
      <c r="P47" s="4"/>
      <c r="Q47" s="4"/>
      <c r="R47" s="5"/>
    </row>
    <row r="48" spans="1:18" ht="15" customHeight="1" x14ac:dyDescent="0.25">
      <c r="A48" s="119" t="s">
        <v>32</v>
      </c>
      <c r="B48" s="27" t="s">
        <v>65</v>
      </c>
      <c r="C48" s="10">
        <v>4</v>
      </c>
      <c r="D48" s="12">
        <f>C48*78</f>
        <v>312</v>
      </c>
      <c r="F48" s="59"/>
      <c r="G48" s="59"/>
      <c r="H48" s="122"/>
      <c r="I48" s="123"/>
      <c r="J48" s="124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20"/>
      <c r="B49" s="29" t="s">
        <v>67</v>
      </c>
      <c r="C49" s="33">
        <v>10</v>
      </c>
      <c r="D49" s="12">
        <f>C49*42</f>
        <v>420</v>
      </c>
      <c r="F49" s="125" t="s">
        <v>85</v>
      </c>
      <c r="G49" s="127">
        <f>H34+H35+H36+H37+H38+H39+H40+H41+G42+H44+H45+H46</f>
        <v>296629</v>
      </c>
      <c r="H49" s="128"/>
      <c r="I49" s="128"/>
      <c r="J49" s="129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0"/>
      <c r="B50" s="32" t="s">
        <v>69</v>
      </c>
      <c r="C50" s="11">
        <v>9</v>
      </c>
      <c r="D50" s="12">
        <f>C50*1.5</f>
        <v>13.5</v>
      </c>
      <c r="F50" s="126"/>
      <c r="G50" s="130"/>
      <c r="H50" s="131"/>
      <c r="I50" s="131"/>
      <c r="J50" s="132"/>
      <c r="O50" t="s">
        <v>114</v>
      </c>
      <c r="P50" s="4">
        <v>1204</v>
      </c>
      <c r="Q50" s="4"/>
      <c r="R50" s="5"/>
    </row>
    <row r="51" spans="1:18" ht="15" customHeight="1" x14ac:dyDescent="0.25">
      <c r="A51" s="120"/>
      <c r="B51" s="27"/>
      <c r="C51" s="10"/>
      <c r="D51" s="31"/>
      <c r="F51" s="133" t="s">
        <v>115</v>
      </c>
      <c r="G51" s="135">
        <f>G49-H29</f>
        <v>310.75</v>
      </c>
      <c r="H51" s="136"/>
      <c r="I51" s="136"/>
      <c r="J51" s="137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20"/>
      <c r="B52" s="29"/>
      <c r="C52" s="33"/>
      <c r="D52" s="45"/>
      <c r="F52" s="134"/>
      <c r="G52" s="138"/>
      <c r="H52" s="139"/>
      <c r="I52" s="139"/>
      <c r="J52" s="140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1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05" t="s">
        <v>89</v>
      </c>
      <c r="B54" s="106"/>
      <c r="C54" s="107"/>
      <c r="D54" s="111">
        <f>SUM(D34:D53)</f>
        <v>46017.75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08"/>
      <c r="B55" s="109"/>
      <c r="C55" s="110"/>
      <c r="D55" s="11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13" t="s">
        <v>90</v>
      </c>
      <c r="B58" s="114"/>
      <c r="C58" s="114"/>
      <c r="D58" s="115"/>
      <c r="F58" s="113" t="s">
        <v>91</v>
      </c>
      <c r="G58" s="114"/>
      <c r="H58" s="114"/>
      <c r="I58" s="114"/>
      <c r="J58" s="115"/>
    </row>
    <row r="59" spans="1:18" x14ac:dyDescent="0.25">
      <c r="A59" s="116"/>
      <c r="B59" s="117"/>
      <c r="C59" s="117"/>
      <c r="D59" s="118"/>
      <c r="F59" s="116"/>
      <c r="G59" s="117"/>
      <c r="H59" s="117"/>
      <c r="I59" s="117"/>
      <c r="J59" s="118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F97033-8960-4E47-A585-BECBD678508D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01" t="s">
        <v>1</v>
      </c>
      <c r="O1" s="201"/>
      <c r="P1" s="90" t="s">
        <v>2</v>
      </c>
      <c r="Q1" s="90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52" t="s">
        <v>7</v>
      </c>
      <c r="B4" s="153"/>
      <c r="C4" s="153"/>
      <c r="D4" s="154"/>
      <c r="F4" s="202" t="s">
        <v>8</v>
      </c>
      <c r="G4" s="204"/>
      <c r="H4" s="206" t="s">
        <v>9</v>
      </c>
      <c r="I4" s="208"/>
      <c r="J4" s="20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46" t="s">
        <v>7</v>
      </c>
      <c r="B5" s="15" t="s">
        <v>11</v>
      </c>
      <c r="C5" s="9" t="s">
        <v>12</v>
      </c>
      <c r="D5" s="25" t="s">
        <v>13</v>
      </c>
      <c r="F5" s="203"/>
      <c r="G5" s="205"/>
      <c r="H5" s="207"/>
      <c r="I5" s="210"/>
      <c r="J5" s="21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47"/>
      <c r="B6" s="16"/>
      <c r="C6" s="10"/>
      <c r="D6" s="13">
        <f t="shared" ref="D6:D28" si="1">C6*L6</f>
        <v>0</v>
      </c>
      <c r="F6" s="212" t="s">
        <v>16</v>
      </c>
      <c r="G6" s="214"/>
      <c r="H6" s="215"/>
      <c r="I6" s="215"/>
      <c r="J6" s="216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47"/>
      <c r="B7" s="16"/>
      <c r="C7" s="10"/>
      <c r="D7" s="13">
        <f t="shared" si="1"/>
        <v>0</v>
      </c>
      <c r="F7" s="213"/>
      <c r="G7" s="217"/>
      <c r="H7" s="218"/>
      <c r="I7" s="218"/>
      <c r="J7" s="219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47"/>
      <c r="B8" s="16"/>
      <c r="C8" s="10"/>
      <c r="D8" s="13">
        <f t="shared" si="1"/>
        <v>0</v>
      </c>
      <c r="F8" s="220" t="s">
        <v>21</v>
      </c>
      <c r="G8" s="221"/>
      <c r="H8" s="222"/>
      <c r="I8" s="222"/>
      <c r="J8" s="223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47"/>
      <c r="B9" s="16"/>
      <c r="C9" s="10"/>
      <c r="D9" s="13">
        <f t="shared" si="1"/>
        <v>0</v>
      </c>
      <c r="F9" s="213"/>
      <c r="G9" s="224"/>
      <c r="H9" s="225"/>
      <c r="I9" s="225"/>
      <c r="J9" s="226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47"/>
      <c r="C10" s="10"/>
      <c r="D10" s="13">
        <f t="shared" si="1"/>
        <v>0</v>
      </c>
      <c r="F10" s="212" t="s">
        <v>26</v>
      </c>
      <c r="G10" s="227"/>
      <c r="H10" s="228"/>
      <c r="I10" s="228"/>
      <c r="J10" s="229"/>
      <c r="K10" s="8"/>
      <c r="L10" s="6">
        <f>R36</f>
        <v>972</v>
      </c>
      <c r="P10" s="4"/>
      <c r="Q10" s="4"/>
      <c r="R10" s="5"/>
    </row>
    <row r="11" spans="1:19" ht="15.75" x14ac:dyDescent="0.25">
      <c r="A11" s="147"/>
      <c r="B11" s="17"/>
      <c r="C11" s="10"/>
      <c r="D11" s="13">
        <f t="shared" si="1"/>
        <v>0</v>
      </c>
      <c r="F11" s="213"/>
      <c r="G11" s="224"/>
      <c r="H11" s="225"/>
      <c r="I11" s="225"/>
      <c r="J11" s="226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47"/>
      <c r="B12" s="17"/>
      <c r="C12" s="10"/>
      <c r="D12" s="48">
        <f t="shared" si="1"/>
        <v>0</v>
      </c>
      <c r="F12" s="230" t="s">
        <v>33</v>
      </c>
      <c r="G12" s="231"/>
      <c r="H12" s="231"/>
      <c r="I12" s="231"/>
      <c r="J12" s="232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47"/>
      <c r="B13" s="17"/>
      <c r="C13" s="10"/>
      <c r="D13" s="48">
        <f t="shared" si="1"/>
        <v>0</v>
      </c>
      <c r="F13" s="233" t="s">
        <v>36</v>
      </c>
      <c r="G13" s="197"/>
      <c r="H13" s="188">
        <f>D29</f>
        <v>0</v>
      </c>
      <c r="I13" s="189"/>
      <c r="J13" s="19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47"/>
      <c r="B14" s="14"/>
      <c r="C14" s="10"/>
      <c r="D14" s="31">
        <f t="shared" si="1"/>
        <v>0</v>
      </c>
      <c r="F14" s="191" t="s">
        <v>38</v>
      </c>
      <c r="G14" s="192"/>
      <c r="H14" s="193">
        <f>D54</f>
        <v>0</v>
      </c>
      <c r="I14" s="194"/>
      <c r="J14" s="19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47"/>
      <c r="B15" s="14"/>
      <c r="C15" s="10"/>
      <c r="D15" s="31">
        <f t="shared" si="1"/>
        <v>0</v>
      </c>
      <c r="F15" s="196" t="s">
        <v>39</v>
      </c>
      <c r="G15" s="197"/>
      <c r="H15" s="198">
        <f>H13-H14</f>
        <v>0</v>
      </c>
      <c r="I15" s="199"/>
      <c r="J15" s="200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47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58"/>
      <c r="I16" s="158"/>
      <c r="J16" s="158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7"/>
      <c r="C17" s="10"/>
      <c r="D17" s="48">
        <f t="shared" si="1"/>
        <v>0</v>
      </c>
      <c r="F17" s="56"/>
      <c r="G17" s="66" t="s">
        <v>44</v>
      </c>
      <c r="H17" s="169"/>
      <c r="I17" s="169"/>
      <c r="J17" s="169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7"/>
      <c r="B18" s="19"/>
      <c r="C18" s="10"/>
      <c r="D18" s="48">
        <f t="shared" si="1"/>
        <v>0</v>
      </c>
      <c r="F18" s="56"/>
      <c r="G18" s="66" t="s">
        <v>46</v>
      </c>
      <c r="H18" s="169"/>
      <c r="I18" s="169"/>
      <c r="J18" s="16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7"/>
      <c r="B19" s="14"/>
      <c r="C19" s="10"/>
      <c r="D19" s="48">
        <f t="shared" si="1"/>
        <v>0</v>
      </c>
      <c r="F19" s="56"/>
      <c r="G19" s="68" t="s">
        <v>49</v>
      </c>
      <c r="H19" s="170"/>
      <c r="I19" s="170"/>
      <c r="J19" s="170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7"/>
      <c r="B20" s="46"/>
      <c r="C20" s="10"/>
      <c r="D20" s="13">
        <f t="shared" si="1"/>
        <v>0</v>
      </c>
      <c r="F20" s="57"/>
      <c r="G20" s="70" t="s">
        <v>102</v>
      </c>
      <c r="H20" s="158"/>
      <c r="I20" s="158"/>
      <c r="J20" s="158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7"/>
      <c r="B21" s="14"/>
      <c r="C21" s="10"/>
      <c r="D21" s="48">
        <f t="shared" si="1"/>
        <v>0</v>
      </c>
      <c r="F21" s="69" t="s">
        <v>94</v>
      </c>
      <c r="G21" s="82" t="s">
        <v>93</v>
      </c>
      <c r="H21" s="171" t="s">
        <v>13</v>
      </c>
      <c r="I21" s="172"/>
      <c r="J21" s="173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7"/>
      <c r="B22" s="46"/>
      <c r="C22" s="10"/>
      <c r="D22" s="48">
        <f t="shared" si="1"/>
        <v>0</v>
      </c>
      <c r="F22" s="77"/>
      <c r="G22" s="73"/>
      <c r="H22" s="174"/>
      <c r="I22" s="174"/>
      <c r="J22" s="174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7"/>
      <c r="B23" s="14"/>
      <c r="C23" s="10"/>
      <c r="D23" s="48">
        <f t="shared" si="1"/>
        <v>0</v>
      </c>
      <c r="F23" s="78"/>
      <c r="G23" s="79"/>
      <c r="H23" s="175"/>
      <c r="I23" s="144"/>
      <c r="J23" s="144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7"/>
      <c r="B24" s="14"/>
      <c r="C24" s="10"/>
      <c r="D24" s="48">
        <f t="shared" si="1"/>
        <v>0</v>
      </c>
      <c r="F24" s="38"/>
      <c r="G24" s="37"/>
      <c r="H24" s="175"/>
      <c r="I24" s="144"/>
      <c r="J24" s="144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7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176" t="s">
        <v>13</v>
      </c>
      <c r="I25" s="177"/>
      <c r="J25" s="178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7"/>
      <c r="B26" s="14"/>
      <c r="C26" s="10"/>
      <c r="D26" s="48">
        <f t="shared" si="1"/>
        <v>0</v>
      </c>
      <c r="F26" s="64"/>
      <c r="G26" s="59"/>
      <c r="H26" s="179"/>
      <c r="I26" s="180"/>
      <c r="J26" s="181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7"/>
      <c r="B27" s="14"/>
      <c r="C27" s="10"/>
      <c r="D27" s="44">
        <f t="shared" si="1"/>
        <v>0</v>
      </c>
      <c r="F27" s="25"/>
      <c r="G27" s="80"/>
      <c r="H27" s="182"/>
      <c r="I27" s="183"/>
      <c r="J27" s="184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8"/>
      <c r="B28" s="46"/>
      <c r="C28" s="10"/>
      <c r="D28" s="48">
        <f t="shared" si="1"/>
        <v>0</v>
      </c>
      <c r="F28" s="91"/>
      <c r="G28" s="61"/>
      <c r="H28" s="185"/>
      <c r="I28" s="186"/>
      <c r="J28" s="187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9" t="s">
        <v>36</v>
      </c>
      <c r="B29" s="160"/>
      <c r="C29" s="161"/>
      <c r="D29" s="165">
        <f>SUM(D6:D28)</f>
        <v>0</v>
      </c>
      <c r="F29" s="105" t="s">
        <v>54</v>
      </c>
      <c r="G29" s="167"/>
      <c r="H29" s="127">
        <f>H15-H16-H17-H18-H19-H20-H22-H23-H24+H26+H27</f>
        <v>0</v>
      </c>
      <c r="I29" s="128"/>
      <c r="J29" s="129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08"/>
      <c r="G30" s="168"/>
      <c r="H30" s="130"/>
      <c r="I30" s="131"/>
      <c r="J30" s="132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52" t="s">
        <v>57</v>
      </c>
      <c r="B32" s="153"/>
      <c r="C32" s="153"/>
      <c r="D32" s="154"/>
      <c r="F32" s="155" t="s">
        <v>58</v>
      </c>
      <c r="G32" s="156"/>
      <c r="H32" s="156"/>
      <c r="I32" s="156"/>
      <c r="J32" s="157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2" t="s">
        <v>62</v>
      </c>
      <c r="H33" s="155" t="s">
        <v>13</v>
      </c>
      <c r="I33" s="156"/>
      <c r="J33" s="157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6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149"/>
      <c r="I34" s="150"/>
      <c r="J34" s="151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7"/>
      <c r="B35" s="27" t="s">
        <v>67</v>
      </c>
      <c r="C35" s="52"/>
      <c r="D35" s="30">
        <f>C35*84</f>
        <v>0</v>
      </c>
      <c r="F35" s="58">
        <v>500</v>
      </c>
      <c r="G35" s="41"/>
      <c r="H35" s="149"/>
      <c r="I35" s="150"/>
      <c r="J35" s="15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8"/>
      <c r="B36" s="26" t="s">
        <v>69</v>
      </c>
      <c r="C36" s="10"/>
      <c r="D36" s="12">
        <f>C36*1.5</f>
        <v>0</v>
      </c>
      <c r="F36" s="12">
        <v>200</v>
      </c>
      <c r="G36" s="37"/>
      <c r="H36" s="149"/>
      <c r="I36" s="150"/>
      <c r="J36" s="151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6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49"/>
      <c r="I37" s="150"/>
      <c r="J37" s="151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7"/>
      <c r="B38" s="29" t="s">
        <v>67</v>
      </c>
      <c r="C38" s="54"/>
      <c r="D38" s="12">
        <f>C38*84</f>
        <v>0</v>
      </c>
      <c r="F38" s="30">
        <v>50</v>
      </c>
      <c r="G38" s="39"/>
      <c r="H38" s="149"/>
      <c r="I38" s="150"/>
      <c r="J38" s="151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8"/>
      <c r="B39" s="29" t="s">
        <v>69</v>
      </c>
      <c r="C39" s="52"/>
      <c r="D39" s="31">
        <f>C39*4.5</f>
        <v>0</v>
      </c>
      <c r="F39" s="12">
        <v>20</v>
      </c>
      <c r="G39" s="37"/>
      <c r="H39" s="149"/>
      <c r="I39" s="150"/>
      <c r="J39" s="15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6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49"/>
      <c r="I40" s="150"/>
      <c r="J40" s="151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7"/>
      <c r="B41" s="27" t="s">
        <v>67</v>
      </c>
      <c r="C41" s="10"/>
      <c r="D41" s="12">
        <f>C41*84</f>
        <v>0</v>
      </c>
      <c r="F41" s="12">
        <v>5</v>
      </c>
      <c r="G41" s="42"/>
      <c r="H41" s="149"/>
      <c r="I41" s="150"/>
      <c r="J41" s="151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8"/>
      <c r="B42" s="27" t="s">
        <v>69</v>
      </c>
      <c r="C42" s="11"/>
      <c r="D42" s="12">
        <f>C42*2.25</f>
        <v>0</v>
      </c>
      <c r="F42" s="39" t="s">
        <v>78</v>
      </c>
      <c r="G42" s="149"/>
      <c r="H42" s="150"/>
      <c r="I42" s="150"/>
      <c r="J42" s="151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19" t="s">
        <v>80</v>
      </c>
      <c r="C43" s="11"/>
      <c r="D43" s="12"/>
      <c r="F43" s="59" t="s">
        <v>81</v>
      </c>
      <c r="G43" s="88" t="s">
        <v>82</v>
      </c>
      <c r="H43" s="141" t="s">
        <v>13</v>
      </c>
      <c r="I43" s="142"/>
      <c r="J43" s="143"/>
      <c r="K43" s="21"/>
      <c r="P43" s="4"/>
      <c r="Q43" s="4"/>
      <c r="R43" s="5"/>
    </row>
    <row r="44" spans="1:18" ht="15.75" x14ac:dyDescent="0.25">
      <c r="A44" s="120"/>
      <c r="B44" s="27" t="s">
        <v>65</v>
      </c>
      <c r="C44" s="10"/>
      <c r="D44" s="12">
        <f>C44*120</f>
        <v>0</v>
      </c>
      <c r="F44" s="37"/>
      <c r="G44" s="76"/>
      <c r="H44" s="144"/>
      <c r="I44" s="144"/>
      <c r="J44" s="144"/>
      <c r="K44" s="21"/>
      <c r="P44" s="4"/>
      <c r="Q44" s="4"/>
      <c r="R44" s="5"/>
    </row>
    <row r="45" spans="1:18" ht="15.75" x14ac:dyDescent="0.25">
      <c r="A45" s="120"/>
      <c r="B45" s="27" t="s">
        <v>67</v>
      </c>
      <c r="C45" s="33"/>
      <c r="D45" s="12">
        <f>C45*84</f>
        <v>0</v>
      </c>
      <c r="F45" s="37"/>
      <c r="G45" s="76"/>
      <c r="H45" s="144"/>
      <c r="I45" s="144"/>
      <c r="J45" s="144"/>
      <c r="K45" s="21"/>
      <c r="P45" s="4"/>
      <c r="Q45" s="4"/>
      <c r="R45" s="5"/>
    </row>
    <row r="46" spans="1:18" ht="15.75" x14ac:dyDescent="0.25">
      <c r="A46" s="120"/>
      <c r="B46" s="49" t="s">
        <v>69</v>
      </c>
      <c r="C46" s="81"/>
      <c r="D46" s="12">
        <f>C46*1.5</f>
        <v>0</v>
      </c>
      <c r="F46" s="37"/>
      <c r="G46" s="62"/>
      <c r="H46" s="145"/>
      <c r="I46" s="145"/>
      <c r="J46" s="145"/>
      <c r="K46" s="21"/>
      <c r="P46" s="4"/>
      <c r="Q46" s="4"/>
      <c r="R46" s="5"/>
    </row>
    <row r="47" spans="1:18" ht="15.75" x14ac:dyDescent="0.25">
      <c r="A47" s="121"/>
      <c r="B47" s="27"/>
      <c r="C47" s="11"/>
      <c r="D47" s="12"/>
      <c r="F47" s="59"/>
      <c r="G47" s="59"/>
      <c r="H47" s="122"/>
      <c r="I47" s="123"/>
      <c r="J47" s="124"/>
      <c r="K47" s="21"/>
      <c r="P47" s="4"/>
      <c r="Q47" s="4"/>
      <c r="R47" s="5"/>
    </row>
    <row r="48" spans="1:18" ht="15" customHeight="1" x14ac:dyDescent="0.25">
      <c r="A48" s="119" t="s">
        <v>32</v>
      </c>
      <c r="B48" s="27" t="s">
        <v>65</v>
      </c>
      <c r="C48" s="10"/>
      <c r="D48" s="12">
        <f>C48*78</f>
        <v>0</v>
      </c>
      <c r="F48" s="59"/>
      <c r="G48" s="59"/>
      <c r="H48" s="122"/>
      <c r="I48" s="123"/>
      <c r="J48" s="124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20"/>
      <c r="B49" s="29" t="s">
        <v>67</v>
      </c>
      <c r="C49" s="33"/>
      <c r="D49" s="12">
        <f>C49*42</f>
        <v>0</v>
      </c>
      <c r="F49" s="125" t="s">
        <v>85</v>
      </c>
      <c r="G49" s="127">
        <f>H34+H35+H36+H37+H38+H39+H40+H41+G42+H44+H45+H46</f>
        <v>0</v>
      </c>
      <c r="H49" s="128"/>
      <c r="I49" s="128"/>
      <c r="J49" s="129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0"/>
      <c r="B50" s="32" t="s">
        <v>69</v>
      </c>
      <c r="C50" s="11"/>
      <c r="D50" s="12">
        <f>C50*1.5</f>
        <v>0</v>
      </c>
      <c r="F50" s="126"/>
      <c r="G50" s="130"/>
      <c r="H50" s="131"/>
      <c r="I50" s="131"/>
      <c r="J50" s="132"/>
      <c r="P50" s="4"/>
      <c r="Q50" s="4"/>
      <c r="R50" s="5"/>
    </row>
    <row r="51" spans="1:18" ht="15" customHeight="1" x14ac:dyDescent="0.25">
      <c r="A51" s="120"/>
      <c r="B51" s="27"/>
      <c r="C51" s="10"/>
      <c r="D51" s="31"/>
      <c r="F51" s="133" t="s">
        <v>106</v>
      </c>
      <c r="G51" s="135">
        <f>G49-H29</f>
        <v>0</v>
      </c>
      <c r="H51" s="136"/>
      <c r="I51" s="136"/>
      <c r="J51" s="137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0"/>
      <c r="B52" s="29"/>
      <c r="C52" s="33"/>
      <c r="D52" s="45"/>
      <c r="F52" s="134"/>
      <c r="G52" s="138"/>
      <c r="H52" s="139"/>
      <c r="I52" s="139"/>
      <c r="J52" s="140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1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05" t="s">
        <v>89</v>
      </c>
      <c r="B54" s="106"/>
      <c r="C54" s="107"/>
      <c r="D54" s="111">
        <f>SUM(D34:D53)</f>
        <v>0</v>
      </c>
      <c r="F54" s="21"/>
      <c r="J54" s="34"/>
    </row>
    <row r="55" spans="1:18" x14ac:dyDescent="0.25">
      <c r="A55" s="108"/>
      <c r="B55" s="109"/>
      <c r="C55" s="110"/>
      <c r="D55" s="11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13" t="s">
        <v>90</v>
      </c>
      <c r="B58" s="114"/>
      <c r="C58" s="114"/>
      <c r="D58" s="115"/>
      <c r="F58" s="113" t="s">
        <v>91</v>
      </c>
      <c r="G58" s="114"/>
      <c r="H58" s="114"/>
      <c r="I58" s="114"/>
      <c r="J58" s="115"/>
    </row>
    <row r="59" spans="1:18" x14ac:dyDescent="0.25">
      <c r="A59" s="116"/>
      <c r="B59" s="117"/>
      <c r="C59" s="117"/>
      <c r="D59" s="118"/>
      <c r="F59" s="116"/>
      <c r="G59" s="117"/>
      <c r="H59" s="117"/>
      <c r="I59" s="117"/>
      <c r="J59" s="118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E675C6-DB61-4E50-AB57-FFC9FFA13BA1}">
  <dimension ref="A1:R59"/>
  <sheetViews>
    <sheetView zoomScaleNormal="100" zoomScaleSheetLayoutView="85" workbookViewId="0">
      <selection activeCell="G6" sqref="G6:J11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1" t="s">
        <v>1</v>
      </c>
      <c r="O1" s="201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2" t="s">
        <v>7</v>
      </c>
      <c r="B4" s="153"/>
      <c r="C4" s="153"/>
      <c r="D4" s="154"/>
      <c r="F4" s="202" t="s">
        <v>8</v>
      </c>
      <c r="G4" s="204">
        <v>1</v>
      </c>
      <c r="H4" s="206" t="s">
        <v>9</v>
      </c>
      <c r="I4" s="208">
        <v>46157</v>
      </c>
      <c r="J4" s="20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6" t="s">
        <v>7</v>
      </c>
      <c r="B5" s="15" t="s">
        <v>11</v>
      </c>
      <c r="C5" s="9" t="s">
        <v>12</v>
      </c>
      <c r="D5" s="25" t="s">
        <v>13</v>
      </c>
      <c r="F5" s="203"/>
      <c r="G5" s="205"/>
      <c r="H5" s="207"/>
      <c r="I5" s="210"/>
      <c r="J5" s="21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7"/>
      <c r="B6" s="16" t="s">
        <v>15</v>
      </c>
      <c r="C6" s="10">
        <v>432</v>
      </c>
      <c r="D6" s="13">
        <f t="shared" ref="D6:D28" si="1">C6*L6</f>
        <v>328752</v>
      </c>
      <c r="F6" s="212" t="s">
        <v>16</v>
      </c>
      <c r="G6" s="214" t="s">
        <v>99</v>
      </c>
      <c r="H6" s="215"/>
      <c r="I6" s="215"/>
      <c r="J6" s="21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7"/>
      <c r="B7" s="16" t="s">
        <v>18</v>
      </c>
      <c r="C7" s="10">
        <v>2</v>
      </c>
      <c r="D7" s="13">
        <f t="shared" si="1"/>
        <v>1562</v>
      </c>
      <c r="F7" s="213"/>
      <c r="G7" s="217"/>
      <c r="H7" s="218"/>
      <c r="I7" s="218"/>
      <c r="J7" s="21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7"/>
      <c r="B8" s="16" t="s">
        <v>20</v>
      </c>
      <c r="C8" s="10"/>
      <c r="D8" s="13">
        <f t="shared" si="1"/>
        <v>0</v>
      </c>
      <c r="F8" s="220" t="s">
        <v>21</v>
      </c>
      <c r="G8" s="221" t="s">
        <v>120</v>
      </c>
      <c r="H8" s="222"/>
      <c r="I8" s="222"/>
      <c r="J8" s="22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7"/>
      <c r="B9" s="16" t="s">
        <v>23</v>
      </c>
      <c r="C9" s="10">
        <v>10</v>
      </c>
      <c r="D9" s="13">
        <f t="shared" si="1"/>
        <v>7330</v>
      </c>
      <c r="F9" s="213"/>
      <c r="G9" s="224"/>
      <c r="H9" s="225"/>
      <c r="I9" s="225"/>
      <c r="J9" s="22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7"/>
      <c r="B10" t="s">
        <v>25</v>
      </c>
      <c r="C10" s="10"/>
      <c r="D10" s="13">
        <f t="shared" si="1"/>
        <v>0</v>
      </c>
      <c r="F10" s="212" t="s">
        <v>26</v>
      </c>
      <c r="G10" s="227" t="s">
        <v>108</v>
      </c>
      <c r="H10" s="228"/>
      <c r="I10" s="228"/>
      <c r="J10" s="229"/>
      <c r="K10" s="8"/>
      <c r="L10" s="6">
        <f>R36</f>
        <v>1032</v>
      </c>
      <c r="P10" s="4"/>
      <c r="Q10" s="4"/>
      <c r="R10" s="5"/>
    </row>
    <row r="11" spans="1:18" ht="15.75" x14ac:dyDescent="0.25">
      <c r="A11" s="147"/>
      <c r="B11" s="17" t="s">
        <v>28</v>
      </c>
      <c r="C11" s="10"/>
      <c r="D11" s="13">
        <f t="shared" si="1"/>
        <v>0</v>
      </c>
      <c r="F11" s="213"/>
      <c r="G11" s="224"/>
      <c r="H11" s="225"/>
      <c r="I11" s="225"/>
      <c r="J11" s="22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7"/>
      <c r="B12" s="17" t="s">
        <v>30</v>
      </c>
      <c r="C12" s="10"/>
      <c r="D12" s="48">
        <f t="shared" si="1"/>
        <v>0</v>
      </c>
      <c r="F12" s="230" t="s">
        <v>33</v>
      </c>
      <c r="G12" s="231"/>
      <c r="H12" s="231"/>
      <c r="I12" s="231"/>
      <c r="J12" s="23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7"/>
      <c r="B13" s="17" t="s">
        <v>32</v>
      </c>
      <c r="C13" s="10">
        <v>5</v>
      </c>
      <c r="D13" s="48">
        <f t="shared" si="1"/>
        <v>1535</v>
      </c>
      <c r="F13" s="233" t="s">
        <v>36</v>
      </c>
      <c r="G13" s="197"/>
      <c r="H13" s="188">
        <f>D29</f>
        <v>339179</v>
      </c>
      <c r="I13" s="189"/>
      <c r="J13" s="19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7"/>
      <c r="B14" s="14" t="s">
        <v>35</v>
      </c>
      <c r="C14" s="10"/>
      <c r="D14" s="31">
        <f t="shared" si="1"/>
        <v>0</v>
      </c>
      <c r="F14" s="191" t="s">
        <v>38</v>
      </c>
      <c r="G14" s="192"/>
      <c r="H14" s="193">
        <f>D54</f>
        <v>5827.5</v>
      </c>
      <c r="I14" s="194"/>
      <c r="J14" s="19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7"/>
      <c r="B15" s="14" t="s">
        <v>122</v>
      </c>
      <c r="C15" s="10"/>
      <c r="D15" s="31">
        <f t="shared" si="1"/>
        <v>0</v>
      </c>
      <c r="F15" s="196" t="s">
        <v>39</v>
      </c>
      <c r="G15" s="197"/>
      <c r="H15" s="198">
        <f>H13-H14</f>
        <v>333351.5</v>
      </c>
      <c r="I15" s="199"/>
      <c r="J15" s="200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7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58">
        <v>1944</v>
      </c>
      <c r="I16" s="158"/>
      <c r="J16" s="158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7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69"/>
      <c r="I17" s="169"/>
      <c r="J17" s="169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7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69"/>
      <c r="I18" s="169"/>
      <c r="J18" s="169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7"/>
      <c r="B19" s="83" t="s">
        <v>105</v>
      </c>
      <c r="C19" s="10"/>
      <c r="D19" s="48">
        <f t="shared" si="1"/>
        <v>0</v>
      </c>
      <c r="F19" s="56"/>
      <c r="G19" s="68" t="s">
        <v>49</v>
      </c>
      <c r="H19" s="158"/>
      <c r="I19" s="158"/>
      <c r="J19" s="158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7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58"/>
      <c r="I20" s="158"/>
      <c r="J20" s="158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7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71" t="s">
        <v>13</v>
      </c>
      <c r="I21" s="172"/>
      <c r="J21" s="173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7"/>
      <c r="B22" s="46" t="s">
        <v>103</v>
      </c>
      <c r="C22" s="10"/>
      <c r="D22" s="48">
        <f t="shared" si="1"/>
        <v>0</v>
      </c>
      <c r="F22" s="77" t="s">
        <v>178</v>
      </c>
      <c r="G22" s="73">
        <v>10654</v>
      </c>
      <c r="H22" s="174">
        <v>62135</v>
      </c>
      <c r="I22" s="174"/>
      <c r="J22" s="174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7"/>
      <c r="B23" s="14" t="s">
        <v>121</v>
      </c>
      <c r="C23" s="10"/>
      <c r="D23" s="48">
        <f t="shared" si="1"/>
        <v>0</v>
      </c>
      <c r="F23" s="77"/>
      <c r="G23" s="79"/>
      <c r="H23" s="242"/>
      <c r="I23" s="243"/>
      <c r="J23" s="243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7"/>
      <c r="B24" s="14" t="s">
        <v>128</v>
      </c>
      <c r="C24" s="10"/>
      <c r="D24" s="48">
        <f t="shared" si="1"/>
        <v>0</v>
      </c>
      <c r="F24" s="77"/>
      <c r="G24" s="79"/>
      <c r="H24" s="242"/>
      <c r="I24" s="243"/>
      <c r="J24" s="243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7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76" t="s">
        <v>13</v>
      </c>
      <c r="I25" s="177"/>
      <c r="J25" s="178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7"/>
      <c r="B26" s="14" t="s">
        <v>129</v>
      </c>
      <c r="C26" s="10"/>
      <c r="D26" s="48">
        <f t="shared" si="1"/>
        <v>0</v>
      </c>
      <c r="F26" s="75"/>
      <c r="G26" s="65"/>
      <c r="H26" s="144"/>
      <c r="I26" s="144"/>
      <c r="J26" s="144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7"/>
      <c r="B27" s="14" t="s">
        <v>130</v>
      </c>
      <c r="C27" s="10"/>
      <c r="D27" s="44">
        <f t="shared" si="1"/>
        <v>0</v>
      </c>
      <c r="F27" s="71"/>
      <c r="G27" s="88"/>
      <c r="H27" s="244"/>
      <c r="I27" s="245"/>
      <c r="J27" s="245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8"/>
      <c r="B28" s="46" t="s">
        <v>92</v>
      </c>
      <c r="C28" s="10"/>
      <c r="D28" s="48">
        <f t="shared" si="1"/>
        <v>0</v>
      </c>
      <c r="F28" s="91"/>
      <c r="G28" s="61"/>
      <c r="H28" s="185"/>
      <c r="I28" s="186"/>
      <c r="J28" s="187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9" t="s">
        <v>36</v>
      </c>
      <c r="B29" s="160"/>
      <c r="C29" s="161"/>
      <c r="D29" s="165">
        <f>SUM(D6:D28)</f>
        <v>339179</v>
      </c>
      <c r="F29" s="105" t="s">
        <v>54</v>
      </c>
      <c r="G29" s="167"/>
      <c r="H29" s="127">
        <f>H15-H16-H17-H18-H19-H20-H22-H23-H24+H26+H27+H28</f>
        <v>269272.5</v>
      </c>
      <c r="I29" s="128"/>
      <c r="J29" s="129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08"/>
      <c r="G30" s="168"/>
      <c r="H30" s="130"/>
      <c r="I30" s="131"/>
      <c r="J30" s="132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2" t="s">
        <v>57</v>
      </c>
      <c r="B32" s="153"/>
      <c r="C32" s="153"/>
      <c r="D32" s="154"/>
      <c r="F32" s="155" t="s">
        <v>58</v>
      </c>
      <c r="G32" s="156"/>
      <c r="H32" s="156"/>
      <c r="I32" s="156"/>
      <c r="J32" s="157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2" t="s">
        <v>62</v>
      </c>
      <c r="H33" s="155" t="s">
        <v>13</v>
      </c>
      <c r="I33" s="156"/>
      <c r="J33" s="157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6" t="s">
        <v>64</v>
      </c>
      <c r="B34" s="26" t="s">
        <v>65</v>
      </c>
      <c r="C34" s="51"/>
      <c r="D34" s="30">
        <f>C34*120</f>
        <v>0</v>
      </c>
      <c r="F34" s="12">
        <v>1000</v>
      </c>
      <c r="G34" s="40">
        <v>13</v>
      </c>
      <c r="H34" s="149">
        <f t="shared" ref="H34:H39" si="2">F34*G34</f>
        <v>13000</v>
      </c>
      <c r="I34" s="150"/>
      <c r="J34" s="151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7"/>
      <c r="B35" s="27" t="s">
        <v>67</v>
      </c>
      <c r="C35" s="52"/>
      <c r="D35" s="30">
        <f>C35*84</f>
        <v>0</v>
      </c>
      <c r="F35" s="58">
        <v>500</v>
      </c>
      <c r="G35" s="41">
        <v>27</v>
      </c>
      <c r="H35" s="149">
        <f t="shared" si="2"/>
        <v>13500</v>
      </c>
      <c r="I35" s="150"/>
      <c r="J35" s="15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8"/>
      <c r="B36" s="26" t="s">
        <v>69</v>
      </c>
      <c r="C36" s="10"/>
      <c r="D36" s="12">
        <f>C36*1.5</f>
        <v>0</v>
      </c>
      <c r="F36" s="12">
        <v>200</v>
      </c>
      <c r="G36" s="37"/>
      <c r="H36" s="149">
        <f t="shared" si="2"/>
        <v>0</v>
      </c>
      <c r="I36" s="150"/>
      <c r="J36" s="151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6" t="s">
        <v>71</v>
      </c>
      <c r="B37" s="28" t="s">
        <v>65</v>
      </c>
      <c r="C37" s="53">
        <v>46</v>
      </c>
      <c r="D37" s="12">
        <f>C37*111</f>
        <v>5106</v>
      </c>
      <c r="F37" s="12">
        <v>100</v>
      </c>
      <c r="G37" s="39">
        <v>2</v>
      </c>
      <c r="H37" s="149">
        <f t="shared" si="2"/>
        <v>200</v>
      </c>
      <c r="I37" s="150"/>
      <c r="J37" s="151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7"/>
      <c r="B38" s="29" t="s">
        <v>67</v>
      </c>
      <c r="C38" s="54">
        <v>6</v>
      </c>
      <c r="D38" s="12">
        <f>C38*84</f>
        <v>504</v>
      </c>
      <c r="F38" s="30">
        <v>50</v>
      </c>
      <c r="G38" s="39"/>
      <c r="H38" s="149">
        <f t="shared" si="2"/>
        <v>0</v>
      </c>
      <c r="I38" s="150"/>
      <c r="J38" s="151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8"/>
      <c r="B39" s="29" t="s">
        <v>69</v>
      </c>
      <c r="C39" s="52"/>
      <c r="D39" s="31">
        <f>C39*4.5</f>
        <v>0</v>
      </c>
      <c r="F39" s="12">
        <v>20</v>
      </c>
      <c r="G39" s="37"/>
      <c r="H39" s="149">
        <f t="shared" si="2"/>
        <v>0</v>
      </c>
      <c r="I39" s="150"/>
      <c r="J39" s="15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6" t="s">
        <v>75</v>
      </c>
      <c r="B40" s="27" t="s">
        <v>65</v>
      </c>
      <c r="C40" s="63">
        <v>1</v>
      </c>
      <c r="D40" s="12">
        <f>C40*111</f>
        <v>111</v>
      </c>
      <c r="F40" s="12">
        <v>10</v>
      </c>
      <c r="G40" s="42"/>
      <c r="H40" s="149"/>
      <c r="I40" s="150"/>
      <c r="J40" s="151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7"/>
      <c r="B41" s="27" t="s">
        <v>67</v>
      </c>
      <c r="C41" s="10">
        <v>1</v>
      </c>
      <c r="D41" s="12">
        <f>C41*84</f>
        <v>84</v>
      </c>
      <c r="F41" s="12">
        <v>5</v>
      </c>
      <c r="G41" s="42"/>
      <c r="H41" s="149"/>
      <c r="I41" s="150"/>
      <c r="J41" s="151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8"/>
      <c r="B42" s="27" t="s">
        <v>69</v>
      </c>
      <c r="C42" s="11">
        <v>10</v>
      </c>
      <c r="D42" s="12">
        <f>C42*2.25</f>
        <v>22.5</v>
      </c>
      <c r="F42" s="39" t="s">
        <v>78</v>
      </c>
      <c r="G42" s="149"/>
      <c r="H42" s="150"/>
      <c r="I42" s="150"/>
      <c r="J42" s="151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19" t="s">
        <v>80</v>
      </c>
      <c r="C43" s="11"/>
      <c r="D43" s="12"/>
      <c r="F43" s="59" t="s">
        <v>81</v>
      </c>
      <c r="G43" s="88" t="s">
        <v>82</v>
      </c>
      <c r="H43" s="141" t="s">
        <v>13</v>
      </c>
      <c r="I43" s="142"/>
      <c r="J43" s="143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20"/>
      <c r="B44" s="27" t="s">
        <v>65</v>
      </c>
      <c r="C44" s="10"/>
      <c r="D44" s="12">
        <f>C44*120</f>
        <v>0</v>
      </c>
      <c r="F44" s="37" t="s">
        <v>132</v>
      </c>
      <c r="G44" s="62" t="s">
        <v>177</v>
      </c>
      <c r="H44" s="144">
        <v>244620</v>
      </c>
      <c r="I44" s="144"/>
      <c r="J44" s="144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20"/>
      <c r="B45" s="27" t="s">
        <v>67</v>
      </c>
      <c r="C45" s="33"/>
      <c r="D45" s="12">
        <f>C45*84</f>
        <v>0</v>
      </c>
      <c r="F45" s="37"/>
      <c r="G45" s="62"/>
      <c r="H45" s="144"/>
      <c r="I45" s="144"/>
      <c r="J45" s="144"/>
      <c r="K45" s="21"/>
      <c r="P45" s="4"/>
      <c r="Q45" s="4"/>
      <c r="R45" s="5"/>
    </row>
    <row r="46" spans="1:18" ht="15.75" x14ac:dyDescent="0.25">
      <c r="A46" s="120"/>
      <c r="B46" s="49" t="s">
        <v>69</v>
      </c>
      <c r="C46" s="81"/>
      <c r="D46" s="12">
        <f>C46*1.5</f>
        <v>0</v>
      </c>
      <c r="F46" s="37"/>
      <c r="G46" s="62"/>
      <c r="H46" s="144"/>
      <c r="I46" s="144"/>
      <c r="J46" s="144"/>
      <c r="K46" s="21"/>
      <c r="P46" s="4"/>
      <c r="Q46" s="4"/>
      <c r="R46" s="5"/>
    </row>
    <row r="47" spans="1:18" ht="15.75" x14ac:dyDescent="0.25">
      <c r="A47" s="121"/>
      <c r="B47" s="27"/>
      <c r="C47" s="11"/>
      <c r="D47" s="12"/>
      <c r="F47" s="59"/>
      <c r="G47" s="59"/>
      <c r="H47" s="122"/>
      <c r="I47" s="123"/>
      <c r="J47" s="124"/>
      <c r="K47" s="21"/>
      <c r="P47" s="4"/>
      <c r="Q47" s="4"/>
      <c r="R47" s="5"/>
    </row>
    <row r="48" spans="1:18" ht="15" customHeight="1" x14ac:dyDescent="0.25">
      <c r="A48" s="119" t="s">
        <v>32</v>
      </c>
      <c r="B48" s="27" t="s">
        <v>65</v>
      </c>
      <c r="C48" s="10"/>
      <c r="D48" s="12">
        <f>C48*78</f>
        <v>0</v>
      </c>
      <c r="F48" s="59"/>
      <c r="G48" s="59"/>
      <c r="H48" s="122"/>
      <c r="I48" s="123"/>
      <c r="J48" s="124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20"/>
      <c r="B49" s="29" t="s">
        <v>67</v>
      </c>
      <c r="C49" s="33"/>
      <c r="D49" s="12">
        <f>C49*42</f>
        <v>0</v>
      </c>
      <c r="F49" s="125" t="s">
        <v>85</v>
      </c>
      <c r="G49" s="127">
        <f>H34+H35+H36+H37+H38+H39+H40+H41+G42+H44+H45+H46</f>
        <v>271320</v>
      </c>
      <c r="H49" s="128"/>
      <c r="I49" s="128"/>
      <c r="J49" s="129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0"/>
      <c r="B50" s="32" t="s">
        <v>69</v>
      </c>
      <c r="C50" s="11"/>
      <c r="D50" s="12">
        <f>C50*1.5</f>
        <v>0</v>
      </c>
      <c r="F50" s="126"/>
      <c r="G50" s="130"/>
      <c r="H50" s="131"/>
      <c r="I50" s="131"/>
      <c r="J50" s="132"/>
      <c r="O50" t="s">
        <v>114</v>
      </c>
      <c r="P50" s="4">
        <v>1204</v>
      </c>
      <c r="Q50" s="4"/>
      <c r="R50" s="5"/>
    </row>
    <row r="51" spans="1:18" ht="15" customHeight="1" x14ac:dyDescent="0.25">
      <c r="A51" s="120"/>
      <c r="B51" s="27"/>
      <c r="C51" s="10"/>
      <c r="D51" s="31"/>
      <c r="F51" s="133" t="s">
        <v>173</v>
      </c>
      <c r="G51" s="236">
        <f>G49-H29</f>
        <v>2047.5</v>
      </c>
      <c r="H51" s="237"/>
      <c r="I51" s="237"/>
      <c r="J51" s="238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20"/>
      <c r="B52" s="29"/>
      <c r="C52" s="33"/>
      <c r="D52" s="45"/>
      <c r="F52" s="134"/>
      <c r="G52" s="239"/>
      <c r="H52" s="240"/>
      <c r="I52" s="240"/>
      <c r="J52" s="241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1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05" t="s">
        <v>89</v>
      </c>
      <c r="B54" s="106"/>
      <c r="C54" s="107"/>
      <c r="D54" s="111">
        <f>SUM(D34:D53)</f>
        <v>5827.5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08"/>
      <c r="B55" s="109"/>
      <c r="C55" s="110"/>
      <c r="D55" s="11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113" t="s">
        <v>90</v>
      </c>
      <c r="B58" s="114"/>
      <c r="C58" s="114"/>
      <c r="D58" s="115"/>
      <c r="F58" s="113" t="s">
        <v>91</v>
      </c>
      <c r="G58" s="114"/>
      <c r="H58" s="114"/>
      <c r="I58" s="114"/>
      <c r="J58" s="115"/>
    </row>
    <row r="59" spans="1:18" x14ac:dyDescent="0.25">
      <c r="A59" s="116"/>
      <c r="B59" s="117"/>
      <c r="C59" s="117"/>
      <c r="D59" s="118"/>
      <c r="F59" s="116"/>
      <c r="G59" s="117"/>
      <c r="H59" s="117"/>
      <c r="I59" s="117"/>
      <c r="J59" s="118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F6AD7F-B4A2-4C92-9488-DF24F8497316}">
  <dimension ref="A1:R59"/>
  <sheetViews>
    <sheetView zoomScaleNormal="100" zoomScaleSheetLayoutView="85" workbookViewId="0">
      <selection activeCell="G6" sqref="G6:J11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1" t="s">
        <v>1</v>
      </c>
      <c r="O1" s="201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2" t="s">
        <v>7</v>
      </c>
      <c r="B4" s="153"/>
      <c r="C4" s="153"/>
      <c r="D4" s="154"/>
      <c r="F4" s="202" t="s">
        <v>8</v>
      </c>
      <c r="G4" s="204">
        <v>2</v>
      </c>
      <c r="H4" s="206" t="s">
        <v>9</v>
      </c>
      <c r="I4" s="208">
        <v>46157</v>
      </c>
      <c r="J4" s="20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6" t="s">
        <v>7</v>
      </c>
      <c r="B5" s="15" t="s">
        <v>11</v>
      </c>
      <c r="C5" s="9" t="s">
        <v>12</v>
      </c>
      <c r="D5" s="25" t="s">
        <v>13</v>
      </c>
      <c r="F5" s="203"/>
      <c r="G5" s="205"/>
      <c r="H5" s="207"/>
      <c r="I5" s="210"/>
      <c r="J5" s="21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7"/>
      <c r="B6" s="16" t="s">
        <v>15</v>
      </c>
      <c r="C6" s="10">
        <v>347</v>
      </c>
      <c r="D6" s="13">
        <f t="shared" ref="D6:D28" si="1">C6*L6</f>
        <v>264067</v>
      </c>
      <c r="F6" s="212" t="s">
        <v>16</v>
      </c>
      <c r="G6" s="214" t="s">
        <v>107</v>
      </c>
      <c r="H6" s="215"/>
      <c r="I6" s="215"/>
      <c r="J6" s="21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7"/>
      <c r="B7" s="16" t="s">
        <v>18</v>
      </c>
      <c r="C7" s="10">
        <v>6</v>
      </c>
      <c r="D7" s="13">
        <f t="shared" si="1"/>
        <v>4686</v>
      </c>
      <c r="F7" s="213"/>
      <c r="G7" s="217"/>
      <c r="H7" s="218"/>
      <c r="I7" s="218"/>
      <c r="J7" s="21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7"/>
      <c r="B8" s="16" t="s">
        <v>20</v>
      </c>
      <c r="C8" s="10"/>
      <c r="D8" s="13">
        <f t="shared" si="1"/>
        <v>0</v>
      </c>
      <c r="F8" s="220" t="s">
        <v>21</v>
      </c>
      <c r="G8" s="221" t="s">
        <v>100</v>
      </c>
      <c r="H8" s="222"/>
      <c r="I8" s="222"/>
      <c r="J8" s="22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7"/>
      <c r="B9" s="16" t="s">
        <v>23</v>
      </c>
      <c r="C9" s="10">
        <v>41</v>
      </c>
      <c r="D9" s="13">
        <f t="shared" si="1"/>
        <v>30053</v>
      </c>
      <c r="F9" s="213"/>
      <c r="G9" s="224"/>
      <c r="H9" s="225"/>
      <c r="I9" s="225"/>
      <c r="J9" s="22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7"/>
      <c r="B10" t="s">
        <v>25</v>
      </c>
      <c r="C10" s="10"/>
      <c r="D10" s="13">
        <f t="shared" si="1"/>
        <v>0</v>
      </c>
      <c r="F10" s="212" t="s">
        <v>26</v>
      </c>
      <c r="G10" s="227" t="s">
        <v>101</v>
      </c>
      <c r="H10" s="228"/>
      <c r="I10" s="228"/>
      <c r="J10" s="229"/>
      <c r="K10" s="8"/>
      <c r="L10" s="6">
        <f>R36</f>
        <v>1032</v>
      </c>
      <c r="P10" s="4"/>
      <c r="Q10" s="4"/>
      <c r="R10" s="5"/>
    </row>
    <row r="11" spans="1:18" ht="15.75" x14ac:dyDescent="0.25">
      <c r="A11" s="147"/>
      <c r="B11" s="17" t="s">
        <v>28</v>
      </c>
      <c r="C11" s="10"/>
      <c r="D11" s="13">
        <f t="shared" si="1"/>
        <v>0</v>
      </c>
      <c r="F11" s="213"/>
      <c r="G11" s="224"/>
      <c r="H11" s="225"/>
      <c r="I11" s="225"/>
      <c r="J11" s="22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7"/>
      <c r="B12" s="17" t="s">
        <v>30</v>
      </c>
      <c r="C12" s="10"/>
      <c r="D12" s="48">
        <f t="shared" si="1"/>
        <v>0</v>
      </c>
      <c r="F12" s="230" t="s">
        <v>33</v>
      </c>
      <c r="G12" s="231"/>
      <c r="H12" s="231"/>
      <c r="I12" s="231"/>
      <c r="J12" s="23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7"/>
      <c r="B13" s="17" t="s">
        <v>32</v>
      </c>
      <c r="C13" s="10">
        <v>10</v>
      </c>
      <c r="D13" s="48">
        <f t="shared" si="1"/>
        <v>3070</v>
      </c>
      <c r="F13" s="233" t="s">
        <v>36</v>
      </c>
      <c r="G13" s="197"/>
      <c r="H13" s="188">
        <f>D29</f>
        <v>301997</v>
      </c>
      <c r="I13" s="189"/>
      <c r="J13" s="19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7"/>
      <c r="B14" s="14" t="s">
        <v>35</v>
      </c>
      <c r="C14" s="10">
        <v>11</v>
      </c>
      <c r="D14" s="31">
        <f t="shared" si="1"/>
        <v>121</v>
      </c>
      <c r="F14" s="191" t="s">
        <v>38</v>
      </c>
      <c r="G14" s="192"/>
      <c r="H14" s="193">
        <f>D54</f>
        <v>44970.75</v>
      </c>
      <c r="I14" s="194"/>
      <c r="J14" s="19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7"/>
      <c r="B15" s="14" t="s">
        <v>122</v>
      </c>
      <c r="C15" s="10"/>
      <c r="D15" s="31">
        <f t="shared" si="1"/>
        <v>0</v>
      </c>
      <c r="F15" s="196" t="s">
        <v>39</v>
      </c>
      <c r="G15" s="197"/>
      <c r="H15" s="198">
        <f>H13-H14</f>
        <v>257026.25</v>
      </c>
      <c r="I15" s="199"/>
      <c r="J15" s="200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7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58">
        <v>1200</v>
      </c>
      <c r="I16" s="158"/>
      <c r="J16" s="158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7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69"/>
      <c r="I17" s="169"/>
      <c r="J17" s="169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7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69"/>
      <c r="I18" s="169"/>
      <c r="J18" s="169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7"/>
      <c r="B19" s="87" t="s">
        <v>105</v>
      </c>
      <c r="C19" s="10"/>
      <c r="D19" s="48">
        <f t="shared" si="1"/>
        <v>0</v>
      </c>
      <c r="F19" s="56"/>
      <c r="G19" s="68" t="s">
        <v>49</v>
      </c>
      <c r="H19" s="252"/>
      <c r="I19" s="252"/>
      <c r="J19" s="252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7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69"/>
      <c r="I20" s="169"/>
      <c r="J20" s="169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7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71" t="s">
        <v>13</v>
      </c>
      <c r="I21" s="172"/>
      <c r="J21" s="173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7"/>
      <c r="B22" s="46" t="s">
        <v>103</v>
      </c>
      <c r="C22" s="10"/>
      <c r="D22" s="48">
        <f t="shared" si="1"/>
        <v>0</v>
      </c>
      <c r="F22" s="72"/>
      <c r="G22" s="73"/>
      <c r="H22" s="174"/>
      <c r="I22" s="174"/>
      <c r="J22" s="174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7"/>
      <c r="B23" s="14" t="s">
        <v>121</v>
      </c>
      <c r="C23" s="10"/>
      <c r="D23" s="48">
        <f t="shared" si="1"/>
        <v>0</v>
      </c>
      <c r="F23" s="25"/>
      <c r="G23" s="37"/>
      <c r="H23" s="175"/>
      <c r="I23" s="144"/>
      <c r="J23" s="144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7"/>
      <c r="B24" s="14" t="s">
        <v>128</v>
      </c>
      <c r="C24" s="10"/>
      <c r="D24" s="48">
        <f t="shared" si="1"/>
        <v>0</v>
      </c>
      <c r="F24" s="38"/>
      <c r="G24" s="37"/>
      <c r="H24" s="175"/>
      <c r="I24" s="144"/>
      <c r="J24" s="144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7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76" t="s">
        <v>13</v>
      </c>
      <c r="I25" s="177"/>
      <c r="J25" s="178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7"/>
      <c r="B26" s="14" t="s">
        <v>129</v>
      </c>
      <c r="C26" s="10"/>
      <c r="D26" s="48">
        <f t="shared" si="1"/>
        <v>0</v>
      </c>
      <c r="F26" s="64"/>
      <c r="G26" s="10"/>
      <c r="H26" s="179"/>
      <c r="I26" s="180"/>
      <c r="J26" s="181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7"/>
      <c r="B27" s="14" t="s">
        <v>130</v>
      </c>
      <c r="C27" s="10"/>
      <c r="D27" s="44">
        <f t="shared" si="1"/>
        <v>0</v>
      </c>
      <c r="F27" s="14"/>
      <c r="G27" s="14"/>
      <c r="H27" s="182"/>
      <c r="I27" s="183"/>
      <c r="J27" s="184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8"/>
      <c r="B28" s="46" t="s">
        <v>92</v>
      </c>
      <c r="C28" s="10"/>
      <c r="D28" s="48">
        <f t="shared" si="1"/>
        <v>0</v>
      </c>
      <c r="F28" s="91"/>
      <c r="G28" s="61"/>
      <c r="H28" s="185"/>
      <c r="I28" s="186"/>
      <c r="J28" s="187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9" t="s">
        <v>36</v>
      </c>
      <c r="B29" s="160"/>
      <c r="C29" s="161"/>
      <c r="D29" s="165">
        <f>SUM(D6:D28)</f>
        <v>301997</v>
      </c>
      <c r="F29" s="105" t="s">
        <v>54</v>
      </c>
      <c r="G29" s="167"/>
      <c r="H29" s="127">
        <f>H15-H16-H17-H18-H19-H20-H22-H23-H24+H26+H27</f>
        <v>255826.25</v>
      </c>
      <c r="I29" s="128"/>
      <c r="J29" s="129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08"/>
      <c r="G30" s="168"/>
      <c r="H30" s="130"/>
      <c r="I30" s="131"/>
      <c r="J30" s="132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2" t="s">
        <v>57</v>
      </c>
      <c r="B32" s="153"/>
      <c r="C32" s="153"/>
      <c r="D32" s="154"/>
      <c r="F32" s="155" t="s">
        <v>58</v>
      </c>
      <c r="G32" s="156"/>
      <c r="H32" s="156"/>
      <c r="I32" s="156"/>
      <c r="J32" s="157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2" t="s">
        <v>62</v>
      </c>
      <c r="H33" s="155" t="s">
        <v>13</v>
      </c>
      <c r="I33" s="156"/>
      <c r="J33" s="157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6" t="s">
        <v>64</v>
      </c>
      <c r="B34" s="26" t="s">
        <v>65</v>
      </c>
      <c r="C34" s="51"/>
      <c r="D34" s="30">
        <f>C34*120</f>
        <v>0</v>
      </c>
      <c r="F34" s="12">
        <v>1000</v>
      </c>
      <c r="G34" s="74">
        <v>69</v>
      </c>
      <c r="H34" s="149">
        <f>F34*G34</f>
        <v>69000</v>
      </c>
      <c r="I34" s="150"/>
      <c r="J34" s="151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7"/>
      <c r="B35" s="27" t="s">
        <v>67</v>
      </c>
      <c r="C35" s="52"/>
      <c r="D35" s="30">
        <f>C35*84</f>
        <v>0</v>
      </c>
      <c r="F35" s="58">
        <v>500</v>
      </c>
      <c r="G35" s="41">
        <v>40</v>
      </c>
      <c r="H35" s="149">
        <f t="shared" ref="H35:H39" si="2">F35*G35</f>
        <v>20000</v>
      </c>
      <c r="I35" s="150"/>
      <c r="J35" s="15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8"/>
      <c r="B36" s="26" t="s">
        <v>69</v>
      </c>
      <c r="C36" s="10"/>
      <c r="D36" s="12">
        <f>C36*1.5</f>
        <v>0</v>
      </c>
      <c r="F36" s="12">
        <v>200</v>
      </c>
      <c r="G36" s="37">
        <v>2</v>
      </c>
      <c r="H36" s="149">
        <f>F36*G36</f>
        <v>400</v>
      </c>
      <c r="I36" s="150"/>
      <c r="J36" s="151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6" t="s">
        <v>71</v>
      </c>
      <c r="B37" s="28" t="s">
        <v>65</v>
      </c>
      <c r="C37" s="53">
        <v>387</v>
      </c>
      <c r="D37" s="12">
        <f>C37*111</f>
        <v>42957</v>
      </c>
      <c r="F37" s="12">
        <v>100</v>
      </c>
      <c r="G37" s="39">
        <v>23</v>
      </c>
      <c r="H37" s="149">
        <f t="shared" si="2"/>
        <v>2300</v>
      </c>
      <c r="I37" s="150"/>
      <c r="J37" s="151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7"/>
      <c r="B38" s="29" t="s">
        <v>67</v>
      </c>
      <c r="C38" s="54">
        <v>2</v>
      </c>
      <c r="D38" s="12">
        <f>C38*84</f>
        <v>168</v>
      </c>
      <c r="F38" s="30">
        <v>50</v>
      </c>
      <c r="G38" s="39">
        <v>1</v>
      </c>
      <c r="H38" s="149">
        <f t="shared" si="2"/>
        <v>50</v>
      </c>
      <c r="I38" s="150"/>
      <c r="J38" s="151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8"/>
      <c r="B39" s="29" t="s">
        <v>69</v>
      </c>
      <c r="C39" s="52">
        <v>1</v>
      </c>
      <c r="D39" s="31">
        <f>C39*4.5</f>
        <v>4.5</v>
      </c>
      <c r="F39" s="12">
        <v>20</v>
      </c>
      <c r="G39" s="37"/>
      <c r="H39" s="149">
        <f t="shared" si="2"/>
        <v>0</v>
      </c>
      <c r="I39" s="150"/>
      <c r="J39" s="15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6" t="s">
        <v>75</v>
      </c>
      <c r="B40" s="27" t="s">
        <v>65</v>
      </c>
      <c r="C40" s="63">
        <v>8</v>
      </c>
      <c r="D40" s="12">
        <f>C40*111</f>
        <v>888</v>
      </c>
      <c r="F40" s="12">
        <v>10</v>
      </c>
      <c r="G40" s="42"/>
      <c r="H40" s="149"/>
      <c r="I40" s="150"/>
      <c r="J40" s="151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7"/>
      <c r="B41" s="27" t="s">
        <v>67</v>
      </c>
      <c r="C41" s="10">
        <v>1</v>
      </c>
      <c r="D41" s="12">
        <f>C41*84</f>
        <v>84</v>
      </c>
      <c r="F41" s="12">
        <v>5</v>
      </c>
      <c r="G41" s="42"/>
      <c r="H41" s="149"/>
      <c r="I41" s="150"/>
      <c r="J41" s="151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8"/>
      <c r="B42" s="27" t="s">
        <v>69</v>
      </c>
      <c r="C42" s="11">
        <v>9</v>
      </c>
      <c r="D42" s="12">
        <f>C42*2.25</f>
        <v>20.25</v>
      </c>
      <c r="F42" s="39" t="s">
        <v>78</v>
      </c>
      <c r="G42" s="149">
        <v>4</v>
      </c>
      <c r="H42" s="150"/>
      <c r="I42" s="150"/>
      <c r="J42" s="151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19" t="s">
        <v>80</v>
      </c>
      <c r="C43" s="11"/>
      <c r="D43" s="12"/>
      <c r="F43" s="59" t="s">
        <v>81</v>
      </c>
      <c r="G43" s="88" t="s">
        <v>82</v>
      </c>
      <c r="H43" s="141" t="s">
        <v>13</v>
      </c>
      <c r="I43" s="142"/>
      <c r="J43" s="143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20"/>
      <c r="B44" s="27" t="s">
        <v>65</v>
      </c>
      <c r="C44" s="10"/>
      <c r="D44" s="12">
        <f>C44*120</f>
        <v>0</v>
      </c>
      <c r="F44" s="37" t="s">
        <v>132</v>
      </c>
      <c r="G44" s="62" t="s">
        <v>179</v>
      </c>
      <c r="H44" s="144">
        <v>130451</v>
      </c>
      <c r="I44" s="144"/>
      <c r="J44" s="144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20"/>
      <c r="B45" s="27" t="s">
        <v>67</v>
      </c>
      <c r="C45" s="33"/>
      <c r="D45" s="12">
        <f>C45*84</f>
        <v>0</v>
      </c>
      <c r="F45" s="37" t="s">
        <v>136</v>
      </c>
      <c r="G45" s="93" t="s">
        <v>141</v>
      </c>
      <c r="H45" s="144">
        <v>33800</v>
      </c>
      <c r="I45" s="144"/>
      <c r="J45" s="144"/>
      <c r="K45" s="21"/>
      <c r="P45" s="4"/>
      <c r="Q45" s="4"/>
      <c r="R45" s="5"/>
    </row>
    <row r="46" spans="1:18" ht="15.75" x14ac:dyDescent="0.25">
      <c r="A46" s="120"/>
      <c r="B46" s="49" t="s">
        <v>69</v>
      </c>
      <c r="C46" s="81">
        <v>2</v>
      </c>
      <c r="D46" s="12">
        <f>C46*1.5</f>
        <v>3</v>
      </c>
      <c r="F46" s="37"/>
      <c r="G46" s="89"/>
      <c r="H46" s="145"/>
      <c r="I46" s="145"/>
      <c r="J46" s="145"/>
      <c r="K46" s="21"/>
      <c r="P46" s="4"/>
      <c r="Q46" s="4"/>
      <c r="R46" s="5"/>
    </row>
    <row r="47" spans="1:18" ht="15.75" x14ac:dyDescent="0.25">
      <c r="A47" s="121"/>
      <c r="B47" s="27"/>
      <c r="C47" s="11"/>
      <c r="D47" s="12"/>
      <c r="F47" s="59"/>
      <c r="G47" s="59"/>
      <c r="H47" s="122"/>
      <c r="I47" s="123"/>
      <c r="J47" s="124"/>
      <c r="K47" s="21"/>
      <c r="P47" s="4"/>
      <c r="Q47" s="4"/>
      <c r="R47" s="5"/>
    </row>
    <row r="48" spans="1:18" ht="15" customHeight="1" x14ac:dyDescent="0.25">
      <c r="A48" s="119" t="s">
        <v>32</v>
      </c>
      <c r="B48" s="27" t="s">
        <v>65</v>
      </c>
      <c r="C48" s="10">
        <v>7</v>
      </c>
      <c r="D48" s="12">
        <f>C48*78</f>
        <v>546</v>
      </c>
      <c r="F48" s="59"/>
      <c r="G48" s="59"/>
      <c r="H48" s="122"/>
      <c r="I48" s="123"/>
      <c r="J48" s="124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20"/>
      <c r="B49" s="29" t="s">
        <v>67</v>
      </c>
      <c r="C49" s="33">
        <v>7</v>
      </c>
      <c r="D49" s="12">
        <f>C49*42</f>
        <v>294</v>
      </c>
      <c r="F49" s="125" t="s">
        <v>85</v>
      </c>
      <c r="G49" s="127">
        <f>H34+H35+H36+H37+H38+H39+H40+H41+G42+H44+H45+H46</f>
        <v>256005</v>
      </c>
      <c r="H49" s="128"/>
      <c r="I49" s="128"/>
      <c r="J49" s="129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0"/>
      <c r="B50" s="32" t="s">
        <v>69</v>
      </c>
      <c r="C50" s="11">
        <v>4</v>
      </c>
      <c r="D50" s="12">
        <f>C50*1.5</f>
        <v>6</v>
      </c>
      <c r="F50" s="126"/>
      <c r="G50" s="130"/>
      <c r="H50" s="131"/>
      <c r="I50" s="131"/>
      <c r="J50" s="132"/>
      <c r="O50" t="s">
        <v>114</v>
      </c>
      <c r="P50" s="4">
        <v>1204</v>
      </c>
      <c r="Q50" s="4"/>
      <c r="R50" s="5"/>
    </row>
    <row r="51" spans="1:18" ht="15" customHeight="1" x14ac:dyDescent="0.25">
      <c r="A51" s="120"/>
      <c r="B51" s="27"/>
      <c r="C51" s="10"/>
      <c r="D51" s="31"/>
      <c r="F51" s="133" t="s">
        <v>112</v>
      </c>
      <c r="G51" s="135">
        <f>G49-H29</f>
        <v>178.75</v>
      </c>
      <c r="H51" s="136"/>
      <c r="I51" s="136"/>
      <c r="J51" s="137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20"/>
      <c r="B52" s="29"/>
      <c r="C52" s="33"/>
      <c r="D52" s="45"/>
      <c r="F52" s="134"/>
      <c r="G52" s="138"/>
      <c r="H52" s="139"/>
      <c r="I52" s="139"/>
      <c r="J52" s="140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1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05" t="s">
        <v>89</v>
      </c>
      <c r="B54" s="106"/>
      <c r="C54" s="107"/>
      <c r="D54" s="111">
        <f>SUM(D34:D53)</f>
        <v>44970.75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08"/>
      <c r="B55" s="109"/>
      <c r="C55" s="110"/>
      <c r="D55" s="11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119</v>
      </c>
      <c r="D57" s="34"/>
      <c r="F57" s="36"/>
      <c r="G57" s="50"/>
      <c r="H57" s="50"/>
      <c r="I57" s="50"/>
      <c r="J57" s="43"/>
    </row>
    <row r="58" spans="1:18" x14ac:dyDescent="0.25">
      <c r="A58" s="113" t="s">
        <v>90</v>
      </c>
      <c r="B58" s="114"/>
      <c r="C58" s="114"/>
      <c r="D58" s="115"/>
      <c r="F58" s="113" t="s">
        <v>91</v>
      </c>
      <c r="G58" s="114"/>
      <c r="H58" s="114"/>
      <c r="I58" s="114"/>
      <c r="J58" s="115"/>
    </row>
    <row r="59" spans="1:18" x14ac:dyDescent="0.25">
      <c r="A59" s="116"/>
      <c r="B59" s="117"/>
      <c r="C59" s="117"/>
      <c r="D59" s="118"/>
      <c r="F59" s="116"/>
      <c r="G59" s="117"/>
      <c r="H59" s="117"/>
      <c r="I59" s="117"/>
      <c r="J59" s="118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D0924D-26CD-480E-AFC1-350727F73FE8}">
  <dimension ref="A1:R59"/>
  <sheetViews>
    <sheetView zoomScaleNormal="100" zoomScaleSheetLayoutView="85" workbookViewId="0">
      <selection activeCell="G6" sqref="G6:J11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1" t="s">
        <v>1</v>
      </c>
      <c r="O1" s="201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2" t="s">
        <v>7</v>
      </c>
      <c r="B4" s="153"/>
      <c r="C4" s="153"/>
      <c r="D4" s="154"/>
      <c r="F4" s="202" t="s">
        <v>8</v>
      </c>
      <c r="G4" s="204">
        <v>3</v>
      </c>
      <c r="H4" s="206" t="s">
        <v>9</v>
      </c>
      <c r="I4" s="208">
        <v>46157</v>
      </c>
      <c r="J4" s="20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6" t="s">
        <v>7</v>
      </c>
      <c r="B5" s="15" t="s">
        <v>11</v>
      </c>
      <c r="C5" s="9" t="s">
        <v>12</v>
      </c>
      <c r="D5" s="25" t="s">
        <v>13</v>
      </c>
      <c r="F5" s="203"/>
      <c r="G5" s="205"/>
      <c r="H5" s="207"/>
      <c r="I5" s="210"/>
      <c r="J5" s="21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7"/>
      <c r="B6" s="16" t="s">
        <v>15</v>
      </c>
      <c r="C6" s="10">
        <v>554</v>
      </c>
      <c r="D6" s="13">
        <f t="shared" ref="D6:D28" si="1">C6*L6</f>
        <v>421594</v>
      </c>
      <c r="F6" s="212" t="s">
        <v>16</v>
      </c>
      <c r="G6" s="214" t="s">
        <v>117</v>
      </c>
      <c r="H6" s="215"/>
      <c r="I6" s="215"/>
      <c r="J6" s="21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7"/>
      <c r="B7" s="16" t="s">
        <v>18</v>
      </c>
      <c r="C7" s="10">
        <v>1</v>
      </c>
      <c r="D7" s="13">
        <f t="shared" si="1"/>
        <v>781</v>
      </c>
      <c r="F7" s="213"/>
      <c r="G7" s="217"/>
      <c r="H7" s="218"/>
      <c r="I7" s="218"/>
      <c r="J7" s="21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7"/>
      <c r="B8" s="16" t="s">
        <v>20</v>
      </c>
      <c r="C8" s="10"/>
      <c r="D8" s="13">
        <f t="shared" si="1"/>
        <v>0</v>
      </c>
      <c r="F8" s="220" t="s">
        <v>21</v>
      </c>
      <c r="G8" s="221" t="s">
        <v>110</v>
      </c>
      <c r="H8" s="222"/>
      <c r="I8" s="222"/>
      <c r="J8" s="22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7"/>
      <c r="B9" s="16" t="s">
        <v>23</v>
      </c>
      <c r="C9" s="10">
        <v>108</v>
      </c>
      <c r="D9" s="13">
        <f t="shared" si="1"/>
        <v>79164</v>
      </c>
      <c r="F9" s="213"/>
      <c r="G9" s="224"/>
      <c r="H9" s="225"/>
      <c r="I9" s="225"/>
      <c r="J9" s="22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7"/>
      <c r="B10" t="s">
        <v>25</v>
      </c>
      <c r="C10" s="10"/>
      <c r="D10" s="13">
        <f t="shared" si="1"/>
        <v>0</v>
      </c>
      <c r="F10" s="212" t="s">
        <v>26</v>
      </c>
      <c r="G10" s="227" t="s">
        <v>124</v>
      </c>
      <c r="H10" s="228"/>
      <c r="I10" s="228"/>
      <c r="J10" s="229"/>
      <c r="K10" s="8"/>
      <c r="L10" s="6">
        <f>R36</f>
        <v>1032</v>
      </c>
      <c r="P10" s="4"/>
      <c r="Q10" s="4"/>
      <c r="R10" s="5"/>
    </row>
    <row r="11" spans="1:18" ht="15.75" x14ac:dyDescent="0.25">
      <c r="A11" s="147"/>
      <c r="B11" s="17" t="s">
        <v>28</v>
      </c>
      <c r="C11" s="10"/>
      <c r="D11" s="13">
        <f t="shared" si="1"/>
        <v>0</v>
      </c>
      <c r="F11" s="213"/>
      <c r="G11" s="224"/>
      <c r="H11" s="225"/>
      <c r="I11" s="225"/>
      <c r="J11" s="22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7"/>
      <c r="B12" s="17" t="s">
        <v>30</v>
      </c>
      <c r="C12" s="10">
        <v>1</v>
      </c>
      <c r="D12" s="48">
        <f t="shared" si="1"/>
        <v>992</v>
      </c>
      <c r="F12" s="230" t="s">
        <v>33</v>
      </c>
      <c r="G12" s="231"/>
      <c r="H12" s="231"/>
      <c r="I12" s="231"/>
      <c r="J12" s="23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7"/>
      <c r="B13" s="17" t="s">
        <v>32</v>
      </c>
      <c r="C13" s="10">
        <v>21</v>
      </c>
      <c r="D13" s="48">
        <f t="shared" si="1"/>
        <v>6447</v>
      </c>
      <c r="F13" s="233" t="s">
        <v>36</v>
      </c>
      <c r="G13" s="197"/>
      <c r="H13" s="188">
        <f>D29</f>
        <v>509099</v>
      </c>
      <c r="I13" s="189"/>
      <c r="J13" s="19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7"/>
      <c r="B14" s="14" t="s">
        <v>35</v>
      </c>
      <c r="C14" s="10">
        <v>11</v>
      </c>
      <c r="D14" s="31">
        <f t="shared" si="1"/>
        <v>121</v>
      </c>
      <c r="F14" s="191" t="s">
        <v>38</v>
      </c>
      <c r="G14" s="192"/>
      <c r="H14" s="193">
        <f>D54</f>
        <v>71080.5</v>
      </c>
      <c r="I14" s="194"/>
      <c r="J14" s="19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7"/>
      <c r="B15" s="14" t="s">
        <v>122</v>
      </c>
      <c r="C15" s="10"/>
      <c r="D15" s="31">
        <f t="shared" si="1"/>
        <v>0</v>
      </c>
      <c r="F15" s="196" t="s">
        <v>39</v>
      </c>
      <c r="G15" s="197"/>
      <c r="H15" s="198">
        <f>H13-H14</f>
        <v>438018.5</v>
      </c>
      <c r="I15" s="199"/>
      <c r="J15" s="200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7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58">
        <f>1596+1296+300</f>
        <v>3192</v>
      </c>
      <c r="I16" s="158"/>
      <c r="J16" s="158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7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69"/>
      <c r="I17" s="169"/>
      <c r="J17" s="169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7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69"/>
      <c r="I18" s="169"/>
      <c r="J18" s="169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7"/>
      <c r="B19" s="87" t="s">
        <v>105</v>
      </c>
      <c r="C19" s="10"/>
      <c r="D19" s="48">
        <f t="shared" si="1"/>
        <v>0</v>
      </c>
      <c r="F19" s="56"/>
      <c r="G19" s="68" t="s">
        <v>49</v>
      </c>
      <c r="H19" s="253"/>
      <c r="I19" s="253"/>
      <c r="J19" s="253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7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58"/>
      <c r="I20" s="158"/>
      <c r="J20" s="158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7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71" t="s">
        <v>13</v>
      </c>
      <c r="I21" s="172"/>
      <c r="J21" s="173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7"/>
      <c r="B22" s="46" t="s">
        <v>103</v>
      </c>
      <c r="C22" s="10"/>
      <c r="D22" s="48">
        <f t="shared" si="1"/>
        <v>0</v>
      </c>
      <c r="F22" s="77"/>
      <c r="G22" s="73"/>
      <c r="H22" s="174"/>
      <c r="I22" s="174"/>
      <c r="J22" s="174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7"/>
      <c r="B23" s="14" t="s">
        <v>121</v>
      </c>
      <c r="C23" s="10"/>
      <c r="D23" s="48">
        <f t="shared" si="1"/>
        <v>0</v>
      </c>
      <c r="F23" s="78"/>
      <c r="G23" s="79"/>
      <c r="H23" s="254"/>
      <c r="I23" s="174"/>
      <c r="J23" s="174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7"/>
      <c r="B24" s="14" t="s">
        <v>128</v>
      </c>
      <c r="C24" s="10"/>
      <c r="D24" s="48">
        <f t="shared" si="1"/>
        <v>0</v>
      </c>
      <c r="F24" s="38"/>
      <c r="G24" s="37"/>
      <c r="H24" s="175"/>
      <c r="I24" s="144"/>
      <c r="J24" s="144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7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76" t="s">
        <v>13</v>
      </c>
      <c r="I25" s="177"/>
      <c r="J25" s="178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7"/>
      <c r="B26" s="14" t="s">
        <v>129</v>
      </c>
      <c r="C26" s="10"/>
      <c r="D26" s="48">
        <f t="shared" si="1"/>
        <v>0</v>
      </c>
      <c r="F26" s="64"/>
      <c r="G26" s="59"/>
      <c r="H26" s="179"/>
      <c r="I26" s="180"/>
      <c r="J26" s="181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7"/>
      <c r="B27" s="14" t="s">
        <v>130</v>
      </c>
      <c r="C27" s="10"/>
      <c r="D27" s="44">
        <f t="shared" si="1"/>
        <v>0</v>
      </c>
      <c r="F27" s="25"/>
      <c r="G27" s="80"/>
      <c r="H27" s="182"/>
      <c r="I27" s="183"/>
      <c r="J27" s="184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8"/>
      <c r="B28" s="46" t="s">
        <v>92</v>
      </c>
      <c r="C28" s="10"/>
      <c r="D28" s="48">
        <f t="shared" si="1"/>
        <v>0</v>
      </c>
      <c r="F28" s="91"/>
      <c r="G28" s="61"/>
      <c r="H28" s="185"/>
      <c r="I28" s="186"/>
      <c r="J28" s="187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9" t="s">
        <v>36</v>
      </c>
      <c r="B29" s="160"/>
      <c r="C29" s="161"/>
      <c r="D29" s="165">
        <f>SUM(D6:D28)</f>
        <v>509099</v>
      </c>
      <c r="F29" s="105" t="s">
        <v>54</v>
      </c>
      <c r="G29" s="167"/>
      <c r="H29" s="127">
        <f>H15-H16-H17-H18-H19-H20-H22-H23-H24+H26+H27</f>
        <v>434826.5</v>
      </c>
      <c r="I29" s="128"/>
      <c r="J29" s="129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08"/>
      <c r="G30" s="168"/>
      <c r="H30" s="130"/>
      <c r="I30" s="131"/>
      <c r="J30" s="132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2" t="s">
        <v>57</v>
      </c>
      <c r="B32" s="153"/>
      <c r="C32" s="153"/>
      <c r="D32" s="154"/>
      <c r="F32" s="155" t="s">
        <v>58</v>
      </c>
      <c r="G32" s="156"/>
      <c r="H32" s="156"/>
      <c r="I32" s="156"/>
      <c r="J32" s="157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2" t="s">
        <v>62</v>
      </c>
      <c r="H33" s="155" t="s">
        <v>13</v>
      </c>
      <c r="I33" s="156"/>
      <c r="J33" s="157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6" t="s">
        <v>64</v>
      </c>
      <c r="B34" s="26" t="s">
        <v>65</v>
      </c>
      <c r="C34" s="51"/>
      <c r="D34" s="30">
        <f>C34*120</f>
        <v>0</v>
      </c>
      <c r="F34" s="12">
        <v>1000</v>
      </c>
      <c r="G34" s="74">
        <v>78</v>
      </c>
      <c r="H34" s="149">
        <f>F34*G34</f>
        <v>78000</v>
      </c>
      <c r="I34" s="150"/>
      <c r="J34" s="151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7"/>
      <c r="B35" s="27" t="s">
        <v>67</v>
      </c>
      <c r="C35" s="52"/>
      <c r="D35" s="30">
        <f>C35*84</f>
        <v>0</v>
      </c>
      <c r="F35" s="58">
        <v>500</v>
      </c>
      <c r="G35" s="41">
        <v>80</v>
      </c>
      <c r="H35" s="149">
        <f>F35*G35</f>
        <v>40000</v>
      </c>
      <c r="I35" s="150"/>
      <c r="J35" s="15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8"/>
      <c r="B36" s="26" t="s">
        <v>69</v>
      </c>
      <c r="C36" s="10"/>
      <c r="D36" s="12">
        <f>C36*1.5</f>
        <v>0</v>
      </c>
      <c r="F36" s="12">
        <v>200</v>
      </c>
      <c r="G36" s="37"/>
      <c r="H36" s="149">
        <f t="shared" ref="H36:H39" si="2">F36*G36</f>
        <v>0</v>
      </c>
      <c r="I36" s="150"/>
      <c r="J36" s="151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6" t="s">
        <v>71</v>
      </c>
      <c r="B37" s="28" t="s">
        <v>65</v>
      </c>
      <c r="C37" s="53">
        <v>620</v>
      </c>
      <c r="D37" s="12">
        <f>C37*111</f>
        <v>68820</v>
      </c>
      <c r="F37" s="12">
        <v>100</v>
      </c>
      <c r="G37" s="39">
        <v>49</v>
      </c>
      <c r="H37" s="149">
        <f t="shared" si="2"/>
        <v>4900</v>
      </c>
      <c r="I37" s="150"/>
      <c r="J37" s="151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7"/>
      <c r="B38" s="29" t="s">
        <v>67</v>
      </c>
      <c r="C38" s="54"/>
      <c r="D38" s="12">
        <f>C38*84</f>
        <v>0</v>
      </c>
      <c r="F38" s="30">
        <v>50</v>
      </c>
      <c r="G38" s="39">
        <v>9</v>
      </c>
      <c r="H38" s="149">
        <f t="shared" si="2"/>
        <v>450</v>
      </c>
      <c r="I38" s="150"/>
      <c r="J38" s="151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8"/>
      <c r="B39" s="29" t="s">
        <v>69</v>
      </c>
      <c r="C39" s="52">
        <v>6</v>
      </c>
      <c r="D39" s="31">
        <f>C39*4.5</f>
        <v>27</v>
      </c>
      <c r="F39" s="12">
        <v>20</v>
      </c>
      <c r="G39" s="37">
        <v>2</v>
      </c>
      <c r="H39" s="149">
        <f t="shared" si="2"/>
        <v>40</v>
      </c>
      <c r="I39" s="150"/>
      <c r="J39" s="15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6" t="s">
        <v>75</v>
      </c>
      <c r="B40" s="27" t="s">
        <v>65</v>
      </c>
      <c r="C40" s="63">
        <v>10</v>
      </c>
      <c r="D40" s="12">
        <f>C40*111</f>
        <v>1110</v>
      </c>
      <c r="F40" s="12">
        <v>10</v>
      </c>
      <c r="G40" s="42"/>
      <c r="H40" s="149"/>
      <c r="I40" s="150"/>
      <c r="J40" s="151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7"/>
      <c r="B41" s="27" t="s">
        <v>67</v>
      </c>
      <c r="C41" s="10">
        <v>1</v>
      </c>
      <c r="D41" s="12">
        <f>C41*84</f>
        <v>84</v>
      </c>
      <c r="F41" s="12">
        <v>5</v>
      </c>
      <c r="G41" s="42"/>
      <c r="H41" s="149"/>
      <c r="I41" s="150"/>
      <c r="J41" s="151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8"/>
      <c r="B42" s="27" t="s">
        <v>69</v>
      </c>
      <c r="C42" s="11"/>
      <c r="D42" s="12">
        <f>C42*2.25</f>
        <v>0</v>
      </c>
      <c r="F42" s="39" t="s">
        <v>78</v>
      </c>
      <c r="G42" s="149">
        <v>50</v>
      </c>
      <c r="H42" s="150"/>
      <c r="I42" s="150"/>
      <c r="J42" s="151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19" t="s">
        <v>80</v>
      </c>
      <c r="C43" s="11"/>
      <c r="D43" s="12"/>
      <c r="F43" s="59" t="s">
        <v>81</v>
      </c>
      <c r="G43" s="88" t="s">
        <v>82</v>
      </c>
      <c r="H43" s="141" t="s">
        <v>13</v>
      </c>
      <c r="I43" s="142"/>
      <c r="J43" s="143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20"/>
      <c r="B44" s="27" t="s">
        <v>65</v>
      </c>
      <c r="C44" s="10">
        <v>1</v>
      </c>
      <c r="D44" s="12">
        <f>C44*120</f>
        <v>120</v>
      </c>
      <c r="F44" s="37" t="s">
        <v>136</v>
      </c>
      <c r="G44" s="76" t="s">
        <v>180</v>
      </c>
      <c r="H44" s="144">
        <v>171049</v>
      </c>
      <c r="I44" s="144"/>
      <c r="J44" s="144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20"/>
      <c r="B45" s="27" t="s">
        <v>67</v>
      </c>
      <c r="C45" s="33"/>
      <c r="D45" s="12">
        <f>C45*84</f>
        <v>0</v>
      </c>
      <c r="F45" s="37" t="s">
        <v>136</v>
      </c>
      <c r="G45" s="76" t="s">
        <v>181</v>
      </c>
      <c r="H45" s="144">
        <v>140478</v>
      </c>
      <c r="I45" s="144"/>
      <c r="J45" s="144"/>
      <c r="K45" s="21"/>
      <c r="P45" s="4"/>
      <c r="Q45" s="4"/>
      <c r="R45" s="5"/>
    </row>
    <row r="46" spans="1:18" ht="15.75" x14ac:dyDescent="0.25">
      <c r="A46" s="120"/>
      <c r="B46" s="49" t="s">
        <v>69</v>
      </c>
      <c r="C46" s="81">
        <v>5</v>
      </c>
      <c r="D46" s="12">
        <f>C46*1.5</f>
        <v>7.5</v>
      </c>
      <c r="F46" s="37"/>
      <c r="G46" s="62"/>
      <c r="H46" s="145"/>
      <c r="I46" s="145"/>
      <c r="J46" s="145"/>
      <c r="K46" s="21"/>
      <c r="P46" s="4"/>
      <c r="Q46" s="4"/>
      <c r="R46" s="5"/>
    </row>
    <row r="47" spans="1:18" ht="15.75" x14ac:dyDescent="0.25">
      <c r="A47" s="121"/>
      <c r="B47" s="27"/>
      <c r="C47" s="11"/>
      <c r="D47" s="12"/>
      <c r="F47" s="59"/>
      <c r="G47" s="59"/>
      <c r="H47" s="122"/>
      <c r="I47" s="123"/>
      <c r="J47" s="124"/>
      <c r="K47" s="21"/>
      <c r="P47" s="4"/>
      <c r="Q47" s="4"/>
      <c r="R47" s="5"/>
    </row>
    <row r="48" spans="1:18" ht="15" customHeight="1" x14ac:dyDescent="0.25">
      <c r="A48" s="119" t="s">
        <v>32</v>
      </c>
      <c r="B48" s="27" t="s">
        <v>65</v>
      </c>
      <c r="C48" s="10">
        <v>9</v>
      </c>
      <c r="D48" s="12">
        <f>C48*78</f>
        <v>702</v>
      </c>
      <c r="F48" s="59"/>
      <c r="G48" s="59"/>
      <c r="H48" s="122"/>
      <c r="I48" s="123"/>
      <c r="J48" s="124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20"/>
      <c r="B49" s="29" t="s">
        <v>67</v>
      </c>
      <c r="C49" s="33"/>
      <c r="D49" s="12">
        <f>C49*42</f>
        <v>0</v>
      </c>
      <c r="F49" s="125" t="s">
        <v>85</v>
      </c>
      <c r="G49" s="127">
        <f>H34+H35+H36+H37+H38+H39+H40+H41+G42+H44+H45+H46</f>
        <v>434967</v>
      </c>
      <c r="H49" s="128"/>
      <c r="I49" s="128"/>
      <c r="J49" s="129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0"/>
      <c r="B50" s="32" t="s">
        <v>69</v>
      </c>
      <c r="C50" s="11">
        <v>140</v>
      </c>
      <c r="D50" s="12">
        <f>C50*1.5</f>
        <v>210</v>
      </c>
      <c r="F50" s="126"/>
      <c r="G50" s="130"/>
      <c r="H50" s="131"/>
      <c r="I50" s="131"/>
      <c r="J50" s="132"/>
      <c r="O50" t="s">
        <v>114</v>
      </c>
      <c r="P50" s="4">
        <v>1204</v>
      </c>
      <c r="Q50" s="4"/>
      <c r="R50" s="5"/>
    </row>
    <row r="51" spans="1:18" ht="15" customHeight="1" x14ac:dyDescent="0.25">
      <c r="A51" s="120"/>
      <c r="B51" s="27"/>
      <c r="C51" s="10"/>
      <c r="D51" s="31"/>
      <c r="F51" s="133" t="s">
        <v>115</v>
      </c>
      <c r="G51" s="135">
        <f>G49-H29</f>
        <v>140.5</v>
      </c>
      <c r="H51" s="136"/>
      <c r="I51" s="136"/>
      <c r="J51" s="137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20"/>
      <c r="B52" s="29"/>
      <c r="C52" s="33"/>
      <c r="D52" s="45"/>
      <c r="F52" s="134"/>
      <c r="G52" s="138"/>
      <c r="H52" s="139"/>
      <c r="I52" s="139"/>
      <c r="J52" s="140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1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05" t="s">
        <v>89</v>
      </c>
      <c r="B54" s="106"/>
      <c r="C54" s="107"/>
      <c r="D54" s="111">
        <f>SUM(D34:D53)</f>
        <v>71080.5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08"/>
      <c r="B55" s="109"/>
      <c r="C55" s="110"/>
      <c r="D55" s="11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13" t="s">
        <v>90</v>
      </c>
      <c r="B58" s="114"/>
      <c r="C58" s="114"/>
      <c r="D58" s="115"/>
      <c r="F58" s="113" t="s">
        <v>91</v>
      </c>
      <c r="G58" s="114"/>
      <c r="H58" s="114"/>
      <c r="I58" s="114"/>
      <c r="J58" s="115"/>
    </row>
    <row r="59" spans="1:18" x14ac:dyDescent="0.25">
      <c r="A59" s="116"/>
      <c r="B59" s="117"/>
      <c r="C59" s="117"/>
      <c r="D59" s="118"/>
      <c r="F59" s="116"/>
      <c r="G59" s="117"/>
      <c r="H59" s="117"/>
      <c r="I59" s="117"/>
      <c r="J59" s="118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A7DCD8-3CE5-4EAB-B5F7-F28AD55F7D3F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01" t="s">
        <v>1</v>
      </c>
      <c r="O1" s="201"/>
      <c r="P1" s="90" t="s">
        <v>2</v>
      </c>
      <c r="Q1" s="90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52" t="s">
        <v>7</v>
      </c>
      <c r="B4" s="153"/>
      <c r="C4" s="153"/>
      <c r="D4" s="154"/>
      <c r="F4" s="202" t="s">
        <v>8</v>
      </c>
      <c r="G4" s="204"/>
      <c r="H4" s="206" t="s">
        <v>9</v>
      </c>
      <c r="I4" s="208"/>
      <c r="J4" s="20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46" t="s">
        <v>7</v>
      </c>
      <c r="B5" s="15" t="s">
        <v>11</v>
      </c>
      <c r="C5" s="9" t="s">
        <v>12</v>
      </c>
      <c r="D5" s="25" t="s">
        <v>13</v>
      </c>
      <c r="F5" s="203"/>
      <c r="G5" s="205"/>
      <c r="H5" s="207"/>
      <c r="I5" s="210"/>
      <c r="J5" s="21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47"/>
      <c r="B6" s="16"/>
      <c r="C6" s="10"/>
      <c r="D6" s="13">
        <f t="shared" ref="D6:D28" si="1">C6*L6</f>
        <v>0</v>
      </c>
      <c r="F6" s="212" t="s">
        <v>16</v>
      </c>
      <c r="G6" s="214"/>
      <c r="H6" s="215"/>
      <c r="I6" s="215"/>
      <c r="J6" s="216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47"/>
      <c r="B7" s="16"/>
      <c r="C7" s="10"/>
      <c r="D7" s="13">
        <f t="shared" si="1"/>
        <v>0</v>
      </c>
      <c r="F7" s="213"/>
      <c r="G7" s="217"/>
      <c r="H7" s="218"/>
      <c r="I7" s="218"/>
      <c r="J7" s="219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47"/>
      <c r="B8" s="16"/>
      <c r="C8" s="10"/>
      <c r="D8" s="13">
        <f t="shared" si="1"/>
        <v>0</v>
      </c>
      <c r="F8" s="220" t="s">
        <v>21</v>
      </c>
      <c r="G8" s="221"/>
      <c r="H8" s="222"/>
      <c r="I8" s="222"/>
      <c r="J8" s="223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47"/>
      <c r="B9" s="16"/>
      <c r="C9" s="10"/>
      <c r="D9" s="13">
        <f t="shared" si="1"/>
        <v>0</v>
      </c>
      <c r="F9" s="213"/>
      <c r="G9" s="224"/>
      <c r="H9" s="225"/>
      <c r="I9" s="225"/>
      <c r="J9" s="226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47"/>
      <c r="C10" s="10"/>
      <c r="D10" s="13">
        <f t="shared" si="1"/>
        <v>0</v>
      </c>
      <c r="F10" s="212" t="s">
        <v>26</v>
      </c>
      <c r="G10" s="227"/>
      <c r="H10" s="228"/>
      <c r="I10" s="228"/>
      <c r="J10" s="229"/>
      <c r="K10" s="8"/>
      <c r="L10" s="6">
        <f>R36</f>
        <v>972</v>
      </c>
      <c r="P10" s="4"/>
      <c r="Q10" s="4"/>
      <c r="R10" s="5"/>
    </row>
    <row r="11" spans="1:19" ht="15.75" x14ac:dyDescent="0.25">
      <c r="A11" s="147"/>
      <c r="B11" s="17"/>
      <c r="C11" s="10"/>
      <c r="D11" s="13">
        <f t="shared" si="1"/>
        <v>0</v>
      </c>
      <c r="F11" s="213"/>
      <c r="G11" s="224"/>
      <c r="H11" s="225"/>
      <c r="I11" s="225"/>
      <c r="J11" s="226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47"/>
      <c r="B12" s="17"/>
      <c r="C12" s="10"/>
      <c r="D12" s="48">
        <f t="shared" si="1"/>
        <v>0</v>
      </c>
      <c r="F12" s="230" t="s">
        <v>33</v>
      </c>
      <c r="G12" s="231"/>
      <c r="H12" s="231"/>
      <c r="I12" s="231"/>
      <c r="J12" s="232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47"/>
      <c r="B13" s="17"/>
      <c r="C13" s="10"/>
      <c r="D13" s="48">
        <f t="shared" si="1"/>
        <v>0</v>
      </c>
      <c r="F13" s="233" t="s">
        <v>36</v>
      </c>
      <c r="G13" s="197"/>
      <c r="H13" s="188">
        <f>D29</f>
        <v>0</v>
      </c>
      <c r="I13" s="189"/>
      <c r="J13" s="19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47"/>
      <c r="B14" s="14"/>
      <c r="C14" s="10"/>
      <c r="D14" s="31">
        <f t="shared" si="1"/>
        <v>0</v>
      </c>
      <c r="F14" s="191" t="s">
        <v>38</v>
      </c>
      <c r="G14" s="192"/>
      <c r="H14" s="193">
        <f>D54</f>
        <v>0</v>
      </c>
      <c r="I14" s="194"/>
      <c r="J14" s="19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47"/>
      <c r="B15" s="14"/>
      <c r="C15" s="10"/>
      <c r="D15" s="31">
        <f t="shared" si="1"/>
        <v>0</v>
      </c>
      <c r="F15" s="196" t="s">
        <v>39</v>
      </c>
      <c r="G15" s="197"/>
      <c r="H15" s="198">
        <f>H13-H14</f>
        <v>0</v>
      </c>
      <c r="I15" s="199"/>
      <c r="J15" s="200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47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58"/>
      <c r="I16" s="158"/>
      <c r="J16" s="158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7"/>
      <c r="C17" s="10"/>
      <c r="D17" s="48">
        <f t="shared" si="1"/>
        <v>0</v>
      </c>
      <c r="F17" s="56"/>
      <c r="G17" s="66" t="s">
        <v>44</v>
      </c>
      <c r="H17" s="169"/>
      <c r="I17" s="169"/>
      <c r="J17" s="169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7"/>
      <c r="B18" s="19"/>
      <c r="C18" s="10"/>
      <c r="D18" s="48">
        <f t="shared" si="1"/>
        <v>0</v>
      </c>
      <c r="F18" s="56"/>
      <c r="G18" s="66" t="s">
        <v>46</v>
      </c>
      <c r="H18" s="169"/>
      <c r="I18" s="169"/>
      <c r="J18" s="16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7"/>
      <c r="B19" s="14"/>
      <c r="C19" s="10"/>
      <c r="D19" s="48">
        <f t="shared" si="1"/>
        <v>0</v>
      </c>
      <c r="F19" s="56"/>
      <c r="G19" s="68" t="s">
        <v>49</v>
      </c>
      <c r="H19" s="170"/>
      <c r="I19" s="170"/>
      <c r="J19" s="170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7"/>
      <c r="B20" s="46"/>
      <c r="C20" s="10"/>
      <c r="D20" s="13">
        <f t="shared" si="1"/>
        <v>0</v>
      </c>
      <c r="F20" s="57"/>
      <c r="G20" s="70" t="s">
        <v>102</v>
      </c>
      <c r="H20" s="158"/>
      <c r="I20" s="158"/>
      <c r="J20" s="158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7"/>
      <c r="B21" s="14"/>
      <c r="C21" s="10"/>
      <c r="D21" s="48">
        <f t="shared" si="1"/>
        <v>0</v>
      </c>
      <c r="F21" s="69" t="s">
        <v>94</v>
      </c>
      <c r="G21" s="82" t="s">
        <v>93</v>
      </c>
      <c r="H21" s="171" t="s">
        <v>13</v>
      </c>
      <c r="I21" s="172"/>
      <c r="J21" s="173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7"/>
      <c r="B22" s="46"/>
      <c r="C22" s="10"/>
      <c r="D22" s="48">
        <f t="shared" si="1"/>
        <v>0</v>
      </c>
      <c r="F22" s="77"/>
      <c r="G22" s="73"/>
      <c r="H22" s="174"/>
      <c r="I22" s="174"/>
      <c r="J22" s="174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7"/>
      <c r="B23" s="14"/>
      <c r="C23" s="10"/>
      <c r="D23" s="48">
        <f t="shared" si="1"/>
        <v>0</v>
      </c>
      <c r="F23" s="78"/>
      <c r="G23" s="79"/>
      <c r="H23" s="175"/>
      <c r="I23" s="144"/>
      <c r="J23" s="144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7"/>
      <c r="B24" s="14"/>
      <c r="C24" s="10"/>
      <c r="D24" s="48">
        <f t="shared" si="1"/>
        <v>0</v>
      </c>
      <c r="F24" s="38"/>
      <c r="G24" s="37"/>
      <c r="H24" s="175"/>
      <c r="I24" s="144"/>
      <c r="J24" s="144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7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176" t="s">
        <v>13</v>
      </c>
      <c r="I25" s="177"/>
      <c r="J25" s="178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7"/>
      <c r="B26" s="14"/>
      <c r="C26" s="10"/>
      <c r="D26" s="48">
        <f t="shared" si="1"/>
        <v>0</v>
      </c>
      <c r="F26" s="64"/>
      <c r="G26" s="59"/>
      <c r="H26" s="179"/>
      <c r="I26" s="180"/>
      <c r="J26" s="181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7"/>
      <c r="B27" s="14"/>
      <c r="C27" s="10"/>
      <c r="D27" s="44">
        <f t="shared" si="1"/>
        <v>0</v>
      </c>
      <c r="F27" s="25"/>
      <c r="G27" s="80"/>
      <c r="H27" s="182"/>
      <c r="I27" s="183"/>
      <c r="J27" s="184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8"/>
      <c r="B28" s="46"/>
      <c r="C28" s="10"/>
      <c r="D28" s="48">
        <f t="shared" si="1"/>
        <v>0</v>
      </c>
      <c r="F28" s="91"/>
      <c r="G28" s="61"/>
      <c r="H28" s="185"/>
      <c r="I28" s="186"/>
      <c r="J28" s="187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9" t="s">
        <v>36</v>
      </c>
      <c r="B29" s="160"/>
      <c r="C29" s="161"/>
      <c r="D29" s="165">
        <f>SUM(D6:D28)</f>
        <v>0</v>
      </c>
      <c r="F29" s="105" t="s">
        <v>54</v>
      </c>
      <c r="G29" s="167"/>
      <c r="H29" s="127">
        <f>H15-H16-H17-H18-H19-H20-H22-H23-H24+H26+H27</f>
        <v>0</v>
      </c>
      <c r="I29" s="128"/>
      <c r="J29" s="129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08"/>
      <c r="G30" s="168"/>
      <c r="H30" s="130"/>
      <c r="I30" s="131"/>
      <c r="J30" s="132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52" t="s">
        <v>57</v>
      </c>
      <c r="B32" s="153"/>
      <c r="C32" s="153"/>
      <c r="D32" s="154"/>
      <c r="F32" s="155" t="s">
        <v>58</v>
      </c>
      <c r="G32" s="156"/>
      <c r="H32" s="156"/>
      <c r="I32" s="156"/>
      <c r="J32" s="157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2" t="s">
        <v>62</v>
      </c>
      <c r="H33" s="155" t="s">
        <v>13</v>
      </c>
      <c r="I33" s="156"/>
      <c r="J33" s="157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6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149"/>
      <c r="I34" s="150"/>
      <c r="J34" s="151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7"/>
      <c r="B35" s="27" t="s">
        <v>67</v>
      </c>
      <c r="C35" s="52"/>
      <c r="D35" s="30">
        <f>C35*84</f>
        <v>0</v>
      </c>
      <c r="F35" s="58">
        <v>500</v>
      </c>
      <c r="G35" s="41"/>
      <c r="H35" s="149"/>
      <c r="I35" s="150"/>
      <c r="J35" s="15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8"/>
      <c r="B36" s="26" t="s">
        <v>69</v>
      </c>
      <c r="C36" s="10"/>
      <c r="D36" s="12">
        <f>C36*1.5</f>
        <v>0</v>
      </c>
      <c r="F36" s="12">
        <v>200</v>
      </c>
      <c r="G36" s="37"/>
      <c r="H36" s="149"/>
      <c r="I36" s="150"/>
      <c r="J36" s="151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6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49"/>
      <c r="I37" s="150"/>
      <c r="J37" s="151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7"/>
      <c r="B38" s="29" t="s">
        <v>67</v>
      </c>
      <c r="C38" s="54"/>
      <c r="D38" s="12">
        <f>C38*84</f>
        <v>0</v>
      </c>
      <c r="F38" s="30">
        <v>50</v>
      </c>
      <c r="G38" s="39"/>
      <c r="H38" s="149"/>
      <c r="I38" s="150"/>
      <c r="J38" s="151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8"/>
      <c r="B39" s="29" t="s">
        <v>69</v>
      </c>
      <c r="C39" s="52"/>
      <c r="D39" s="31">
        <f>C39*4.5</f>
        <v>0</v>
      </c>
      <c r="F39" s="12">
        <v>20</v>
      </c>
      <c r="G39" s="37"/>
      <c r="H39" s="149"/>
      <c r="I39" s="150"/>
      <c r="J39" s="15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6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49"/>
      <c r="I40" s="150"/>
      <c r="J40" s="151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7"/>
      <c r="B41" s="27" t="s">
        <v>67</v>
      </c>
      <c r="C41" s="10"/>
      <c r="D41" s="12">
        <f>C41*84</f>
        <v>0</v>
      </c>
      <c r="F41" s="12">
        <v>5</v>
      </c>
      <c r="G41" s="42"/>
      <c r="H41" s="149"/>
      <c r="I41" s="150"/>
      <c r="J41" s="151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8"/>
      <c r="B42" s="27" t="s">
        <v>69</v>
      </c>
      <c r="C42" s="11"/>
      <c r="D42" s="12">
        <f>C42*2.25</f>
        <v>0</v>
      </c>
      <c r="F42" s="39" t="s">
        <v>78</v>
      </c>
      <c r="G42" s="149"/>
      <c r="H42" s="150"/>
      <c r="I42" s="150"/>
      <c r="J42" s="151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19" t="s">
        <v>80</v>
      </c>
      <c r="C43" s="11"/>
      <c r="D43" s="12"/>
      <c r="F43" s="59" t="s">
        <v>81</v>
      </c>
      <c r="G43" s="88" t="s">
        <v>82</v>
      </c>
      <c r="H43" s="141" t="s">
        <v>13</v>
      </c>
      <c r="I43" s="142"/>
      <c r="J43" s="143"/>
      <c r="K43" s="21"/>
      <c r="P43" s="4"/>
      <c r="Q43" s="4"/>
      <c r="R43" s="5"/>
    </row>
    <row r="44" spans="1:18" ht="15.75" x14ac:dyDescent="0.25">
      <c r="A44" s="120"/>
      <c r="B44" s="27" t="s">
        <v>65</v>
      </c>
      <c r="C44" s="10"/>
      <c r="D44" s="12">
        <f>C44*120</f>
        <v>0</v>
      </c>
      <c r="F44" s="37"/>
      <c r="G44" s="76"/>
      <c r="H44" s="144"/>
      <c r="I44" s="144"/>
      <c r="J44" s="144"/>
      <c r="K44" s="21"/>
      <c r="P44" s="4"/>
      <c r="Q44" s="4"/>
      <c r="R44" s="5"/>
    </row>
    <row r="45" spans="1:18" ht="15.75" x14ac:dyDescent="0.25">
      <c r="A45" s="120"/>
      <c r="B45" s="27" t="s">
        <v>67</v>
      </c>
      <c r="C45" s="33"/>
      <c r="D45" s="12">
        <f>C45*84</f>
        <v>0</v>
      </c>
      <c r="F45" s="37"/>
      <c r="G45" s="76"/>
      <c r="H45" s="144"/>
      <c r="I45" s="144"/>
      <c r="J45" s="144"/>
      <c r="K45" s="21"/>
      <c r="P45" s="4"/>
      <c r="Q45" s="4"/>
      <c r="R45" s="5"/>
    </row>
    <row r="46" spans="1:18" ht="15.75" x14ac:dyDescent="0.25">
      <c r="A46" s="120"/>
      <c r="B46" s="49" t="s">
        <v>69</v>
      </c>
      <c r="C46" s="81"/>
      <c r="D46" s="12">
        <f>C46*1.5</f>
        <v>0</v>
      </c>
      <c r="F46" s="37"/>
      <c r="G46" s="62"/>
      <c r="H46" s="145"/>
      <c r="I46" s="145"/>
      <c r="J46" s="145"/>
      <c r="K46" s="21"/>
      <c r="P46" s="4"/>
      <c r="Q46" s="4"/>
      <c r="R46" s="5"/>
    </row>
    <row r="47" spans="1:18" ht="15.75" x14ac:dyDescent="0.25">
      <c r="A47" s="121"/>
      <c r="B47" s="27"/>
      <c r="C47" s="11"/>
      <c r="D47" s="12"/>
      <c r="F47" s="59"/>
      <c r="G47" s="59"/>
      <c r="H47" s="122"/>
      <c r="I47" s="123"/>
      <c r="J47" s="124"/>
      <c r="K47" s="21"/>
      <c r="P47" s="4"/>
      <c r="Q47" s="4"/>
      <c r="R47" s="5"/>
    </row>
    <row r="48" spans="1:18" ht="15" customHeight="1" x14ac:dyDescent="0.25">
      <c r="A48" s="119" t="s">
        <v>32</v>
      </c>
      <c r="B48" s="27" t="s">
        <v>65</v>
      </c>
      <c r="C48" s="10"/>
      <c r="D48" s="12">
        <f>C48*78</f>
        <v>0</v>
      </c>
      <c r="F48" s="59"/>
      <c r="G48" s="59"/>
      <c r="H48" s="122"/>
      <c r="I48" s="123"/>
      <c r="J48" s="124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20"/>
      <c r="B49" s="29" t="s">
        <v>67</v>
      </c>
      <c r="C49" s="33"/>
      <c r="D49" s="12">
        <f>C49*42</f>
        <v>0</v>
      </c>
      <c r="F49" s="125" t="s">
        <v>85</v>
      </c>
      <c r="G49" s="127">
        <f>H34+H35+H36+H37+H38+H39+H40+H41+G42+H44+H45+H46</f>
        <v>0</v>
      </c>
      <c r="H49" s="128"/>
      <c r="I49" s="128"/>
      <c r="J49" s="129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0"/>
      <c r="B50" s="32" t="s">
        <v>69</v>
      </c>
      <c r="C50" s="11"/>
      <c r="D50" s="12">
        <f>C50*1.5</f>
        <v>0</v>
      </c>
      <c r="F50" s="126"/>
      <c r="G50" s="130"/>
      <c r="H50" s="131"/>
      <c r="I50" s="131"/>
      <c r="J50" s="132"/>
      <c r="P50" s="4"/>
      <c r="Q50" s="4"/>
      <c r="R50" s="5"/>
    </row>
    <row r="51" spans="1:18" ht="15" customHeight="1" x14ac:dyDescent="0.25">
      <c r="A51" s="120"/>
      <c r="B51" s="27"/>
      <c r="C51" s="10"/>
      <c r="D51" s="31"/>
      <c r="F51" s="133" t="s">
        <v>106</v>
      </c>
      <c r="G51" s="135">
        <f>G49-H29</f>
        <v>0</v>
      </c>
      <c r="H51" s="136"/>
      <c r="I51" s="136"/>
      <c r="J51" s="137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0"/>
      <c r="B52" s="29"/>
      <c r="C52" s="33"/>
      <c r="D52" s="45"/>
      <c r="F52" s="134"/>
      <c r="G52" s="138"/>
      <c r="H52" s="139"/>
      <c r="I52" s="139"/>
      <c r="J52" s="140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1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05" t="s">
        <v>89</v>
      </c>
      <c r="B54" s="106"/>
      <c r="C54" s="107"/>
      <c r="D54" s="111">
        <f>SUM(D34:D53)</f>
        <v>0</v>
      </c>
      <c r="F54" s="21"/>
      <c r="J54" s="34"/>
    </row>
    <row r="55" spans="1:18" x14ac:dyDescent="0.25">
      <c r="A55" s="108"/>
      <c r="B55" s="109"/>
      <c r="C55" s="110"/>
      <c r="D55" s="11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13" t="s">
        <v>90</v>
      </c>
      <c r="B58" s="114"/>
      <c r="C58" s="114"/>
      <c r="D58" s="115"/>
      <c r="F58" s="113" t="s">
        <v>91</v>
      </c>
      <c r="G58" s="114"/>
      <c r="H58" s="114"/>
      <c r="I58" s="114"/>
      <c r="J58" s="115"/>
    </row>
    <row r="59" spans="1:18" x14ac:dyDescent="0.25">
      <c r="A59" s="116"/>
      <c r="B59" s="117"/>
      <c r="C59" s="117"/>
      <c r="D59" s="118"/>
      <c r="F59" s="116"/>
      <c r="G59" s="117"/>
      <c r="H59" s="117"/>
      <c r="I59" s="117"/>
      <c r="J59" s="118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AC084D-AEC5-4EDA-BC11-BFA40853115F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1" t="s">
        <v>1</v>
      </c>
      <c r="O1" s="201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2" t="s">
        <v>7</v>
      </c>
      <c r="B4" s="153"/>
      <c r="C4" s="153"/>
      <c r="D4" s="154"/>
      <c r="F4" s="202" t="s">
        <v>8</v>
      </c>
      <c r="G4" s="204">
        <v>1</v>
      </c>
      <c r="H4" s="206" t="s">
        <v>9</v>
      </c>
      <c r="I4" s="208">
        <v>46158</v>
      </c>
      <c r="J4" s="20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6" t="s">
        <v>7</v>
      </c>
      <c r="B5" s="15" t="s">
        <v>11</v>
      </c>
      <c r="C5" s="9" t="s">
        <v>12</v>
      </c>
      <c r="D5" s="25" t="s">
        <v>13</v>
      </c>
      <c r="F5" s="203"/>
      <c r="G5" s="205"/>
      <c r="H5" s="207"/>
      <c r="I5" s="210"/>
      <c r="J5" s="21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7"/>
      <c r="B6" s="16" t="s">
        <v>15</v>
      </c>
      <c r="C6" s="10"/>
      <c r="D6" s="13">
        <f t="shared" ref="D6:D28" si="1">C6*L6</f>
        <v>0</v>
      </c>
      <c r="F6" s="212" t="s">
        <v>16</v>
      </c>
      <c r="G6" s="214" t="s">
        <v>99</v>
      </c>
      <c r="H6" s="215"/>
      <c r="I6" s="215"/>
      <c r="J6" s="21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7"/>
      <c r="B7" s="16" t="s">
        <v>18</v>
      </c>
      <c r="C7" s="10"/>
      <c r="D7" s="13">
        <f t="shared" si="1"/>
        <v>0</v>
      </c>
      <c r="F7" s="213"/>
      <c r="G7" s="217"/>
      <c r="H7" s="218"/>
      <c r="I7" s="218"/>
      <c r="J7" s="21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7"/>
      <c r="B8" s="16" t="s">
        <v>20</v>
      </c>
      <c r="C8" s="10"/>
      <c r="D8" s="13">
        <f t="shared" si="1"/>
        <v>0</v>
      </c>
      <c r="F8" s="220" t="s">
        <v>21</v>
      </c>
      <c r="G8" s="221" t="s">
        <v>120</v>
      </c>
      <c r="H8" s="222"/>
      <c r="I8" s="222"/>
      <c r="J8" s="22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7"/>
      <c r="B9" s="16" t="s">
        <v>23</v>
      </c>
      <c r="C9" s="10"/>
      <c r="D9" s="13">
        <f t="shared" si="1"/>
        <v>0</v>
      </c>
      <c r="F9" s="213"/>
      <c r="G9" s="224"/>
      <c r="H9" s="225"/>
      <c r="I9" s="225"/>
      <c r="J9" s="22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7"/>
      <c r="B10" t="s">
        <v>25</v>
      </c>
      <c r="C10" s="10"/>
      <c r="D10" s="13">
        <f t="shared" si="1"/>
        <v>0</v>
      </c>
      <c r="F10" s="212" t="s">
        <v>26</v>
      </c>
      <c r="G10" s="227" t="s">
        <v>108</v>
      </c>
      <c r="H10" s="228"/>
      <c r="I10" s="228"/>
      <c r="J10" s="229"/>
      <c r="K10" s="8"/>
      <c r="L10" s="6">
        <f>R36</f>
        <v>1032</v>
      </c>
      <c r="P10" s="4"/>
      <c r="Q10" s="4"/>
      <c r="R10" s="5"/>
    </row>
    <row r="11" spans="1:18" ht="15.75" x14ac:dyDescent="0.25">
      <c r="A11" s="147"/>
      <c r="B11" s="17" t="s">
        <v>28</v>
      </c>
      <c r="C11" s="10"/>
      <c r="D11" s="13">
        <f t="shared" si="1"/>
        <v>0</v>
      </c>
      <c r="F11" s="213"/>
      <c r="G11" s="224"/>
      <c r="H11" s="225"/>
      <c r="I11" s="225"/>
      <c r="J11" s="22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7"/>
      <c r="B12" s="17" t="s">
        <v>30</v>
      </c>
      <c r="C12" s="10"/>
      <c r="D12" s="48">
        <f t="shared" si="1"/>
        <v>0</v>
      </c>
      <c r="F12" s="230" t="s">
        <v>33</v>
      </c>
      <c r="G12" s="231"/>
      <c r="H12" s="231"/>
      <c r="I12" s="231"/>
      <c r="J12" s="23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7"/>
      <c r="B13" s="17" t="s">
        <v>32</v>
      </c>
      <c r="C13" s="10"/>
      <c r="D13" s="48">
        <f t="shared" si="1"/>
        <v>0</v>
      </c>
      <c r="F13" s="233" t="s">
        <v>36</v>
      </c>
      <c r="G13" s="197"/>
      <c r="H13" s="188">
        <f>D29</f>
        <v>0</v>
      </c>
      <c r="I13" s="189"/>
      <c r="J13" s="19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7"/>
      <c r="B14" s="14" t="s">
        <v>35</v>
      </c>
      <c r="C14" s="10"/>
      <c r="D14" s="31">
        <f t="shared" si="1"/>
        <v>0</v>
      </c>
      <c r="F14" s="191" t="s">
        <v>38</v>
      </c>
      <c r="G14" s="192"/>
      <c r="H14" s="193">
        <f>D54</f>
        <v>0</v>
      </c>
      <c r="I14" s="194"/>
      <c r="J14" s="19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7"/>
      <c r="B15" s="14" t="s">
        <v>122</v>
      </c>
      <c r="C15" s="10"/>
      <c r="D15" s="31">
        <f t="shared" si="1"/>
        <v>0</v>
      </c>
      <c r="F15" s="196" t="s">
        <v>39</v>
      </c>
      <c r="G15" s="197"/>
      <c r="H15" s="198">
        <f>H13-H14</f>
        <v>0</v>
      </c>
      <c r="I15" s="199"/>
      <c r="J15" s="200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7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58"/>
      <c r="I16" s="158"/>
      <c r="J16" s="158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7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69"/>
      <c r="I17" s="169"/>
      <c r="J17" s="169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7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69"/>
      <c r="I18" s="169"/>
      <c r="J18" s="169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7"/>
      <c r="B19" s="83" t="s">
        <v>105</v>
      </c>
      <c r="C19" s="10"/>
      <c r="D19" s="48">
        <f t="shared" si="1"/>
        <v>0</v>
      </c>
      <c r="F19" s="56"/>
      <c r="G19" s="68" t="s">
        <v>49</v>
      </c>
      <c r="H19" s="158"/>
      <c r="I19" s="158"/>
      <c r="J19" s="158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7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58"/>
      <c r="I20" s="158"/>
      <c r="J20" s="158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7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71" t="s">
        <v>13</v>
      </c>
      <c r="I21" s="172"/>
      <c r="J21" s="173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7"/>
      <c r="B22" s="46" t="s">
        <v>103</v>
      </c>
      <c r="C22" s="10"/>
      <c r="D22" s="48">
        <f t="shared" si="1"/>
        <v>0</v>
      </c>
      <c r="F22" s="77"/>
      <c r="G22" s="73"/>
      <c r="H22" s="174"/>
      <c r="I22" s="174"/>
      <c r="J22" s="174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7"/>
      <c r="B23" s="14" t="s">
        <v>121</v>
      </c>
      <c r="C23" s="10"/>
      <c r="D23" s="48">
        <f t="shared" si="1"/>
        <v>0</v>
      </c>
      <c r="F23" s="77"/>
      <c r="G23" s="79"/>
      <c r="H23" s="242"/>
      <c r="I23" s="243"/>
      <c r="J23" s="243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7"/>
      <c r="B24" s="14" t="s">
        <v>128</v>
      </c>
      <c r="C24" s="10"/>
      <c r="D24" s="48">
        <f t="shared" si="1"/>
        <v>0</v>
      </c>
      <c r="F24" s="77"/>
      <c r="G24" s="79"/>
      <c r="H24" s="242"/>
      <c r="I24" s="243"/>
      <c r="J24" s="243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7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76" t="s">
        <v>13</v>
      </c>
      <c r="I25" s="177"/>
      <c r="J25" s="178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7"/>
      <c r="B26" s="14" t="s">
        <v>129</v>
      </c>
      <c r="C26" s="10"/>
      <c r="D26" s="48">
        <f t="shared" si="1"/>
        <v>0</v>
      </c>
      <c r="F26" s="75" t="s">
        <v>153</v>
      </c>
      <c r="G26" s="65">
        <v>10543</v>
      </c>
      <c r="H26" s="144">
        <v>65678</v>
      </c>
      <c r="I26" s="144"/>
      <c r="J26" s="144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7"/>
      <c r="B27" s="14" t="s">
        <v>130</v>
      </c>
      <c r="C27" s="10"/>
      <c r="D27" s="44">
        <f t="shared" si="1"/>
        <v>0</v>
      </c>
      <c r="F27" s="71"/>
      <c r="G27" s="88"/>
      <c r="H27" s="244"/>
      <c r="I27" s="245"/>
      <c r="J27" s="245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8"/>
      <c r="B28" s="46" t="s">
        <v>92</v>
      </c>
      <c r="C28" s="10"/>
      <c r="D28" s="48">
        <f t="shared" si="1"/>
        <v>0</v>
      </c>
      <c r="F28" s="91"/>
      <c r="G28" s="61"/>
      <c r="H28" s="185"/>
      <c r="I28" s="186"/>
      <c r="J28" s="187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9" t="s">
        <v>36</v>
      </c>
      <c r="B29" s="160"/>
      <c r="C29" s="161"/>
      <c r="D29" s="165">
        <f>SUM(D6:D28)</f>
        <v>0</v>
      </c>
      <c r="F29" s="105" t="s">
        <v>54</v>
      </c>
      <c r="G29" s="167"/>
      <c r="H29" s="127">
        <f>H15-H16-H17-H18-H19-H20-H22-H23-H24+H26+H27+H28</f>
        <v>65678</v>
      </c>
      <c r="I29" s="128"/>
      <c r="J29" s="129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08"/>
      <c r="G30" s="168"/>
      <c r="H30" s="130"/>
      <c r="I30" s="131"/>
      <c r="J30" s="132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2" t="s">
        <v>57</v>
      </c>
      <c r="B32" s="153"/>
      <c r="C32" s="153"/>
      <c r="D32" s="154"/>
      <c r="F32" s="155" t="s">
        <v>58</v>
      </c>
      <c r="G32" s="156"/>
      <c r="H32" s="156"/>
      <c r="I32" s="156"/>
      <c r="J32" s="157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2" t="s">
        <v>62</v>
      </c>
      <c r="H33" s="155" t="s">
        <v>13</v>
      </c>
      <c r="I33" s="156"/>
      <c r="J33" s="157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6" t="s">
        <v>64</v>
      </c>
      <c r="B34" s="26" t="s">
        <v>65</v>
      </c>
      <c r="C34" s="51"/>
      <c r="D34" s="30">
        <f>C34*120</f>
        <v>0</v>
      </c>
      <c r="F34" s="12">
        <v>1000</v>
      </c>
      <c r="G34" s="40">
        <v>65</v>
      </c>
      <c r="H34" s="149">
        <f t="shared" ref="H34:H39" si="2">F34*G34</f>
        <v>65000</v>
      </c>
      <c r="I34" s="150"/>
      <c r="J34" s="151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7"/>
      <c r="B35" s="27" t="s">
        <v>67</v>
      </c>
      <c r="C35" s="52"/>
      <c r="D35" s="30">
        <f>C35*84</f>
        <v>0</v>
      </c>
      <c r="F35" s="58">
        <v>500</v>
      </c>
      <c r="G35" s="41">
        <v>1</v>
      </c>
      <c r="H35" s="149">
        <f t="shared" si="2"/>
        <v>500</v>
      </c>
      <c r="I35" s="150"/>
      <c r="J35" s="15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8"/>
      <c r="B36" s="26" t="s">
        <v>69</v>
      </c>
      <c r="C36" s="10"/>
      <c r="D36" s="12">
        <f>C36*1.5</f>
        <v>0</v>
      </c>
      <c r="F36" s="12">
        <v>200</v>
      </c>
      <c r="G36" s="37"/>
      <c r="H36" s="149">
        <f t="shared" si="2"/>
        <v>0</v>
      </c>
      <c r="I36" s="150"/>
      <c r="J36" s="151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6" t="s">
        <v>71</v>
      </c>
      <c r="B37" s="28" t="s">
        <v>65</v>
      </c>
      <c r="C37" s="53"/>
      <c r="D37" s="12">
        <f>C37*111</f>
        <v>0</v>
      </c>
      <c r="F37" s="12">
        <v>100</v>
      </c>
      <c r="G37" s="39">
        <v>1</v>
      </c>
      <c r="H37" s="149">
        <f t="shared" si="2"/>
        <v>100</v>
      </c>
      <c r="I37" s="150"/>
      <c r="J37" s="151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7"/>
      <c r="B38" s="29" t="s">
        <v>67</v>
      </c>
      <c r="C38" s="54"/>
      <c r="D38" s="12">
        <f>C38*84</f>
        <v>0</v>
      </c>
      <c r="F38" s="30">
        <v>50</v>
      </c>
      <c r="G38" s="39">
        <v>1</v>
      </c>
      <c r="H38" s="149">
        <f t="shared" si="2"/>
        <v>50</v>
      </c>
      <c r="I38" s="150"/>
      <c r="J38" s="151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8"/>
      <c r="B39" s="29" t="s">
        <v>69</v>
      </c>
      <c r="C39" s="52"/>
      <c r="D39" s="31">
        <f>C39*4.5</f>
        <v>0</v>
      </c>
      <c r="F39" s="12">
        <v>20</v>
      </c>
      <c r="G39" s="37"/>
      <c r="H39" s="149">
        <f t="shared" si="2"/>
        <v>0</v>
      </c>
      <c r="I39" s="150"/>
      <c r="J39" s="15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6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49"/>
      <c r="I40" s="150"/>
      <c r="J40" s="151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7"/>
      <c r="B41" s="27" t="s">
        <v>67</v>
      </c>
      <c r="C41" s="10"/>
      <c r="D41" s="12">
        <f>C41*84</f>
        <v>0</v>
      </c>
      <c r="F41" s="12">
        <v>5</v>
      </c>
      <c r="G41" s="42"/>
      <c r="H41" s="149"/>
      <c r="I41" s="150"/>
      <c r="J41" s="151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8"/>
      <c r="B42" s="27" t="s">
        <v>69</v>
      </c>
      <c r="C42" s="11"/>
      <c r="D42" s="12">
        <f>C42*2.25</f>
        <v>0</v>
      </c>
      <c r="F42" s="39" t="s">
        <v>78</v>
      </c>
      <c r="G42" s="149">
        <v>28</v>
      </c>
      <c r="H42" s="150"/>
      <c r="I42" s="150"/>
      <c r="J42" s="151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19" t="s">
        <v>80</v>
      </c>
      <c r="C43" s="11"/>
      <c r="D43" s="12"/>
      <c r="F43" s="59" t="s">
        <v>81</v>
      </c>
      <c r="G43" s="88" t="s">
        <v>82</v>
      </c>
      <c r="H43" s="141" t="s">
        <v>13</v>
      </c>
      <c r="I43" s="142"/>
      <c r="J43" s="143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20"/>
      <c r="B44" s="27" t="s">
        <v>65</v>
      </c>
      <c r="C44" s="10"/>
      <c r="D44" s="12">
        <f>C44*120</f>
        <v>0</v>
      </c>
      <c r="F44" s="37"/>
      <c r="G44" s="62"/>
      <c r="H44" s="144"/>
      <c r="I44" s="144"/>
      <c r="J44" s="144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20"/>
      <c r="B45" s="27" t="s">
        <v>67</v>
      </c>
      <c r="C45" s="33"/>
      <c r="D45" s="12">
        <f>C45*84</f>
        <v>0</v>
      </c>
      <c r="F45" s="37"/>
      <c r="G45" s="62"/>
      <c r="H45" s="144"/>
      <c r="I45" s="144"/>
      <c r="J45" s="144"/>
      <c r="K45" s="21"/>
      <c r="P45" s="4"/>
      <c r="Q45" s="4"/>
      <c r="R45" s="5"/>
    </row>
    <row r="46" spans="1:18" ht="15.75" x14ac:dyDescent="0.25">
      <c r="A46" s="120"/>
      <c r="B46" s="49" t="s">
        <v>69</v>
      </c>
      <c r="C46" s="81"/>
      <c r="D46" s="12">
        <f>C46*1.5</f>
        <v>0</v>
      </c>
      <c r="F46" s="37"/>
      <c r="G46" s="62"/>
      <c r="H46" s="144"/>
      <c r="I46" s="144"/>
      <c r="J46" s="144"/>
      <c r="K46" s="21"/>
      <c r="P46" s="4"/>
      <c r="Q46" s="4"/>
      <c r="R46" s="5"/>
    </row>
    <row r="47" spans="1:18" ht="15.75" x14ac:dyDescent="0.25">
      <c r="A47" s="121"/>
      <c r="B47" s="27"/>
      <c r="C47" s="11"/>
      <c r="D47" s="12"/>
      <c r="F47" s="59"/>
      <c r="G47" s="59"/>
      <c r="H47" s="122"/>
      <c r="I47" s="123"/>
      <c r="J47" s="124"/>
      <c r="K47" s="21"/>
      <c r="P47" s="4"/>
      <c r="Q47" s="4"/>
      <c r="R47" s="5"/>
    </row>
    <row r="48" spans="1:18" ht="15" customHeight="1" x14ac:dyDescent="0.25">
      <c r="A48" s="119" t="s">
        <v>32</v>
      </c>
      <c r="B48" s="27" t="s">
        <v>65</v>
      </c>
      <c r="C48" s="10"/>
      <c r="D48" s="12">
        <f>C48*78</f>
        <v>0</v>
      </c>
      <c r="F48" s="59"/>
      <c r="G48" s="59"/>
      <c r="H48" s="122"/>
      <c r="I48" s="123"/>
      <c r="J48" s="124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20"/>
      <c r="B49" s="29" t="s">
        <v>67</v>
      </c>
      <c r="C49" s="33"/>
      <c r="D49" s="12">
        <f>C49*42</f>
        <v>0</v>
      </c>
      <c r="F49" s="125" t="s">
        <v>85</v>
      </c>
      <c r="G49" s="127">
        <f>H34+H35+H36+H37+H38+H39+H40+H41+G42+H44+H45+H46</f>
        <v>65678</v>
      </c>
      <c r="H49" s="128"/>
      <c r="I49" s="128"/>
      <c r="J49" s="129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0"/>
      <c r="B50" s="32" t="s">
        <v>69</v>
      </c>
      <c r="C50" s="11"/>
      <c r="D50" s="12">
        <f>C50*1.5</f>
        <v>0</v>
      </c>
      <c r="F50" s="126"/>
      <c r="G50" s="130"/>
      <c r="H50" s="131"/>
      <c r="I50" s="131"/>
      <c r="J50" s="132"/>
      <c r="O50" t="s">
        <v>114</v>
      </c>
      <c r="P50" s="4">
        <v>1204</v>
      </c>
      <c r="Q50" s="4"/>
      <c r="R50" s="5"/>
    </row>
    <row r="51" spans="1:18" ht="15" customHeight="1" x14ac:dyDescent="0.25">
      <c r="A51" s="120"/>
      <c r="B51" s="27"/>
      <c r="C51" s="10"/>
      <c r="D51" s="31"/>
      <c r="F51" s="133" t="s">
        <v>184</v>
      </c>
      <c r="G51" s="236">
        <f>G49-H29</f>
        <v>0</v>
      </c>
      <c r="H51" s="237"/>
      <c r="I51" s="237"/>
      <c r="J51" s="238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20"/>
      <c r="B52" s="29"/>
      <c r="C52" s="33"/>
      <c r="D52" s="45"/>
      <c r="F52" s="134"/>
      <c r="G52" s="239"/>
      <c r="H52" s="240"/>
      <c r="I52" s="240"/>
      <c r="J52" s="241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1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05" t="s">
        <v>89</v>
      </c>
      <c r="B54" s="106"/>
      <c r="C54" s="107"/>
      <c r="D54" s="111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08"/>
      <c r="B55" s="109"/>
      <c r="C55" s="110"/>
      <c r="D55" s="11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113" t="s">
        <v>90</v>
      </c>
      <c r="B58" s="114"/>
      <c r="C58" s="114"/>
      <c r="D58" s="115"/>
      <c r="F58" s="113" t="s">
        <v>91</v>
      </c>
      <c r="G58" s="114"/>
      <c r="H58" s="114"/>
      <c r="I58" s="114"/>
      <c r="J58" s="115"/>
    </row>
    <row r="59" spans="1:18" x14ac:dyDescent="0.25">
      <c r="A59" s="116"/>
      <c r="B59" s="117"/>
      <c r="C59" s="117"/>
      <c r="D59" s="118"/>
      <c r="F59" s="116"/>
      <c r="G59" s="117"/>
      <c r="H59" s="117"/>
      <c r="I59" s="117"/>
      <c r="J59" s="118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3B4F66-68E3-4650-A39C-1B1C7CE3B611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1" t="s">
        <v>1</v>
      </c>
      <c r="O1" s="201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2" t="s">
        <v>7</v>
      </c>
      <c r="B4" s="153"/>
      <c r="C4" s="153"/>
      <c r="D4" s="154"/>
      <c r="F4" s="202" t="s">
        <v>8</v>
      </c>
      <c r="G4" s="204">
        <v>2</v>
      </c>
      <c r="H4" s="206" t="s">
        <v>9</v>
      </c>
      <c r="I4" s="208">
        <v>46158</v>
      </c>
      <c r="J4" s="20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6" t="s">
        <v>7</v>
      </c>
      <c r="B5" s="15" t="s">
        <v>11</v>
      </c>
      <c r="C5" s="9" t="s">
        <v>12</v>
      </c>
      <c r="D5" s="25" t="s">
        <v>13</v>
      </c>
      <c r="F5" s="203"/>
      <c r="G5" s="205"/>
      <c r="H5" s="207"/>
      <c r="I5" s="210"/>
      <c r="J5" s="21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7"/>
      <c r="B6" s="16" t="s">
        <v>15</v>
      </c>
      <c r="C6" s="10">
        <v>316</v>
      </c>
      <c r="D6" s="13">
        <f t="shared" ref="D6:D28" si="1">C6*L6</f>
        <v>240476</v>
      </c>
      <c r="F6" s="212" t="s">
        <v>16</v>
      </c>
      <c r="G6" s="214" t="s">
        <v>107</v>
      </c>
      <c r="H6" s="215"/>
      <c r="I6" s="215"/>
      <c r="J6" s="21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7"/>
      <c r="B7" s="16" t="s">
        <v>18</v>
      </c>
      <c r="C7" s="10">
        <v>15</v>
      </c>
      <c r="D7" s="13">
        <f t="shared" si="1"/>
        <v>11715</v>
      </c>
      <c r="F7" s="213"/>
      <c r="G7" s="217"/>
      <c r="H7" s="218"/>
      <c r="I7" s="218"/>
      <c r="J7" s="21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7"/>
      <c r="B8" s="16" t="s">
        <v>20</v>
      </c>
      <c r="C8" s="10"/>
      <c r="D8" s="13">
        <f t="shared" si="1"/>
        <v>0</v>
      </c>
      <c r="F8" s="220" t="s">
        <v>21</v>
      </c>
      <c r="G8" s="221" t="s">
        <v>100</v>
      </c>
      <c r="H8" s="222"/>
      <c r="I8" s="222"/>
      <c r="J8" s="22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7"/>
      <c r="B9" s="16" t="s">
        <v>23</v>
      </c>
      <c r="C9" s="10">
        <v>20</v>
      </c>
      <c r="D9" s="13">
        <f t="shared" si="1"/>
        <v>14660</v>
      </c>
      <c r="F9" s="213"/>
      <c r="G9" s="224"/>
      <c r="H9" s="225"/>
      <c r="I9" s="225"/>
      <c r="J9" s="22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7"/>
      <c r="B10" t="s">
        <v>25</v>
      </c>
      <c r="C10" s="10"/>
      <c r="D10" s="13">
        <f t="shared" si="1"/>
        <v>0</v>
      </c>
      <c r="F10" s="212" t="s">
        <v>26</v>
      </c>
      <c r="G10" s="227" t="s">
        <v>101</v>
      </c>
      <c r="H10" s="228"/>
      <c r="I10" s="228"/>
      <c r="J10" s="229"/>
      <c r="K10" s="8"/>
      <c r="L10" s="6">
        <f>R36</f>
        <v>1032</v>
      </c>
      <c r="P10" s="4"/>
      <c r="Q10" s="4"/>
      <c r="R10" s="5"/>
    </row>
    <row r="11" spans="1:18" ht="15.75" x14ac:dyDescent="0.25">
      <c r="A11" s="147"/>
      <c r="B11" s="17" t="s">
        <v>28</v>
      </c>
      <c r="C11" s="10"/>
      <c r="D11" s="13">
        <f t="shared" si="1"/>
        <v>0</v>
      </c>
      <c r="F11" s="213"/>
      <c r="G11" s="224"/>
      <c r="H11" s="225"/>
      <c r="I11" s="225"/>
      <c r="J11" s="22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7"/>
      <c r="B12" s="17" t="s">
        <v>30</v>
      </c>
      <c r="C12" s="10"/>
      <c r="D12" s="48">
        <f t="shared" si="1"/>
        <v>0</v>
      </c>
      <c r="F12" s="230" t="s">
        <v>33</v>
      </c>
      <c r="G12" s="231"/>
      <c r="H12" s="231"/>
      <c r="I12" s="231"/>
      <c r="J12" s="23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7"/>
      <c r="B13" s="17" t="s">
        <v>32</v>
      </c>
      <c r="C13" s="10">
        <v>11</v>
      </c>
      <c r="D13" s="48">
        <f t="shared" si="1"/>
        <v>3377</v>
      </c>
      <c r="F13" s="233" t="s">
        <v>36</v>
      </c>
      <c r="G13" s="197"/>
      <c r="H13" s="188">
        <f>D29</f>
        <v>272545</v>
      </c>
      <c r="I13" s="189"/>
      <c r="J13" s="19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7"/>
      <c r="B14" s="14" t="s">
        <v>35</v>
      </c>
      <c r="C14" s="10"/>
      <c r="D14" s="31">
        <f t="shared" si="1"/>
        <v>0</v>
      </c>
      <c r="F14" s="191" t="s">
        <v>38</v>
      </c>
      <c r="G14" s="192"/>
      <c r="H14" s="193">
        <f>D54</f>
        <v>41206.5</v>
      </c>
      <c r="I14" s="194"/>
      <c r="J14" s="19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7"/>
      <c r="B15" s="14" t="s">
        <v>122</v>
      </c>
      <c r="C15" s="10"/>
      <c r="D15" s="31">
        <f t="shared" si="1"/>
        <v>0</v>
      </c>
      <c r="F15" s="196" t="s">
        <v>39</v>
      </c>
      <c r="G15" s="197"/>
      <c r="H15" s="198">
        <f>H13-H14</f>
        <v>231338.5</v>
      </c>
      <c r="I15" s="199"/>
      <c r="J15" s="200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7"/>
      <c r="B16" s="18" t="s">
        <v>111</v>
      </c>
      <c r="C16" s="10">
        <v>1</v>
      </c>
      <c r="D16" s="48">
        <f t="shared" si="1"/>
        <v>650</v>
      </c>
      <c r="F16" s="67" t="s">
        <v>41</v>
      </c>
      <c r="G16" s="66" t="s">
        <v>42</v>
      </c>
      <c r="H16" s="158">
        <v>2106</v>
      </c>
      <c r="I16" s="158"/>
      <c r="J16" s="158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7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69"/>
      <c r="I17" s="169"/>
      <c r="J17" s="169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7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69"/>
      <c r="I18" s="169"/>
      <c r="J18" s="169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7"/>
      <c r="B19" s="87" t="s">
        <v>105</v>
      </c>
      <c r="C19" s="10"/>
      <c r="D19" s="48">
        <f t="shared" si="1"/>
        <v>0</v>
      </c>
      <c r="F19" s="56"/>
      <c r="G19" s="68" t="s">
        <v>49</v>
      </c>
      <c r="H19" s="253"/>
      <c r="I19" s="253"/>
      <c r="J19" s="253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7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58"/>
      <c r="I20" s="158"/>
      <c r="J20" s="158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7"/>
      <c r="B21" s="14" t="s">
        <v>183</v>
      </c>
      <c r="C21" s="10">
        <v>1</v>
      </c>
      <c r="D21" s="48">
        <f t="shared" si="1"/>
        <v>1667</v>
      </c>
      <c r="F21" s="69" t="s">
        <v>94</v>
      </c>
      <c r="G21" s="82" t="s">
        <v>93</v>
      </c>
      <c r="H21" s="171" t="s">
        <v>13</v>
      </c>
      <c r="I21" s="172"/>
      <c r="J21" s="173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7"/>
      <c r="B22" s="46" t="s">
        <v>103</v>
      </c>
      <c r="C22" s="10"/>
      <c r="D22" s="48">
        <f t="shared" si="1"/>
        <v>0</v>
      </c>
      <c r="F22" s="77"/>
      <c r="G22" s="73"/>
      <c r="H22" s="174"/>
      <c r="I22" s="174"/>
      <c r="J22" s="174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7"/>
      <c r="B23" s="14" t="s">
        <v>121</v>
      </c>
      <c r="C23" s="10"/>
      <c r="D23" s="48">
        <f t="shared" si="1"/>
        <v>0</v>
      </c>
      <c r="F23" s="78"/>
      <c r="G23" s="79"/>
      <c r="H23" s="254"/>
      <c r="I23" s="174"/>
      <c r="J23" s="174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7"/>
      <c r="B24" s="14" t="s">
        <v>128</v>
      </c>
      <c r="C24" s="10"/>
      <c r="D24" s="48">
        <f t="shared" si="1"/>
        <v>0</v>
      </c>
      <c r="F24" s="38"/>
      <c r="G24" s="37"/>
      <c r="H24" s="175"/>
      <c r="I24" s="144"/>
      <c r="J24" s="144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7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76" t="s">
        <v>13</v>
      </c>
      <c r="I25" s="177"/>
      <c r="J25" s="178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7"/>
      <c r="B26" s="14" t="s">
        <v>129</v>
      </c>
      <c r="C26" s="10"/>
      <c r="D26" s="48">
        <f t="shared" si="1"/>
        <v>0</v>
      </c>
      <c r="F26" s="64"/>
      <c r="G26" s="59"/>
      <c r="H26" s="179"/>
      <c r="I26" s="180"/>
      <c r="J26" s="181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7"/>
      <c r="B27" s="14" t="s">
        <v>130</v>
      </c>
      <c r="C27" s="10"/>
      <c r="D27" s="44">
        <f t="shared" si="1"/>
        <v>0</v>
      </c>
      <c r="F27" s="25"/>
      <c r="G27" s="80"/>
      <c r="H27" s="182"/>
      <c r="I27" s="183"/>
      <c r="J27" s="184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8"/>
      <c r="B28" s="46" t="s">
        <v>92</v>
      </c>
      <c r="C28" s="10"/>
      <c r="D28" s="48">
        <f t="shared" si="1"/>
        <v>0</v>
      </c>
      <c r="F28" s="91"/>
      <c r="G28" s="61"/>
      <c r="H28" s="185"/>
      <c r="I28" s="186"/>
      <c r="J28" s="187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9" t="s">
        <v>36</v>
      </c>
      <c r="B29" s="160"/>
      <c r="C29" s="161"/>
      <c r="D29" s="165">
        <f>SUM(D6:D28)</f>
        <v>272545</v>
      </c>
      <c r="F29" s="105" t="s">
        <v>54</v>
      </c>
      <c r="G29" s="167"/>
      <c r="H29" s="127">
        <f>H15-H16-H17-H18-H19-H20-H22-H23-H24+H26+H27</f>
        <v>229232.5</v>
      </c>
      <c r="I29" s="128"/>
      <c r="J29" s="129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08"/>
      <c r="G30" s="168"/>
      <c r="H30" s="130"/>
      <c r="I30" s="131"/>
      <c r="J30" s="132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2" t="s">
        <v>57</v>
      </c>
      <c r="B32" s="153"/>
      <c r="C32" s="153"/>
      <c r="D32" s="154"/>
      <c r="F32" s="155" t="s">
        <v>58</v>
      </c>
      <c r="G32" s="156"/>
      <c r="H32" s="156"/>
      <c r="I32" s="156"/>
      <c r="J32" s="157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2" t="s">
        <v>62</v>
      </c>
      <c r="H33" s="155" t="s">
        <v>13</v>
      </c>
      <c r="I33" s="156"/>
      <c r="J33" s="157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6" t="s">
        <v>64</v>
      </c>
      <c r="B34" s="26" t="s">
        <v>65</v>
      </c>
      <c r="C34" s="51"/>
      <c r="D34" s="30">
        <f>C34*120</f>
        <v>0</v>
      </c>
      <c r="F34" s="12">
        <v>1000</v>
      </c>
      <c r="G34" s="74">
        <v>32</v>
      </c>
      <c r="H34" s="149">
        <f>F34*G34</f>
        <v>32000</v>
      </c>
      <c r="I34" s="150"/>
      <c r="J34" s="151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7"/>
      <c r="B35" s="27" t="s">
        <v>67</v>
      </c>
      <c r="C35" s="52"/>
      <c r="D35" s="30">
        <f>C35*84</f>
        <v>0</v>
      </c>
      <c r="F35" s="58">
        <v>500</v>
      </c>
      <c r="G35" s="41">
        <v>211</v>
      </c>
      <c r="H35" s="149">
        <f>F35*G35</f>
        <v>105500</v>
      </c>
      <c r="I35" s="150"/>
      <c r="J35" s="15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8"/>
      <c r="B36" s="26" t="s">
        <v>69</v>
      </c>
      <c r="C36" s="10"/>
      <c r="D36" s="12">
        <f>C36*1.5</f>
        <v>0</v>
      </c>
      <c r="F36" s="12">
        <v>200</v>
      </c>
      <c r="G36" s="37"/>
      <c r="H36" s="149">
        <f t="shared" ref="H36:H39" si="2">F36*G36</f>
        <v>0</v>
      </c>
      <c r="I36" s="150"/>
      <c r="J36" s="151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6" t="s">
        <v>71</v>
      </c>
      <c r="B37" s="28" t="s">
        <v>65</v>
      </c>
      <c r="C37" s="53">
        <v>349</v>
      </c>
      <c r="D37" s="12">
        <f>C37*111</f>
        <v>38739</v>
      </c>
      <c r="F37" s="12">
        <v>100</v>
      </c>
      <c r="G37" s="39">
        <v>700</v>
      </c>
      <c r="H37" s="149">
        <f t="shared" si="2"/>
        <v>70000</v>
      </c>
      <c r="I37" s="150"/>
      <c r="J37" s="151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7"/>
      <c r="B38" s="29" t="s">
        <v>67</v>
      </c>
      <c r="C38" s="54"/>
      <c r="D38" s="12">
        <f>C38*84</f>
        <v>0</v>
      </c>
      <c r="F38" s="30">
        <v>50</v>
      </c>
      <c r="G38" s="39">
        <v>388</v>
      </c>
      <c r="H38" s="149">
        <f t="shared" si="2"/>
        <v>19400</v>
      </c>
      <c r="I38" s="150"/>
      <c r="J38" s="151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8"/>
      <c r="B39" s="29" t="s">
        <v>69</v>
      </c>
      <c r="C39" s="52"/>
      <c r="D39" s="31">
        <f>C39*4.5</f>
        <v>0</v>
      </c>
      <c r="F39" s="12">
        <v>20</v>
      </c>
      <c r="G39" s="37">
        <v>1</v>
      </c>
      <c r="H39" s="149">
        <f t="shared" si="2"/>
        <v>20</v>
      </c>
      <c r="I39" s="150"/>
      <c r="J39" s="15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6" t="s">
        <v>75</v>
      </c>
      <c r="B40" s="27" t="s">
        <v>65</v>
      </c>
      <c r="C40" s="63">
        <v>14</v>
      </c>
      <c r="D40" s="12">
        <f>C40*111</f>
        <v>1554</v>
      </c>
      <c r="F40" s="12">
        <v>10</v>
      </c>
      <c r="G40" s="42"/>
      <c r="H40" s="149"/>
      <c r="I40" s="150"/>
      <c r="J40" s="151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7"/>
      <c r="B41" s="27" t="s">
        <v>67</v>
      </c>
      <c r="C41" s="10">
        <v>1</v>
      </c>
      <c r="D41" s="12">
        <f>C41*84</f>
        <v>84</v>
      </c>
      <c r="F41" s="12">
        <v>5</v>
      </c>
      <c r="G41" s="42"/>
      <c r="H41" s="149"/>
      <c r="I41" s="150"/>
      <c r="J41" s="151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8"/>
      <c r="B42" s="27" t="s">
        <v>69</v>
      </c>
      <c r="C42" s="11"/>
      <c r="D42" s="12">
        <f>C42*2.25</f>
        <v>0</v>
      </c>
      <c r="F42" s="39" t="s">
        <v>78</v>
      </c>
      <c r="G42" s="149">
        <v>17</v>
      </c>
      <c r="H42" s="150"/>
      <c r="I42" s="150"/>
      <c r="J42" s="151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19" t="s">
        <v>80</v>
      </c>
      <c r="C43" s="11"/>
      <c r="D43" s="12"/>
      <c r="F43" s="59" t="s">
        <v>81</v>
      </c>
      <c r="G43" s="88" t="s">
        <v>82</v>
      </c>
      <c r="H43" s="141" t="s">
        <v>13</v>
      </c>
      <c r="I43" s="142"/>
      <c r="J43" s="143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20"/>
      <c r="B44" s="27" t="s">
        <v>65</v>
      </c>
      <c r="C44" s="10"/>
      <c r="D44" s="12">
        <f>C44*120</f>
        <v>0</v>
      </c>
      <c r="F44" s="37" t="s">
        <v>182</v>
      </c>
      <c r="G44" s="76"/>
      <c r="H44" s="144">
        <v>2317</v>
      </c>
      <c r="I44" s="144"/>
      <c r="J44" s="144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20"/>
      <c r="B45" s="27" t="s">
        <v>67</v>
      </c>
      <c r="C45" s="33"/>
      <c r="D45" s="12">
        <f>C45*84</f>
        <v>0</v>
      </c>
      <c r="F45" s="37"/>
      <c r="G45" s="76"/>
      <c r="H45" s="144"/>
      <c r="I45" s="144"/>
      <c r="J45" s="144"/>
      <c r="K45" s="21"/>
      <c r="P45" s="4"/>
      <c r="Q45" s="4"/>
      <c r="R45" s="5"/>
    </row>
    <row r="46" spans="1:18" ht="15.75" x14ac:dyDescent="0.25">
      <c r="A46" s="120"/>
      <c r="B46" s="49" t="s">
        <v>69</v>
      </c>
      <c r="C46" s="81"/>
      <c r="D46" s="12">
        <f>C46*1.5</f>
        <v>0</v>
      </c>
      <c r="F46" s="37"/>
      <c r="G46" s="62"/>
      <c r="H46" s="145"/>
      <c r="I46" s="145"/>
      <c r="J46" s="145"/>
      <c r="K46" s="21"/>
      <c r="P46" s="4"/>
      <c r="Q46" s="4"/>
      <c r="R46" s="5"/>
    </row>
    <row r="47" spans="1:18" ht="15.75" x14ac:dyDescent="0.25">
      <c r="A47" s="121"/>
      <c r="B47" s="27"/>
      <c r="C47" s="11"/>
      <c r="D47" s="12"/>
      <c r="F47" s="59"/>
      <c r="G47" s="59"/>
      <c r="H47" s="122"/>
      <c r="I47" s="123"/>
      <c r="J47" s="124"/>
      <c r="K47" s="21"/>
      <c r="P47" s="4"/>
      <c r="Q47" s="4"/>
      <c r="R47" s="5"/>
    </row>
    <row r="48" spans="1:18" ht="15" customHeight="1" x14ac:dyDescent="0.25">
      <c r="A48" s="119" t="s">
        <v>32</v>
      </c>
      <c r="B48" s="27" t="s">
        <v>65</v>
      </c>
      <c r="C48" s="10">
        <v>2</v>
      </c>
      <c r="D48" s="12">
        <f>C48*78</f>
        <v>156</v>
      </c>
      <c r="F48" s="59"/>
      <c r="G48" s="59"/>
      <c r="H48" s="122"/>
      <c r="I48" s="123"/>
      <c r="J48" s="124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20"/>
      <c r="B49" s="29" t="s">
        <v>67</v>
      </c>
      <c r="C49" s="33">
        <v>16</v>
      </c>
      <c r="D49" s="12">
        <f>C49*42</f>
        <v>672</v>
      </c>
      <c r="F49" s="125" t="s">
        <v>85</v>
      </c>
      <c r="G49" s="127">
        <f>H34+H35+H36+H37+H38+H39+H40+H41+G42+H44+H45+H46</f>
        <v>229254</v>
      </c>
      <c r="H49" s="128"/>
      <c r="I49" s="128"/>
      <c r="J49" s="129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0"/>
      <c r="B50" s="32" t="s">
        <v>69</v>
      </c>
      <c r="C50" s="81">
        <v>1</v>
      </c>
      <c r="D50" s="12">
        <f>C50*1.5</f>
        <v>1.5</v>
      </c>
      <c r="F50" s="126"/>
      <c r="G50" s="130"/>
      <c r="H50" s="131"/>
      <c r="I50" s="131"/>
      <c r="J50" s="132"/>
      <c r="O50" t="s">
        <v>114</v>
      </c>
      <c r="P50" s="4">
        <v>1204</v>
      </c>
      <c r="Q50" s="4"/>
      <c r="R50" s="5"/>
    </row>
    <row r="51" spans="1:18" ht="15" customHeight="1" x14ac:dyDescent="0.25">
      <c r="A51" s="120"/>
      <c r="B51" s="27"/>
      <c r="C51" s="10"/>
      <c r="D51" s="31"/>
      <c r="F51" s="133" t="s">
        <v>115</v>
      </c>
      <c r="G51" s="135">
        <f>G49-H29</f>
        <v>21.5</v>
      </c>
      <c r="H51" s="136"/>
      <c r="I51" s="136"/>
      <c r="J51" s="137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20"/>
      <c r="B52" s="29"/>
      <c r="C52" s="33"/>
      <c r="D52" s="45"/>
      <c r="F52" s="134"/>
      <c r="G52" s="138"/>
      <c r="H52" s="139"/>
      <c r="I52" s="139"/>
      <c r="J52" s="140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1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05" t="s">
        <v>89</v>
      </c>
      <c r="B54" s="106"/>
      <c r="C54" s="107"/>
      <c r="D54" s="111">
        <f>SUM(D34:D53)</f>
        <v>41206.5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08"/>
      <c r="B55" s="109"/>
      <c r="C55" s="110"/>
      <c r="D55" s="11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119</v>
      </c>
      <c r="D57" s="34"/>
      <c r="F57" s="36"/>
      <c r="G57" s="50"/>
      <c r="H57" s="50"/>
      <c r="I57" s="50"/>
      <c r="J57" s="43"/>
    </row>
    <row r="58" spans="1:18" x14ac:dyDescent="0.25">
      <c r="A58" s="113" t="s">
        <v>90</v>
      </c>
      <c r="B58" s="114"/>
      <c r="C58" s="114"/>
      <c r="D58" s="115"/>
      <c r="F58" s="113" t="s">
        <v>91</v>
      </c>
      <c r="G58" s="114"/>
      <c r="H58" s="114"/>
      <c r="I58" s="114"/>
      <c r="J58" s="115"/>
    </row>
    <row r="59" spans="1:18" x14ac:dyDescent="0.25">
      <c r="A59" s="116"/>
      <c r="B59" s="117"/>
      <c r="C59" s="117"/>
      <c r="D59" s="118"/>
      <c r="F59" s="116"/>
      <c r="G59" s="117"/>
      <c r="H59" s="117"/>
      <c r="I59" s="117"/>
      <c r="J59" s="118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98163C-CE78-40F4-B7FD-CF3E6CDEBE83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1" t="s">
        <v>1</v>
      </c>
      <c r="O1" s="201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2" t="s">
        <v>7</v>
      </c>
      <c r="B4" s="153"/>
      <c r="C4" s="153"/>
      <c r="D4" s="154"/>
      <c r="F4" s="202" t="s">
        <v>8</v>
      </c>
      <c r="G4" s="204">
        <v>3</v>
      </c>
      <c r="H4" s="206" t="s">
        <v>9</v>
      </c>
      <c r="I4" s="208">
        <v>46158</v>
      </c>
      <c r="J4" s="20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6" t="s">
        <v>7</v>
      </c>
      <c r="B5" s="15" t="s">
        <v>11</v>
      </c>
      <c r="C5" s="9" t="s">
        <v>12</v>
      </c>
      <c r="D5" s="25" t="s">
        <v>13</v>
      </c>
      <c r="F5" s="203"/>
      <c r="G5" s="205"/>
      <c r="H5" s="207"/>
      <c r="I5" s="210"/>
      <c r="J5" s="21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7"/>
      <c r="B6" s="16" t="s">
        <v>15</v>
      </c>
      <c r="C6" s="10"/>
      <c r="D6" s="13">
        <f t="shared" ref="D6:D28" si="1">C6*L6</f>
        <v>0</v>
      </c>
      <c r="F6" s="212" t="s">
        <v>16</v>
      </c>
      <c r="G6" s="214" t="s">
        <v>117</v>
      </c>
      <c r="H6" s="215"/>
      <c r="I6" s="215"/>
      <c r="J6" s="21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7"/>
      <c r="B7" s="16" t="s">
        <v>18</v>
      </c>
      <c r="C7" s="10"/>
      <c r="D7" s="13">
        <f t="shared" si="1"/>
        <v>0</v>
      </c>
      <c r="F7" s="213"/>
      <c r="G7" s="217"/>
      <c r="H7" s="218"/>
      <c r="I7" s="218"/>
      <c r="J7" s="21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7"/>
      <c r="B8" s="16" t="s">
        <v>20</v>
      </c>
      <c r="C8" s="10"/>
      <c r="D8" s="13">
        <f t="shared" si="1"/>
        <v>0</v>
      </c>
      <c r="F8" s="220" t="s">
        <v>21</v>
      </c>
      <c r="G8" s="221" t="s">
        <v>110</v>
      </c>
      <c r="H8" s="222"/>
      <c r="I8" s="222"/>
      <c r="J8" s="22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7"/>
      <c r="B9" s="16" t="s">
        <v>23</v>
      </c>
      <c r="C9" s="10"/>
      <c r="D9" s="13">
        <f t="shared" si="1"/>
        <v>0</v>
      </c>
      <c r="F9" s="213"/>
      <c r="G9" s="224"/>
      <c r="H9" s="225"/>
      <c r="I9" s="225"/>
      <c r="J9" s="22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7"/>
      <c r="B10" t="s">
        <v>25</v>
      </c>
      <c r="C10" s="10"/>
      <c r="D10" s="13">
        <f t="shared" si="1"/>
        <v>0</v>
      </c>
      <c r="F10" s="212" t="s">
        <v>26</v>
      </c>
      <c r="G10" s="227" t="s">
        <v>124</v>
      </c>
      <c r="H10" s="228"/>
      <c r="I10" s="228"/>
      <c r="J10" s="229"/>
      <c r="K10" s="8"/>
      <c r="L10" s="6">
        <f>R36</f>
        <v>1032</v>
      </c>
      <c r="P10" s="4"/>
      <c r="Q10" s="4"/>
      <c r="R10" s="5"/>
    </row>
    <row r="11" spans="1:18" ht="15.75" x14ac:dyDescent="0.25">
      <c r="A11" s="147"/>
      <c r="B11" s="17" t="s">
        <v>28</v>
      </c>
      <c r="C11" s="10"/>
      <c r="D11" s="13">
        <f t="shared" si="1"/>
        <v>0</v>
      </c>
      <c r="F11" s="213"/>
      <c r="G11" s="224"/>
      <c r="H11" s="225"/>
      <c r="I11" s="225"/>
      <c r="J11" s="22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7"/>
      <c r="B12" s="17" t="s">
        <v>30</v>
      </c>
      <c r="C12" s="10"/>
      <c r="D12" s="48">
        <f t="shared" si="1"/>
        <v>0</v>
      </c>
      <c r="F12" s="230" t="s">
        <v>33</v>
      </c>
      <c r="G12" s="231"/>
      <c r="H12" s="231"/>
      <c r="I12" s="231"/>
      <c r="J12" s="23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7"/>
      <c r="B13" s="17" t="s">
        <v>32</v>
      </c>
      <c r="C13" s="10"/>
      <c r="D13" s="48">
        <f t="shared" si="1"/>
        <v>0</v>
      </c>
      <c r="F13" s="233" t="s">
        <v>36</v>
      </c>
      <c r="G13" s="197"/>
      <c r="H13" s="188">
        <f>D29</f>
        <v>0</v>
      </c>
      <c r="I13" s="189"/>
      <c r="J13" s="19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7"/>
      <c r="B14" s="14" t="s">
        <v>35</v>
      </c>
      <c r="C14" s="10"/>
      <c r="D14" s="31">
        <f t="shared" si="1"/>
        <v>0</v>
      </c>
      <c r="F14" s="191" t="s">
        <v>38</v>
      </c>
      <c r="G14" s="192"/>
      <c r="H14" s="193">
        <f>D54</f>
        <v>0</v>
      </c>
      <c r="I14" s="194"/>
      <c r="J14" s="19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7"/>
      <c r="B15" s="14" t="s">
        <v>122</v>
      </c>
      <c r="C15" s="10"/>
      <c r="D15" s="31">
        <f t="shared" si="1"/>
        <v>0</v>
      </c>
      <c r="F15" s="196" t="s">
        <v>39</v>
      </c>
      <c r="G15" s="197"/>
      <c r="H15" s="198">
        <f>H13-H14</f>
        <v>0</v>
      </c>
      <c r="I15" s="199"/>
      <c r="J15" s="200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7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58"/>
      <c r="I16" s="158"/>
      <c r="J16" s="158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7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69"/>
      <c r="I17" s="169"/>
      <c r="J17" s="169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7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69"/>
      <c r="I18" s="169"/>
      <c r="J18" s="169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7"/>
      <c r="B19" s="87" t="s">
        <v>105</v>
      </c>
      <c r="C19" s="10"/>
      <c r="D19" s="48">
        <f t="shared" si="1"/>
        <v>0</v>
      </c>
      <c r="F19" s="56"/>
      <c r="G19" s="68" t="s">
        <v>49</v>
      </c>
      <c r="H19" s="253"/>
      <c r="I19" s="253"/>
      <c r="J19" s="253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7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58"/>
      <c r="I20" s="158"/>
      <c r="J20" s="158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7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71" t="s">
        <v>13</v>
      </c>
      <c r="I21" s="172"/>
      <c r="J21" s="173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7"/>
      <c r="B22" s="46" t="s">
        <v>103</v>
      </c>
      <c r="C22" s="10"/>
      <c r="D22" s="48">
        <f t="shared" si="1"/>
        <v>0</v>
      </c>
      <c r="F22" s="77"/>
      <c r="G22" s="73"/>
      <c r="H22" s="174"/>
      <c r="I22" s="174"/>
      <c r="J22" s="174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7"/>
      <c r="B23" s="14" t="s">
        <v>121</v>
      </c>
      <c r="C23" s="10"/>
      <c r="D23" s="48">
        <f t="shared" si="1"/>
        <v>0</v>
      </c>
      <c r="F23" s="78"/>
      <c r="G23" s="79"/>
      <c r="H23" s="254"/>
      <c r="I23" s="174"/>
      <c r="J23" s="174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7"/>
      <c r="B24" s="14" t="s">
        <v>128</v>
      </c>
      <c r="C24" s="10"/>
      <c r="D24" s="48">
        <f t="shared" si="1"/>
        <v>0</v>
      </c>
      <c r="F24" s="38"/>
      <c r="G24" s="37"/>
      <c r="H24" s="175"/>
      <c r="I24" s="144"/>
      <c r="J24" s="144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7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76" t="s">
        <v>13</v>
      </c>
      <c r="I25" s="177"/>
      <c r="J25" s="178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7"/>
      <c r="B26" s="14" t="s">
        <v>129</v>
      </c>
      <c r="C26" s="10"/>
      <c r="D26" s="48">
        <f t="shared" si="1"/>
        <v>0</v>
      </c>
      <c r="F26" s="64"/>
      <c r="G26" s="59"/>
      <c r="H26" s="179"/>
      <c r="I26" s="180"/>
      <c r="J26" s="181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7"/>
      <c r="B27" s="14" t="s">
        <v>130</v>
      </c>
      <c r="C27" s="10"/>
      <c r="D27" s="44">
        <f t="shared" si="1"/>
        <v>0</v>
      </c>
      <c r="F27" s="25"/>
      <c r="G27" s="80"/>
      <c r="H27" s="182"/>
      <c r="I27" s="183"/>
      <c r="J27" s="184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8"/>
      <c r="B28" s="46" t="s">
        <v>92</v>
      </c>
      <c r="C28" s="10"/>
      <c r="D28" s="48">
        <f t="shared" si="1"/>
        <v>0</v>
      </c>
      <c r="F28" s="91"/>
      <c r="G28" s="61"/>
      <c r="H28" s="185"/>
      <c r="I28" s="186"/>
      <c r="J28" s="187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9" t="s">
        <v>36</v>
      </c>
      <c r="B29" s="160"/>
      <c r="C29" s="161"/>
      <c r="D29" s="165">
        <f>SUM(D6:D28)</f>
        <v>0</v>
      </c>
      <c r="F29" s="105" t="s">
        <v>54</v>
      </c>
      <c r="G29" s="167"/>
      <c r="H29" s="127">
        <f>H15-H16-H17-H18-H19-H20-H22-H23-H24+H26+H27</f>
        <v>0</v>
      </c>
      <c r="I29" s="128"/>
      <c r="J29" s="129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08"/>
      <c r="G30" s="168"/>
      <c r="H30" s="130"/>
      <c r="I30" s="131"/>
      <c r="J30" s="132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2" t="s">
        <v>57</v>
      </c>
      <c r="B32" s="153"/>
      <c r="C32" s="153"/>
      <c r="D32" s="154"/>
      <c r="F32" s="155" t="s">
        <v>58</v>
      </c>
      <c r="G32" s="156"/>
      <c r="H32" s="156"/>
      <c r="I32" s="156"/>
      <c r="J32" s="157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2" t="s">
        <v>62</v>
      </c>
      <c r="H33" s="155" t="s">
        <v>13</v>
      </c>
      <c r="I33" s="156"/>
      <c r="J33" s="157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6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149">
        <f>F34*G34</f>
        <v>0</v>
      </c>
      <c r="I34" s="150"/>
      <c r="J34" s="151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7"/>
      <c r="B35" s="27" t="s">
        <v>67</v>
      </c>
      <c r="C35" s="52"/>
      <c r="D35" s="30">
        <f>C35*84</f>
        <v>0</v>
      </c>
      <c r="F35" s="58">
        <v>500</v>
      </c>
      <c r="G35" s="41"/>
      <c r="H35" s="149">
        <f>F35*G35</f>
        <v>0</v>
      </c>
      <c r="I35" s="150"/>
      <c r="J35" s="15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8"/>
      <c r="B36" s="26" t="s">
        <v>69</v>
      </c>
      <c r="C36" s="10"/>
      <c r="D36" s="12">
        <f>C36*1.5</f>
        <v>0</v>
      </c>
      <c r="F36" s="12">
        <v>200</v>
      </c>
      <c r="G36" s="37"/>
      <c r="H36" s="149">
        <f t="shared" ref="H36:H39" si="2">F36*G36</f>
        <v>0</v>
      </c>
      <c r="I36" s="150"/>
      <c r="J36" s="151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6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49">
        <f t="shared" si="2"/>
        <v>0</v>
      </c>
      <c r="I37" s="150"/>
      <c r="J37" s="151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7"/>
      <c r="B38" s="29" t="s">
        <v>67</v>
      </c>
      <c r="C38" s="54"/>
      <c r="D38" s="12">
        <f>C38*84</f>
        <v>0</v>
      </c>
      <c r="F38" s="30">
        <v>50</v>
      </c>
      <c r="G38" s="39"/>
      <c r="H38" s="149">
        <f t="shared" si="2"/>
        <v>0</v>
      </c>
      <c r="I38" s="150"/>
      <c r="J38" s="151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8"/>
      <c r="B39" s="29" t="s">
        <v>69</v>
      </c>
      <c r="C39" s="52"/>
      <c r="D39" s="31">
        <f>C39*4.5</f>
        <v>0</v>
      </c>
      <c r="F39" s="12">
        <v>20</v>
      </c>
      <c r="G39" s="37"/>
      <c r="H39" s="149">
        <f t="shared" si="2"/>
        <v>0</v>
      </c>
      <c r="I39" s="150"/>
      <c r="J39" s="15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6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49"/>
      <c r="I40" s="150"/>
      <c r="J40" s="151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7"/>
      <c r="B41" s="27" t="s">
        <v>67</v>
      </c>
      <c r="C41" s="10"/>
      <c r="D41" s="12">
        <f>C41*84</f>
        <v>0</v>
      </c>
      <c r="F41" s="12">
        <v>5</v>
      </c>
      <c r="G41" s="42"/>
      <c r="H41" s="149"/>
      <c r="I41" s="150"/>
      <c r="J41" s="151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8"/>
      <c r="B42" s="27" t="s">
        <v>69</v>
      </c>
      <c r="C42" s="11"/>
      <c r="D42" s="12">
        <f>C42*2.25</f>
        <v>0</v>
      </c>
      <c r="F42" s="39" t="s">
        <v>78</v>
      </c>
      <c r="G42" s="149"/>
      <c r="H42" s="150"/>
      <c r="I42" s="150"/>
      <c r="J42" s="151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19" t="s">
        <v>80</v>
      </c>
      <c r="C43" s="11"/>
      <c r="D43" s="12"/>
      <c r="F43" s="59" t="s">
        <v>81</v>
      </c>
      <c r="G43" s="88" t="s">
        <v>82</v>
      </c>
      <c r="H43" s="141" t="s">
        <v>13</v>
      </c>
      <c r="I43" s="142"/>
      <c r="J43" s="143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20"/>
      <c r="B44" s="27" t="s">
        <v>65</v>
      </c>
      <c r="C44" s="10"/>
      <c r="D44" s="12">
        <f>C44*120</f>
        <v>0</v>
      </c>
      <c r="F44" s="37"/>
      <c r="G44" s="76"/>
      <c r="H44" s="144"/>
      <c r="I44" s="144"/>
      <c r="J44" s="144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20"/>
      <c r="B45" s="27" t="s">
        <v>67</v>
      </c>
      <c r="C45" s="33"/>
      <c r="D45" s="12">
        <f>C45*84</f>
        <v>0</v>
      </c>
      <c r="F45" s="37"/>
      <c r="G45" s="76"/>
      <c r="H45" s="144"/>
      <c r="I45" s="144"/>
      <c r="J45" s="144"/>
      <c r="K45" s="21"/>
      <c r="P45" s="4"/>
      <c r="Q45" s="4"/>
      <c r="R45" s="5"/>
    </row>
    <row r="46" spans="1:18" ht="15.75" x14ac:dyDescent="0.25">
      <c r="A46" s="120"/>
      <c r="B46" s="49" t="s">
        <v>69</v>
      </c>
      <c r="C46" s="81"/>
      <c r="D46" s="12">
        <f>C46*1.5</f>
        <v>0</v>
      </c>
      <c r="F46" s="37"/>
      <c r="G46" s="62"/>
      <c r="H46" s="145"/>
      <c r="I46" s="145"/>
      <c r="J46" s="145"/>
      <c r="K46" s="21"/>
      <c r="P46" s="4"/>
      <c r="Q46" s="4"/>
      <c r="R46" s="5"/>
    </row>
    <row r="47" spans="1:18" ht="15.75" x14ac:dyDescent="0.25">
      <c r="A47" s="121"/>
      <c r="B47" s="27"/>
      <c r="C47" s="11"/>
      <c r="D47" s="12"/>
      <c r="F47" s="59"/>
      <c r="G47" s="59"/>
      <c r="H47" s="122"/>
      <c r="I47" s="123"/>
      <c r="J47" s="124"/>
      <c r="K47" s="21"/>
      <c r="P47" s="4"/>
      <c r="Q47" s="4"/>
      <c r="R47" s="5"/>
    </row>
    <row r="48" spans="1:18" ht="15" customHeight="1" x14ac:dyDescent="0.25">
      <c r="A48" s="119" t="s">
        <v>32</v>
      </c>
      <c r="B48" s="27" t="s">
        <v>65</v>
      </c>
      <c r="C48" s="10"/>
      <c r="D48" s="12">
        <f>C48*78</f>
        <v>0</v>
      </c>
      <c r="F48" s="59"/>
      <c r="G48" s="59"/>
      <c r="H48" s="122"/>
      <c r="I48" s="123"/>
      <c r="J48" s="124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20"/>
      <c r="B49" s="29" t="s">
        <v>67</v>
      </c>
      <c r="C49" s="33"/>
      <c r="D49" s="12">
        <f>C49*42</f>
        <v>0</v>
      </c>
      <c r="F49" s="125" t="s">
        <v>85</v>
      </c>
      <c r="G49" s="127">
        <f>H34+H35+H36+H37+H38+H39+H40+H41+G42+H44+H45+H46</f>
        <v>0</v>
      </c>
      <c r="H49" s="128"/>
      <c r="I49" s="128"/>
      <c r="J49" s="129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0"/>
      <c r="B50" s="32" t="s">
        <v>69</v>
      </c>
      <c r="C50" s="11"/>
      <c r="D50" s="12">
        <f>C50*1.5</f>
        <v>0</v>
      </c>
      <c r="F50" s="126"/>
      <c r="G50" s="130"/>
      <c r="H50" s="131"/>
      <c r="I50" s="131"/>
      <c r="J50" s="132"/>
      <c r="O50" t="s">
        <v>114</v>
      </c>
      <c r="P50" s="4">
        <v>1204</v>
      </c>
      <c r="Q50" s="4"/>
      <c r="R50" s="5"/>
    </row>
    <row r="51" spans="1:18" ht="15" customHeight="1" x14ac:dyDescent="0.25">
      <c r="A51" s="120"/>
      <c r="B51" s="27"/>
      <c r="C51" s="10"/>
      <c r="D51" s="31"/>
      <c r="F51" s="133" t="s">
        <v>115</v>
      </c>
      <c r="G51" s="135">
        <f>G49-H29</f>
        <v>0</v>
      </c>
      <c r="H51" s="136"/>
      <c r="I51" s="136"/>
      <c r="J51" s="137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20"/>
      <c r="B52" s="29"/>
      <c r="C52" s="33"/>
      <c r="D52" s="45"/>
      <c r="F52" s="134"/>
      <c r="G52" s="138"/>
      <c r="H52" s="139"/>
      <c r="I52" s="139"/>
      <c r="J52" s="140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1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05" t="s">
        <v>89</v>
      </c>
      <c r="B54" s="106"/>
      <c r="C54" s="107"/>
      <c r="D54" s="111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08"/>
      <c r="B55" s="109"/>
      <c r="C55" s="110"/>
      <c r="D55" s="11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13" t="s">
        <v>90</v>
      </c>
      <c r="B58" s="114"/>
      <c r="C58" s="114"/>
      <c r="D58" s="115"/>
      <c r="F58" s="113" t="s">
        <v>91</v>
      </c>
      <c r="G58" s="114"/>
      <c r="H58" s="114"/>
      <c r="I58" s="114"/>
      <c r="J58" s="115"/>
    </row>
    <row r="59" spans="1:18" x14ac:dyDescent="0.25">
      <c r="A59" s="116"/>
      <c r="B59" s="117"/>
      <c r="C59" s="117"/>
      <c r="D59" s="118"/>
      <c r="F59" s="116"/>
      <c r="G59" s="117"/>
      <c r="H59" s="117"/>
      <c r="I59" s="117"/>
      <c r="J59" s="118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651504-B481-4DB1-8BD9-9380F8D83247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01" t="s">
        <v>1</v>
      </c>
      <c r="O1" s="201"/>
      <c r="P1" s="90" t="s">
        <v>2</v>
      </c>
      <c r="Q1" s="90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52" t="s">
        <v>7</v>
      </c>
      <c r="B4" s="153"/>
      <c r="C4" s="153"/>
      <c r="D4" s="154"/>
      <c r="F4" s="202" t="s">
        <v>8</v>
      </c>
      <c r="G4" s="204"/>
      <c r="H4" s="206" t="s">
        <v>9</v>
      </c>
      <c r="I4" s="208"/>
      <c r="J4" s="20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46" t="s">
        <v>7</v>
      </c>
      <c r="B5" s="15" t="s">
        <v>11</v>
      </c>
      <c r="C5" s="9" t="s">
        <v>12</v>
      </c>
      <c r="D5" s="25" t="s">
        <v>13</v>
      </c>
      <c r="F5" s="203"/>
      <c r="G5" s="205"/>
      <c r="H5" s="207"/>
      <c r="I5" s="210"/>
      <c r="J5" s="21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47"/>
      <c r="B6" s="16"/>
      <c r="C6" s="10"/>
      <c r="D6" s="13">
        <f t="shared" ref="D6:D28" si="1">C6*L6</f>
        <v>0</v>
      </c>
      <c r="F6" s="212" t="s">
        <v>16</v>
      </c>
      <c r="G6" s="214"/>
      <c r="H6" s="215"/>
      <c r="I6" s="215"/>
      <c r="J6" s="216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47"/>
      <c r="B7" s="16"/>
      <c r="C7" s="10"/>
      <c r="D7" s="13">
        <f t="shared" si="1"/>
        <v>0</v>
      </c>
      <c r="F7" s="213"/>
      <c r="G7" s="217"/>
      <c r="H7" s="218"/>
      <c r="I7" s="218"/>
      <c r="J7" s="219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47"/>
      <c r="B8" s="16"/>
      <c r="C8" s="10"/>
      <c r="D8" s="13">
        <f t="shared" si="1"/>
        <v>0</v>
      </c>
      <c r="F8" s="220" t="s">
        <v>21</v>
      </c>
      <c r="G8" s="221"/>
      <c r="H8" s="222"/>
      <c r="I8" s="222"/>
      <c r="J8" s="223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47"/>
      <c r="B9" s="16"/>
      <c r="C9" s="10"/>
      <c r="D9" s="13">
        <f t="shared" si="1"/>
        <v>0</v>
      </c>
      <c r="F9" s="213"/>
      <c r="G9" s="224"/>
      <c r="H9" s="225"/>
      <c r="I9" s="225"/>
      <c r="J9" s="226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47"/>
      <c r="C10" s="10"/>
      <c r="D10" s="13">
        <f t="shared" si="1"/>
        <v>0</v>
      </c>
      <c r="F10" s="212" t="s">
        <v>26</v>
      </c>
      <c r="G10" s="227"/>
      <c r="H10" s="228"/>
      <c r="I10" s="228"/>
      <c r="J10" s="229"/>
      <c r="K10" s="8"/>
      <c r="L10" s="6">
        <f>R36</f>
        <v>972</v>
      </c>
      <c r="P10" s="4"/>
      <c r="Q10" s="4"/>
      <c r="R10" s="5"/>
    </row>
    <row r="11" spans="1:19" ht="15.75" x14ac:dyDescent="0.25">
      <c r="A11" s="147"/>
      <c r="B11" s="17"/>
      <c r="C11" s="10"/>
      <c r="D11" s="13">
        <f t="shared" si="1"/>
        <v>0</v>
      </c>
      <c r="F11" s="213"/>
      <c r="G11" s="224"/>
      <c r="H11" s="225"/>
      <c r="I11" s="225"/>
      <c r="J11" s="226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47"/>
      <c r="B12" s="17"/>
      <c r="C12" s="10"/>
      <c r="D12" s="48">
        <f t="shared" si="1"/>
        <v>0</v>
      </c>
      <c r="F12" s="230" t="s">
        <v>33</v>
      </c>
      <c r="G12" s="231"/>
      <c r="H12" s="231"/>
      <c r="I12" s="231"/>
      <c r="J12" s="232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47"/>
      <c r="B13" s="17"/>
      <c r="C13" s="10"/>
      <c r="D13" s="48">
        <f t="shared" si="1"/>
        <v>0</v>
      </c>
      <c r="F13" s="233" t="s">
        <v>36</v>
      </c>
      <c r="G13" s="197"/>
      <c r="H13" s="188">
        <f>D29</f>
        <v>0</v>
      </c>
      <c r="I13" s="189"/>
      <c r="J13" s="19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47"/>
      <c r="B14" s="14"/>
      <c r="C14" s="10"/>
      <c r="D14" s="31">
        <f t="shared" si="1"/>
        <v>0</v>
      </c>
      <c r="F14" s="191" t="s">
        <v>38</v>
      </c>
      <c r="G14" s="192"/>
      <c r="H14" s="193">
        <f>D54</f>
        <v>0</v>
      </c>
      <c r="I14" s="194"/>
      <c r="J14" s="19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47"/>
      <c r="B15" s="14"/>
      <c r="C15" s="10"/>
      <c r="D15" s="31">
        <f t="shared" si="1"/>
        <v>0</v>
      </c>
      <c r="F15" s="196" t="s">
        <v>39</v>
      </c>
      <c r="G15" s="197"/>
      <c r="H15" s="198">
        <f>H13-H14</f>
        <v>0</v>
      </c>
      <c r="I15" s="199"/>
      <c r="J15" s="200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47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58"/>
      <c r="I16" s="158"/>
      <c r="J16" s="158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7"/>
      <c r="C17" s="10"/>
      <c r="D17" s="48">
        <f t="shared" si="1"/>
        <v>0</v>
      </c>
      <c r="F17" s="56"/>
      <c r="G17" s="66" t="s">
        <v>44</v>
      </c>
      <c r="H17" s="169"/>
      <c r="I17" s="169"/>
      <c r="J17" s="169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7"/>
      <c r="B18" s="19"/>
      <c r="C18" s="10"/>
      <c r="D18" s="48">
        <f t="shared" si="1"/>
        <v>0</v>
      </c>
      <c r="F18" s="56"/>
      <c r="G18" s="66" t="s">
        <v>46</v>
      </c>
      <c r="H18" s="169"/>
      <c r="I18" s="169"/>
      <c r="J18" s="16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7"/>
      <c r="B19" s="14"/>
      <c r="C19" s="10"/>
      <c r="D19" s="48">
        <f t="shared" si="1"/>
        <v>0</v>
      </c>
      <c r="F19" s="56"/>
      <c r="G19" s="68" t="s">
        <v>49</v>
      </c>
      <c r="H19" s="170"/>
      <c r="I19" s="170"/>
      <c r="J19" s="170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7"/>
      <c r="B20" s="46"/>
      <c r="C20" s="10"/>
      <c r="D20" s="13">
        <f t="shared" si="1"/>
        <v>0</v>
      </c>
      <c r="F20" s="57"/>
      <c r="G20" s="70" t="s">
        <v>102</v>
      </c>
      <c r="H20" s="158"/>
      <c r="I20" s="158"/>
      <c r="J20" s="158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7"/>
      <c r="B21" s="14"/>
      <c r="C21" s="10"/>
      <c r="D21" s="48">
        <f t="shared" si="1"/>
        <v>0</v>
      </c>
      <c r="F21" s="69" t="s">
        <v>94</v>
      </c>
      <c r="G21" s="82" t="s">
        <v>93</v>
      </c>
      <c r="H21" s="171" t="s">
        <v>13</v>
      </c>
      <c r="I21" s="172"/>
      <c r="J21" s="173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7"/>
      <c r="B22" s="46"/>
      <c r="C22" s="10"/>
      <c r="D22" s="48">
        <f t="shared" si="1"/>
        <v>0</v>
      </c>
      <c r="F22" s="77"/>
      <c r="G22" s="73"/>
      <c r="H22" s="174"/>
      <c r="I22" s="174"/>
      <c r="J22" s="174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7"/>
      <c r="B23" s="14"/>
      <c r="C23" s="10"/>
      <c r="D23" s="48">
        <f t="shared" si="1"/>
        <v>0</v>
      </c>
      <c r="F23" s="78"/>
      <c r="G23" s="79"/>
      <c r="H23" s="175"/>
      <c r="I23" s="144"/>
      <c r="J23" s="144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7"/>
      <c r="B24" s="14"/>
      <c r="C24" s="10"/>
      <c r="D24" s="48">
        <f t="shared" si="1"/>
        <v>0</v>
      </c>
      <c r="F24" s="38"/>
      <c r="G24" s="37"/>
      <c r="H24" s="175"/>
      <c r="I24" s="144"/>
      <c r="J24" s="144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7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176" t="s">
        <v>13</v>
      </c>
      <c r="I25" s="177"/>
      <c r="J25" s="178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7"/>
      <c r="B26" s="14"/>
      <c r="C26" s="10"/>
      <c r="D26" s="48">
        <f t="shared" si="1"/>
        <v>0</v>
      </c>
      <c r="F26" s="64"/>
      <c r="G26" s="59"/>
      <c r="H26" s="179"/>
      <c r="I26" s="180"/>
      <c r="J26" s="181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7"/>
      <c r="B27" s="14"/>
      <c r="C27" s="10"/>
      <c r="D27" s="44">
        <f t="shared" si="1"/>
        <v>0</v>
      </c>
      <c r="F27" s="25"/>
      <c r="G27" s="80"/>
      <c r="H27" s="182"/>
      <c r="I27" s="183"/>
      <c r="J27" s="184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8"/>
      <c r="B28" s="46"/>
      <c r="C28" s="10"/>
      <c r="D28" s="48">
        <f t="shared" si="1"/>
        <v>0</v>
      </c>
      <c r="F28" s="91"/>
      <c r="G28" s="61"/>
      <c r="H28" s="185"/>
      <c r="I28" s="186"/>
      <c r="J28" s="187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9" t="s">
        <v>36</v>
      </c>
      <c r="B29" s="160"/>
      <c r="C29" s="161"/>
      <c r="D29" s="165">
        <f>SUM(D6:D28)</f>
        <v>0</v>
      </c>
      <c r="F29" s="105" t="s">
        <v>54</v>
      </c>
      <c r="G29" s="167"/>
      <c r="H29" s="127">
        <f>H15-H16-H17-H18-H19-H20-H22-H23-H24+H26+H27</f>
        <v>0</v>
      </c>
      <c r="I29" s="128"/>
      <c r="J29" s="129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08"/>
      <c r="G30" s="168"/>
      <c r="H30" s="130"/>
      <c r="I30" s="131"/>
      <c r="J30" s="132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52" t="s">
        <v>57</v>
      </c>
      <c r="B32" s="153"/>
      <c r="C32" s="153"/>
      <c r="D32" s="154"/>
      <c r="F32" s="155" t="s">
        <v>58</v>
      </c>
      <c r="G32" s="156"/>
      <c r="H32" s="156"/>
      <c r="I32" s="156"/>
      <c r="J32" s="157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2" t="s">
        <v>62</v>
      </c>
      <c r="H33" s="155" t="s">
        <v>13</v>
      </c>
      <c r="I33" s="156"/>
      <c r="J33" s="157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6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149"/>
      <c r="I34" s="150"/>
      <c r="J34" s="151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7"/>
      <c r="B35" s="27" t="s">
        <v>67</v>
      </c>
      <c r="C35" s="52"/>
      <c r="D35" s="30">
        <f>C35*84</f>
        <v>0</v>
      </c>
      <c r="F35" s="58">
        <v>500</v>
      </c>
      <c r="G35" s="41"/>
      <c r="H35" s="149"/>
      <c r="I35" s="150"/>
      <c r="J35" s="15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8"/>
      <c r="B36" s="26" t="s">
        <v>69</v>
      </c>
      <c r="C36" s="10"/>
      <c r="D36" s="12">
        <f>C36*1.5</f>
        <v>0</v>
      </c>
      <c r="F36" s="12">
        <v>200</v>
      </c>
      <c r="G36" s="37"/>
      <c r="H36" s="149"/>
      <c r="I36" s="150"/>
      <c r="J36" s="151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6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49"/>
      <c r="I37" s="150"/>
      <c r="J37" s="151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7"/>
      <c r="B38" s="29" t="s">
        <v>67</v>
      </c>
      <c r="C38" s="54"/>
      <c r="D38" s="12">
        <f>C38*84</f>
        <v>0</v>
      </c>
      <c r="F38" s="30">
        <v>50</v>
      </c>
      <c r="G38" s="39"/>
      <c r="H38" s="149"/>
      <c r="I38" s="150"/>
      <c r="J38" s="151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8"/>
      <c r="B39" s="29" t="s">
        <v>69</v>
      </c>
      <c r="C39" s="52"/>
      <c r="D39" s="31">
        <f>C39*4.5</f>
        <v>0</v>
      </c>
      <c r="F39" s="12">
        <v>20</v>
      </c>
      <c r="G39" s="37"/>
      <c r="H39" s="149"/>
      <c r="I39" s="150"/>
      <c r="J39" s="15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6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49"/>
      <c r="I40" s="150"/>
      <c r="J40" s="151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7"/>
      <c r="B41" s="27" t="s">
        <v>67</v>
      </c>
      <c r="C41" s="10"/>
      <c r="D41" s="12">
        <f>C41*84</f>
        <v>0</v>
      </c>
      <c r="F41" s="12">
        <v>5</v>
      </c>
      <c r="G41" s="42"/>
      <c r="H41" s="149"/>
      <c r="I41" s="150"/>
      <c r="J41" s="151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8"/>
      <c r="B42" s="27" t="s">
        <v>69</v>
      </c>
      <c r="C42" s="11"/>
      <c r="D42" s="12">
        <f>C42*2.25</f>
        <v>0</v>
      </c>
      <c r="F42" s="39" t="s">
        <v>78</v>
      </c>
      <c r="G42" s="149"/>
      <c r="H42" s="150"/>
      <c r="I42" s="150"/>
      <c r="J42" s="151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19" t="s">
        <v>80</v>
      </c>
      <c r="C43" s="11"/>
      <c r="D43" s="12"/>
      <c r="F43" s="59" t="s">
        <v>81</v>
      </c>
      <c r="G43" s="88" t="s">
        <v>82</v>
      </c>
      <c r="H43" s="141" t="s">
        <v>13</v>
      </c>
      <c r="I43" s="142"/>
      <c r="J43" s="143"/>
      <c r="K43" s="21"/>
      <c r="P43" s="4"/>
      <c r="Q43" s="4"/>
      <c r="R43" s="5"/>
    </row>
    <row r="44" spans="1:18" ht="15.75" x14ac:dyDescent="0.25">
      <c r="A44" s="120"/>
      <c r="B44" s="27" t="s">
        <v>65</v>
      </c>
      <c r="C44" s="10"/>
      <c r="D44" s="12">
        <f>C44*120</f>
        <v>0</v>
      </c>
      <c r="F44" s="37"/>
      <c r="G44" s="76"/>
      <c r="H44" s="144"/>
      <c r="I44" s="144"/>
      <c r="J44" s="144"/>
      <c r="K44" s="21"/>
      <c r="P44" s="4"/>
      <c r="Q44" s="4"/>
      <c r="R44" s="5"/>
    </row>
    <row r="45" spans="1:18" ht="15.75" x14ac:dyDescent="0.25">
      <c r="A45" s="120"/>
      <c r="B45" s="27" t="s">
        <v>67</v>
      </c>
      <c r="C45" s="33"/>
      <c r="D45" s="12">
        <f>C45*84</f>
        <v>0</v>
      </c>
      <c r="F45" s="37"/>
      <c r="G45" s="76"/>
      <c r="H45" s="144"/>
      <c r="I45" s="144"/>
      <c r="J45" s="144"/>
      <c r="K45" s="21"/>
      <c r="P45" s="4"/>
      <c r="Q45" s="4"/>
      <c r="R45" s="5"/>
    </row>
    <row r="46" spans="1:18" ht="15.75" x14ac:dyDescent="0.25">
      <c r="A46" s="120"/>
      <c r="B46" s="49" t="s">
        <v>69</v>
      </c>
      <c r="C46" s="81"/>
      <c r="D46" s="12">
        <f>C46*1.5</f>
        <v>0</v>
      </c>
      <c r="F46" s="37"/>
      <c r="G46" s="62"/>
      <c r="H46" s="145"/>
      <c r="I46" s="145"/>
      <c r="J46" s="145"/>
      <c r="K46" s="21"/>
      <c r="P46" s="4"/>
      <c r="Q46" s="4"/>
      <c r="R46" s="5"/>
    </row>
    <row r="47" spans="1:18" ht="15.75" x14ac:dyDescent="0.25">
      <c r="A47" s="121"/>
      <c r="B47" s="27"/>
      <c r="C47" s="11"/>
      <c r="D47" s="12"/>
      <c r="F47" s="59"/>
      <c r="G47" s="59"/>
      <c r="H47" s="122"/>
      <c r="I47" s="123"/>
      <c r="J47" s="124"/>
      <c r="K47" s="21"/>
      <c r="P47" s="4"/>
      <c r="Q47" s="4"/>
      <c r="R47" s="5"/>
    </row>
    <row r="48" spans="1:18" ht="15" customHeight="1" x14ac:dyDescent="0.25">
      <c r="A48" s="119" t="s">
        <v>32</v>
      </c>
      <c r="B48" s="27" t="s">
        <v>65</v>
      </c>
      <c r="C48" s="10"/>
      <c r="D48" s="12">
        <f>C48*78</f>
        <v>0</v>
      </c>
      <c r="F48" s="59"/>
      <c r="G48" s="59"/>
      <c r="H48" s="122"/>
      <c r="I48" s="123"/>
      <c r="J48" s="124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20"/>
      <c r="B49" s="29" t="s">
        <v>67</v>
      </c>
      <c r="C49" s="33"/>
      <c r="D49" s="12">
        <f>C49*42</f>
        <v>0</v>
      </c>
      <c r="F49" s="125" t="s">
        <v>85</v>
      </c>
      <c r="G49" s="127">
        <f>H34+H35+H36+H37+H38+H39+H40+H41+G42+H44+H45+H46</f>
        <v>0</v>
      </c>
      <c r="H49" s="128"/>
      <c r="I49" s="128"/>
      <c r="J49" s="129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0"/>
      <c r="B50" s="32" t="s">
        <v>69</v>
      </c>
      <c r="C50" s="11"/>
      <c r="D50" s="12">
        <f>C50*1.5</f>
        <v>0</v>
      </c>
      <c r="F50" s="126"/>
      <c r="G50" s="130"/>
      <c r="H50" s="131"/>
      <c r="I50" s="131"/>
      <c r="J50" s="132"/>
      <c r="P50" s="4"/>
      <c r="Q50" s="4"/>
      <c r="R50" s="5"/>
    </row>
    <row r="51" spans="1:18" ht="15" customHeight="1" x14ac:dyDescent="0.25">
      <c r="A51" s="120"/>
      <c r="B51" s="27"/>
      <c r="C51" s="10"/>
      <c r="D51" s="31"/>
      <c r="F51" s="133" t="s">
        <v>106</v>
      </c>
      <c r="G51" s="135">
        <f>G49-H29</f>
        <v>0</v>
      </c>
      <c r="H51" s="136"/>
      <c r="I51" s="136"/>
      <c r="J51" s="137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0"/>
      <c r="B52" s="29"/>
      <c r="C52" s="33"/>
      <c r="D52" s="45"/>
      <c r="F52" s="134"/>
      <c r="G52" s="138"/>
      <c r="H52" s="139"/>
      <c r="I52" s="139"/>
      <c r="J52" s="140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1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05" t="s">
        <v>89</v>
      </c>
      <c r="B54" s="106"/>
      <c r="C54" s="107"/>
      <c r="D54" s="111">
        <f>SUM(D34:D53)</f>
        <v>0</v>
      </c>
      <c r="F54" s="21"/>
      <c r="J54" s="34"/>
    </row>
    <row r="55" spans="1:18" x14ac:dyDescent="0.25">
      <c r="A55" s="108"/>
      <c r="B55" s="109"/>
      <c r="C55" s="110"/>
      <c r="D55" s="11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13" t="s">
        <v>90</v>
      </c>
      <c r="B58" s="114"/>
      <c r="C58" s="114"/>
      <c r="D58" s="115"/>
      <c r="F58" s="113" t="s">
        <v>91</v>
      </c>
      <c r="G58" s="114"/>
      <c r="H58" s="114"/>
      <c r="I58" s="114"/>
      <c r="J58" s="115"/>
    </row>
    <row r="59" spans="1:18" x14ac:dyDescent="0.25">
      <c r="A59" s="116"/>
      <c r="B59" s="117"/>
      <c r="C59" s="117"/>
      <c r="D59" s="118"/>
      <c r="F59" s="116"/>
      <c r="G59" s="117"/>
      <c r="H59" s="117"/>
      <c r="I59" s="117"/>
      <c r="J59" s="118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3F0034-4114-44D4-ADF9-F4FE6CB9801F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1" t="s">
        <v>1</v>
      </c>
      <c r="O1" s="201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2" t="s">
        <v>7</v>
      </c>
      <c r="B4" s="153"/>
      <c r="C4" s="153"/>
      <c r="D4" s="154"/>
      <c r="F4" s="202" t="s">
        <v>8</v>
      </c>
      <c r="G4" s="204">
        <v>1</v>
      </c>
      <c r="H4" s="206" t="s">
        <v>9</v>
      </c>
      <c r="I4" s="208">
        <v>46160</v>
      </c>
      <c r="J4" s="20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6" t="s">
        <v>7</v>
      </c>
      <c r="B5" s="15" t="s">
        <v>11</v>
      </c>
      <c r="C5" s="9" t="s">
        <v>12</v>
      </c>
      <c r="D5" s="25" t="s">
        <v>13</v>
      </c>
      <c r="F5" s="203"/>
      <c r="G5" s="205"/>
      <c r="H5" s="207"/>
      <c r="I5" s="210"/>
      <c r="J5" s="21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7"/>
      <c r="B6" s="16" t="s">
        <v>15</v>
      </c>
      <c r="C6" s="10"/>
      <c r="D6" s="13">
        <f t="shared" ref="D6:D28" si="1">C6*L6</f>
        <v>0</v>
      </c>
      <c r="F6" s="212" t="s">
        <v>16</v>
      </c>
      <c r="G6" s="214" t="s">
        <v>99</v>
      </c>
      <c r="H6" s="215"/>
      <c r="I6" s="215"/>
      <c r="J6" s="21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7"/>
      <c r="B7" s="16" t="s">
        <v>18</v>
      </c>
      <c r="C7" s="10"/>
      <c r="D7" s="13">
        <f t="shared" si="1"/>
        <v>0</v>
      </c>
      <c r="F7" s="213"/>
      <c r="G7" s="217"/>
      <c r="H7" s="218"/>
      <c r="I7" s="218"/>
      <c r="J7" s="21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7"/>
      <c r="B8" s="16" t="s">
        <v>20</v>
      </c>
      <c r="C8" s="10"/>
      <c r="D8" s="13">
        <f t="shared" si="1"/>
        <v>0</v>
      </c>
      <c r="F8" s="220" t="s">
        <v>21</v>
      </c>
      <c r="G8" s="221" t="s">
        <v>120</v>
      </c>
      <c r="H8" s="222"/>
      <c r="I8" s="222"/>
      <c r="J8" s="22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7"/>
      <c r="B9" s="16" t="s">
        <v>23</v>
      </c>
      <c r="C9" s="10"/>
      <c r="D9" s="13">
        <f t="shared" si="1"/>
        <v>0</v>
      </c>
      <c r="F9" s="213"/>
      <c r="G9" s="224"/>
      <c r="H9" s="225"/>
      <c r="I9" s="225"/>
      <c r="J9" s="22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7"/>
      <c r="B10" t="s">
        <v>25</v>
      </c>
      <c r="C10" s="10"/>
      <c r="D10" s="13">
        <f t="shared" si="1"/>
        <v>0</v>
      </c>
      <c r="F10" s="212" t="s">
        <v>26</v>
      </c>
      <c r="G10" s="227" t="s">
        <v>108</v>
      </c>
      <c r="H10" s="228"/>
      <c r="I10" s="228"/>
      <c r="J10" s="229"/>
      <c r="K10" s="8"/>
      <c r="L10" s="6">
        <f>R36</f>
        <v>1032</v>
      </c>
      <c r="P10" s="4"/>
      <c r="Q10" s="4"/>
      <c r="R10" s="5"/>
    </row>
    <row r="11" spans="1:18" ht="15.75" x14ac:dyDescent="0.25">
      <c r="A11" s="147"/>
      <c r="B11" s="17" t="s">
        <v>28</v>
      </c>
      <c r="C11" s="10"/>
      <c r="D11" s="13">
        <f t="shared" si="1"/>
        <v>0</v>
      </c>
      <c r="F11" s="213"/>
      <c r="G11" s="224"/>
      <c r="H11" s="225"/>
      <c r="I11" s="225"/>
      <c r="J11" s="22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7"/>
      <c r="B12" s="17" t="s">
        <v>30</v>
      </c>
      <c r="C12" s="10"/>
      <c r="D12" s="48">
        <f t="shared" si="1"/>
        <v>0</v>
      </c>
      <c r="F12" s="230" t="s">
        <v>33</v>
      </c>
      <c r="G12" s="231"/>
      <c r="H12" s="231"/>
      <c r="I12" s="231"/>
      <c r="J12" s="23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7"/>
      <c r="B13" s="17" t="s">
        <v>32</v>
      </c>
      <c r="C13" s="10"/>
      <c r="D13" s="48">
        <f t="shared" si="1"/>
        <v>0</v>
      </c>
      <c r="F13" s="233" t="s">
        <v>36</v>
      </c>
      <c r="G13" s="197"/>
      <c r="H13" s="188">
        <f>D29</f>
        <v>0</v>
      </c>
      <c r="I13" s="189"/>
      <c r="J13" s="19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7"/>
      <c r="B14" s="14" t="s">
        <v>35</v>
      </c>
      <c r="C14" s="10"/>
      <c r="D14" s="31">
        <f t="shared" si="1"/>
        <v>0</v>
      </c>
      <c r="F14" s="191" t="s">
        <v>38</v>
      </c>
      <c r="G14" s="192"/>
      <c r="H14" s="193">
        <f>D54</f>
        <v>0</v>
      </c>
      <c r="I14" s="194"/>
      <c r="J14" s="19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7"/>
      <c r="B15" s="14" t="s">
        <v>122</v>
      </c>
      <c r="C15" s="10"/>
      <c r="D15" s="31">
        <f t="shared" si="1"/>
        <v>0</v>
      </c>
      <c r="F15" s="196" t="s">
        <v>39</v>
      </c>
      <c r="G15" s="197"/>
      <c r="H15" s="198">
        <f>H13-H14</f>
        <v>0</v>
      </c>
      <c r="I15" s="199"/>
      <c r="J15" s="200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7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58"/>
      <c r="I16" s="158"/>
      <c r="J16" s="158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7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69"/>
      <c r="I17" s="169"/>
      <c r="J17" s="169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7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69"/>
      <c r="I18" s="169"/>
      <c r="J18" s="169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7"/>
      <c r="B19" s="83" t="s">
        <v>105</v>
      </c>
      <c r="C19" s="10"/>
      <c r="D19" s="48">
        <f t="shared" si="1"/>
        <v>0</v>
      </c>
      <c r="F19" s="56"/>
      <c r="G19" s="68" t="s">
        <v>49</v>
      </c>
      <c r="H19" s="158"/>
      <c r="I19" s="158"/>
      <c r="J19" s="158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7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58"/>
      <c r="I20" s="158"/>
      <c r="J20" s="158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7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71" t="s">
        <v>13</v>
      </c>
      <c r="I21" s="172"/>
      <c r="J21" s="173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7"/>
      <c r="B22" s="46" t="s">
        <v>103</v>
      </c>
      <c r="C22" s="10"/>
      <c r="D22" s="48">
        <f t="shared" si="1"/>
        <v>0</v>
      </c>
      <c r="F22" s="77"/>
      <c r="G22" s="73"/>
      <c r="H22" s="174"/>
      <c r="I22" s="174"/>
      <c r="J22" s="174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7"/>
      <c r="B23" s="14" t="s">
        <v>121</v>
      </c>
      <c r="C23" s="10"/>
      <c r="D23" s="48">
        <f t="shared" si="1"/>
        <v>0</v>
      </c>
      <c r="F23" s="77"/>
      <c r="G23" s="79"/>
      <c r="H23" s="242"/>
      <c r="I23" s="243"/>
      <c r="J23" s="243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7"/>
      <c r="B24" s="14" t="s">
        <v>128</v>
      </c>
      <c r="C24" s="10"/>
      <c r="D24" s="48">
        <f t="shared" si="1"/>
        <v>0</v>
      </c>
      <c r="F24" s="77"/>
      <c r="G24" s="79"/>
      <c r="H24" s="242"/>
      <c r="I24" s="243"/>
      <c r="J24" s="243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7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76" t="s">
        <v>13</v>
      </c>
      <c r="I25" s="177"/>
      <c r="J25" s="178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7"/>
      <c r="B26" s="14" t="s">
        <v>129</v>
      </c>
      <c r="C26" s="10"/>
      <c r="D26" s="48">
        <f t="shared" si="1"/>
        <v>0</v>
      </c>
      <c r="F26" s="75"/>
      <c r="G26" s="65"/>
      <c r="H26" s="144"/>
      <c r="I26" s="144"/>
      <c r="J26" s="144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7"/>
      <c r="B27" s="14" t="s">
        <v>130</v>
      </c>
      <c r="C27" s="10"/>
      <c r="D27" s="44">
        <f t="shared" si="1"/>
        <v>0</v>
      </c>
      <c r="F27" s="71"/>
      <c r="G27" s="88"/>
      <c r="H27" s="244"/>
      <c r="I27" s="245"/>
      <c r="J27" s="245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8"/>
      <c r="B28" s="46" t="s">
        <v>92</v>
      </c>
      <c r="C28" s="10"/>
      <c r="D28" s="48">
        <f t="shared" si="1"/>
        <v>0</v>
      </c>
      <c r="F28" s="91"/>
      <c r="G28" s="61"/>
      <c r="H28" s="185"/>
      <c r="I28" s="186"/>
      <c r="J28" s="187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9" t="s">
        <v>36</v>
      </c>
      <c r="B29" s="160"/>
      <c r="C29" s="161"/>
      <c r="D29" s="165">
        <f>SUM(D6:D28)</f>
        <v>0</v>
      </c>
      <c r="F29" s="105" t="s">
        <v>54</v>
      </c>
      <c r="G29" s="167"/>
      <c r="H29" s="127">
        <f>H15-H16-H17-H18-H19-H20-H22-H23-H24+H26+H27+H28</f>
        <v>0</v>
      </c>
      <c r="I29" s="128"/>
      <c r="J29" s="129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08"/>
      <c r="G30" s="168"/>
      <c r="H30" s="130"/>
      <c r="I30" s="131"/>
      <c r="J30" s="132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2" t="s">
        <v>57</v>
      </c>
      <c r="B32" s="153"/>
      <c r="C32" s="153"/>
      <c r="D32" s="154"/>
      <c r="F32" s="155" t="s">
        <v>58</v>
      </c>
      <c r="G32" s="156"/>
      <c r="H32" s="156"/>
      <c r="I32" s="156"/>
      <c r="J32" s="157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2" t="s">
        <v>62</v>
      </c>
      <c r="H33" s="155" t="s">
        <v>13</v>
      </c>
      <c r="I33" s="156"/>
      <c r="J33" s="157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6" t="s">
        <v>64</v>
      </c>
      <c r="B34" s="26" t="s">
        <v>65</v>
      </c>
      <c r="C34" s="51"/>
      <c r="D34" s="30">
        <f>C34*120</f>
        <v>0</v>
      </c>
      <c r="F34" s="12">
        <v>1000</v>
      </c>
      <c r="G34" s="40"/>
      <c r="H34" s="149">
        <f t="shared" ref="H34:H39" si="2">F34*G34</f>
        <v>0</v>
      </c>
      <c r="I34" s="150"/>
      <c r="J34" s="151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7"/>
      <c r="B35" s="27" t="s">
        <v>67</v>
      </c>
      <c r="C35" s="52"/>
      <c r="D35" s="30">
        <f>C35*84</f>
        <v>0</v>
      </c>
      <c r="F35" s="58">
        <v>500</v>
      </c>
      <c r="G35" s="41"/>
      <c r="H35" s="149">
        <f t="shared" si="2"/>
        <v>0</v>
      </c>
      <c r="I35" s="150"/>
      <c r="J35" s="15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8"/>
      <c r="B36" s="26" t="s">
        <v>69</v>
      </c>
      <c r="C36" s="10"/>
      <c r="D36" s="12">
        <f>C36*1.5</f>
        <v>0</v>
      </c>
      <c r="F36" s="12">
        <v>200</v>
      </c>
      <c r="G36" s="37"/>
      <c r="H36" s="149">
        <f t="shared" si="2"/>
        <v>0</v>
      </c>
      <c r="I36" s="150"/>
      <c r="J36" s="151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6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49">
        <f t="shared" si="2"/>
        <v>0</v>
      </c>
      <c r="I37" s="150"/>
      <c r="J37" s="151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7"/>
      <c r="B38" s="29" t="s">
        <v>67</v>
      </c>
      <c r="C38" s="54"/>
      <c r="D38" s="12">
        <f>C38*84</f>
        <v>0</v>
      </c>
      <c r="F38" s="30">
        <v>50</v>
      </c>
      <c r="G38" s="39"/>
      <c r="H38" s="149">
        <f t="shared" si="2"/>
        <v>0</v>
      </c>
      <c r="I38" s="150"/>
      <c r="J38" s="151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8"/>
      <c r="B39" s="29" t="s">
        <v>69</v>
      </c>
      <c r="C39" s="52"/>
      <c r="D39" s="31">
        <f>C39*4.5</f>
        <v>0</v>
      </c>
      <c r="F39" s="12">
        <v>20</v>
      </c>
      <c r="G39" s="37"/>
      <c r="H39" s="149">
        <f t="shared" si="2"/>
        <v>0</v>
      </c>
      <c r="I39" s="150"/>
      <c r="J39" s="15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6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49"/>
      <c r="I40" s="150"/>
      <c r="J40" s="151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7"/>
      <c r="B41" s="27" t="s">
        <v>67</v>
      </c>
      <c r="C41" s="10"/>
      <c r="D41" s="12">
        <f>C41*84</f>
        <v>0</v>
      </c>
      <c r="F41" s="12">
        <v>5</v>
      </c>
      <c r="G41" s="42"/>
      <c r="H41" s="149"/>
      <c r="I41" s="150"/>
      <c r="J41" s="151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8"/>
      <c r="B42" s="27" t="s">
        <v>69</v>
      </c>
      <c r="C42" s="11"/>
      <c r="D42" s="12">
        <f>C42*2.25</f>
        <v>0</v>
      </c>
      <c r="F42" s="39" t="s">
        <v>78</v>
      </c>
      <c r="G42" s="149"/>
      <c r="H42" s="150"/>
      <c r="I42" s="150"/>
      <c r="J42" s="151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19" t="s">
        <v>80</v>
      </c>
      <c r="C43" s="11"/>
      <c r="D43" s="12"/>
      <c r="F43" s="59" t="s">
        <v>81</v>
      </c>
      <c r="G43" s="88" t="s">
        <v>82</v>
      </c>
      <c r="H43" s="141" t="s">
        <v>13</v>
      </c>
      <c r="I43" s="142"/>
      <c r="J43" s="143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20"/>
      <c r="B44" s="27" t="s">
        <v>65</v>
      </c>
      <c r="C44" s="10"/>
      <c r="D44" s="12">
        <f>C44*120</f>
        <v>0</v>
      </c>
      <c r="F44" s="37"/>
      <c r="G44" s="62"/>
      <c r="H44" s="144"/>
      <c r="I44" s="144"/>
      <c r="J44" s="144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20"/>
      <c r="B45" s="27" t="s">
        <v>67</v>
      </c>
      <c r="C45" s="33"/>
      <c r="D45" s="12">
        <f>C45*84</f>
        <v>0</v>
      </c>
      <c r="F45" s="37"/>
      <c r="G45" s="62"/>
      <c r="H45" s="144"/>
      <c r="I45" s="144"/>
      <c r="J45" s="144"/>
      <c r="K45" s="21"/>
      <c r="P45" s="4"/>
      <c r="Q45" s="4"/>
      <c r="R45" s="5"/>
    </row>
    <row r="46" spans="1:18" ht="15.75" x14ac:dyDescent="0.25">
      <c r="A46" s="120"/>
      <c r="B46" s="49" t="s">
        <v>69</v>
      </c>
      <c r="C46" s="81"/>
      <c r="D46" s="12">
        <f>C46*1.5</f>
        <v>0</v>
      </c>
      <c r="F46" s="37"/>
      <c r="G46" s="62"/>
      <c r="H46" s="144"/>
      <c r="I46" s="144"/>
      <c r="J46" s="144"/>
      <c r="K46" s="21"/>
      <c r="P46" s="4"/>
      <c r="Q46" s="4"/>
      <c r="R46" s="5"/>
    </row>
    <row r="47" spans="1:18" ht="15.75" x14ac:dyDescent="0.25">
      <c r="A47" s="121"/>
      <c r="B47" s="27"/>
      <c r="C47" s="11"/>
      <c r="D47" s="12"/>
      <c r="F47" s="59"/>
      <c r="G47" s="59"/>
      <c r="H47" s="122"/>
      <c r="I47" s="123"/>
      <c r="J47" s="124"/>
      <c r="K47" s="21"/>
      <c r="P47" s="4"/>
      <c r="Q47" s="4"/>
      <c r="R47" s="5"/>
    </row>
    <row r="48" spans="1:18" ht="15" customHeight="1" x14ac:dyDescent="0.25">
      <c r="A48" s="119" t="s">
        <v>32</v>
      </c>
      <c r="B48" s="27" t="s">
        <v>65</v>
      </c>
      <c r="C48" s="10"/>
      <c r="D48" s="12">
        <f>C48*78</f>
        <v>0</v>
      </c>
      <c r="F48" s="59"/>
      <c r="G48" s="59"/>
      <c r="H48" s="122"/>
      <c r="I48" s="123"/>
      <c r="J48" s="124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20"/>
      <c r="B49" s="29" t="s">
        <v>67</v>
      </c>
      <c r="C49" s="33"/>
      <c r="D49" s="12">
        <f>C49*42</f>
        <v>0</v>
      </c>
      <c r="F49" s="125" t="s">
        <v>85</v>
      </c>
      <c r="G49" s="127">
        <f>H34+H35+H36+H37+H38+H39+H40+H41+G42+H44+H45+H46</f>
        <v>0</v>
      </c>
      <c r="H49" s="128"/>
      <c r="I49" s="128"/>
      <c r="J49" s="129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0"/>
      <c r="B50" s="32" t="s">
        <v>69</v>
      </c>
      <c r="C50" s="11"/>
      <c r="D50" s="12">
        <f>C50*1.5</f>
        <v>0</v>
      </c>
      <c r="F50" s="126"/>
      <c r="G50" s="130"/>
      <c r="H50" s="131"/>
      <c r="I50" s="131"/>
      <c r="J50" s="132"/>
      <c r="O50" t="s">
        <v>114</v>
      </c>
      <c r="P50" s="4">
        <v>1204</v>
      </c>
      <c r="Q50" s="4"/>
      <c r="R50" s="5"/>
    </row>
    <row r="51" spans="1:18" ht="15" customHeight="1" x14ac:dyDescent="0.25">
      <c r="A51" s="120"/>
      <c r="B51" s="27"/>
      <c r="C51" s="10"/>
      <c r="D51" s="31"/>
      <c r="F51" s="133" t="s">
        <v>184</v>
      </c>
      <c r="G51" s="236">
        <f>G49-H29</f>
        <v>0</v>
      </c>
      <c r="H51" s="237"/>
      <c r="I51" s="237"/>
      <c r="J51" s="238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20"/>
      <c r="B52" s="29"/>
      <c r="C52" s="33"/>
      <c r="D52" s="45"/>
      <c r="F52" s="134"/>
      <c r="G52" s="239"/>
      <c r="H52" s="240"/>
      <c r="I52" s="240"/>
      <c r="J52" s="241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1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05" t="s">
        <v>89</v>
      </c>
      <c r="B54" s="106"/>
      <c r="C54" s="107"/>
      <c r="D54" s="111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08"/>
      <c r="B55" s="109"/>
      <c r="C55" s="110"/>
      <c r="D55" s="11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113" t="s">
        <v>90</v>
      </c>
      <c r="B58" s="114"/>
      <c r="C58" s="114"/>
      <c r="D58" s="115"/>
      <c r="F58" s="113" t="s">
        <v>91</v>
      </c>
      <c r="G58" s="114"/>
      <c r="H58" s="114"/>
      <c r="I58" s="114"/>
      <c r="J58" s="115"/>
    </row>
    <row r="59" spans="1:18" x14ac:dyDescent="0.25">
      <c r="A59" s="116"/>
      <c r="B59" s="117"/>
      <c r="C59" s="117"/>
      <c r="D59" s="118"/>
      <c r="F59" s="116"/>
      <c r="G59" s="117"/>
      <c r="H59" s="117"/>
      <c r="I59" s="117"/>
      <c r="J59" s="118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1EF114-DD0F-491C-9455-3E229361525C}">
  <dimension ref="A1:R59"/>
  <sheetViews>
    <sheetView zoomScaleNormal="100" zoomScaleSheetLayoutView="85" workbookViewId="0">
      <selection activeCell="L54" sqref="L54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1" t="s">
        <v>1</v>
      </c>
      <c r="O1" s="201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2" t="s">
        <v>7</v>
      </c>
      <c r="B4" s="153"/>
      <c r="C4" s="153"/>
      <c r="D4" s="154"/>
      <c r="F4" s="202" t="s">
        <v>8</v>
      </c>
      <c r="G4" s="204">
        <v>2</v>
      </c>
      <c r="H4" s="206" t="s">
        <v>9</v>
      </c>
      <c r="I4" s="208">
        <v>46160</v>
      </c>
      <c r="J4" s="20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6" t="s">
        <v>7</v>
      </c>
      <c r="B5" s="15" t="s">
        <v>11</v>
      </c>
      <c r="C5" s="9" t="s">
        <v>12</v>
      </c>
      <c r="D5" s="25" t="s">
        <v>13</v>
      </c>
      <c r="F5" s="203"/>
      <c r="G5" s="205"/>
      <c r="H5" s="207"/>
      <c r="I5" s="210"/>
      <c r="J5" s="21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7"/>
      <c r="B6" s="16" t="s">
        <v>15</v>
      </c>
      <c r="C6" s="10">
        <v>585</v>
      </c>
      <c r="D6" s="13">
        <f t="shared" ref="D6:D28" si="1">C6*L6</f>
        <v>445185</v>
      </c>
      <c r="F6" s="212" t="s">
        <v>16</v>
      </c>
      <c r="G6" s="214" t="s">
        <v>107</v>
      </c>
      <c r="H6" s="215"/>
      <c r="I6" s="215"/>
      <c r="J6" s="21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7"/>
      <c r="B7" s="16" t="s">
        <v>18</v>
      </c>
      <c r="C7" s="10"/>
      <c r="D7" s="13">
        <f t="shared" si="1"/>
        <v>0</v>
      </c>
      <c r="F7" s="213"/>
      <c r="G7" s="217"/>
      <c r="H7" s="218"/>
      <c r="I7" s="218"/>
      <c r="J7" s="21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7"/>
      <c r="B8" s="16" t="s">
        <v>20</v>
      </c>
      <c r="C8" s="10"/>
      <c r="D8" s="13">
        <f t="shared" si="1"/>
        <v>0</v>
      </c>
      <c r="F8" s="220" t="s">
        <v>21</v>
      </c>
      <c r="G8" s="221" t="s">
        <v>100</v>
      </c>
      <c r="H8" s="222"/>
      <c r="I8" s="222"/>
      <c r="J8" s="22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7"/>
      <c r="B9" s="16" t="s">
        <v>23</v>
      </c>
      <c r="C9" s="10">
        <v>43</v>
      </c>
      <c r="D9" s="13">
        <f t="shared" si="1"/>
        <v>31519</v>
      </c>
      <c r="F9" s="213"/>
      <c r="G9" s="224"/>
      <c r="H9" s="225"/>
      <c r="I9" s="225"/>
      <c r="J9" s="22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7"/>
      <c r="B10" t="s">
        <v>25</v>
      </c>
      <c r="C10" s="10">
        <v>5</v>
      </c>
      <c r="D10" s="13">
        <f t="shared" si="1"/>
        <v>5160</v>
      </c>
      <c r="F10" s="212" t="s">
        <v>26</v>
      </c>
      <c r="G10" s="227" t="s">
        <v>101</v>
      </c>
      <c r="H10" s="228"/>
      <c r="I10" s="228"/>
      <c r="J10" s="229"/>
      <c r="K10" s="8"/>
      <c r="L10" s="6">
        <f>R36</f>
        <v>1032</v>
      </c>
      <c r="P10" s="4"/>
      <c r="Q10" s="4"/>
      <c r="R10" s="5"/>
    </row>
    <row r="11" spans="1:18" ht="15.75" x14ac:dyDescent="0.25">
      <c r="A11" s="147"/>
      <c r="B11" s="17" t="s">
        <v>28</v>
      </c>
      <c r="C11" s="10"/>
      <c r="D11" s="13">
        <f t="shared" si="1"/>
        <v>0</v>
      </c>
      <c r="F11" s="213"/>
      <c r="G11" s="224"/>
      <c r="H11" s="225"/>
      <c r="I11" s="225"/>
      <c r="J11" s="22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7"/>
      <c r="B12" s="17" t="s">
        <v>30</v>
      </c>
      <c r="C12" s="10"/>
      <c r="D12" s="48">
        <f t="shared" si="1"/>
        <v>0</v>
      </c>
      <c r="F12" s="230" t="s">
        <v>33</v>
      </c>
      <c r="G12" s="231"/>
      <c r="H12" s="231"/>
      <c r="I12" s="231"/>
      <c r="J12" s="23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7"/>
      <c r="B13" s="17" t="s">
        <v>32</v>
      </c>
      <c r="C13" s="10">
        <v>25</v>
      </c>
      <c r="D13" s="48">
        <f t="shared" si="1"/>
        <v>7675</v>
      </c>
      <c r="F13" s="233" t="s">
        <v>36</v>
      </c>
      <c r="G13" s="197"/>
      <c r="H13" s="188">
        <f>D29</f>
        <v>491364</v>
      </c>
      <c r="I13" s="189"/>
      <c r="J13" s="19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7"/>
      <c r="B14" s="14" t="s">
        <v>35</v>
      </c>
      <c r="C14" s="10"/>
      <c r="D14" s="31">
        <f t="shared" si="1"/>
        <v>0</v>
      </c>
      <c r="F14" s="191" t="s">
        <v>38</v>
      </c>
      <c r="G14" s="192"/>
      <c r="H14" s="193">
        <f>D54</f>
        <v>69771</v>
      </c>
      <c r="I14" s="194"/>
      <c r="J14" s="19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7"/>
      <c r="B15" s="14" t="s">
        <v>122</v>
      </c>
      <c r="C15" s="10"/>
      <c r="D15" s="31">
        <f t="shared" si="1"/>
        <v>0</v>
      </c>
      <c r="F15" s="196" t="s">
        <v>39</v>
      </c>
      <c r="G15" s="197"/>
      <c r="H15" s="198">
        <f>H13-H14</f>
        <v>421593</v>
      </c>
      <c r="I15" s="199"/>
      <c r="J15" s="200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7"/>
      <c r="B16" s="18" t="s">
        <v>111</v>
      </c>
      <c r="C16" s="10">
        <v>1</v>
      </c>
      <c r="D16" s="48">
        <f t="shared" si="1"/>
        <v>650</v>
      </c>
      <c r="F16" s="67" t="s">
        <v>41</v>
      </c>
      <c r="G16" s="66" t="s">
        <v>42</v>
      </c>
      <c r="H16" s="158">
        <v>3666</v>
      </c>
      <c r="I16" s="158"/>
      <c r="J16" s="158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7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69"/>
      <c r="I17" s="169"/>
      <c r="J17" s="169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7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69"/>
      <c r="I18" s="169"/>
      <c r="J18" s="169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7"/>
      <c r="B19" s="87" t="s">
        <v>105</v>
      </c>
      <c r="C19" s="10">
        <v>1</v>
      </c>
      <c r="D19" s="48">
        <f t="shared" si="1"/>
        <v>1175</v>
      </c>
      <c r="F19" s="56"/>
      <c r="G19" s="68" t="s">
        <v>49</v>
      </c>
      <c r="H19" s="253"/>
      <c r="I19" s="253"/>
      <c r="J19" s="253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7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58"/>
      <c r="I20" s="158"/>
      <c r="J20" s="158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7"/>
      <c r="B21" s="14" t="s">
        <v>183</v>
      </c>
      <c r="C21" s="10"/>
      <c r="D21" s="48">
        <f t="shared" si="1"/>
        <v>0</v>
      </c>
      <c r="F21" s="69" t="s">
        <v>94</v>
      </c>
      <c r="G21" s="82" t="s">
        <v>93</v>
      </c>
      <c r="H21" s="171" t="s">
        <v>13</v>
      </c>
      <c r="I21" s="172"/>
      <c r="J21" s="173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7"/>
      <c r="B22" s="46" t="s">
        <v>103</v>
      </c>
      <c r="C22" s="10"/>
      <c r="D22" s="48">
        <f t="shared" si="1"/>
        <v>0</v>
      </c>
      <c r="F22" s="77"/>
      <c r="G22" s="73"/>
      <c r="H22" s="174"/>
      <c r="I22" s="174"/>
      <c r="J22" s="174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7"/>
      <c r="B23" s="14" t="s">
        <v>121</v>
      </c>
      <c r="C23" s="10"/>
      <c r="D23" s="48">
        <f t="shared" si="1"/>
        <v>0</v>
      </c>
      <c r="F23" s="78"/>
      <c r="G23" s="79"/>
      <c r="H23" s="254"/>
      <c r="I23" s="174"/>
      <c r="J23" s="174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7"/>
      <c r="B24" s="14" t="s">
        <v>128</v>
      </c>
      <c r="C24" s="10"/>
      <c r="D24" s="48">
        <f t="shared" si="1"/>
        <v>0</v>
      </c>
      <c r="F24" s="38"/>
      <c r="G24" s="37"/>
      <c r="H24" s="175"/>
      <c r="I24" s="144"/>
      <c r="J24" s="144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7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76" t="s">
        <v>13</v>
      </c>
      <c r="I25" s="177"/>
      <c r="J25" s="178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7"/>
      <c r="B26" s="14" t="s">
        <v>129</v>
      </c>
      <c r="C26" s="10"/>
      <c r="D26" s="48">
        <f t="shared" si="1"/>
        <v>0</v>
      </c>
      <c r="F26" s="64"/>
      <c r="G26" s="59"/>
      <c r="H26" s="179"/>
      <c r="I26" s="180"/>
      <c r="J26" s="181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7"/>
      <c r="B27" s="14" t="s">
        <v>130</v>
      </c>
      <c r="C27" s="10"/>
      <c r="D27" s="44">
        <f t="shared" si="1"/>
        <v>0</v>
      </c>
      <c r="F27" s="25"/>
      <c r="G27" s="80"/>
      <c r="H27" s="182"/>
      <c r="I27" s="183"/>
      <c r="J27" s="184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8"/>
      <c r="B28" s="46" t="s">
        <v>92</v>
      </c>
      <c r="C28" s="10"/>
      <c r="D28" s="48">
        <f t="shared" si="1"/>
        <v>0</v>
      </c>
      <c r="F28" s="91"/>
      <c r="G28" s="61"/>
      <c r="H28" s="185"/>
      <c r="I28" s="186"/>
      <c r="J28" s="187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9" t="s">
        <v>36</v>
      </c>
      <c r="B29" s="160"/>
      <c r="C29" s="161"/>
      <c r="D29" s="165">
        <f>SUM(D6:D28)</f>
        <v>491364</v>
      </c>
      <c r="F29" s="105" t="s">
        <v>54</v>
      </c>
      <c r="G29" s="167"/>
      <c r="H29" s="127">
        <f>H15-H16-H17-H18-H19-H20-H22-H23-H24+H26+H27</f>
        <v>417927</v>
      </c>
      <c r="I29" s="128"/>
      <c r="J29" s="129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08"/>
      <c r="G30" s="168"/>
      <c r="H30" s="130"/>
      <c r="I30" s="131"/>
      <c r="J30" s="132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2" t="s">
        <v>57</v>
      </c>
      <c r="B32" s="153"/>
      <c r="C32" s="153"/>
      <c r="D32" s="154"/>
      <c r="F32" s="155" t="s">
        <v>58</v>
      </c>
      <c r="G32" s="156"/>
      <c r="H32" s="156"/>
      <c r="I32" s="156"/>
      <c r="J32" s="157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2" t="s">
        <v>62</v>
      </c>
      <c r="H33" s="155" t="s">
        <v>13</v>
      </c>
      <c r="I33" s="156"/>
      <c r="J33" s="157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6" t="s">
        <v>64</v>
      </c>
      <c r="B34" s="26" t="s">
        <v>65</v>
      </c>
      <c r="C34" s="51">
        <v>4</v>
      </c>
      <c r="D34" s="30">
        <f>C34*120</f>
        <v>480</v>
      </c>
      <c r="F34" s="12">
        <v>1000</v>
      </c>
      <c r="G34" s="74">
        <v>53</v>
      </c>
      <c r="H34" s="149">
        <f>F34*G34</f>
        <v>53000</v>
      </c>
      <c r="I34" s="150"/>
      <c r="J34" s="151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7"/>
      <c r="B35" s="27" t="s">
        <v>67</v>
      </c>
      <c r="C35" s="52"/>
      <c r="D35" s="30">
        <f>C35*84</f>
        <v>0</v>
      </c>
      <c r="F35" s="58">
        <v>500</v>
      </c>
      <c r="G35" s="41">
        <v>201</v>
      </c>
      <c r="H35" s="149">
        <f>F35*G35</f>
        <v>100500</v>
      </c>
      <c r="I35" s="150"/>
      <c r="J35" s="15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8"/>
      <c r="B36" s="26" t="s">
        <v>69</v>
      </c>
      <c r="C36" s="10"/>
      <c r="D36" s="12">
        <f>C36*1.5</f>
        <v>0</v>
      </c>
      <c r="F36" s="12">
        <v>200</v>
      </c>
      <c r="G36" s="37"/>
      <c r="H36" s="149">
        <f t="shared" ref="H36:H39" si="2">F36*G36</f>
        <v>0</v>
      </c>
      <c r="I36" s="150"/>
      <c r="J36" s="151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6" t="s">
        <v>71</v>
      </c>
      <c r="B37" s="28" t="s">
        <v>65</v>
      </c>
      <c r="C37" s="53">
        <v>597</v>
      </c>
      <c r="D37" s="12">
        <f>C37*111</f>
        <v>66267</v>
      </c>
      <c r="F37" s="12">
        <v>100</v>
      </c>
      <c r="G37" s="39">
        <v>1</v>
      </c>
      <c r="H37" s="149">
        <f t="shared" si="2"/>
        <v>100</v>
      </c>
      <c r="I37" s="150"/>
      <c r="J37" s="151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7"/>
      <c r="B38" s="29" t="s">
        <v>67</v>
      </c>
      <c r="C38" s="54"/>
      <c r="D38" s="12">
        <f>C38*84</f>
        <v>0</v>
      </c>
      <c r="F38" s="30">
        <v>50</v>
      </c>
      <c r="G38" s="39">
        <v>1</v>
      </c>
      <c r="H38" s="149">
        <f t="shared" si="2"/>
        <v>50</v>
      </c>
      <c r="I38" s="150"/>
      <c r="J38" s="151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8"/>
      <c r="B39" s="29" t="s">
        <v>69</v>
      </c>
      <c r="C39" s="52"/>
      <c r="D39" s="31">
        <f>C39*4.5</f>
        <v>0</v>
      </c>
      <c r="F39" s="12">
        <v>20</v>
      </c>
      <c r="G39" s="37"/>
      <c r="H39" s="149">
        <f t="shared" si="2"/>
        <v>0</v>
      </c>
      <c r="I39" s="150"/>
      <c r="J39" s="15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6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49"/>
      <c r="I40" s="150"/>
      <c r="J40" s="151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7"/>
      <c r="B41" s="27" t="s">
        <v>67</v>
      </c>
      <c r="C41" s="10"/>
      <c r="D41" s="12">
        <f>C41*84</f>
        <v>0</v>
      </c>
      <c r="F41" s="12">
        <v>5</v>
      </c>
      <c r="G41" s="42"/>
      <c r="H41" s="149"/>
      <c r="I41" s="150"/>
      <c r="J41" s="151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8"/>
      <c r="B42" s="27" t="s">
        <v>69</v>
      </c>
      <c r="C42" s="11"/>
      <c r="D42" s="12">
        <f>C42*2.25</f>
        <v>0</v>
      </c>
      <c r="F42" s="39" t="s">
        <v>78</v>
      </c>
      <c r="G42" s="149">
        <v>38</v>
      </c>
      <c r="H42" s="150"/>
      <c r="I42" s="150"/>
      <c r="J42" s="151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19" t="s">
        <v>80</v>
      </c>
      <c r="C43" s="11"/>
      <c r="D43" s="12"/>
      <c r="F43" s="59" t="s">
        <v>81</v>
      </c>
      <c r="G43" s="88" t="s">
        <v>82</v>
      </c>
      <c r="H43" s="141" t="s">
        <v>13</v>
      </c>
      <c r="I43" s="142"/>
      <c r="J43" s="143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20"/>
      <c r="B44" s="27" t="s">
        <v>65</v>
      </c>
      <c r="C44" s="10">
        <v>5</v>
      </c>
      <c r="D44" s="12">
        <f>C44*120</f>
        <v>600</v>
      </c>
      <c r="F44" s="37" t="s">
        <v>132</v>
      </c>
      <c r="G44" s="76" t="s">
        <v>185</v>
      </c>
      <c r="H44" s="144">
        <v>264034</v>
      </c>
      <c r="I44" s="144"/>
      <c r="J44" s="144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20"/>
      <c r="B45" s="27" t="s">
        <v>67</v>
      </c>
      <c r="C45" s="33"/>
      <c r="D45" s="12">
        <f>C45*84</f>
        <v>0</v>
      </c>
      <c r="F45" s="37"/>
      <c r="G45" s="76"/>
      <c r="H45" s="144"/>
      <c r="I45" s="144"/>
      <c r="J45" s="144"/>
      <c r="K45" s="21"/>
      <c r="P45" s="4"/>
      <c r="Q45" s="4"/>
      <c r="R45" s="5"/>
    </row>
    <row r="46" spans="1:18" ht="15.75" x14ac:dyDescent="0.25">
      <c r="A46" s="120"/>
      <c r="B46" s="49" t="s">
        <v>69</v>
      </c>
      <c r="C46" s="81"/>
      <c r="D46" s="12">
        <f>C46*1.5</f>
        <v>0</v>
      </c>
      <c r="F46" s="37"/>
      <c r="G46" s="62"/>
      <c r="H46" s="145"/>
      <c r="I46" s="145"/>
      <c r="J46" s="145"/>
      <c r="K46" s="21"/>
      <c r="P46" s="4"/>
      <c r="Q46" s="4"/>
      <c r="R46" s="5"/>
    </row>
    <row r="47" spans="1:18" ht="15.75" x14ac:dyDescent="0.25">
      <c r="A47" s="121"/>
      <c r="B47" s="27"/>
      <c r="C47" s="11"/>
      <c r="D47" s="12"/>
      <c r="F47" s="59"/>
      <c r="G47" s="59"/>
      <c r="H47" s="122"/>
      <c r="I47" s="123"/>
      <c r="J47" s="124"/>
      <c r="K47" s="21"/>
      <c r="P47" s="4"/>
      <c r="Q47" s="4"/>
      <c r="R47" s="5"/>
    </row>
    <row r="48" spans="1:18" ht="15" customHeight="1" x14ac:dyDescent="0.25">
      <c r="A48" s="119" t="s">
        <v>32</v>
      </c>
      <c r="B48" s="27" t="s">
        <v>65</v>
      </c>
      <c r="C48" s="10">
        <v>30</v>
      </c>
      <c r="D48" s="12">
        <f>C48*78</f>
        <v>2340</v>
      </c>
      <c r="F48" s="59"/>
      <c r="G48" s="59"/>
      <c r="H48" s="122"/>
      <c r="I48" s="123"/>
      <c r="J48" s="124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20"/>
      <c r="B49" s="29" t="s">
        <v>67</v>
      </c>
      <c r="C49" s="33">
        <v>2</v>
      </c>
      <c r="D49" s="12">
        <f>C49*42</f>
        <v>84</v>
      </c>
      <c r="F49" s="125" t="s">
        <v>85</v>
      </c>
      <c r="G49" s="127">
        <f>H34+H35+H36+H37+H38+H39+H40+H41+G42+H44+H45+H46</f>
        <v>417722</v>
      </c>
      <c r="H49" s="128"/>
      <c r="I49" s="128"/>
      <c r="J49" s="129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0"/>
      <c r="B50" s="32" t="s">
        <v>69</v>
      </c>
      <c r="C50" s="81"/>
      <c r="D50" s="12">
        <f>C50*1.5</f>
        <v>0</v>
      </c>
      <c r="F50" s="126"/>
      <c r="G50" s="130"/>
      <c r="H50" s="131"/>
      <c r="I50" s="131"/>
      <c r="J50" s="132"/>
      <c r="O50" t="s">
        <v>114</v>
      </c>
      <c r="P50" s="4">
        <v>1204</v>
      </c>
      <c r="Q50" s="4"/>
      <c r="R50" s="5"/>
    </row>
    <row r="51" spans="1:18" ht="15" customHeight="1" x14ac:dyDescent="0.25">
      <c r="A51" s="120"/>
      <c r="B51" s="27"/>
      <c r="C51" s="10"/>
      <c r="D51" s="31"/>
      <c r="F51" s="133" t="s">
        <v>186</v>
      </c>
      <c r="G51" s="246">
        <f>G49-H29</f>
        <v>-205</v>
      </c>
      <c r="H51" s="247"/>
      <c r="I51" s="247"/>
      <c r="J51" s="248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20"/>
      <c r="B52" s="29"/>
      <c r="C52" s="33"/>
      <c r="D52" s="45"/>
      <c r="F52" s="134"/>
      <c r="G52" s="249"/>
      <c r="H52" s="250"/>
      <c r="I52" s="250"/>
      <c r="J52" s="251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1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05" t="s">
        <v>89</v>
      </c>
      <c r="B54" s="106"/>
      <c r="C54" s="107"/>
      <c r="D54" s="111">
        <f>SUM(D34:D53)</f>
        <v>69771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08"/>
      <c r="B55" s="109"/>
      <c r="C55" s="110"/>
      <c r="D55" s="11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13" t="s">
        <v>90</v>
      </c>
      <c r="B58" s="114"/>
      <c r="C58" s="114"/>
      <c r="D58" s="115"/>
      <c r="F58" s="113" t="s">
        <v>91</v>
      </c>
      <c r="G58" s="114"/>
      <c r="H58" s="114"/>
      <c r="I58" s="114"/>
      <c r="J58" s="115"/>
    </row>
    <row r="59" spans="1:18" x14ac:dyDescent="0.25">
      <c r="A59" s="116"/>
      <c r="B59" s="117"/>
      <c r="C59" s="117"/>
      <c r="D59" s="118"/>
      <c r="F59" s="116"/>
      <c r="G59" s="117"/>
      <c r="H59" s="117"/>
      <c r="I59" s="117"/>
      <c r="J59" s="118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C9CC0B-4847-4671-BF83-BB6FEFC2958C}">
  <dimension ref="A1:R59"/>
  <sheetViews>
    <sheetView zoomScaleNormal="100" zoomScaleSheetLayoutView="85" workbookViewId="0">
      <selection activeCell="L63" sqref="L63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1" t="s">
        <v>1</v>
      </c>
      <c r="O1" s="201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2" t="s">
        <v>7</v>
      </c>
      <c r="B4" s="153"/>
      <c r="C4" s="153"/>
      <c r="D4" s="154"/>
      <c r="F4" s="202" t="s">
        <v>8</v>
      </c>
      <c r="G4" s="204">
        <v>3</v>
      </c>
      <c r="H4" s="206" t="s">
        <v>9</v>
      </c>
      <c r="I4" s="208">
        <v>46160</v>
      </c>
      <c r="J4" s="20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6" t="s">
        <v>7</v>
      </c>
      <c r="B5" s="15" t="s">
        <v>11</v>
      </c>
      <c r="C5" s="9" t="s">
        <v>12</v>
      </c>
      <c r="D5" s="25" t="s">
        <v>13</v>
      </c>
      <c r="F5" s="203"/>
      <c r="G5" s="205"/>
      <c r="H5" s="207"/>
      <c r="I5" s="210"/>
      <c r="J5" s="21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7"/>
      <c r="B6" s="16" t="s">
        <v>15</v>
      </c>
      <c r="C6" s="10">
        <v>524</v>
      </c>
      <c r="D6" s="13">
        <f t="shared" ref="D6:D28" si="1">C6*L6</f>
        <v>398764</v>
      </c>
      <c r="F6" s="212" t="s">
        <v>16</v>
      </c>
      <c r="G6" s="214" t="s">
        <v>117</v>
      </c>
      <c r="H6" s="215"/>
      <c r="I6" s="215"/>
      <c r="J6" s="21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7"/>
      <c r="B7" s="16" t="s">
        <v>18</v>
      </c>
      <c r="C7" s="10">
        <v>15</v>
      </c>
      <c r="D7" s="13">
        <f t="shared" si="1"/>
        <v>11715</v>
      </c>
      <c r="F7" s="213"/>
      <c r="G7" s="217"/>
      <c r="H7" s="218"/>
      <c r="I7" s="218"/>
      <c r="J7" s="21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7"/>
      <c r="B8" s="16" t="s">
        <v>20</v>
      </c>
      <c r="C8" s="10"/>
      <c r="D8" s="13">
        <f t="shared" si="1"/>
        <v>0</v>
      </c>
      <c r="F8" s="220" t="s">
        <v>21</v>
      </c>
      <c r="G8" s="221" t="s">
        <v>110</v>
      </c>
      <c r="H8" s="222"/>
      <c r="I8" s="222"/>
      <c r="J8" s="22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7"/>
      <c r="B9" s="16" t="s">
        <v>23</v>
      </c>
      <c r="C9" s="10">
        <v>162</v>
      </c>
      <c r="D9" s="13">
        <f t="shared" si="1"/>
        <v>118746</v>
      </c>
      <c r="F9" s="213"/>
      <c r="G9" s="224"/>
      <c r="H9" s="225"/>
      <c r="I9" s="225"/>
      <c r="J9" s="22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7"/>
      <c r="B10" t="s">
        <v>25</v>
      </c>
      <c r="C10" s="10"/>
      <c r="D10" s="13">
        <f t="shared" si="1"/>
        <v>0</v>
      </c>
      <c r="F10" s="212" t="s">
        <v>26</v>
      </c>
      <c r="G10" s="227" t="s">
        <v>124</v>
      </c>
      <c r="H10" s="228"/>
      <c r="I10" s="228"/>
      <c r="J10" s="229"/>
      <c r="K10" s="8"/>
      <c r="L10" s="6">
        <f>R36</f>
        <v>1032</v>
      </c>
      <c r="P10" s="4"/>
      <c r="Q10" s="4"/>
      <c r="R10" s="5"/>
    </row>
    <row r="11" spans="1:18" ht="15.75" x14ac:dyDescent="0.25">
      <c r="A11" s="147"/>
      <c r="B11" s="17" t="s">
        <v>28</v>
      </c>
      <c r="C11" s="10"/>
      <c r="D11" s="13">
        <f t="shared" si="1"/>
        <v>0</v>
      </c>
      <c r="F11" s="213"/>
      <c r="G11" s="224"/>
      <c r="H11" s="225"/>
      <c r="I11" s="225"/>
      <c r="J11" s="22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7"/>
      <c r="B12" s="17" t="s">
        <v>30</v>
      </c>
      <c r="C12" s="10">
        <v>8</v>
      </c>
      <c r="D12" s="48">
        <f t="shared" si="1"/>
        <v>7936</v>
      </c>
      <c r="F12" s="230" t="s">
        <v>33</v>
      </c>
      <c r="G12" s="231"/>
      <c r="H12" s="231"/>
      <c r="I12" s="231"/>
      <c r="J12" s="23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7"/>
      <c r="B13" s="17" t="s">
        <v>32</v>
      </c>
      <c r="C13" s="10">
        <v>16</v>
      </c>
      <c r="D13" s="48">
        <f t="shared" si="1"/>
        <v>4912</v>
      </c>
      <c r="F13" s="233" t="s">
        <v>36</v>
      </c>
      <c r="G13" s="197"/>
      <c r="H13" s="188">
        <f>D29</f>
        <v>543461</v>
      </c>
      <c r="I13" s="189"/>
      <c r="J13" s="19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7"/>
      <c r="B14" s="14" t="s">
        <v>35</v>
      </c>
      <c r="C14" s="10">
        <v>8</v>
      </c>
      <c r="D14" s="31">
        <f t="shared" si="1"/>
        <v>88</v>
      </c>
      <c r="F14" s="191" t="s">
        <v>38</v>
      </c>
      <c r="G14" s="192"/>
      <c r="H14" s="193">
        <f>D54</f>
        <v>78838.5</v>
      </c>
      <c r="I14" s="194"/>
      <c r="J14" s="19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7"/>
      <c r="B15" s="14" t="s">
        <v>122</v>
      </c>
      <c r="C15" s="10"/>
      <c r="D15" s="31">
        <f t="shared" si="1"/>
        <v>0</v>
      </c>
      <c r="F15" s="196" t="s">
        <v>39</v>
      </c>
      <c r="G15" s="197"/>
      <c r="H15" s="198">
        <f>H13-H14</f>
        <v>464622.5</v>
      </c>
      <c r="I15" s="199"/>
      <c r="J15" s="200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7"/>
      <c r="B16" s="18" t="s">
        <v>111</v>
      </c>
      <c r="C16" s="10">
        <v>2</v>
      </c>
      <c r="D16" s="48">
        <f t="shared" si="1"/>
        <v>1300</v>
      </c>
      <c r="F16" s="67" t="s">
        <v>41</v>
      </c>
      <c r="G16" s="66" t="s">
        <v>42</v>
      </c>
      <c r="H16" s="158">
        <f>948+1836</f>
        <v>2784</v>
      </c>
      <c r="I16" s="158"/>
      <c r="J16" s="158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7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69"/>
      <c r="I17" s="169"/>
      <c r="J17" s="169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7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69"/>
      <c r="I18" s="169"/>
      <c r="J18" s="169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7"/>
      <c r="B19" s="87" t="s">
        <v>105</v>
      </c>
      <c r="C19" s="10"/>
      <c r="D19" s="48">
        <f t="shared" si="1"/>
        <v>0</v>
      </c>
      <c r="F19" s="56"/>
      <c r="G19" s="68" t="s">
        <v>49</v>
      </c>
      <c r="H19" s="253">
        <v>50</v>
      </c>
      <c r="I19" s="253"/>
      <c r="J19" s="253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7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58"/>
      <c r="I20" s="158"/>
      <c r="J20" s="158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7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71" t="s">
        <v>13</v>
      </c>
      <c r="I21" s="172"/>
      <c r="J21" s="173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7"/>
      <c r="B22" s="46" t="s">
        <v>103</v>
      </c>
      <c r="C22" s="10"/>
      <c r="D22" s="48">
        <f t="shared" si="1"/>
        <v>0</v>
      </c>
      <c r="F22" s="77"/>
      <c r="G22" s="73"/>
      <c r="H22" s="174"/>
      <c r="I22" s="174"/>
      <c r="J22" s="174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7"/>
      <c r="B23" s="14" t="s">
        <v>121</v>
      </c>
      <c r="C23" s="10"/>
      <c r="D23" s="48">
        <f t="shared" si="1"/>
        <v>0</v>
      </c>
      <c r="F23" s="78"/>
      <c r="G23" s="79"/>
      <c r="H23" s="254"/>
      <c r="I23" s="174"/>
      <c r="J23" s="174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7"/>
      <c r="B24" s="14" t="s">
        <v>128</v>
      </c>
      <c r="C24" s="10"/>
      <c r="D24" s="48">
        <f t="shared" si="1"/>
        <v>0</v>
      </c>
      <c r="F24" s="38"/>
      <c r="G24" s="37"/>
      <c r="H24" s="175"/>
      <c r="I24" s="144"/>
      <c r="J24" s="144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7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76" t="s">
        <v>13</v>
      </c>
      <c r="I25" s="177"/>
      <c r="J25" s="178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7"/>
      <c r="B26" s="14" t="s">
        <v>129</v>
      </c>
      <c r="C26" s="10"/>
      <c r="D26" s="48">
        <f t="shared" si="1"/>
        <v>0</v>
      </c>
      <c r="F26" s="64"/>
      <c r="G26" s="59"/>
      <c r="H26" s="179"/>
      <c r="I26" s="180"/>
      <c r="J26" s="181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7"/>
      <c r="B27" s="14" t="s">
        <v>130</v>
      </c>
      <c r="C27" s="10"/>
      <c r="D27" s="44">
        <f t="shared" si="1"/>
        <v>0</v>
      </c>
      <c r="F27" s="25"/>
      <c r="G27" s="80"/>
      <c r="H27" s="182"/>
      <c r="I27" s="183"/>
      <c r="J27" s="184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8"/>
      <c r="B28" s="46" t="s">
        <v>92</v>
      </c>
      <c r="C28" s="10"/>
      <c r="D28" s="48">
        <f t="shared" si="1"/>
        <v>0</v>
      </c>
      <c r="F28" s="91"/>
      <c r="G28" s="61"/>
      <c r="H28" s="185"/>
      <c r="I28" s="186"/>
      <c r="J28" s="187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9" t="s">
        <v>36</v>
      </c>
      <c r="B29" s="160"/>
      <c r="C29" s="161"/>
      <c r="D29" s="165">
        <f>SUM(D6:D28)</f>
        <v>543461</v>
      </c>
      <c r="F29" s="105" t="s">
        <v>54</v>
      </c>
      <c r="G29" s="167"/>
      <c r="H29" s="127">
        <f>H15-H16-H17-H18-H19-H20-H22-H23-H24+H26+H27</f>
        <v>461788.5</v>
      </c>
      <c r="I29" s="128"/>
      <c r="J29" s="129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08"/>
      <c r="G30" s="168"/>
      <c r="H30" s="130"/>
      <c r="I30" s="131"/>
      <c r="J30" s="132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2" t="s">
        <v>57</v>
      </c>
      <c r="B32" s="153"/>
      <c r="C32" s="153"/>
      <c r="D32" s="154"/>
      <c r="F32" s="155" t="s">
        <v>58</v>
      </c>
      <c r="G32" s="156"/>
      <c r="H32" s="156"/>
      <c r="I32" s="156"/>
      <c r="J32" s="157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2" t="s">
        <v>62</v>
      </c>
      <c r="H33" s="155" t="s">
        <v>13</v>
      </c>
      <c r="I33" s="156"/>
      <c r="J33" s="157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6" t="s">
        <v>64</v>
      </c>
      <c r="B34" s="26" t="s">
        <v>65</v>
      </c>
      <c r="C34" s="51"/>
      <c r="D34" s="30">
        <f>C34*120</f>
        <v>0</v>
      </c>
      <c r="F34" s="12">
        <v>1000</v>
      </c>
      <c r="G34" s="74">
        <v>48</v>
      </c>
      <c r="H34" s="149">
        <f>F34*G34</f>
        <v>48000</v>
      </c>
      <c r="I34" s="150"/>
      <c r="J34" s="151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7"/>
      <c r="B35" s="27" t="s">
        <v>67</v>
      </c>
      <c r="C35" s="52"/>
      <c r="D35" s="30">
        <f>C35*84</f>
        <v>0</v>
      </c>
      <c r="F35" s="58">
        <v>500</v>
      </c>
      <c r="G35" s="41">
        <v>15</v>
      </c>
      <c r="H35" s="149">
        <f>F35*G35</f>
        <v>7500</v>
      </c>
      <c r="I35" s="150"/>
      <c r="J35" s="15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8"/>
      <c r="B36" s="26" t="s">
        <v>69</v>
      </c>
      <c r="C36" s="10">
        <v>2</v>
      </c>
      <c r="D36" s="12">
        <f>C36*1.5</f>
        <v>3</v>
      </c>
      <c r="F36" s="12">
        <v>200</v>
      </c>
      <c r="G36" s="37"/>
      <c r="H36" s="149">
        <f t="shared" ref="H36:H39" si="2">F36*G36</f>
        <v>0</v>
      </c>
      <c r="I36" s="150"/>
      <c r="J36" s="151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6" t="s">
        <v>71</v>
      </c>
      <c r="B37" s="28" t="s">
        <v>65</v>
      </c>
      <c r="C37" s="53">
        <v>693</v>
      </c>
      <c r="D37" s="12">
        <f>C37*111</f>
        <v>76923</v>
      </c>
      <c r="F37" s="12">
        <v>100</v>
      </c>
      <c r="G37" s="39">
        <v>4</v>
      </c>
      <c r="H37" s="149">
        <f t="shared" si="2"/>
        <v>400</v>
      </c>
      <c r="I37" s="150"/>
      <c r="J37" s="151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7"/>
      <c r="B38" s="29" t="s">
        <v>67</v>
      </c>
      <c r="C38" s="54"/>
      <c r="D38" s="12">
        <f>C38*84</f>
        <v>0</v>
      </c>
      <c r="F38" s="30">
        <v>50</v>
      </c>
      <c r="G38" s="39">
        <v>1</v>
      </c>
      <c r="H38" s="149">
        <f t="shared" si="2"/>
        <v>50</v>
      </c>
      <c r="I38" s="150"/>
      <c r="J38" s="151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8"/>
      <c r="B39" s="29" t="s">
        <v>69</v>
      </c>
      <c r="C39" s="52">
        <v>2</v>
      </c>
      <c r="D39" s="31">
        <f>C39*4.5</f>
        <v>9</v>
      </c>
      <c r="F39" s="12">
        <v>20</v>
      </c>
      <c r="G39" s="37"/>
      <c r="H39" s="149">
        <f t="shared" si="2"/>
        <v>0</v>
      </c>
      <c r="I39" s="150"/>
      <c r="J39" s="15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6" t="s">
        <v>75</v>
      </c>
      <c r="B40" s="27" t="s">
        <v>65</v>
      </c>
      <c r="C40" s="63">
        <v>11</v>
      </c>
      <c r="D40" s="12">
        <f>C40*111</f>
        <v>1221</v>
      </c>
      <c r="F40" s="12">
        <v>10</v>
      </c>
      <c r="G40" s="42"/>
      <c r="H40" s="149"/>
      <c r="I40" s="150"/>
      <c r="J40" s="151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7"/>
      <c r="B41" s="27" t="s">
        <v>67</v>
      </c>
      <c r="C41" s="10"/>
      <c r="D41" s="12">
        <f>C41*84</f>
        <v>0</v>
      </c>
      <c r="F41" s="12">
        <v>5</v>
      </c>
      <c r="G41" s="42"/>
      <c r="H41" s="149"/>
      <c r="I41" s="150"/>
      <c r="J41" s="151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8"/>
      <c r="B42" s="27" t="s">
        <v>69</v>
      </c>
      <c r="C42" s="11"/>
      <c r="D42" s="12">
        <f>C42*2.25</f>
        <v>0</v>
      </c>
      <c r="F42" s="39" t="s">
        <v>78</v>
      </c>
      <c r="G42" s="149">
        <v>68</v>
      </c>
      <c r="H42" s="150"/>
      <c r="I42" s="150"/>
      <c r="J42" s="151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19" t="s">
        <v>80</v>
      </c>
      <c r="C43" s="11"/>
      <c r="D43" s="12"/>
      <c r="F43" s="59" t="s">
        <v>81</v>
      </c>
      <c r="G43" s="88" t="s">
        <v>82</v>
      </c>
      <c r="H43" s="141" t="s">
        <v>13</v>
      </c>
      <c r="I43" s="142"/>
      <c r="J43" s="143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20"/>
      <c r="B44" s="27" t="s">
        <v>65</v>
      </c>
      <c r="C44" s="10">
        <v>3</v>
      </c>
      <c r="D44" s="12">
        <f>C44*120</f>
        <v>360</v>
      </c>
      <c r="F44" s="37" t="s">
        <v>136</v>
      </c>
      <c r="G44" s="76" t="s">
        <v>187</v>
      </c>
      <c r="H44" s="144">
        <v>100352</v>
      </c>
      <c r="I44" s="144"/>
      <c r="J44" s="144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20"/>
      <c r="B45" s="27" t="s">
        <v>67</v>
      </c>
      <c r="C45" s="33">
        <v>1</v>
      </c>
      <c r="D45" s="12">
        <f>C45*84</f>
        <v>84</v>
      </c>
      <c r="F45" s="37" t="s">
        <v>132</v>
      </c>
      <c r="G45" s="76" t="s">
        <v>188</v>
      </c>
      <c r="H45" s="144">
        <v>198087</v>
      </c>
      <c r="I45" s="144"/>
      <c r="J45" s="144"/>
      <c r="K45" s="21"/>
      <c r="P45" s="4"/>
      <c r="Q45" s="4"/>
      <c r="R45" s="5"/>
    </row>
    <row r="46" spans="1:18" ht="15.75" x14ac:dyDescent="0.25">
      <c r="A46" s="120"/>
      <c r="B46" s="49" t="s">
        <v>69</v>
      </c>
      <c r="C46" s="81">
        <v>19</v>
      </c>
      <c r="D46" s="12">
        <f>C46*1.5</f>
        <v>28.5</v>
      </c>
      <c r="F46" s="37" t="s">
        <v>189</v>
      </c>
      <c r="G46" s="62" t="s">
        <v>190</v>
      </c>
      <c r="H46" s="144">
        <v>107346</v>
      </c>
      <c r="I46" s="144"/>
      <c r="J46" s="144"/>
      <c r="K46" s="21"/>
      <c r="P46" s="4"/>
      <c r="Q46" s="4"/>
      <c r="R46" s="5"/>
    </row>
    <row r="47" spans="1:18" ht="15.75" x14ac:dyDescent="0.25">
      <c r="A47" s="121"/>
      <c r="B47" s="27"/>
      <c r="C47" s="11"/>
      <c r="D47" s="12"/>
      <c r="F47" s="59"/>
      <c r="G47" s="59"/>
      <c r="H47" s="122"/>
      <c r="I47" s="123"/>
      <c r="J47" s="124"/>
      <c r="K47" s="21"/>
      <c r="P47" s="4"/>
      <c r="Q47" s="4"/>
      <c r="R47" s="5"/>
    </row>
    <row r="48" spans="1:18" ht="15" customHeight="1" x14ac:dyDescent="0.25">
      <c r="A48" s="119" t="s">
        <v>32</v>
      </c>
      <c r="B48" s="27" t="s">
        <v>65</v>
      </c>
      <c r="C48" s="10">
        <v>2</v>
      </c>
      <c r="D48" s="12">
        <f>C48*78</f>
        <v>156</v>
      </c>
      <c r="F48" s="59"/>
      <c r="G48" s="59"/>
      <c r="H48" s="122"/>
      <c r="I48" s="123"/>
      <c r="J48" s="124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20"/>
      <c r="B49" s="29" t="s">
        <v>67</v>
      </c>
      <c r="C49" s="33">
        <v>1</v>
      </c>
      <c r="D49" s="12">
        <f>C49*42</f>
        <v>42</v>
      </c>
      <c r="F49" s="125" t="s">
        <v>85</v>
      </c>
      <c r="G49" s="127">
        <f>H34+H35+H36+H37+H38+H39+H40+H41+G42+H44+H45+H46</f>
        <v>461803</v>
      </c>
      <c r="H49" s="128"/>
      <c r="I49" s="128"/>
      <c r="J49" s="129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0"/>
      <c r="B50" s="32" t="s">
        <v>69</v>
      </c>
      <c r="C50" s="11">
        <v>8</v>
      </c>
      <c r="D50" s="12">
        <f>C50*1.5</f>
        <v>12</v>
      </c>
      <c r="F50" s="126"/>
      <c r="G50" s="130"/>
      <c r="H50" s="131"/>
      <c r="I50" s="131"/>
      <c r="J50" s="132"/>
      <c r="O50" t="s">
        <v>114</v>
      </c>
      <c r="P50" s="4">
        <v>1204</v>
      </c>
      <c r="Q50" s="4"/>
      <c r="R50" s="5"/>
    </row>
    <row r="51" spans="1:18" ht="15" customHeight="1" x14ac:dyDescent="0.25">
      <c r="A51" s="120"/>
      <c r="B51" s="27"/>
      <c r="C51" s="10"/>
      <c r="D51" s="31"/>
      <c r="F51" s="133" t="s">
        <v>191</v>
      </c>
      <c r="G51" s="236">
        <f>G49-H29</f>
        <v>14.5</v>
      </c>
      <c r="H51" s="237"/>
      <c r="I51" s="237"/>
      <c r="J51" s="238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20"/>
      <c r="B52" s="29"/>
      <c r="C52" s="33"/>
      <c r="D52" s="45"/>
      <c r="F52" s="134"/>
      <c r="G52" s="239"/>
      <c r="H52" s="240"/>
      <c r="I52" s="240"/>
      <c r="J52" s="241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1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05" t="s">
        <v>89</v>
      </c>
      <c r="B54" s="106"/>
      <c r="C54" s="107"/>
      <c r="D54" s="111">
        <f>SUM(D34:D53)</f>
        <v>78838.5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08"/>
      <c r="B55" s="109"/>
      <c r="C55" s="110"/>
      <c r="D55" s="11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13" t="s">
        <v>90</v>
      </c>
      <c r="B58" s="114"/>
      <c r="C58" s="114"/>
      <c r="D58" s="115"/>
      <c r="F58" s="113" t="s">
        <v>91</v>
      </c>
      <c r="G58" s="114"/>
      <c r="H58" s="114"/>
      <c r="I58" s="114"/>
      <c r="J58" s="115"/>
    </row>
    <row r="59" spans="1:18" x14ac:dyDescent="0.25">
      <c r="A59" s="116"/>
      <c r="B59" s="117"/>
      <c r="C59" s="117"/>
      <c r="D59" s="118"/>
      <c r="F59" s="116"/>
      <c r="G59" s="117"/>
      <c r="H59" s="117"/>
      <c r="I59" s="117"/>
      <c r="J59" s="118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B7D042-AA87-496B-BD27-9E23899CE1E2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01" t="s">
        <v>1</v>
      </c>
      <c r="O1" s="201"/>
      <c r="P1" s="90" t="s">
        <v>2</v>
      </c>
      <c r="Q1" s="90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52" t="s">
        <v>7</v>
      </c>
      <c r="B4" s="153"/>
      <c r="C4" s="153"/>
      <c r="D4" s="154"/>
      <c r="F4" s="202" t="s">
        <v>8</v>
      </c>
      <c r="G4" s="204"/>
      <c r="H4" s="206" t="s">
        <v>9</v>
      </c>
      <c r="I4" s="208"/>
      <c r="J4" s="20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46" t="s">
        <v>7</v>
      </c>
      <c r="B5" s="15" t="s">
        <v>11</v>
      </c>
      <c r="C5" s="9" t="s">
        <v>12</v>
      </c>
      <c r="D5" s="25" t="s">
        <v>13</v>
      </c>
      <c r="F5" s="203"/>
      <c r="G5" s="205"/>
      <c r="H5" s="207"/>
      <c r="I5" s="210"/>
      <c r="J5" s="21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47"/>
      <c r="B6" s="16"/>
      <c r="C6" s="10"/>
      <c r="D6" s="13">
        <f t="shared" ref="D6:D28" si="1">C6*L6</f>
        <v>0</v>
      </c>
      <c r="F6" s="212" t="s">
        <v>16</v>
      </c>
      <c r="G6" s="214"/>
      <c r="H6" s="215"/>
      <c r="I6" s="215"/>
      <c r="J6" s="216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47"/>
      <c r="B7" s="16"/>
      <c r="C7" s="10"/>
      <c r="D7" s="13">
        <f t="shared" si="1"/>
        <v>0</v>
      </c>
      <c r="F7" s="213"/>
      <c r="G7" s="217"/>
      <c r="H7" s="218"/>
      <c r="I7" s="218"/>
      <c r="J7" s="219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47"/>
      <c r="B8" s="16"/>
      <c r="C8" s="10"/>
      <c r="D8" s="13">
        <f t="shared" si="1"/>
        <v>0</v>
      </c>
      <c r="F8" s="220" t="s">
        <v>21</v>
      </c>
      <c r="G8" s="221"/>
      <c r="H8" s="222"/>
      <c r="I8" s="222"/>
      <c r="J8" s="223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47"/>
      <c r="B9" s="16"/>
      <c r="C9" s="10"/>
      <c r="D9" s="13">
        <f t="shared" si="1"/>
        <v>0</v>
      </c>
      <c r="F9" s="213"/>
      <c r="G9" s="224"/>
      <c r="H9" s="225"/>
      <c r="I9" s="225"/>
      <c r="J9" s="226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47"/>
      <c r="C10" s="10"/>
      <c r="D10" s="13">
        <f t="shared" si="1"/>
        <v>0</v>
      </c>
      <c r="F10" s="212" t="s">
        <v>26</v>
      </c>
      <c r="G10" s="227"/>
      <c r="H10" s="228"/>
      <c r="I10" s="228"/>
      <c r="J10" s="229"/>
      <c r="K10" s="8"/>
      <c r="L10" s="6">
        <f>R36</f>
        <v>972</v>
      </c>
      <c r="P10" s="4"/>
      <c r="Q10" s="4"/>
      <c r="R10" s="5"/>
    </row>
    <row r="11" spans="1:19" ht="15.75" x14ac:dyDescent="0.25">
      <c r="A11" s="147"/>
      <c r="B11" s="17"/>
      <c r="C11" s="10"/>
      <c r="D11" s="13">
        <f t="shared" si="1"/>
        <v>0</v>
      </c>
      <c r="F11" s="213"/>
      <c r="G11" s="224"/>
      <c r="H11" s="225"/>
      <c r="I11" s="225"/>
      <c r="J11" s="226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47"/>
      <c r="B12" s="17"/>
      <c r="C12" s="10"/>
      <c r="D12" s="48">
        <f t="shared" si="1"/>
        <v>0</v>
      </c>
      <c r="F12" s="230" t="s">
        <v>33</v>
      </c>
      <c r="G12" s="231"/>
      <c r="H12" s="231"/>
      <c r="I12" s="231"/>
      <c r="J12" s="232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47"/>
      <c r="B13" s="17"/>
      <c r="C13" s="10"/>
      <c r="D13" s="48">
        <f t="shared" si="1"/>
        <v>0</v>
      </c>
      <c r="F13" s="233" t="s">
        <v>36</v>
      </c>
      <c r="G13" s="197"/>
      <c r="H13" s="188">
        <f>D29</f>
        <v>0</v>
      </c>
      <c r="I13" s="189"/>
      <c r="J13" s="19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47"/>
      <c r="B14" s="14"/>
      <c r="C14" s="10"/>
      <c r="D14" s="31">
        <f t="shared" si="1"/>
        <v>0</v>
      </c>
      <c r="F14" s="191" t="s">
        <v>38</v>
      </c>
      <c r="G14" s="192"/>
      <c r="H14" s="193">
        <f>D54</f>
        <v>0</v>
      </c>
      <c r="I14" s="194"/>
      <c r="J14" s="19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47"/>
      <c r="B15" s="14"/>
      <c r="C15" s="10"/>
      <c r="D15" s="31">
        <f t="shared" si="1"/>
        <v>0</v>
      </c>
      <c r="F15" s="196" t="s">
        <v>39</v>
      </c>
      <c r="G15" s="197"/>
      <c r="H15" s="198">
        <f>H13-H14</f>
        <v>0</v>
      </c>
      <c r="I15" s="199"/>
      <c r="J15" s="200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47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58"/>
      <c r="I16" s="158"/>
      <c r="J16" s="158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7"/>
      <c r="C17" s="10"/>
      <c r="D17" s="48">
        <f t="shared" si="1"/>
        <v>0</v>
      </c>
      <c r="F17" s="56"/>
      <c r="G17" s="66" t="s">
        <v>44</v>
      </c>
      <c r="H17" s="169"/>
      <c r="I17" s="169"/>
      <c r="J17" s="169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7"/>
      <c r="B18" s="19"/>
      <c r="C18" s="10"/>
      <c r="D18" s="48">
        <f t="shared" si="1"/>
        <v>0</v>
      </c>
      <c r="F18" s="56"/>
      <c r="G18" s="66" t="s">
        <v>46</v>
      </c>
      <c r="H18" s="169"/>
      <c r="I18" s="169"/>
      <c r="J18" s="16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7"/>
      <c r="B19" s="14"/>
      <c r="C19" s="10"/>
      <c r="D19" s="48">
        <f t="shared" si="1"/>
        <v>0</v>
      </c>
      <c r="F19" s="56"/>
      <c r="G19" s="68" t="s">
        <v>49</v>
      </c>
      <c r="H19" s="170"/>
      <c r="I19" s="170"/>
      <c r="J19" s="170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7"/>
      <c r="B20" s="46"/>
      <c r="C20" s="10"/>
      <c r="D20" s="13">
        <f t="shared" si="1"/>
        <v>0</v>
      </c>
      <c r="F20" s="57"/>
      <c r="G20" s="70" t="s">
        <v>102</v>
      </c>
      <c r="H20" s="158"/>
      <c r="I20" s="158"/>
      <c r="J20" s="158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7"/>
      <c r="B21" s="14"/>
      <c r="C21" s="10"/>
      <c r="D21" s="48">
        <f t="shared" si="1"/>
        <v>0</v>
      </c>
      <c r="F21" s="69" t="s">
        <v>94</v>
      </c>
      <c r="G21" s="82" t="s">
        <v>93</v>
      </c>
      <c r="H21" s="171" t="s">
        <v>13</v>
      </c>
      <c r="I21" s="172"/>
      <c r="J21" s="173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7"/>
      <c r="B22" s="46"/>
      <c r="C22" s="10"/>
      <c r="D22" s="48">
        <f t="shared" si="1"/>
        <v>0</v>
      </c>
      <c r="F22" s="77"/>
      <c r="G22" s="73"/>
      <c r="H22" s="174"/>
      <c r="I22" s="174"/>
      <c r="J22" s="174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7"/>
      <c r="B23" s="14"/>
      <c r="C23" s="10"/>
      <c r="D23" s="48">
        <f t="shared" si="1"/>
        <v>0</v>
      </c>
      <c r="F23" s="78"/>
      <c r="G23" s="79"/>
      <c r="H23" s="175"/>
      <c r="I23" s="144"/>
      <c r="J23" s="144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7"/>
      <c r="B24" s="14"/>
      <c r="C24" s="10"/>
      <c r="D24" s="48">
        <f t="shared" si="1"/>
        <v>0</v>
      </c>
      <c r="F24" s="38"/>
      <c r="G24" s="37"/>
      <c r="H24" s="175"/>
      <c r="I24" s="144"/>
      <c r="J24" s="144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7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176" t="s">
        <v>13</v>
      </c>
      <c r="I25" s="177"/>
      <c r="J25" s="178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7"/>
      <c r="B26" s="14"/>
      <c r="C26" s="10"/>
      <c r="D26" s="48">
        <f t="shared" si="1"/>
        <v>0</v>
      </c>
      <c r="F26" s="64"/>
      <c r="G26" s="59"/>
      <c r="H26" s="179"/>
      <c r="I26" s="180"/>
      <c r="J26" s="181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7"/>
      <c r="B27" s="14"/>
      <c r="C27" s="10"/>
      <c r="D27" s="44">
        <f t="shared" si="1"/>
        <v>0</v>
      </c>
      <c r="F27" s="25"/>
      <c r="G27" s="80"/>
      <c r="H27" s="182"/>
      <c r="I27" s="183"/>
      <c r="J27" s="184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8"/>
      <c r="B28" s="46"/>
      <c r="C28" s="10"/>
      <c r="D28" s="48">
        <f t="shared" si="1"/>
        <v>0</v>
      </c>
      <c r="F28" s="91"/>
      <c r="G28" s="61"/>
      <c r="H28" s="185"/>
      <c r="I28" s="186"/>
      <c r="J28" s="187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9" t="s">
        <v>36</v>
      </c>
      <c r="B29" s="160"/>
      <c r="C29" s="161"/>
      <c r="D29" s="165">
        <f>SUM(D6:D28)</f>
        <v>0</v>
      </c>
      <c r="F29" s="105" t="s">
        <v>54</v>
      </c>
      <c r="G29" s="167"/>
      <c r="H29" s="127">
        <f>H15-H16-H17-H18-H19-H20-H22-H23-H24+H26+H27</f>
        <v>0</v>
      </c>
      <c r="I29" s="128"/>
      <c r="J29" s="129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08"/>
      <c r="G30" s="168"/>
      <c r="H30" s="130"/>
      <c r="I30" s="131"/>
      <c r="J30" s="132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52" t="s">
        <v>57</v>
      </c>
      <c r="B32" s="153"/>
      <c r="C32" s="153"/>
      <c r="D32" s="154"/>
      <c r="F32" s="155" t="s">
        <v>58</v>
      </c>
      <c r="G32" s="156"/>
      <c r="H32" s="156"/>
      <c r="I32" s="156"/>
      <c r="J32" s="157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2" t="s">
        <v>62</v>
      </c>
      <c r="H33" s="155" t="s">
        <v>13</v>
      </c>
      <c r="I33" s="156"/>
      <c r="J33" s="157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6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149"/>
      <c r="I34" s="150"/>
      <c r="J34" s="151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7"/>
      <c r="B35" s="27" t="s">
        <v>67</v>
      </c>
      <c r="C35" s="52"/>
      <c r="D35" s="30">
        <f>C35*84</f>
        <v>0</v>
      </c>
      <c r="F35" s="58">
        <v>500</v>
      </c>
      <c r="G35" s="41"/>
      <c r="H35" s="149"/>
      <c r="I35" s="150"/>
      <c r="J35" s="15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8"/>
      <c r="B36" s="26" t="s">
        <v>69</v>
      </c>
      <c r="C36" s="10"/>
      <c r="D36" s="12">
        <f>C36*1.5</f>
        <v>0</v>
      </c>
      <c r="F36" s="12">
        <v>200</v>
      </c>
      <c r="G36" s="37"/>
      <c r="H36" s="149"/>
      <c r="I36" s="150"/>
      <c r="J36" s="151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6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49"/>
      <c r="I37" s="150"/>
      <c r="J37" s="151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7"/>
      <c r="B38" s="29" t="s">
        <v>67</v>
      </c>
      <c r="C38" s="54"/>
      <c r="D38" s="12">
        <f>C38*84</f>
        <v>0</v>
      </c>
      <c r="F38" s="30">
        <v>50</v>
      </c>
      <c r="G38" s="39"/>
      <c r="H38" s="149"/>
      <c r="I38" s="150"/>
      <c r="J38" s="151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8"/>
      <c r="B39" s="29" t="s">
        <v>69</v>
      </c>
      <c r="C39" s="52"/>
      <c r="D39" s="31">
        <f>C39*4.5</f>
        <v>0</v>
      </c>
      <c r="F39" s="12">
        <v>20</v>
      </c>
      <c r="G39" s="37"/>
      <c r="H39" s="149"/>
      <c r="I39" s="150"/>
      <c r="J39" s="15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6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49"/>
      <c r="I40" s="150"/>
      <c r="J40" s="151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7"/>
      <c r="B41" s="27" t="s">
        <v>67</v>
      </c>
      <c r="C41" s="10"/>
      <c r="D41" s="12">
        <f>C41*84</f>
        <v>0</v>
      </c>
      <c r="F41" s="12">
        <v>5</v>
      </c>
      <c r="G41" s="42"/>
      <c r="H41" s="149"/>
      <c r="I41" s="150"/>
      <c r="J41" s="151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8"/>
      <c r="B42" s="27" t="s">
        <v>69</v>
      </c>
      <c r="C42" s="11"/>
      <c r="D42" s="12">
        <f>C42*2.25</f>
        <v>0</v>
      </c>
      <c r="F42" s="39" t="s">
        <v>78</v>
      </c>
      <c r="G42" s="149"/>
      <c r="H42" s="150"/>
      <c r="I42" s="150"/>
      <c r="J42" s="151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19" t="s">
        <v>80</v>
      </c>
      <c r="C43" s="11"/>
      <c r="D43" s="12"/>
      <c r="F43" s="59" t="s">
        <v>81</v>
      </c>
      <c r="G43" s="88" t="s">
        <v>82</v>
      </c>
      <c r="H43" s="141" t="s">
        <v>13</v>
      </c>
      <c r="I43" s="142"/>
      <c r="J43" s="143"/>
      <c r="K43" s="21"/>
      <c r="P43" s="4"/>
      <c r="Q43" s="4"/>
      <c r="R43" s="5"/>
    </row>
    <row r="44" spans="1:18" ht="15.75" x14ac:dyDescent="0.25">
      <c r="A44" s="120"/>
      <c r="B44" s="27" t="s">
        <v>65</v>
      </c>
      <c r="C44" s="10"/>
      <c r="D44" s="12">
        <f>C44*120</f>
        <v>0</v>
      </c>
      <c r="F44" s="37"/>
      <c r="G44" s="76"/>
      <c r="H44" s="144"/>
      <c r="I44" s="144"/>
      <c r="J44" s="144"/>
      <c r="K44" s="21"/>
      <c r="P44" s="4"/>
      <c r="Q44" s="4"/>
      <c r="R44" s="5"/>
    </row>
    <row r="45" spans="1:18" ht="15.75" x14ac:dyDescent="0.25">
      <c r="A45" s="120"/>
      <c r="B45" s="27" t="s">
        <v>67</v>
      </c>
      <c r="C45" s="33"/>
      <c r="D45" s="12">
        <f>C45*84</f>
        <v>0</v>
      </c>
      <c r="F45" s="37"/>
      <c r="G45" s="76"/>
      <c r="H45" s="144"/>
      <c r="I45" s="144"/>
      <c r="J45" s="144"/>
      <c r="K45" s="21"/>
      <c r="P45" s="4"/>
      <c r="Q45" s="4"/>
      <c r="R45" s="5"/>
    </row>
    <row r="46" spans="1:18" ht="15.75" x14ac:dyDescent="0.25">
      <c r="A46" s="120"/>
      <c r="B46" s="49" t="s">
        <v>69</v>
      </c>
      <c r="C46" s="81"/>
      <c r="D46" s="12">
        <f>C46*1.5</f>
        <v>0</v>
      </c>
      <c r="F46" s="37"/>
      <c r="G46" s="62"/>
      <c r="H46" s="145"/>
      <c r="I46" s="145"/>
      <c r="J46" s="145"/>
      <c r="K46" s="21"/>
      <c r="P46" s="4"/>
      <c r="Q46" s="4"/>
      <c r="R46" s="5"/>
    </row>
    <row r="47" spans="1:18" ht="15.75" x14ac:dyDescent="0.25">
      <c r="A47" s="121"/>
      <c r="B47" s="27"/>
      <c r="C47" s="11"/>
      <c r="D47" s="12"/>
      <c r="F47" s="59"/>
      <c r="G47" s="59"/>
      <c r="H47" s="122"/>
      <c r="I47" s="123"/>
      <c r="J47" s="124"/>
      <c r="K47" s="21"/>
      <c r="P47" s="4"/>
      <c r="Q47" s="4"/>
      <c r="R47" s="5"/>
    </row>
    <row r="48" spans="1:18" ht="15" customHeight="1" x14ac:dyDescent="0.25">
      <c r="A48" s="119" t="s">
        <v>32</v>
      </c>
      <c r="B48" s="27" t="s">
        <v>65</v>
      </c>
      <c r="C48" s="10"/>
      <c r="D48" s="12">
        <f>C48*78</f>
        <v>0</v>
      </c>
      <c r="F48" s="59"/>
      <c r="G48" s="59"/>
      <c r="H48" s="122"/>
      <c r="I48" s="123"/>
      <c r="J48" s="124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20"/>
      <c r="B49" s="29" t="s">
        <v>67</v>
      </c>
      <c r="C49" s="33"/>
      <c r="D49" s="12">
        <f>C49*42</f>
        <v>0</v>
      </c>
      <c r="F49" s="125" t="s">
        <v>85</v>
      </c>
      <c r="G49" s="127">
        <f>H34+H35+H36+H37+H38+H39+H40+H41+G42+H44+H45+H46</f>
        <v>0</v>
      </c>
      <c r="H49" s="128"/>
      <c r="I49" s="128"/>
      <c r="J49" s="129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0"/>
      <c r="B50" s="32" t="s">
        <v>69</v>
      </c>
      <c r="C50" s="11"/>
      <c r="D50" s="12">
        <f>C50*1.5</f>
        <v>0</v>
      </c>
      <c r="F50" s="126"/>
      <c r="G50" s="130"/>
      <c r="H50" s="131"/>
      <c r="I50" s="131"/>
      <c r="J50" s="132"/>
      <c r="P50" s="4"/>
      <c r="Q50" s="4"/>
      <c r="R50" s="5"/>
    </row>
    <row r="51" spans="1:18" ht="15" customHeight="1" x14ac:dyDescent="0.25">
      <c r="A51" s="120"/>
      <c r="B51" s="27"/>
      <c r="C51" s="10"/>
      <c r="D51" s="31"/>
      <c r="F51" s="133" t="s">
        <v>106</v>
      </c>
      <c r="G51" s="135">
        <f>G49-H29</f>
        <v>0</v>
      </c>
      <c r="H51" s="136"/>
      <c r="I51" s="136"/>
      <c r="J51" s="137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0"/>
      <c r="B52" s="29"/>
      <c r="C52" s="33"/>
      <c r="D52" s="45"/>
      <c r="F52" s="134"/>
      <c r="G52" s="138"/>
      <c r="H52" s="139"/>
      <c r="I52" s="139"/>
      <c r="J52" s="140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1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05" t="s">
        <v>89</v>
      </c>
      <c r="B54" s="106"/>
      <c r="C54" s="107"/>
      <c r="D54" s="111">
        <f>SUM(D34:D53)</f>
        <v>0</v>
      </c>
      <c r="F54" s="21"/>
      <c r="J54" s="34"/>
    </row>
    <row r="55" spans="1:18" x14ac:dyDescent="0.25">
      <c r="A55" s="108"/>
      <c r="B55" s="109"/>
      <c r="C55" s="110"/>
      <c r="D55" s="11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13" t="s">
        <v>90</v>
      </c>
      <c r="B58" s="114"/>
      <c r="C58" s="114"/>
      <c r="D58" s="115"/>
      <c r="F58" s="113" t="s">
        <v>91</v>
      </c>
      <c r="G58" s="114"/>
      <c r="H58" s="114"/>
      <c r="I58" s="114"/>
      <c r="J58" s="115"/>
    </row>
    <row r="59" spans="1:18" x14ac:dyDescent="0.25">
      <c r="A59" s="116"/>
      <c r="B59" s="117"/>
      <c r="C59" s="117"/>
      <c r="D59" s="118"/>
      <c r="F59" s="116"/>
      <c r="G59" s="117"/>
      <c r="H59" s="117"/>
      <c r="I59" s="117"/>
      <c r="J59" s="118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2A3FC7-0F6E-4AC9-A9C6-D0E38BB04098}">
  <dimension ref="A1:R59"/>
  <sheetViews>
    <sheetView topLeftCell="A10" zoomScaleNormal="100" zoomScaleSheetLayoutView="85" workbookViewId="0">
      <selection activeCell="K55" sqref="K5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1" t="s">
        <v>1</v>
      </c>
      <c r="O1" s="201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2" t="s">
        <v>7</v>
      </c>
      <c r="B4" s="153"/>
      <c r="C4" s="153"/>
      <c r="D4" s="154"/>
      <c r="F4" s="202" t="s">
        <v>8</v>
      </c>
      <c r="G4" s="204">
        <v>1</v>
      </c>
      <c r="H4" s="206" t="s">
        <v>9</v>
      </c>
      <c r="I4" s="208">
        <v>46161</v>
      </c>
      <c r="J4" s="20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6" t="s">
        <v>7</v>
      </c>
      <c r="B5" s="15" t="s">
        <v>11</v>
      </c>
      <c r="C5" s="9" t="s">
        <v>12</v>
      </c>
      <c r="D5" s="25" t="s">
        <v>13</v>
      </c>
      <c r="F5" s="203"/>
      <c r="G5" s="205"/>
      <c r="H5" s="207"/>
      <c r="I5" s="210"/>
      <c r="J5" s="21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7"/>
      <c r="B6" s="16" t="s">
        <v>15</v>
      </c>
      <c r="C6" s="10">
        <v>421</v>
      </c>
      <c r="D6" s="13">
        <f t="shared" ref="D6:D28" si="1">C6*L6</f>
        <v>320381</v>
      </c>
      <c r="F6" s="212" t="s">
        <v>16</v>
      </c>
      <c r="G6" s="214" t="s">
        <v>99</v>
      </c>
      <c r="H6" s="215"/>
      <c r="I6" s="215"/>
      <c r="J6" s="21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7"/>
      <c r="B7" s="16" t="s">
        <v>18</v>
      </c>
      <c r="C7" s="10">
        <v>7</v>
      </c>
      <c r="D7" s="13">
        <f t="shared" si="1"/>
        <v>5467</v>
      </c>
      <c r="F7" s="213"/>
      <c r="G7" s="217"/>
      <c r="H7" s="218"/>
      <c r="I7" s="218"/>
      <c r="J7" s="21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7"/>
      <c r="B8" s="16" t="s">
        <v>20</v>
      </c>
      <c r="C8" s="10"/>
      <c r="D8" s="13">
        <f t="shared" si="1"/>
        <v>0</v>
      </c>
      <c r="F8" s="220" t="s">
        <v>21</v>
      </c>
      <c r="G8" s="221" t="s">
        <v>120</v>
      </c>
      <c r="H8" s="222"/>
      <c r="I8" s="222"/>
      <c r="J8" s="22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7"/>
      <c r="B9" s="16" t="s">
        <v>23</v>
      </c>
      <c r="C9" s="10">
        <v>116</v>
      </c>
      <c r="D9" s="13">
        <f t="shared" si="1"/>
        <v>85028</v>
      </c>
      <c r="F9" s="213"/>
      <c r="G9" s="224"/>
      <c r="H9" s="225"/>
      <c r="I9" s="225"/>
      <c r="J9" s="22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7"/>
      <c r="B10" t="s">
        <v>25</v>
      </c>
      <c r="C10" s="10">
        <v>10</v>
      </c>
      <c r="D10" s="13">
        <f t="shared" si="1"/>
        <v>10320</v>
      </c>
      <c r="F10" s="212" t="s">
        <v>26</v>
      </c>
      <c r="G10" s="227" t="s">
        <v>108</v>
      </c>
      <c r="H10" s="228"/>
      <c r="I10" s="228"/>
      <c r="J10" s="229"/>
      <c r="K10" s="8"/>
      <c r="L10" s="6">
        <f>R36</f>
        <v>1032</v>
      </c>
      <c r="P10" s="4"/>
      <c r="Q10" s="4"/>
      <c r="R10" s="5"/>
    </row>
    <row r="11" spans="1:18" ht="15.75" x14ac:dyDescent="0.25">
      <c r="A11" s="147"/>
      <c r="B11" s="17" t="s">
        <v>28</v>
      </c>
      <c r="C11" s="10">
        <v>5</v>
      </c>
      <c r="D11" s="13">
        <f t="shared" si="1"/>
        <v>5850</v>
      </c>
      <c r="F11" s="213"/>
      <c r="G11" s="224"/>
      <c r="H11" s="225"/>
      <c r="I11" s="225"/>
      <c r="J11" s="22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7"/>
      <c r="B12" s="17" t="s">
        <v>30</v>
      </c>
      <c r="C12" s="10">
        <v>10</v>
      </c>
      <c r="D12" s="48">
        <f t="shared" si="1"/>
        <v>9920</v>
      </c>
      <c r="F12" s="230" t="s">
        <v>33</v>
      </c>
      <c r="G12" s="231"/>
      <c r="H12" s="231"/>
      <c r="I12" s="231"/>
      <c r="J12" s="23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7"/>
      <c r="B13" s="17" t="s">
        <v>32</v>
      </c>
      <c r="C13" s="10">
        <v>19</v>
      </c>
      <c r="D13" s="48">
        <f t="shared" si="1"/>
        <v>5833</v>
      </c>
      <c r="F13" s="233" t="s">
        <v>36</v>
      </c>
      <c r="G13" s="197"/>
      <c r="H13" s="188">
        <f>D29</f>
        <v>442799</v>
      </c>
      <c r="I13" s="189"/>
      <c r="J13" s="19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7"/>
      <c r="B14" s="14" t="s">
        <v>35</v>
      </c>
      <c r="C14" s="10"/>
      <c r="D14" s="31">
        <f t="shared" si="1"/>
        <v>0</v>
      </c>
      <c r="F14" s="191" t="s">
        <v>38</v>
      </c>
      <c r="G14" s="192"/>
      <c r="H14" s="193">
        <f>D54</f>
        <v>70551</v>
      </c>
      <c r="I14" s="194"/>
      <c r="J14" s="19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7"/>
      <c r="B15" s="14" t="s">
        <v>122</v>
      </c>
      <c r="C15" s="10"/>
      <c r="D15" s="31">
        <f t="shared" si="1"/>
        <v>0</v>
      </c>
      <c r="F15" s="196" t="s">
        <v>39</v>
      </c>
      <c r="G15" s="197"/>
      <c r="H15" s="198">
        <f>H13-H14</f>
        <v>372248</v>
      </c>
      <c r="I15" s="199"/>
      <c r="J15" s="200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7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58">
        <v>2742</v>
      </c>
      <c r="I16" s="158"/>
      <c r="J16" s="158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7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69"/>
      <c r="I17" s="169"/>
      <c r="J17" s="169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7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69"/>
      <c r="I18" s="169"/>
      <c r="J18" s="169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7"/>
      <c r="B19" s="83" t="s">
        <v>105</v>
      </c>
      <c r="C19" s="10"/>
      <c r="D19" s="48">
        <f t="shared" si="1"/>
        <v>0</v>
      </c>
      <c r="F19" s="56"/>
      <c r="G19" s="68" t="s">
        <v>49</v>
      </c>
      <c r="H19" s="158"/>
      <c r="I19" s="158"/>
      <c r="J19" s="158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7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58"/>
      <c r="I20" s="158"/>
      <c r="J20" s="158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7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71" t="s">
        <v>13</v>
      </c>
      <c r="I21" s="172"/>
      <c r="J21" s="173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7"/>
      <c r="B22" s="46" t="s">
        <v>103</v>
      </c>
      <c r="C22" s="10"/>
      <c r="D22" s="48">
        <f t="shared" si="1"/>
        <v>0</v>
      </c>
      <c r="F22" s="77"/>
      <c r="G22" s="73"/>
      <c r="H22" s="174"/>
      <c r="I22" s="174"/>
      <c r="J22" s="174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7"/>
      <c r="B23" s="14" t="s">
        <v>121</v>
      </c>
      <c r="C23" s="10"/>
      <c r="D23" s="48">
        <f t="shared" si="1"/>
        <v>0</v>
      </c>
      <c r="F23" s="77"/>
      <c r="G23" s="79"/>
      <c r="H23" s="242"/>
      <c r="I23" s="243"/>
      <c r="J23" s="243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7"/>
      <c r="B24" s="14" t="s">
        <v>128</v>
      </c>
      <c r="C24" s="10"/>
      <c r="D24" s="48">
        <f t="shared" si="1"/>
        <v>0</v>
      </c>
      <c r="F24" s="77"/>
      <c r="G24" s="79"/>
      <c r="H24" s="242"/>
      <c r="I24" s="243"/>
      <c r="J24" s="243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7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76" t="s">
        <v>13</v>
      </c>
      <c r="I25" s="177"/>
      <c r="J25" s="178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7"/>
      <c r="B26" s="14" t="s">
        <v>129</v>
      </c>
      <c r="C26" s="10"/>
      <c r="D26" s="48">
        <f t="shared" si="1"/>
        <v>0</v>
      </c>
      <c r="F26" s="75"/>
      <c r="G26" s="65"/>
      <c r="H26" s="144"/>
      <c r="I26" s="144"/>
      <c r="J26" s="144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7"/>
      <c r="B27" s="14" t="s">
        <v>130</v>
      </c>
      <c r="C27" s="10"/>
      <c r="D27" s="44">
        <f t="shared" si="1"/>
        <v>0</v>
      </c>
      <c r="F27" s="71"/>
      <c r="G27" s="88"/>
      <c r="H27" s="244"/>
      <c r="I27" s="245"/>
      <c r="J27" s="245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8"/>
      <c r="B28" s="46" t="s">
        <v>92</v>
      </c>
      <c r="C28" s="10"/>
      <c r="D28" s="48">
        <f t="shared" si="1"/>
        <v>0</v>
      </c>
      <c r="F28" s="91"/>
      <c r="G28" s="61"/>
      <c r="H28" s="185"/>
      <c r="I28" s="186"/>
      <c r="J28" s="187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9" t="s">
        <v>36</v>
      </c>
      <c r="B29" s="160"/>
      <c r="C29" s="161"/>
      <c r="D29" s="165">
        <f>SUM(D6:D28)</f>
        <v>442799</v>
      </c>
      <c r="F29" s="105" t="s">
        <v>54</v>
      </c>
      <c r="G29" s="167"/>
      <c r="H29" s="127">
        <f>H15-H16-H17-H18-H19-H20-H22-H23-H24+H26+H27+H28</f>
        <v>369506</v>
      </c>
      <c r="I29" s="128"/>
      <c r="J29" s="129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08"/>
      <c r="G30" s="168"/>
      <c r="H30" s="130"/>
      <c r="I30" s="131"/>
      <c r="J30" s="132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2" t="s">
        <v>57</v>
      </c>
      <c r="B32" s="153"/>
      <c r="C32" s="153"/>
      <c r="D32" s="154"/>
      <c r="F32" s="155" t="s">
        <v>58</v>
      </c>
      <c r="G32" s="156"/>
      <c r="H32" s="156"/>
      <c r="I32" s="156"/>
      <c r="J32" s="157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2" t="s">
        <v>62</v>
      </c>
      <c r="H33" s="155" t="s">
        <v>13</v>
      </c>
      <c r="I33" s="156"/>
      <c r="J33" s="157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6" t="s">
        <v>64</v>
      </c>
      <c r="B34" s="26" t="s">
        <v>65</v>
      </c>
      <c r="C34" s="51">
        <v>8</v>
      </c>
      <c r="D34" s="30">
        <f>C34*120</f>
        <v>960</v>
      </c>
      <c r="F34" s="12">
        <v>1000</v>
      </c>
      <c r="G34" s="40">
        <v>68</v>
      </c>
      <c r="H34" s="149">
        <f t="shared" ref="H34:H39" si="2">F34*G34</f>
        <v>68000</v>
      </c>
      <c r="I34" s="150"/>
      <c r="J34" s="151"/>
      <c r="L34">
        <f>68-84</f>
        <v>-16</v>
      </c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7"/>
      <c r="B35" s="27" t="s">
        <v>67</v>
      </c>
      <c r="C35" s="52"/>
      <c r="D35" s="30">
        <f>C35*84</f>
        <v>0</v>
      </c>
      <c r="F35" s="58">
        <v>500</v>
      </c>
      <c r="G35" s="41">
        <v>10</v>
      </c>
      <c r="H35" s="149">
        <f t="shared" si="2"/>
        <v>5000</v>
      </c>
      <c r="I35" s="150"/>
      <c r="J35" s="151"/>
      <c r="L35">
        <f>78-10</f>
        <v>68</v>
      </c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8"/>
      <c r="B36" s="26" t="s">
        <v>69</v>
      </c>
      <c r="C36" s="10">
        <v>11</v>
      </c>
      <c r="D36" s="12">
        <f>C36*1.5</f>
        <v>16.5</v>
      </c>
      <c r="F36" s="12">
        <v>200</v>
      </c>
      <c r="G36" s="37"/>
      <c r="H36" s="149">
        <f t="shared" si="2"/>
        <v>0</v>
      </c>
      <c r="I36" s="150"/>
      <c r="J36" s="151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6" t="s">
        <v>71</v>
      </c>
      <c r="B37" s="28" t="s">
        <v>65</v>
      </c>
      <c r="C37" s="53">
        <v>561</v>
      </c>
      <c r="D37" s="12">
        <f>C37*111</f>
        <v>62271</v>
      </c>
      <c r="F37" s="12">
        <v>100</v>
      </c>
      <c r="G37" s="39">
        <v>6</v>
      </c>
      <c r="H37" s="149">
        <f t="shared" si="2"/>
        <v>600</v>
      </c>
      <c r="I37" s="150"/>
      <c r="J37" s="151"/>
      <c r="L37">
        <f>34-6</f>
        <v>28</v>
      </c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7"/>
      <c r="B38" s="29" t="s">
        <v>67</v>
      </c>
      <c r="C38" s="54">
        <v>31</v>
      </c>
      <c r="D38" s="12">
        <f>C38*84</f>
        <v>2604</v>
      </c>
      <c r="F38" s="30">
        <v>50</v>
      </c>
      <c r="G38" s="39">
        <v>1</v>
      </c>
      <c r="H38" s="149">
        <f t="shared" si="2"/>
        <v>50</v>
      </c>
      <c r="I38" s="150"/>
      <c r="J38" s="151"/>
      <c r="L38">
        <f>2-1</f>
        <v>1</v>
      </c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8"/>
      <c r="B39" s="29" t="s">
        <v>69</v>
      </c>
      <c r="C39" s="52">
        <v>4</v>
      </c>
      <c r="D39" s="31">
        <f>C39*4.5</f>
        <v>18</v>
      </c>
      <c r="F39" s="12">
        <v>20</v>
      </c>
      <c r="G39" s="37"/>
      <c r="H39" s="149">
        <f t="shared" si="2"/>
        <v>0</v>
      </c>
      <c r="I39" s="150"/>
      <c r="J39" s="15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6" t="s">
        <v>75</v>
      </c>
      <c r="B40" s="27" t="s">
        <v>65</v>
      </c>
      <c r="C40" s="63">
        <v>13</v>
      </c>
      <c r="D40" s="12">
        <f>C40*111</f>
        <v>1443</v>
      </c>
      <c r="F40" s="12">
        <v>10</v>
      </c>
      <c r="G40" s="42"/>
      <c r="H40" s="149"/>
      <c r="I40" s="150"/>
      <c r="J40" s="151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7"/>
      <c r="B41" s="27" t="s">
        <v>67</v>
      </c>
      <c r="C41" s="10">
        <v>1</v>
      </c>
      <c r="D41" s="12">
        <f>C41*84</f>
        <v>84</v>
      </c>
      <c r="F41" s="12">
        <v>5</v>
      </c>
      <c r="G41" s="42"/>
      <c r="H41" s="149"/>
      <c r="I41" s="150"/>
      <c r="J41" s="151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8"/>
      <c r="B42" s="27" t="s">
        <v>69</v>
      </c>
      <c r="C42" s="11">
        <v>8</v>
      </c>
      <c r="D42" s="12">
        <f>C42*2.25</f>
        <v>18</v>
      </c>
      <c r="F42" s="39" t="s">
        <v>78</v>
      </c>
      <c r="G42" s="149">
        <v>47</v>
      </c>
      <c r="H42" s="150"/>
      <c r="I42" s="150"/>
      <c r="J42" s="151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19" t="s">
        <v>80</v>
      </c>
      <c r="C43" s="11"/>
      <c r="D43" s="12"/>
      <c r="F43" s="59" t="s">
        <v>81</v>
      </c>
      <c r="G43" s="88" t="s">
        <v>82</v>
      </c>
      <c r="H43" s="141" t="s">
        <v>13</v>
      </c>
      <c r="I43" s="142"/>
      <c r="J43" s="143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20"/>
      <c r="B44" s="27" t="s">
        <v>65</v>
      </c>
      <c r="C44" s="10">
        <v>10</v>
      </c>
      <c r="D44" s="12">
        <f>C44*120</f>
        <v>1200</v>
      </c>
      <c r="F44" s="37" t="s">
        <v>132</v>
      </c>
      <c r="G44" s="62" t="s">
        <v>192</v>
      </c>
      <c r="H44" s="144">
        <v>303821</v>
      </c>
      <c r="I44" s="144"/>
      <c r="J44" s="144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20"/>
      <c r="B45" s="27" t="s">
        <v>67</v>
      </c>
      <c r="C45" s="33"/>
      <c r="D45" s="12">
        <f>C45*84</f>
        <v>0</v>
      </c>
      <c r="F45" s="37"/>
      <c r="G45" s="62"/>
      <c r="H45" s="144"/>
      <c r="I45" s="144"/>
      <c r="J45" s="144"/>
      <c r="K45" s="21"/>
      <c r="P45" s="4"/>
      <c r="Q45" s="4"/>
      <c r="R45" s="5"/>
    </row>
    <row r="46" spans="1:18" ht="15.75" x14ac:dyDescent="0.25">
      <c r="A46" s="120"/>
      <c r="B46" s="49" t="s">
        <v>69</v>
      </c>
      <c r="C46" s="81"/>
      <c r="D46" s="12">
        <f>C46*1.5</f>
        <v>0</v>
      </c>
      <c r="F46" s="37"/>
      <c r="G46" s="62"/>
      <c r="H46" s="144"/>
      <c r="I46" s="144"/>
      <c r="J46" s="144"/>
      <c r="K46" s="21"/>
      <c r="P46" s="4"/>
      <c r="Q46" s="4"/>
      <c r="R46" s="5"/>
    </row>
    <row r="47" spans="1:18" ht="15.75" x14ac:dyDescent="0.25">
      <c r="A47" s="121"/>
      <c r="B47" s="27"/>
      <c r="C47" s="11"/>
      <c r="D47" s="12"/>
      <c r="F47" s="59"/>
      <c r="G47" s="59"/>
      <c r="H47" s="122"/>
      <c r="I47" s="123"/>
      <c r="J47" s="124"/>
      <c r="K47" s="21"/>
      <c r="P47" s="4"/>
      <c r="Q47" s="4"/>
      <c r="R47" s="5"/>
    </row>
    <row r="48" spans="1:18" ht="15" customHeight="1" x14ac:dyDescent="0.25">
      <c r="A48" s="119" t="s">
        <v>32</v>
      </c>
      <c r="B48" s="27" t="s">
        <v>65</v>
      </c>
      <c r="C48" s="10">
        <v>10</v>
      </c>
      <c r="D48" s="12">
        <f>C48*78</f>
        <v>780</v>
      </c>
      <c r="F48" s="59"/>
      <c r="G48" s="59"/>
      <c r="H48" s="122"/>
      <c r="I48" s="123"/>
      <c r="J48" s="124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20"/>
      <c r="B49" s="29" t="s">
        <v>67</v>
      </c>
      <c r="C49" s="33">
        <v>27</v>
      </c>
      <c r="D49" s="12">
        <f>C49*42</f>
        <v>1134</v>
      </c>
      <c r="F49" s="125" t="s">
        <v>85</v>
      </c>
      <c r="G49" s="127">
        <f>H34+H35+H36+H37+H38+H39+H40+H41+G42+H44+H45+H46</f>
        <v>377518</v>
      </c>
      <c r="H49" s="128"/>
      <c r="I49" s="128"/>
      <c r="J49" s="129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0"/>
      <c r="B50" s="32" t="s">
        <v>69</v>
      </c>
      <c r="C50" s="11">
        <v>15</v>
      </c>
      <c r="D50" s="12">
        <f>C50*1.5</f>
        <v>22.5</v>
      </c>
      <c r="F50" s="126"/>
      <c r="G50" s="130"/>
      <c r="H50" s="131"/>
      <c r="I50" s="131"/>
      <c r="J50" s="132"/>
      <c r="O50" t="s">
        <v>114</v>
      </c>
      <c r="P50" s="4">
        <v>1204</v>
      </c>
      <c r="Q50" s="4"/>
      <c r="R50" s="5"/>
    </row>
    <row r="51" spans="1:18" ht="15" customHeight="1" x14ac:dyDescent="0.25">
      <c r="A51" s="120"/>
      <c r="B51" s="27"/>
      <c r="C51" s="10"/>
      <c r="D51" s="31"/>
      <c r="F51" s="133" t="s">
        <v>173</v>
      </c>
      <c r="G51" s="236">
        <f>G49-H29</f>
        <v>8012</v>
      </c>
      <c r="H51" s="237"/>
      <c r="I51" s="237"/>
      <c r="J51" s="238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20"/>
      <c r="B52" s="29"/>
      <c r="C52" s="33"/>
      <c r="D52" s="45"/>
      <c r="F52" s="134"/>
      <c r="G52" s="239"/>
      <c r="H52" s="240"/>
      <c r="I52" s="240"/>
      <c r="J52" s="241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1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05" t="s">
        <v>89</v>
      </c>
      <c r="B54" s="106"/>
      <c r="C54" s="107"/>
      <c r="D54" s="111">
        <f>SUM(D34:D53)</f>
        <v>70551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08"/>
      <c r="B55" s="109"/>
      <c r="C55" s="110"/>
      <c r="D55" s="11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113" t="s">
        <v>90</v>
      </c>
      <c r="B58" s="114"/>
      <c r="C58" s="114"/>
      <c r="D58" s="115"/>
      <c r="F58" s="113" t="s">
        <v>91</v>
      </c>
      <c r="G58" s="114"/>
      <c r="H58" s="114"/>
      <c r="I58" s="114"/>
      <c r="J58" s="115"/>
    </row>
    <row r="59" spans="1:18" x14ac:dyDescent="0.25">
      <c r="A59" s="116"/>
      <c r="B59" s="117"/>
      <c r="C59" s="117"/>
      <c r="D59" s="118"/>
      <c r="F59" s="116"/>
      <c r="G59" s="117"/>
      <c r="H59" s="117"/>
      <c r="I59" s="117"/>
      <c r="J59" s="118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296D4F-D3D4-45E8-8514-09CDF870DC4A}">
  <dimension ref="A1:R59"/>
  <sheetViews>
    <sheetView topLeftCell="A22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1" t="s">
        <v>1</v>
      </c>
      <c r="O1" s="201"/>
      <c r="P1" s="102" t="s">
        <v>2</v>
      </c>
      <c r="Q1" s="10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2" t="s">
        <v>7</v>
      </c>
      <c r="B4" s="153"/>
      <c r="C4" s="153"/>
      <c r="D4" s="154"/>
      <c r="F4" s="202" t="s">
        <v>8</v>
      </c>
      <c r="G4" s="204">
        <v>1</v>
      </c>
      <c r="H4" s="206" t="s">
        <v>9</v>
      </c>
      <c r="I4" s="208">
        <v>46161</v>
      </c>
      <c r="J4" s="20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6" t="s">
        <v>7</v>
      </c>
      <c r="B5" s="15" t="s">
        <v>11</v>
      </c>
      <c r="C5" s="9" t="s">
        <v>12</v>
      </c>
      <c r="D5" s="25" t="s">
        <v>13</v>
      </c>
      <c r="F5" s="203"/>
      <c r="G5" s="205"/>
      <c r="H5" s="207"/>
      <c r="I5" s="210"/>
      <c r="J5" s="21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7"/>
      <c r="B6" s="16" t="s">
        <v>15</v>
      </c>
      <c r="C6" s="10">
        <v>421</v>
      </c>
      <c r="D6" s="13">
        <f t="shared" ref="D6:D28" si="1">C6*L6</f>
        <v>320381</v>
      </c>
      <c r="F6" s="212" t="s">
        <v>16</v>
      </c>
      <c r="G6" s="214" t="s">
        <v>99</v>
      </c>
      <c r="H6" s="215"/>
      <c r="I6" s="215"/>
      <c r="J6" s="21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7"/>
      <c r="B7" s="16" t="s">
        <v>18</v>
      </c>
      <c r="C7" s="10">
        <v>7</v>
      </c>
      <c r="D7" s="13">
        <f t="shared" si="1"/>
        <v>5467</v>
      </c>
      <c r="F7" s="213"/>
      <c r="G7" s="217"/>
      <c r="H7" s="218"/>
      <c r="I7" s="218"/>
      <c r="J7" s="21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7"/>
      <c r="B8" s="16" t="s">
        <v>20</v>
      </c>
      <c r="C8" s="10"/>
      <c r="D8" s="13">
        <f t="shared" si="1"/>
        <v>0</v>
      </c>
      <c r="F8" s="220" t="s">
        <v>21</v>
      </c>
      <c r="G8" s="221" t="s">
        <v>120</v>
      </c>
      <c r="H8" s="222"/>
      <c r="I8" s="222"/>
      <c r="J8" s="22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7"/>
      <c r="B9" s="16" t="s">
        <v>23</v>
      </c>
      <c r="C9" s="10">
        <v>116</v>
      </c>
      <c r="D9" s="13">
        <f t="shared" si="1"/>
        <v>85028</v>
      </c>
      <c r="F9" s="213"/>
      <c r="G9" s="224"/>
      <c r="H9" s="225"/>
      <c r="I9" s="225"/>
      <c r="J9" s="22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7"/>
      <c r="B10" t="s">
        <v>25</v>
      </c>
      <c r="C10" s="10">
        <v>10</v>
      </c>
      <c r="D10" s="13">
        <f t="shared" si="1"/>
        <v>10320</v>
      </c>
      <c r="F10" s="212" t="s">
        <v>26</v>
      </c>
      <c r="G10" s="227" t="s">
        <v>108</v>
      </c>
      <c r="H10" s="228"/>
      <c r="I10" s="228"/>
      <c r="J10" s="229"/>
      <c r="K10" s="8"/>
      <c r="L10" s="6">
        <f>R36</f>
        <v>1032</v>
      </c>
      <c r="P10" s="4"/>
      <c r="Q10" s="4"/>
      <c r="R10" s="5"/>
    </row>
    <row r="11" spans="1:18" ht="15.75" x14ac:dyDescent="0.25">
      <c r="A11" s="147"/>
      <c r="B11" s="17" t="s">
        <v>28</v>
      </c>
      <c r="C11" s="10">
        <v>5</v>
      </c>
      <c r="D11" s="13">
        <f t="shared" si="1"/>
        <v>5850</v>
      </c>
      <c r="F11" s="213"/>
      <c r="G11" s="224"/>
      <c r="H11" s="225"/>
      <c r="I11" s="225"/>
      <c r="J11" s="22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7"/>
      <c r="B12" s="17" t="s">
        <v>30</v>
      </c>
      <c r="C12" s="10">
        <v>10</v>
      </c>
      <c r="D12" s="48">
        <f t="shared" si="1"/>
        <v>9920</v>
      </c>
      <c r="F12" s="230" t="s">
        <v>33</v>
      </c>
      <c r="G12" s="231"/>
      <c r="H12" s="231"/>
      <c r="I12" s="231"/>
      <c r="J12" s="23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7"/>
      <c r="B13" s="17" t="s">
        <v>32</v>
      </c>
      <c r="C13" s="10">
        <v>19</v>
      </c>
      <c r="D13" s="48">
        <f t="shared" si="1"/>
        <v>5833</v>
      </c>
      <c r="F13" s="233" t="s">
        <v>36</v>
      </c>
      <c r="G13" s="197"/>
      <c r="H13" s="188">
        <f>D29</f>
        <v>442799</v>
      </c>
      <c r="I13" s="189"/>
      <c r="J13" s="19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7"/>
      <c r="B14" s="14" t="s">
        <v>35</v>
      </c>
      <c r="C14" s="10"/>
      <c r="D14" s="31">
        <f t="shared" si="1"/>
        <v>0</v>
      </c>
      <c r="F14" s="191" t="s">
        <v>38</v>
      </c>
      <c r="G14" s="192"/>
      <c r="H14" s="193">
        <f>D54</f>
        <v>61281</v>
      </c>
      <c r="I14" s="194"/>
      <c r="J14" s="19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7"/>
      <c r="B15" s="14" t="s">
        <v>122</v>
      </c>
      <c r="C15" s="10"/>
      <c r="D15" s="31">
        <f t="shared" si="1"/>
        <v>0</v>
      </c>
      <c r="F15" s="196" t="s">
        <v>39</v>
      </c>
      <c r="G15" s="197"/>
      <c r="H15" s="198">
        <f>H13-H14</f>
        <v>381518</v>
      </c>
      <c r="I15" s="199"/>
      <c r="J15" s="200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7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58">
        <v>2742</v>
      </c>
      <c r="I16" s="158"/>
      <c r="J16" s="158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7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69"/>
      <c r="I17" s="169"/>
      <c r="J17" s="169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7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69"/>
      <c r="I18" s="169"/>
      <c r="J18" s="169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7"/>
      <c r="B19" s="83" t="s">
        <v>105</v>
      </c>
      <c r="C19" s="10"/>
      <c r="D19" s="48">
        <f t="shared" si="1"/>
        <v>0</v>
      </c>
      <c r="F19" s="56"/>
      <c r="G19" s="68" t="s">
        <v>49</v>
      </c>
      <c r="H19" s="158"/>
      <c r="I19" s="158"/>
      <c r="J19" s="158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7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58"/>
      <c r="I20" s="158"/>
      <c r="J20" s="158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7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71" t="s">
        <v>13</v>
      </c>
      <c r="I21" s="172"/>
      <c r="J21" s="173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7"/>
      <c r="B22" s="46" t="s">
        <v>103</v>
      </c>
      <c r="C22" s="10"/>
      <c r="D22" s="48">
        <f t="shared" si="1"/>
        <v>0</v>
      </c>
      <c r="F22" s="77"/>
      <c r="G22" s="73"/>
      <c r="H22" s="174"/>
      <c r="I22" s="174"/>
      <c r="J22" s="174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7"/>
      <c r="B23" s="14" t="s">
        <v>121</v>
      </c>
      <c r="C23" s="10"/>
      <c r="D23" s="48">
        <f t="shared" si="1"/>
        <v>0</v>
      </c>
      <c r="F23" s="77"/>
      <c r="G23" s="79"/>
      <c r="H23" s="242"/>
      <c r="I23" s="243"/>
      <c r="J23" s="243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7"/>
      <c r="B24" s="14" t="s">
        <v>128</v>
      </c>
      <c r="C24" s="10"/>
      <c r="D24" s="48">
        <f t="shared" si="1"/>
        <v>0</v>
      </c>
      <c r="F24" s="77"/>
      <c r="G24" s="79"/>
      <c r="H24" s="242"/>
      <c r="I24" s="243"/>
      <c r="J24" s="243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7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76" t="s">
        <v>13</v>
      </c>
      <c r="I25" s="177"/>
      <c r="J25" s="178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7"/>
      <c r="B26" s="14" t="s">
        <v>129</v>
      </c>
      <c r="C26" s="10"/>
      <c r="D26" s="48">
        <f t="shared" si="1"/>
        <v>0</v>
      </c>
      <c r="F26" s="75"/>
      <c r="G26" s="65"/>
      <c r="H26" s="144"/>
      <c r="I26" s="144"/>
      <c r="J26" s="144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7"/>
      <c r="B27" s="14" t="s">
        <v>130</v>
      </c>
      <c r="C27" s="10"/>
      <c r="D27" s="44">
        <f t="shared" si="1"/>
        <v>0</v>
      </c>
      <c r="F27" s="71"/>
      <c r="G27" s="101"/>
      <c r="H27" s="244"/>
      <c r="I27" s="245"/>
      <c r="J27" s="245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8"/>
      <c r="B28" s="46" t="s">
        <v>92</v>
      </c>
      <c r="C28" s="10"/>
      <c r="D28" s="48">
        <f t="shared" si="1"/>
        <v>0</v>
      </c>
      <c r="F28" s="103"/>
      <c r="G28" s="61"/>
      <c r="H28" s="185"/>
      <c r="I28" s="186"/>
      <c r="J28" s="187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9" t="s">
        <v>36</v>
      </c>
      <c r="B29" s="160"/>
      <c r="C29" s="161"/>
      <c r="D29" s="165">
        <f>SUM(D6:D28)</f>
        <v>442799</v>
      </c>
      <c r="F29" s="105" t="s">
        <v>54</v>
      </c>
      <c r="G29" s="167"/>
      <c r="H29" s="127">
        <f>H15-H16-H17-H18-H19-H20-H22-H23-H24+H26+H27+H28</f>
        <v>378776</v>
      </c>
      <c r="I29" s="128"/>
      <c r="J29" s="129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08"/>
      <c r="G30" s="168"/>
      <c r="H30" s="130"/>
      <c r="I30" s="131"/>
      <c r="J30" s="132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2" t="s">
        <v>57</v>
      </c>
      <c r="B32" s="153"/>
      <c r="C32" s="153"/>
      <c r="D32" s="154"/>
      <c r="F32" s="155" t="s">
        <v>58</v>
      </c>
      <c r="G32" s="156"/>
      <c r="H32" s="156"/>
      <c r="I32" s="156"/>
      <c r="J32" s="157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4" t="s">
        <v>62</v>
      </c>
      <c r="H33" s="155" t="s">
        <v>13</v>
      </c>
      <c r="I33" s="156"/>
      <c r="J33" s="157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6" t="s">
        <v>64</v>
      </c>
      <c r="B34" s="26" t="s">
        <v>65</v>
      </c>
      <c r="C34" s="51">
        <v>8</v>
      </c>
      <c r="D34" s="30">
        <f>C34*120</f>
        <v>960</v>
      </c>
      <c r="F34" s="12">
        <v>1000</v>
      </c>
      <c r="G34" s="40">
        <f>68</f>
        <v>68</v>
      </c>
      <c r="H34" s="149">
        <f t="shared" ref="H34:H39" si="2">F34*G34</f>
        <v>68000</v>
      </c>
      <c r="I34" s="150"/>
      <c r="J34" s="151"/>
      <c r="L34">
        <f>68-84</f>
        <v>-16</v>
      </c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7"/>
      <c r="B35" s="27" t="s">
        <v>67</v>
      </c>
      <c r="C35" s="52"/>
      <c r="D35" s="30">
        <f>C35*84</f>
        <v>0</v>
      </c>
      <c r="F35" s="58">
        <v>500</v>
      </c>
      <c r="G35" s="41">
        <f>10</f>
        <v>10</v>
      </c>
      <c r="H35" s="149">
        <f t="shared" si="2"/>
        <v>5000</v>
      </c>
      <c r="I35" s="150"/>
      <c r="J35" s="151"/>
      <c r="L35">
        <f>78-10</f>
        <v>68</v>
      </c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8"/>
      <c r="B36" s="26" t="s">
        <v>69</v>
      </c>
      <c r="C36" s="10">
        <v>11</v>
      </c>
      <c r="D36" s="12">
        <f>C36*1.5</f>
        <v>16.5</v>
      </c>
      <c r="F36" s="12">
        <v>200</v>
      </c>
      <c r="G36" s="37"/>
      <c r="H36" s="149">
        <f t="shared" si="2"/>
        <v>0</v>
      </c>
      <c r="I36" s="150"/>
      <c r="J36" s="151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6" t="s">
        <v>71</v>
      </c>
      <c r="B37" s="28" t="s">
        <v>65</v>
      </c>
      <c r="C37" s="53">
        <f>561-80</f>
        <v>481</v>
      </c>
      <c r="D37" s="12">
        <f>C37*111</f>
        <v>53391</v>
      </c>
      <c r="F37" s="12">
        <v>100</v>
      </c>
      <c r="G37" s="39">
        <f>6</f>
        <v>6</v>
      </c>
      <c r="H37" s="149">
        <f t="shared" si="2"/>
        <v>600</v>
      </c>
      <c r="I37" s="150"/>
      <c r="J37" s="151"/>
      <c r="L37">
        <f>34-6</f>
        <v>28</v>
      </c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7"/>
      <c r="B38" s="29" t="s">
        <v>67</v>
      </c>
      <c r="C38" s="54">
        <v>31</v>
      </c>
      <c r="D38" s="12">
        <f>C38*84</f>
        <v>2604</v>
      </c>
      <c r="F38" s="30">
        <v>50</v>
      </c>
      <c r="G38" s="39">
        <f>1</f>
        <v>1</v>
      </c>
      <c r="H38" s="149">
        <f t="shared" si="2"/>
        <v>50</v>
      </c>
      <c r="I38" s="150"/>
      <c r="J38" s="151"/>
      <c r="L38">
        <f>2-1</f>
        <v>1</v>
      </c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8"/>
      <c r="B39" s="29" t="s">
        <v>69</v>
      </c>
      <c r="C39" s="52">
        <v>4</v>
      </c>
      <c r="D39" s="31">
        <f>C39*4.5</f>
        <v>18</v>
      </c>
      <c r="F39" s="12">
        <v>20</v>
      </c>
      <c r="G39" s="37"/>
      <c r="H39" s="149">
        <f t="shared" si="2"/>
        <v>0</v>
      </c>
      <c r="I39" s="150"/>
      <c r="J39" s="15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6" t="s">
        <v>75</v>
      </c>
      <c r="B40" s="27" t="s">
        <v>65</v>
      </c>
      <c r="C40" s="63">
        <v>13</v>
      </c>
      <c r="D40" s="12">
        <f>C40*111</f>
        <v>1443</v>
      </c>
      <c r="F40" s="12">
        <v>10</v>
      </c>
      <c r="G40" s="42"/>
      <c r="H40" s="149"/>
      <c r="I40" s="150"/>
      <c r="J40" s="151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7"/>
      <c r="B41" s="27" t="s">
        <v>67</v>
      </c>
      <c r="C41" s="10">
        <v>1</v>
      </c>
      <c r="D41" s="12">
        <f>C41*84</f>
        <v>84</v>
      </c>
      <c r="F41" s="12">
        <v>5</v>
      </c>
      <c r="G41" s="42"/>
      <c r="H41" s="149"/>
      <c r="I41" s="150"/>
      <c r="J41" s="151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8"/>
      <c r="B42" s="27" t="s">
        <v>69</v>
      </c>
      <c r="C42" s="11">
        <v>8</v>
      </c>
      <c r="D42" s="12">
        <f>C42*2.25</f>
        <v>18</v>
      </c>
      <c r="F42" s="39" t="s">
        <v>78</v>
      </c>
      <c r="G42" s="149">
        <f>47</f>
        <v>47</v>
      </c>
      <c r="H42" s="150"/>
      <c r="I42" s="150"/>
      <c r="J42" s="151"/>
      <c r="K42" s="36"/>
      <c r="L42">
        <f>47-62</f>
        <v>-15</v>
      </c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19" t="s">
        <v>80</v>
      </c>
      <c r="C43" s="11"/>
      <c r="D43" s="12"/>
      <c r="F43" s="59" t="s">
        <v>81</v>
      </c>
      <c r="G43" s="101" t="s">
        <v>82</v>
      </c>
      <c r="H43" s="141" t="s">
        <v>13</v>
      </c>
      <c r="I43" s="142"/>
      <c r="J43" s="143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20"/>
      <c r="B44" s="27" t="s">
        <v>65</v>
      </c>
      <c r="C44" s="10">
        <v>10</v>
      </c>
      <c r="D44" s="12">
        <f>C44*120</f>
        <v>1200</v>
      </c>
      <c r="F44" s="37" t="s">
        <v>132</v>
      </c>
      <c r="G44" s="62" t="s">
        <v>192</v>
      </c>
      <c r="H44" s="144">
        <v>303821</v>
      </c>
      <c r="I44" s="144"/>
      <c r="J44" s="144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20"/>
      <c r="B45" s="27" t="s">
        <v>67</v>
      </c>
      <c r="C45" s="33"/>
      <c r="D45" s="12">
        <f>C45*84</f>
        <v>0</v>
      </c>
      <c r="F45" s="37"/>
      <c r="G45" s="62"/>
      <c r="H45" s="144"/>
      <c r="I45" s="144"/>
      <c r="J45" s="144"/>
      <c r="K45" s="21"/>
      <c r="P45" s="4"/>
      <c r="Q45" s="4"/>
      <c r="R45" s="5"/>
    </row>
    <row r="46" spans="1:18" ht="15.75" x14ac:dyDescent="0.25">
      <c r="A46" s="120"/>
      <c r="B46" s="49" t="s">
        <v>69</v>
      </c>
      <c r="C46" s="81"/>
      <c r="D46" s="12">
        <f>C46*1.5</f>
        <v>0</v>
      </c>
      <c r="F46" s="37"/>
      <c r="G46" s="62"/>
      <c r="H46" s="144"/>
      <c r="I46" s="144"/>
      <c r="J46" s="144"/>
      <c r="K46" s="21"/>
      <c r="P46" s="4"/>
      <c r="Q46" s="4"/>
      <c r="R46" s="5"/>
    </row>
    <row r="47" spans="1:18" ht="15.75" x14ac:dyDescent="0.25">
      <c r="A47" s="121"/>
      <c r="B47" s="27"/>
      <c r="C47" s="11"/>
      <c r="D47" s="12"/>
      <c r="F47" s="59"/>
      <c r="G47" s="59"/>
      <c r="H47" s="122"/>
      <c r="I47" s="123"/>
      <c r="J47" s="124"/>
      <c r="K47" s="21"/>
      <c r="P47" s="4"/>
      <c r="Q47" s="4"/>
      <c r="R47" s="5"/>
    </row>
    <row r="48" spans="1:18" ht="15" customHeight="1" x14ac:dyDescent="0.25">
      <c r="A48" s="119" t="s">
        <v>32</v>
      </c>
      <c r="B48" s="27" t="s">
        <v>65</v>
      </c>
      <c r="C48" s="10">
        <f>10-5</f>
        <v>5</v>
      </c>
      <c r="D48" s="12">
        <f>C48*78</f>
        <v>390</v>
      </c>
      <c r="F48" s="59"/>
      <c r="G48" s="59"/>
      <c r="H48" s="122"/>
      <c r="I48" s="123"/>
      <c r="J48" s="124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20"/>
      <c r="B49" s="29" t="s">
        <v>67</v>
      </c>
      <c r="C49" s="33">
        <v>27</v>
      </c>
      <c r="D49" s="12">
        <f>C49*42</f>
        <v>1134</v>
      </c>
      <c r="F49" s="125" t="s">
        <v>85</v>
      </c>
      <c r="G49" s="127">
        <f>H34+H35+H36+H37+H38+H39+H40+H41+G42+H44+H45+H46</f>
        <v>377518</v>
      </c>
      <c r="H49" s="128"/>
      <c r="I49" s="128"/>
      <c r="J49" s="129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0"/>
      <c r="B50" s="32" t="s">
        <v>69</v>
      </c>
      <c r="C50" s="11">
        <v>15</v>
      </c>
      <c r="D50" s="12">
        <f>C50*1.5</f>
        <v>22.5</v>
      </c>
      <c r="F50" s="126"/>
      <c r="G50" s="130"/>
      <c r="H50" s="131"/>
      <c r="I50" s="131"/>
      <c r="J50" s="132"/>
      <c r="O50" t="s">
        <v>114</v>
      </c>
      <c r="P50" s="4">
        <v>1204</v>
      </c>
      <c r="Q50" s="4"/>
      <c r="R50" s="5"/>
    </row>
    <row r="51" spans="1:18" ht="15" customHeight="1" x14ac:dyDescent="0.25">
      <c r="A51" s="120"/>
      <c r="B51" s="27"/>
      <c r="C51" s="10"/>
      <c r="D51" s="31"/>
      <c r="F51" s="133" t="s">
        <v>109</v>
      </c>
      <c r="G51" s="246">
        <f>G49-H29</f>
        <v>-1258</v>
      </c>
      <c r="H51" s="247"/>
      <c r="I51" s="247"/>
      <c r="J51" s="248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20"/>
      <c r="B52" s="29"/>
      <c r="C52" s="33"/>
      <c r="D52" s="45"/>
      <c r="F52" s="134"/>
      <c r="G52" s="249"/>
      <c r="H52" s="250"/>
      <c r="I52" s="250"/>
      <c r="J52" s="251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1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05" t="s">
        <v>89</v>
      </c>
      <c r="B54" s="106"/>
      <c r="C54" s="107"/>
      <c r="D54" s="111">
        <f>SUM(D34:D53)</f>
        <v>61281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08"/>
      <c r="B55" s="109"/>
      <c r="C55" s="110"/>
      <c r="D55" s="11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113" t="s">
        <v>90</v>
      </c>
      <c r="B58" s="114"/>
      <c r="C58" s="114"/>
      <c r="D58" s="115"/>
      <c r="F58" s="113" t="s">
        <v>91</v>
      </c>
      <c r="G58" s="114"/>
      <c r="H58" s="114"/>
      <c r="I58" s="114"/>
      <c r="J58" s="115"/>
    </row>
    <row r="59" spans="1:18" x14ac:dyDescent="0.25">
      <c r="A59" s="116"/>
      <c r="B59" s="117"/>
      <c r="C59" s="117"/>
      <c r="D59" s="118"/>
      <c r="F59" s="116"/>
      <c r="G59" s="117"/>
      <c r="H59" s="117"/>
      <c r="I59" s="117"/>
      <c r="J59" s="118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BD0686-D89B-4BB0-B0A7-DB0CF0D44C98}">
  <dimension ref="A1:R59"/>
  <sheetViews>
    <sheetView zoomScaleNormal="100" zoomScaleSheetLayoutView="85" workbookViewId="0">
      <selection activeCell="G6" sqref="G6:J7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1" t="s">
        <v>1</v>
      </c>
      <c r="O1" s="201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2" t="s">
        <v>7</v>
      </c>
      <c r="B4" s="153"/>
      <c r="C4" s="153"/>
      <c r="D4" s="154"/>
      <c r="F4" s="202" t="s">
        <v>8</v>
      </c>
      <c r="G4" s="204">
        <v>1</v>
      </c>
      <c r="H4" s="206" t="s">
        <v>9</v>
      </c>
      <c r="I4" s="208">
        <v>46161</v>
      </c>
      <c r="J4" s="20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6" t="s">
        <v>7</v>
      </c>
      <c r="B5" s="15" t="s">
        <v>11</v>
      </c>
      <c r="C5" s="9" t="s">
        <v>12</v>
      </c>
      <c r="D5" s="25" t="s">
        <v>13</v>
      </c>
      <c r="F5" s="203"/>
      <c r="G5" s="205"/>
      <c r="H5" s="207"/>
      <c r="I5" s="210"/>
      <c r="J5" s="21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7"/>
      <c r="B6" s="16" t="s">
        <v>15</v>
      </c>
      <c r="C6" s="10"/>
      <c r="D6" s="13">
        <f t="shared" ref="D6:D28" si="1">C6*L6</f>
        <v>0</v>
      </c>
      <c r="F6" s="212" t="s">
        <v>16</v>
      </c>
      <c r="G6" s="214" t="s">
        <v>99</v>
      </c>
      <c r="H6" s="215"/>
      <c r="I6" s="215"/>
      <c r="J6" s="21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7"/>
      <c r="B7" s="16" t="s">
        <v>18</v>
      </c>
      <c r="C7" s="10"/>
      <c r="D7" s="13">
        <f t="shared" si="1"/>
        <v>0</v>
      </c>
      <c r="F7" s="213"/>
      <c r="G7" s="217"/>
      <c r="H7" s="218"/>
      <c r="I7" s="218"/>
      <c r="J7" s="21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7"/>
      <c r="B8" s="16" t="s">
        <v>20</v>
      </c>
      <c r="C8" s="10"/>
      <c r="D8" s="13">
        <f t="shared" si="1"/>
        <v>0</v>
      </c>
      <c r="F8" s="220" t="s">
        <v>21</v>
      </c>
      <c r="G8" s="221" t="s">
        <v>120</v>
      </c>
      <c r="H8" s="222"/>
      <c r="I8" s="222"/>
      <c r="J8" s="22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7"/>
      <c r="B9" s="16" t="s">
        <v>23</v>
      </c>
      <c r="C9" s="10"/>
      <c r="D9" s="13">
        <f t="shared" si="1"/>
        <v>0</v>
      </c>
      <c r="F9" s="213"/>
      <c r="G9" s="224"/>
      <c r="H9" s="225"/>
      <c r="I9" s="225"/>
      <c r="J9" s="22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7"/>
      <c r="B10" t="s">
        <v>25</v>
      </c>
      <c r="C10" s="10"/>
      <c r="D10" s="13">
        <f t="shared" si="1"/>
        <v>0</v>
      </c>
      <c r="F10" s="212" t="s">
        <v>26</v>
      </c>
      <c r="G10" s="227" t="s">
        <v>108</v>
      </c>
      <c r="H10" s="228"/>
      <c r="I10" s="228"/>
      <c r="J10" s="229"/>
      <c r="K10" s="8"/>
      <c r="L10" s="6">
        <f>R36</f>
        <v>1032</v>
      </c>
      <c r="P10" s="4"/>
      <c r="Q10" s="4"/>
      <c r="R10" s="5"/>
    </row>
    <row r="11" spans="1:18" ht="15.75" x14ac:dyDescent="0.25">
      <c r="A11" s="147"/>
      <c r="B11" s="17" t="s">
        <v>28</v>
      </c>
      <c r="C11" s="10"/>
      <c r="D11" s="13">
        <f t="shared" si="1"/>
        <v>0</v>
      </c>
      <c r="F11" s="213"/>
      <c r="G11" s="224"/>
      <c r="H11" s="225"/>
      <c r="I11" s="225"/>
      <c r="J11" s="22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7"/>
      <c r="B12" s="17" t="s">
        <v>30</v>
      </c>
      <c r="C12" s="10"/>
      <c r="D12" s="48">
        <f t="shared" si="1"/>
        <v>0</v>
      </c>
      <c r="F12" s="230" t="s">
        <v>33</v>
      </c>
      <c r="G12" s="231"/>
      <c r="H12" s="231"/>
      <c r="I12" s="231"/>
      <c r="J12" s="23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7"/>
      <c r="B13" s="17" t="s">
        <v>32</v>
      </c>
      <c r="C13" s="10"/>
      <c r="D13" s="48">
        <f t="shared" si="1"/>
        <v>0</v>
      </c>
      <c r="F13" s="233" t="s">
        <v>36</v>
      </c>
      <c r="G13" s="197"/>
      <c r="H13" s="188">
        <f>D29</f>
        <v>0</v>
      </c>
      <c r="I13" s="189"/>
      <c r="J13" s="19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7"/>
      <c r="B14" s="14" t="s">
        <v>35</v>
      </c>
      <c r="C14" s="10"/>
      <c r="D14" s="31">
        <f t="shared" si="1"/>
        <v>0</v>
      </c>
      <c r="F14" s="191" t="s">
        <v>38</v>
      </c>
      <c r="G14" s="192"/>
      <c r="H14" s="193">
        <f>D54</f>
        <v>9270</v>
      </c>
      <c r="I14" s="194"/>
      <c r="J14" s="19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7"/>
      <c r="B15" s="14" t="s">
        <v>122</v>
      </c>
      <c r="C15" s="10"/>
      <c r="D15" s="31">
        <f t="shared" si="1"/>
        <v>0</v>
      </c>
      <c r="F15" s="196" t="s">
        <v>39</v>
      </c>
      <c r="G15" s="197"/>
      <c r="H15" s="198">
        <f>H13-H14</f>
        <v>-9270</v>
      </c>
      <c r="I15" s="199"/>
      <c r="J15" s="200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7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58"/>
      <c r="I16" s="158"/>
      <c r="J16" s="158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7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69"/>
      <c r="I17" s="169"/>
      <c r="J17" s="169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7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69"/>
      <c r="I18" s="169"/>
      <c r="J18" s="169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7"/>
      <c r="B19" s="83" t="s">
        <v>105</v>
      </c>
      <c r="C19" s="10"/>
      <c r="D19" s="48">
        <f t="shared" si="1"/>
        <v>0</v>
      </c>
      <c r="F19" s="56"/>
      <c r="G19" s="68" t="s">
        <v>49</v>
      </c>
      <c r="H19" s="158"/>
      <c r="I19" s="158"/>
      <c r="J19" s="158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7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58"/>
      <c r="I20" s="158"/>
      <c r="J20" s="158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7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71" t="s">
        <v>13</v>
      </c>
      <c r="I21" s="172"/>
      <c r="J21" s="173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7"/>
      <c r="B22" s="46" t="s">
        <v>103</v>
      </c>
      <c r="C22" s="10"/>
      <c r="D22" s="48">
        <f t="shared" si="1"/>
        <v>0</v>
      </c>
      <c r="F22" s="77"/>
      <c r="G22" s="73"/>
      <c r="H22" s="174"/>
      <c r="I22" s="174"/>
      <c r="J22" s="174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7"/>
      <c r="B23" s="14" t="s">
        <v>121</v>
      </c>
      <c r="C23" s="10"/>
      <c r="D23" s="48">
        <f t="shared" si="1"/>
        <v>0</v>
      </c>
      <c r="F23" s="77"/>
      <c r="G23" s="79"/>
      <c r="H23" s="242"/>
      <c r="I23" s="243"/>
      <c r="J23" s="243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7"/>
      <c r="B24" s="14" t="s">
        <v>128</v>
      </c>
      <c r="C24" s="10"/>
      <c r="D24" s="48">
        <f t="shared" si="1"/>
        <v>0</v>
      </c>
      <c r="F24" s="77"/>
      <c r="G24" s="79"/>
      <c r="H24" s="242"/>
      <c r="I24" s="243"/>
      <c r="J24" s="243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7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76" t="s">
        <v>13</v>
      </c>
      <c r="I25" s="177"/>
      <c r="J25" s="178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7"/>
      <c r="B26" s="14" t="s">
        <v>129</v>
      </c>
      <c r="C26" s="10"/>
      <c r="D26" s="48">
        <f t="shared" si="1"/>
        <v>0</v>
      </c>
      <c r="F26" s="75" t="s">
        <v>178</v>
      </c>
      <c r="G26" s="65">
        <v>10654</v>
      </c>
      <c r="H26" s="144">
        <v>62135</v>
      </c>
      <c r="I26" s="144"/>
      <c r="J26" s="144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7"/>
      <c r="B27" s="14" t="s">
        <v>130</v>
      </c>
      <c r="C27" s="10"/>
      <c r="D27" s="44">
        <f t="shared" si="1"/>
        <v>0</v>
      </c>
      <c r="F27" s="71"/>
      <c r="G27" s="88"/>
      <c r="H27" s="244"/>
      <c r="I27" s="245"/>
      <c r="J27" s="245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8"/>
      <c r="B28" s="46" t="s">
        <v>92</v>
      </c>
      <c r="C28" s="10"/>
      <c r="D28" s="48">
        <f t="shared" si="1"/>
        <v>0</v>
      </c>
      <c r="F28" s="91"/>
      <c r="G28" s="61"/>
      <c r="H28" s="185"/>
      <c r="I28" s="186"/>
      <c r="J28" s="187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9" t="s">
        <v>36</v>
      </c>
      <c r="B29" s="160"/>
      <c r="C29" s="161"/>
      <c r="D29" s="165">
        <f>SUM(D6:D28)</f>
        <v>0</v>
      </c>
      <c r="F29" s="105" t="s">
        <v>54</v>
      </c>
      <c r="G29" s="167"/>
      <c r="H29" s="127">
        <f>H15-H16-H17-H18-H19-H20-H22-H23-H24+H26+H27+H28</f>
        <v>52865</v>
      </c>
      <c r="I29" s="128"/>
      <c r="J29" s="129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08"/>
      <c r="G30" s="168"/>
      <c r="H30" s="130"/>
      <c r="I30" s="131"/>
      <c r="J30" s="132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2" t="s">
        <v>57</v>
      </c>
      <c r="B32" s="153"/>
      <c r="C32" s="153"/>
      <c r="D32" s="154"/>
      <c r="F32" s="155" t="s">
        <v>58</v>
      </c>
      <c r="G32" s="156"/>
      <c r="H32" s="156"/>
      <c r="I32" s="156"/>
      <c r="J32" s="157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2" t="s">
        <v>62</v>
      </c>
      <c r="H33" s="155" t="s">
        <v>13</v>
      </c>
      <c r="I33" s="156"/>
      <c r="J33" s="157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6" t="s">
        <v>64</v>
      </c>
      <c r="B34" s="26" t="s">
        <v>65</v>
      </c>
      <c r="C34" s="51"/>
      <c r="D34" s="30">
        <f>C34*120</f>
        <v>0</v>
      </c>
      <c r="F34" s="12">
        <v>1000</v>
      </c>
      <c r="G34" s="40">
        <v>16</v>
      </c>
      <c r="H34" s="149">
        <f t="shared" ref="H34:H39" si="2">F34*G34</f>
        <v>16000</v>
      </c>
      <c r="I34" s="150"/>
      <c r="J34" s="151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7"/>
      <c r="B35" s="27" t="s">
        <v>67</v>
      </c>
      <c r="C35" s="52"/>
      <c r="D35" s="30">
        <f>C35*84</f>
        <v>0</v>
      </c>
      <c r="F35" s="58">
        <v>500</v>
      </c>
      <c r="G35" s="41">
        <v>68</v>
      </c>
      <c r="H35" s="149">
        <f t="shared" si="2"/>
        <v>34000</v>
      </c>
      <c r="I35" s="150"/>
      <c r="J35" s="15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8"/>
      <c r="B36" s="26" t="s">
        <v>69</v>
      </c>
      <c r="C36" s="10"/>
      <c r="D36" s="12">
        <f>C36*1.5</f>
        <v>0</v>
      </c>
      <c r="F36" s="12">
        <v>200</v>
      </c>
      <c r="G36" s="37"/>
      <c r="H36" s="149">
        <f t="shared" si="2"/>
        <v>0</v>
      </c>
      <c r="I36" s="150"/>
      <c r="J36" s="151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6" t="s">
        <v>71</v>
      </c>
      <c r="B37" s="28" t="s">
        <v>65</v>
      </c>
      <c r="C37" s="53">
        <v>80</v>
      </c>
      <c r="D37" s="12">
        <f>C37*111</f>
        <v>8880</v>
      </c>
      <c r="F37" s="12">
        <v>100</v>
      </c>
      <c r="G37" s="39">
        <v>28</v>
      </c>
      <c r="H37" s="149">
        <f t="shared" si="2"/>
        <v>2800</v>
      </c>
      <c r="I37" s="150"/>
      <c r="J37" s="151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7"/>
      <c r="B38" s="29" t="s">
        <v>67</v>
      </c>
      <c r="C38" s="54"/>
      <c r="D38" s="12">
        <f>C38*84</f>
        <v>0</v>
      </c>
      <c r="F38" s="30">
        <v>50</v>
      </c>
      <c r="G38" s="39">
        <v>1</v>
      </c>
      <c r="H38" s="149">
        <f t="shared" si="2"/>
        <v>50</v>
      </c>
      <c r="I38" s="150"/>
      <c r="J38" s="151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8"/>
      <c r="B39" s="29" t="s">
        <v>69</v>
      </c>
      <c r="C39" s="52"/>
      <c r="D39" s="31">
        <f>C39*4.5</f>
        <v>0</v>
      </c>
      <c r="F39" s="12">
        <v>20</v>
      </c>
      <c r="G39" s="37"/>
      <c r="H39" s="149">
        <f t="shared" si="2"/>
        <v>0</v>
      </c>
      <c r="I39" s="150"/>
      <c r="J39" s="15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6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49"/>
      <c r="I40" s="150"/>
      <c r="J40" s="151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7"/>
      <c r="B41" s="27" t="s">
        <v>67</v>
      </c>
      <c r="C41" s="10"/>
      <c r="D41" s="12">
        <f>C41*84</f>
        <v>0</v>
      </c>
      <c r="F41" s="12">
        <v>5</v>
      </c>
      <c r="G41" s="42"/>
      <c r="H41" s="149"/>
      <c r="I41" s="150"/>
      <c r="J41" s="151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8"/>
      <c r="B42" s="27" t="s">
        <v>69</v>
      </c>
      <c r="C42" s="11"/>
      <c r="D42" s="12">
        <f>C42*2.25</f>
        <v>0</v>
      </c>
      <c r="F42" s="39" t="s">
        <v>78</v>
      </c>
      <c r="G42" s="149">
        <v>15</v>
      </c>
      <c r="H42" s="150"/>
      <c r="I42" s="150"/>
      <c r="J42" s="151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19" t="s">
        <v>80</v>
      </c>
      <c r="C43" s="11"/>
      <c r="D43" s="12"/>
      <c r="F43" s="59" t="s">
        <v>81</v>
      </c>
      <c r="G43" s="88" t="s">
        <v>82</v>
      </c>
      <c r="H43" s="141" t="s">
        <v>13</v>
      </c>
      <c r="I43" s="142"/>
      <c r="J43" s="143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20"/>
      <c r="B44" s="27" t="s">
        <v>65</v>
      </c>
      <c r="C44" s="10"/>
      <c r="D44" s="12">
        <f>C44*120</f>
        <v>0</v>
      </c>
      <c r="F44" s="37"/>
      <c r="G44" s="62"/>
      <c r="H44" s="144"/>
      <c r="I44" s="144"/>
      <c r="J44" s="144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20"/>
      <c r="B45" s="27" t="s">
        <v>67</v>
      </c>
      <c r="C45" s="33"/>
      <c r="D45" s="12">
        <f>C45*84</f>
        <v>0</v>
      </c>
      <c r="F45" s="37"/>
      <c r="G45" s="62"/>
      <c r="H45" s="144"/>
      <c r="I45" s="144"/>
      <c r="J45" s="144"/>
      <c r="K45" s="21"/>
      <c r="P45" s="4"/>
      <c r="Q45" s="4"/>
      <c r="R45" s="5"/>
    </row>
    <row r="46" spans="1:18" ht="15.75" x14ac:dyDescent="0.25">
      <c r="A46" s="120"/>
      <c r="B46" s="49" t="s">
        <v>69</v>
      </c>
      <c r="C46" s="81"/>
      <c r="D46" s="12">
        <f>C46*1.5</f>
        <v>0</v>
      </c>
      <c r="F46" s="37"/>
      <c r="G46" s="62"/>
      <c r="H46" s="144"/>
      <c r="I46" s="144"/>
      <c r="J46" s="144"/>
      <c r="K46" s="21"/>
      <c r="P46" s="4"/>
      <c r="Q46" s="4"/>
      <c r="R46" s="5"/>
    </row>
    <row r="47" spans="1:18" ht="15.75" x14ac:dyDescent="0.25">
      <c r="A47" s="121"/>
      <c r="B47" s="27"/>
      <c r="C47" s="11"/>
      <c r="D47" s="12"/>
      <c r="F47" s="59"/>
      <c r="G47" s="59"/>
      <c r="H47" s="122"/>
      <c r="I47" s="123"/>
      <c r="J47" s="124"/>
      <c r="K47" s="21"/>
      <c r="P47" s="4"/>
      <c r="Q47" s="4"/>
      <c r="R47" s="5"/>
    </row>
    <row r="48" spans="1:18" ht="15" customHeight="1" x14ac:dyDescent="0.25">
      <c r="A48" s="119" t="s">
        <v>32</v>
      </c>
      <c r="B48" s="27" t="s">
        <v>65</v>
      </c>
      <c r="C48" s="10">
        <v>5</v>
      </c>
      <c r="D48" s="12">
        <f>C48*78</f>
        <v>390</v>
      </c>
      <c r="F48" s="59"/>
      <c r="G48" s="59"/>
      <c r="H48" s="122"/>
      <c r="I48" s="123"/>
      <c r="J48" s="124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20"/>
      <c r="B49" s="29" t="s">
        <v>67</v>
      </c>
      <c r="C49" s="33"/>
      <c r="D49" s="12">
        <f>C49*42</f>
        <v>0</v>
      </c>
      <c r="F49" s="125" t="s">
        <v>85</v>
      </c>
      <c r="G49" s="127">
        <f>H34+H35+H36+H37+H38+H39+H40+H41+G42+H44+H45+H46</f>
        <v>52865</v>
      </c>
      <c r="H49" s="128"/>
      <c r="I49" s="128"/>
      <c r="J49" s="129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0"/>
      <c r="B50" s="32" t="s">
        <v>69</v>
      </c>
      <c r="C50" s="11"/>
      <c r="D50" s="12">
        <f>C50*1.5</f>
        <v>0</v>
      </c>
      <c r="F50" s="126"/>
      <c r="G50" s="130"/>
      <c r="H50" s="131"/>
      <c r="I50" s="131"/>
      <c r="J50" s="132"/>
      <c r="O50" t="s">
        <v>114</v>
      </c>
      <c r="P50" s="4">
        <v>1204</v>
      </c>
      <c r="Q50" s="4"/>
      <c r="R50" s="5"/>
    </row>
    <row r="51" spans="1:18" ht="15" customHeight="1" x14ac:dyDescent="0.25">
      <c r="A51" s="120"/>
      <c r="B51" s="27"/>
      <c r="C51" s="10"/>
      <c r="D51" s="31"/>
      <c r="F51" s="133" t="s">
        <v>184</v>
      </c>
      <c r="G51" s="236">
        <f>G49-H29</f>
        <v>0</v>
      </c>
      <c r="H51" s="237"/>
      <c r="I51" s="237"/>
      <c r="J51" s="238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20"/>
      <c r="B52" s="29"/>
      <c r="C52" s="33"/>
      <c r="D52" s="45"/>
      <c r="F52" s="134"/>
      <c r="G52" s="239"/>
      <c r="H52" s="240"/>
      <c r="I52" s="240"/>
      <c r="J52" s="241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1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05" t="s">
        <v>89</v>
      </c>
      <c r="B54" s="106"/>
      <c r="C54" s="107"/>
      <c r="D54" s="111">
        <f>SUM(D34:D53)</f>
        <v>9270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08"/>
      <c r="B55" s="109"/>
      <c r="C55" s="110"/>
      <c r="D55" s="11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113" t="s">
        <v>90</v>
      </c>
      <c r="B58" s="114"/>
      <c r="C58" s="114"/>
      <c r="D58" s="115"/>
      <c r="F58" s="113" t="s">
        <v>91</v>
      </c>
      <c r="G58" s="114"/>
      <c r="H58" s="114"/>
      <c r="I58" s="114"/>
      <c r="J58" s="115"/>
    </row>
    <row r="59" spans="1:18" x14ac:dyDescent="0.25">
      <c r="A59" s="116"/>
      <c r="B59" s="117"/>
      <c r="C59" s="117"/>
      <c r="D59" s="118"/>
      <c r="F59" s="116"/>
      <c r="G59" s="117"/>
      <c r="H59" s="117"/>
      <c r="I59" s="117"/>
      <c r="J59" s="118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4B98A9-E789-492E-8BA6-ADF15D2C6389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1" t="s">
        <v>1</v>
      </c>
      <c r="O1" s="201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2" t="s">
        <v>7</v>
      </c>
      <c r="B4" s="153"/>
      <c r="C4" s="153"/>
      <c r="D4" s="154"/>
      <c r="F4" s="202" t="s">
        <v>8</v>
      </c>
      <c r="G4" s="204">
        <v>2</v>
      </c>
      <c r="H4" s="206" t="s">
        <v>9</v>
      </c>
      <c r="I4" s="208">
        <v>46161</v>
      </c>
      <c r="J4" s="20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6" t="s">
        <v>7</v>
      </c>
      <c r="B5" s="15" t="s">
        <v>11</v>
      </c>
      <c r="C5" s="9" t="s">
        <v>12</v>
      </c>
      <c r="D5" s="25" t="s">
        <v>13</v>
      </c>
      <c r="F5" s="203"/>
      <c r="G5" s="205"/>
      <c r="H5" s="207"/>
      <c r="I5" s="210"/>
      <c r="J5" s="21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7"/>
      <c r="B6" s="16" t="s">
        <v>15</v>
      </c>
      <c r="C6" s="10">
        <v>370</v>
      </c>
      <c r="D6" s="13">
        <f t="shared" ref="D6:D28" si="1">C6*L6</f>
        <v>281570</v>
      </c>
      <c r="F6" s="212" t="s">
        <v>16</v>
      </c>
      <c r="G6" s="214" t="s">
        <v>107</v>
      </c>
      <c r="H6" s="215"/>
      <c r="I6" s="215"/>
      <c r="J6" s="21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7"/>
      <c r="B7" s="16" t="s">
        <v>18</v>
      </c>
      <c r="C7" s="10">
        <v>5</v>
      </c>
      <c r="D7" s="13">
        <f t="shared" si="1"/>
        <v>3905</v>
      </c>
      <c r="F7" s="213"/>
      <c r="G7" s="217"/>
      <c r="H7" s="218"/>
      <c r="I7" s="218"/>
      <c r="J7" s="21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7"/>
      <c r="B8" s="16" t="s">
        <v>20</v>
      </c>
      <c r="C8" s="10">
        <v>1</v>
      </c>
      <c r="D8" s="13">
        <f t="shared" si="1"/>
        <v>1093</v>
      </c>
      <c r="F8" s="220" t="s">
        <v>21</v>
      </c>
      <c r="G8" s="221" t="s">
        <v>100</v>
      </c>
      <c r="H8" s="222"/>
      <c r="I8" s="222"/>
      <c r="J8" s="22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7"/>
      <c r="B9" s="16" t="s">
        <v>23</v>
      </c>
      <c r="C9" s="10">
        <v>42</v>
      </c>
      <c r="D9" s="13">
        <f t="shared" si="1"/>
        <v>30786</v>
      </c>
      <c r="F9" s="213"/>
      <c r="G9" s="224"/>
      <c r="H9" s="225"/>
      <c r="I9" s="225"/>
      <c r="J9" s="22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7"/>
      <c r="B10" t="s">
        <v>25</v>
      </c>
      <c r="C10" s="10"/>
      <c r="D10" s="13">
        <f t="shared" si="1"/>
        <v>0</v>
      </c>
      <c r="F10" s="212" t="s">
        <v>26</v>
      </c>
      <c r="G10" s="227" t="s">
        <v>101</v>
      </c>
      <c r="H10" s="228"/>
      <c r="I10" s="228"/>
      <c r="J10" s="229"/>
      <c r="K10" s="8"/>
      <c r="L10" s="6">
        <f>R36</f>
        <v>1032</v>
      </c>
      <c r="P10" s="4"/>
      <c r="Q10" s="4"/>
      <c r="R10" s="5"/>
    </row>
    <row r="11" spans="1:18" ht="15.75" x14ac:dyDescent="0.25">
      <c r="A11" s="147"/>
      <c r="B11" s="17" t="s">
        <v>28</v>
      </c>
      <c r="C11" s="10"/>
      <c r="D11" s="13">
        <f t="shared" si="1"/>
        <v>0</v>
      </c>
      <c r="F11" s="213"/>
      <c r="G11" s="224"/>
      <c r="H11" s="225"/>
      <c r="I11" s="225"/>
      <c r="J11" s="22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7"/>
      <c r="B12" s="17" t="s">
        <v>30</v>
      </c>
      <c r="C12" s="10"/>
      <c r="D12" s="48">
        <f t="shared" si="1"/>
        <v>0</v>
      </c>
      <c r="F12" s="230" t="s">
        <v>33</v>
      </c>
      <c r="G12" s="231"/>
      <c r="H12" s="231"/>
      <c r="I12" s="231"/>
      <c r="J12" s="23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7"/>
      <c r="B13" s="17" t="s">
        <v>32</v>
      </c>
      <c r="C13" s="10">
        <v>10</v>
      </c>
      <c r="D13" s="48">
        <f t="shared" si="1"/>
        <v>3070</v>
      </c>
      <c r="F13" s="233" t="s">
        <v>36</v>
      </c>
      <c r="G13" s="197"/>
      <c r="H13" s="188">
        <f>D29</f>
        <v>320424</v>
      </c>
      <c r="I13" s="189"/>
      <c r="J13" s="19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7"/>
      <c r="B14" s="14" t="s">
        <v>35</v>
      </c>
      <c r="C14" s="10"/>
      <c r="D14" s="31">
        <f t="shared" si="1"/>
        <v>0</v>
      </c>
      <c r="F14" s="191" t="s">
        <v>38</v>
      </c>
      <c r="G14" s="192"/>
      <c r="H14" s="193">
        <f>D54</f>
        <v>48226.5</v>
      </c>
      <c r="I14" s="194"/>
      <c r="J14" s="19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7"/>
      <c r="B15" s="14" t="s">
        <v>122</v>
      </c>
      <c r="C15" s="10"/>
      <c r="D15" s="31">
        <f t="shared" si="1"/>
        <v>0</v>
      </c>
      <c r="F15" s="196" t="s">
        <v>39</v>
      </c>
      <c r="G15" s="197"/>
      <c r="H15" s="198">
        <f>H13-H14</f>
        <v>272197.5</v>
      </c>
      <c r="I15" s="199"/>
      <c r="J15" s="200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7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58">
        <v>2076</v>
      </c>
      <c r="I16" s="158"/>
      <c r="J16" s="158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7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69"/>
      <c r="I17" s="169"/>
      <c r="J17" s="169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7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69"/>
      <c r="I18" s="169"/>
      <c r="J18" s="169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7"/>
      <c r="B19" s="87" t="s">
        <v>105</v>
      </c>
      <c r="C19" s="10"/>
      <c r="D19" s="48">
        <f t="shared" si="1"/>
        <v>0</v>
      </c>
      <c r="F19" s="56"/>
      <c r="G19" s="68" t="s">
        <v>49</v>
      </c>
      <c r="H19" s="253"/>
      <c r="I19" s="253"/>
      <c r="J19" s="253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7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58"/>
      <c r="I20" s="158"/>
      <c r="J20" s="158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7"/>
      <c r="B21" s="14" t="s">
        <v>183</v>
      </c>
      <c r="C21" s="10"/>
      <c r="D21" s="48">
        <f t="shared" si="1"/>
        <v>0</v>
      </c>
      <c r="F21" s="69" t="s">
        <v>94</v>
      </c>
      <c r="G21" s="82" t="s">
        <v>93</v>
      </c>
      <c r="H21" s="171" t="s">
        <v>13</v>
      </c>
      <c r="I21" s="172"/>
      <c r="J21" s="173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7"/>
      <c r="B22" s="46" t="s">
        <v>103</v>
      </c>
      <c r="C22" s="10"/>
      <c r="D22" s="48">
        <f t="shared" si="1"/>
        <v>0</v>
      </c>
      <c r="F22" s="77"/>
      <c r="G22" s="73"/>
      <c r="H22" s="174"/>
      <c r="I22" s="174"/>
      <c r="J22" s="174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7"/>
      <c r="B23" s="14" t="s">
        <v>121</v>
      </c>
      <c r="C23" s="10"/>
      <c r="D23" s="48">
        <f t="shared" si="1"/>
        <v>0</v>
      </c>
      <c r="F23" s="78"/>
      <c r="G23" s="79"/>
      <c r="H23" s="254"/>
      <c r="I23" s="174"/>
      <c r="J23" s="174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7"/>
      <c r="B24" s="14" t="s">
        <v>128</v>
      </c>
      <c r="C24" s="10"/>
      <c r="D24" s="48">
        <f t="shared" si="1"/>
        <v>0</v>
      </c>
      <c r="F24" s="38"/>
      <c r="G24" s="37"/>
      <c r="H24" s="175"/>
      <c r="I24" s="144"/>
      <c r="J24" s="144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7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76" t="s">
        <v>13</v>
      </c>
      <c r="I25" s="177"/>
      <c r="J25" s="178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7"/>
      <c r="B26" s="14" t="s">
        <v>129</v>
      </c>
      <c r="C26" s="10"/>
      <c r="D26" s="48">
        <f t="shared" si="1"/>
        <v>0</v>
      </c>
      <c r="F26" s="64"/>
      <c r="G26" s="59"/>
      <c r="H26" s="179"/>
      <c r="I26" s="180"/>
      <c r="J26" s="181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7"/>
      <c r="B27" s="14" t="s">
        <v>130</v>
      </c>
      <c r="C27" s="10"/>
      <c r="D27" s="44">
        <f t="shared" si="1"/>
        <v>0</v>
      </c>
      <c r="F27" s="25"/>
      <c r="G27" s="80"/>
      <c r="H27" s="182"/>
      <c r="I27" s="183"/>
      <c r="J27" s="184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8"/>
      <c r="B28" s="46" t="s">
        <v>92</v>
      </c>
      <c r="C28" s="10"/>
      <c r="D28" s="48">
        <f t="shared" si="1"/>
        <v>0</v>
      </c>
      <c r="F28" s="91"/>
      <c r="G28" s="61"/>
      <c r="H28" s="185"/>
      <c r="I28" s="186"/>
      <c r="J28" s="187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9" t="s">
        <v>36</v>
      </c>
      <c r="B29" s="160"/>
      <c r="C29" s="161"/>
      <c r="D29" s="165">
        <f>SUM(D6:D28)</f>
        <v>320424</v>
      </c>
      <c r="F29" s="105" t="s">
        <v>54</v>
      </c>
      <c r="G29" s="167"/>
      <c r="H29" s="127">
        <f>H15-H16-H17-H18-H19-H20-H22-H23-H24+H26+H27</f>
        <v>270121.5</v>
      </c>
      <c r="I29" s="128"/>
      <c r="J29" s="129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08"/>
      <c r="G30" s="168"/>
      <c r="H30" s="130"/>
      <c r="I30" s="131"/>
      <c r="J30" s="132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2" t="s">
        <v>57</v>
      </c>
      <c r="B32" s="153"/>
      <c r="C32" s="153"/>
      <c r="D32" s="154"/>
      <c r="F32" s="155" t="s">
        <v>58</v>
      </c>
      <c r="G32" s="156"/>
      <c r="H32" s="156"/>
      <c r="I32" s="156"/>
      <c r="J32" s="157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2" t="s">
        <v>62</v>
      </c>
      <c r="H33" s="155" t="s">
        <v>13</v>
      </c>
      <c r="I33" s="156"/>
      <c r="J33" s="157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6" t="s">
        <v>64</v>
      </c>
      <c r="B34" s="26" t="s">
        <v>65</v>
      </c>
      <c r="C34" s="51"/>
      <c r="D34" s="30">
        <f>C34*120</f>
        <v>0</v>
      </c>
      <c r="F34" s="12">
        <v>1000</v>
      </c>
      <c r="G34" s="74">
        <v>116</v>
      </c>
      <c r="H34" s="149">
        <f>F34*G34</f>
        <v>116000</v>
      </c>
      <c r="I34" s="150"/>
      <c r="J34" s="151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7"/>
      <c r="B35" s="27" t="s">
        <v>67</v>
      </c>
      <c r="C35" s="52"/>
      <c r="D35" s="30">
        <f>C35*84</f>
        <v>0</v>
      </c>
      <c r="F35" s="58">
        <v>500</v>
      </c>
      <c r="G35" s="41">
        <v>25</v>
      </c>
      <c r="H35" s="149">
        <f>F35*G35</f>
        <v>12500</v>
      </c>
      <c r="I35" s="150"/>
      <c r="J35" s="15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8"/>
      <c r="B36" s="26" t="s">
        <v>69</v>
      </c>
      <c r="C36" s="10"/>
      <c r="D36" s="12">
        <f>C36*1.5</f>
        <v>0</v>
      </c>
      <c r="F36" s="12">
        <v>200</v>
      </c>
      <c r="G36" s="37"/>
      <c r="H36" s="149">
        <f t="shared" ref="H36:H39" si="2">F36*G36</f>
        <v>0</v>
      </c>
      <c r="I36" s="150"/>
      <c r="J36" s="151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6" t="s">
        <v>71</v>
      </c>
      <c r="B37" s="28" t="s">
        <v>65</v>
      </c>
      <c r="C37" s="53">
        <v>421</v>
      </c>
      <c r="D37" s="12">
        <f>C37*111</f>
        <v>46731</v>
      </c>
      <c r="F37" s="12">
        <v>100</v>
      </c>
      <c r="G37" s="39">
        <v>1</v>
      </c>
      <c r="H37" s="149">
        <f t="shared" si="2"/>
        <v>100</v>
      </c>
      <c r="I37" s="150"/>
      <c r="J37" s="151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7"/>
      <c r="B38" s="29" t="s">
        <v>67</v>
      </c>
      <c r="C38" s="54">
        <v>1</v>
      </c>
      <c r="D38" s="12">
        <f>C38*84</f>
        <v>84</v>
      </c>
      <c r="F38" s="30">
        <v>50</v>
      </c>
      <c r="G38" s="39">
        <v>1</v>
      </c>
      <c r="H38" s="149">
        <f t="shared" si="2"/>
        <v>50</v>
      </c>
      <c r="I38" s="150"/>
      <c r="J38" s="151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8"/>
      <c r="B39" s="29" t="s">
        <v>69</v>
      </c>
      <c r="C39" s="52">
        <v>4</v>
      </c>
      <c r="D39" s="31">
        <f>C39*4.5</f>
        <v>18</v>
      </c>
      <c r="F39" s="12">
        <v>20</v>
      </c>
      <c r="G39" s="37"/>
      <c r="H39" s="149">
        <f t="shared" si="2"/>
        <v>0</v>
      </c>
      <c r="I39" s="150"/>
      <c r="J39" s="15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6" t="s">
        <v>75</v>
      </c>
      <c r="B40" s="27" t="s">
        <v>65</v>
      </c>
      <c r="C40" s="63">
        <v>7</v>
      </c>
      <c r="D40" s="12">
        <f>C40*111</f>
        <v>777</v>
      </c>
      <c r="F40" s="12">
        <v>10</v>
      </c>
      <c r="G40" s="42"/>
      <c r="H40" s="149"/>
      <c r="I40" s="150"/>
      <c r="J40" s="151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7"/>
      <c r="B41" s="27" t="s">
        <v>67</v>
      </c>
      <c r="C41" s="10"/>
      <c r="D41" s="12">
        <f>C41*84</f>
        <v>0</v>
      </c>
      <c r="F41" s="12">
        <v>5</v>
      </c>
      <c r="G41" s="42"/>
      <c r="H41" s="149"/>
      <c r="I41" s="150"/>
      <c r="J41" s="151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8"/>
      <c r="B42" s="27" t="s">
        <v>69</v>
      </c>
      <c r="C42" s="11"/>
      <c r="D42" s="12">
        <f>C42*2.25</f>
        <v>0</v>
      </c>
      <c r="F42" s="39" t="s">
        <v>78</v>
      </c>
      <c r="G42" s="149">
        <v>9</v>
      </c>
      <c r="H42" s="150"/>
      <c r="I42" s="150"/>
      <c r="J42" s="151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19" t="s">
        <v>80</v>
      </c>
      <c r="C43" s="11"/>
      <c r="D43" s="12"/>
      <c r="F43" s="59" t="s">
        <v>81</v>
      </c>
      <c r="G43" s="88" t="s">
        <v>82</v>
      </c>
      <c r="H43" s="141" t="s">
        <v>13</v>
      </c>
      <c r="I43" s="142"/>
      <c r="J43" s="143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20"/>
      <c r="B44" s="27" t="s">
        <v>65</v>
      </c>
      <c r="C44" s="10">
        <v>1</v>
      </c>
      <c r="D44" s="12">
        <f>C44*120</f>
        <v>120</v>
      </c>
      <c r="F44" s="37" t="s">
        <v>147</v>
      </c>
      <c r="G44" s="76" t="s">
        <v>193</v>
      </c>
      <c r="H44" s="144">
        <v>140694</v>
      </c>
      <c r="I44" s="144"/>
      <c r="J44" s="144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20"/>
      <c r="B45" s="27" t="s">
        <v>67</v>
      </c>
      <c r="C45" s="33"/>
      <c r="D45" s="12">
        <f>C45*84</f>
        <v>0</v>
      </c>
      <c r="F45" s="37"/>
      <c r="G45" s="76"/>
      <c r="H45" s="144"/>
      <c r="I45" s="144"/>
      <c r="J45" s="144"/>
      <c r="K45" s="21"/>
      <c r="P45" s="4"/>
      <c r="Q45" s="4"/>
      <c r="R45" s="5"/>
    </row>
    <row r="46" spans="1:18" ht="15.75" x14ac:dyDescent="0.25">
      <c r="A46" s="120"/>
      <c r="B46" s="49" t="s">
        <v>69</v>
      </c>
      <c r="C46" s="81"/>
      <c r="D46" s="12">
        <f>C46*1.5</f>
        <v>0</v>
      </c>
      <c r="F46" s="37"/>
      <c r="G46" s="62"/>
      <c r="H46" s="145"/>
      <c r="I46" s="145"/>
      <c r="J46" s="145"/>
      <c r="K46" s="21"/>
      <c r="P46" s="4"/>
      <c r="Q46" s="4"/>
      <c r="R46" s="5"/>
    </row>
    <row r="47" spans="1:18" ht="15.75" x14ac:dyDescent="0.25">
      <c r="A47" s="121"/>
      <c r="B47" s="27"/>
      <c r="C47" s="11"/>
      <c r="D47" s="12"/>
      <c r="F47" s="59"/>
      <c r="G47" s="59"/>
      <c r="H47" s="122"/>
      <c r="I47" s="123"/>
      <c r="J47" s="124"/>
      <c r="K47" s="21"/>
      <c r="P47" s="4"/>
      <c r="Q47" s="4"/>
      <c r="R47" s="5"/>
    </row>
    <row r="48" spans="1:18" ht="15" customHeight="1" x14ac:dyDescent="0.25">
      <c r="A48" s="119" t="s">
        <v>32</v>
      </c>
      <c r="B48" s="27" t="s">
        <v>65</v>
      </c>
      <c r="C48" s="10">
        <v>3</v>
      </c>
      <c r="D48" s="12">
        <f>C48*78</f>
        <v>234</v>
      </c>
      <c r="F48" s="59"/>
      <c r="G48" s="59"/>
      <c r="H48" s="122"/>
      <c r="I48" s="123"/>
      <c r="J48" s="124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20"/>
      <c r="B49" s="29" t="s">
        <v>67</v>
      </c>
      <c r="C49" s="33">
        <v>6</v>
      </c>
      <c r="D49" s="12">
        <f>C49*42</f>
        <v>252</v>
      </c>
      <c r="F49" s="125" t="s">
        <v>85</v>
      </c>
      <c r="G49" s="127">
        <f>H34+H35+H36+H37+H38+H39+H40+H41+G42+H44+H45+H46</f>
        <v>269353</v>
      </c>
      <c r="H49" s="128"/>
      <c r="I49" s="128"/>
      <c r="J49" s="129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0"/>
      <c r="B50" s="32" t="s">
        <v>69</v>
      </c>
      <c r="C50" s="81">
        <v>7</v>
      </c>
      <c r="D50" s="12">
        <f>C50*1.5</f>
        <v>10.5</v>
      </c>
      <c r="F50" s="126"/>
      <c r="G50" s="130"/>
      <c r="H50" s="131"/>
      <c r="I50" s="131"/>
      <c r="J50" s="132"/>
      <c r="O50" t="s">
        <v>114</v>
      </c>
      <c r="P50" s="4">
        <v>1204</v>
      </c>
      <c r="Q50" s="4"/>
      <c r="R50" s="5"/>
    </row>
    <row r="51" spans="1:18" ht="15" customHeight="1" x14ac:dyDescent="0.25">
      <c r="A51" s="120"/>
      <c r="B51" s="27"/>
      <c r="C51" s="10"/>
      <c r="D51" s="31"/>
      <c r="F51" s="133" t="s">
        <v>186</v>
      </c>
      <c r="G51" s="246">
        <f>G49-H29</f>
        <v>-768.5</v>
      </c>
      <c r="H51" s="247"/>
      <c r="I51" s="247"/>
      <c r="J51" s="248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20"/>
      <c r="B52" s="29"/>
      <c r="C52" s="33"/>
      <c r="D52" s="45"/>
      <c r="F52" s="134"/>
      <c r="G52" s="249"/>
      <c r="H52" s="250"/>
      <c r="I52" s="250"/>
      <c r="J52" s="251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1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05" t="s">
        <v>89</v>
      </c>
      <c r="B54" s="106"/>
      <c r="C54" s="107"/>
      <c r="D54" s="111">
        <f>SUM(D34:D53)</f>
        <v>48226.5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08"/>
      <c r="B55" s="109"/>
      <c r="C55" s="110"/>
      <c r="D55" s="11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13" t="s">
        <v>90</v>
      </c>
      <c r="B58" s="114"/>
      <c r="C58" s="114"/>
      <c r="D58" s="115"/>
      <c r="F58" s="113" t="s">
        <v>91</v>
      </c>
      <c r="G58" s="114"/>
      <c r="H58" s="114"/>
      <c r="I58" s="114"/>
      <c r="J58" s="115"/>
    </row>
    <row r="59" spans="1:18" x14ac:dyDescent="0.25">
      <c r="A59" s="116"/>
      <c r="B59" s="117"/>
      <c r="C59" s="117"/>
      <c r="D59" s="118"/>
      <c r="F59" s="116"/>
      <c r="G59" s="117"/>
      <c r="H59" s="117"/>
      <c r="I59" s="117"/>
      <c r="J59" s="118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46B429-0E64-42C1-BF6A-1B877DDED732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1" t="s">
        <v>1</v>
      </c>
      <c r="O1" s="201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2" t="s">
        <v>7</v>
      </c>
      <c r="B4" s="153"/>
      <c r="C4" s="153"/>
      <c r="D4" s="154"/>
      <c r="F4" s="202" t="s">
        <v>8</v>
      </c>
      <c r="G4" s="204">
        <v>3</v>
      </c>
      <c r="H4" s="206" t="s">
        <v>9</v>
      </c>
      <c r="I4" s="208">
        <v>46161</v>
      </c>
      <c r="J4" s="20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6" t="s">
        <v>7</v>
      </c>
      <c r="B5" s="15" t="s">
        <v>11</v>
      </c>
      <c r="C5" s="9" t="s">
        <v>12</v>
      </c>
      <c r="D5" s="25" t="s">
        <v>13</v>
      </c>
      <c r="F5" s="203"/>
      <c r="G5" s="205"/>
      <c r="H5" s="207"/>
      <c r="I5" s="210"/>
      <c r="J5" s="21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7"/>
      <c r="B6" s="16" t="s">
        <v>15</v>
      </c>
      <c r="C6" s="10">
        <v>551</v>
      </c>
      <c r="D6" s="13">
        <f t="shared" ref="D6:D28" si="1">C6*L6</f>
        <v>419311</v>
      </c>
      <c r="F6" s="212" t="s">
        <v>16</v>
      </c>
      <c r="G6" s="214" t="s">
        <v>117</v>
      </c>
      <c r="H6" s="215"/>
      <c r="I6" s="215"/>
      <c r="J6" s="21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7"/>
      <c r="B7" s="16" t="s">
        <v>18</v>
      </c>
      <c r="C7" s="10">
        <v>10</v>
      </c>
      <c r="D7" s="13">
        <f t="shared" si="1"/>
        <v>7810</v>
      </c>
      <c r="F7" s="213"/>
      <c r="G7" s="217"/>
      <c r="H7" s="218"/>
      <c r="I7" s="218"/>
      <c r="J7" s="21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7"/>
      <c r="B8" s="16" t="s">
        <v>20</v>
      </c>
      <c r="C8" s="10">
        <v>2</v>
      </c>
      <c r="D8" s="13">
        <f t="shared" si="1"/>
        <v>2186</v>
      </c>
      <c r="F8" s="220" t="s">
        <v>21</v>
      </c>
      <c r="G8" s="221" t="s">
        <v>110</v>
      </c>
      <c r="H8" s="222"/>
      <c r="I8" s="222"/>
      <c r="J8" s="22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7"/>
      <c r="B9" s="16" t="s">
        <v>23</v>
      </c>
      <c r="C9" s="10">
        <v>62</v>
      </c>
      <c r="D9" s="13">
        <f t="shared" si="1"/>
        <v>45446</v>
      </c>
      <c r="F9" s="213"/>
      <c r="G9" s="224"/>
      <c r="H9" s="225"/>
      <c r="I9" s="225"/>
      <c r="J9" s="22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7"/>
      <c r="B10" t="s">
        <v>25</v>
      </c>
      <c r="C10" s="10">
        <v>5</v>
      </c>
      <c r="D10" s="13">
        <f t="shared" si="1"/>
        <v>5160</v>
      </c>
      <c r="F10" s="212" t="s">
        <v>26</v>
      </c>
      <c r="G10" s="227" t="s">
        <v>124</v>
      </c>
      <c r="H10" s="228"/>
      <c r="I10" s="228"/>
      <c r="J10" s="229"/>
      <c r="K10" s="8"/>
      <c r="L10" s="6">
        <f>R36</f>
        <v>1032</v>
      </c>
      <c r="P10" s="4"/>
      <c r="Q10" s="4"/>
      <c r="R10" s="5"/>
    </row>
    <row r="11" spans="1:18" ht="15.75" x14ac:dyDescent="0.25">
      <c r="A11" s="147"/>
      <c r="B11" s="17" t="s">
        <v>28</v>
      </c>
      <c r="C11" s="10">
        <v>15</v>
      </c>
      <c r="D11" s="13">
        <f t="shared" si="1"/>
        <v>17550</v>
      </c>
      <c r="F11" s="213"/>
      <c r="G11" s="224"/>
      <c r="H11" s="225"/>
      <c r="I11" s="225"/>
      <c r="J11" s="22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7"/>
      <c r="B12" s="17" t="s">
        <v>30</v>
      </c>
      <c r="C12" s="10">
        <f>15+3</f>
        <v>18</v>
      </c>
      <c r="D12" s="48">
        <f t="shared" si="1"/>
        <v>17856</v>
      </c>
      <c r="F12" s="230" t="s">
        <v>33</v>
      </c>
      <c r="G12" s="231"/>
      <c r="H12" s="231"/>
      <c r="I12" s="231"/>
      <c r="J12" s="23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7"/>
      <c r="B13" s="17" t="s">
        <v>32</v>
      </c>
      <c r="C13" s="10">
        <v>26</v>
      </c>
      <c r="D13" s="48">
        <f t="shared" si="1"/>
        <v>7982</v>
      </c>
      <c r="F13" s="233" t="s">
        <v>36</v>
      </c>
      <c r="G13" s="197"/>
      <c r="H13" s="188">
        <f>D29</f>
        <v>524541</v>
      </c>
      <c r="I13" s="189"/>
      <c r="J13" s="19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7"/>
      <c r="B14" s="14" t="s">
        <v>35</v>
      </c>
      <c r="C14" s="10"/>
      <c r="D14" s="31">
        <f t="shared" si="1"/>
        <v>0</v>
      </c>
      <c r="F14" s="191" t="s">
        <v>38</v>
      </c>
      <c r="G14" s="192"/>
      <c r="H14" s="193">
        <f>D54</f>
        <v>72742.5</v>
      </c>
      <c r="I14" s="194"/>
      <c r="J14" s="19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7"/>
      <c r="B15" s="14" t="s">
        <v>122</v>
      </c>
      <c r="C15" s="10">
        <f>1+1</f>
        <v>2</v>
      </c>
      <c r="D15" s="31">
        <f t="shared" si="1"/>
        <v>1240</v>
      </c>
      <c r="F15" s="196" t="s">
        <v>39</v>
      </c>
      <c r="G15" s="197"/>
      <c r="H15" s="198">
        <f>H13-H14</f>
        <v>451798.5</v>
      </c>
      <c r="I15" s="199"/>
      <c r="J15" s="200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7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58">
        <f>2910+390+360</f>
        <v>3660</v>
      </c>
      <c r="I16" s="158"/>
      <c r="J16" s="158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7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69"/>
      <c r="I17" s="169"/>
      <c r="J17" s="169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7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69"/>
      <c r="I18" s="169"/>
      <c r="J18" s="169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7"/>
      <c r="B19" s="87" t="s">
        <v>105</v>
      </c>
      <c r="C19" s="10"/>
      <c r="D19" s="48">
        <f t="shared" si="1"/>
        <v>0</v>
      </c>
      <c r="F19" s="56"/>
      <c r="G19" s="68" t="s">
        <v>49</v>
      </c>
      <c r="H19" s="253"/>
      <c r="I19" s="253"/>
      <c r="J19" s="253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7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58"/>
      <c r="I20" s="158"/>
      <c r="J20" s="158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7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71" t="s">
        <v>13</v>
      </c>
      <c r="I21" s="172"/>
      <c r="J21" s="173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7"/>
      <c r="B22" s="46" t="s">
        <v>103</v>
      </c>
      <c r="C22" s="10"/>
      <c r="D22" s="48">
        <f t="shared" si="1"/>
        <v>0</v>
      </c>
      <c r="F22" s="77"/>
      <c r="G22" s="73"/>
      <c r="H22" s="174"/>
      <c r="I22" s="174"/>
      <c r="J22" s="174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7"/>
      <c r="B23" s="14" t="s">
        <v>121</v>
      </c>
      <c r="C23" s="10"/>
      <c r="D23" s="48">
        <f t="shared" si="1"/>
        <v>0</v>
      </c>
      <c r="F23" s="78"/>
      <c r="G23" s="79"/>
      <c r="H23" s="254"/>
      <c r="I23" s="174"/>
      <c r="J23" s="174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7"/>
      <c r="B24" s="14" t="s">
        <v>128</v>
      </c>
      <c r="C24" s="10"/>
      <c r="D24" s="48">
        <f t="shared" si="1"/>
        <v>0</v>
      </c>
      <c r="F24" s="38"/>
      <c r="G24" s="37"/>
      <c r="H24" s="175"/>
      <c r="I24" s="144"/>
      <c r="J24" s="144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7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76" t="s">
        <v>13</v>
      </c>
      <c r="I25" s="177"/>
      <c r="J25" s="178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7"/>
      <c r="B26" s="14" t="s">
        <v>129</v>
      </c>
      <c r="C26" s="10"/>
      <c r="D26" s="48">
        <f t="shared" si="1"/>
        <v>0</v>
      </c>
      <c r="F26" s="64"/>
      <c r="G26" s="59"/>
      <c r="H26" s="179"/>
      <c r="I26" s="180"/>
      <c r="J26" s="181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7"/>
      <c r="B27" s="14" t="s">
        <v>130</v>
      </c>
      <c r="C27" s="10"/>
      <c r="D27" s="44">
        <f t="shared" si="1"/>
        <v>0</v>
      </c>
      <c r="F27" s="25"/>
      <c r="G27" s="80"/>
      <c r="H27" s="182"/>
      <c r="I27" s="183"/>
      <c r="J27" s="184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8"/>
      <c r="B28" s="46" t="s">
        <v>92</v>
      </c>
      <c r="C28" s="10"/>
      <c r="D28" s="48">
        <f t="shared" si="1"/>
        <v>0</v>
      </c>
      <c r="F28" s="91"/>
      <c r="G28" s="61"/>
      <c r="H28" s="185"/>
      <c r="I28" s="186"/>
      <c r="J28" s="187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9" t="s">
        <v>36</v>
      </c>
      <c r="B29" s="160"/>
      <c r="C29" s="161"/>
      <c r="D29" s="165">
        <f>SUM(D6:D28)</f>
        <v>524541</v>
      </c>
      <c r="F29" s="105" t="s">
        <v>54</v>
      </c>
      <c r="G29" s="167"/>
      <c r="H29" s="127">
        <f>H15-H16-H17-H18-H19-H20-H22-H23-H24+H26+H27</f>
        <v>448138.5</v>
      </c>
      <c r="I29" s="128"/>
      <c r="J29" s="129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08"/>
      <c r="G30" s="168"/>
      <c r="H30" s="130"/>
      <c r="I30" s="131"/>
      <c r="J30" s="132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2" t="s">
        <v>57</v>
      </c>
      <c r="B32" s="153"/>
      <c r="C32" s="153"/>
      <c r="D32" s="154"/>
      <c r="F32" s="155" t="s">
        <v>58</v>
      </c>
      <c r="G32" s="156"/>
      <c r="H32" s="156"/>
      <c r="I32" s="156"/>
      <c r="J32" s="157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2" t="s">
        <v>62</v>
      </c>
      <c r="H33" s="155" t="s">
        <v>13</v>
      </c>
      <c r="I33" s="156"/>
      <c r="J33" s="157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6" t="s">
        <v>64</v>
      </c>
      <c r="B34" s="26" t="s">
        <v>65</v>
      </c>
      <c r="C34" s="51">
        <v>4</v>
      </c>
      <c r="D34" s="30">
        <f>C34*120</f>
        <v>480</v>
      </c>
      <c r="F34" s="12">
        <v>1000</v>
      </c>
      <c r="G34" s="74">
        <v>103</v>
      </c>
      <c r="H34" s="149">
        <f>F34*G34</f>
        <v>103000</v>
      </c>
      <c r="I34" s="150"/>
      <c r="J34" s="151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7"/>
      <c r="B35" s="27" t="s">
        <v>67</v>
      </c>
      <c r="C35" s="52"/>
      <c r="D35" s="30">
        <f>C35*84</f>
        <v>0</v>
      </c>
      <c r="F35" s="58">
        <v>500</v>
      </c>
      <c r="G35" s="41">
        <v>15</v>
      </c>
      <c r="H35" s="149">
        <f>F35*G35</f>
        <v>7500</v>
      </c>
      <c r="I35" s="150"/>
      <c r="J35" s="15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8"/>
      <c r="B36" s="26" t="s">
        <v>69</v>
      </c>
      <c r="C36" s="10"/>
      <c r="D36" s="12">
        <f>C36*1.5</f>
        <v>0</v>
      </c>
      <c r="F36" s="12">
        <v>200</v>
      </c>
      <c r="G36" s="37"/>
      <c r="H36" s="149">
        <f t="shared" ref="H36:H39" si="2">F36*G36</f>
        <v>0</v>
      </c>
      <c r="I36" s="150"/>
      <c r="J36" s="151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6" t="s">
        <v>71</v>
      </c>
      <c r="B37" s="28" t="s">
        <v>65</v>
      </c>
      <c r="C37" s="53">
        <f>540+19</f>
        <v>559</v>
      </c>
      <c r="D37" s="12">
        <f>C37*111</f>
        <v>62049</v>
      </c>
      <c r="F37" s="12">
        <v>100</v>
      </c>
      <c r="G37" s="39">
        <v>82</v>
      </c>
      <c r="H37" s="149">
        <f t="shared" si="2"/>
        <v>8200</v>
      </c>
      <c r="I37" s="150"/>
      <c r="J37" s="151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7"/>
      <c r="B38" s="29" t="s">
        <v>67</v>
      </c>
      <c r="C38" s="54">
        <v>13</v>
      </c>
      <c r="D38" s="12">
        <f>C38*84</f>
        <v>1092</v>
      </c>
      <c r="F38" s="30">
        <v>50</v>
      </c>
      <c r="G38" s="39">
        <v>6</v>
      </c>
      <c r="H38" s="149">
        <f t="shared" si="2"/>
        <v>300</v>
      </c>
      <c r="I38" s="150"/>
      <c r="J38" s="151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8"/>
      <c r="B39" s="29" t="s">
        <v>69</v>
      </c>
      <c r="C39" s="52">
        <v>5</v>
      </c>
      <c r="D39" s="31">
        <f>C39*4.5</f>
        <v>22.5</v>
      </c>
      <c r="F39" s="12">
        <v>20</v>
      </c>
      <c r="G39" s="37"/>
      <c r="H39" s="149">
        <f t="shared" si="2"/>
        <v>0</v>
      </c>
      <c r="I39" s="150"/>
      <c r="J39" s="15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6" t="s">
        <v>75</v>
      </c>
      <c r="B40" s="27" t="s">
        <v>65</v>
      </c>
      <c r="C40" s="63">
        <v>31</v>
      </c>
      <c r="D40" s="12">
        <f>C40*111</f>
        <v>3441</v>
      </c>
      <c r="F40" s="12">
        <v>10</v>
      </c>
      <c r="G40" s="42"/>
      <c r="H40" s="149"/>
      <c r="I40" s="150"/>
      <c r="J40" s="151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7"/>
      <c r="B41" s="27" t="s">
        <v>67</v>
      </c>
      <c r="C41" s="10"/>
      <c r="D41" s="12">
        <f>C41*84</f>
        <v>0</v>
      </c>
      <c r="F41" s="12">
        <v>5</v>
      </c>
      <c r="G41" s="42"/>
      <c r="H41" s="149"/>
      <c r="I41" s="150"/>
      <c r="J41" s="151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8"/>
      <c r="B42" s="27" t="s">
        <v>69</v>
      </c>
      <c r="C42" s="11">
        <v>2</v>
      </c>
      <c r="D42" s="12">
        <f>C42*2.25</f>
        <v>4.5</v>
      </c>
      <c r="F42" s="39" t="s">
        <v>78</v>
      </c>
      <c r="G42" s="149">
        <v>68</v>
      </c>
      <c r="H42" s="150"/>
      <c r="I42" s="150"/>
      <c r="J42" s="151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19" t="s">
        <v>80</v>
      </c>
      <c r="C43" s="11"/>
      <c r="D43" s="12"/>
      <c r="F43" s="59" t="s">
        <v>81</v>
      </c>
      <c r="G43" s="88" t="s">
        <v>82</v>
      </c>
      <c r="H43" s="141" t="s">
        <v>13</v>
      </c>
      <c r="I43" s="142"/>
      <c r="J43" s="143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20"/>
      <c r="B44" s="27" t="s">
        <v>65</v>
      </c>
      <c r="C44" s="10">
        <v>29</v>
      </c>
      <c r="D44" s="12">
        <f>C44*120</f>
        <v>3480</v>
      </c>
      <c r="F44" s="37" t="s">
        <v>136</v>
      </c>
      <c r="G44" s="76" t="s">
        <v>194</v>
      </c>
      <c r="H44" s="144">
        <v>329457</v>
      </c>
      <c r="I44" s="144"/>
      <c r="J44" s="144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20"/>
      <c r="B45" s="27" t="s">
        <v>67</v>
      </c>
      <c r="C45" s="33"/>
      <c r="D45" s="12">
        <f>C45*84</f>
        <v>0</v>
      </c>
      <c r="F45" s="37"/>
      <c r="G45" s="76"/>
      <c r="H45" s="144"/>
      <c r="I45" s="144"/>
      <c r="J45" s="144"/>
      <c r="K45" s="21"/>
      <c r="P45" s="4"/>
      <c r="Q45" s="4"/>
      <c r="R45" s="5"/>
    </row>
    <row r="46" spans="1:18" ht="15.75" x14ac:dyDescent="0.25">
      <c r="A46" s="120"/>
      <c r="B46" s="49" t="s">
        <v>69</v>
      </c>
      <c r="C46" s="81"/>
      <c r="D46" s="12">
        <f>C46*1.5</f>
        <v>0</v>
      </c>
      <c r="F46" s="37"/>
      <c r="G46" s="62"/>
      <c r="H46" s="145"/>
      <c r="I46" s="145"/>
      <c r="J46" s="145"/>
      <c r="K46" s="21"/>
      <c r="P46" s="4"/>
      <c r="Q46" s="4"/>
      <c r="R46" s="5"/>
    </row>
    <row r="47" spans="1:18" ht="15.75" x14ac:dyDescent="0.25">
      <c r="A47" s="121"/>
      <c r="B47" s="27"/>
      <c r="C47" s="11"/>
      <c r="D47" s="12"/>
      <c r="F47" s="59"/>
      <c r="G47" s="59"/>
      <c r="H47" s="122"/>
      <c r="I47" s="123"/>
      <c r="J47" s="124"/>
      <c r="K47" s="21"/>
      <c r="P47" s="4"/>
      <c r="Q47" s="4"/>
      <c r="R47" s="5"/>
    </row>
    <row r="48" spans="1:18" ht="15" customHeight="1" x14ac:dyDescent="0.25">
      <c r="A48" s="119" t="s">
        <v>32</v>
      </c>
      <c r="B48" s="27" t="s">
        <v>65</v>
      </c>
      <c r="C48" s="10">
        <v>16</v>
      </c>
      <c r="D48" s="12">
        <f>C48*78</f>
        <v>1248</v>
      </c>
      <c r="F48" s="59"/>
      <c r="G48" s="59"/>
      <c r="H48" s="122"/>
      <c r="I48" s="123"/>
      <c r="J48" s="124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20"/>
      <c r="B49" s="29" t="s">
        <v>67</v>
      </c>
      <c r="C49" s="33">
        <v>22</v>
      </c>
      <c r="D49" s="12">
        <f>C49*42</f>
        <v>924</v>
      </c>
      <c r="F49" s="125" t="s">
        <v>85</v>
      </c>
      <c r="G49" s="127">
        <f>H34+H35+H36+H37+H38+H39+H40+H41+G42+H44+H45+H46</f>
        <v>448525</v>
      </c>
      <c r="H49" s="128"/>
      <c r="I49" s="128"/>
      <c r="J49" s="129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0"/>
      <c r="B50" s="32" t="s">
        <v>69</v>
      </c>
      <c r="C50" s="11">
        <v>1</v>
      </c>
      <c r="D50" s="12">
        <f>C50*1.5</f>
        <v>1.5</v>
      </c>
      <c r="F50" s="126"/>
      <c r="G50" s="130"/>
      <c r="H50" s="131"/>
      <c r="I50" s="131"/>
      <c r="J50" s="132"/>
      <c r="O50" t="s">
        <v>114</v>
      </c>
      <c r="P50" s="4">
        <v>1204</v>
      </c>
      <c r="Q50" s="4"/>
      <c r="R50" s="5"/>
    </row>
    <row r="51" spans="1:18" ht="15" customHeight="1" x14ac:dyDescent="0.25">
      <c r="A51" s="120"/>
      <c r="B51" s="27"/>
      <c r="C51" s="10"/>
      <c r="D51" s="31"/>
      <c r="F51" s="133" t="s">
        <v>195</v>
      </c>
      <c r="G51" s="236">
        <f>G49-H29</f>
        <v>386.5</v>
      </c>
      <c r="H51" s="237"/>
      <c r="I51" s="237"/>
      <c r="J51" s="238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20"/>
      <c r="B52" s="29"/>
      <c r="C52" s="33"/>
      <c r="D52" s="45"/>
      <c r="F52" s="134"/>
      <c r="G52" s="239"/>
      <c r="H52" s="240"/>
      <c r="I52" s="240"/>
      <c r="J52" s="241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1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05" t="s">
        <v>89</v>
      </c>
      <c r="B54" s="106"/>
      <c r="C54" s="107"/>
      <c r="D54" s="111">
        <f>SUM(D34:D53)</f>
        <v>72742.5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08"/>
      <c r="B55" s="109"/>
      <c r="C55" s="110"/>
      <c r="D55" s="11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13" t="s">
        <v>90</v>
      </c>
      <c r="B58" s="114"/>
      <c r="C58" s="114"/>
      <c r="D58" s="115"/>
      <c r="F58" s="113" t="s">
        <v>91</v>
      </c>
      <c r="G58" s="114"/>
      <c r="H58" s="114"/>
      <c r="I58" s="114"/>
      <c r="J58" s="115"/>
    </row>
    <row r="59" spans="1:18" x14ac:dyDescent="0.25">
      <c r="A59" s="116"/>
      <c r="B59" s="117"/>
      <c r="C59" s="117"/>
      <c r="D59" s="118"/>
      <c r="F59" s="116"/>
      <c r="G59" s="117"/>
      <c r="H59" s="117"/>
      <c r="I59" s="117"/>
      <c r="J59" s="118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C7E892-0B5C-4E84-8213-D4BEBB407C9A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01" t="s">
        <v>1</v>
      </c>
      <c r="O1" s="201"/>
      <c r="P1" s="90" t="s">
        <v>2</v>
      </c>
      <c r="Q1" s="90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52" t="s">
        <v>7</v>
      </c>
      <c r="B4" s="153"/>
      <c r="C4" s="153"/>
      <c r="D4" s="154"/>
      <c r="F4" s="202" t="s">
        <v>8</v>
      </c>
      <c r="G4" s="204"/>
      <c r="H4" s="206" t="s">
        <v>9</v>
      </c>
      <c r="I4" s="208"/>
      <c r="J4" s="20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46" t="s">
        <v>7</v>
      </c>
      <c r="B5" s="15" t="s">
        <v>11</v>
      </c>
      <c r="C5" s="9" t="s">
        <v>12</v>
      </c>
      <c r="D5" s="25" t="s">
        <v>13</v>
      </c>
      <c r="F5" s="203"/>
      <c r="G5" s="205"/>
      <c r="H5" s="207"/>
      <c r="I5" s="210"/>
      <c r="J5" s="21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47"/>
      <c r="B6" s="16"/>
      <c r="C6" s="10"/>
      <c r="D6" s="13">
        <f t="shared" ref="D6:D28" si="1">C6*L6</f>
        <v>0</v>
      </c>
      <c r="F6" s="212" t="s">
        <v>16</v>
      </c>
      <c r="G6" s="214"/>
      <c r="H6" s="215"/>
      <c r="I6" s="215"/>
      <c r="J6" s="216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47"/>
      <c r="B7" s="16"/>
      <c r="C7" s="10"/>
      <c r="D7" s="13">
        <f t="shared" si="1"/>
        <v>0</v>
      </c>
      <c r="F7" s="213"/>
      <c r="G7" s="217"/>
      <c r="H7" s="218"/>
      <c r="I7" s="218"/>
      <c r="J7" s="219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47"/>
      <c r="B8" s="16"/>
      <c r="C8" s="10"/>
      <c r="D8" s="13">
        <f t="shared" si="1"/>
        <v>0</v>
      </c>
      <c r="F8" s="220" t="s">
        <v>21</v>
      </c>
      <c r="G8" s="221"/>
      <c r="H8" s="222"/>
      <c r="I8" s="222"/>
      <c r="J8" s="223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47"/>
      <c r="B9" s="16"/>
      <c r="C9" s="10"/>
      <c r="D9" s="13">
        <f t="shared" si="1"/>
        <v>0</v>
      </c>
      <c r="F9" s="213"/>
      <c r="G9" s="224"/>
      <c r="H9" s="225"/>
      <c r="I9" s="225"/>
      <c r="J9" s="226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47"/>
      <c r="C10" s="10"/>
      <c r="D10" s="13">
        <f t="shared" si="1"/>
        <v>0</v>
      </c>
      <c r="F10" s="212" t="s">
        <v>26</v>
      </c>
      <c r="G10" s="227"/>
      <c r="H10" s="228"/>
      <c r="I10" s="228"/>
      <c r="J10" s="229"/>
      <c r="K10" s="8"/>
      <c r="L10" s="6">
        <f>R36</f>
        <v>972</v>
      </c>
      <c r="P10" s="4"/>
      <c r="Q10" s="4"/>
      <c r="R10" s="5"/>
    </row>
    <row r="11" spans="1:19" ht="15.75" x14ac:dyDescent="0.25">
      <c r="A11" s="147"/>
      <c r="B11" s="17"/>
      <c r="C11" s="10"/>
      <c r="D11" s="13">
        <f t="shared" si="1"/>
        <v>0</v>
      </c>
      <c r="F11" s="213"/>
      <c r="G11" s="224"/>
      <c r="H11" s="225"/>
      <c r="I11" s="225"/>
      <c r="J11" s="226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47"/>
      <c r="B12" s="17"/>
      <c r="C12" s="10"/>
      <c r="D12" s="48">
        <f t="shared" si="1"/>
        <v>0</v>
      </c>
      <c r="F12" s="230" t="s">
        <v>33</v>
      </c>
      <c r="G12" s="231"/>
      <c r="H12" s="231"/>
      <c r="I12" s="231"/>
      <c r="J12" s="232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47"/>
      <c r="B13" s="17"/>
      <c r="C13" s="10"/>
      <c r="D13" s="48">
        <f t="shared" si="1"/>
        <v>0</v>
      </c>
      <c r="F13" s="233" t="s">
        <v>36</v>
      </c>
      <c r="G13" s="197"/>
      <c r="H13" s="188">
        <f>D29</f>
        <v>0</v>
      </c>
      <c r="I13" s="189"/>
      <c r="J13" s="19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47"/>
      <c r="B14" s="14"/>
      <c r="C14" s="10"/>
      <c r="D14" s="31">
        <f t="shared" si="1"/>
        <v>0</v>
      </c>
      <c r="F14" s="191" t="s">
        <v>38</v>
      </c>
      <c r="G14" s="192"/>
      <c r="H14" s="193">
        <f>D54</f>
        <v>0</v>
      </c>
      <c r="I14" s="194"/>
      <c r="J14" s="19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47"/>
      <c r="B15" s="14"/>
      <c r="C15" s="10"/>
      <c r="D15" s="31">
        <f t="shared" si="1"/>
        <v>0</v>
      </c>
      <c r="F15" s="196" t="s">
        <v>39</v>
      </c>
      <c r="G15" s="197"/>
      <c r="H15" s="198">
        <f>H13-H14</f>
        <v>0</v>
      </c>
      <c r="I15" s="199"/>
      <c r="J15" s="200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47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58"/>
      <c r="I16" s="158"/>
      <c r="J16" s="158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7"/>
      <c r="C17" s="10"/>
      <c r="D17" s="48">
        <f t="shared" si="1"/>
        <v>0</v>
      </c>
      <c r="F17" s="56"/>
      <c r="G17" s="66" t="s">
        <v>44</v>
      </c>
      <c r="H17" s="169"/>
      <c r="I17" s="169"/>
      <c r="J17" s="169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7"/>
      <c r="B18" s="19"/>
      <c r="C18" s="10"/>
      <c r="D18" s="48">
        <f t="shared" si="1"/>
        <v>0</v>
      </c>
      <c r="F18" s="56"/>
      <c r="G18" s="66" t="s">
        <v>46</v>
      </c>
      <c r="H18" s="169"/>
      <c r="I18" s="169"/>
      <c r="J18" s="16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7"/>
      <c r="B19" s="14"/>
      <c r="C19" s="10"/>
      <c r="D19" s="48">
        <f t="shared" si="1"/>
        <v>0</v>
      </c>
      <c r="F19" s="56"/>
      <c r="G19" s="68" t="s">
        <v>49</v>
      </c>
      <c r="H19" s="170"/>
      <c r="I19" s="170"/>
      <c r="J19" s="170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7"/>
      <c r="B20" s="46"/>
      <c r="C20" s="10"/>
      <c r="D20" s="13">
        <f t="shared" si="1"/>
        <v>0</v>
      </c>
      <c r="F20" s="57"/>
      <c r="G20" s="70" t="s">
        <v>102</v>
      </c>
      <c r="H20" s="158"/>
      <c r="I20" s="158"/>
      <c r="J20" s="158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7"/>
      <c r="B21" s="14"/>
      <c r="C21" s="10"/>
      <c r="D21" s="48">
        <f t="shared" si="1"/>
        <v>0</v>
      </c>
      <c r="F21" s="69" t="s">
        <v>94</v>
      </c>
      <c r="G21" s="82" t="s">
        <v>93</v>
      </c>
      <c r="H21" s="171" t="s">
        <v>13</v>
      </c>
      <c r="I21" s="172"/>
      <c r="J21" s="173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7"/>
      <c r="B22" s="46"/>
      <c r="C22" s="10"/>
      <c r="D22" s="48">
        <f t="shared" si="1"/>
        <v>0</v>
      </c>
      <c r="F22" s="77"/>
      <c r="G22" s="73"/>
      <c r="H22" s="174"/>
      <c r="I22" s="174"/>
      <c r="J22" s="174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7"/>
      <c r="B23" s="14"/>
      <c r="C23" s="10"/>
      <c r="D23" s="48">
        <f t="shared" si="1"/>
        <v>0</v>
      </c>
      <c r="F23" s="78"/>
      <c r="G23" s="79"/>
      <c r="H23" s="175"/>
      <c r="I23" s="144"/>
      <c r="J23" s="144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7"/>
      <c r="B24" s="14"/>
      <c r="C24" s="10"/>
      <c r="D24" s="48">
        <f t="shared" si="1"/>
        <v>0</v>
      </c>
      <c r="F24" s="38"/>
      <c r="G24" s="37"/>
      <c r="H24" s="175"/>
      <c r="I24" s="144"/>
      <c r="J24" s="144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7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176" t="s">
        <v>13</v>
      </c>
      <c r="I25" s="177"/>
      <c r="J25" s="178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7"/>
      <c r="B26" s="14"/>
      <c r="C26" s="10"/>
      <c r="D26" s="48">
        <f t="shared" si="1"/>
        <v>0</v>
      </c>
      <c r="F26" s="64"/>
      <c r="G26" s="59"/>
      <c r="H26" s="179"/>
      <c r="I26" s="180"/>
      <c r="J26" s="181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7"/>
      <c r="B27" s="14"/>
      <c r="C27" s="10"/>
      <c r="D27" s="44">
        <f t="shared" si="1"/>
        <v>0</v>
      </c>
      <c r="F27" s="25"/>
      <c r="G27" s="80"/>
      <c r="H27" s="182"/>
      <c r="I27" s="183"/>
      <c r="J27" s="184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8"/>
      <c r="B28" s="46"/>
      <c r="C28" s="10"/>
      <c r="D28" s="48">
        <f t="shared" si="1"/>
        <v>0</v>
      </c>
      <c r="F28" s="91"/>
      <c r="G28" s="61"/>
      <c r="H28" s="185"/>
      <c r="I28" s="186"/>
      <c r="J28" s="187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9" t="s">
        <v>36</v>
      </c>
      <c r="B29" s="160"/>
      <c r="C29" s="161"/>
      <c r="D29" s="165">
        <f>SUM(D6:D28)</f>
        <v>0</v>
      </c>
      <c r="F29" s="105" t="s">
        <v>54</v>
      </c>
      <c r="G29" s="167"/>
      <c r="H29" s="127">
        <f>H15-H16-H17-H18-H19-H20-H22-H23-H24+H26+H27</f>
        <v>0</v>
      </c>
      <c r="I29" s="128"/>
      <c r="J29" s="129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08"/>
      <c r="G30" s="168"/>
      <c r="H30" s="130"/>
      <c r="I30" s="131"/>
      <c r="J30" s="132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52" t="s">
        <v>57</v>
      </c>
      <c r="B32" s="153"/>
      <c r="C32" s="153"/>
      <c r="D32" s="154"/>
      <c r="F32" s="155" t="s">
        <v>58</v>
      </c>
      <c r="G32" s="156"/>
      <c r="H32" s="156"/>
      <c r="I32" s="156"/>
      <c r="J32" s="157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2" t="s">
        <v>62</v>
      </c>
      <c r="H33" s="155" t="s">
        <v>13</v>
      </c>
      <c r="I33" s="156"/>
      <c r="J33" s="157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6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149"/>
      <c r="I34" s="150"/>
      <c r="J34" s="151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7"/>
      <c r="B35" s="27" t="s">
        <v>67</v>
      </c>
      <c r="C35" s="52"/>
      <c r="D35" s="30">
        <f>C35*84</f>
        <v>0</v>
      </c>
      <c r="F35" s="58">
        <v>500</v>
      </c>
      <c r="G35" s="41"/>
      <c r="H35" s="149"/>
      <c r="I35" s="150"/>
      <c r="J35" s="15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8"/>
      <c r="B36" s="26" t="s">
        <v>69</v>
      </c>
      <c r="C36" s="10"/>
      <c r="D36" s="12">
        <f>C36*1.5</f>
        <v>0</v>
      </c>
      <c r="F36" s="12">
        <v>200</v>
      </c>
      <c r="G36" s="37"/>
      <c r="H36" s="149"/>
      <c r="I36" s="150"/>
      <c r="J36" s="151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6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49"/>
      <c r="I37" s="150"/>
      <c r="J37" s="151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7"/>
      <c r="B38" s="29" t="s">
        <v>67</v>
      </c>
      <c r="C38" s="54"/>
      <c r="D38" s="12">
        <f>C38*84</f>
        <v>0</v>
      </c>
      <c r="F38" s="30">
        <v>50</v>
      </c>
      <c r="G38" s="39"/>
      <c r="H38" s="149"/>
      <c r="I38" s="150"/>
      <c r="J38" s="151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8"/>
      <c r="B39" s="29" t="s">
        <v>69</v>
      </c>
      <c r="C39" s="52"/>
      <c r="D39" s="31">
        <f>C39*4.5</f>
        <v>0</v>
      </c>
      <c r="F39" s="12">
        <v>20</v>
      </c>
      <c r="G39" s="37"/>
      <c r="H39" s="149"/>
      <c r="I39" s="150"/>
      <c r="J39" s="15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6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49"/>
      <c r="I40" s="150"/>
      <c r="J40" s="151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7"/>
      <c r="B41" s="27" t="s">
        <v>67</v>
      </c>
      <c r="C41" s="10"/>
      <c r="D41" s="12">
        <f>C41*84</f>
        <v>0</v>
      </c>
      <c r="F41" s="12">
        <v>5</v>
      </c>
      <c r="G41" s="42"/>
      <c r="H41" s="149"/>
      <c r="I41" s="150"/>
      <c r="J41" s="151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8"/>
      <c r="B42" s="27" t="s">
        <v>69</v>
      </c>
      <c r="C42" s="11"/>
      <c r="D42" s="12">
        <f>C42*2.25</f>
        <v>0</v>
      </c>
      <c r="F42" s="39" t="s">
        <v>78</v>
      </c>
      <c r="G42" s="149"/>
      <c r="H42" s="150"/>
      <c r="I42" s="150"/>
      <c r="J42" s="151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19" t="s">
        <v>80</v>
      </c>
      <c r="C43" s="11"/>
      <c r="D43" s="12"/>
      <c r="F43" s="59" t="s">
        <v>81</v>
      </c>
      <c r="G43" s="88" t="s">
        <v>82</v>
      </c>
      <c r="H43" s="141" t="s">
        <v>13</v>
      </c>
      <c r="I43" s="142"/>
      <c r="J43" s="143"/>
      <c r="K43" s="21"/>
      <c r="P43" s="4"/>
      <c r="Q43" s="4"/>
      <c r="R43" s="5"/>
    </row>
    <row r="44" spans="1:18" ht="15.75" x14ac:dyDescent="0.25">
      <c r="A44" s="120"/>
      <c r="B44" s="27" t="s">
        <v>65</v>
      </c>
      <c r="C44" s="10"/>
      <c r="D44" s="12">
        <f>C44*120</f>
        <v>0</v>
      </c>
      <c r="F44" s="37"/>
      <c r="G44" s="76"/>
      <c r="H44" s="144"/>
      <c r="I44" s="144"/>
      <c r="J44" s="144"/>
      <c r="K44" s="21"/>
      <c r="P44" s="4"/>
      <c r="Q44" s="4"/>
      <c r="R44" s="5"/>
    </row>
    <row r="45" spans="1:18" ht="15.75" x14ac:dyDescent="0.25">
      <c r="A45" s="120"/>
      <c r="B45" s="27" t="s">
        <v>67</v>
      </c>
      <c r="C45" s="33"/>
      <c r="D45" s="12">
        <f>C45*84</f>
        <v>0</v>
      </c>
      <c r="F45" s="37"/>
      <c r="G45" s="76"/>
      <c r="H45" s="144"/>
      <c r="I45" s="144"/>
      <c r="J45" s="144"/>
      <c r="K45" s="21"/>
      <c r="P45" s="4"/>
      <c r="Q45" s="4"/>
      <c r="R45" s="5"/>
    </row>
    <row r="46" spans="1:18" ht="15.75" x14ac:dyDescent="0.25">
      <c r="A46" s="120"/>
      <c r="B46" s="49" t="s">
        <v>69</v>
      </c>
      <c r="C46" s="81"/>
      <c r="D46" s="12">
        <f>C46*1.5</f>
        <v>0</v>
      </c>
      <c r="F46" s="37"/>
      <c r="G46" s="62"/>
      <c r="H46" s="145"/>
      <c r="I46" s="145"/>
      <c r="J46" s="145"/>
      <c r="K46" s="21"/>
      <c r="P46" s="4"/>
      <c r="Q46" s="4"/>
      <c r="R46" s="5"/>
    </row>
    <row r="47" spans="1:18" ht="15.75" x14ac:dyDescent="0.25">
      <c r="A47" s="121"/>
      <c r="B47" s="27"/>
      <c r="C47" s="11"/>
      <c r="D47" s="12"/>
      <c r="F47" s="59"/>
      <c r="G47" s="59"/>
      <c r="H47" s="122"/>
      <c r="I47" s="123"/>
      <c r="J47" s="124"/>
      <c r="K47" s="21"/>
      <c r="P47" s="4"/>
      <c r="Q47" s="4"/>
      <c r="R47" s="5"/>
    </row>
    <row r="48" spans="1:18" ht="15" customHeight="1" x14ac:dyDescent="0.25">
      <c r="A48" s="119" t="s">
        <v>32</v>
      </c>
      <c r="B48" s="27" t="s">
        <v>65</v>
      </c>
      <c r="C48" s="10"/>
      <c r="D48" s="12">
        <f>C48*78</f>
        <v>0</v>
      </c>
      <c r="F48" s="59"/>
      <c r="G48" s="59"/>
      <c r="H48" s="122"/>
      <c r="I48" s="123"/>
      <c r="J48" s="124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20"/>
      <c r="B49" s="29" t="s">
        <v>67</v>
      </c>
      <c r="C49" s="33"/>
      <c r="D49" s="12">
        <f>C49*42</f>
        <v>0</v>
      </c>
      <c r="F49" s="125" t="s">
        <v>85</v>
      </c>
      <c r="G49" s="127">
        <f>H34+H35+H36+H37+H38+H39+H40+H41+G42+H44+H45+H46</f>
        <v>0</v>
      </c>
      <c r="H49" s="128"/>
      <c r="I49" s="128"/>
      <c r="J49" s="129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0"/>
      <c r="B50" s="32" t="s">
        <v>69</v>
      </c>
      <c r="C50" s="11"/>
      <c r="D50" s="12">
        <f>C50*1.5</f>
        <v>0</v>
      </c>
      <c r="F50" s="126"/>
      <c r="G50" s="130"/>
      <c r="H50" s="131"/>
      <c r="I50" s="131"/>
      <c r="J50" s="132"/>
      <c r="P50" s="4"/>
      <c r="Q50" s="4"/>
      <c r="R50" s="5"/>
    </row>
    <row r="51" spans="1:18" ht="15" customHeight="1" x14ac:dyDescent="0.25">
      <c r="A51" s="120"/>
      <c r="B51" s="27"/>
      <c r="C51" s="10"/>
      <c r="D51" s="31"/>
      <c r="F51" s="133" t="s">
        <v>106</v>
      </c>
      <c r="G51" s="135">
        <f>G49-H29</f>
        <v>0</v>
      </c>
      <c r="H51" s="136"/>
      <c r="I51" s="136"/>
      <c r="J51" s="137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0"/>
      <c r="B52" s="29"/>
      <c r="C52" s="33"/>
      <c r="D52" s="45"/>
      <c r="F52" s="134"/>
      <c r="G52" s="138"/>
      <c r="H52" s="139"/>
      <c r="I52" s="139"/>
      <c r="J52" s="140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1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05" t="s">
        <v>89</v>
      </c>
      <c r="B54" s="106"/>
      <c r="C54" s="107"/>
      <c r="D54" s="111">
        <f>SUM(D34:D53)</f>
        <v>0</v>
      </c>
      <c r="F54" s="21"/>
      <c r="J54" s="34"/>
    </row>
    <row r="55" spans="1:18" x14ac:dyDescent="0.25">
      <c r="A55" s="108"/>
      <c r="B55" s="109"/>
      <c r="C55" s="110"/>
      <c r="D55" s="11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13" t="s">
        <v>90</v>
      </c>
      <c r="B58" s="114"/>
      <c r="C58" s="114"/>
      <c r="D58" s="115"/>
      <c r="F58" s="113" t="s">
        <v>91</v>
      </c>
      <c r="G58" s="114"/>
      <c r="H58" s="114"/>
      <c r="I58" s="114"/>
      <c r="J58" s="115"/>
    </row>
    <row r="59" spans="1:18" x14ac:dyDescent="0.25">
      <c r="A59" s="116"/>
      <c r="B59" s="117"/>
      <c r="C59" s="117"/>
      <c r="D59" s="118"/>
      <c r="F59" s="116"/>
      <c r="G59" s="117"/>
      <c r="H59" s="117"/>
      <c r="I59" s="117"/>
      <c r="J59" s="118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CAEBBA-D316-42F4-9EC3-07F8BAADED3C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1" t="s">
        <v>1</v>
      </c>
      <c r="O1" s="201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2" t="s">
        <v>7</v>
      </c>
      <c r="B4" s="153"/>
      <c r="C4" s="153"/>
      <c r="D4" s="154"/>
      <c r="F4" s="202" t="s">
        <v>8</v>
      </c>
      <c r="G4" s="204">
        <v>1</v>
      </c>
      <c r="H4" s="206" t="s">
        <v>9</v>
      </c>
      <c r="I4" s="208">
        <v>46162</v>
      </c>
      <c r="J4" s="20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6" t="s">
        <v>7</v>
      </c>
      <c r="B5" s="15" t="s">
        <v>11</v>
      </c>
      <c r="C5" s="9" t="s">
        <v>12</v>
      </c>
      <c r="D5" s="25" t="s">
        <v>13</v>
      </c>
      <c r="F5" s="203"/>
      <c r="G5" s="205"/>
      <c r="H5" s="207"/>
      <c r="I5" s="210"/>
      <c r="J5" s="21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7"/>
      <c r="B6" s="16" t="s">
        <v>15</v>
      </c>
      <c r="C6" s="10">
        <v>453</v>
      </c>
      <c r="D6" s="13">
        <f t="shared" ref="D6:D28" si="1">C6*L6</f>
        <v>344733</v>
      </c>
      <c r="F6" s="212" t="s">
        <v>16</v>
      </c>
      <c r="G6" s="214" t="s">
        <v>99</v>
      </c>
      <c r="H6" s="215"/>
      <c r="I6" s="215"/>
      <c r="J6" s="21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7"/>
      <c r="B7" s="16" t="s">
        <v>18</v>
      </c>
      <c r="C7" s="10">
        <v>15</v>
      </c>
      <c r="D7" s="13">
        <f t="shared" si="1"/>
        <v>11715</v>
      </c>
      <c r="F7" s="213"/>
      <c r="G7" s="217"/>
      <c r="H7" s="218"/>
      <c r="I7" s="218"/>
      <c r="J7" s="21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7"/>
      <c r="B8" s="16" t="s">
        <v>20</v>
      </c>
      <c r="C8" s="10"/>
      <c r="D8" s="13">
        <f t="shared" si="1"/>
        <v>0</v>
      </c>
      <c r="F8" s="220" t="s">
        <v>21</v>
      </c>
      <c r="G8" s="221" t="s">
        <v>120</v>
      </c>
      <c r="H8" s="222"/>
      <c r="I8" s="222"/>
      <c r="J8" s="22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7"/>
      <c r="B9" s="16" t="s">
        <v>23</v>
      </c>
      <c r="C9" s="10">
        <v>40</v>
      </c>
      <c r="D9" s="13">
        <f t="shared" si="1"/>
        <v>29320</v>
      </c>
      <c r="F9" s="213"/>
      <c r="G9" s="224"/>
      <c r="H9" s="225"/>
      <c r="I9" s="225"/>
      <c r="J9" s="22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7"/>
      <c r="B10" t="s">
        <v>25</v>
      </c>
      <c r="C10" s="10"/>
      <c r="D10" s="13">
        <f t="shared" si="1"/>
        <v>0</v>
      </c>
      <c r="F10" s="212" t="s">
        <v>26</v>
      </c>
      <c r="G10" s="227" t="s">
        <v>108</v>
      </c>
      <c r="H10" s="228"/>
      <c r="I10" s="228"/>
      <c r="J10" s="229"/>
      <c r="K10" s="8"/>
      <c r="L10" s="6">
        <f>R36</f>
        <v>1032</v>
      </c>
      <c r="P10" s="4"/>
      <c r="Q10" s="4"/>
      <c r="R10" s="5"/>
    </row>
    <row r="11" spans="1:18" ht="15.75" x14ac:dyDescent="0.25">
      <c r="A11" s="147"/>
      <c r="B11" s="17" t="s">
        <v>28</v>
      </c>
      <c r="C11" s="10"/>
      <c r="D11" s="13">
        <f t="shared" si="1"/>
        <v>0</v>
      </c>
      <c r="F11" s="213"/>
      <c r="G11" s="224"/>
      <c r="H11" s="225"/>
      <c r="I11" s="225"/>
      <c r="J11" s="22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7"/>
      <c r="B12" s="17" t="s">
        <v>30</v>
      </c>
      <c r="C12" s="10">
        <v>3</v>
      </c>
      <c r="D12" s="48">
        <f t="shared" si="1"/>
        <v>2976</v>
      </c>
      <c r="F12" s="230" t="s">
        <v>33</v>
      </c>
      <c r="G12" s="231"/>
      <c r="H12" s="231"/>
      <c r="I12" s="231"/>
      <c r="J12" s="23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7"/>
      <c r="B13" s="17" t="s">
        <v>32</v>
      </c>
      <c r="C13" s="10">
        <v>5</v>
      </c>
      <c r="D13" s="48">
        <f t="shared" si="1"/>
        <v>1535</v>
      </c>
      <c r="F13" s="233" t="s">
        <v>36</v>
      </c>
      <c r="G13" s="197"/>
      <c r="H13" s="188">
        <f>D29</f>
        <v>392951</v>
      </c>
      <c r="I13" s="189"/>
      <c r="J13" s="19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7"/>
      <c r="B14" s="14" t="s">
        <v>35</v>
      </c>
      <c r="C14" s="10">
        <v>12</v>
      </c>
      <c r="D14" s="31">
        <f t="shared" si="1"/>
        <v>132</v>
      </c>
      <c r="F14" s="191" t="s">
        <v>38</v>
      </c>
      <c r="G14" s="192"/>
      <c r="H14" s="193">
        <f>D54</f>
        <v>54639</v>
      </c>
      <c r="I14" s="194"/>
      <c r="J14" s="19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7"/>
      <c r="B15" s="14" t="s">
        <v>122</v>
      </c>
      <c r="C15" s="10">
        <v>2</v>
      </c>
      <c r="D15" s="31">
        <f t="shared" si="1"/>
        <v>1240</v>
      </c>
      <c r="F15" s="196" t="s">
        <v>39</v>
      </c>
      <c r="G15" s="197"/>
      <c r="H15" s="198">
        <f>H13-H14</f>
        <v>338312</v>
      </c>
      <c r="I15" s="199"/>
      <c r="J15" s="200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7"/>
      <c r="B16" s="18" t="s">
        <v>111</v>
      </c>
      <c r="C16" s="10">
        <f>1+1</f>
        <v>2</v>
      </c>
      <c r="D16" s="48">
        <f t="shared" si="1"/>
        <v>1300</v>
      </c>
      <c r="F16" s="67" t="s">
        <v>41</v>
      </c>
      <c r="G16" s="66" t="s">
        <v>42</v>
      </c>
      <c r="H16" s="158"/>
      <c r="I16" s="158"/>
      <c r="J16" s="158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7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69"/>
      <c r="I17" s="169"/>
      <c r="J17" s="169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7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69"/>
      <c r="I18" s="169"/>
      <c r="J18" s="169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7"/>
      <c r="B19" s="83" t="s">
        <v>105</v>
      </c>
      <c r="C19" s="10"/>
      <c r="D19" s="48">
        <f t="shared" si="1"/>
        <v>0</v>
      </c>
      <c r="F19" s="56"/>
      <c r="G19" s="68" t="s">
        <v>49</v>
      </c>
      <c r="H19" s="158"/>
      <c r="I19" s="158"/>
      <c r="J19" s="158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7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58"/>
      <c r="I20" s="158"/>
      <c r="J20" s="158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7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71" t="s">
        <v>13</v>
      </c>
      <c r="I21" s="172"/>
      <c r="J21" s="173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7"/>
      <c r="B22" s="46" t="s">
        <v>103</v>
      </c>
      <c r="C22" s="10"/>
      <c r="D22" s="48">
        <f t="shared" si="1"/>
        <v>0</v>
      </c>
      <c r="F22" s="77"/>
      <c r="G22" s="73"/>
      <c r="H22" s="174"/>
      <c r="I22" s="174"/>
      <c r="J22" s="174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7"/>
      <c r="B23" s="14" t="s">
        <v>121</v>
      </c>
      <c r="C23" s="10"/>
      <c r="D23" s="48">
        <f t="shared" si="1"/>
        <v>0</v>
      </c>
      <c r="F23" s="77"/>
      <c r="G23" s="79"/>
      <c r="H23" s="242"/>
      <c r="I23" s="243"/>
      <c r="J23" s="243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7"/>
      <c r="B24" s="14" t="s">
        <v>128</v>
      </c>
      <c r="C24" s="10"/>
      <c r="D24" s="48">
        <f t="shared" si="1"/>
        <v>0</v>
      </c>
      <c r="F24" s="77"/>
      <c r="G24" s="79"/>
      <c r="H24" s="242"/>
      <c r="I24" s="243"/>
      <c r="J24" s="243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7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76" t="s">
        <v>13</v>
      </c>
      <c r="I25" s="177"/>
      <c r="J25" s="178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7"/>
      <c r="B26" s="14" t="s">
        <v>129</v>
      </c>
      <c r="C26" s="10"/>
      <c r="D26" s="48">
        <f t="shared" si="1"/>
        <v>0</v>
      </c>
      <c r="F26" s="75"/>
      <c r="G26" s="65"/>
      <c r="H26" s="144"/>
      <c r="I26" s="144"/>
      <c r="J26" s="144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7"/>
      <c r="B27" s="14" t="s">
        <v>130</v>
      </c>
      <c r="C27" s="10"/>
      <c r="D27" s="44">
        <f t="shared" si="1"/>
        <v>0</v>
      </c>
      <c r="F27" s="71"/>
      <c r="G27" s="88"/>
      <c r="H27" s="244"/>
      <c r="I27" s="245"/>
      <c r="J27" s="245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8"/>
      <c r="B28" s="46" t="s">
        <v>92</v>
      </c>
      <c r="C28" s="10"/>
      <c r="D28" s="48">
        <f t="shared" si="1"/>
        <v>0</v>
      </c>
      <c r="F28" s="91"/>
      <c r="G28" s="61"/>
      <c r="H28" s="185"/>
      <c r="I28" s="186"/>
      <c r="J28" s="187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9" t="s">
        <v>36</v>
      </c>
      <c r="B29" s="160"/>
      <c r="C29" s="161"/>
      <c r="D29" s="165">
        <f>SUM(D6:D28)</f>
        <v>392951</v>
      </c>
      <c r="F29" s="105" t="s">
        <v>54</v>
      </c>
      <c r="G29" s="167"/>
      <c r="H29" s="127">
        <f>H15-H16-H17-H18-H19-H20-H22-H23-H24+H26+H27+H28</f>
        <v>338312</v>
      </c>
      <c r="I29" s="128"/>
      <c r="J29" s="129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08"/>
      <c r="G30" s="168"/>
      <c r="H30" s="130"/>
      <c r="I30" s="131"/>
      <c r="J30" s="132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2" t="s">
        <v>57</v>
      </c>
      <c r="B32" s="153"/>
      <c r="C32" s="153"/>
      <c r="D32" s="154"/>
      <c r="F32" s="155" t="s">
        <v>58</v>
      </c>
      <c r="G32" s="156"/>
      <c r="H32" s="156"/>
      <c r="I32" s="156"/>
      <c r="J32" s="157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2" t="s">
        <v>62</v>
      </c>
      <c r="H33" s="155" t="s">
        <v>13</v>
      </c>
      <c r="I33" s="156"/>
      <c r="J33" s="157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6" t="s">
        <v>64</v>
      </c>
      <c r="B34" s="26" t="s">
        <v>65</v>
      </c>
      <c r="C34" s="51">
        <v>1</v>
      </c>
      <c r="D34" s="30">
        <f>C34*120</f>
        <v>120</v>
      </c>
      <c r="F34" s="12">
        <v>1000</v>
      </c>
      <c r="G34" s="40">
        <v>134</v>
      </c>
      <c r="H34" s="149">
        <f t="shared" ref="H34:H39" si="2">F34*G34</f>
        <v>134000</v>
      </c>
      <c r="I34" s="150"/>
      <c r="J34" s="151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7"/>
      <c r="B35" s="27" t="s">
        <v>67</v>
      </c>
      <c r="C35" s="52"/>
      <c r="D35" s="30">
        <f>C35*84</f>
        <v>0</v>
      </c>
      <c r="F35" s="58">
        <v>500</v>
      </c>
      <c r="G35" s="41">
        <v>100</v>
      </c>
      <c r="H35" s="149">
        <f t="shared" si="2"/>
        <v>50000</v>
      </c>
      <c r="I35" s="150"/>
      <c r="J35" s="15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8"/>
      <c r="B36" s="26" t="s">
        <v>69</v>
      </c>
      <c r="C36" s="10"/>
      <c r="D36" s="12">
        <f>C36*1.5</f>
        <v>0</v>
      </c>
      <c r="F36" s="12">
        <v>200</v>
      </c>
      <c r="G36" s="37">
        <v>2</v>
      </c>
      <c r="H36" s="149">
        <f t="shared" si="2"/>
        <v>400</v>
      </c>
      <c r="I36" s="150"/>
      <c r="J36" s="151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6" t="s">
        <v>71</v>
      </c>
      <c r="B37" s="28" t="s">
        <v>65</v>
      </c>
      <c r="C37" s="53">
        <v>467</v>
      </c>
      <c r="D37" s="12">
        <f>C37*111</f>
        <v>51837</v>
      </c>
      <c r="F37" s="12">
        <v>100</v>
      </c>
      <c r="G37" s="39">
        <v>83</v>
      </c>
      <c r="H37" s="149">
        <f t="shared" si="2"/>
        <v>8300</v>
      </c>
      <c r="I37" s="150"/>
      <c r="J37" s="151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7"/>
      <c r="B38" s="29" t="s">
        <v>67</v>
      </c>
      <c r="C38" s="54"/>
      <c r="D38" s="12">
        <f>C38*84</f>
        <v>0</v>
      </c>
      <c r="F38" s="30">
        <v>50</v>
      </c>
      <c r="G38" s="39">
        <v>39</v>
      </c>
      <c r="H38" s="149">
        <f t="shared" si="2"/>
        <v>1950</v>
      </c>
      <c r="I38" s="150"/>
      <c r="J38" s="151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8"/>
      <c r="B39" s="29" t="s">
        <v>69</v>
      </c>
      <c r="C39" s="52"/>
      <c r="D39" s="31">
        <f>C39*4.5</f>
        <v>0</v>
      </c>
      <c r="F39" s="12">
        <v>20</v>
      </c>
      <c r="G39" s="37"/>
      <c r="H39" s="149">
        <f t="shared" si="2"/>
        <v>0</v>
      </c>
      <c r="I39" s="150"/>
      <c r="J39" s="15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6" t="s">
        <v>75</v>
      </c>
      <c r="B40" s="27" t="s">
        <v>65</v>
      </c>
      <c r="C40" s="63">
        <v>12</v>
      </c>
      <c r="D40" s="12">
        <f>C40*111</f>
        <v>1332</v>
      </c>
      <c r="F40" s="12">
        <v>10</v>
      </c>
      <c r="G40" s="42"/>
      <c r="H40" s="149"/>
      <c r="I40" s="150"/>
      <c r="J40" s="151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7"/>
      <c r="B41" s="27" t="s">
        <v>67</v>
      </c>
      <c r="C41" s="10"/>
      <c r="D41" s="12">
        <f>C41*84</f>
        <v>0</v>
      </c>
      <c r="F41" s="12">
        <v>5</v>
      </c>
      <c r="G41" s="42"/>
      <c r="H41" s="149"/>
      <c r="I41" s="150"/>
      <c r="J41" s="151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8"/>
      <c r="B42" s="27" t="s">
        <v>69</v>
      </c>
      <c r="C42" s="11"/>
      <c r="D42" s="12">
        <f>C42*2.25</f>
        <v>0</v>
      </c>
      <c r="F42" s="39" t="s">
        <v>78</v>
      </c>
      <c r="G42" s="149">
        <v>30</v>
      </c>
      <c r="H42" s="150"/>
      <c r="I42" s="150"/>
      <c r="J42" s="151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19" t="s">
        <v>80</v>
      </c>
      <c r="C43" s="11"/>
      <c r="D43" s="12"/>
      <c r="F43" s="59" t="s">
        <v>81</v>
      </c>
      <c r="G43" s="88" t="s">
        <v>82</v>
      </c>
      <c r="H43" s="141" t="s">
        <v>13</v>
      </c>
      <c r="I43" s="142"/>
      <c r="J43" s="143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20"/>
      <c r="B44" s="27" t="s">
        <v>65</v>
      </c>
      <c r="C44" s="10">
        <v>7</v>
      </c>
      <c r="D44" s="12">
        <f>C44*120</f>
        <v>840</v>
      </c>
      <c r="F44" s="37" t="s">
        <v>147</v>
      </c>
      <c r="G44" s="76" t="s">
        <v>196</v>
      </c>
      <c r="H44" s="144">
        <v>83120</v>
      </c>
      <c r="I44" s="144"/>
      <c r="J44" s="144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20"/>
      <c r="B45" s="27" t="s">
        <v>67</v>
      </c>
      <c r="C45" s="33"/>
      <c r="D45" s="12">
        <f>C45*84</f>
        <v>0</v>
      </c>
      <c r="F45" s="37" t="s">
        <v>136</v>
      </c>
      <c r="G45" s="93" t="s">
        <v>141</v>
      </c>
      <c r="H45" s="144">
        <v>60000</v>
      </c>
      <c r="I45" s="144"/>
      <c r="J45" s="144"/>
      <c r="K45" s="21"/>
      <c r="P45" s="4"/>
      <c r="Q45" s="4"/>
      <c r="R45" s="5"/>
    </row>
    <row r="46" spans="1:18" ht="15.75" x14ac:dyDescent="0.25">
      <c r="A46" s="120"/>
      <c r="B46" s="49" t="s">
        <v>69</v>
      </c>
      <c r="C46" s="81"/>
      <c r="D46" s="12">
        <f>C46*1.5</f>
        <v>0</v>
      </c>
      <c r="F46" s="37"/>
      <c r="G46" s="62"/>
      <c r="H46" s="144"/>
      <c r="I46" s="144"/>
      <c r="J46" s="144"/>
      <c r="K46" s="21"/>
      <c r="P46" s="4"/>
      <c r="Q46" s="4"/>
      <c r="R46" s="5"/>
    </row>
    <row r="47" spans="1:18" ht="15.75" x14ac:dyDescent="0.25">
      <c r="A47" s="121"/>
      <c r="B47" s="27"/>
      <c r="C47" s="11"/>
      <c r="D47" s="12"/>
      <c r="F47" s="59"/>
      <c r="G47" s="59"/>
      <c r="H47" s="122"/>
      <c r="I47" s="123"/>
      <c r="J47" s="124"/>
      <c r="K47" s="21"/>
      <c r="P47" s="4"/>
      <c r="Q47" s="4"/>
      <c r="R47" s="5"/>
    </row>
    <row r="48" spans="1:18" ht="15" customHeight="1" x14ac:dyDescent="0.25">
      <c r="A48" s="119" t="s">
        <v>32</v>
      </c>
      <c r="B48" s="27" t="s">
        <v>65</v>
      </c>
      <c r="C48" s="10">
        <v>6</v>
      </c>
      <c r="D48" s="12">
        <f>C48*78</f>
        <v>468</v>
      </c>
      <c r="F48" s="59"/>
      <c r="G48" s="59"/>
      <c r="H48" s="122"/>
      <c r="I48" s="123"/>
      <c r="J48" s="124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20"/>
      <c r="B49" s="29" t="s">
        <v>67</v>
      </c>
      <c r="C49" s="33">
        <v>1</v>
      </c>
      <c r="D49" s="12">
        <f>C49*42</f>
        <v>42</v>
      </c>
      <c r="F49" s="125" t="s">
        <v>85</v>
      </c>
      <c r="G49" s="127">
        <f>H34+H35+H36+H37+H38+H39+H40+H41+G42+H44+H45+H46</f>
        <v>337800</v>
      </c>
      <c r="H49" s="128"/>
      <c r="I49" s="128"/>
      <c r="J49" s="129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0"/>
      <c r="B50" s="32" t="s">
        <v>69</v>
      </c>
      <c r="C50" s="11"/>
      <c r="D50" s="12">
        <f>C50*1.5</f>
        <v>0</v>
      </c>
      <c r="F50" s="126"/>
      <c r="G50" s="130"/>
      <c r="H50" s="131"/>
      <c r="I50" s="131"/>
      <c r="J50" s="132"/>
      <c r="O50" t="s">
        <v>114</v>
      </c>
      <c r="P50" s="4">
        <v>1204</v>
      </c>
      <c r="Q50" s="4"/>
      <c r="R50" s="5"/>
    </row>
    <row r="51" spans="1:18" ht="15" customHeight="1" x14ac:dyDescent="0.25">
      <c r="A51" s="120"/>
      <c r="B51" s="27"/>
      <c r="C51" s="10"/>
      <c r="D51" s="31"/>
      <c r="F51" s="133" t="s">
        <v>109</v>
      </c>
      <c r="G51" s="246">
        <f>G49-H29</f>
        <v>-512</v>
      </c>
      <c r="H51" s="247"/>
      <c r="I51" s="247"/>
      <c r="J51" s="248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20"/>
      <c r="B52" s="29"/>
      <c r="C52" s="33"/>
      <c r="D52" s="45"/>
      <c r="F52" s="134"/>
      <c r="G52" s="249"/>
      <c r="H52" s="250"/>
      <c r="I52" s="250"/>
      <c r="J52" s="251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1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05" t="s">
        <v>89</v>
      </c>
      <c r="B54" s="106"/>
      <c r="C54" s="107"/>
      <c r="D54" s="111">
        <f>SUM(D34:D53)</f>
        <v>54639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08"/>
      <c r="B55" s="109"/>
      <c r="C55" s="110"/>
      <c r="D55" s="11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113" t="s">
        <v>90</v>
      </c>
      <c r="B58" s="114"/>
      <c r="C58" s="114"/>
      <c r="D58" s="115"/>
      <c r="F58" s="113" t="s">
        <v>91</v>
      </c>
      <c r="G58" s="114"/>
      <c r="H58" s="114"/>
      <c r="I58" s="114"/>
      <c r="J58" s="115"/>
    </row>
    <row r="59" spans="1:18" x14ac:dyDescent="0.25">
      <c r="A59" s="116"/>
      <c r="B59" s="117"/>
      <c r="C59" s="117"/>
      <c r="D59" s="118"/>
      <c r="F59" s="116"/>
      <c r="G59" s="117"/>
      <c r="H59" s="117"/>
      <c r="I59" s="117"/>
      <c r="J59" s="118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4D0300-D5DF-4ECC-B875-3DCA2AF990E5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1" t="s">
        <v>1</v>
      </c>
      <c r="O1" s="201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2" t="s">
        <v>7</v>
      </c>
      <c r="B4" s="153"/>
      <c r="C4" s="153"/>
      <c r="D4" s="154"/>
      <c r="F4" s="202" t="s">
        <v>8</v>
      </c>
      <c r="G4" s="204">
        <v>2</v>
      </c>
      <c r="H4" s="206" t="s">
        <v>9</v>
      </c>
      <c r="I4" s="208">
        <v>46162</v>
      </c>
      <c r="J4" s="20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6" t="s">
        <v>7</v>
      </c>
      <c r="B5" s="15" t="s">
        <v>11</v>
      </c>
      <c r="C5" s="9" t="s">
        <v>12</v>
      </c>
      <c r="D5" s="25" t="s">
        <v>13</v>
      </c>
      <c r="F5" s="203"/>
      <c r="G5" s="205"/>
      <c r="H5" s="207"/>
      <c r="I5" s="210"/>
      <c r="J5" s="21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7"/>
      <c r="B6" s="16" t="s">
        <v>15</v>
      </c>
      <c r="C6" s="10">
        <v>360</v>
      </c>
      <c r="D6" s="13">
        <f t="shared" ref="D6:D28" si="1">C6*L6</f>
        <v>273960</v>
      </c>
      <c r="F6" s="212" t="s">
        <v>16</v>
      </c>
      <c r="G6" s="214" t="s">
        <v>107</v>
      </c>
      <c r="H6" s="215"/>
      <c r="I6" s="215"/>
      <c r="J6" s="21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7"/>
      <c r="B7" s="16" t="s">
        <v>18</v>
      </c>
      <c r="C7" s="10">
        <v>2</v>
      </c>
      <c r="D7" s="13">
        <f t="shared" si="1"/>
        <v>1562</v>
      </c>
      <c r="F7" s="213"/>
      <c r="G7" s="217"/>
      <c r="H7" s="218"/>
      <c r="I7" s="218"/>
      <c r="J7" s="21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7"/>
      <c r="B8" s="16" t="s">
        <v>20</v>
      </c>
      <c r="C8" s="10"/>
      <c r="D8" s="13">
        <f t="shared" si="1"/>
        <v>0</v>
      </c>
      <c r="F8" s="220" t="s">
        <v>21</v>
      </c>
      <c r="G8" s="221" t="s">
        <v>100</v>
      </c>
      <c r="H8" s="222"/>
      <c r="I8" s="222"/>
      <c r="J8" s="22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7"/>
      <c r="B9" s="16" t="s">
        <v>23</v>
      </c>
      <c r="C9" s="10">
        <v>19</v>
      </c>
      <c r="D9" s="13">
        <f t="shared" si="1"/>
        <v>13927</v>
      </c>
      <c r="F9" s="213"/>
      <c r="G9" s="224"/>
      <c r="H9" s="225"/>
      <c r="I9" s="225"/>
      <c r="J9" s="22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7"/>
      <c r="B10" t="s">
        <v>25</v>
      </c>
      <c r="C10" s="10"/>
      <c r="D10" s="13">
        <f t="shared" si="1"/>
        <v>0</v>
      </c>
      <c r="F10" s="212" t="s">
        <v>26</v>
      </c>
      <c r="G10" s="227" t="s">
        <v>101</v>
      </c>
      <c r="H10" s="228"/>
      <c r="I10" s="228"/>
      <c r="J10" s="229"/>
      <c r="K10" s="8"/>
      <c r="L10" s="6">
        <f>R36</f>
        <v>1032</v>
      </c>
      <c r="P10" s="4"/>
      <c r="Q10" s="4"/>
      <c r="R10" s="5"/>
    </row>
    <row r="11" spans="1:18" ht="15.75" x14ac:dyDescent="0.25">
      <c r="A11" s="147"/>
      <c r="B11" s="17" t="s">
        <v>28</v>
      </c>
      <c r="C11" s="10"/>
      <c r="D11" s="13">
        <f t="shared" si="1"/>
        <v>0</v>
      </c>
      <c r="F11" s="213"/>
      <c r="G11" s="224"/>
      <c r="H11" s="225"/>
      <c r="I11" s="225"/>
      <c r="J11" s="22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7"/>
      <c r="B12" s="17" t="s">
        <v>30</v>
      </c>
      <c r="C12" s="10">
        <v>1</v>
      </c>
      <c r="D12" s="48">
        <f t="shared" si="1"/>
        <v>992</v>
      </c>
      <c r="F12" s="230" t="s">
        <v>33</v>
      </c>
      <c r="G12" s="231"/>
      <c r="H12" s="231"/>
      <c r="I12" s="231"/>
      <c r="J12" s="23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7"/>
      <c r="B13" s="17" t="s">
        <v>32</v>
      </c>
      <c r="C13" s="10">
        <v>12</v>
      </c>
      <c r="D13" s="48">
        <f t="shared" si="1"/>
        <v>3684</v>
      </c>
      <c r="F13" s="233" t="s">
        <v>36</v>
      </c>
      <c r="G13" s="197"/>
      <c r="H13" s="188">
        <f>D29</f>
        <v>294125</v>
      </c>
      <c r="I13" s="189"/>
      <c r="J13" s="19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7"/>
      <c r="B14" s="14" t="s">
        <v>35</v>
      </c>
      <c r="C14" s="10"/>
      <c r="D14" s="31">
        <f t="shared" si="1"/>
        <v>0</v>
      </c>
      <c r="F14" s="191" t="s">
        <v>38</v>
      </c>
      <c r="G14" s="192"/>
      <c r="H14" s="193">
        <f>D54</f>
        <v>43978.5</v>
      </c>
      <c r="I14" s="194"/>
      <c r="J14" s="19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7"/>
      <c r="B15" s="14" t="s">
        <v>122</v>
      </c>
      <c r="C15" s="10"/>
      <c r="D15" s="31">
        <f t="shared" si="1"/>
        <v>0</v>
      </c>
      <c r="F15" s="196" t="s">
        <v>39</v>
      </c>
      <c r="G15" s="197"/>
      <c r="H15" s="198">
        <f>H13-H14</f>
        <v>250146.5</v>
      </c>
      <c r="I15" s="199"/>
      <c r="J15" s="200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7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58">
        <v>1296</v>
      </c>
      <c r="I16" s="158"/>
      <c r="J16" s="158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7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69"/>
      <c r="I17" s="169"/>
      <c r="J17" s="169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7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69"/>
      <c r="I18" s="169"/>
      <c r="J18" s="169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7"/>
      <c r="B19" s="87" t="s">
        <v>105</v>
      </c>
      <c r="C19" s="10"/>
      <c r="D19" s="48">
        <f t="shared" si="1"/>
        <v>0</v>
      </c>
      <c r="F19" s="56"/>
      <c r="G19" s="68" t="s">
        <v>49</v>
      </c>
      <c r="H19" s="253"/>
      <c r="I19" s="253"/>
      <c r="J19" s="253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7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58"/>
      <c r="I20" s="158"/>
      <c r="J20" s="158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7"/>
      <c r="B21" s="14" t="s">
        <v>183</v>
      </c>
      <c r="C21" s="10"/>
      <c r="D21" s="48">
        <f t="shared" si="1"/>
        <v>0</v>
      </c>
      <c r="F21" s="69" t="s">
        <v>94</v>
      </c>
      <c r="G21" s="82" t="s">
        <v>93</v>
      </c>
      <c r="H21" s="171" t="s">
        <v>13</v>
      </c>
      <c r="I21" s="172"/>
      <c r="J21" s="173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7"/>
      <c r="B22" s="46" t="s">
        <v>103</v>
      </c>
      <c r="C22" s="10"/>
      <c r="D22" s="48">
        <f t="shared" si="1"/>
        <v>0</v>
      </c>
      <c r="F22" s="77"/>
      <c r="G22" s="73"/>
      <c r="H22" s="174"/>
      <c r="I22" s="174"/>
      <c r="J22" s="174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7"/>
      <c r="B23" s="14" t="s">
        <v>121</v>
      </c>
      <c r="C23" s="10"/>
      <c r="D23" s="48">
        <f t="shared" si="1"/>
        <v>0</v>
      </c>
      <c r="F23" s="78"/>
      <c r="G23" s="79"/>
      <c r="H23" s="254"/>
      <c r="I23" s="174"/>
      <c r="J23" s="174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7"/>
      <c r="B24" s="14" t="s">
        <v>128</v>
      </c>
      <c r="C24" s="10"/>
      <c r="D24" s="48">
        <f t="shared" si="1"/>
        <v>0</v>
      </c>
      <c r="F24" s="38"/>
      <c r="G24" s="37"/>
      <c r="H24" s="175"/>
      <c r="I24" s="144"/>
      <c r="J24" s="144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7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76" t="s">
        <v>13</v>
      </c>
      <c r="I25" s="177"/>
      <c r="J25" s="178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7"/>
      <c r="B26" s="14" t="s">
        <v>129</v>
      </c>
      <c r="C26" s="10"/>
      <c r="D26" s="48">
        <f t="shared" si="1"/>
        <v>0</v>
      </c>
      <c r="F26" s="64"/>
      <c r="G26" s="59"/>
      <c r="H26" s="179"/>
      <c r="I26" s="180"/>
      <c r="J26" s="181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7"/>
      <c r="B27" s="14" t="s">
        <v>130</v>
      </c>
      <c r="C27" s="10"/>
      <c r="D27" s="44">
        <f t="shared" si="1"/>
        <v>0</v>
      </c>
      <c r="F27" s="25"/>
      <c r="G27" s="80"/>
      <c r="H27" s="182"/>
      <c r="I27" s="183"/>
      <c r="J27" s="184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8"/>
      <c r="B28" s="46" t="s">
        <v>92</v>
      </c>
      <c r="C28" s="10"/>
      <c r="D28" s="48">
        <f t="shared" si="1"/>
        <v>0</v>
      </c>
      <c r="F28" s="91"/>
      <c r="G28" s="61"/>
      <c r="H28" s="185"/>
      <c r="I28" s="186"/>
      <c r="J28" s="187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9" t="s">
        <v>36</v>
      </c>
      <c r="B29" s="160"/>
      <c r="C29" s="161"/>
      <c r="D29" s="165">
        <f>SUM(D6:D28)</f>
        <v>294125</v>
      </c>
      <c r="F29" s="105" t="s">
        <v>54</v>
      </c>
      <c r="G29" s="167"/>
      <c r="H29" s="127">
        <f>H15-H16-H17-H18-H19-H20-H22-H23-H24+H26+H27</f>
        <v>248850.5</v>
      </c>
      <c r="I29" s="128"/>
      <c r="J29" s="129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08"/>
      <c r="G30" s="168"/>
      <c r="H30" s="130"/>
      <c r="I30" s="131"/>
      <c r="J30" s="132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2" t="s">
        <v>57</v>
      </c>
      <c r="B32" s="153"/>
      <c r="C32" s="153"/>
      <c r="D32" s="154"/>
      <c r="F32" s="155" t="s">
        <v>58</v>
      </c>
      <c r="G32" s="156"/>
      <c r="H32" s="156"/>
      <c r="I32" s="156"/>
      <c r="J32" s="157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2" t="s">
        <v>62</v>
      </c>
      <c r="H33" s="155" t="s">
        <v>13</v>
      </c>
      <c r="I33" s="156"/>
      <c r="J33" s="157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6" t="s">
        <v>64</v>
      </c>
      <c r="B34" s="26" t="s">
        <v>65</v>
      </c>
      <c r="C34" s="51"/>
      <c r="D34" s="30">
        <f>C34*120</f>
        <v>0</v>
      </c>
      <c r="F34" s="12">
        <v>1000</v>
      </c>
      <c r="G34" s="74">
        <v>88</v>
      </c>
      <c r="H34" s="149">
        <f>F34*G34</f>
        <v>88000</v>
      </c>
      <c r="I34" s="150"/>
      <c r="J34" s="151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7"/>
      <c r="B35" s="27" t="s">
        <v>67</v>
      </c>
      <c r="C35" s="52"/>
      <c r="D35" s="30">
        <f>C35*84</f>
        <v>0</v>
      </c>
      <c r="F35" s="58">
        <v>500</v>
      </c>
      <c r="G35" s="41">
        <v>300</v>
      </c>
      <c r="H35" s="149">
        <f>F35*G35</f>
        <v>150000</v>
      </c>
      <c r="I35" s="150"/>
      <c r="J35" s="15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8"/>
      <c r="B36" s="26" t="s">
        <v>69</v>
      </c>
      <c r="C36" s="10"/>
      <c r="D36" s="12">
        <f>C36*1.5</f>
        <v>0</v>
      </c>
      <c r="F36" s="12">
        <v>200</v>
      </c>
      <c r="G36" s="37"/>
      <c r="H36" s="149">
        <f t="shared" ref="H36:H39" si="2">F36*G36</f>
        <v>0</v>
      </c>
      <c r="I36" s="150"/>
      <c r="J36" s="151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6" t="s">
        <v>71</v>
      </c>
      <c r="B37" s="28" t="s">
        <v>65</v>
      </c>
      <c r="C37" s="53">
        <v>389</v>
      </c>
      <c r="D37" s="12">
        <f>C37*111</f>
        <v>43179</v>
      </c>
      <c r="F37" s="12">
        <v>100</v>
      </c>
      <c r="G37" s="39">
        <v>100</v>
      </c>
      <c r="H37" s="149">
        <f t="shared" si="2"/>
        <v>10000</v>
      </c>
      <c r="I37" s="150"/>
      <c r="J37" s="151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7"/>
      <c r="B38" s="29" t="s">
        <v>67</v>
      </c>
      <c r="C38" s="54">
        <v>1</v>
      </c>
      <c r="D38" s="12">
        <f>C38*84</f>
        <v>84</v>
      </c>
      <c r="F38" s="30">
        <v>50</v>
      </c>
      <c r="G38" s="39">
        <v>31</v>
      </c>
      <c r="H38" s="149">
        <f t="shared" si="2"/>
        <v>1550</v>
      </c>
      <c r="I38" s="150"/>
      <c r="J38" s="151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8"/>
      <c r="B39" s="29" t="s">
        <v>69</v>
      </c>
      <c r="C39" s="52">
        <v>3</v>
      </c>
      <c r="D39" s="31">
        <f>C39*4.5</f>
        <v>13.5</v>
      </c>
      <c r="F39" s="12">
        <v>20</v>
      </c>
      <c r="G39" s="37"/>
      <c r="H39" s="149">
        <f t="shared" si="2"/>
        <v>0</v>
      </c>
      <c r="I39" s="150"/>
      <c r="J39" s="15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6" t="s">
        <v>75</v>
      </c>
      <c r="B40" s="27" t="s">
        <v>65</v>
      </c>
      <c r="C40" s="63">
        <v>1</v>
      </c>
      <c r="D40" s="12">
        <f>C40*111</f>
        <v>111</v>
      </c>
      <c r="F40" s="12">
        <v>10</v>
      </c>
      <c r="G40" s="42"/>
      <c r="H40" s="149"/>
      <c r="I40" s="150"/>
      <c r="J40" s="151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7"/>
      <c r="B41" s="27" t="s">
        <v>67</v>
      </c>
      <c r="C41" s="10"/>
      <c r="D41" s="12">
        <f>C41*84</f>
        <v>0</v>
      </c>
      <c r="F41" s="12">
        <v>5</v>
      </c>
      <c r="G41" s="42"/>
      <c r="H41" s="149"/>
      <c r="I41" s="150"/>
      <c r="J41" s="151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8"/>
      <c r="B42" s="27" t="s">
        <v>69</v>
      </c>
      <c r="C42" s="11"/>
      <c r="D42" s="12">
        <f>C42*2.25</f>
        <v>0</v>
      </c>
      <c r="F42" s="39" t="s">
        <v>78</v>
      </c>
      <c r="G42" s="149">
        <v>125</v>
      </c>
      <c r="H42" s="150"/>
      <c r="I42" s="150"/>
      <c r="J42" s="151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19" t="s">
        <v>80</v>
      </c>
      <c r="C43" s="11"/>
      <c r="D43" s="12"/>
      <c r="F43" s="59" t="s">
        <v>81</v>
      </c>
      <c r="G43" s="88" t="s">
        <v>82</v>
      </c>
      <c r="H43" s="141" t="s">
        <v>13</v>
      </c>
      <c r="I43" s="142"/>
      <c r="J43" s="143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20"/>
      <c r="B44" s="27" t="s">
        <v>65</v>
      </c>
      <c r="C44" s="10">
        <v>1</v>
      </c>
      <c r="D44" s="12">
        <f>C44*120</f>
        <v>120</v>
      </c>
      <c r="F44" s="37"/>
      <c r="G44" s="76"/>
      <c r="H44" s="144"/>
      <c r="I44" s="144"/>
      <c r="J44" s="144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20"/>
      <c r="B45" s="27" t="s">
        <v>67</v>
      </c>
      <c r="C45" s="33"/>
      <c r="D45" s="12">
        <f>C45*84</f>
        <v>0</v>
      </c>
      <c r="F45" s="37"/>
      <c r="G45" s="76"/>
      <c r="H45" s="144"/>
      <c r="I45" s="144"/>
      <c r="J45" s="144"/>
      <c r="K45" s="21"/>
      <c r="P45" s="4"/>
      <c r="Q45" s="4"/>
      <c r="R45" s="5"/>
    </row>
    <row r="46" spans="1:18" ht="15.75" x14ac:dyDescent="0.25">
      <c r="A46" s="120"/>
      <c r="B46" s="49" t="s">
        <v>69</v>
      </c>
      <c r="C46" s="81"/>
      <c r="D46" s="12">
        <f>C46*1.5</f>
        <v>0</v>
      </c>
      <c r="F46" s="37"/>
      <c r="G46" s="62"/>
      <c r="H46" s="145"/>
      <c r="I46" s="145"/>
      <c r="J46" s="145"/>
      <c r="K46" s="21"/>
      <c r="P46" s="4"/>
      <c r="Q46" s="4"/>
      <c r="R46" s="5"/>
    </row>
    <row r="47" spans="1:18" ht="15.75" x14ac:dyDescent="0.25">
      <c r="A47" s="121"/>
      <c r="B47" s="27"/>
      <c r="C47" s="11"/>
      <c r="D47" s="12"/>
      <c r="F47" s="59"/>
      <c r="G47" s="59"/>
      <c r="H47" s="122"/>
      <c r="I47" s="123"/>
      <c r="J47" s="124"/>
      <c r="K47" s="21"/>
      <c r="P47" s="4"/>
      <c r="Q47" s="4"/>
      <c r="R47" s="5"/>
    </row>
    <row r="48" spans="1:18" ht="15" customHeight="1" x14ac:dyDescent="0.25">
      <c r="A48" s="119" t="s">
        <v>32</v>
      </c>
      <c r="B48" s="27" t="s">
        <v>65</v>
      </c>
      <c r="C48" s="10">
        <v>1</v>
      </c>
      <c r="D48" s="12">
        <f>C48*78</f>
        <v>78</v>
      </c>
      <c r="F48" s="59"/>
      <c r="G48" s="59"/>
      <c r="H48" s="122"/>
      <c r="I48" s="123"/>
      <c r="J48" s="124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20"/>
      <c r="B49" s="29" t="s">
        <v>67</v>
      </c>
      <c r="C49" s="33">
        <v>9</v>
      </c>
      <c r="D49" s="12">
        <f>C49*42</f>
        <v>378</v>
      </c>
      <c r="F49" s="125" t="s">
        <v>85</v>
      </c>
      <c r="G49" s="127">
        <f>H34+H35+H36+H37+H38+H39+H40+H41+G42+H44+H45+H46</f>
        <v>249675</v>
      </c>
      <c r="H49" s="128"/>
      <c r="I49" s="128"/>
      <c r="J49" s="129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0"/>
      <c r="B50" s="32" t="s">
        <v>69</v>
      </c>
      <c r="C50" s="81">
        <v>10</v>
      </c>
      <c r="D50" s="12">
        <f>C50*1.5</f>
        <v>15</v>
      </c>
      <c r="F50" s="126"/>
      <c r="G50" s="130"/>
      <c r="H50" s="131"/>
      <c r="I50" s="131"/>
      <c r="J50" s="132"/>
      <c r="O50" t="s">
        <v>114</v>
      </c>
      <c r="P50" s="4">
        <v>1204</v>
      </c>
      <c r="Q50" s="4"/>
      <c r="R50" s="5"/>
    </row>
    <row r="51" spans="1:18" ht="15" customHeight="1" x14ac:dyDescent="0.25">
      <c r="A51" s="120"/>
      <c r="B51" s="27"/>
      <c r="C51" s="10"/>
      <c r="D51" s="31"/>
      <c r="F51" s="133" t="s">
        <v>115</v>
      </c>
      <c r="G51" s="135">
        <f>G49-H29</f>
        <v>824.5</v>
      </c>
      <c r="H51" s="136"/>
      <c r="I51" s="136"/>
      <c r="J51" s="137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20"/>
      <c r="B52" s="29"/>
      <c r="C52" s="33"/>
      <c r="D52" s="45"/>
      <c r="F52" s="134"/>
      <c r="G52" s="138"/>
      <c r="H52" s="139"/>
      <c r="I52" s="139"/>
      <c r="J52" s="140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1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05" t="s">
        <v>89</v>
      </c>
      <c r="B54" s="106"/>
      <c r="C54" s="107"/>
      <c r="D54" s="111">
        <f>SUM(D34:D53)</f>
        <v>43978.5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08"/>
      <c r="B55" s="109"/>
      <c r="C55" s="110"/>
      <c r="D55" s="11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13" t="s">
        <v>90</v>
      </c>
      <c r="B58" s="114"/>
      <c r="C58" s="114"/>
      <c r="D58" s="115"/>
      <c r="F58" s="113" t="s">
        <v>91</v>
      </c>
      <c r="G58" s="114"/>
      <c r="H58" s="114"/>
      <c r="I58" s="114"/>
      <c r="J58" s="115"/>
    </row>
    <row r="59" spans="1:18" x14ac:dyDescent="0.25">
      <c r="A59" s="116"/>
      <c r="B59" s="117"/>
      <c r="C59" s="117"/>
      <c r="D59" s="118"/>
      <c r="F59" s="116"/>
      <c r="G59" s="117"/>
      <c r="H59" s="117"/>
      <c r="I59" s="117"/>
      <c r="J59" s="118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D5910C-4766-4062-B66C-D11AF49AE199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1" t="s">
        <v>1</v>
      </c>
      <c r="O1" s="201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2" t="s">
        <v>7</v>
      </c>
      <c r="B4" s="153"/>
      <c r="C4" s="153"/>
      <c r="D4" s="154"/>
      <c r="F4" s="202" t="s">
        <v>8</v>
      </c>
      <c r="G4" s="204">
        <v>3</v>
      </c>
      <c r="H4" s="206" t="s">
        <v>9</v>
      </c>
      <c r="I4" s="208">
        <v>46162</v>
      </c>
      <c r="J4" s="20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6" t="s">
        <v>7</v>
      </c>
      <c r="B5" s="15" t="s">
        <v>11</v>
      </c>
      <c r="C5" s="9" t="s">
        <v>12</v>
      </c>
      <c r="D5" s="25" t="s">
        <v>13</v>
      </c>
      <c r="F5" s="203"/>
      <c r="G5" s="205"/>
      <c r="H5" s="207"/>
      <c r="I5" s="210"/>
      <c r="J5" s="21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7"/>
      <c r="B6" s="16" t="s">
        <v>15</v>
      </c>
      <c r="C6" s="10">
        <v>210</v>
      </c>
      <c r="D6" s="13">
        <f t="shared" ref="D6:D28" si="1">C6*L6</f>
        <v>159810</v>
      </c>
      <c r="F6" s="212" t="s">
        <v>16</v>
      </c>
      <c r="G6" s="214" t="s">
        <v>197</v>
      </c>
      <c r="H6" s="215"/>
      <c r="I6" s="215"/>
      <c r="J6" s="21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7"/>
      <c r="B7" s="16" t="s">
        <v>18</v>
      </c>
      <c r="C7" s="10">
        <v>25</v>
      </c>
      <c r="D7" s="13">
        <f t="shared" si="1"/>
        <v>19525</v>
      </c>
      <c r="F7" s="213"/>
      <c r="G7" s="217"/>
      <c r="H7" s="218"/>
      <c r="I7" s="218"/>
      <c r="J7" s="21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7"/>
      <c r="B8" s="16" t="s">
        <v>20</v>
      </c>
      <c r="C8" s="10"/>
      <c r="D8" s="13">
        <f t="shared" si="1"/>
        <v>0</v>
      </c>
      <c r="F8" s="220" t="s">
        <v>21</v>
      </c>
      <c r="G8" s="221" t="s">
        <v>110</v>
      </c>
      <c r="H8" s="222"/>
      <c r="I8" s="222"/>
      <c r="J8" s="22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7"/>
      <c r="B9" s="16" t="s">
        <v>23</v>
      </c>
      <c r="C9" s="10">
        <v>93</v>
      </c>
      <c r="D9" s="13">
        <f t="shared" si="1"/>
        <v>68169</v>
      </c>
      <c r="F9" s="213"/>
      <c r="G9" s="224"/>
      <c r="H9" s="225"/>
      <c r="I9" s="225"/>
      <c r="J9" s="22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7"/>
      <c r="B10" t="s">
        <v>25</v>
      </c>
      <c r="C10" s="10"/>
      <c r="D10" s="13">
        <f t="shared" si="1"/>
        <v>0</v>
      </c>
      <c r="F10" s="212" t="s">
        <v>26</v>
      </c>
      <c r="G10" s="227" t="s">
        <v>124</v>
      </c>
      <c r="H10" s="228"/>
      <c r="I10" s="228"/>
      <c r="J10" s="229"/>
      <c r="K10" s="8"/>
      <c r="L10" s="6">
        <f>R36</f>
        <v>1032</v>
      </c>
      <c r="P10" s="4"/>
      <c r="Q10" s="4"/>
      <c r="R10" s="5"/>
    </row>
    <row r="11" spans="1:18" ht="15.75" x14ac:dyDescent="0.25">
      <c r="A11" s="147"/>
      <c r="B11" s="17" t="s">
        <v>28</v>
      </c>
      <c r="C11" s="10">
        <v>1</v>
      </c>
      <c r="D11" s="13">
        <f t="shared" si="1"/>
        <v>1170</v>
      </c>
      <c r="F11" s="213"/>
      <c r="G11" s="224"/>
      <c r="H11" s="225"/>
      <c r="I11" s="225"/>
      <c r="J11" s="22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7"/>
      <c r="B12" s="17" t="s">
        <v>30</v>
      </c>
      <c r="C12" s="10">
        <f>3+1</f>
        <v>4</v>
      </c>
      <c r="D12" s="48">
        <f t="shared" si="1"/>
        <v>3968</v>
      </c>
      <c r="F12" s="230" t="s">
        <v>33</v>
      </c>
      <c r="G12" s="231"/>
      <c r="H12" s="231"/>
      <c r="I12" s="231"/>
      <c r="J12" s="23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7"/>
      <c r="B13" s="17" t="s">
        <v>32</v>
      </c>
      <c r="C13" s="10">
        <v>11</v>
      </c>
      <c r="D13" s="48">
        <f t="shared" si="1"/>
        <v>3377</v>
      </c>
      <c r="F13" s="233" t="s">
        <v>36</v>
      </c>
      <c r="G13" s="197"/>
      <c r="H13" s="188">
        <f>D29</f>
        <v>276301</v>
      </c>
      <c r="I13" s="189"/>
      <c r="J13" s="19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7"/>
      <c r="B14" s="14" t="s">
        <v>35</v>
      </c>
      <c r="C14" s="10">
        <v>12</v>
      </c>
      <c r="D14" s="31">
        <f t="shared" si="1"/>
        <v>132</v>
      </c>
      <c r="F14" s="191" t="s">
        <v>38</v>
      </c>
      <c r="G14" s="192"/>
      <c r="H14" s="193">
        <f>D54</f>
        <v>37863.75</v>
      </c>
      <c r="I14" s="194"/>
      <c r="J14" s="19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7"/>
      <c r="B15" s="14" t="s">
        <v>122</v>
      </c>
      <c r="C15" s="10"/>
      <c r="D15" s="31">
        <f t="shared" si="1"/>
        <v>0</v>
      </c>
      <c r="F15" s="196" t="s">
        <v>39</v>
      </c>
      <c r="G15" s="197"/>
      <c r="H15" s="198">
        <f>H13-H14</f>
        <v>238437.25</v>
      </c>
      <c r="I15" s="199"/>
      <c r="J15" s="200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7"/>
      <c r="B16" s="18" t="s">
        <v>111</v>
      </c>
      <c r="C16" s="10">
        <f>15+16</f>
        <v>31</v>
      </c>
      <c r="D16" s="48">
        <f t="shared" si="1"/>
        <v>20150</v>
      </c>
      <c r="F16" s="67" t="s">
        <v>41</v>
      </c>
      <c r="G16" s="66" t="s">
        <v>42</v>
      </c>
      <c r="H16" s="158">
        <v>1314</v>
      </c>
      <c r="I16" s="158"/>
      <c r="J16" s="158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7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69"/>
      <c r="I17" s="169"/>
      <c r="J17" s="169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7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69"/>
      <c r="I18" s="169"/>
      <c r="J18" s="169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7"/>
      <c r="B19" s="87" t="s">
        <v>105</v>
      </c>
      <c r="C19" s="10"/>
      <c r="D19" s="48">
        <f t="shared" si="1"/>
        <v>0</v>
      </c>
      <c r="F19" s="56"/>
      <c r="G19" s="68" t="s">
        <v>49</v>
      </c>
      <c r="H19" s="253"/>
      <c r="I19" s="253"/>
      <c r="J19" s="253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7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58"/>
      <c r="I20" s="158"/>
      <c r="J20" s="158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7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71" t="s">
        <v>13</v>
      </c>
      <c r="I21" s="172"/>
      <c r="J21" s="173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7"/>
      <c r="B22" s="46" t="s">
        <v>103</v>
      </c>
      <c r="C22" s="10"/>
      <c r="D22" s="48">
        <f t="shared" si="1"/>
        <v>0</v>
      </c>
      <c r="F22" s="77"/>
      <c r="G22" s="73"/>
      <c r="H22" s="174"/>
      <c r="I22" s="174"/>
      <c r="J22" s="174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7"/>
      <c r="B23" s="14" t="s">
        <v>121</v>
      </c>
      <c r="C23" s="10"/>
      <c r="D23" s="48">
        <f t="shared" si="1"/>
        <v>0</v>
      </c>
      <c r="F23" s="78"/>
      <c r="G23" s="79"/>
      <c r="H23" s="254"/>
      <c r="I23" s="174"/>
      <c r="J23" s="174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7"/>
      <c r="B24" s="14" t="s">
        <v>128</v>
      </c>
      <c r="C24" s="10"/>
      <c r="D24" s="48">
        <f t="shared" si="1"/>
        <v>0</v>
      </c>
      <c r="F24" s="38"/>
      <c r="G24" s="37"/>
      <c r="H24" s="175"/>
      <c r="I24" s="144"/>
      <c r="J24" s="144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7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76" t="s">
        <v>13</v>
      </c>
      <c r="I25" s="177"/>
      <c r="J25" s="178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7"/>
      <c r="B26" s="14" t="s">
        <v>129</v>
      </c>
      <c r="C26" s="10"/>
      <c r="D26" s="48">
        <f t="shared" si="1"/>
        <v>0</v>
      </c>
      <c r="F26" s="64"/>
      <c r="G26" s="59"/>
      <c r="H26" s="179"/>
      <c r="I26" s="180"/>
      <c r="J26" s="181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7"/>
      <c r="B27" s="14" t="s">
        <v>130</v>
      </c>
      <c r="C27" s="10"/>
      <c r="D27" s="44">
        <f t="shared" si="1"/>
        <v>0</v>
      </c>
      <c r="F27" s="25"/>
      <c r="G27" s="80"/>
      <c r="H27" s="182"/>
      <c r="I27" s="183"/>
      <c r="J27" s="184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8"/>
      <c r="B28" s="46" t="s">
        <v>92</v>
      </c>
      <c r="C28" s="10"/>
      <c r="D28" s="48">
        <f t="shared" si="1"/>
        <v>0</v>
      </c>
      <c r="F28" s="91"/>
      <c r="G28" s="61"/>
      <c r="H28" s="185"/>
      <c r="I28" s="186"/>
      <c r="J28" s="187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9" t="s">
        <v>36</v>
      </c>
      <c r="B29" s="160"/>
      <c r="C29" s="161"/>
      <c r="D29" s="165">
        <f>SUM(D6:D28)</f>
        <v>276301</v>
      </c>
      <c r="F29" s="105" t="s">
        <v>54</v>
      </c>
      <c r="G29" s="167"/>
      <c r="H29" s="127">
        <f>H15-H16-H17-H18-H19-H20-H22-H23-H24+H26+H27</f>
        <v>237123.25</v>
      </c>
      <c r="I29" s="128"/>
      <c r="J29" s="129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08"/>
      <c r="G30" s="168"/>
      <c r="H30" s="130"/>
      <c r="I30" s="131"/>
      <c r="J30" s="132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2" t="s">
        <v>57</v>
      </c>
      <c r="B32" s="153"/>
      <c r="C32" s="153"/>
      <c r="D32" s="154"/>
      <c r="F32" s="155" t="s">
        <v>58</v>
      </c>
      <c r="G32" s="156"/>
      <c r="H32" s="156"/>
      <c r="I32" s="156"/>
      <c r="J32" s="157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2" t="s">
        <v>62</v>
      </c>
      <c r="H33" s="155" t="s">
        <v>13</v>
      </c>
      <c r="I33" s="156"/>
      <c r="J33" s="157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6" t="s">
        <v>64</v>
      </c>
      <c r="B34" s="26" t="s">
        <v>65</v>
      </c>
      <c r="C34" s="51"/>
      <c r="D34" s="30">
        <f>C34*120</f>
        <v>0</v>
      </c>
      <c r="F34" s="12">
        <v>1000</v>
      </c>
      <c r="G34" s="74">
        <v>145</v>
      </c>
      <c r="H34" s="149">
        <f>F34*G34</f>
        <v>145000</v>
      </c>
      <c r="I34" s="150"/>
      <c r="J34" s="151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7"/>
      <c r="B35" s="27" t="s">
        <v>67</v>
      </c>
      <c r="C35" s="52"/>
      <c r="D35" s="30">
        <f>C35*84</f>
        <v>0</v>
      </c>
      <c r="F35" s="58">
        <v>500</v>
      </c>
      <c r="G35" s="41">
        <v>26</v>
      </c>
      <c r="H35" s="149">
        <f>F35*G35</f>
        <v>13000</v>
      </c>
      <c r="I35" s="150"/>
      <c r="J35" s="15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8"/>
      <c r="B36" s="26" t="s">
        <v>69</v>
      </c>
      <c r="C36" s="10"/>
      <c r="D36" s="12">
        <f>C36*1.5</f>
        <v>0</v>
      </c>
      <c r="F36" s="12">
        <v>200</v>
      </c>
      <c r="G36" s="37">
        <v>3</v>
      </c>
      <c r="H36" s="149">
        <f t="shared" ref="H36:H39" si="2">F36*G36</f>
        <v>600</v>
      </c>
      <c r="I36" s="150"/>
      <c r="J36" s="151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6" t="s">
        <v>71</v>
      </c>
      <c r="B37" s="28" t="s">
        <v>65</v>
      </c>
      <c r="C37" s="53">
        <v>322</v>
      </c>
      <c r="D37" s="12">
        <f>C37*111</f>
        <v>35742</v>
      </c>
      <c r="F37" s="12">
        <v>100</v>
      </c>
      <c r="G37" s="39">
        <v>66</v>
      </c>
      <c r="H37" s="149">
        <f t="shared" si="2"/>
        <v>6600</v>
      </c>
      <c r="I37" s="150"/>
      <c r="J37" s="151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7"/>
      <c r="B38" s="29" t="s">
        <v>67</v>
      </c>
      <c r="C38" s="54">
        <v>3</v>
      </c>
      <c r="D38" s="12">
        <f>C38*84</f>
        <v>252</v>
      </c>
      <c r="F38" s="30">
        <v>50</v>
      </c>
      <c r="G38" s="39">
        <v>19</v>
      </c>
      <c r="H38" s="149">
        <f t="shared" si="2"/>
        <v>950</v>
      </c>
      <c r="I38" s="150"/>
      <c r="J38" s="151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8"/>
      <c r="B39" s="29" t="s">
        <v>69</v>
      </c>
      <c r="C39" s="52">
        <v>5</v>
      </c>
      <c r="D39" s="31">
        <f>C39*4.5</f>
        <v>22.5</v>
      </c>
      <c r="F39" s="12">
        <v>20</v>
      </c>
      <c r="G39" s="37"/>
      <c r="H39" s="149">
        <f t="shared" si="2"/>
        <v>0</v>
      </c>
      <c r="I39" s="150"/>
      <c r="J39" s="15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6" t="s">
        <v>75</v>
      </c>
      <c r="B40" s="27" t="s">
        <v>65</v>
      </c>
      <c r="C40" s="63">
        <v>8</v>
      </c>
      <c r="D40" s="12">
        <f>C40*111</f>
        <v>888</v>
      </c>
      <c r="F40" s="12">
        <v>10</v>
      </c>
      <c r="G40" s="42"/>
      <c r="H40" s="149"/>
      <c r="I40" s="150"/>
      <c r="J40" s="151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7"/>
      <c r="B41" s="27" t="s">
        <v>67</v>
      </c>
      <c r="C41" s="10"/>
      <c r="D41" s="12">
        <f>C41*84</f>
        <v>0</v>
      </c>
      <c r="F41" s="12">
        <v>5</v>
      </c>
      <c r="G41" s="42"/>
      <c r="H41" s="149"/>
      <c r="I41" s="150"/>
      <c r="J41" s="151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8"/>
      <c r="B42" s="27" t="s">
        <v>69</v>
      </c>
      <c r="C42" s="11">
        <v>3</v>
      </c>
      <c r="D42" s="12">
        <f>C42*2.25</f>
        <v>6.75</v>
      </c>
      <c r="F42" s="39" t="s">
        <v>78</v>
      </c>
      <c r="G42" s="149">
        <v>25</v>
      </c>
      <c r="H42" s="150"/>
      <c r="I42" s="150"/>
      <c r="J42" s="151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19" t="s">
        <v>80</v>
      </c>
      <c r="C43" s="11"/>
      <c r="D43" s="12"/>
      <c r="F43" s="59" t="s">
        <v>81</v>
      </c>
      <c r="G43" s="88" t="s">
        <v>82</v>
      </c>
      <c r="H43" s="141" t="s">
        <v>13</v>
      </c>
      <c r="I43" s="142"/>
      <c r="J43" s="143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20"/>
      <c r="B44" s="27" t="s">
        <v>65</v>
      </c>
      <c r="C44" s="10"/>
      <c r="D44" s="12">
        <f>C44*120</f>
        <v>0</v>
      </c>
      <c r="F44" s="59" t="s">
        <v>132</v>
      </c>
      <c r="G44" s="62" t="s">
        <v>199</v>
      </c>
      <c r="H44" s="144">
        <v>70614</v>
      </c>
      <c r="I44" s="144"/>
      <c r="J44" s="144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20"/>
      <c r="B45" s="27" t="s">
        <v>67</v>
      </c>
      <c r="C45" s="33">
        <v>4</v>
      </c>
      <c r="D45" s="12">
        <f>C45*84</f>
        <v>336</v>
      </c>
      <c r="F45" s="37"/>
      <c r="G45" s="76"/>
      <c r="H45" s="144"/>
      <c r="I45" s="144"/>
      <c r="J45" s="144"/>
      <c r="K45" s="21"/>
      <c r="P45" s="4"/>
      <c r="Q45" s="4"/>
      <c r="R45" s="5"/>
    </row>
    <row r="46" spans="1:18" ht="15.75" x14ac:dyDescent="0.25">
      <c r="A46" s="120"/>
      <c r="B46" s="49" t="s">
        <v>69</v>
      </c>
      <c r="C46" s="81"/>
      <c r="D46" s="12">
        <f>C46*1.5</f>
        <v>0</v>
      </c>
      <c r="F46" s="37"/>
      <c r="G46" s="62"/>
      <c r="H46" s="145"/>
      <c r="I46" s="145"/>
      <c r="J46" s="145"/>
      <c r="K46" s="21"/>
      <c r="P46" s="4"/>
      <c r="Q46" s="4"/>
      <c r="R46" s="5"/>
    </row>
    <row r="47" spans="1:18" ht="15.75" x14ac:dyDescent="0.25">
      <c r="A47" s="121"/>
      <c r="B47" s="27"/>
      <c r="C47" s="11"/>
      <c r="D47" s="12"/>
      <c r="F47" s="59"/>
      <c r="G47" s="59"/>
      <c r="H47" s="122"/>
      <c r="I47" s="123"/>
      <c r="J47" s="124"/>
      <c r="K47" s="21"/>
      <c r="P47" s="4"/>
      <c r="Q47" s="4"/>
      <c r="R47" s="5"/>
    </row>
    <row r="48" spans="1:18" ht="15" customHeight="1" x14ac:dyDescent="0.25">
      <c r="A48" s="119" t="s">
        <v>32</v>
      </c>
      <c r="B48" s="27" t="s">
        <v>65</v>
      </c>
      <c r="C48" s="10">
        <v>7</v>
      </c>
      <c r="D48" s="12">
        <f>C48*78</f>
        <v>546</v>
      </c>
      <c r="F48" s="59"/>
      <c r="G48" s="59"/>
      <c r="H48" s="122"/>
      <c r="I48" s="123"/>
      <c r="J48" s="124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20"/>
      <c r="B49" s="29" t="s">
        <v>67</v>
      </c>
      <c r="C49" s="33">
        <v>1</v>
      </c>
      <c r="D49" s="12">
        <f>C49*42</f>
        <v>42</v>
      </c>
      <c r="F49" s="125" t="s">
        <v>85</v>
      </c>
      <c r="G49" s="127">
        <f>H34+H35+H36+H37+H38+H39+H40+H41+G42+H44+H45+H46</f>
        <v>236789</v>
      </c>
      <c r="H49" s="128"/>
      <c r="I49" s="128"/>
      <c r="J49" s="129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0"/>
      <c r="B50" s="32" t="s">
        <v>69</v>
      </c>
      <c r="C50" s="11">
        <v>19</v>
      </c>
      <c r="D50" s="12">
        <f>C50*1.5</f>
        <v>28.5</v>
      </c>
      <c r="F50" s="126"/>
      <c r="G50" s="130"/>
      <c r="H50" s="131"/>
      <c r="I50" s="131"/>
      <c r="J50" s="132"/>
      <c r="O50" t="s">
        <v>114</v>
      </c>
      <c r="P50" s="4">
        <v>1204</v>
      </c>
      <c r="Q50" s="4"/>
      <c r="R50" s="5"/>
    </row>
    <row r="51" spans="1:18" ht="15" customHeight="1" x14ac:dyDescent="0.25">
      <c r="A51" s="120"/>
      <c r="B51" s="27"/>
      <c r="C51" s="10"/>
      <c r="D51" s="31"/>
      <c r="F51" s="133" t="s">
        <v>109</v>
      </c>
      <c r="G51" s="246">
        <f>G49-H29</f>
        <v>-334.25</v>
      </c>
      <c r="H51" s="247"/>
      <c r="I51" s="247"/>
      <c r="J51" s="248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20"/>
      <c r="B52" s="29"/>
      <c r="C52" s="33"/>
      <c r="D52" s="45"/>
      <c r="F52" s="134"/>
      <c r="G52" s="249"/>
      <c r="H52" s="250"/>
      <c r="I52" s="250"/>
      <c r="J52" s="251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1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05" t="s">
        <v>89</v>
      </c>
      <c r="B54" s="106"/>
      <c r="C54" s="107"/>
      <c r="D54" s="111">
        <f>SUM(D34:D53)</f>
        <v>37863.75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08"/>
      <c r="B55" s="109"/>
      <c r="C55" s="110"/>
      <c r="D55" s="11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198</v>
      </c>
      <c r="D57" s="34"/>
      <c r="F57" s="36"/>
      <c r="G57" s="50"/>
      <c r="H57" s="50"/>
      <c r="I57" s="50"/>
      <c r="J57" s="43"/>
    </row>
    <row r="58" spans="1:18" x14ac:dyDescent="0.25">
      <c r="A58" s="113" t="s">
        <v>90</v>
      </c>
      <c r="B58" s="114"/>
      <c r="C58" s="114"/>
      <c r="D58" s="115"/>
      <c r="F58" s="113" t="s">
        <v>91</v>
      </c>
      <c r="G58" s="114"/>
      <c r="H58" s="114"/>
      <c r="I58" s="114"/>
      <c r="J58" s="115"/>
    </row>
    <row r="59" spans="1:18" x14ac:dyDescent="0.25">
      <c r="A59" s="116"/>
      <c r="B59" s="117"/>
      <c r="C59" s="117"/>
      <c r="D59" s="118"/>
      <c r="F59" s="116"/>
      <c r="G59" s="117"/>
      <c r="H59" s="117"/>
      <c r="I59" s="117"/>
      <c r="J59" s="118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4FC357-3B33-4ECC-94F7-80630D2833F4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01" t="s">
        <v>1</v>
      </c>
      <c r="O1" s="201"/>
      <c r="P1" s="90" t="s">
        <v>2</v>
      </c>
      <c r="Q1" s="90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52" t="s">
        <v>7</v>
      </c>
      <c r="B4" s="153"/>
      <c r="C4" s="153"/>
      <c r="D4" s="154"/>
      <c r="F4" s="202" t="s">
        <v>8</v>
      </c>
      <c r="G4" s="204"/>
      <c r="H4" s="206" t="s">
        <v>9</v>
      </c>
      <c r="I4" s="208"/>
      <c r="J4" s="20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46" t="s">
        <v>7</v>
      </c>
      <c r="B5" s="15" t="s">
        <v>11</v>
      </c>
      <c r="C5" s="9" t="s">
        <v>12</v>
      </c>
      <c r="D5" s="25" t="s">
        <v>13</v>
      </c>
      <c r="F5" s="203"/>
      <c r="G5" s="205"/>
      <c r="H5" s="207"/>
      <c r="I5" s="210"/>
      <c r="J5" s="21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47"/>
      <c r="B6" s="16"/>
      <c r="C6" s="10"/>
      <c r="D6" s="13">
        <f t="shared" ref="D6:D28" si="1">C6*L6</f>
        <v>0</v>
      </c>
      <c r="F6" s="212" t="s">
        <v>16</v>
      </c>
      <c r="G6" s="214"/>
      <c r="H6" s="215"/>
      <c r="I6" s="215"/>
      <c r="J6" s="216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47"/>
      <c r="B7" s="16"/>
      <c r="C7" s="10"/>
      <c r="D7" s="13">
        <f t="shared" si="1"/>
        <v>0</v>
      </c>
      <c r="F7" s="213"/>
      <c r="G7" s="217"/>
      <c r="H7" s="218"/>
      <c r="I7" s="218"/>
      <c r="J7" s="219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47"/>
      <c r="B8" s="16"/>
      <c r="C8" s="10"/>
      <c r="D8" s="13">
        <f t="shared" si="1"/>
        <v>0</v>
      </c>
      <c r="F8" s="220" t="s">
        <v>21</v>
      </c>
      <c r="G8" s="221"/>
      <c r="H8" s="222"/>
      <c r="I8" s="222"/>
      <c r="J8" s="223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47"/>
      <c r="B9" s="16"/>
      <c r="C9" s="10"/>
      <c r="D9" s="13">
        <f t="shared" si="1"/>
        <v>0</v>
      </c>
      <c r="F9" s="213"/>
      <c r="G9" s="224"/>
      <c r="H9" s="225"/>
      <c r="I9" s="225"/>
      <c r="J9" s="226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47"/>
      <c r="C10" s="10"/>
      <c r="D10" s="13">
        <f t="shared" si="1"/>
        <v>0</v>
      </c>
      <c r="F10" s="212" t="s">
        <v>26</v>
      </c>
      <c r="G10" s="227"/>
      <c r="H10" s="228"/>
      <c r="I10" s="228"/>
      <c r="J10" s="229"/>
      <c r="K10" s="8"/>
      <c r="L10" s="6">
        <f>R36</f>
        <v>972</v>
      </c>
      <c r="P10" s="4"/>
      <c r="Q10" s="4"/>
      <c r="R10" s="5"/>
    </row>
    <row r="11" spans="1:19" ht="15.75" x14ac:dyDescent="0.25">
      <c r="A11" s="147"/>
      <c r="B11" s="17"/>
      <c r="C11" s="10"/>
      <c r="D11" s="13">
        <f t="shared" si="1"/>
        <v>0</v>
      </c>
      <c r="F11" s="213"/>
      <c r="G11" s="224"/>
      <c r="H11" s="225"/>
      <c r="I11" s="225"/>
      <c r="J11" s="226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47"/>
      <c r="B12" s="17"/>
      <c r="C12" s="10"/>
      <c r="D12" s="48">
        <f t="shared" si="1"/>
        <v>0</v>
      </c>
      <c r="F12" s="230" t="s">
        <v>33</v>
      </c>
      <c r="G12" s="231"/>
      <c r="H12" s="231"/>
      <c r="I12" s="231"/>
      <c r="J12" s="232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47"/>
      <c r="B13" s="17"/>
      <c r="C13" s="10"/>
      <c r="D13" s="48">
        <f t="shared" si="1"/>
        <v>0</v>
      </c>
      <c r="F13" s="233" t="s">
        <v>36</v>
      </c>
      <c r="G13" s="197"/>
      <c r="H13" s="188">
        <f>D29</f>
        <v>0</v>
      </c>
      <c r="I13" s="189"/>
      <c r="J13" s="19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47"/>
      <c r="B14" s="14"/>
      <c r="C14" s="10"/>
      <c r="D14" s="31">
        <f t="shared" si="1"/>
        <v>0</v>
      </c>
      <c r="F14" s="191" t="s">
        <v>38</v>
      </c>
      <c r="G14" s="192"/>
      <c r="H14" s="193">
        <f>D54</f>
        <v>0</v>
      </c>
      <c r="I14" s="194"/>
      <c r="J14" s="19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47"/>
      <c r="B15" s="14"/>
      <c r="C15" s="10"/>
      <c r="D15" s="31">
        <f t="shared" si="1"/>
        <v>0</v>
      </c>
      <c r="F15" s="196" t="s">
        <v>39</v>
      </c>
      <c r="G15" s="197"/>
      <c r="H15" s="198">
        <f>H13-H14</f>
        <v>0</v>
      </c>
      <c r="I15" s="199"/>
      <c r="J15" s="200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47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58"/>
      <c r="I16" s="158"/>
      <c r="J16" s="158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7"/>
      <c r="C17" s="10"/>
      <c r="D17" s="48">
        <f t="shared" si="1"/>
        <v>0</v>
      </c>
      <c r="F17" s="56"/>
      <c r="G17" s="66" t="s">
        <v>44</v>
      </c>
      <c r="H17" s="169"/>
      <c r="I17" s="169"/>
      <c r="J17" s="169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7"/>
      <c r="B18" s="19"/>
      <c r="C18" s="10"/>
      <c r="D18" s="48">
        <f t="shared" si="1"/>
        <v>0</v>
      </c>
      <c r="F18" s="56"/>
      <c r="G18" s="66" t="s">
        <v>46</v>
      </c>
      <c r="H18" s="169"/>
      <c r="I18" s="169"/>
      <c r="J18" s="16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7"/>
      <c r="B19" s="14"/>
      <c r="C19" s="10"/>
      <c r="D19" s="48">
        <f t="shared" si="1"/>
        <v>0</v>
      </c>
      <c r="F19" s="56"/>
      <c r="G19" s="68" t="s">
        <v>49</v>
      </c>
      <c r="H19" s="170"/>
      <c r="I19" s="170"/>
      <c r="J19" s="170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7"/>
      <c r="B20" s="46"/>
      <c r="C20" s="10"/>
      <c r="D20" s="13">
        <f t="shared" si="1"/>
        <v>0</v>
      </c>
      <c r="F20" s="57"/>
      <c r="G20" s="70" t="s">
        <v>102</v>
      </c>
      <c r="H20" s="158"/>
      <c r="I20" s="158"/>
      <c r="J20" s="158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7"/>
      <c r="B21" s="14"/>
      <c r="C21" s="10"/>
      <c r="D21" s="48">
        <f t="shared" si="1"/>
        <v>0</v>
      </c>
      <c r="F21" s="69" t="s">
        <v>94</v>
      </c>
      <c r="G21" s="82" t="s">
        <v>93</v>
      </c>
      <c r="H21" s="171" t="s">
        <v>13</v>
      </c>
      <c r="I21" s="172"/>
      <c r="J21" s="173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7"/>
      <c r="B22" s="46"/>
      <c r="C22" s="10"/>
      <c r="D22" s="48">
        <f t="shared" si="1"/>
        <v>0</v>
      </c>
      <c r="F22" s="77"/>
      <c r="G22" s="73"/>
      <c r="H22" s="174"/>
      <c r="I22" s="174"/>
      <c r="J22" s="174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7"/>
      <c r="B23" s="14"/>
      <c r="C23" s="10"/>
      <c r="D23" s="48">
        <f t="shared" si="1"/>
        <v>0</v>
      </c>
      <c r="F23" s="78"/>
      <c r="G23" s="79"/>
      <c r="H23" s="175"/>
      <c r="I23" s="144"/>
      <c r="J23" s="144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7"/>
      <c r="B24" s="14"/>
      <c r="C24" s="10"/>
      <c r="D24" s="48">
        <f t="shared" si="1"/>
        <v>0</v>
      </c>
      <c r="F24" s="38"/>
      <c r="G24" s="37"/>
      <c r="H24" s="175"/>
      <c r="I24" s="144"/>
      <c r="J24" s="144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7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176" t="s">
        <v>13</v>
      </c>
      <c r="I25" s="177"/>
      <c r="J25" s="178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7"/>
      <c r="B26" s="14"/>
      <c r="C26" s="10"/>
      <c r="D26" s="48">
        <f t="shared" si="1"/>
        <v>0</v>
      </c>
      <c r="F26" s="64"/>
      <c r="G26" s="59"/>
      <c r="H26" s="179"/>
      <c r="I26" s="180"/>
      <c r="J26" s="181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7"/>
      <c r="B27" s="14"/>
      <c r="C27" s="10"/>
      <c r="D27" s="44">
        <f t="shared" si="1"/>
        <v>0</v>
      </c>
      <c r="F27" s="25"/>
      <c r="G27" s="80"/>
      <c r="H27" s="182"/>
      <c r="I27" s="183"/>
      <c r="J27" s="184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8"/>
      <c r="B28" s="46"/>
      <c r="C28" s="10"/>
      <c r="D28" s="48">
        <f t="shared" si="1"/>
        <v>0</v>
      </c>
      <c r="F28" s="91"/>
      <c r="G28" s="61"/>
      <c r="H28" s="185"/>
      <c r="I28" s="186"/>
      <c r="J28" s="187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9" t="s">
        <v>36</v>
      </c>
      <c r="B29" s="160"/>
      <c r="C29" s="161"/>
      <c r="D29" s="165">
        <f>SUM(D6:D28)</f>
        <v>0</v>
      </c>
      <c r="F29" s="105" t="s">
        <v>54</v>
      </c>
      <c r="G29" s="167"/>
      <c r="H29" s="127">
        <f>H15-H16-H17-H18-H19-H20-H22-H23-H24+H26+H27</f>
        <v>0</v>
      </c>
      <c r="I29" s="128"/>
      <c r="J29" s="129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08"/>
      <c r="G30" s="168"/>
      <c r="H30" s="130"/>
      <c r="I30" s="131"/>
      <c r="J30" s="132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52" t="s">
        <v>57</v>
      </c>
      <c r="B32" s="153"/>
      <c r="C32" s="153"/>
      <c r="D32" s="154"/>
      <c r="F32" s="155" t="s">
        <v>58</v>
      </c>
      <c r="G32" s="156"/>
      <c r="H32" s="156"/>
      <c r="I32" s="156"/>
      <c r="J32" s="157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2" t="s">
        <v>62</v>
      </c>
      <c r="H33" s="155" t="s">
        <v>13</v>
      </c>
      <c r="I33" s="156"/>
      <c r="J33" s="157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6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149"/>
      <c r="I34" s="150"/>
      <c r="J34" s="151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7"/>
      <c r="B35" s="27" t="s">
        <v>67</v>
      </c>
      <c r="C35" s="52"/>
      <c r="D35" s="30">
        <f>C35*84</f>
        <v>0</v>
      </c>
      <c r="F35" s="58">
        <v>500</v>
      </c>
      <c r="G35" s="41"/>
      <c r="H35" s="149"/>
      <c r="I35" s="150"/>
      <c r="J35" s="15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8"/>
      <c r="B36" s="26" t="s">
        <v>69</v>
      </c>
      <c r="C36" s="10"/>
      <c r="D36" s="12">
        <f>C36*1.5</f>
        <v>0</v>
      </c>
      <c r="F36" s="12">
        <v>200</v>
      </c>
      <c r="G36" s="37"/>
      <c r="H36" s="149"/>
      <c r="I36" s="150"/>
      <c r="J36" s="151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6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49"/>
      <c r="I37" s="150"/>
      <c r="J37" s="151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7"/>
      <c r="B38" s="29" t="s">
        <v>67</v>
      </c>
      <c r="C38" s="54"/>
      <c r="D38" s="12">
        <f>C38*84</f>
        <v>0</v>
      </c>
      <c r="F38" s="30">
        <v>50</v>
      </c>
      <c r="G38" s="39"/>
      <c r="H38" s="149"/>
      <c r="I38" s="150"/>
      <c r="J38" s="151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8"/>
      <c r="B39" s="29" t="s">
        <v>69</v>
      </c>
      <c r="C39" s="52"/>
      <c r="D39" s="31">
        <f>C39*4.5</f>
        <v>0</v>
      </c>
      <c r="F39" s="12">
        <v>20</v>
      </c>
      <c r="G39" s="37"/>
      <c r="H39" s="149"/>
      <c r="I39" s="150"/>
      <c r="J39" s="15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6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49"/>
      <c r="I40" s="150"/>
      <c r="J40" s="151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7"/>
      <c r="B41" s="27" t="s">
        <v>67</v>
      </c>
      <c r="C41" s="10"/>
      <c r="D41" s="12">
        <f>C41*84</f>
        <v>0</v>
      </c>
      <c r="F41" s="12">
        <v>5</v>
      </c>
      <c r="G41" s="42"/>
      <c r="H41" s="149"/>
      <c r="I41" s="150"/>
      <c r="J41" s="151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8"/>
      <c r="B42" s="27" t="s">
        <v>69</v>
      </c>
      <c r="C42" s="11"/>
      <c r="D42" s="12">
        <f>C42*2.25</f>
        <v>0</v>
      </c>
      <c r="F42" s="39" t="s">
        <v>78</v>
      </c>
      <c r="G42" s="149"/>
      <c r="H42" s="150"/>
      <c r="I42" s="150"/>
      <c r="J42" s="151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19" t="s">
        <v>80</v>
      </c>
      <c r="C43" s="11"/>
      <c r="D43" s="12"/>
      <c r="F43" s="59" t="s">
        <v>81</v>
      </c>
      <c r="G43" s="88" t="s">
        <v>82</v>
      </c>
      <c r="H43" s="141" t="s">
        <v>13</v>
      </c>
      <c r="I43" s="142"/>
      <c r="J43" s="143"/>
      <c r="K43" s="21"/>
      <c r="P43" s="4"/>
      <c r="Q43" s="4"/>
      <c r="R43" s="5"/>
    </row>
    <row r="44" spans="1:18" ht="15.75" x14ac:dyDescent="0.25">
      <c r="A44" s="120"/>
      <c r="B44" s="27" t="s">
        <v>65</v>
      </c>
      <c r="C44" s="10"/>
      <c r="D44" s="12">
        <f>C44*120</f>
        <v>0</v>
      </c>
      <c r="F44" s="37"/>
      <c r="G44" s="76"/>
      <c r="H44" s="144"/>
      <c r="I44" s="144"/>
      <c r="J44" s="144"/>
      <c r="K44" s="21"/>
      <c r="P44" s="4"/>
      <c r="Q44" s="4"/>
      <c r="R44" s="5"/>
    </row>
    <row r="45" spans="1:18" ht="15.75" x14ac:dyDescent="0.25">
      <c r="A45" s="120"/>
      <c r="B45" s="27" t="s">
        <v>67</v>
      </c>
      <c r="C45" s="33"/>
      <c r="D45" s="12">
        <f>C45*84</f>
        <v>0</v>
      </c>
      <c r="F45" s="37"/>
      <c r="G45" s="76"/>
      <c r="H45" s="144"/>
      <c r="I45" s="144"/>
      <c r="J45" s="144"/>
      <c r="K45" s="21"/>
      <c r="P45" s="4"/>
      <c r="Q45" s="4"/>
      <c r="R45" s="5"/>
    </row>
    <row r="46" spans="1:18" ht="15.75" x14ac:dyDescent="0.25">
      <c r="A46" s="120"/>
      <c r="B46" s="49" t="s">
        <v>69</v>
      </c>
      <c r="C46" s="81"/>
      <c r="D46" s="12">
        <f>C46*1.5</f>
        <v>0</v>
      </c>
      <c r="F46" s="37"/>
      <c r="G46" s="62"/>
      <c r="H46" s="145"/>
      <c r="I46" s="145"/>
      <c r="J46" s="145"/>
      <c r="K46" s="21"/>
      <c r="P46" s="4"/>
      <c r="Q46" s="4"/>
      <c r="R46" s="5"/>
    </row>
    <row r="47" spans="1:18" ht="15.75" x14ac:dyDescent="0.25">
      <c r="A47" s="121"/>
      <c r="B47" s="27"/>
      <c r="C47" s="11"/>
      <c r="D47" s="12"/>
      <c r="F47" s="59"/>
      <c r="G47" s="59"/>
      <c r="H47" s="122"/>
      <c r="I47" s="123"/>
      <c r="J47" s="124"/>
      <c r="K47" s="21"/>
      <c r="P47" s="4"/>
      <c r="Q47" s="4"/>
      <c r="R47" s="5"/>
    </row>
    <row r="48" spans="1:18" ht="15" customHeight="1" x14ac:dyDescent="0.25">
      <c r="A48" s="119" t="s">
        <v>32</v>
      </c>
      <c r="B48" s="27" t="s">
        <v>65</v>
      </c>
      <c r="C48" s="10"/>
      <c r="D48" s="12">
        <f>C48*78</f>
        <v>0</v>
      </c>
      <c r="F48" s="59"/>
      <c r="G48" s="59"/>
      <c r="H48" s="122"/>
      <c r="I48" s="123"/>
      <c r="J48" s="124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20"/>
      <c r="B49" s="29" t="s">
        <v>67</v>
      </c>
      <c r="C49" s="33"/>
      <c r="D49" s="12">
        <f>C49*42</f>
        <v>0</v>
      </c>
      <c r="F49" s="125" t="s">
        <v>85</v>
      </c>
      <c r="G49" s="127">
        <f>H34+H35+H36+H37+H38+H39+H40+H41+G42+H44+H45+H46</f>
        <v>0</v>
      </c>
      <c r="H49" s="128"/>
      <c r="I49" s="128"/>
      <c r="J49" s="129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0"/>
      <c r="B50" s="32" t="s">
        <v>69</v>
      </c>
      <c r="C50" s="11"/>
      <c r="D50" s="12">
        <f>C50*1.5</f>
        <v>0</v>
      </c>
      <c r="F50" s="126"/>
      <c r="G50" s="130"/>
      <c r="H50" s="131"/>
      <c r="I50" s="131"/>
      <c r="J50" s="132"/>
      <c r="P50" s="4"/>
      <c r="Q50" s="4"/>
      <c r="R50" s="5"/>
    </row>
    <row r="51" spans="1:18" ht="15" customHeight="1" x14ac:dyDescent="0.25">
      <c r="A51" s="120"/>
      <c r="B51" s="27"/>
      <c r="C51" s="10"/>
      <c r="D51" s="31"/>
      <c r="F51" s="133" t="s">
        <v>106</v>
      </c>
      <c r="G51" s="135">
        <f>G49-H29</f>
        <v>0</v>
      </c>
      <c r="H51" s="136"/>
      <c r="I51" s="136"/>
      <c r="J51" s="137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0"/>
      <c r="B52" s="29"/>
      <c r="C52" s="33"/>
      <c r="D52" s="45"/>
      <c r="F52" s="134"/>
      <c r="G52" s="138"/>
      <c r="H52" s="139"/>
      <c r="I52" s="139"/>
      <c r="J52" s="140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1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05" t="s">
        <v>89</v>
      </c>
      <c r="B54" s="106"/>
      <c r="C54" s="107"/>
      <c r="D54" s="111">
        <f>SUM(D34:D53)</f>
        <v>0</v>
      </c>
      <c r="F54" s="21"/>
      <c r="J54" s="34"/>
    </row>
    <row r="55" spans="1:18" x14ac:dyDescent="0.25">
      <c r="A55" s="108"/>
      <c r="B55" s="109"/>
      <c r="C55" s="110"/>
      <c r="D55" s="11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13" t="s">
        <v>90</v>
      </c>
      <c r="B58" s="114"/>
      <c r="C58" s="114"/>
      <c r="D58" s="115"/>
      <c r="F58" s="113" t="s">
        <v>91</v>
      </c>
      <c r="G58" s="114"/>
      <c r="H58" s="114"/>
      <c r="I58" s="114"/>
      <c r="J58" s="115"/>
    </row>
    <row r="59" spans="1:18" x14ac:dyDescent="0.25">
      <c r="A59" s="116"/>
      <c r="B59" s="117"/>
      <c r="C59" s="117"/>
      <c r="D59" s="118"/>
      <c r="F59" s="116"/>
      <c r="G59" s="117"/>
      <c r="H59" s="117"/>
      <c r="I59" s="117"/>
      <c r="J59" s="118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F4FCD9-476C-4B12-9844-B14CE31AF423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1" t="s">
        <v>1</v>
      </c>
      <c r="O1" s="201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2" t="s">
        <v>7</v>
      </c>
      <c r="B4" s="153"/>
      <c r="C4" s="153"/>
      <c r="D4" s="154"/>
      <c r="F4" s="202" t="s">
        <v>8</v>
      </c>
      <c r="G4" s="204">
        <v>1</v>
      </c>
      <c r="H4" s="206" t="s">
        <v>9</v>
      </c>
      <c r="I4" s="208">
        <v>46163</v>
      </c>
      <c r="J4" s="20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6" t="s">
        <v>7</v>
      </c>
      <c r="B5" s="15" t="s">
        <v>11</v>
      </c>
      <c r="C5" s="9" t="s">
        <v>12</v>
      </c>
      <c r="D5" s="25" t="s">
        <v>13</v>
      </c>
      <c r="F5" s="203"/>
      <c r="G5" s="205"/>
      <c r="H5" s="207"/>
      <c r="I5" s="210"/>
      <c r="J5" s="21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7"/>
      <c r="B6" s="16" t="s">
        <v>15</v>
      </c>
      <c r="C6" s="10">
        <v>143</v>
      </c>
      <c r="D6" s="13">
        <f t="shared" ref="D6:D28" si="1">C6*L6</f>
        <v>108823</v>
      </c>
      <c r="F6" s="212" t="s">
        <v>16</v>
      </c>
      <c r="G6" s="214" t="s">
        <v>99</v>
      </c>
      <c r="H6" s="215"/>
      <c r="I6" s="215"/>
      <c r="J6" s="21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7"/>
      <c r="B7" s="16" t="s">
        <v>18</v>
      </c>
      <c r="C7" s="10">
        <v>9</v>
      </c>
      <c r="D7" s="13">
        <f t="shared" si="1"/>
        <v>7029</v>
      </c>
      <c r="F7" s="213"/>
      <c r="G7" s="217"/>
      <c r="H7" s="218"/>
      <c r="I7" s="218"/>
      <c r="J7" s="21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7"/>
      <c r="B8" s="16" t="s">
        <v>20</v>
      </c>
      <c r="C8" s="10">
        <v>52</v>
      </c>
      <c r="D8" s="13">
        <f t="shared" si="1"/>
        <v>56836</v>
      </c>
      <c r="F8" s="220" t="s">
        <v>21</v>
      </c>
      <c r="G8" s="221" t="s">
        <v>120</v>
      </c>
      <c r="H8" s="222"/>
      <c r="I8" s="222"/>
      <c r="J8" s="22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7"/>
      <c r="B9" s="16" t="s">
        <v>23</v>
      </c>
      <c r="C9" s="10">
        <v>17</v>
      </c>
      <c r="D9" s="13">
        <f t="shared" si="1"/>
        <v>12461</v>
      </c>
      <c r="F9" s="213"/>
      <c r="G9" s="224"/>
      <c r="H9" s="225"/>
      <c r="I9" s="225"/>
      <c r="J9" s="22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7"/>
      <c r="B10" t="s">
        <v>25</v>
      </c>
      <c r="C10" s="10">
        <v>2</v>
      </c>
      <c r="D10" s="13">
        <f t="shared" si="1"/>
        <v>2064</v>
      </c>
      <c r="F10" s="212" t="s">
        <v>26</v>
      </c>
      <c r="G10" s="227" t="s">
        <v>108</v>
      </c>
      <c r="H10" s="228"/>
      <c r="I10" s="228"/>
      <c r="J10" s="229"/>
      <c r="K10" s="8"/>
      <c r="L10" s="6">
        <f>R36</f>
        <v>1032</v>
      </c>
      <c r="P10" s="4"/>
      <c r="Q10" s="4"/>
      <c r="R10" s="5"/>
    </row>
    <row r="11" spans="1:18" ht="15.75" x14ac:dyDescent="0.25">
      <c r="A11" s="147"/>
      <c r="B11" s="17" t="s">
        <v>28</v>
      </c>
      <c r="C11" s="10">
        <v>7</v>
      </c>
      <c r="D11" s="13">
        <f t="shared" si="1"/>
        <v>8190</v>
      </c>
      <c r="F11" s="213"/>
      <c r="G11" s="224"/>
      <c r="H11" s="225"/>
      <c r="I11" s="225"/>
      <c r="J11" s="22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7"/>
      <c r="B12" s="17" t="s">
        <v>30</v>
      </c>
      <c r="C12" s="10">
        <f>6+1</f>
        <v>7</v>
      </c>
      <c r="D12" s="48">
        <f t="shared" si="1"/>
        <v>6944</v>
      </c>
      <c r="F12" s="230" t="s">
        <v>33</v>
      </c>
      <c r="G12" s="231"/>
      <c r="H12" s="231"/>
      <c r="I12" s="231"/>
      <c r="J12" s="23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7"/>
      <c r="B13" s="17" t="s">
        <v>32</v>
      </c>
      <c r="C13" s="10">
        <v>3</v>
      </c>
      <c r="D13" s="48">
        <f t="shared" si="1"/>
        <v>921</v>
      </c>
      <c r="F13" s="233" t="s">
        <v>36</v>
      </c>
      <c r="G13" s="197"/>
      <c r="H13" s="188">
        <f>D29</f>
        <v>216025.16666666666</v>
      </c>
      <c r="I13" s="189"/>
      <c r="J13" s="19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7"/>
      <c r="B14" s="14" t="s">
        <v>35</v>
      </c>
      <c r="C14" s="10">
        <v>12</v>
      </c>
      <c r="D14" s="31">
        <f t="shared" si="1"/>
        <v>132</v>
      </c>
      <c r="F14" s="191" t="s">
        <v>38</v>
      </c>
      <c r="G14" s="192"/>
      <c r="H14" s="193">
        <f>D54</f>
        <v>28238.25</v>
      </c>
      <c r="I14" s="194"/>
      <c r="J14" s="19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7"/>
      <c r="B15" s="14" t="s">
        <v>122</v>
      </c>
      <c r="C15" s="10">
        <f>2+2</f>
        <v>4</v>
      </c>
      <c r="D15" s="31">
        <f t="shared" si="1"/>
        <v>2480</v>
      </c>
      <c r="F15" s="196" t="s">
        <v>39</v>
      </c>
      <c r="G15" s="197"/>
      <c r="H15" s="198">
        <f>H13-H14</f>
        <v>187786.91666666666</v>
      </c>
      <c r="I15" s="199"/>
      <c r="J15" s="200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7"/>
      <c r="B16" s="18" t="s">
        <v>111</v>
      </c>
      <c r="C16" s="10">
        <f>4+3</f>
        <v>7</v>
      </c>
      <c r="D16" s="48">
        <f t="shared" si="1"/>
        <v>4550</v>
      </c>
      <c r="F16" s="67" t="s">
        <v>41</v>
      </c>
      <c r="G16" s="66" t="s">
        <v>42</v>
      </c>
      <c r="H16" s="158"/>
      <c r="I16" s="158"/>
      <c r="J16" s="158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7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69"/>
      <c r="I17" s="169"/>
      <c r="J17" s="169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7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69"/>
      <c r="I18" s="169"/>
      <c r="J18" s="169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7"/>
      <c r="B19" s="83" t="s">
        <v>105</v>
      </c>
      <c r="C19" s="10">
        <v>1</v>
      </c>
      <c r="D19" s="48">
        <f t="shared" si="1"/>
        <v>1175</v>
      </c>
      <c r="F19" s="56"/>
      <c r="G19" s="68" t="s">
        <v>49</v>
      </c>
      <c r="H19" s="158"/>
      <c r="I19" s="158"/>
      <c r="J19" s="158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7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58"/>
      <c r="I20" s="158"/>
      <c r="J20" s="158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7"/>
      <c r="B21" s="14" t="s">
        <v>200</v>
      </c>
      <c r="C21" s="10">
        <v>16</v>
      </c>
      <c r="D21" s="48">
        <f t="shared" si="1"/>
        <v>1078.6666666666667</v>
      </c>
      <c r="F21" s="69" t="s">
        <v>94</v>
      </c>
      <c r="G21" s="82" t="s">
        <v>93</v>
      </c>
      <c r="H21" s="171" t="s">
        <v>13</v>
      </c>
      <c r="I21" s="172"/>
      <c r="J21" s="173"/>
      <c r="L21" s="7">
        <f>1582/24+1.5</f>
        <v>67.416666666666671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7"/>
      <c r="B22" s="46" t="s">
        <v>103</v>
      </c>
      <c r="C22" s="10"/>
      <c r="D22" s="48">
        <f t="shared" si="1"/>
        <v>0</v>
      </c>
      <c r="F22" s="77" t="s">
        <v>153</v>
      </c>
      <c r="G22" s="73">
        <v>10676</v>
      </c>
      <c r="H22" s="174">
        <v>57556</v>
      </c>
      <c r="I22" s="174"/>
      <c r="J22" s="174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7"/>
      <c r="B23" s="14" t="s">
        <v>121</v>
      </c>
      <c r="C23" s="10">
        <v>23</v>
      </c>
      <c r="D23" s="48">
        <f t="shared" si="1"/>
        <v>908.5</v>
      </c>
      <c r="F23" s="77"/>
      <c r="G23" s="79"/>
      <c r="H23" s="242"/>
      <c r="I23" s="243"/>
      <c r="J23" s="243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7"/>
      <c r="B24" s="14" t="s">
        <v>128</v>
      </c>
      <c r="C24" s="10"/>
      <c r="D24" s="48">
        <f t="shared" si="1"/>
        <v>0</v>
      </c>
      <c r="F24" s="77"/>
      <c r="G24" s="79"/>
      <c r="H24" s="242"/>
      <c r="I24" s="243"/>
      <c r="J24" s="243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7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76" t="s">
        <v>13</v>
      </c>
      <c r="I25" s="177"/>
      <c r="J25" s="178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7"/>
      <c r="B26" s="14" t="s">
        <v>129</v>
      </c>
      <c r="C26" s="10"/>
      <c r="D26" s="48">
        <f t="shared" si="1"/>
        <v>0</v>
      </c>
      <c r="F26" s="75"/>
      <c r="G26" s="65"/>
      <c r="H26" s="144"/>
      <c r="I26" s="144"/>
      <c r="J26" s="144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7"/>
      <c r="B27" s="14" t="s">
        <v>130</v>
      </c>
      <c r="C27" s="10"/>
      <c r="D27" s="44">
        <f t="shared" si="1"/>
        <v>0</v>
      </c>
      <c r="F27" s="71"/>
      <c r="G27" s="88"/>
      <c r="H27" s="244"/>
      <c r="I27" s="245"/>
      <c r="J27" s="245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8"/>
      <c r="B28" s="46" t="s">
        <v>92</v>
      </c>
      <c r="C28" s="10">
        <v>3</v>
      </c>
      <c r="D28" s="48">
        <f t="shared" si="1"/>
        <v>2433</v>
      </c>
      <c r="F28" s="91"/>
      <c r="G28" s="61"/>
      <c r="H28" s="185"/>
      <c r="I28" s="186"/>
      <c r="J28" s="187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9" t="s">
        <v>36</v>
      </c>
      <c r="B29" s="160"/>
      <c r="C29" s="161"/>
      <c r="D29" s="165">
        <f>SUM(D6:D28)</f>
        <v>216025.16666666666</v>
      </c>
      <c r="F29" s="105" t="s">
        <v>54</v>
      </c>
      <c r="G29" s="167"/>
      <c r="H29" s="127">
        <f>H15-H16-H17-H18-H19-H20-H22-H23-H24+H26+H27+H28</f>
        <v>130230.91666666666</v>
      </c>
      <c r="I29" s="128"/>
      <c r="J29" s="129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08"/>
      <c r="G30" s="168"/>
      <c r="H30" s="130"/>
      <c r="I30" s="131"/>
      <c r="J30" s="132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2" t="s">
        <v>57</v>
      </c>
      <c r="B32" s="153"/>
      <c r="C32" s="153"/>
      <c r="D32" s="154"/>
      <c r="F32" s="155" t="s">
        <v>58</v>
      </c>
      <c r="G32" s="156"/>
      <c r="H32" s="156"/>
      <c r="I32" s="156"/>
      <c r="J32" s="157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2" t="s">
        <v>62</v>
      </c>
      <c r="H33" s="155" t="s">
        <v>13</v>
      </c>
      <c r="I33" s="156"/>
      <c r="J33" s="157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6" t="s">
        <v>64</v>
      </c>
      <c r="B34" s="26" t="s">
        <v>65</v>
      </c>
      <c r="C34" s="51">
        <v>3</v>
      </c>
      <c r="D34" s="30">
        <f>C34*120</f>
        <v>360</v>
      </c>
      <c r="F34" s="12">
        <v>1000</v>
      </c>
      <c r="G34" s="40">
        <v>81</v>
      </c>
      <c r="H34" s="149">
        <f t="shared" ref="H34:H39" si="2">F34*G34</f>
        <v>81000</v>
      </c>
      <c r="I34" s="150"/>
      <c r="J34" s="151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7"/>
      <c r="B35" s="27" t="s">
        <v>67</v>
      </c>
      <c r="C35" s="52"/>
      <c r="D35" s="30">
        <f>C35*84</f>
        <v>0</v>
      </c>
      <c r="F35" s="58">
        <v>500</v>
      </c>
      <c r="G35" s="41">
        <v>38</v>
      </c>
      <c r="H35" s="149">
        <f t="shared" si="2"/>
        <v>19000</v>
      </c>
      <c r="I35" s="150"/>
      <c r="J35" s="15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8"/>
      <c r="B36" s="26" t="s">
        <v>69</v>
      </c>
      <c r="C36" s="10">
        <v>22</v>
      </c>
      <c r="D36" s="12">
        <f>C36*1.5</f>
        <v>33</v>
      </c>
      <c r="F36" s="12">
        <v>200</v>
      </c>
      <c r="G36" s="37"/>
      <c r="H36" s="149">
        <f t="shared" si="2"/>
        <v>0</v>
      </c>
      <c r="I36" s="150"/>
      <c r="J36" s="151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6" t="s">
        <v>71</v>
      </c>
      <c r="B37" s="28" t="s">
        <v>65</v>
      </c>
      <c r="C37" s="53">
        <v>150</v>
      </c>
      <c r="D37" s="12">
        <f>C37*111</f>
        <v>16650</v>
      </c>
      <c r="F37" s="12">
        <v>100</v>
      </c>
      <c r="G37" s="39">
        <v>12</v>
      </c>
      <c r="H37" s="149">
        <f t="shared" si="2"/>
        <v>1200</v>
      </c>
      <c r="I37" s="150"/>
      <c r="J37" s="151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7"/>
      <c r="B38" s="29" t="s">
        <v>67</v>
      </c>
      <c r="C38" s="54">
        <v>10</v>
      </c>
      <c r="D38" s="12">
        <f>C38*84</f>
        <v>840</v>
      </c>
      <c r="F38" s="30">
        <v>50</v>
      </c>
      <c r="G38" s="39">
        <v>9</v>
      </c>
      <c r="H38" s="149">
        <f t="shared" si="2"/>
        <v>450</v>
      </c>
      <c r="I38" s="150"/>
      <c r="J38" s="151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8"/>
      <c r="B39" s="29" t="s">
        <v>69</v>
      </c>
      <c r="C39" s="52">
        <v>1</v>
      </c>
      <c r="D39" s="31">
        <f>C39*4.5</f>
        <v>4.5</v>
      </c>
      <c r="F39" s="12">
        <v>20</v>
      </c>
      <c r="G39" s="37"/>
      <c r="H39" s="149">
        <f t="shared" si="2"/>
        <v>0</v>
      </c>
      <c r="I39" s="150"/>
      <c r="J39" s="15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6" t="s">
        <v>75</v>
      </c>
      <c r="B40" s="27" t="s">
        <v>65</v>
      </c>
      <c r="C40" s="63">
        <v>7</v>
      </c>
      <c r="D40" s="12">
        <f>C40*111</f>
        <v>777</v>
      </c>
      <c r="F40" s="12">
        <v>10</v>
      </c>
      <c r="G40" s="42"/>
      <c r="H40" s="149"/>
      <c r="I40" s="150"/>
      <c r="J40" s="151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7"/>
      <c r="B41" s="27" t="s">
        <v>67</v>
      </c>
      <c r="C41" s="10">
        <v>4</v>
      </c>
      <c r="D41" s="12">
        <f>C41*84</f>
        <v>336</v>
      </c>
      <c r="F41" s="12">
        <v>5</v>
      </c>
      <c r="G41" s="42"/>
      <c r="H41" s="149"/>
      <c r="I41" s="150"/>
      <c r="J41" s="151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8"/>
      <c r="B42" s="27" t="s">
        <v>69</v>
      </c>
      <c r="C42" s="11">
        <v>3</v>
      </c>
      <c r="D42" s="12">
        <f>C42*2.25</f>
        <v>6.75</v>
      </c>
      <c r="F42" s="39" t="s">
        <v>78</v>
      </c>
      <c r="G42" s="149">
        <v>96</v>
      </c>
      <c r="H42" s="150"/>
      <c r="I42" s="150"/>
      <c r="J42" s="151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19" t="s">
        <v>80</v>
      </c>
      <c r="C43" s="11"/>
      <c r="D43" s="12"/>
      <c r="F43" s="59" t="s">
        <v>81</v>
      </c>
      <c r="G43" s="88" t="s">
        <v>82</v>
      </c>
      <c r="H43" s="141" t="s">
        <v>13</v>
      </c>
      <c r="I43" s="142"/>
      <c r="J43" s="143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20"/>
      <c r="B44" s="27" t="s">
        <v>65</v>
      </c>
      <c r="C44" s="10">
        <v>67</v>
      </c>
      <c r="D44" s="12">
        <f>C44*120</f>
        <v>8040</v>
      </c>
      <c r="F44" s="37" t="s">
        <v>136</v>
      </c>
      <c r="G44" s="76" t="s">
        <v>202</v>
      </c>
      <c r="H44" s="144">
        <v>19994</v>
      </c>
      <c r="I44" s="144"/>
      <c r="J44" s="144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20"/>
      <c r="B45" s="27" t="s">
        <v>67</v>
      </c>
      <c r="C45" s="33">
        <v>9</v>
      </c>
      <c r="D45" s="12">
        <f>C45*84</f>
        <v>756</v>
      </c>
      <c r="F45" s="37" t="s">
        <v>137</v>
      </c>
      <c r="G45" s="62"/>
      <c r="H45" s="144">
        <v>7705</v>
      </c>
      <c r="I45" s="144"/>
      <c r="J45" s="144"/>
      <c r="K45" s="21"/>
      <c r="P45" s="4"/>
      <c r="Q45" s="4"/>
      <c r="R45" s="5"/>
    </row>
    <row r="46" spans="1:18" ht="15.75" x14ac:dyDescent="0.25">
      <c r="A46" s="120"/>
      <c r="B46" s="49" t="s">
        <v>69</v>
      </c>
      <c r="C46" s="81">
        <v>4</v>
      </c>
      <c r="D46" s="12">
        <f>C46*1.5</f>
        <v>6</v>
      </c>
      <c r="F46" s="37"/>
      <c r="G46" s="62"/>
      <c r="H46" s="144"/>
      <c r="I46" s="144"/>
      <c r="J46" s="144"/>
      <c r="K46" s="21"/>
      <c r="P46" s="4"/>
      <c r="Q46" s="4"/>
      <c r="R46" s="5"/>
    </row>
    <row r="47" spans="1:18" ht="15.75" x14ac:dyDescent="0.25">
      <c r="A47" s="121"/>
      <c r="B47" s="27"/>
      <c r="C47" s="11"/>
      <c r="D47" s="12"/>
      <c r="F47" s="59"/>
      <c r="G47" s="59"/>
      <c r="H47" s="122"/>
      <c r="I47" s="123"/>
      <c r="J47" s="124"/>
      <c r="K47" s="21"/>
      <c r="P47" s="4"/>
      <c r="Q47" s="4"/>
      <c r="R47" s="5"/>
    </row>
    <row r="48" spans="1:18" ht="15" customHeight="1" x14ac:dyDescent="0.25">
      <c r="A48" s="119" t="s">
        <v>32</v>
      </c>
      <c r="B48" s="27" t="s">
        <v>65</v>
      </c>
      <c r="C48" s="10">
        <v>3</v>
      </c>
      <c r="D48" s="12">
        <f>C48*78</f>
        <v>234</v>
      </c>
      <c r="F48" s="59"/>
      <c r="G48" s="59"/>
      <c r="H48" s="122"/>
      <c r="I48" s="123"/>
      <c r="J48" s="124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20"/>
      <c r="B49" s="29" t="s">
        <v>67</v>
      </c>
      <c r="C49" s="33"/>
      <c r="D49" s="12">
        <f>C49*42</f>
        <v>0</v>
      </c>
      <c r="F49" s="125" t="s">
        <v>85</v>
      </c>
      <c r="G49" s="127">
        <f>H34+H35+H36+H37+H38+H39+H40+H41+G42+H44+H45+H46</f>
        <v>129445</v>
      </c>
      <c r="H49" s="128"/>
      <c r="I49" s="128"/>
      <c r="J49" s="129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0"/>
      <c r="B50" s="32" t="s">
        <v>69</v>
      </c>
      <c r="C50" s="11">
        <v>130</v>
      </c>
      <c r="D50" s="12">
        <f>C50*1.5</f>
        <v>195</v>
      </c>
      <c r="F50" s="126"/>
      <c r="G50" s="130"/>
      <c r="H50" s="131"/>
      <c r="I50" s="131"/>
      <c r="J50" s="132"/>
      <c r="O50" t="s">
        <v>114</v>
      </c>
      <c r="P50" s="4">
        <v>1204</v>
      </c>
      <c r="Q50" s="4"/>
      <c r="R50" s="5"/>
    </row>
    <row r="51" spans="1:18" ht="15" customHeight="1" x14ac:dyDescent="0.25">
      <c r="A51" s="120"/>
      <c r="B51" s="27"/>
      <c r="C51" s="10"/>
      <c r="D51" s="31"/>
      <c r="F51" s="133" t="s">
        <v>109</v>
      </c>
      <c r="G51" s="246">
        <f>G49-H29</f>
        <v>-785.91666666665697</v>
      </c>
      <c r="H51" s="247"/>
      <c r="I51" s="247"/>
      <c r="J51" s="248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20"/>
      <c r="B52" s="29"/>
      <c r="C52" s="33"/>
      <c r="D52" s="45"/>
      <c r="F52" s="134"/>
      <c r="G52" s="249"/>
      <c r="H52" s="250"/>
      <c r="I52" s="250"/>
      <c r="J52" s="251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1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05" t="s">
        <v>89</v>
      </c>
      <c r="B54" s="106"/>
      <c r="C54" s="107"/>
      <c r="D54" s="111">
        <f>SUM(D34:D53)</f>
        <v>28238.25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08"/>
      <c r="B55" s="109"/>
      <c r="C55" s="110"/>
      <c r="D55" s="11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113" t="s">
        <v>90</v>
      </c>
      <c r="B58" s="114"/>
      <c r="C58" s="114"/>
      <c r="D58" s="115"/>
      <c r="F58" s="113" t="s">
        <v>91</v>
      </c>
      <c r="G58" s="114"/>
      <c r="H58" s="114"/>
      <c r="I58" s="114"/>
      <c r="J58" s="115"/>
    </row>
    <row r="59" spans="1:18" x14ac:dyDescent="0.25">
      <c r="A59" s="116"/>
      <c r="B59" s="117"/>
      <c r="C59" s="117"/>
      <c r="D59" s="118"/>
      <c r="F59" s="116"/>
      <c r="G59" s="117"/>
      <c r="H59" s="117"/>
      <c r="I59" s="117"/>
      <c r="J59" s="118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2FE098-70B8-4D30-8AAA-282CDDD7A018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1" t="s">
        <v>1</v>
      </c>
      <c r="O1" s="201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2" t="s">
        <v>7</v>
      </c>
      <c r="B4" s="153"/>
      <c r="C4" s="153"/>
      <c r="D4" s="154"/>
      <c r="F4" s="202" t="s">
        <v>8</v>
      </c>
      <c r="G4" s="204">
        <v>2</v>
      </c>
      <c r="H4" s="206" t="s">
        <v>9</v>
      </c>
      <c r="I4" s="208">
        <v>46163</v>
      </c>
      <c r="J4" s="20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6" t="s">
        <v>7</v>
      </c>
      <c r="B5" s="15" t="s">
        <v>11</v>
      </c>
      <c r="C5" s="9" t="s">
        <v>12</v>
      </c>
      <c r="D5" s="25" t="s">
        <v>13</v>
      </c>
      <c r="F5" s="203"/>
      <c r="G5" s="205"/>
      <c r="H5" s="207"/>
      <c r="I5" s="210"/>
      <c r="J5" s="21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7"/>
      <c r="B6" s="16" t="s">
        <v>15</v>
      </c>
      <c r="C6" s="10">
        <v>276</v>
      </c>
      <c r="D6" s="13">
        <f t="shared" ref="D6:D28" si="1">C6*L6</f>
        <v>210036</v>
      </c>
      <c r="F6" s="212" t="s">
        <v>16</v>
      </c>
      <c r="G6" s="214" t="s">
        <v>107</v>
      </c>
      <c r="H6" s="215"/>
      <c r="I6" s="215"/>
      <c r="J6" s="21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7"/>
      <c r="B7" s="16" t="s">
        <v>18</v>
      </c>
      <c r="C7" s="10">
        <f>2</f>
        <v>2</v>
      </c>
      <c r="D7" s="13">
        <f t="shared" si="1"/>
        <v>1562</v>
      </c>
      <c r="F7" s="213"/>
      <c r="G7" s="217"/>
      <c r="H7" s="218"/>
      <c r="I7" s="218"/>
      <c r="J7" s="21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7"/>
      <c r="B8" s="16" t="s">
        <v>20</v>
      </c>
      <c r="C8" s="10"/>
      <c r="D8" s="13">
        <f t="shared" si="1"/>
        <v>0</v>
      </c>
      <c r="F8" s="220" t="s">
        <v>21</v>
      </c>
      <c r="G8" s="221" t="s">
        <v>100</v>
      </c>
      <c r="H8" s="222"/>
      <c r="I8" s="222"/>
      <c r="J8" s="22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7"/>
      <c r="B9" s="16" t="s">
        <v>23</v>
      </c>
      <c r="C9" s="10">
        <v>22</v>
      </c>
      <c r="D9" s="13">
        <f t="shared" si="1"/>
        <v>16126</v>
      </c>
      <c r="F9" s="213"/>
      <c r="G9" s="224"/>
      <c r="H9" s="225"/>
      <c r="I9" s="225"/>
      <c r="J9" s="22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7"/>
      <c r="B10" t="s">
        <v>25</v>
      </c>
      <c r="C10" s="10"/>
      <c r="D10" s="13">
        <f t="shared" si="1"/>
        <v>0</v>
      </c>
      <c r="F10" s="212" t="s">
        <v>26</v>
      </c>
      <c r="G10" s="227" t="s">
        <v>101</v>
      </c>
      <c r="H10" s="228"/>
      <c r="I10" s="228"/>
      <c r="J10" s="229"/>
      <c r="K10" s="8"/>
      <c r="L10" s="6">
        <f>R36</f>
        <v>1032</v>
      </c>
      <c r="P10" s="4"/>
      <c r="Q10" s="4"/>
      <c r="R10" s="5"/>
    </row>
    <row r="11" spans="1:18" ht="15.75" x14ac:dyDescent="0.25">
      <c r="A11" s="147"/>
      <c r="B11" s="17" t="s">
        <v>28</v>
      </c>
      <c r="C11" s="10"/>
      <c r="D11" s="13">
        <f t="shared" si="1"/>
        <v>0</v>
      </c>
      <c r="F11" s="213"/>
      <c r="G11" s="224"/>
      <c r="H11" s="225"/>
      <c r="I11" s="225"/>
      <c r="J11" s="22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7"/>
      <c r="B12" s="17" t="s">
        <v>30</v>
      </c>
      <c r="C12" s="10">
        <v>3</v>
      </c>
      <c r="D12" s="48">
        <f t="shared" si="1"/>
        <v>2976</v>
      </c>
      <c r="F12" s="230" t="s">
        <v>33</v>
      </c>
      <c r="G12" s="231"/>
      <c r="H12" s="231"/>
      <c r="I12" s="231"/>
      <c r="J12" s="23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7"/>
      <c r="B13" s="17" t="s">
        <v>32</v>
      </c>
      <c r="C13" s="10">
        <v>7</v>
      </c>
      <c r="D13" s="48">
        <f t="shared" si="1"/>
        <v>2149</v>
      </c>
      <c r="F13" s="233" t="s">
        <v>36</v>
      </c>
      <c r="G13" s="197"/>
      <c r="H13" s="188">
        <f>D29</f>
        <v>238493</v>
      </c>
      <c r="I13" s="189"/>
      <c r="J13" s="19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7"/>
      <c r="B14" s="14" t="s">
        <v>35</v>
      </c>
      <c r="C14" s="10">
        <v>12</v>
      </c>
      <c r="D14" s="31">
        <f t="shared" si="1"/>
        <v>132</v>
      </c>
      <c r="F14" s="191" t="s">
        <v>38</v>
      </c>
      <c r="G14" s="192"/>
      <c r="H14" s="193">
        <f>D54</f>
        <v>43047</v>
      </c>
      <c r="I14" s="194"/>
      <c r="J14" s="19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7"/>
      <c r="B15" s="14" t="s">
        <v>122</v>
      </c>
      <c r="C15" s="10"/>
      <c r="D15" s="31">
        <f t="shared" si="1"/>
        <v>0</v>
      </c>
      <c r="F15" s="196" t="s">
        <v>39</v>
      </c>
      <c r="G15" s="197"/>
      <c r="H15" s="198">
        <f>H13-H14</f>
        <v>195446</v>
      </c>
      <c r="I15" s="199"/>
      <c r="J15" s="200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7"/>
      <c r="B16" s="18" t="s">
        <v>111</v>
      </c>
      <c r="C16" s="10">
        <f>1+1</f>
        <v>2</v>
      </c>
      <c r="D16" s="48">
        <f t="shared" si="1"/>
        <v>1300</v>
      </c>
      <c r="F16" s="67" t="s">
        <v>41</v>
      </c>
      <c r="G16" s="66" t="s">
        <v>42</v>
      </c>
      <c r="H16" s="158">
        <v>1158</v>
      </c>
      <c r="I16" s="158"/>
      <c r="J16" s="158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7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69"/>
      <c r="I17" s="169"/>
      <c r="J17" s="169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7"/>
      <c r="B18" s="86" t="s">
        <v>125</v>
      </c>
      <c r="C18" s="10">
        <f>1</f>
        <v>1</v>
      </c>
      <c r="D18" s="48">
        <f t="shared" si="1"/>
        <v>1102</v>
      </c>
      <c r="F18" s="56"/>
      <c r="G18" s="66" t="s">
        <v>46</v>
      </c>
      <c r="H18" s="169"/>
      <c r="I18" s="169"/>
      <c r="J18" s="169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7"/>
      <c r="B19" s="87" t="s">
        <v>105</v>
      </c>
      <c r="C19" s="10">
        <f>1</f>
        <v>1</v>
      </c>
      <c r="D19" s="48">
        <f t="shared" si="1"/>
        <v>1175</v>
      </c>
      <c r="F19" s="56"/>
      <c r="G19" s="68" t="s">
        <v>49</v>
      </c>
      <c r="H19" s="253"/>
      <c r="I19" s="253"/>
      <c r="J19" s="253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7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58"/>
      <c r="I20" s="158"/>
      <c r="J20" s="158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7"/>
      <c r="B21" s="14" t="s">
        <v>183</v>
      </c>
      <c r="C21" s="10">
        <v>1</v>
      </c>
      <c r="D21" s="48">
        <f t="shared" si="1"/>
        <v>1667</v>
      </c>
      <c r="F21" s="69" t="s">
        <v>94</v>
      </c>
      <c r="G21" s="82" t="s">
        <v>93</v>
      </c>
      <c r="H21" s="171" t="s">
        <v>13</v>
      </c>
      <c r="I21" s="172"/>
      <c r="J21" s="173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7"/>
      <c r="B22" s="46" t="s">
        <v>201</v>
      </c>
      <c r="C22" s="10">
        <f>12</f>
        <v>12</v>
      </c>
      <c r="D22" s="48">
        <f t="shared" si="1"/>
        <v>268</v>
      </c>
      <c r="F22" s="77"/>
      <c r="G22" s="73"/>
      <c r="H22" s="174"/>
      <c r="I22" s="174"/>
      <c r="J22" s="174"/>
      <c r="L22" s="7">
        <f>500/24+1.5</f>
        <v>22.333333333333332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7"/>
      <c r="B23" s="14" t="s">
        <v>121</v>
      </c>
      <c r="C23" s="10"/>
      <c r="D23" s="48">
        <f t="shared" si="1"/>
        <v>0</v>
      </c>
      <c r="F23" s="78"/>
      <c r="G23" s="79"/>
      <c r="H23" s="254"/>
      <c r="I23" s="174"/>
      <c r="J23" s="174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7"/>
      <c r="B24" s="14" t="s">
        <v>128</v>
      </c>
      <c r="C24" s="10"/>
      <c r="D24" s="48">
        <f t="shared" si="1"/>
        <v>0</v>
      </c>
      <c r="F24" s="38"/>
      <c r="G24" s="37"/>
      <c r="H24" s="175"/>
      <c r="I24" s="144"/>
      <c r="J24" s="144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7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76" t="s">
        <v>13</v>
      </c>
      <c r="I25" s="177"/>
      <c r="J25" s="178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7"/>
      <c r="B26" s="14" t="s">
        <v>129</v>
      </c>
      <c r="C26" s="10"/>
      <c r="D26" s="48">
        <f t="shared" si="1"/>
        <v>0</v>
      </c>
      <c r="F26" s="64"/>
      <c r="G26" s="59"/>
      <c r="H26" s="179"/>
      <c r="I26" s="180"/>
      <c r="J26" s="181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7"/>
      <c r="B27" s="14" t="s">
        <v>130</v>
      </c>
      <c r="C27" s="10"/>
      <c r="D27" s="44">
        <f t="shared" si="1"/>
        <v>0</v>
      </c>
      <c r="F27" s="25"/>
      <c r="G27" s="80"/>
      <c r="H27" s="182"/>
      <c r="I27" s="183"/>
      <c r="J27" s="184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8"/>
      <c r="B28" s="46" t="s">
        <v>92</v>
      </c>
      <c r="C28" s="10"/>
      <c r="D28" s="48">
        <f t="shared" si="1"/>
        <v>0</v>
      </c>
      <c r="F28" s="91"/>
      <c r="G28" s="61"/>
      <c r="H28" s="185"/>
      <c r="I28" s="186"/>
      <c r="J28" s="187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9" t="s">
        <v>36</v>
      </c>
      <c r="B29" s="160"/>
      <c r="C29" s="161"/>
      <c r="D29" s="165">
        <f>SUM(D6:D28)</f>
        <v>238493</v>
      </c>
      <c r="F29" s="105" t="s">
        <v>54</v>
      </c>
      <c r="G29" s="167"/>
      <c r="H29" s="127">
        <f>H15-H16-H17-H18-H19-H20-H22-H23-H24+H26+H27</f>
        <v>194288</v>
      </c>
      <c r="I29" s="128"/>
      <c r="J29" s="129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08"/>
      <c r="G30" s="168"/>
      <c r="H30" s="130"/>
      <c r="I30" s="131"/>
      <c r="J30" s="132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2" t="s">
        <v>57</v>
      </c>
      <c r="B32" s="153"/>
      <c r="C32" s="153"/>
      <c r="D32" s="154"/>
      <c r="F32" s="155" t="s">
        <v>58</v>
      </c>
      <c r="G32" s="156"/>
      <c r="H32" s="156"/>
      <c r="I32" s="156"/>
      <c r="J32" s="157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2" t="s">
        <v>62</v>
      </c>
      <c r="H33" s="155" t="s">
        <v>13</v>
      </c>
      <c r="I33" s="156"/>
      <c r="J33" s="157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6" t="s">
        <v>64</v>
      </c>
      <c r="B34" s="26" t="s">
        <v>65</v>
      </c>
      <c r="C34" s="51">
        <v>1</v>
      </c>
      <c r="D34" s="30">
        <f>C34*120</f>
        <v>120</v>
      </c>
      <c r="F34" s="12">
        <v>1000</v>
      </c>
      <c r="G34" s="74">
        <v>68</v>
      </c>
      <c r="H34" s="149">
        <f>F34*G34</f>
        <v>68000</v>
      </c>
      <c r="I34" s="150"/>
      <c r="J34" s="151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7"/>
      <c r="B35" s="27" t="s">
        <v>67</v>
      </c>
      <c r="C35" s="52"/>
      <c r="D35" s="30">
        <f>C35*84</f>
        <v>0</v>
      </c>
      <c r="F35" s="58">
        <v>500</v>
      </c>
      <c r="G35" s="41">
        <v>1</v>
      </c>
      <c r="H35" s="149">
        <f>F35*G35</f>
        <v>500</v>
      </c>
      <c r="I35" s="150"/>
      <c r="J35" s="15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8"/>
      <c r="B36" s="26" t="s">
        <v>69</v>
      </c>
      <c r="C36" s="10"/>
      <c r="D36" s="12">
        <f>C36*1.5</f>
        <v>0</v>
      </c>
      <c r="F36" s="12">
        <v>200</v>
      </c>
      <c r="G36" s="37"/>
      <c r="H36" s="149">
        <f t="shared" ref="H36:H39" si="2">F36*G36</f>
        <v>0</v>
      </c>
      <c r="I36" s="150"/>
      <c r="J36" s="151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6" t="s">
        <v>71</v>
      </c>
      <c r="B37" s="28" t="s">
        <v>65</v>
      </c>
      <c r="C37" s="53">
        <v>375</v>
      </c>
      <c r="D37" s="12">
        <f>C37*111</f>
        <v>41625</v>
      </c>
      <c r="F37" s="12">
        <v>100</v>
      </c>
      <c r="G37" s="39">
        <v>10</v>
      </c>
      <c r="H37" s="149">
        <f t="shared" si="2"/>
        <v>1000</v>
      </c>
      <c r="I37" s="150"/>
      <c r="J37" s="151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7"/>
      <c r="B38" s="29" t="s">
        <v>67</v>
      </c>
      <c r="C38" s="54">
        <v>5</v>
      </c>
      <c r="D38" s="12">
        <f>C38*84</f>
        <v>420</v>
      </c>
      <c r="F38" s="30">
        <v>50</v>
      </c>
      <c r="G38" s="39">
        <v>2</v>
      </c>
      <c r="H38" s="149">
        <f t="shared" si="2"/>
        <v>100</v>
      </c>
      <c r="I38" s="150"/>
      <c r="J38" s="151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8"/>
      <c r="B39" s="29" t="s">
        <v>69</v>
      </c>
      <c r="C39" s="52"/>
      <c r="D39" s="31">
        <f>C39*4.5</f>
        <v>0</v>
      </c>
      <c r="F39" s="12">
        <v>20</v>
      </c>
      <c r="G39" s="37"/>
      <c r="H39" s="149">
        <f t="shared" si="2"/>
        <v>0</v>
      </c>
      <c r="I39" s="150"/>
      <c r="J39" s="15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6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49"/>
      <c r="I40" s="150"/>
      <c r="J40" s="151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7"/>
      <c r="B41" s="27" t="s">
        <v>67</v>
      </c>
      <c r="C41" s="10">
        <v>2</v>
      </c>
      <c r="D41" s="12">
        <f>C41*84</f>
        <v>168</v>
      </c>
      <c r="F41" s="12">
        <v>5</v>
      </c>
      <c r="G41" s="42"/>
      <c r="H41" s="149"/>
      <c r="I41" s="150"/>
      <c r="J41" s="151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8"/>
      <c r="B42" s="27" t="s">
        <v>69</v>
      </c>
      <c r="C42" s="11">
        <v>10</v>
      </c>
      <c r="D42" s="12">
        <f>C42*2.25</f>
        <v>22.5</v>
      </c>
      <c r="F42" s="39" t="s">
        <v>78</v>
      </c>
      <c r="G42" s="149">
        <v>26</v>
      </c>
      <c r="H42" s="150"/>
      <c r="I42" s="150"/>
      <c r="J42" s="151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19" t="s">
        <v>80</v>
      </c>
      <c r="C43" s="11"/>
      <c r="D43" s="12"/>
      <c r="F43" s="59" t="s">
        <v>81</v>
      </c>
      <c r="G43" s="88" t="s">
        <v>82</v>
      </c>
      <c r="H43" s="141" t="s">
        <v>13</v>
      </c>
      <c r="I43" s="142"/>
      <c r="J43" s="143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20"/>
      <c r="B44" s="27" t="s">
        <v>65</v>
      </c>
      <c r="C44" s="10"/>
      <c r="D44" s="12">
        <f>C44*120</f>
        <v>0</v>
      </c>
      <c r="F44" s="37" t="s">
        <v>132</v>
      </c>
      <c r="G44" s="76" t="s">
        <v>203</v>
      </c>
      <c r="H44" s="144">
        <v>124572</v>
      </c>
      <c r="I44" s="144"/>
      <c r="J44" s="144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20"/>
      <c r="B45" s="27" t="s">
        <v>67</v>
      </c>
      <c r="C45" s="33">
        <v>1</v>
      </c>
      <c r="D45" s="12">
        <f>C45*84</f>
        <v>84</v>
      </c>
      <c r="F45" s="37"/>
      <c r="G45" s="76"/>
      <c r="H45" s="144"/>
      <c r="I45" s="144"/>
      <c r="J45" s="144"/>
      <c r="K45" s="21"/>
      <c r="P45" s="4"/>
      <c r="Q45" s="4"/>
      <c r="R45" s="5"/>
    </row>
    <row r="46" spans="1:18" ht="15.75" x14ac:dyDescent="0.25">
      <c r="A46" s="120"/>
      <c r="B46" s="49" t="s">
        <v>69</v>
      </c>
      <c r="C46" s="81">
        <v>1</v>
      </c>
      <c r="D46" s="12">
        <f>C46*1.5</f>
        <v>1.5</v>
      </c>
      <c r="F46" s="37"/>
      <c r="G46" s="62"/>
      <c r="H46" s="145"/>
      <c r="I46" s="145"/>
      <c r="J46" s="145"/>
      <c r="K46" s="21"/>
      <c r="P46" s="4"/>
      <c r="Q46" s="4"/>
      <c r="R46" s="5"/>
    </row>
    <row r="47" spans="1:18" ht="15.75" x14ac:dyDescent="0.25">
      <c r="A47" s="121"/>
      <c r="B47" s="27"/>
      <c r="C47" s="11"/>
      <c r="D47" s="12"/>
      <c r="F47" s="59"/>
      <c r="G47" s="59"/>
      <c r="H47" s="122"/>
      <c r="I47" s="123"/>
      <c r="J47" s="124"/>
      <c r="K47" s="21"/>
      <c r="P47" s="4"/>
      <c r="Q47" s="4"/>
      <c r="R47" s="5"/>
    </row>
    <row r="48" spans="1:18" ht="15" customHeight="1" x14ac:dyDescent="0.25">
      <c r="A48" s="119" t="s">
        <v>32</v>
      </c>
      <c r="B48" s="27" t="s">
        <v>65</v>
      </c>
      <c r="C48" s="10">
        <v>4</v>
      </c>
      <c r="D48" s="12">
        <f>C48*78</f>
        <v>312</v>
      </c>
      <c r="F48" s="59"/>
      <c r="G48" s="59"/>
      <c r="H48" s="122"/>
      <c r="I48" s="123"/>
      <c r="J48" s="124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20"/>
      <c r="B49" s="29" t="s">
        <v>67</v>
      </c>
      <c r="C49" s="33">
        <v>7</v>
      </c>
      <c r="D49" s="12">
        <f>C49*42</f>
        <v>294</v>
      </c>
      <c r="F49" s="125" t="s">
        <v>85</v>
      </c>
      <c r="G49" s="127">
        <f>H34+H35+H36+H37+H38+H39+H40+H41+G42+H44+H45+H46</f>
        <v>194198</v>
      </c>
      <c r="H49" s="128"/>
      <c r="I49" s="128"/>
      <c r="J49" s="129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0"/>
      <c r="B50" s="32" t="s">
        <v>69</v>
      </c>
      <c r="C50" s="81"/>
      <c r="D50" s="12">
        <f>C50*1.5</f>
        <v>0</v>
      </c>
      <c r="F50" s="126"/>
      <c r="G50" s="130"/>
      <c r="H50" s="131"/>
      <c r="I50" s="131"/>
      <c r="J50" s="132"/>
      <c r="O50" t="s">
        <v>114</v>
      </c>
      <c r="P50" s="4">
        <v>1204</v>
      </c>
      <c r="Q50" s="4"/>
      <c r="R50" s="5"/>
    </row>
    <row r="51" spans="1:18" ht="15" customHeight="1" x14ac:dyDescent="0.25">
      <c r="A51" s="120"/>
      <c r="B51" s="27"/>
      <c r="C51" s="10"/>
      <c r="D51" s="31"/>
      <c r="F51" s="133" t="s">
        <v>109</v>
      </c>
      <c r="G51" s="246">
        <f>G49-H29</f>
        <v>-90</v>
      </c>
      <c r="H51" s="247"/>
      <c r="I51" s="247"/>
      <c r="J51" s="248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20"/>
      <c r="B52" s="29"/>
      <c r="C52" s="33"/>
      <c r="D52" s="45"/>
      <c r="F52" s="134"/>
      <c r="G52" s="249"/>
      <c r="H52" s="250"/>
      <c r="I52" s="250"/>
      <c r="J52" s="251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1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05" t="s">
        <v>89</v>
      </c>
      <c r="B54" s="106"/>
      <c r="C54" s="107"/>
      <c r="D54" s="111">
        <f>SUM(D34:D53)</f>
        <v>43047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08"/>
      <c r="B55" s="109"/>
      <c r="C55" s="110"/>
      <c r="D55" s="11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13" t="s">
        <v>90</v>
      </c>
      <c r="B58" s="114"/>
      <c r="C58" s="114"/>
      <c r="D58" s="115"/>
      <c r="F58" s="113" t="s">
        <v>91</v>
      </c>
      <c r="G58" s="114"/>
      <c r="H58" s="114"/>
      <c r="I58" s="114"/>
      <c r="J58" s="115"/>
    </row>
    <row r="59" spans="1:18" x14ac:dyDescent="0.25">
      <c r="A59" s="116"/>
      <c r="B59" s="117"/>
      <c r="C59" s="117"/>
      <c r="D59" s="118"/>
      <c r="F59" s="116"/>
      <c r="G59" s="117"/>
      <c r="H59" s="117"/>
      <c r="I59" s="117"/>
      <c r="J59" s="118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E5BAC0-A222-406C-9212-C9E78AC95FC3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1" t="s">
        <v>1</v>
      </c>
      <c r="O1" s="201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2" t="s">
        <v>7</v>
      </c>
      <c r="B4" s="153"/>
      <c r="C4" s="153"/>
      <c r="D4" s="154"/>
      <c r="F4" s="202" t="s">
        <v>8</v>
      </c>
      <c r="G4" s="204">
        <v>3</v>
      </c>
      <c r="H4" s="206" t="s">
        <v>9</v>
      </c>
      <c r="I4" s="208">
        <v>46163</v>
      </c>
      <c r="J4" s="20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6" t="s">
        <v>7</v>
      </c>
      <c r="B5" s="15" t="s">
        <v>11</v>
      </c>
      <c r="C5" s="9" t="s">
        <v>12</v>
      </c>
      <c r="D5" s="25" t="s">
        <v>13</v>
      </c>
      <c r="F5" s="203"/>
      <c r="G5" s="205"/>
      <c r="H5" s="207"/>
      <c r="I5" s="210"/>
      <c r="J5" s="21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7"/>
      <c r="B6" s="16" t="s">
        <v>15</v>
      </c>
      <c r="C6" s="10">
        <v>423</v>
      </c>
      <c r="D6" s="13">
        <f t="shared" ref="D6:D28" si="1">C6*L6</f>
        <v>321903</v>
      </c>
      <c r="F6" s="212" t="s">
        <v>16</v>
      </c>
      <c r="G6" s="214" t="s">
        <v>117</v>
      </c>
      <c r="H6" s="215"/>
      <c r="I6" s="215"/>
      <c r="J6" s="21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7"/>
      <c r="B7" s="16" t="s">
        <v>18</v>
      </c>
      <c r="C7" s="10">
        <v>21</v>
      </c>
      <c r="D7" s="13">
        <f t="shared" si="1"/>
        <v>16401</v>
      </c>
      <c r="F7" s="213"/>
      <c r="G7" s="217"/>
      <c r="H7" s="218"/>
      <c r="I7" s="218"/>
      <c r="J7" s="21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7"/>
      <c r="B8" s="16" t="s">
        <v>20</v>
      </c>
      <c r="C8" s="10"/>
      <c r="D8" s="13">
        <f t="shared" si="1"/>
        <v>0</v>
      </c>
      <c r="F8" s="220" t="s">
        <v>21</v>
      </c>
      <c r="G8" s="221" t="s">
        <v>110</v>
      </c>
      <c r="H8" s="222"/>
      <c r="I8" s="222"/>
      <c r="J8" s="22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7"/>
      <c r="B9" s="16" t="s">
        <v>23</v>
      </c>
      <c r="C9" s="10">
        <v>83</v>
      </c>
      <c r="D9" s="13">
        <f t="shared" si="1"/>
        <v>60839</v>
      </c>
      <c r="F9" s="213"/>
      <c r="G9" s="224"/>
      <c r="H9" s="225"/>
      <c r="I9" s="225"/>
      <c r="J9" s="22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7"/>
      <c r="B10" t="s">
        <v>25</v>
      </c>
      <c r="C10" s="10">
        <v>3</v>
      </c>
      <c r="D10" s="13">
        <f t="shared" si="1"/>
        <v>3096</v>
      </c>
      <c r="F10" s="212" t="s">
        <v>26</v>
      </c>
      <c r="G10" s="227" t="s">
        <v>124</v>
      </c>
      <c r="H10" s="228"/>
      <c r="I10" s="228"/>
      <c r="J10" s="229"/>
      <c r="K10" s="8"/>
      <c r="L10" s="6">
        <f>R36</f>
        <v>1032</v>
      </c>
      <c r="P10" s="4"/>
      <c r="Q10" s="4"/>
      <c r="R10" s="5"/>
    </row>
    <row r="11" spans="1:18" ht="15.75" x14ac:dyDescent="0.25">
      <c r="A11" s="147"/>
      <c r="B11" s="17" t="s">
        <v>28</v>
      </c>
      <c r="C11" s="10">
        <v>2</v>
      </c>
      <c r="D11" s="13">
        <f t="shared" si="1"/>
        <v>2340</v>
      </c>
      <c r="F11" s="213"/>
      <c r="G11" s="224"/>
      <c r="H11" s="225"/>
      <c r="I11" s="225"/>
      <c r="J11" s="22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7"/>
      <c r="B12" s="17" t="s">
        <v>30</v>
      </c>
      <c r="C12" s="10">
        <v>3</v>
      </c>
      <c r="D12" s="48">
        <f t="shared" si="1"/>
        <v>2976</v>
      </c>
      <c r="F12" s="230" t="s">
        <v>33</v>
      </c>
      <c r="G12" s="231"/>
      <c r="H12" s="231"/>
      <c r="I12" s="231"/>
      <c r="J12" s="23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7"/>
      <c r="B13" s="17" t="s">
        <v>32</v>
      </c>
      <c r="C13" s="10">
        <v>15</v>
      </c>
      <c r="D13" s="48">
        <f t="shared" si="1"/>
        <v>4605</v>
      </c>
      <c r="F13" s="233" t="s">
        <v>36</v>
      </c>
      <c r="G13" s="197"/>
      <c r="H13" s="188">
        <f>D29</f>
        <v>412292</v>
      </c>
      <c r="I13" s="189"/>
      <c r="J13" s="19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7"/>
      <c r="B14" s="14" t="s">
        <v>35</v>
      </c>
      <c r="C14" s="10">
        <v>12</v>
      </c>
      <c r="D14" s="31">
        <f t="shared" si="1"/>
        <v>132</v>
      </c>
      <c r="F14" s="191" t="s">
        <v>38</v>
      </c>
      <c r="G14" s="192"/>
      <c r="H14" s="193">
        <f>D54</f>
        <v>66883.5</v>
      </c>
      <c r="I14" s="194"/>
      <c r="J14" s="19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7"/>
      <c r="B15" s="14" t="s">
        <v>122</v>
      </c>
      <c r="C15" s="10"/>
      <c r="D15" s="31">
        <f t="shared" si="1"/>
        <v>0</v>
      </c>
      <c r="F15" s="196" t="s">
        <v>39</v>
      </c>
      <c r="G15" s="197"/>
      <c r="H15" s="198">
        <f>H13-H14</f>
        <v>345408.5</v>
      </c>
      <c r="I15" s="199"/>
      <c r="J15" s="200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7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58">
        <f>948+858+360</f>
        <v>2166</v>
      </c>
      <c r="I16" s="158"/>
      <c r="J16" s="158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7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69"/>
      <c r="I17" s="169"/>
      <c r="J17" s="169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7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69"/>
      <c r="I18" s="169"/>
      <c r="J18" s="169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7"/>
      <c r="B19" s="87" t="s">
        <v>105</v>
      </c>
      <c r="C19" s="10"/>
      <c r="D19" s="48">
        <f t="shared" si="1"/>
        <v>0</v>
      </c>
      <c r="F19" s="56"/>
      <c r="G19" s="68" t="s">
        <v>49</v>
      </c>
      <c r="H19" s="253">
        <v>50</v>
      </c>
      <c r="I19" s="253"/>
      <c r="J19" s="253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7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58"/>
      <c r="I20" s="158"/>
      <c r="J20" s="158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7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71" t="s">
        <v>13</v>
      </c>
      <c r="I21" s="172"/>
      <c r="J21" s="173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7"/>
      <c r="B22" s="46" t="s">
        <v>103</v>
      </c>
      <c r="C22" s="10"/>
      <c r="D22" s="48">
        <f t="shared" si="1"/>
        <v>0</v>
      </c>
      <c r="F22" s="77"/>
      <c r="G22" s="73"/>
      <c r="H22" s="174"/>
      <c r="I22" s="174"/>
      <c r="J22" s="174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7"/>
      <c r="B23" s="14" t="s">
        <v>121</v>
      </c>
      <c r="C23" s="10"/>
      <c r="D23" s="48">
        <f t="shared" si="1"/>
        <v>0</v>
      </c>
      <c r="F23" s="78"/>
      <c r="G23" s="79"/>
      <c r="H23" s="254"/>
      <c r="I23" s="174"/>
      <c r="J23" s="174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7"/>
      <c r="B24" s="14" t="s">
        <v>128</v>
      </c>
      <c r="C24" s="10"/>
      <c r="D24" s="48">
        <f t="shared" si="1"/>
        <v>0</v>
      </c>
      <c r="F24" s="38"/>
      <c r="G24" s="37"/>
      <c r="H24" s="175"/>
      <c r="I24" s="144"/>
      <c r="J24" s="144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7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76" t="s">
        <v>13</v>
      </c>
      <c r="I25" s="177"/>
      <c r="J25" s="178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7"/>
      <c r="B26" s="14" t="s">
        <v>129</v>
      </c>
      <c r="C26" s="10"/>
      <c r="D26" s="48">
        <f t="shared" si="1"/>
        <v>0</v>
      </c>
      <c r="F26" s="64"/>
      <c r="G26" s="59"/>
      <c r="H26" s="179"/>
      <c r="I26" s="180"/>
      <c r="J26" s="181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7"/>
      <c r="B27" s="14" t="s">
        <v>130</v>
      </c>
      <c r="C27" s="10"/>
      <c r="D27" s="44">
        <f t="shared" si="1"/>
        <v>0</v>
      </c>
      <c r="F27" s="25"/>
      <c r="G27" s="80"/>
      <c r="H27" s="182"/>
      <c r="I27" s="183"/>
      <c r="J27" s="184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8"/>
      <c r="B28" s="46" t="s">
        <v>92</v>
      </c>
      <c r="C28" s="10"/>
      <c r="D28" s="48">
        <f t="shared" si="1"/>
        <v>0</v>
      </c>
      <c r="F28" s="91"/>
      <c r="G28" s="61"/>
      <c r="H28" s="185"/>
      <c r="I28" s="186"/>
      <c r="J28" s="187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9" t="s">
        <v>36</v>
      </c>
      <c r="B29" s="160"/>
      <c r="C29" s="161"/>
      <c r="D29" s="165">
        <f>SUM(D6:D28)</f>
        <v>412292</v>
      </c>
      <c r="F29" s="105" t="s">
        <v>54</v>
      </c>
      <c r="G29" s="167"/>
      <c r="H29" s="127">
        <f>H15-H16-H17-H18-H19-H20-H22-H23-H24+H26+H27</f>
        <v>343192.5</v>
      </c>
      <c r="I29" s="128"/>
      <c r="J29" s="129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08"/>
      <c r="G30" s="168"/>
      <c r="H30" s="130"/>
      <c r="I30" s="131"/>
      <c r="J30" s="132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2" t="s">
        <v>57</v>
      </c>
      <c r="B32" s="153"/>
      <c r="C32" s="153"/>
      <c r="D32" s="154"/>
      <c r="F32" s="155" t="s">
        <v>58</v>
      </c>
      <c r="G32" s="156"/>
      <c r="H32" s="156"/>
      <c r="I32" s="156"/>
      <c r="J32" s="157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2" t="s">
        <v>62</v>
      </c>
      <c r="H33" s="155" t="s">
        <v>13</v>
      </c>
      <c r="I33" s="156"/>
      <c r="J33" s="157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6" t="s">
        <v>64</v>
      </c>
      <c r="B34" s="26" t="s">
        <v>65</v>
      </c>
      <c r="C34" s="51">
        <v>1</v>
      </c>
      <c r="D34" s="30">
        <f>C34*120</f>
        <v>120</v>
      </c>
      <c r="F34" s="12">
        <v>1000</v>
      </c>
      <c r="G34" s="74">
        <v>194</v>
      </c>
      <c r="H34" s="149">
        <f>F34*G34</f>
        <v>194000</v>
      </c>
      <c r="I34" s="150"/>
      <c r="J34" s="151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7"/>
      <c r="B35" s="27" t="s">
        <v>67</v>
      </c>
      <c r="C35" s="52"/>
      <c r="D35" s="30">
        <f>C35*84</f>
        <v>0</v>
      </c>
      <c r="F35" s="58">
        <v>500</v>
      </c>
      <c r="G35" s="41">
        <v>50</v>
      </c>
      <c r="H35" s="149">
        <f>F35*G35</f>
        <v>25000</v>
      </c>
      <c r="I35" s="150"/>
      <c r="J35" s="15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8"/>
      <c r="B36" s="26" t="s">
        <v>69</v>
      </c>
      <c r="C36" s="10">
        <v>13</v>
      </c>
      <c r="D36" s="12">
        <f>C36*1.5</f>
        <v>19.5</v>
      </c>
      <c r="F36" s="12">
        <v>200</v>
      </c>
      <c r="G36" s="37">
        <v>3</v>
      </c>
      <c r="H36" s="149">
        <f t="shared" ref="H36:H39" si="2">F36*G36</f>
        <v>600</v>
      </c>
      <c r="I36" s="150"/>
      <c r="J36" s="151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6" t="s">
        <v>71</v>
      </c>
      <c r="B37" s="28" t="s">
        <v>65</v>
      </c>
      <c r="C37" s="53">
        <v>549</v>
      </c>
      <c r="D37" s="12">
        <f>C37*111</f>
        <v>60939</v>
      </c>
      <c r="F37" s="12">
        <v>100</v>
      </c>
      <c r="G37" s="39">
        <v>123</v>
      </c>
      <c r="H37" s="149">
        <f t="shared" si="2"/>
        <v>12300</v>
      </c>
      <c r="I37" s="150"/>
      <c r="J37" s="151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7"/>
      <c r="B38" s="29" t="s">
        <v>67</v>
      </c>
      <c r="C38" s="54">
        <v>14</v>
      </c>
      <c r="D38" s="12">
        <f>C38*84</f>
        <v>1176</v>
      </c>
      <c r="F38" s="30">
        <v>50</v>
      </c>
      <c r="G38" s="39">
        <v>148</v>
      </c>
      <c r="H38" s="149">
        <f t="shared" si="2"/>
        <v>7400</v>
      </c>
      <c r="I38" s="150"/>
      <c r="J38" s="151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8"/>
      <c r="B39" s="29" t="s">
        <v>69</v>
      </c>
      <c r="C39" s="52">
        <v>4</v>
      </c>
      <c r="D39" s="31">
        <f>C39*4.5</f>
        <v>18</v>
      </c>
      <c r="F39" s="12">
        <v>20</v>
      </c>
      <c r="G39" s="37">
        <v>1</v>
      </c>
      <c r="H39" s="149">
        <f t="shared" si="2"/>
        <v>20</v>
      </c>
      <c r="I39" s="150"/>
      <c r="J39" s="15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6" t="s">
        <v>75</v>
      </c>
      <c r="B40" s="27" t="s">
        <v>65</v>
      </c>
      <c r="C40" s="63">
        <v>19</v>
      </c>
      <c r="D40" s="12">
        <f>C40*111</f>
        <v>2109</v>
      </c>
      <c r="F40" s="12">
        <v>10</v>
      </c>
      <c r="G40" s="42"/>
      <c r="H40" s="149"/>
      <c r="I40" s="150"/>
      <c r="J40" s="151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7"/>
      <c r="B41" s="27" t="s">
        <v>67</v>
      </c>
      <c r="C41" s="10"/>
      <c r="D41" s="12">
        <f>C41*84</f>
        <v>0</v>
      </c>
      <c r="F41" s="12">
        <v>5</v>
      </c>
      <c r="G41" s="42"/>
      <c r="H41" s="149"/>
      <c r="I41" s="150"/>
      <c r="J41" s="151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8"/>
      <c r="B42" s="27" t="s">
        <v>69</v>
      </c>
      <c r="C42" s="11">
        <v>2</v>
      </c>
      <c r="D42" s="12">
        <f>C42*2.25</f>
        <v>4.5</v>
      </c>
      <c r="F42" s="39" t="s">
        <v>78</v>
      </c>
      <c r="G42" s="149">
        <v>219</v>
      </c>
      <c r="H42" s="150"/>
      <c r="I42" s="150"/>
      <c r="J42" s="151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19" t="s">
        <v>80</v>
      </c>
      <c r="C43" s="11"/>
      <c r="D43" s="12"/>
      <c r="F43" s="59" t="s">
        <v>81</v>
      </c>
      <c r="G43" s="88" t="s">
        <v>82</v>
      </c>
      <c r="H43" s="141" t="s">
        <v>13</v>
      </c>
      <c r="I43" s="142"/>
      <c r="J43" s="143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20"/>
      <c r="B44" s="27" t="s">
        <v>65</v>
      </c>
      <c r="C44" s="10">
        <v>5</v>
      </c>
      <c r="D44" s="12">
        <f>C44*120</f>
        <v>600</v>
      </c>
      <c r="F44" s="37" t="s">
        <v>132</v>
      </c>
      <c r="G44" s="76" t="s">
        <v>204</v>
      </c>
      <c r="H44" s="144">
        <v>102299</v>
      </c>
      <c r="I44" s="144"/>
      <c r="J44" s="144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20"/>
      <c r="B45" s="27" t="s">
        <v>67</v>
      </c>
      <c r="C45" s="33">
        <v>2</v>
      </c>
      <c r="D45" s="12">
        <f>C45*84</f>
        <v>168</v>
      </c>
      <c r="F45" s="37"/>
      <c r="G45" s="76"/>
      <c r="H45" s="144"/>
      <c r="I45" s="144"/>
      <c r="J45" s="144"/>
      <c r="K45" s="21"/>
      <c r="P45" s="4"/>
      <c r="Q45" s="4"/>
      <c r="R45" s="5"/>
    </row>
    <row r="46" spans="1:18" ht="15.75" x14ac:dyDescent="0.25">
      <c r="A46" s="120"/>
      <c r="B46" s="49" t="s">
        <v>69</v>
      </c>
      <c r="C46" s="81">
        <v>14</v>
      </c>
      <c r="D46" s="12">
        <f>C46*1.5</f>
        <v>21</v>
      </c>
      <c r="F46" s="37"/>
      <c r="G46" s="62"/>
      <c r="H46" s="145"/>
      <c r="I46" s="145"/>
      <c r="J46" s="145"/>
      <c r="K46" s="21"/>
      <c r="P46" s="4"/>
      <c r="Q46" s="4"/>
      <c r="R46" s="5"/>
    </row>
    <row r="47" spans="1:18" ht="15.75" x14ac:dyDescent="0.25">
      <c r="A47" s="121"/>
      <c r="B47" s="27"/>
      <c r="C47" s="11"/>
      <c r="D47" s="12"/>
      <c r="F47" s="59"/>
      <c r="G47" s="59"/>
      <c r="H47" s="122"/>
      <c r="I47" s="123"/>
      <c r="J47" s="124"/>
      <c r="K47" s="21"/>
      <c r="P47" s="4"/>
      <c r="Q47" s="4"/>
      <c r="R47" s="5"/>
    </row>
    <row r="48" spans="1:18" ht="15" customHeight="1" x14ac:dyDescent="0.25">
      <c r="A48" s="119" t="s">
        <v>32</v>
      </c>
      <c r="B48" s="27" t="s">
        <v>65</v>
      </c>
      <c r="C48" s="10">
        <v>21</v>
      </c>
      <c r="D48" s="12">
        <f>C48*78</f>
        <v>1638</v>
      </c>
      <c r="F48" s="59"/>
      <c r="G48" s="59"/>
      <c r="H48" s="122"/>
      <c r="I48" s="123"/>
      <c r="J48" s="124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20"/>
      <c r="B49" s="29" t="s">
        <v>67</v>
      </c>
      <c r="C49" s="33">
        <v>1</v>
      </c>
      <c r="D49" s="12">
        <f>C49*42</f>
        <v>42</v>
      </c>
      <c r="F49" s="125" t="s">
        <v>85</v>
      </c>
      <c r="G49" s="127">
        <f>H34+H35+H36+H37+H38+H39+H40+H41+G42+H44+H45+H46</f>
        <v>341838</v>
      </c>
      <c r="H49" s="128"/>
      <c r="I49" s="128"/>
      <c r="J49" s="129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0"/>
      <c r="B50" s="32" t="s">
        <v>69</v>
      </c>
      <c r="C50" s="11">
        <v>19</v>
      </c>
      <c r="D50" s="12">
        <f>C50*1.5</f>
        <v>28.5</v>
      </c>
      <c r="F50" s="126"/>
      <c r="G50" s="130"/>
      <c r="H50" s="131"/>
      <c r="I50" s="131"/>
      <c r="J50" s="132"/>
      <c r="O50" t="s">
        <v>114</v>
      </c>
      <c r="P50" s="4">
        <v>1204</v>
      </c>
      <c r="Q50" s="4"/>
      <c r="R50" s="5"/>
    </row>
    <row r="51" spans="1:18" ht="15" customHeight="1" x14ac:dyDescent="0.25">
      <c r="A51" s="120"/>
      <c r="B51" s="27"/>
      <c r="C51" s="10"/>
      <c r="D51" s="31"/>
      <c r="F51" s="133" t="s">
        <v>109</v>
      </c>
      <c r="G51" s="246">
        <f>G49-H29</f>
        <v>-1354.5</v>
      </c>
      <c r="H51" s="247"/>
      <c r="I51" s="247"/>
      <c r="J51" s="248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20"/>
      <c r="B52" s="29"/>
      <c r="C52" s="33"/>
      <c r="D52" s="45"/>
      <c r="F52" s="134"/>
      <c r="G52" s="249"/>
      <c r="H52" s="250"/>
      <c r="I52" s="250"/>
      <c r="J52" s="251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1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05" t="s">
        <v>89</v>
      </c>
      <c r="B54" s="106"/>
      <c r="C54" s="107"/>
      <c r="D54" s="111">
        <f>SUM(D34:D53)</f>
        <v>66883.5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08"/>
      <c r="B55" s="109"/>
      <c r="C55" s="110"/>
      <c r="D55" s="11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13" t="s">
        <v>90</v>
      </c>
      <c r="B58" s="114"/>
      <c r="C58" s="114"/>
      <c r="D58" s="115"/>
      <c r="F58" s="113" t="s">
        <v>91</v>
      </c>
      <c r="G58" s="114"/>
      <c r="H58" s="114"/>
      <c r="I58" s="114"/>
      <c r="J58" s="115"/>
    </row>
    <row r="59" spans="1:18" x14ac:dyDescent="0.25">
      <c r="A59" s="116"/>
      <c r="B59" s="117"/>
      <c r="C59" s="117"/>
      <c r="D59" s="118"/>
      <c r="F59" s="116"/>
      <c r="G59" s="117"/>
      <c r="H59" s="117"/>
      <c r="I59" s="117"/>
      <c r="J59" s="118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63F009-C0EA-461B-8886-8ED466049E90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01" t="s">
        <v>1</v>
      </c>
      <c r="O1" s="201"/>
      <c r="P1" s="90" t="s">
        <v>2</v>
      </c>
      <c r="Q1" s="90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52" t="s">
        <v>7</v>
      </c>
      <c r="B4" s="153"/>
      <c r="C4" s="153"/>
      <c r="D4" s="154"/>
      <c r="F4" s="202" t="s">
        <v>8</v>
      </c>
      <c r="G4" s="204"/>
      <c r="H4" s="206" t="s">
        <v>9</v>
      </c>
      <c r="I4" s="208"/>
      <c r="J4" s="20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46" t="s">
        <v>7</v>
      </c>
      <c r="B5" s="15" t="s">
        <v>11</v>
      </c>
      <c r="C5" s="9" t="s">
        <v>12</v>
      </c>
      <c r="D5" s="25" t="s">
        <v>13</v>
      </c>
      <c r="F5" s="203"/>
      <c r="G5" s="205"/>
      <c r="H5" s="207"/>
      <c r="I5" s="210"/>
      <c r="J5" s="21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47"/>
      <c r="B6" s="16"/>
      <c r="C6" s="10"/>
      <c r="D6" s="13">
        <f t="shared" ref="D6:D28" si="1">C6*L6</f>
        <v>0</v>
      </c>
      <c r="F6" s="212" t="s">
        <v>16</v>
      </c>
      <c r="G6" s="214"/>
      <c r="H6" s="215"/>
      <c r="I6" s="215"/>
      <c r="J6" s="216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47"/>
      <c r="B7" s="16"/>
      <c r="C7" s="10"/>
      <c r="D7" s="13">
        <f t="shared" si="1"/>
        <v>0</v>
      </c>
      <c r="F7" s="213"/>
      <c r="G7" s="217"/>
      <c r="H7" s="218"/>
      <c r="I7" s="218"/>
      <c r="J7" s="219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47"/>
      <c r="B8" s="16"/>
      <c r="C8" s="10"/>
      <c r="D8" s="13">
        <f t="shared" si="1"/>
        <v>0</v>
      </c>
      <c r="F8" s="220" t="s">
        <v>21</v>
      </c>
      <c r="G8" s="221"/>
      <c r="H8" s="222"/>
      <c r="I8" s="222"/>
      <c r="J8" s="223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47"/>
      <c r="B9" s="16"/>
      <c r="C9" s="10"/>
      <c r="D9" s="13">
        <f t="shared" si="1"/>
        <v>0</v>
      </c>
      <c r="F9" s="213"/>
      <c r="G9" s="224"/>
      <c r="H9" s="225"/>
      <c r="I9" s="225"/>
      <c r="J9" s="226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47"/>
      <c r="C10" s="10"/>
      <c r="D10" s="13">
        <f t="shared" si="1"/>
        <v>0</v>
      </c>
      <c r="F10" s="212" t="s">
        <v>26</v>
      </c>
      <c r="G10" s="227"/>
      <c r="H10" s="228"/>
      <c r="I10" s="228"/>
      <c r="J10" s="229"/>
      <c r="K10" s="8"/>
      <c r="L10" s="6">
        <f>R36</f>
        <v>972</v>
      </c>
      <c r="P10" s="4"/>
      <c r="Q10" s="4"/>
      <c r="R10" s="5"/>
    </row>
    <row r="11" spans="1:19" ht="15.75" x14ac:dyDescent="0.25">
      <c r="A11" s="147"/>
      <c r="B11" s="17"/>
      <c r="C11" s="10"/>
      <c r="D11" s="13">
        <f t="shared" si="1"/>
        <v>0</v>
      </c>
      <c r="F11" s="213"/>
      <c r="G11" s="224"/>
      <c r="H11" s="225"/>
      <c r="I11" s="225"/>
      <c r="J11" s="226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47"/>
      <c r="B12" s="17"/>
      <c r="C12" s="10"/>
      <c r="D12" s="48">
        <f t="shared" si="1"/>
        <v>0</v>
      </c>
      <c r="F12" s="230" t="s">
        <v>33</v>
      </c>
      <c r="G12" s="231"/>
      <c r="H12" s="231"/>
      <c r="I12" s="231"/>
      <c r="J12" s="232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47"/>
      <c r="B13" s="17"/>
      <c r="C13" s="10"/>
      <c r="D13" s="48">
        <f t="shared" si="1"/>
        <v>0</v>
      </c>
      <c r="F13" s="233" t="s">
        <v>36</v>
      </c>
      <c r="G13" s="197"/>
      <c r="H13" s="188">
        <f>D29</f>
        <v>0</v>
      </c>
      <c r="I13" s="189"/>
      <c r="J13" s="19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47"/>
      <c r="B14" s="14"/>
      <c r="C14" s="10"/>
      <c r="D14" s="31">
        <f t="shared" si="1"/>
        <v>0</v>
      </c>
      <c r="F14" s="191" t="s">
        <v>38</v>
      </c>
      <c r="G14" s="192"/>
      <c r="H14" s="193">
        <f>D54</f>
        <v>0</v>
      </c>
      <c r="I14" s="194"/>
      <c r="J14" s="19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47"/>
      <c r="B15" s="14"/>
      <c r="C15" s="10"/>
      <c r="D15" s="31">
        <f t="shared" si="1"/>
        <v>0</v>
      </c>
      <c r="F15" s="196" t="s">
        <v>39</v>
      </c>
      <c r="G15" s="197"/>
      <c r="H15" s="198">
        <f>H13-H14</f>
        <v>0</v>
      </c>
      <c r="I15" s="199"/>
      <c r="J15" s="200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47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58"/>
      <c r="I16" s="158"/>
      <c r="J16" s="158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7"/>
      <c r="C17" s="10"/>
      <c r="D17" s="48">
        <f t="shared" si="1"/>
        <v>0</v>
      </c>
      <c r="F17" s="56"/>
      <c r="G17" s="66" t="s">
        <v>44</v>
      </c>
      <c r="H17" s="169"/>
      <c r="I17" s="169"/>
      <c r="J17" s="169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7"/>
      <c r="B18" s="19"/>
      <c r="C18" s="10"/>
      <c r="D18" s="48">
        <f t="shared" si="1"/>
        <v>0</v>
      </c>
      <c r="F18" s="56"/>
      <c r="G18" s="66" t="s">
        <v>46</v>
      </c>
      <c r="H18" s="169"/>
      <c r="I18" s="169"/>
      <c r="J18" s="16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7"/>
      <c r="B19" s="14"/>
      <c r="C19" s="10"/>
      <c r="D19" s="48">
        <f t="shared" si="1"/>
        <v>0</v>
      </c>
      <c r="F19" s="56"/>
      <c r="G19" s="68" t="s">
        <v>49</v>
      </c>
      <c r="H19" s="170"/>
      <c r="I19" s="170"/>
      <c r="J19" s="170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7"/>
      <c r="B20" s="46"/>
      <c r="C20" s="10"/>
      <c r="D20" s="13">
        <f t="shared" si="1"/>
        <v>0</v>
      </c>
      <c r="F20" s="57"/>
      <c r="G20" s="70" t="s">
        <v>102</v>
      </c>
      <c r="H20" s="158"/>
      <c r="I20" s="158"/>
      <c r="J20" s="158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7"/>
      <c r="B21" s="14"/>
      <c r="C21" s="10"/>
      <c r="D21" s="48">
        <f t="shared" si="1"/>
        <v>0</v>
      </c>
      <c r="F21" s="69" t="s">
        <v>94</v>
      </c>
      <c r="G21" s="82" t="s">
        <v>93</v>
      </c>
      <c r="H21" s="171" t="s">
        <v>13</v>
      </c>
      <c r="I21" s="172"/>
      <c r="J21" s="173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7"/>
      <c r="B22" s="46"/>
      <c r="C22" s="10"/>
      <c r="D22" s="48">
        <f t="shared" si="1"/>
        <v>0</v>
      </c>
      <c r="F22" s="77"/>
      <c r="G22" s="73"/>
      <c r="H22" s="174"/>
      <c r="I22" s="174"/>
      <c r="J22" s="174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7"/>
      <c r="B23" s="14"/>
      <c r="C23" s="10"/>
      <c r="D23" s="48">
        <f t="shared" si="1"/>
        <v>0</v>
      </c>
      <c r="F23" s="78"/>
      <c r="G23" s="79"/>
      <c r="H23" s="175"/>
      <c r="I23" s="144"/>
      <c r="J23" s="144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7"/>
      <c r="B24" s="14"/>
      <c r="C24" s="10"/>
      <c r="D24" s="48">
        <f t="shared" si="1"/>
        <v>0</v>
      </c>
      <c r="F24" s="38"/>
      <c r="G24" s="37"/>
      <c r="H24" s="175"/>
      <c r="I24" s="144"/>
      <c r="J24" s="144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7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176" t="s">
        <v>13</v>
      </c>
      <c r="I25" s="177"/>
      <c r="J25" s="178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7"/>
      <c r="B26" s="14"/>
      <c r="C26" s="10"/>
      <c r="D26" s="48">
        <f t="shared" si="1"/>
        <v>0</v>
      </c>
      <c r="F26" s="64"/>
      <c r="G26" s="59"/>
      <c r="H26" s="179"/>
      <c r="I26" s="180"/>
      <c r="J26" s="181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7"/>
      <c r="B27" s="14"/>
      <c r="C27" s="10"/>
      <c r="D27" s="44">
        <f t="shared" si="1"/>
        <v>0</v>
      </c>
      <c r="F27" s="25"/>
      <c r="G27" s="80"/>
      <c r="H27" s="182"/>
      <c r="I27" s="183"/>
      <c r="J27" s="184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8"/>
      <c r="B28" s="46"/>
      <c r="C28" s="10"/>
      <c r="D28" s="48">
        <f t="shared" si="1"/>
        <v>0</v>
      </c>
      <c r="F28" s="91"/>
      <c r="G28" s="61"/>
      <c r="H28" s="185"/>
      <c r="I28" s="186"/>
      <c r="J28" s="187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9" t="s">
        <v>36</v>
      </c>
      <c r="B29" s="160"/>
      <c r="C29" s="161"/>
      <c r="D29" s="165">
        <f>SUM(D6:D28)</f>
        <v>0</v>
      </c>
      <c r="F29" s="105" t="s">
        <v>54</v>
      </c>
      <c r="G29" s="167"/>
      <c r="H29" s="127">
        <f>H15-H16-H17-H18-H19-H20-H22-H23-H24+H26+H27</f>
        <v>0</v>
      </c>
      <c r="I29" s="128"/>
      <c r="J29" s="129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08"/>
      <c r="G30" s="168"/>
      <c r="H30" s="130"/>
      <c r="I30" s="131"/>
      <c r="J30" s="132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52" t="s">
        <v>57</v>
      </c>
      <c r="B32" s="153"/>
      <c r="C32" s="153"/>
      <c r="D32" s="154"/>
      <c r="F32" s="155" t="s">
        <v>58</v>
      </c>
      <c r="G32" s="156"/>
      <c r="H32" s="156"/>
      <c r="I32" s="156"/>
      <c r="J32" s="157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2" t="s">
        <v>62</v>
      </c>
      <c r="H33" s="155" t="s">
        <v>13</v>
      </c>
      <c r="I33" s="156"/>
      <c r="J33" s="157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6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149"/>
      <c r="I34" s="150"/>
      <c r="J34" s="151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7"/>
      <c r="B35" s="27" t="s">
        <v>67</v>
      </c>
      <c r="C35" s="52"/>
      <c r="D35" s="30">
        <f>C35*84</f>
        <v>0</v>
      </c>
      <c r="F35" s="58">
        <v>500</v>
      </c>
      <c r="G35" s="41"/>
      <c r="H35" s="149"/>
      <c r="I35" s="150"/>
      <c r="J35" s="15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8"/>
      <c r="B36" s="26" t="s">
        <v>69</v>
      </c>
      <c r="C36" s="10"/>
      <c r="D36" s="12">
        <f>C36*1.5</f>
        <v>0</v>
      </c>
      <c r="F36" s="12">
        <v>200</v>
      </c>
      <c r="G36" s="37"/>
      <c r="H36" s="149"/>
      <c r="I36" s="150"/>
      <c r="J36" s="151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6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49"/>
      <c r="I37" s="150"/>
      <c r="J37" s="151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7"/>
      <c r="B38" s="29" t="s">
        <v>67</v>
      </c>
      <c r="C38" s="54"/>
      <c r="D38" s="12">
        <f>C38*84</f>
        <v>0</v>
      </c>
      <c r="F38" s="30">
        <v>50</v>
      </c>
      <c r="G38" s="39"/>
      <c r="H38" s="149"/>
      <c r="I38" s="150"/>
      <c r="J38" s="151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8"/>
      <c r="B39" s="29" t="s">
        <v>69</v>
      </c>
      <c r="C39" s="52"/>
      <c r="D39" s="31">
        <f>C39*4.5</f>
        <v>0</v>
      </c>
      <c r="F39" s="12">
        <v>20</v>
      </c>
      <c r="G39" s="37"/>
      <c r="H39" s="149"/>
      <c r="I39" s="150"/>
      <c r="J39" s="15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6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49"/>
      <c r="I40" s="150"/>
      <c r="J40" s="151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7"/>
      <c r="B41" s="27" t="s">
        <v>67</v>
      </c>
      <c r="C41" s="10"/>
      <c r="D41" s="12">
        <f>C41*84</f>
        <v>0</v>
      </c>
      <c r="F41" s="12">
        <v>5</v>
      </c>
      <c r="G41" s="42"/>
      <c r="H41" s="149"/>
      <c r="I41" s="150"/>
      <c r="J41" s="151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8"/>
      <c r="B42" s="27" t="s">
        <v>69</v>
      </c>
      <c r="C42" s="11"/>
      <c r="D42" s="12">
        <f>C42*2.25</f>
        <v>0</v>
      </c>
      <c r="F42" s="39" t="s">
        <v>78</v>
      </c>
      <c r="G42" s="149"/>
      <c r="H42" s="150"/>
      <c r="I42" s="150"/>
      <c r="J42" s="151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19" t="s">
        <v>80</v>
      </c>
      <c r="C43" s="11"/>
      <c r="D43" s="12"/>
      <c r="F43" s="59" t="s">
        <v>81</v>
      </c>
      <c r="G43" s="88" t="s">
        <v>82</v>
      </c>
      <c r="H43" s="141" t="s">
        <v>13</v>
      </c>
      <c r="I43" s="142"/>
      <c r="J43" s="143"/>
      <c r="K43" s="21"/>
      <c r="P43" s="4"/>
      <c r="Q43" s="4"/>
      <c r="R43" s="5"/>
    </row>
    <row r="44" spans="1:18" ht="15.75" x14ac:dyDescent="0.25">
      <c r="A44" s="120"/>
      <c r="B44" s="27" t="s">
        <v>65</v>
      </c>
      <c r="C44" s="10"/>
      <c r="D44" s="12">
        <f>C44*120</f>
        <v>0</v>
      </c>
      <c r="F44" s="37"/>
      <c r="G44" s="76"/>
      <c r="H44" s="144"/>
      <c r="I44" s="144"/>
      <c r="J44" s="144"/>
      <c r="K44" s="21"/>
      <c r="P44" s="4"/>
      <c r="Q44" s="4"/>
      <c r="R44" s="5"/>
    </row>
    <row r="45" spans="1:18" ht="15.75" x14ac:dyDescent="0.25">
      <c r="A45" s="120"/>
      <c r="B45" s="27" t="s">
        <v>67</v>
      </c>
      <c r="C45" s="33"/>
      <c r="D45" s="12">
        <f>C45*84</f>
        <v>0</v>
      </c>
      <c r="F45" s="37"/>
      <c r="G45" s="76"/>
      <c r="H45" s="144"/>
      <c r="I45" s="144"/>
      <c r="J45" s="144"/>
      <c r="K45" s="21"/>
      <c r="P45" s="4"/>
      <c r="Q45" s="4"/>
      <c r="R45" s="5"/>
    </row>
    <row r="46" spans="1:18" ht="15.75" x14ac:dyDescent="0.25">
      <c r="A46" s="120"/>
      <c r="B46" s="49" t="s">
        <v>69</v>
      </c>
      <c r="C46" s="81"/>
      <c r="D46" s="12">
        <f>C46*1.5</f>
        <v>0</v>
      </c>
      <c r="F46" s="37"/>
      <c r="G46" s="62"/>
      <c r="H46" s="145"/>
      <c r="I46" s="145"/>
      <c r="J46" s="145"/>
      <c r="K46" s="21"/>
      <c r="P46" s="4"/>
      <c r="Q46" s="4"/>
      <c r="R46" s="5"/>
    </row>
    <row r="47" spans="1:18" ht="15.75" x14ac:dyDescent="0.25">
      <c r="A47" s="121"/>
      <c r="B47" s="27"/>
      <c r="C47" s="11"/>
      <c r="D47" s="12"/>
      <c r="F47" s="59"/>
      <c r="G47" s="59"/>
      <c r="H47" s="122"/>
      <c r="I47" s="123"/>
      <c r="J47" s="124"/>
      <c r="K47" s="21"/>
      <c r="P47" s="4"/>
      <c r="Q47" s="4"/>
      <c r="R47" s="5"/>
    </row>
    <row r="48" spans="1:18" ht="15" customHeight="1" x14ac:dyDescent="0.25">
      <c r="A48" s="119" t="s">
        <v>32</v>
      </c>
      <c r="B48" s="27" t="s">
        <v>65</v>
      </c>
      <c r="C48" s="10"/>
      <c r="D48" s="12">
        <f>C48*78</f>
        <v>0</v>
      </c>
      <c r="F48" s="59"/>
      <c r="G48" s="59"/>
      <c r="H48" s="122"/>
      <c r="I48" s="123"/>
      <c r="J48" s="124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20"/>
      <c r="B49" s="29" t="s">
        <v>67</v>
      </c>
      <c r="C49" s="33"/>
      <c r="D49" s="12">
        <f>C49*42</f>
        <v>0</v>
      </c>
      <c r="F49" s="125" t="s">
        <v>85</v>
      </c>
      <c r="G49" s="127">
        <f>H34+H35+H36+H37+H38+H39+H40+H41+G42+H44+H45+H46</f>
        <v>0</v>
      </c>
      <c r="H49" s="128"/>
      <c r="I49" s="128"/>
      <c r="J49" s="129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0"/>
      <c r="B50" s="32" t="s">
        <v>69</v>
      </c>
      <c r="C50" s="11"/>
      <c r="D50" s="12">
        <f>C50*1.5</f>
        <v>0</v>
      </c>
      <c r="F50" s="126"/>
      <c r="G50" s="130"/>
      <c r="H50" s="131"/>
      <c r="I50" s="131"/>
      <c r="J50" s="132"/>
      <c r="P50" s="4"/>
      <c r="Q50" s="4"/>
      <c r="R50" s="5"/>
    </row>
    <row r="51" spans="1:18" ht="15" customHeight="1" x14ac:dyDescent="0.25">
      <c r="A51" s="120"/>
      <c r="B51" s="27"/>
      <c r="C51" s="10"/>
      <c r="D51" s="31"/>
      <c r="F51" s="133" t="s">
        <v>106</v>
      </c>
      <c r="G51" s="135">
        <f>G49-H29</f>
        <v>0</v>
      </c>
      <c r="H51" s="136"/>
      <c r="I51" s="136"/>
      <c r="J51" s="137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0"/>
      <c r="B52" s="29"/>
      <c r="C52" s="33"/>
      <c r="D52" s="45"/>
      <c r="F52" s="134"/>
      <c r="G52" s="138"/>
      <c r="H52" s="139"/>
      <c r="I52" s="139"/>
      <c r="J52" s="140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1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05" t="s">
        <v>89</v>
      </c>
      <c r="B54" s="106"/>
      <c r="C54" s="107"/>
      <c r="D54" s="111">
        <f>SUM(D34:D53)</f>
        <v>0</v>
      </c>
      <c r="F54" s="21"/>
      <c r="J54" s="34"/>
    </row>
    <row r="55" spans="1:18" x14ac:dyDescent="0.25">
      <c r="A55" s="108"/>
      <c r="B55" s="109"/>
      <c r="C55" s="110"/>
      <c r="D55" s="11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13" t="s">
        <v>90</v>
      </c>
      <c r="B58" s="114"/>
      <c r="C58" s="114"/>
      <c r="D58" s="115"/>
      <c r="F58" s="113" t="s">
        <v>91</v>
      </c>
      <c r="G58" s="114"/>
      <c r="H58" s="114"/>
      <c r="I58" s="114"/>
      <c r="J58" s="115"/>
    </row>
    <row r="59" spans="1:18" x14ac:dyDescent="0.25">
      <c r="A59" s="116"/>
      <c r="B59" s="117"/>
      <c r="C59" s="117"/>
      <c r="D59" s="118"/>
      <c r="F59" s="116"/>
      <c r="G59" s="117"/>
      <c r="H59" s="117"/>
      <c r="I59" s="117"/>
      <c r="J59" s="118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5B2133-DD21-4C70-9377-33982725B126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1" t="s">
        <v>1</v>
      </c>
      <c r="O1" s="201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2" t="s">
        <v>7</v>
      </c>
      <c r="B4" s="153"/>
      <c r="C4" s="153"/>
      <c r="D4" s="154"/>
      <c r="F4" s="202" t="s">
        <v>8</v>
      </c>
      <c r="G4" s="204">
        <v>1</v>
      </c>
      <c r="H4" s="206" t="s">
        <v>9</v>
      </c>
      <c r="I4" s="208">
        <v>46164</v>
      </c>
      <c r="J4" s="20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6" t="s">
        <v>7</v>
      </c>
      <c r="B5" s="15" t="s">
        <v>11</v>
      </c>
      <c r="C5" s="9" t="s">
        <v>12</v>
      </c>
      <c r="D5" s="25" t="s">
        <v>13</v>
      </c>
      <c r="F5" s="203"/>
      <c r="G5" s="205"/>
      <c r="H5" s="207"/>
      <c r="I5" s="210"/>
      <c r="J5" s="21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7"/>
      <c r="B6" s="16" t="s">
        <v>15</v>
      </c>
      <c r="C6" s="10">
        <v>446</v>
      </c>
      <c r="D6" s="13">
        <f t="shared" ref="D6:D28" si="1">C6*L6</f>
        <v>339406</v>
      </c>
      <c r="F6" s="212" t="s">
        <v>16</v>
      </c>
      <c r="G6" s="214" t="s">
        <v>99</v>
      </c>
      <c r="H6" s="215"/>
      <c r="I6" s="215"/>
      <c r="J6" s="21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7"/>
      <c r="B7" s="16" t="s">
        <v>18</v>
      </c>
      <c r="C7" s="10"/>
      <c r="D7" s="13">
        <f t="shared" si="1"/>
        <v>0</v>
      </c>
      <c r="F7" s="213"/>
      <c r="G7" s="217"/>
      <c r="H7" s="218"/>
      <c r="I7" s="218"/>
      <c r="J7" s="21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7"/>
      <c r="B8" s="16" t="s">
        <v>20</v>
      </c>
      <c r="C8" s="10"/>
      <c r="D8" s="13">
        <f t="shared" si="1"/>
        <v>0</v>
      </c>
      <c r="F8" s="220" t="s">
        <v>21</v>
      </c>
      <c r="G8" s="221" t="s">
        <v>120</v>
      </c>
      <c r="H8" s="222"/>
      <c r="I8" s="222"/>
      <c r="J8" s="22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7"/>
      <c r="B9" s="16" t="s">
        <v>23</v>
      </c>
      <c r="C9" s="10"/>
      <c r="D9" s="13">
        <f t="shared" si="1"/>
        <v>0</v>
      </c>
      <c r="F9" s="213"/>
      <c r="G9" s="224"/>
      <c r="H9" s="225"/>
      <c r="I9" s="225"/>
      <c r="J9" s="22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7"/>
      <c r="B10" t="s">
        <v>25</v>
      </c>
      <c r="C10" s="10"/>
      <c r="D10" s="13">
        <f t="shared" si="1"/>
        <v>0</v>
      </c>
      <c r="F10" s="212" t="s">
        <v>26</v>
      </c>
      <c r="G10" s="227" t="s">
        <v>108</v>
      </c>
      <c r="H10" s="228"/>
      <c r="I10" s="228"/>
      <c r="J10" s="229"/>
      <c r="K10" s="8"/>
      <c r="L10" s="6">
        <f>R36</f>
        <v>1032</v>
      </c>
      <c r="P10" s="4"/>
      <c r="Q10" s="4"/>
      <c r="R10" s="5"/>
    </row>
    <row r="11" spans="1:18" ht="15.75" x14ac:dyDescent="0.25">
      <c r="A11" s="147"/>
      <c r="B11" s="17" t="s">
        <v>28</v>
      </c>
      <c r="C11" s="10"/>
      <c r="D11" s="13">
        <f t="shared" si="1"/>
        <v>0</v>
      </c>
      <c r="F11" s="213"/>
      <c r="G11" s="224"/>
      <c r="H11" s="225"/>
      <c r="I11" s="225"/>
      <c r="J11" s="22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7"/>
      <c r="B12" s="17" t="s">
        <v>30</v>
      </c>
      <c r="C12" s="10"/>
      <c r="D12" s="48">
        <f t="shared" si="1"/>
        <v>0</v>
      </c>
      <c r="F12" s="230" t="s">
        <v>33</v>
      </c>
      <c r="G12" s="231"/>
      <c r="H12" s="231"/>
      <c r="I12" s="231"/>
      <c r="J12" s="23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7"/>
      <c r="B13" s="17" t="s">
        <v>32</v>
      </c>
      <c r="C13" s="10">
        <v>14</v>
      </c>
      <c r="D13" s="48">
        <f t="shared" si="1"/>
        <v>4298</v>
      </c>
      <c r="F13" s="233" t="s">
        <v>36</v>
      </c>
      <c r="G13" s="197"/>
      <c r="H13" s="188">
        <f>D29</f>
        <v>343836</v>
      </c>
      <c r="I13" s="189"/>
      <c r="J13" s="19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7"/>
      <c r="B14" s="14" t="s">
        <v>35</v>
      </c>
      <c r="C14" s="10">
        <v>12</v>
      </c>
      <c r="D14" s="31">
        <f t="shared" si="1"/>
        <v>132</v>
      </c>
      <c r="F14" s="191" t="s">
        <v>38</v>
      </c>
      <c r="G14" s="192"/>
      <c r="H14" s="193">
        <f>D54</f>
        <v>51543</v>
      </c>
      <c r="I14" s="194"/>
      <c r="J14" s="19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7"/>
      <c r="B15" s="14" t="s">
        <v>122</v>
      </c>
      <c r="C15" s="10"/>
      <c r="D15" s="31">
        <f t="shared" si="1"/>
        <v>0</v>
      </c>
      <c r="F15" s="196" t="s">
        <v>39</v>
      </c>
      <c r="G15" s="197"/>
      <c r="H15" s="198">
        <f>H13-H14</f>
        <v>292293</v>
      </c>
      <c r="I15" s="199"/>
      <c r="J15" s="200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7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58">
        <f>2268</f>
        <v>2268</v>
      </c>
      <c r="I16" s="158"/>
      <c r="J16" s="158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7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69"/>
      <c r="I17" s="169"/>
      <c r="J17" s="169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7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69"/>
      <c r="I18" s="169"/>
      <c r="J18" s="169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7"/>
      <c r="B19" s="83" t="s">
        <v>105</v>
      </c>
      <c r="C19" s="10"/>
      <c r="D19" s="48">
        <f t="shared" si="1"/>
        <v>0</v>
      </c>
      <c r="F19" s="56"/>
      <c r="G19" s="68" t="s">
        <v>49</v>
      </c>
      <c r="H19" s="158">
        <v>109.27</v>
      </c>
      <c r="I19" s="158"/>
      <c r="J19" s="158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7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58"/>
      <c r="I20" s="158"/>
      <c r="J20" s="158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7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71" t="s">
        <v>13</v>
      </c>
      <c r="I21" s="172"/>
      <c r="J21" s="173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7"/>
      <c r="B22" s="46" t="s">
        <v>103</v>
      </c>
      <c r="C22" s="10"/>
      <c r="D22" s="48">
        <f t="shared" si="1"/>
        <v>0</v>
      </c>
      <c r="F22" s="77"/>
      <c r="G22" s="73"/>
      <c r="H22" s="174"/>
      <c r="I22" s="174"/>
      <c r="J22" s="174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7"/>
      <c r="B23" s="14" t="s">
        <v>121</v>
      </c>
      <c r="C23" s="10"/>
      <c r="D23" s="48">
        <f t="shared" si="1"/>
        <v>0</v>
      </c>
      <c r="F23" s="77"/>
      <c r="G23" s="79"/>
      <c r="H23" s="242"/>
      <c r="I23" s="243"/>
      <c r="J23" s="243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7"/>
      <c r="B24" s="14" t="s">
        <v>128</v>
      </c>
      <c r="C24" s="10"/>
      <c r="D24" s="48">
        <f t="shared" si="1"/>
        <v>0</v>
      </c>
      <c r="F24" s="77"/>
      <c r="G24" s="79"/>
      <c r="H24" s="242"/>
      <c r="I24" s="243"/>
      <c r="J24" s="243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7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76" t="s">
        <v>13</v>
      </c>
      <c r="I25" s="177"/>
      <c r="J25" s="178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7"/>
      <c r="B26" s="14" t="s">
        <v>129</v>
      </c>
      <c r="C26" s="10"/>
      <c r="D26" s="48">
        <f t="shared" si="1"/>
        <v>0</v>
      </c>
      <c r="F26" s="75" t="s">
        <v>153</v>
      </c>
      <c r="G26" s="65">
        <v>10676</v>
      </c>
      <c r="H26" s="144">
        <v>57556</v>
      </c>
      <c r="I26" s="144"/>
      <c r="J26" s="144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7"/>
      <c r="B27" s="14" t="s">
        <v>130</v>
      </c>
      <c r="C27" s="10"/>
      <c r="D27" s="44">
        <f t="shared" si="1"/>
        <v>0</v>
      </c>
      <c r="F27" s="71"/>
      <c r="G27" s="88"/>
      <c r="H27" s="244"/>
      <c r="I27" s="245"/>
      <c r="J27" s="245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8"/>
      <c r="B28" s="46" t="s">
        <v>92</v>
      </c>
      <c r="C28" s="10"/>
      <c r="D28" s="48">
        <f t="shared" si="1"/>
        <v>0</v>
      </c>
      <c r="F28" s="91"/>
      <c r="G28" s="61"/>
      <c r="H28" s="185"/>
      <c r="I28" s="186"/>
      <c r="J28" s="187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9" t="s">
        <v>36</v>
      </c>
      <c r="B29" s="160"/>
      <c r="C29" s="161"/>
      <c r="D29" s="165">
        <f>SUM(D6:D28)</f>
        <v>343836</v>
      </c>
      <c r="F29" s="105" t="s">
        <v>54</v>
      </c>
      <c r="G29" s="167"/>
      <c r="H29" s="127">
        <f>H15-H16-H17-H18-H19-H20-H22-H23-H24+H26+H27+H28</f>
        <v>347471.73</v>
      </c>
      <c r="I29" s="128"/>
      <c r="J29" s="129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08"/>
      <c r="G30" s="168"/>
      <c r="H30" s="130"/>
      <c r="I30" s="131"/>
      <c r="J30" s="132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2" t="s">
        <v>57</v>
      </c>
      <c r="B32" s="153"/>
      <c r="C32" s="153"/>
      <c r="D32" s="154"/>
      <c r="F32" s="155" t="s">
        <v>58</v>
      </c>
      <c r="G32" s="156"/>
      <c r="H32" s="156"/>
      <c r="I32" s="156"/>
      <c r="J32" s="157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2" t="s">
        <v>62</v>
      </c>
      <c r="H33" s="155" t="s">
        <v>13</v>
      </c>
      <c r="I33" s="156"/>
      <c r="J33" s="157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6" t="s">
        <v>64</v>
      </c>
      <c r="B34" s="26" t="s">
        <v>65</v>
      </c>
      <c r="C34" s="51"/>
      <c r="D34" s="30">
        <f>C34*120</f>
        <v>0</v>
      </c>
      <c r="F34" s="12">
        <v>1000</v>
      </c>
      <c r="G34" s="40">
        <f>245+57</f>
        <v>302</v>
      </c>
      <c r="H34" s="149">
        <f t="shared" ref="H34:H39" si="2">F34*G34</f>
        <v>302000</v>
      </c>
      <c r="I34" s="150"/>
      <c r="J34" s="151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7"/>
      <c r="B35" s="27" t="s">
        <v>67</v>
      </c>
      <c r="C35" s="52"/>
      <c r="D35" s="30">
        <f>C35*84</f>
        <v>0</v>
      </c>
      <c r="F35" s="58">
        <v>500</v>
      </c>
      <c r="G35" s="41">
        <f>90+1</f>
        <v>91</v>
      </c>
      <c r="H35" s="149">
        <f t="shared" si="2"/>
        <v>45500</v>
      </c>
      <c r="I35" s="150"/>
      <c r="J35" s="15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8"/>
      <c r="B36" s="26" t="s">
        <v>69</v>
      </c>
      <c r="C36" s="10"/>
      <c r="D36" s="12">
        <f>C36*1.5</f>
        <v>0</v>
      </c>
      <c r="F36" s="12">
        <v>200</v>
      </c>
      <c r="G36" s="37"/>
      <c r="H36" s="149">
        <f t="shared" si="2"/>
        <v>0</v>
      </c>
      <c r="I36" s="150"/>
      <c r="J36" s="151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6" t="s">
        <v>71</v>
      </c>
      <c r="B37" s="28" t="s">
        <v>65</v>
      </c>
      <c r="C37" s="53">
        <v>455</v>
      </c>
      <c r="D37" s="12">
        <f>C37*111</f>
        <v>50505</v>
      </c>
      <c r="F37" s="12">
        <v>100</v>
      </c>
      <c r="G37" s="39"/>
      <c r="H37" s="149">
        <f t="shared" si="2"/>
        <v>0</v>
      </c>
      <c r="I37" s="150"/>
      <c r="J37" s="151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7"/>
      <c r="B38" s="29" t="s">
        <v>67</v>
      </c>
      <c r="C38" s="54">
        <v>1</v>
      </c>
      <c r="D38" s="12">
        <f>C38*84</f>
        <v>84</v>
      </c>
      <c r="F38" s="30">
        <v>50</v>
      </c>
      <c r="G38" s="39">
        <v>1</v>
      </c>
      <c r="H38" s="149">
        <f t="shared" si="2"/>
        <v>50</v>
      </c>
      <c r="I38" s="150"/>
      <c r="J38" s="151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8"/>
      <c r="B39" s="29" t="s">
        <v>69</v>
      </c>
      <c r="C39" s="52">
        <v>4</v>
      </c>
      <c r="D39" s="31">
        <f>C39*4.5</f>
        <v>18</v>
      </c>
      <c r="F39" s="12">
        <v>20</v>
      </c>
      <c r="G39" s="37"/>
      <c r="H39" s="149">
        <f t="shared" si="2"/>
        <v>0</v>
      </c>
      <c r="I39" s="150"/>
      <c r="J39" s="15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6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49"/>
      <c r="I40" s="150"/>
      <c r="J40" s="151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7"/>
      <c r="B41" s="27" t="s">
        <v>67</v>
      </c>
      <c r="C41" s="10"/>
      <c r="D41" s="12">
        <f>C41*84</f>
        <v>0</v>
      </c>
      <c r="F41" s="12">
        <v>5</v>
      </c>
      <c r="G41" s="42"/>
      <c r="H41" s="149"/>
      <c r="I41" s="150"/>
      <c r="J41" s="151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8"/>
      <c r="B42" s="27" t="s">
        <v>69</v>
      </c>
      <c r="C42" s="11"/>
      <c r="D42" s="12">
        <f>C42*2.25</f>
        <v>0</v>
      </c>
      <c r="F42" s="39" t="s">
        <v>78</v>
      </c>
      <c r="G42" s="149">
        <f>87+6</f>
        <v>93</v>
      </c>
      <c r="H42" s="150"/>
      <c r="I42" s="150"/>
      <c r="J42" s="151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19" t="s">
        <v>80</v>
      </c>
      <c r="C43" s="11"/>
      <c r="D43" s="12"/>
      <c r="F43" s="59" t="s">
        <v>81</v>
      </c>
      <c r="G43" s="88" t="s">
        <v>82</v>
      </c>
      <c r="H43" s="141" t="s">
        <v>13</v>
      </c>
      <c r="I43" s="142"/>
      <c r="J43" s="143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20"/>
      <c r="B44" s="27" t="s">
        <v>65</v>
      </c>
      <c r="C44" s="10"/>
      <c r="D44" s="12">
        <f>C44*120</f>
        <v>0</v>
      </c>
      <c r="F44" s="37"/>
      <c r="G44" s="62"/>
      <c r="H44" s="144"/>
      <c r="I44" s="144"/>
      <c r="J44" s="144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20"/>
      <c r="B45" s="27" t="s">
        <v>67</v>
      </c>
      <c r="C45" s="33"/>
      <c r="D45" s="12">
        <f>C45*84</f>
        <v>0</v>
      </c>
      <c r="F45" s="37"/>
      <c r="G45" s="62"/>
      <c r="H45" s="144"/>
      <c r="I45" s="144"/>
      <c r="J45" s="144"/>
      <c r="K45" s="21"/>
      <c r="P45" s="4"/>
      <c r="Q45" s="4"/>
      <c r="R45" s="5"/>
    </row>
    <row r="46" spans="1:18" ht="15.75" x14ac:dyDescent="0.25">
      <c r="A46" s="120"/>
      <c r="B46" s="49" t="s">
        <v>69</v>
      </c>
      <c r="C46" s="81"/>
      <c r="D46" s="12">
        <f>C46*1.5</f>
        <v>0</v>
      </c>
      <c r="F46" s="37"/>
      <c r="G46" s="62"/>
      <c r="H46" s="144"/>
      <c r="I46" s="144"/>
      <c r="J46" s="144"/>
      <c r="K46" s="21"/>
      <c r="P46" s="4"/>
      <c r="Q46" s="4"/>
      <c r="R46" s="5"/>
    </row>
    <row r="47" spans="1:18" ht="15.75" x14ac:dyDescent="0.25">
      <c r="A47" s="121"/>
      <c r="B47" s="27"/>
      <c r="C47" s="11"/>
      <c r="D47" s="12"/>
      <c r="F47" s="59"/>
      <c r="G47" s="59"/>
      <c r="H47" s="122"/>
      <c r="I47" s="123"/>
      <c r="J47" s="124"/>
      <c r="K47" s="21"/>
      <c r="P47" s="4"/>
      <c r="Q47" s="4"/>
      <c r="R47" s="5"/>
    </row>
    <row r="48" spans="1:18" ht="15" customHeight="1" x14ac:dyDescent="0.25">
      <c r="A48" s="119" t="s">
        <v>32</v>
      </c>
      <c r="B48" s="27" t="s">
        <v>65</v>
      </c>
      <c r="C48" s="10">
        <v>5</v>
      </c>
      <c r="D48" s="12">
        <f>C48*78</f>
        <v>390</v>
      </c>
      <c r="F48" s="59"/>
      <c r="G48" s="59"/>
      <c r="H48" s="122"/>
      <c r="I48" s="123"/>
      <c r="J48" s="124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20"/>
      <c r="B49" s="29" t="s">
        <v>67</v>
      </c>
      <c r="C49" s="33">
        <v>13</v>
      </c>
      <c r="D49" s="12">
        <f>C49*42</f>
        <v>546</v>
      </c>
      <c r="F49" s="125" t="s">
        <v>85</v>
      </c>
      <c r="G49" s="127">
        <f>H34+H35+H36+H37+H38+H39+H40+H41+G42+H44+H45+H46</f>
        <v>347643</v>
      </c>
      <c r="H49" s="128"/>
      <c r="I49" s="128"/>
      <c r="J49" s="129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0"/>
      <c r="B50" s="32" t="s">
        <v>69</v>
      </c>
      <c r="C50" s="11"/>
      <c r="D50" s="12">
        <f>C50*1.5</f>
        <v>0</v>
      </c>
      <c r="F50" s="126"/>
      <c r="G50" s="130"/>
      <c r="H50" s="131"/>
      <c r="I50" s="131"/>
      <c r="J50" s="132"/>
      <c r="O50" t="s">
        <v>114</v>
      </c>
      <c r="P50" s="4">
        <v>1204</v>
      </c>
      <c r="Q50" s="4"/>
      <c r="R50" s="5"/>
    </row>
    <row r="51" spans="1:18" ht="15" customHeight="1" x14ac:dyDescent="0.25">
      <c r="A51" s="120"/>
      <c r="B51" s="27"/>
      <c r="C51" s="10"/>
      <c r="D51" s="31"/>
      <c r="F51" s="133" t="s">
        <v>173</v>
      </c>
      <c r="G51" s="236">
        <f>G49-H29</f>
        <v>171.27000000001863</v>
      </c>
      <c r="H51" s="237"/>
      <c r="I51" s="237"/>
      <c r="J51" s="238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20"/>
      <c r="B52" s="29"/>
      <c r="C52" s="33"/>
      <c r="D52" s="45"/>
      <c r="F52" s="134"/>
      <c r="G52" s="239"/>
      <c r="H52" s="240"/>
      <c r="I52" s="240"/>
      <c r="J52" s="241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1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05" t="s">
        <v>89</v>
      </c>
      <c r="B54" s="106"/>
      <c r="C54" s="107"/>
      <c r="D54" s="111">
        <f>SUM(D34:D53)</f>
        <v>51543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08"/>
      <c r="B55" s="109"/>
      <c r="C55" s="110"/>
      <c r="D55" s="11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113" t="s">
        <v>90</v>
      </c>
      <c r="B58" s="114"/>
      <c r="C58" s="114"/>
      <c r="D58" s="115"/>
      <c r="F58" s="113" t="s">
        <v>91</v>
      </c>
      <c r="G58" s="114"/>
      <c r="H58" s="114"/>
      <c r="I58" s="114"/>
      <c r="J58" s="115"/>
    </row>
    <row r="59" spans="1:18" x14ac:dyDescent="0.25">
      <c r="A59" s="116"/>
      <c r="B59" s="117"/>
      <c r="C59" s="117"/>
      <c r="D59" s="118"/>
      <c r="F59" s="116"/>
      <c r="G59" s="117"/>
      <c r="H59" s="117"/>
      <c r="I59" s="117"/>
      <c r="J59" s="118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514EA4-CC24-48AB-BDB9-50686BD909E2}">
  <dimension ref="A1:R59"/>
  <sheetViews>
    <sheetView topLeftCell="A13" zoomScaleNormal="100" zoomScaleSheetLayoutView="85" workbookViewId="0">
      <selection activeCell="H26" sqref="F26:J26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1" t="s">
        <v>1</v>
      </c>
      <c r="O1" s="201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2" t="s">
        <v>7</v>
      </c>
      <c r="B4" s="153"/>
      <c r="C4" s="153"/>
      <c r="D4" s="154"/>
      <c r="F4" s="202" t="s">
        <v>8</v>
      </c>
      <c r="G4" s="204">
        <v>1</v>
      </c>
      <c r="H4" s="206" t="s">
        <v>9</v>
      </c>
      <c r="I4" s="208">
        <v>46164</v>
      </c>
      <c r="J4" s="20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6" t="s">
        <v>7</v>
      </c>
      <c r="B5" s="15" t="s">
        <v>11</v>
      </c>
      <c r="C5" s="9" t="s">
        <v>12</v>
      </c>
      <c r="D5" s="25" t="s">
        <v>13</v>
      </c>
      <c r="F5" s="203"/>
      <c r="G5" s="205"/>
      <c r="H5" s="207"/>
      <c r="I5" s="210"/>
      <c r="J5" s="21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7"/>
      <c r="B6" s="16" t="s">
        <v>15</v>
      </c>
      <c r="C6" s="10"/>
      <c r="D6" s="13">
        <f t="shared" ref="D6:D28" si="1">C6*L6</f>
        <v>0</v>
      </c>
      <c r="F6" s="212" t="s">
        <v>16</v>
      </c>
      <c r="G6" s="214" t="s">
        <v>99</v>
      </c>
      <c r="H6" s="215"/>
      <c r="I6" s="215"/>
      <c r="J6" s="21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7"/>
      <c r="B7" s="16" t="s">
        <v>18</v>
      </c>
      <c r="C7" s="10"/>
      <c r="D7" s="13">
        <f t="shared" si="1"/>
        <v>0</v>
      </c>
      <c r="F7" s="213"/>
      <c r="G7" s="217"/>
      <c r="H7" s="218"/>
      <c r="I7" s="218"/>
      <c r="J7" s="21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7"/>
      <c r="B8" s="16" t="s">
        <v>20</v>
      </c>
      <c r="C8" s="10"/>
      <c r="D8" s="13">
        <f t="shared" si="1"/>
        <v>0</v>
      </c>
      <c r="F8" s="220" t="s">
        <v>21</v>
      </c>
      <c r="G8" s="221" t="s">
        <v>120</v>
      </c>
      <c r="H8" s="222"/>
      <c r="I8" s="222"/>
      <c r="J8" s="22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7"/>
      <c r="B9" s="16" t="s">
        <v>23</v>
      </c>
      <c r="C9" s="10"/>
      <c r="D9" s="13">
        <f t="shared" si="1"/>
        <v>0</v>
      </c>
      <c r="F9" s="213"/>
      <c r="G9" s="224"/>
      <c r="H9" s="225"/>
      <c r="I9" s="225"/>
      <c r="J9" s="22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7"/>
      <c r="B10" t="s">
        <v>25</v>
      </c>
      <c r="C10" s="10"/>
      <c r="D10" s="13">
        <f t="shared" si="1"/>
        <v>0</v>
      </c>
      <c r="F10" s="212" t="s">
        <v>26</v>
      </c>
      <c r="G10" s="227" t="s">
        <v>108</v>
      </c>
      <c r="H10" s="228"/>
      <c r="I10" s="228"/>
      <c r="J10" s="229"/>
      <c r="K10" s="8"/>
      <c r="L10" s="6">
        <f>R36</f>
        <v>1032</v>
      </c>
      <c r="P10" s="4"/>
      <c r="Q10" s="4"/>
      <c r="R10" s="5"/>
    </row>
    <row r="11" spans="1:18" ht="15.75" x14ac:dyDescent="0.25">
      <c r="A11" s="147"/>
      <c r="B11" s="17" t="s">
        <v>28</v>
      </c>
      <c r="C11" s="10"/>
      <c r="D11" s="13">
        <f t="shared" si="1"/>
        <v>0</v>
      </c>
      <c r="F11" s="213"/>
      <c r="G11" s="224"/>
      <c r="H11" s="225"/>
      <c r="I11" s="225"/>
      <c r="J11" s="22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7"/>
      <c r="B12" s="17" t="s">
        <v>30</v>
      </c>
      <c r="C12" s="10"/>
      <c r="D12" s="48">
        <f t="shared" si="1"/>
        <v>0</v>
      </c>
      <c r="F12" s="230" t="s">
        <v>33</v>
      </c>
      <c r="G12" s="231"/>
      <c r="H12" s="231"/>
      <c r="I12" s="231"/>
      <c r="J12" s="23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7"/>
      <c r="B13" s="17" t="s">
        <v>32</v>
      </c>
      <c r="C13" s="10"/>
      <c r="D13" s="48">
        <f t="shared" si="1"/>
        <v>0</v>
      </c>
      <c r="F13" s="233" t="s">
        <v>36</v>
      </c>
      <c r="G13" s="197"/>
      <c r="H13" s="188">
        <f>D29</f>
        <v>0</v>
      </c>
      <c r="I13" s="189"/>
      <c r="J13" s="19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7"/>
      <c r="B14" s="14" t="s">
        <v>35</v>
      </c>
      <c r="C14" s="10"/>
      <c r="D14" s="31">
        <f t="shared" si="1"/>
        <v>0</v>
      </c>
      <c r="F14" s="191" t="s">
        <v>38</v>
      </c>
      <c r="G14" s="192"/>
      <c r="H14" s="193">
        <f>D54</f>
        <v>0</v>
      </c>
      <c r="I14" s="194"/>
      <c r="J14" s="19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7"/>
      <c r="B15" s="14" t="s">
        <v>122</v>
      </c>
      <c r="C15" s="10"/>
      <c r="D15" s="31">
        <f t="shared" si="1"/>
        <v>0</v>
      </c>
      <c r="F15" s="196" t="s">
        <v>39</v>
      </c>
      <c r="G15" s="197"/>
      <c r="H15" s="198">
        <f>H13-H14</f>
        <v>0</v>
      </c>
      <c r="I15" s="199"/>
      <c r="J15" s="200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7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58"/>
      <c r="I16" s="158"/>
      <c r="J16" s="158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7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69"/>
      <c r="I17" s="169"/>
      <c r="J17" s="169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7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69"/>
      <c r="I18" s="169"/>
      <c r="J18" s="169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7"/>
      <c r="B19" s="83" t="s">
        <v>105</v>
      </c>
      <c r="C19" s="10"/>
      <c r="D19" s="48">
        <f t="shared" si="1"/>
        <v>0</v>
      </c>
      <c r="F19" s="56"/>
      <c r="G19" s="68" t="s">
        <v>49</v>
      </c>
      <c r="H19" s="158"/>
      <c r="I19" s="158"/>
      <c r="J19" s="158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7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58"/>
      <c r="I20" s="158"/>
      <c r="J20" s="158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7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71" t="s">
        <v>13</v>
      </c>
      <c r="I21" s="172"/>
      <c r="J21" s="173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7"/>
      <c r="B22" s="46" t="s">
        <v>103</v>
      </c>
      <c r="C22" s="10"/>
      <c r="D22" s="48">
        <f t="shared" si="1"/>
        <v>0</v>
      </c>
      <c r="F22" s="77"/>
      <c r="G22" s="73"/>
      <c r="H22" s="174"/>
      <c r="I22" s="174"/>
      <c r="J22" s="174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7"/>
      <c r="B23" s="14" t="s">
        <v>121</v>
      </c>
      <c r="C23" s="10"/>
      <c r="D23" s="48">
        <f t="shared" si="1"/>
        <v>0</v>
      </c>
      <c r="F23" s="77"/>
      <c r="G23" s="79"/>
      <c r="H23" s="242"/>
      <c r="I23" s="243"/>
      <c r="J23" s="243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7"/>
      <c r="B24" s="14" t="s">
        <v>128</v>
      </c>
      <c r="C24" s="10"/>
      <c r="D24" s="48">
        <f t="shared" si="1"/>
        <v>0</v>
      </c>
      <c r="F24" s="77"/>
      <c r="G24" s="79"/>
      <c r="H24" s="242"/>
      <c r="I24" s="243"/>
      <c r="J24" s="243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7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76" t="s">
        <v>13</v>
      </c>
      <c r="I25" s="177"/>
      <c r="J25" s="178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7"/>
      <c r="B26" s="14" t="s">
        <v>129</v>
      </c>
      <c r="C26" s="10"/>
      <c r="D26" s="48">
        <f t="shared" si="1"/>
        <v>0</v>
      </c>
      <c r="F26" s="75" t="s">
        <v>153</v>
      </c>
      <c r="G26" s="65">
        <v>10676</v>
      </c>
      <c r="H26" s="144">
        <v>57556</v>
      </c>
      <c r="I26" s="144"/>
      <c r="J26" s="144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7"/>
      <c r="B27" s="14" t="s">
        <v>130</v>
      </c>
      <c r="C27" s="10"/>
      <c r="D27" s="44">
        <f t="shared" si="1"/>
        <v>0</v>
      </c>
      <c r="F27" s="71"/>
      <c r="G27" s="88"/>
      <c r="H27" s="244"/>
      <c r="I27" s="245"/>
      <c r="J27" s="245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8"/>
      <c r="B28" s="46" t="s">
        <v>92</v>
      </c>
      <c r="C28" s="10"/>
      <c r="D28" s="48">
        <f t="shared" si="1"/>
        <v>0</v>
      </c>
      <c r="F28" s="91"/>
      <c r="G28" s="61"/>
      <c r="H28" s="185"/>
      <c r="I28" s="186"/>
      <c r="J28" s="187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9" t="s">
        <v>36</v>
      </c>
      <c r="B29" s="160"/>
      <c r="C29" s="161"/>
      <c r="D29" s="165">
        <f>SUM(D6:D28)</f>
        <v>0</v>
      </c>
      <c r="F29" s="105" t="s">
        <v>54</v>
      </c>
      <c r="G29" s="167"/>
      <c r="H29" s="127">
        <f>H15-H16-H17-H18-H19-H20-H22-H23-H24+H26+H27+H28</f>
        <v>57556</v>
      </c>
      <c r="I29" s="128"/>
      <c r="J29" s="129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08"/>
      <c r="G30" s="168"/>
      <c r="H30" s="130"/>
      <c r="I30" s="131"/>
      <c r="J30" s="132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2" t="s">
        <v>57</v>
      </c>
      <c r="B32" s="153"/>
      <c r="C32" s="153"/>
      <c r="D32" s="154"/>
      <c r="F32" s="155" t="s">
        <v>58</v>
      </c>
      <c r="G32" s="156"/>
      <c r="H32" s="156"/>
      <c r="I32" s="156"/>
      <c r="J32" s="157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2" t="s">
        <v>62</v>
      </c>
      <c r="H33" s="155" t="s">
        <v>13</v>
      </c>
      <c r="I33" s="156"/>
      <c r="J33" s="157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6" t="s">
        <v>64</v>
      </c>
      <c r="B34" s="26" t="s">
        <v>65</v>
      </c>
      <c r="C34" s="51"/>
      <c r="D34" s="30">
        <f>C34*120</f>
        <v>0</v>
      </c>
      <c r="F34" s="12">
        <v>1000</v>
      </c>
      <c r="G34" s="40">
        <v>57</v>
      </c>
      <c r="H34" s="149">
        <f t="shared" ref="H34:H39" si="2">F34*G34</f>
        <v>57000</v>
      </c>
      <c r="I34" s="150"/>
      <c r="J34" s="151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7"/>
      <c r="B35" s="27" t="s">
        <v>67</v>
      </c>
      <c r="C35" s="52"/>
      <c r="D35" s="30">
        <f>C35*84</f>
        <v>0</v>
      </c>
      <c r="F35" s="58">
        <v>500</v>
      </c>
      <c r="G35" s="41">
        <v>1</v>
      </c>
      <c r="H35" s="149">
        <f t="shared" si="2"/>
        <v>500</v>
      </c>
      <c r="I35" s="150"/>
      <c r="J35" s="15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8"/>
      <c r="B36" s="26" t="s">
        <v>69</v>
      </c>
      <c r="C36" s="10"/>
      <c r="D36" s="12">
        <f>C36*1.5</f>
        <v>0</v>
      </c>
      <c r="F36" s="12">
        <v>200</v>
      </c>
      <c r="G36" s="37"/>
      <c r="H36" s="149">
        <f t="shared" si="2"/>
        <v>0</v>
      </c>
      <c r="I36" s="150"/>
      <c r="J36" s="151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6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49">
        <f t="shared" si="2"/>
        <v>0</v>
      </c>
      <c r="I37" s="150"/>
      <c r="J37" s="151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7"/>
      <c r="B38" s="29" t="s">
        <v>67</v>
      </c>
      <c r="C38" s="54"/>
      <c r="D38" s="12">
        <f>C38*84</f>
        <v>0</v>
      </c>
      <c r="F38" s="30">
        <v>50</v>
      </c>
      <c r="G38" s="39">
        <v>1</v>
      </c>
      <c r="H38" s="149">
        <f t="shared" si="2"/>
        <v>50</v>
      </c>
      <c r="I38" s="150"/>
      <c r="J38" s="151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8"/>
      <c r="B39" s="29" t="s">
        <v>69</v>
      </c>
      <c r="C39" s="52"/>
      <c r="D39" s="31">
        <f>C39*4.5</f>
        <v>0</v>
      </c>
      <c r="F39" s="12">
        <v>20</v>
      </c>
      <c r="G39" s="37"/>
      <c r="H39" s="149">
        <f t="shared" si="2"/>
        <v>0</v>
      </c>
      <c r="I39" s="150"/>
      <c r="J39" s="15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6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49"/>
      <c r="I40" s="150"/>
      <c r="J40" s="151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7"/>
      <c r="B41" s="27" t="s">
        <v>67</v>
      </c>
      <c r="C41" s="10"/>
      <c r="D41" s="12">
        <f>C41*84</f>
        <v>0</v>
      </c>
      <c r="F41" s="12">
        <v>5</v>
      </c>
      <c r="G41" s="42"/>
      <c r="H41" s="149"/>
      <c r="I41" s="150"/>
      <c r="J41" s="151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8"/>
      <c r="B42" s="27" t="s">
        <v>69</v>
      </c>
      <c r="C42" s="11"/>
      <c r="D42" s="12">
        <f>C42*2.25</f>
        <v>0</v>
      </c>
      <c r="F42" s="39" t="s">
        <v>78</v>
      </c>
      <c r="G42" s="149">
        <v>6</v>
      </c>
      <c r="H42" s="150"/>
      <c r="I42" s="150"/>
      <c r="J42" s="151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19" t="s">
        <v>80</v>
      </c>
      <c r="C43" s="11"/>
      <c r="D43" s="12"/>
      <c r="F43" s="59" t="s">
        <v>81</v>
      </c>
      <c r="G43" s="88" t="s">
        <v>82</v>
      </c>
      <c r="H43" s="141" t="s">
        <v>13</v>
      </c>
      <c r="I43" s="142"/>
      <c r="J43" s="143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20"/>
      <c r="B44" s="27" t="s">
        <v>65</v>
      </c>
      <c r="C44" s="10"/>
      <c r="D44" s="12">
        <f>C44*120</f>
        <v>0</v>
      </c>
      <c r="F44" s="37"/>
      <c r="G44" s="62"/>
      <c r="H44" s="144"/>
      <c r="I44" s="144"/>
      <c r="J44" s="144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20"/>
      <c r="B45" s="27" t="s">
        <v>67</v>
      </c>
      <c r="C45" s="33"/>
      <c r="D45" s="12">
        <f>C45*84</f>
        <v>0</v>
      </c>
      <c r="F45" s="37"/>
      <c r="G45" s="62"/>
      <c r="H45" s="144"/>
      <c r="I45" s="144"/>
      <c r="J45" s="144"/>
      <c r="K45" s="21"/>
      <c r="P45" s="4"/>
      <c r="Q45" s="4"/>
      <c r="R45" s="5"/>
    </row>
    <row r="46" spans="1:18" ht="15.75" x14ac:dyDescent="0.25">
      <c r="A46" s="120"/>
      <c r="B46" s="49" t="s">
        <v>69</v>
      </c>
      <c r="C46" s="81"/>
      <c r="D46" s="12">
        <f>C46*1.5</f>
        <v>0</v>
      </c>
      <c r="F46" s="37"/>
      <c r="G46" s="62"/>
      <c r="H46" s="144"/>
      <c r="I46" s="144"/>
      <c r="J46" s="144"/>
      <c r="K46" s="21"/>
      <c r="P46" s="4"/>
      <c r="Q46" s="4"/>
      <c r="R46" s="5"/>
    </row>
    <row r="47" spans="1:18" ht="15.75" x14ac:dyDescent="0.25">
      <c r="A47" s="121"/>
      <c r="B47" s="27"/>
      <c r="C47" s="11"/>
      <c r="D47" s="12"/>
      <c r="F47" s="59"/>
      <c r="G47" s="59"/>
      <c r="H47" s="122"/>
      <c r="I47" s="123"/>
      <c r="J47" s="124"/>
      <c r="K47" s="21"/>
      <c r="P47" s="4"/>
      <c r="Q47" s="4"/>
      <c r="R47" s="5"/>
    </row>
    <row r="48" spans="1:18" ht="15" customHeight="1" x14ac:dyDescent="0.25">
      <c r="A48" s="119" t="s">
        <v>32</v>
      </c>
      <c r="B48" s="27" t="s">
        <v>65</v>
      </c>
      <c r="C48" s="10"/>
      <c r="D48" s="12">
        <f>C48*78</f>
        <v>0</v>
      </c>
      <c r="F48" s="59"/>
      <c r="G48" s="59"/>
      <c r="H48" s="122"/>
      <c r="I48" s="123"/>
      <c r="J48" s="124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20"/>
      <c r="B49" s="29" t="s">
        <v>67</v>
      </c>
      <c r="C49" s="33"/>
      <c r="D49" s="12">
        <f>C49*42</f>
        <v>0</v>
      </c>
      <c r="F49" s="125" t="s">
        <v>85</v>
      </c>
      <c r="G49" s="127">
        <f>H34+H35+H36+H37+H38+H39+H40+H41+G42+H44+H45+H46</f>
        <v>57556</v>
      </c>
      <c r="H49" s="128"/>
      <c r="I49" s="128"/>
      <c r="J49" s="129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0"/>
      <c r="B50" s="32" t="s">
        <v>69</v>
      </c>
      <c r="C50" s="11"/>
      <c r="D50" s="12">
        <f>C50*1.5</f>
        <v>0</v>
      </c>
      <c r="F50" s="126"/>
      <c r="G50" s="130"/>
      <c r="H50" s="131"/>
      <c r="I50" s="131"/>
      <c r="J50" s="132"/>
      <c r="O50" t="s">
        <v>114</v>
      </c>
      <c r="P50" s="4">
        <v>1204</v>
      </c>
      <c r="Q50" s="4"/>
      <c r="R50" s="5"/>
    </row>
    <row r="51" spans="1:18" ht="15" customHeight="1" x14ac:dyDescent="0.25">
      <c r="A51" s="120"/>
      <c r="B51" s="27"/>
      <c r="C51" s="10"/>
      <c r="D51" s="31"/>
      <c r="F51" s="133" t="s">
        <v>184</v>
      </c>
      <c r="G51" s="236">
        <f>G49-H29</f>
        <v>0</v>
      </c>
      <c r="H51" s="237"/>
      <c r="I51" s="237"/>
      <c r="J51" s="238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20"/>
      <c r="B52" s="29"/>
      <c r="C52" s="33"/>
      <c r="D52" s="45"/>
      <c r="F52" s="134"/>
      <c r="G52" s="239"/>
      <c r="H52" s="240"/>
      <c r="I52" s="240"/>
      <c r="J52" s="241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1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05" t="s">
        <v>89</v>
      </c>
      <c r="B54" s="106"/>
      <c r="C54" s="107"/>
      <c r="D54" s="111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08"/>
      <c r="B55" s="109"/>
      <c r="C55" s="110"/>
      <c r="D55" s="11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113" t="s">
        <v>90</v>
      </c>
      <c r="B58" s="114"/>
      <c r="C58" s="114"/>
      <c r="D58" s="115"/>
      <c r="F58" s="113" t="s">
        <v>91</v>
      </c>
      <c r="G58" s="114"/>
      <c r="H58" s="114"/>
      <c r="I58" s="114"/>
      <c r="J58" s="115"/>
    </row>
    <row r="59" spans="1:18" x14ac:dyDescent="0.25">
      <c r="A59" s="116"/>
      <c r="B59" s="117"/>
      <c r="C59" s="117"/>
      <c r="D59" s="118"/>
      <c r="F59" s="116"/>
      <c r="G59" s="117"/>
      <c r="H59" s="117"/>
      <c r="I59" s="117"/>
      <c r="J59" s="118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05133C-332F-4ACD-93A0-D4923FE33F8A}">
  <dimension ref="A1:R59"/>
  <sheetViews>
    <sheetView topLeftCell="A19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1" t="s">
        <v>1</v>
      </c>
      <c r="O1" s="201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2" t="s">
        <v>7</v>
      </c>
      <c r="B4" s="153"/>
      <c r="C4" s="153"/>
      <c r="D4" s="154"/>
      <c r="F4" s="202" t="s">
        <v>8</v>
      </c>
      <c r="G4" s="204">
        <v>2</v>
      </c>
      <c r="H4" s="206" t="s">
        <v>9</v>
      </c>
      <c r="I4" s="208">
        <v>46164</v>
      </c>
      <c r="J4" s="20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6" t="s">
        <v>7</v>
      </c>
      <c r="B5" s="15" t="s">
        <v>11</v>
      </c>
      <c r="C5" s="9" t="s">
        <v>12</v>
      </c>
      <c r="D5" s="25" t="s">
        <v>13</v>
      </c>
      <c r="F5" s="203"/>
      <c r="G5" s="205"/>
      <c r="H5" s="207"/>
      <c r="I5" s="210"/>
      <c r="J5" s="21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7"/>
      <c r="B6" s="16" t="s">
        <v>15</v>
      </c>
      <c r="C6" s="10">
        <v>294</v>
      </c>
      <c r="D6" s="13">
        <f t="shared" ref="D6:D28" si="1">C6*L6</f>
        <v>223734</v>
      </c>
      <c r="F6" s="212" t="s">
        <v>16</v>
      </c>
      <c r="G6" s="214" t="s">
        <v>107</v>
      </c>
      <c r="H6" s="215"/>
      <c r="I6" s="215"/>
      <c r="J6" s="21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7"/>
      <c r="B7" s="16" t="s">
        <v>18</v>
      </c>
      <c r="C7" s="10">
        <v>3</v>
      </c>
      <c r="D7" s="13">
        <f t="shared" si="1"/>
        <v>2343</v>
      </c>
      <c r="F7" s="213"/>
      <c r="G7" s="217"/>
      <c r="H7" s="218"/>
      <c r="I7" s="218"/>
      <c r="J7" s="21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7"/>
      <c r="B8" s="16" t="s">
        <v>20</v>
      </c>
      <c r="C8" s="10"/>
      <c r="D8" s="13">
        <f t="shared" si="1"/>
        <v>0</v>
      </c>
      <c r="F8" s="220" t="s">
        <v>21</v>
      </c>
      <c r="G8" s="221" t="s">
        <v>100</v>
      </c>
      <c r="H8" s="222"/>
      <c r="I8" s="222"/>
      <c r="J8" s="22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7"/>
      <c r="B9" s="16" t="s">
        <v>23</v>
      </c>
      <c r="C9" s="10">
        <v>33</v>
      </c>
      <c r="D9" s="13">
        <f t="shared" si="1"/>
        <v>24189</v>
      </c>
      <c r="F9" s="213"/>
      <c r="G9" s="224"/>
      <c r="H9" s="225"/>
      <c r="I9" s="225"/>
      <c r="J9" s="22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7"/>
      <c r="B10" t="s">
        <v>25</v>
      </c>
      <c r="C10" s="10"/>
      <c r="D10" s="13">
        <f t="shared" si="1"/>
        <v>0</v>
      </c>
      <c r="F10" s="212" t="s">
        <v>26</v>
      </c>
      <c r="G10" s="227" t="s">
        <v>101</v>
      </c>
      <c r="H10" s="228"/>
      <c r="I10" s="228"/>
      <c r="J10" s="229"/>
      <c r="K10" s="8"/>
      <c r="L10" s="6">
        <f>R36</f>
        <v>1032</v>
      </c>
      <c r="P10" s="4"/>
      <c r="Q10" s="4"/>
      <c r="R10" s="5"/>
    </row>
    <row r="11" spans="1:18" ht="15.75" x14ac:dyDescent="0.25">
      <c r="A11" s="147"/>
      <c r="B11" s="17" t="s">
        <v>28</v>
      </c>
      <c r="C11" s="10"/>
      <c r="D11" s="13">
        <f t="shared" si="1"/>
        <v>0</v>
      </c>
      <c r="F11" s="213"/>
      <c r="G11" s="224"/>
      <c r="H11" s="225"/>
      <c r="I11" s="225"/>
      <c r="J11" s="22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7"/>
      <c r="B12" s="17" t="s">
        <v>30</v>
      </c>
      <c r="C12" s="10"/>
      <c r="D12" s="48">
        <f t="shared" si="1"/>
        <v>0</v>
      </c>
      <c r="F12" s="230" t="s">
        <v>33</v>
      </c>
      <c r="G12" s="231"/>
      <c r="H12" s="231"/>
      <c r="I12" s="231"/>
      <c r="J12" s="23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7"/>
      <c r="B13" s="17" t="s">
        <v>32</v>
      </c>
      <c r="C13" s="10">
        <v>11</v>
      </c>
      <c r="D13" s="48">
        <f t="shared" si="1"/>
        <v>3377</v>
      </c>
      <c r="F13" s="233" t="s">
        <v>36</v>
      </c>
      <c r="G13" s="197"/>
      <c r="H13" s="188">
        <f>D29</f>
        <v>254943</v>
      </c>
      <c r="I13" s="189"/>
      <c r="J13" s="19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7"/>
      <c r="B14" s="14" t="s">
        <v>35</v>
      </c>
      <c r="C14" s="10"/>
      <c r="D14" s="31">
        <f t="shared" si="1"/>
        <v>0</v>
      </c>
      <c r="F14" s="191" t="s">
        <v>38</v>
      </c>
      <c r="G14" s="192"/>
      <c r="H14" s="193">
        <f>D54</f>
        <v>39281.25</v>
      </c>
      <c r="I14" s="194"/>
      <c r="J14" s="19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7"/>
      <c r="B15" s="14" t="s">
        <v>122</v>
      </c>
      <c r="C15" s="10"/>
      <c r="D15" s="31">
        <f t="shared" si="1"/>
        <v>0</v>
      </c>
      <c r="F15" s="196" t="s">
        <v>39</v>
      </c>
      <c r="G15" s="197"/>
      <c r="H15" s="198">
        <f>H13-H14</f>
        <v>215661.75</v>
      </c>
      <c r="I15" s="199"/>
      <c r="J15" s="200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7"/>
      <c r="B16" s="18" t="s">
        <v>111</v>
      </c>
      <c r="C16" s="10">
        <v>2</v>
      </c>
      <c r="D16" s="48">
        <f t="shared" si="1"/>
        <v>1300</v>
      </c>
      <c r="F16" s="67" t="s">
        <v>41</v>
      </c>
      <c r="G16" s="66" t="s">
        <v>42</v>
      </c>
      <c r="H16" s="158">
        <v>1068</v>
      </c>
      <c r="I16" s="158"/>
      <c r="J16" s="158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7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69"/>
      <c r="I17" s="169"/>
      <c r="J17" s="169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7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69"/>
      <c r="I18" s="169"/>
      <c r="J18" s="169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7"/>
      <c r="B19" s="87" t="s">
        <v>105</v>
      </c>
      <c r="C19" s="10"/>
      <c r="D19" s="48">
        <f t="shared" si="1"/>
        <v>0</v>
      </c>
      <c r="F19" s="56"/>
      <c r="G19" s="68" t="s">
        <v>49</v>
      </c>
      <c r="H19" s="253"/>
      <c r="I19" s="253"/>
      <c r="J19" s="253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7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58"/>
      <c r="I20" s="158"/>
      <c r="J20" s="158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7"/>
      <c r="B21" s="14" t="s">
        <v>183</v>
      </c>
      <c r="C21" s="10"/>
      <c r="D21" s="48">
        <f t="shared" si="1"/>
        <v>0</v>
      </c>
      <c r="F21" s="69" t="s">
        <v>94</v>
      </c>
      <c r="G21" s="82" t="s">
        <v>93</v>
      </c>
      <c r="H21" s="171" t="s">
        <v>13</v>
      </c>
      <c r="I21" s="172"/>
      <c r="J21" s="173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7"/>
      <c r="B22" s="46" t="s">
        <v>103</v>
      </c>
      <c r="C22" s="10"/>
      <c r="D22" s="48">
        <f t="shared" si="1"/>
        <v>0</v>
      </c>
      <c r="F22" s="77"/>
      <c r="G22" s="73"/>
      <c r="H22" s="174"/>
      <c r="I22" s="174"/>
      <c r="J22" s="174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7"/>
      <c r="B23" s="14" t="s">
        <v>121</v>
      </c>
      <c r="C23" s="10"/>
      <c r="D23" s="48">
        <f t="shared" si="1"/>
        <v>0</v>
      </c>
      <c r="F23" s="78"/>
      <c r="G23" s="79"/>
      <c r="H23" s="254"/>
      <c r="I23" s="174"/>
      <c r="J23" s="174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7"/>
      <c r="B24" s="14" t="s">
        <v>128</v>
      </c>
      <c r="C24" s="10"/>
      <c r="D24" s="48">
        <f t="shared" si="1"/>
        <v>0</v>
      </c>
      <c r="F24" s="38"/>
      <c r="G24" s="37"/>
      <c r="H24" s="175"/>
      <c r="I24" s="144"/>
      <c r="J24" s="144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7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76" t="s">
        <v>13</v>
      </c>
      <c r="I25" s="177"/>
      <c r="J25" s="178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7"/>
      <c r="B26" s="14" t="s">
        <v>129</v>
      </c>
      <c r="C26" s="10"/>
      <c r="D26" s="48">
        <f t="shared" si="1"/>
        <v>0</v>
      </c>
      <c r="F26" s="64"/>
      <c r="G26" s="59"/>
      <c r="H26" s="179"/>
      <c r="I26" s="180"/>
      <c r="J26" s="181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7"/>
      <c r="B27" s="14" t="s">
        <v>130</v>
      </c>
      <c r="C27" s="10"/>
      <c r="D27" s="44">
        <f t="shared" si="1"/>
        <v>0</v>
      </c>
      <c r="F27" s="25"/>
      <c r="G27" s="80"/>
      <c r="H27" s="182"/>
      <c r="I27" s="183"/>
      <c r="J27" s="184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8"/>
      <c r="B28" s="46" t="s">
        <v>92</v>
      </c>
      <c r="C28" s="10"/>
      <c r="D28" s="48">
        <f t="shared" si="1"/>
        <v>0</v>
      </c>
      <c r="F28" s="91"/>
      <c r="G28" s="61"/>
      <c r="H28" s="185"/>
      <c r="I28" s="186"/>
      <c r="J28" s="187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9" t="s">
        <v>36</v>
      </c>
      <c r="B29" s="160"/>
      <c r="C29" s="161"/>
      <c r="D29" s="165">
        <f>SUM(D6:D28)</f>
        <v>254943</v>
      </c>
      <c r="F29" s="105" t="s">
        <v>54</v>
      </c>
      <c r="G29" s="167"/>
      <c r="H29" s="127">
        <f>H15-H16-H17-H18-H19-H20-H22-H23-H24+H26+H27</f>
        <v>214593.75</v>
      </c>
      <c r="I29" s="128"/>
      <c r="J29" s="129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08"/>
      <c r="G30" s="168"/>
      <c r="H30" s="130"/>
      <c r="I30" s="131"/>
      <c r="J30" s="132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2" t="s">
        <v>57</v>
      </c>
      <c r="B32" s="153"/>
      <c r="C32" s="153"/>
      <c r="D32" s="154"/>
      <c r="F32" s="155" t="s">
        <v>58</v>
      </c>
      <c r="G32" s="156"/>
      <c r="H32" s="156"/>
      <c r="I32" s="156"/>
      <c r="J32" s="157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2" t="s">
        <v>62</v>
      </c>
      <c r="H33" s="155" t="s">
        <v>13</v>
      </c>
      <c r="I33" s="156"/>
      <c r="J33" s="157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6" t="s">
        <v>64</v>
      </c>
      <c r="B34" s="26" t="s">
        <v>65</v>
      </c>
      <c r="C34" s="51"/>
      <c r="D34" s="30">
        <f>C34*120</f>
        <v>0</v>
      </c>
      <c r="F34" s="12">
        <v>1000</v>
      </c>
      <c r="G34" s="74">
        <v>170</v>
      </c>
      <c r="H34" s="149">
        <f>F34*G34</f>
        <v>170000</v>
      </c>
      <c r="I34" s="150"/>
      <c r="J34" s="151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7"/>
      <c r="B35" s="27" t="s">
        <v>67</v>
      </c>
      <c r="C35" s="52"/>
      <c r="D35" s="30">
        <f>C35*84</f>
        <v>0</v>
      </c>
      <c r="F35" s="58">
        <v>500</v>
      </c>
      <c r="G35" s="41">
        <v>80</v>
      </c>
      <c r="H35" s="149">
        <f>F35*G35</f>
        <v>40000</v>
      </c>
      <c r="I35" s="150"/>
      <c r="J35" s="15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8"/>
      <c r="B36" s="26" t="s">
        <v>69</v>
      </c>
      <c r="C36" s="10"/>
      <c r="D36" s="12">
        <f>C36*1.5</f>
        <v>0</v>
      </c>
      <c r="F36" s="12">
        <v>200</v>
      </c>
      <c r="G36" s="37"/>
      <c r="H36" s="149">
        <f t="shared" ref="H36:H39" si="2">F36*G36</f>
        <v>0</v>
      </c>
      <c r="I36" s="150"/>
      <c r="J36" s="151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6" t="s">
        <v>71</v>
      </c>
      <c r="B37" s="28" t="s">
        <v>65</v>
      </c>
      <c r="C37" s="53">
        <v>337</v>
      </c>
      <c r="D37" s="12">
        <f>C37*111</f>
        <v>37407</v>
      </c>
      <c r="F37" s="12">
        <v>100</v>
      </c>
      <c r="G37" s="39">
        <v>41</v>
      </c>
      <c r="H37" s="149">
        <f t="shared" si="2"/>
        <v>4100</v>
      </c>
      <c r="I37" s="150"/>
      <c r="J37" s="151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7"/>
      <c r="B38" s="29" t="s">
        <v>67</v>
      </c>
      <c r="C38" s="54">
        <v>5</v>
      </c>
      <c r="D38" s="12">
        <f>C38*84</f>
        <v>420</v>
      </c>
      <c r="F38" s="30">
        <v>50</v>
      </c>
      <c r="G38" s="39">
        <v>5</v>
      </c>
      <c r="H38" s="149">
        <f t="shared" si="2"/>
        <v>250</v>
      </c>
      <c r="I38" s="150"/>
      <c r="J38" s="151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8"/>
      <c r="B39" s="29" t="s">
        <v>69</v>
      </c>
      <c r="C39" s="52">
        <v>2</v>
      </c>
      <c r="D39" s="31">
        <f>C39*4.5</f>
        <v>9</v>
      </c>
      <c r="F39" s="12">
        <v>20</v>
      </c>
      <c r="G39" s="37"/>
      <c r="H39" s="149">
        <f t="shared" si="2"/>
        <v>0</v>
      </c>
      <c r="I39" s="150"/>
      <c r="J39" s="15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6" t="s">
        <v>75</v>
      </c>
      <c r="B40" s="27" t="s">
        <v>65</v>
      </c>
      <c r="C40" s="63">
        <v>5</v>
      </c>
      <c r="D40" s="12">
        <f>C40*111</f>
        <v>555</v>
      </c>
      <c r="F40" s="12">
        <v>10</v>
      </c>
      <c r="G40" s="42"/>
      <c r="H40" s="149"/>
      <c r="I40" s="150"/>
      <c r="J40" s="151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7"/>
      <c r="B41" s="27" t="s">
        <v>67</v>
      </c>
      <c r="C41" s="10"/>
      <c r="D41" s="12">
        <f>C41*84</f>
        <v>0</v>
      </c>
      <c r="F41" s="12">
        <v>5</v>
      </c>
      <c r="G41" s="42"/>
      <c r="H41" s="149"/>
      <c r="I41" s="150"/>
      <c r="J41" s="151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8"/>
      <c r="B42" s="27" t="s">
        <v>69</v>
      </c>
      <c r="C42" s="11">
        <v>1</v>
      </c>
      <c r="D42" s="12">
        <f>C42*2.25</f>
        <v>2.25</v>
      </c>
      <c r="F42" s="39" t="s">
        <v>78</v>
      </c>
      <c r="G42" s="149">
        <v>391</v>
      </c>
      <c r="H42" s="150"/>
      <c r="I42" s="150"/>
      <c r="J42" s="151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19" t="s">
        <v>80</v>
      </c>
      <c r="C43" s="11"/>
      <c r="D43" s="12"/>
      <c r="F43" s="59" t="s">
        <v>81</v>
      </c>
      <c r="G43" s="88" t="s">
        <v>82</v>
      </c>
      <c r="H43" s="141" t="s">
        <v>13</v>
      </c>
      <c r="I43" s="142"/>
      <c r="J43" s="143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20"/>
      <c r="B44" s="27" t="s">
        <v>65</v>
      </c>
      <c r="C44" s="10"/>
      <c r="D44" s="12">
        <f>C44*120</f>
        <v>0</v>
      </c>
      <c r="F44" s="37"/>
      <c r="G44" s="76"/>
      <c r="H44" s="144"/>
      <c r="I44" s="144"/>
      <c r="J44" s="144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20"/>
      <c r="B45" s="27" t="s">
        <v>67</v>
      </c>
      <c r="C45" s="33"/>
      <c r="D45" s="12">
        <f>C45*84</f>
        <v>0</v>
      </c>
      <c r="F45" s="37"/>
      <c r="G45" s="76"/>
      <c r="H45" s="144"/>
      <c r="I45" s="144"/>
      <c r="J45" s="144"/>
      <c r="K45" s="21"/>
      <c r="P45" s="4"/>
      <c r="Q45" s="4"/>
      <c r="R45" s="5"/>
    </row>
    <row r="46" spans="1:18" ht="15.75" x14ac:dyDescent="0.25">
      <c r="A46" s="120"/>
      <c r="B46" s="49" t="s">
        <v>69</v>
      </c>
      <c r="C46" s="81">
        <v>2</v>
      </c>
      <c r="D46" s="12">
        <f>C46*1.5</f>
        <v>3</v>
      </c>
      <c r="F46" s="37"/>
      <c r="G46" s="62"/>
      <c r="H46" s="145"/>
      <c r="I46" s="145"/>
      <c r="J46" s="145"/>
      <c r="K46" s="21"/>
      <c r="P46" s="4"/>
      <c r="Q46" s="4"/>
      <c r="R46" s="5"/>
    </row>
    <row r="47" spans="1:18" ht="15.75" x14ac:dyDescent="0.25">
      <c r="A47" s="121"/>
      <c r="B47" s="27"/>
      <c r="C47" s="11"/>
      <c r="D47" s="12"/>
      <c r="F47" s="59"/>
      <c r="G47" s="59"/>
      <c r="H47" s="122"/>
      <c r="I47" s="123"/>
      <c r="J47" s="124"/>
      <c r="K47" s="21"/>
      <c r="P47" s="4"/>
      <c r="Q47" s="4"/>
      <c r="R47" s="5"/>
    </row>
    <row r="48" spans="1:18" ht="15" customHeight="1" x14ac:dyDescent="0.25">
      <c r="A48" s="119" t="s">
        <v>32</v>
      </c>
      <c r="B48" s="27" t="s">
        <v>65</v>
      </c>
      <c r="C48" s="10">
        <v>7</v>
      </c>
      <c r="D48" s="12">
        <f>C48*78</f>
        <v>546</v>
      </c>
      <c r="F48" s="59"/>
      <c r="G48" s="59"/>
      <c r="H48" s="122"/>
      <c r="I48" s="123"/>
      <c r="J48" s="124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20"/>
      <c r="B49" s="29" t="s">
        <v>67</v>
      </c>
      <c r="C49" s="33">
        <v>8</v>
      </c>
      <c r="D49" s="12">
        <f>C49*42</f>
        <v>336</v>
      </c>
      <c r="F49" s="125" t="s">
        <v>85</v>
      </c>
      <c r="G49" s="127">
        <f>H34+H35+H36+H37+H38+H39+H40+H41+G42+H44+H45+H46</f>
        <v>214741</v>
      </c>
      <c r="H49" s="128"/>
      <c r="I49" s="128"/>
      <c r="J49" s="129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0"/>
      <c r="B50" s="32" t="s">
        <v>69</v>
      </c>
      <c r="C50" s="81">
        <v>2</v>
      </c>
      <c r="D50" s="12">
        <f>C50*1.5</f>
        <v>3</v>
      </c>
      <c r="F50" s="126"/>
      <c r="G50" s="130"/>
      <c r="H50" s="131"/>
      <c r="I50" s="131"/>
      <c r="J50" s="132"/>
      <c r="O50" t="s">
        <v>114</v>
      </c>
      <c r="P50" s="4">
        <v>1204</v>
      </c>
      <c r="Q50" s="4"/>
      <c r="R50" s="5"/>
    </row>
    <row r="51" spans="1:18" ht="15" customHeight="1" x14ac:dyDescent="0.25">
      <c r="A51" s="120"/>
      <c r="B51" s="27"/>
      <c r="C51" s="10"/>
      <c r="D51" s="31"/>
      <c r="F51" s="133" t="s">
        <v>115</v>
      </c>
      <c r="G51" s="135">
        <f>G49-H29</f>
        <v>147.25</v>
      </c>
      <c r="H51" s="136"/>
      <c r="I51" s="136"/>
      <c r="J51" s="137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20"/>
      <c r="B52" s="29"/>
      <c r="C52" s="33"/>
      <c r="D52" s="45"/>
      <c r="F52" s="134"/>
      <c r="G52" s="138"/>
      <c r="H52" s="139"/>
      <c r="I52" s="139"/>
      <c r="J52" s="140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1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05" t="s">
        <v>89</v>
      </c>
      <c r="B54" s="106"/>
      <c r="C54" s="107"/>
      <c r="D54" s="111">
        <f>SUM(D34:D53)</f>
        <v>39281.25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08"/>
      <c r="B55" s="109"/>
      <c r="C55" s="110"/>
      <c r="D55" s="11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13" t="s">
        <v>90</v>
      </c>
      <c r="B58" s="114"/>
      <c r="C58" s="114"/>
      <c r="D58" s="115"/>
      <c r="F58" s="113" t="s">
        <v>91</v>
      </c>
      <c r="G58" s="114"/>
      <c r="H58" s="114"/>
      <c r="I58" s="114"/>
      <c r="J58" s="115"/>
    </row>
    <row r="59" spans="1:18" x14ac:dyDescent="0.25">
      <c r="A59" s="116"/>
      <c r="B59" s="117"/>
      <c r="C59" s="117"/>
      <c r="D59" s="118"/>
      <c r="F59" s="116"/>
      <c r="G59" s="117"/>
      <c r="H59" s="117"/>
      <c r="I59" s="117"/>
      <c r="J59" s="118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BA990F-2662-4728-8AD9-2EE9FC3CC267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1" t="s">
        <v>1</v>
      </c>
      <c r="O1" s="201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2" t="s">
        <v>7</v>
      </c>
      <c r="B4" s="153"/>
      <c r="C4" s="153"/>
      <c r="D4" s="154"/>
      <c r="F4" s="202" t="s">
        <v>8</v>
      </c>
      <c r="G4" s="204">
        <v>3</v>
      </c>
      <c r="H4" s="206" t="s">
        <v>9</v>
      </c>
      <c r="I4" s="208">
        <v>46164</v>
      </c>
      <c r="J4" s="20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6" t="s">
        <v>7</v>
      </c>
      <c r="B5" s="15" t="s">
        <v>11</v>
      </c>
      <c r="C5" s="9" t="s">
        <v>12</v>
      </c>
      <c r="D5" s="25" t="s">
        <v>13</v>
      </c>
      <c r="F5" s="203"/>
      <c r="G5" s="205"/>
      <c r="H5" s="207"/>
      <c r="I5" s="210"/>
      <c r="J5" s="21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7"/>
      <c r="B6" s="16" t="s">
        <v>15</v>
      </c>
      <c r="C6" s="10"/>
      <c r="D6" s="13">
        <f t="shared" ref="D6:D28" si="1">C6*L6</f>
        <v>0</v>
      </c>
      <c r="F6" s="212" t="s">
        <v>16</v>
      </c>
      <c r="G6" s="214" t="s">
        <v>117</v>
      </c>
      <c r="H6" s="215"/>
      <c r="I6" s="215"/>
      <c r="J6" s="21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7"/>
      <c r="B7" s="16" t="s">
        <v>18</v>
      </c>
      <c r="C7" s="10"/>
      <c r="D7" s="13">
        <f t="shared" si="1"/>
        <v>0</v>
      </c>
      <c r="F7" s="213"/>
      <c r="G7" s="217"/>
      <c r="H7" s="218"/>
      <c r="I7" s="218"/>
      <c r="J7" s="21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7"/>
      <c r="B8" s="16" t="s">
        <v>20</v>
      </c>
      <c r="C8" s="10"/>
      <c r="D8" s="13">
        <f t="shared" si="1"/>
        <v>0</v>
      </c>
      <c r="F8" s="220" t="s">
        <v>21</v>
      </c>
      <c r="G8" s="221" t="s">
        <v>110</v>
      </c>
      <c r="H8" s="222"/>
      <c r="I8" s="222"/>
      <c r="J8" s="22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7"/>
      <c r="B9" s="16" t="s">
        <v>23</v>
      </c>
      <c r="C9" s="10"/>
      <c r="D9" s="13">
        <f t="shared" si="1"/>
        <v>0</v>
      </c>
      <c r="F9" s="213"/>
      <c r="G9" s="224"/>
      <c r="H9" s="225"/>
      <c r="I9" s="225"/>
      <c r="J9" s="22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7"/>
      <c r="B10" t="s">
        <v>25</v>
      </c>
      <c r="C10" s="10"/>
      <c r="D10" s="13">
        <f t="shared" si="1"/>
        <v>0</v>
      </c>
      <c r="F10" s="212" t="s">
        <v>26</v>
      </c>
      <c r="G10" s="227" t="s">
        <v>124</v>
      </c>
      <c r="H10" s="228"/>
      <c r="I10" s="228"/>
      <c r="J10" s="229"/>
      <c r="K10" s="8"/>
      <c r="L10" s="6">
        <f>R36</f>
        <v>1032</v>
      </c>
      <c r="P10" s="4"/>
      <c r="Q10" s="4"/>
      <c r="R10" s="5"/>
    </row>
    <row r="11" spans="1:18" ht="15.75" x14ac:dyDescent="0.25">
      <c r="A11" s="147"/>
      <c r="B11" s="17" t="s">
        <v>28</v>
      </c>
      <c r="C11" s="10"/>
      <c r="D11" s="13">
        <f t="shared" si="1"/>
        <v>0</v>
      </c>
      <c r="F11" s="213"/>
      <c r="G11" s="224"/>
      <c r="H11" s="225"/>
      <c r="I11" s="225"/>
      <c r="J11" s="22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7"/>
      <c r="B12" s="17" t="s">
        <v>30</v>
      </c>
      <c r="C12" s="10"/>
      <c r="D12" s="48">
        <f t="shared" si="1"/>
        <v>0</v>
      </c>
      <c r="F12" s="230" t="s">
        <v>33</v>
      </c>
      <c r="G12" s="231"/>
      <c r="H12" s="231"/>
      <c r="I12" s="231"/>
      <c r="J12" s="23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7"/>
      <c r="B13" s="17" t="s">
        <v>32</v>
      </c>
      <c r="C13" s="10"/>
      <c r="D13" s="48">
        <f t="shared" si="1"/>
        <v>0</v>
      </c>
      <c r="F13" s="233" t="s">
        <v>36</v>
      </c>
      <c r="G13" s="197"/>
      <c r="H13" s="188">
        <f>D29</f>
        <v>0</v>
      </c>
      <c r="I13" s="189"/>
      <c r="J13" s="19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7"/>
      <c r="B14" s="14" t="s">
        <v>35</v>
      </c>
      <c r="C14" s="10"/>
      <c r="D14" s="31">
        <f t="shared" si="1"/>
        <v>0</v>
      </c>
      <c r="F14" s="191" t="s">
        <v>38</v>
      </c>
      <c r="G14" s="192"/>
      <c r="H14" s="193">
        <f>D54</f>
        <v>0</v>
      </c>
      <c r="I14" s="194"/>
      <c r="J14" s="19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7"/>
      <c r="B15" s="14" t="s">
        <v>122</v>
      </c>
      <c r="C15" s="10"/>
      <c r="D15" s="31">
        <f t="shared" si="1"/>
        <v>0</v>
      </c>
      <c r="F15" s="196" t="s">
        <v>39</v>
      </c>
      <c r="G15" s="197"/>
      <c r="H15" s="198">
        <f>H13-H14</f>
        <v>0</v>
      </c>
      <c r="I15" s="199"/>
      <c r="J15" s="200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7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58"/>
      <c r="I16" s="158"/>
      <c r="J16" s="158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7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69"/>
      <c r="I17" s="169"/>
      <c r="J17" s="169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7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69"/>
      <c r="I18" s="169"/>
      <c r="J18" s="169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7"/>
      <c r="B19" s="87" t="s">
        <v>105</v>
      </c>
      <c r="C19" s="10"/>
      <c r="D19" s="48">
        <f t="shared" si="1"/>
        <v>0</v>
      </c>
      <c r="F19" s="56"/>
      <c r="G19" s="68" t="s">
        <v>49</v>
      </c>
      <c r="H19" s="253"/>
      <c r="I19" s="253"/>
      <c r="J19" s="253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7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58"/>
      <c r="I20" s="158"/>
      <c r="J20" s="158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7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71" t="s">
        <v>13</v>
      </c>
      <c r="I21" s="172"/>
      <c r="J21" s="173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7"/>
      <c r="B22" s="46" t="s">
        <v>103</v>
      </c>
      <c r="C22" s="10"/>
      <c r="D22" s="48">
        <f t="shared" si="1"/>
        <v>0</v>
      </c>
      <c r="F22" s="77"/>
      <c r="G22" s="73"/>
      <c r="H22" s="174"/>
      <c r="I22" s="174"/>
      <c r="J22" s="174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7"/>
      <c r="B23" s="14" t="s">
        <v>121</v>
      </c>
      <c r="C23" s="10"/>
      <c r="D23" s="48">
        <f t="shared" si="1"/>
        <v>0</v>
      </c>
      <c r="F23" s="78"/>
      <c r="G23" s="79"/>
      <c r="H23" s="254"/>
      <c r="I23" s="174"/>
      <c r="J23" s="174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7"/>
      <c r="B24" s="14" t="s">
        <v>128</v>
      </c>
      <c r="C24" s="10"/>
      <c r="D24" s="48">
        <f t="shared" si="1"/>
        <v>0</v>
      </c>
      <c r="F24" s="38"/>
      <c r="G24" s="37"/>
      <c r="H24" s="175"/>
      <c r="I24" s="144"/>
      <c r="J24" s="144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7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76" t="s">
        <v>13</v>
      </c>
      <c r="I25" s="177"/>
      <c r="J25" s="178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7"/>
      <c r="B26" s="14" t="s">
        <v>129</v>
      </c>
      <c r="C26" s="10"/>
      <c r="D26" s="48">
        <f t="shared" si="1"/>
        <v>0</v>
      </c>
      <c r="F26" s="64"/>
      <c r="G26" s="59"/>
      <c r="H26" s="179"/>
      <c r="I26" s="180"/>
      <c r="J26" s="181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7"/>
      <c r="B27" s="14" t="s">
        <v>130</v>
      </c>
      <c r="C27" s="10"/>
      <c r="D27" s="44">
        <f t="shared" si="1"/>
        <v>0</v>
      </c>
      <c r="F27" s="25"/>
      <c r="G27" s="80"/>
      <c r="H27" s="182"/>
      <c r="I27" s="183"/>
      <c r="J27" s="184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8"/>
      <c r="B28" s="46" t="s">
        <v>92</v>
      </c>
      <c r="C28" s="10"/>
      <c r="D28" s="48">
        <f t="shared" si="1"/>
        <v>0</v>
      </c>
      <c r="F28" s="91"/>
      <c r="G28" s="61"/>
      <c r="H28" s="185"/>
      <c r="I28" s="186"/>
      <c r="J28" s="187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9" t="s">
        <v>36</v>
      </c>
      <c r="B29" s="160"/>
      <c r="C29" s="161"/>
      <c r="D29" s="165">
        <f>SUM(D6:D28)</f>
        <v>0</v>
      </c>
      <c r="F29" s="105" t="s">
        <v>54</v>
      </c>
      <c r="G29" s="167"/>
      <c r="H29" s="127">
        <f>H15-H16-H17-H18-H19-H20-H22-H23-H24+H26+H27</f>
        <v>0</v>
      </c>
      <c r="I29" s="128"/>
      <c r="J29" s="129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08"/>
      <c r="G30" s="168"/>
      <c r="H30" s="130"/>
      <c r="I30" s="131"/>
      <c r="J30" s="132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2" t="s">
        <v>57</v>
      </c>
      <c r="B32" s="153"/>
      <c r="C32" s="153"/>
      <c r="D32" s="154"/>
      <c r="F32" s="155" t="s">
        <v>58</v>
      </c>
      <c r="G32" s="156"/>
      <c r="H32" s="156"/>
      <c r="I32" s="156"/>
      <c r="J32" s="157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2" t="s">
        <v>62</v>
      </c>
      <c r="H33" s="155" t="s">
        <v>13</v>
      </c>
      <c r="I33" s="156"/>
      <c r="J33" s="157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6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149">
        <f>F34*G34</f>
        <v>0</v>
      </c>
      <c r="I34" s="150"/>
      <c r="J34" s="151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7"/>
      <c r="B35" s="27" t="s">
        <v>67</v>
      </c>
      <c r="C35" s="52"/>
      <c r="D35" s="30">
        <f>C35*84</f>
        <v>0</v>
      </c>
      <c r="F35" s="58">
        <v>500</v>
      </c>
      <c r="G35" s="41"/>
      <c r="H35" s="149">
        <f>F35*G35</f>
        <v>0</v>
      </c>
      <c r="I35" s="150"/>
      <c r="J35" s="15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8"/>
      <c r="B36" s="26" t="s">
        <v>69</v>
      </c>
      <c r="C36" s="10"/>
      <c r="D36" s="12">
        <f>C36*1.5</f>
        <v>0</v>
      </c>
      <c r="F36" s="12">
        <v>200</v>
      </c>
      <c r="G36" s="37"/>
      <c r="H36" s="149">
        <f t="shared" ref="H36:H39" si="2">F36*G36</f>
        <v>0</v>
      </c>
      <c r="I36" s="150"/>
      <c r="J36" s="151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6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49">
        <f t="shared" si="2"/>
        <v>0</v>
      </c>
      <c r="I37" s="150"/>
      <c r="J37" s="151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7"/>
      <c r="B38" s="29" t="s">
        <v>67</v>
      </c>
      <c r="C38" s="54"/>
      <c r="D38" s="12">
        <f>C38*84</f>
        <v>0</v>
      </c>
      <c r="F38" s="30">
        <v>50</v>
      </c>
      <c r="G38" s="39"/>
      <c r="H38" s="149">
        <f t="shared" si="2"/>
        <v>0</v>
      </c>
      <c r="I38" s="150"/>
      <c r="J38" s="151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8"/>
      <c r="B39" s="29" t="s">
        <v>69</v>
      </c>
      <c r="C39" s="52"/>
      <c r="D39" s="31">
        <f>C39*4.5</f>
        <v>0</v>
      </c>
      <c r="F39" s="12">
        <v>20</v>
      </c>
      <c r="G39" s="37"/>
      <c r="H39" s="149">
        <f t="shared" si="2"/>
        <v>0</v>
      </c>
      <c r="I39" s="150"/>
      <c r="J39" s="15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6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49"/>
      <c r="I40" s="150"/>
      <c r="J40" s="151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7"/>
      <c r="B41" s="27" t="s">
        <v>67</v>
      </c>
      <c r="C41" s="10"/>
      <c r="D41" s="12">
        <f>C41*84</f>
        <v>0</v>
      </c>
      <c r="F41" s="12">
        <v>5</v>
      </c>
      <c r="G41" s="42"/>
      <c r="H41" s="149"/>
      <c r="I41" s="150"/>
      <c r="J41" s="151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8"/>
      <c r="B42" s="27" t="s">
        <v>69</v>
      </c>
      <c r="C42" s="11"/>
      <c r="D42" s="12">
        <f>C42*2.25</f>
        <v>0</v>
      </c>
      <c r="F42" s="39" t="s">
        <v>78</v>
      </c>
      <c r="G42" s="149"/>
      <c r="H42" s="150"/>
      <c r="I42" s="150"/>
      <c r="J42" s="151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19" t="s">
        <v>80</v>
      </c>
      <c r="C43" s="11"/>
      <c r="D43" s="12"/>
      <c r="F43" s="59" t="s">
        <v>81</v>
      </c>
      <c r="G43" s="88" t="s">
        <v>82</v>
      </c>
      <c r="H43" s="141" t="s">
        <v>13</v>
      </c>
      <c r="I43" s="142"/>
      <c r="J43" s="143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20"/>
      <c r="B44" s="27" t="s">
        <v>65</v>
      </c>
      <c r="C44" s="10"/>
      <c r="D44" s="12">
        <f>C44*120</f>
        <v>0</v>
      </c>
      <c r="F44" s="37"/>
      <c r="G44" s="76"/>
      <c r="H44" s="144"/>
      <c r="I44" s="144"/>
      <c r="J44" s="144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20"/>
      <c r="B45" s="27" t="s">
        <v>67</v>
      </c>
      <c r="C45" s="33"/>
      <c r="D45" s="12">
        <f>C45*84</f>
        <v>0</v>
      </c>
      <c r="F45" s="37"/>
      <c r="G45" s="76"/>
      <c r="H45" s="144"/>
      <c r="I45" s="144"/>
      <c r="J45" s="144"/>
      <c r="K45" s="21"/>
      <c r="P45" s="4"/>
      <c r="Q45" s="4"/>
      <c r="R45" s="5"/>
    </row>
    <row r="46" spans="1:18" ht="15.75" x14ac:dyDescent="0.25">
      <c r="A46" s="120"/>
      <c r="B46" s="49" t="s">
        <v>69</v>
      </c>
      <c r="C46" s="81"/>
      <c r="D46" s="12">
        <f>C46*1.5</f>
        <v>0</v>
      </c>
      <c r="F46" s="37"/>
      <c r="G46" s="62"/>
      <c r="H46" s="145"/>
      <c r="I46" s="145"/>
      <c r="J46" s="145"/>
      <c r="K46" s="21"/>
      <c r="P46" s="4"/>
      <c r="Q46" s="4"/>
      <c r="R46" s="5"/>
    </row>
    <row r="47" spans="1:18" ht="15.75" x14ac:dyDescent="0.25">
      <c r="A47" s="121"/>
      <c r="B47" s="27"/>
      <c r="C47" s="11"/>
      <c r="D47" s="12"/>
      <c r="F47" s="59"/>
      <c r="G47" s="59"/>
      <c r="H47" s="122"/>
      <c r="I47" s="123"/>
      <c r="J47" s="124"/>
      <c r="K47" s="21"/>
      <c r="P47" s="4"/>
      <c r="Q47" s="4"/>
      <c r="R47" s="5"/>
    </row>
    <row r="48" spans="1:18" ht="15" customHeight="1" x14ac:dyDescent="0.25">
      <c r="A48" s="119" t="s">
        <v>32</v>
      </c>
      <c r="B48" s="27" t="s">
        <v>65</v>
      </c>
      <c r="C48" s="10"/>
      <c r="D48" s="12">
        <f>C48*78</f>
        <v>0</v>
      </c>
      <c r="F48" s="59"/>
      <c r="G48" s="59"/>
      <c r="H48" s="122"/>
      <c r="I48" s="123"/>
      <c r="J48" s="124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20"/>
      <c r="B49" s="29" t="s">
        <v>67</v>
      </c>
      <c r="C49" s="33"/>
      <c r="D49" s="12">
        <f>C49*42</f>
        <v>0</v>
      </c>
      <c r="F49" s="125" t="s">
        <v>85</v>
      </c>
      <c r="G49" s="127">
        <f>H34+H35+H36+H37+H38+H39+H40+H41+G42+H44+H45+H46</f>
        <v>0</v>
      </c>
      <c r="H49" s="128"/>
      <c r="I49" s="128"/>
      <c r="J49" s="129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0"/>
      <c r="B50" s="32" t="s">
        <v>69</v>
      </c>
      <c r="C50" s="11"/>
      <c r="D50" s="12">
        <f>C50*1.5</f>
        <v>0</v>
      </c>
      <c r="F50" s="126"/>
      <c r="G50" s="130"/>
      <c r="H50" s="131"/>
      <c r="I50" s="131"/>
      <c r="J50" s="132"/>
      <c r="O50" t="s">
        <v>114</v>
      </c>
      <c r="P50" s="4">
        <v>1204</v>
      </c>
      <c r="Q50" s="4"/>
      <c r="R50" s="5"/>
    </row>
    <row r="51" spans="1:18" ht="15" customHeight="1" x14ac:dyDescent="0.25">
      <c r="A51" s="120"/>
      <c r="B51" s="27"/>
      <c r="C51" s="10"/>
      <c r="D51" s="31"/>
      <c r="F51" s="133" t="s">
        <v>115</v>
      </c>
      <c r="G51" s="135">
        <f>G49-H29</f>
        <v>0</v>
      </c>
      <c r="H51" s="136"/>
      <c r="I51" s="136"/>
      <c r="J51" s="137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20"/>
      <c r="B52" s="29"/>
      <c r="C52" s="33"/>
      <c r="D52" s="45"/>
      <c r="F52" s="134"/>
      <c r="G52" s="138"/>
      <c r="H52" s="139"/>
      <c r="I52" s="139"/>
      <c r="J52" s="140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1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05" t="s">
        <v>89</v>
      </c>
      <c r="B54" s="106"/>
      <c r="C54" s="107"/>
      <c r="D54" s="111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08"/>
      <c r="B55" s="109"/>
      <c r="C55" s="110"/>
      <c r="D55" s="11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13" t="s">
        <v>90</v>
      </c>
      <c r="B58" s="114"/>
      <c r="C58" s="114"/>
      <c r="D58" s="115"/>
      <c r="F58" s="113" t="s">
        <v>91</v>
      </c>
      <c r="G58" s="114"/>
      <c r="H58" s="114"/>
      <c r="I58" s="114"/>
      <c r="J58" s="115"/>
    </row>
    <row r="59" spans="1:18" x14ac:dyDescent="0.25">
      <c r="A59" s="116"/>
      <c r="B59" s="117"/>
      <c r="C59" s="117"/>
      <c r="D59" s="118"/>
      <c r="F59" s="116"/>
      <c r="G59" s="117"/>
      <c r="H59" s="117"/>
      <c r="I59" s="117"/>
      <c r="J59" s="118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D9C1C7-AC6A-4226-AFA1-21AC40F5BA86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01" t="s">
        <v>1</v>
      </c>
      <c r="O1" s="201"/>
      <c r="P1" s="90" t="s">
        <v>2</v>
      </c>
      <c r="Q1" s="90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52" t="s">
        <v>7</v>
      </c>
      <c r="B4" s="153"/>
      <c r="C4" s="153"/>
      <c r="D4" s="154"/>
      <c r="F4" s="202" t="s">
        <v>8</v>
      </c>
      <c r="G4" s="204"/>
      <c r="H4" s="206" t="s">
        <v>9</v>
      </c>
      <c r="I4" s="208"/>
      <c r="J4" s="20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46" t="s">
        <v>7</v>
      </c>
      <c r="B5" s="15" t="s">
        <v>11</v>
      </c>
      <c r="C5" s="9" t="s">
        <v>12</v>
      </c>
      <c r="D5" s="25" t="s">
        <v>13</v>
      </c>
      <c r="F5" s="203"/>
      <c r="G5" s="205"/>
      <c r="H5" s="207"/>
      <c r="I5" s="210"/>
      <c r="J5" s="21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47"/>
      <c r="B6" s="16"/>
      <c r="C6" s="10"/>
      <c r="D6" s="13">
        <f t="shared" ref="D6:D28" si="1">C6*L6</f>
        <v>0</v>
      </c>
      <c r="F6" s="212" t="s">
        <v>16</v>
      </c>
      <c r="G6" s="214"/>
      <c r="H6" s="215"/>
      <c r="I6" s="215"/>
      <c r="J6" s="216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47"/>
      <c r="B7" s="16"/>
      <c r="C7" s="10"/>
      <c r="D7" s="13">
        <f t="shared" si="1"/>
        <v>0</v>
      </c>
      <c r="F7" s="213"/>
      <c r="G7" s="217"/>
      <c r="H7" s="218"/>
      <c r="I7" s="218"/>
      <c r="J7" s="219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47"/>
      <c r="B8" s="16"/>
      <c r="C8" s="10"/>
      <c r="D8" s="13">
        <f t="shared" si="1"/>
        <v>0</v>
      </c>
      <c r="F8" s="220" t="s">
        <v>21</v>
      </c>
      <c r="G8" s="221"/>
      <c r="H8" s="222"/>
      <c r="I8" s="222"/>
      <c r="J8" s="223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47"/>
      <c r="B9" s="16"/>
      <c r="C9" s="10"/>
      <c r="D9" s="13">
        <f t="shared" si="1"/>
        <v>0</v>
      </c>
      <c r="F9" s="213"/>
      <c r="G9" s="224"/>
      <c r="H9" s="225"/>
      <c r="I9" s="225"/>
      <c r="J9" s="226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47"/>
      <c r="C10" s="10"/>
      <c r="D10" s="13">
        <f t="shared" si="1"/>
        <v>0</v>
      </c>
      <c r="F10" s="212" t="s">
        <v>26</v>
      </c>
      <c r="G10" s="227"/>
      <c r="H10" s="228"/>
      <c r="I10" s="228"/>
      <c r="J10" s="229"/>
      <c r="K10" s="8"/>
      <c r="L10" s="6">
        <f>R36</f>
        <v>972</v>
      </c>
      <c r="P10" s="4"/>
      <c r="Q10" s="4"/>
      <c r="R10" s="5"/>
    </row>
    <row r="11" spans="1:19" ht="15.75" x14ac:dyDescent="0.25">
      <c r="A11" s="147"/>
      <c r="B11" s="17"/>
      <c r="C11" s="10"/>
      <c r="D11" s="13">
        <f t="shared" si="1"/>
        <v>0</v>
      </c>
      <c r="F11" s="213"/>
      <c r="G11" s="224"/>
      <c r="H11" s="225"/>
      <c r="I11" s="225"/>
      <c r="J11" s="226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47"/>
      <c r="B12" s="17"/>
      <c r="C12" s="10"/>
      <c r="D12" s="48">
        <f t="shared" si="1"/>
        <v>0</v>
      </c>
      <c r="F12" s="230" t="s">
        <v>33</v>
      </c>
      <c r="G12" s="231"/>
      <c r="H12" s="231"/>
      <c r="I12" s="231"/>
      <c r="J12" s="232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47"/>
      <c r="B13" s="17"/>
      <c r="C13" s="10"/>
      <c r="D13" s="48">
        <f t="shared" si="1"/>
        <v>0</v>
      </c>
      <c r="F13" s="233" t="s">
        <v>36</v>
      </c>
      <c r="G13" s="197"/>
      <c r="H13" s="188">
        <f>D29</f>
        <v>0</v>
      </c>
      <c r="I13" s="189"/>
      <c r="J13" s="19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47"/>
      <c r="B14" s="14"/>
      <c r="C14" s="10"/>
      <c r="D14" s="31">
        <f t="shared" si="1"/>
        <v>0</v>
      </c>
      <c r="F14" s="191" t="s">
        <v>38</v>
      </c>
      <c r="G14" s="192"/>
      <c r="H14" s="193">
        <f>D54</f>
        <v>0</v>
      </c>
      <c r="I14" s="194"/>
      <c r="J14" s="19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47"/>
      <c r="B15" s="14"/>
      <c r="C15" s="10"/>
      <c r="D15" s="31">
        <f t="shared" si="1"/>
        <v>0</v>
      </c>
      <c r="F15" s="196" t="s">
        <v>39</v>
      </c>
      <c r="G15" s="197"/>
      <c r="H15" s="198">
        <f>H13-H14</f>
        <v>0</v>
      </c>
      <c r="I15" s="199"/>
      <c r="J15" s="200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47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58"/>
      <c r="I16" s="158"/>
      <c r="J16" s="158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7"/>
      <c r="C17" s="10"/>
      <c r="D17" s="48">
        <f t="shared" si="1"/>
        <v>0</v>
      </c>
      <c r="F17" s="56"/>
      <c r="G17" s="66" t="s">
        <v>44</v>
      </c>
      <c r="H17" s="169"/>
      <c r="I17" s="169"/>
      <c r="J17" s="169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7"/>
      <c r="B18" s="19"/>
      <c r="C18" s="10"/>
      <c r="D18" s="48">
        <f t="shared" si="1"/>
        <v>0</v>
      </c>
      <c r="F18" s="56"/>
      <c r="G18" s="66" t="s">
        <v>46</v>
      </c>
      <c r="H18" s="169"/>
      <c r="I18" s="169"/>
      <c r="J18" s="16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7"/>
      <c r="B19" s="14"/>
      <c r="C19" s="10"/>
      <c r="D19" s="48">
        <f t="shared" si="1"/>
        <v>0</v>
      </c>
      <c r="F19" s="56"/>
      <c r="G19" s="68" t="s">
        <v>49</v>
      </c>
      <c r="H19" s="170"/>
      <c r="I19" s="170"/>
      <c r="J19" s="170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7"/>
      <c r="B20" s="46"/>
      <c r="C20" s="10"/>
      <c r="D20" s="13">
        <f t="shared" si="1"/>
        <v>0</v>
      </c>
      <c r="F20" s="57"/>
      <c r="G20" s="70" t="s">
        <v>102</v>
      </c>
      <c r="H20" s="158"/>
      <c r="I20" s="158"/>
      <c r="J20" s="158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7"/>
      <c r="B21" s="14"/>
      <c r="C21" s="10"/>
      <c r="D21" s="48">
        <f t="shared" si="1"/>
        <v>0</v>
      </c>
      <c r="F21" s="69" t="s">
        <v>94</v>
      </c>
      <c r="G21" s="82" t="s">
        <v>93</v>
      </c>
      <c r="H21" s="171" t="s">
        <v>13</v>
      </c>
      <c r="I21" s="172"/>
      <c r="J21" s="173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7"/>
      <c r="B22" s="46"/>
      <c r="C22" s="10"/>
      <c r="D22" s="48">
        <f t="shared" si="1"/>
        <v>0</v>
      </c>
      <c r="F22" s="77"/>
      <c r="G22" s="73"/>
      <c r="H22" s="174"/>
      <c r="I22" s="174"/>
      <c r="J22" s="174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7"/>
      <c r="B23" s="14"/>
      <c r="C23" s="10"/>
      <c r="D23" s="48">
        <f t="shared" si="1"/>
        <v>0</v>
      </c>
      <c r="F23" s="78"/>
      <c r="G23" s="79"/>
      <c r="H23" s="175"/>
      <c r="I23" s="144"/>
      <c r="J23" s="144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7"/>
      <c r="B24" s="14"/>
      <c r="C24" s="10"/>
      <c r="D24" s="48">
        <f t="shared" si="1"/>
        <v>0</v>
      </c>
      <c r="F24" s="38"/>
      <c r="G24" s="37"/>
      <c r="H24" s="175"/>
      <c r="I24" s="144"/>
      <c r="J24" s="144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7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176" t="s">
        <v>13</v>
      </c>
      <c r="I25" s="177"/>
      <c r="J25" s="178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7"/>
      <c r="B26" s="14"/>
      <c r="C26" s="10"/>
      <c r="D26" s="48">
        <f t="shared" si="1"/>
        <v>0</v>
      </c>
      <c r="F26" s="64"/>
      <c r="G26" s="59"/>
      <c r="H26" s="179"/>
      <c r="I26" s="180"/>
      <c r="J26" s="181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7"/>
      <c r="B27" s="14"/>
      <c r="C27" s="10"/>
      <c r="D27" s="44">
        <f t="shared" si="1"/>
        <v>0</v>
      </c>
      <c r="F27" s="25"/>
      <c r="G27" s="80"/>
      <c r="H27" s="182"/>
      <c r="I27" s="183"/>
      <c r="J27" s="184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8"/>
      <c r="B28" s="46"/>
      <c r="C28" s="10"/>
      <c r="D28" s="48">
        <f t="shared" si="1"/>
        <v>0</v>
      </c>
      <c r="F28" s="91"/>
      <c r="G28" s="61"/>
      <c r="H28" s="185"/>
      <c r="I28" s="186"/>
      <c r="J28" s="187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9" t="s">
        <v>36</v>
      </c>
      <c r="B29" s="160"/>
      <c r="C29" s="161"/>
      <c r="D29" s="165">
        <f>SUM(D6:D28)</f>
        <v>0</v>
      </c>
      <c r="F29" s="105" t="s">
        <v>54</v>
      </c>
      <c r="G29" s="167"/>
      <c r="H29" s="127">
        <f>H15-H16-H17-H18-H19-H20-H22-H23-H24+H26+H27</f>
        <v>0</v>
      </c>
      <c r="I29" s="128"/>
      <c r="J29" s="129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08"/>
      <c r="G30" s="168"/>
      <c r="H30" s="130"/>
      <c r="I30" s="131"/>
      <c r="J30" s="132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52" t="s">
        <v>57</v>
      </c>
      <c r="B32" s="153"/>
      <c r="C32" s="153"/>
      <c r="D32" s="154"/>
      <c r="F32" s="155" t="s">
        <v>58</v>
      </c>
      <c r="G32" s="156"/>
      <c r="H32" s="156"/>
      <c r="I32" s="156"/>
      <c r="J32" s="157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2" t="s">
        <v>62</v>
      </c>
      <c r="H33" s="155" t="s">
        <v>13</v>
      </c>
      <c r="I33" s="156"/>
      <c r="J33" s="157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6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149"/>
      <c r="I34" s="150"/>
      <c r="J34" s="151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7"/>
      <c r="B35" s="27" t="s">
        <v>67</v>
      </c>
      <c r="C35" s="52"/>
      <c r="D35" s="30">
        <f>C35*84</f>
        <v>0</v>
      </c>
      <c r="F35" s="58">
        <v>500</v>
      </c>
      <c r="G35" s="41"/>
      <c r="H35" s="149"/>
      <c r="I35" s="150"/>
      <c r="J35" s="15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8"/>
      <c r="B36" s="26" t="s">
        <v>69</v>
      </c>
      <c r="C36" s="10"/>
      <c r="D36" s="12">
        <f>C36*1.5</f>
        <v>0</v>
      </c>
      <c r="F36" s="12">
        <v>200</v>
      </c>
      <c r="G36" s="37"/>
      <c r="H36" s="149"/>
      <c r="I36" s="150"/>
      <c r="J36" s="151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6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49"/>
      <c r="I37" s="150"/>
      <c r="J37" s="151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7"/>
      <c r="B38" s="29" t="s">
        <v>67</v>
      </c>
      <c r="C38" s="54"/>
      <c r="D38" s="12">
        <f>C38*84</f>
        <v>0</v>
      </c>
      <c r="F38" s="30">
        <v>50</v>
      </c>
      <c r="G38" s="39"/>
      <c r="H38" s="149"/>
      <c r="I38" s="150"/>
      <c r="J38" s="151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8"/>
      <c r="B39" s="29" t="s">
        <v>69</v>
      </c>
      <c r="C39" s="52"/>
      <c r="D39" s="31">
        <f>C39*4.5</f>
        <v>0</v>
      </c>
      <c r="F39" s="12">
        <v>20</v>
      </c>
      <c r="G39" s="37"/>
      <c r="H39" s="149"/>
      <c r="I39" s="150"/>
      <c r="J39" s="15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6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49"/>
      <c r="I40" s="150"/>
      <c r="J40" s="151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7"/>
      <c r="B41" s="27" t="s">
        <v>67</v>
      </c>
      <c r="C41" s="10"/>
      <c r="D41" s="12">
        <f>C41*84</f>
        <v>0</v>
      </c>
      <c r="F41" s="12">
        <v>5</v>
      </c>
      <c r="G41" s="42"/>
      <c r="H41" s="149"/>
      <c r="I41" s="150"/>
      <c r="J41" s="151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8"/>
      <c r="B42" s="27" t="s">
        <v>69</v>
      </c>
      <c r="C42" s="11"/>
      <c r="D42" s="12">
        <f>C42*2.25</f>
        <v>0</v>
      </c>
      <c r="F42" s="39" t="s">
        <v>78</v>
      </c>
      <c r="G42" s="149"/>
      <c r="H42" s="150"/>
      <c r="I42" s="150"/>
      <c r="J42" s="151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19" t="s">
        <v>80</v>
      </c>
      <c r="C43" s="11"/>
      <c r="D43" s="12"/>
      <c r="F43" s="59" t="s">
        <v>81</v>
      </c>
      <c r="G43" s="88" t="s">
        <v>82</v>
      </c>
      <c r="H43" s="141" t="s">
        <v>13</v>
      </c>
      <c r="I43" s="142"/>
      <c r="J43" s="143"/>
      <c r="K43" s="21"/>
      <c r="P43" s="4"/>
      <c r="Q43" s="4"/>
      <c r="R43" s="5"/>
    </row>
    <row r="44" spans="1:18" ht="15.75" x14ac:dyDescent="0.25">
      <c r="A44" s="120"/>
      <c r="B44" s="27" t="s">
        <v>65</v>
      </c>
      <c r="C44" s="10"/>
      <c r="D44" s="12">
        <f>C44*120</f>
        <v>0</v>
      </c>
      <c r="F44" s="37"/>
      <c r="G44" s="76"/>
      <c r="H44" s="144"/>
      <c r="I44" s="144"/>
      <c r="J44" s="144"/>
      <c r="K44" s="21"/>
      <c r="P44" s="4"/>
      <c r="Q44" s="4"/>
      <c r="R44" s="5"/>
    </row>
    <row r="45" spans="1:18" ht="15.75" x14ac:dyDescent="0.25">
      <c r="A45" s="120"/>
      <c r="B45" s="27" t="s">
        <v>67</v>
      </c>
      <c r="C45" s="33"/>
      <c r="D45" s="12">
        <f>C45*84</f>
        <v>0</v>
      </c>
      <c r="F45" s="37"/>
      <c r="G45" s="76"/>
      <c r="H45" s="144"/>
      <c r="I45" s="144"/>
      <c r="J45" s="144"/>
      <c r="K45" s="21"/>
      <c r="P45" s="4"/>
      <c r="Q45" s="4"/>
      <c r="R45" s="5"/>
    </row>
    <row r="46" spans="1:18" ht="15.75" x14ac:dyDescent="0.25">
      <c r="A46" s="120"/>
      <c r="B46" s="49" t="s">
        <v>69</v>
      </c>
      <c r="C46" s="81"/>
      <c r="D46" s="12">
        <f>C46*1.5</f>
        <v>0</v>
      </c>
      <c r="F46" s="37"/>
      <c r="G46" s="62"/>
      <c r="H46" s="145"/>
      <c r="I46" s="145"/>
      <c r="J46" s="145"/>
      <c r="K46" s="21"/>
      <c r="P46" s="4"/>
      <c r="Q46" s="4"/>
      <c r="R46" s="5"/>
    </row>
    <row r="47" spans="1:18" ht="15.75" x14ac:dyDescent="0.25">
      <c r="A47" s="121"/>
      <c r="B47" s="27"/>
      <c r="C47" s="11"/>
      <c r="D47" s="12"/>
      <c r="F47" s="59"/>
      <c r="G47" s="59"/>
      <c r="H47" s="122"/>
      <c r="I47" s="123"/>
      <c r="J47" s="124"/>
      <c r="K47" s="21"/>
      <c r="P47" s="4"/>
      <c r="Q47" s="4"/>
      <c r="R47" s="5"/>
    </row>
    <row r="48" spans="1:18" ht="15" customHeight="1" x14ac:dyDescent="0.25">
      <c r="A48" s="119" t="s">
        <v>32</v>
      </c>
      <c r="B48" s="27" t="s">
        <v>65</v>
      </c>
      <c r="C48" s="10"/>
      <c r="D48" s="12">
        <f>C48*78</f>
        <v>0</v>
      </c>
      <c r="F48" s="59"/>
      <c r="G48" s="59"/>
      <c r="H48" s="122"/>
      <c r="I48" s="123"/>
      <c r="J48" s="124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20"/>
      <c r="B49" s="29" t="s">
        <v>67</v>
      </c>
      <c r="C49" s="33"/>
      <c r="D49" s="12">
        <f>C49*42</f>
        <v>0</v>
      </c>
      <c r="F49" s="125" t="s">
        <v>85</v>
      </c>
      <c r="G49" s="127">
        <f>H34+H35+H36+H37+H38+H39+H40+H41+G42+H44+H45+H46</f>
        <v>0</v>
      </c>
      <c r="H49" s="128"/>
      <c r="I49" s="128"/>
      <c r="J49" s="129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0"/>
      <c r="B50" s="32" t="s">
        <v>69</v>
      </c>
      <c r="C50" s="11"/>
      <c r="D50" s="12">
        <f>C50*1.5</f>
        <v>0</v>
      </c>
      <c r="F50" s="126"/>
      <c r="G50" s="130"/>
      <c r="H50" s="131"/>
      <c r="I50" s="131"/>
      <c r="J50" s="132"/>
      <c r="P50" s="4"/>
      <c r="Q50" s="4"/>
      <c r="R50" s="5"/>
    </row>
    <row r="51" spans="1:18" ht="15" customHeight="1" x14ac:dyDescent="0.25">
      <c r="A51" s="120"/>
      <c r="B51" s="27"/>
      <c r="C51" s="10"/>
      <c r="D51" s="31"/>
      <c r="F51" s="133" t="s">
        <v>106</v>
      </c>
      <c r="G51" s="135">
        <f>G49-H29</f>
        <v>0</v>
      </c>
      <c r="H51" s="136"/>
      <c r="I51" s="136"/>
      <c r="J51" s="137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0"/>
      <c r="B52" s="29"/>
      <c r="C52" s="33"/>
      <c r="D52" s="45"/>
      <c r="F52" s="134"/>
      <c r="G52" s="138"/>
      <c r="H52" s="139"/>
      <c r="I52" s="139"/>
      <c r="J52" s="140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1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05" t="s">
        <v>89</v>
      </c>
      <c r="B54" s="106"/>
      <c r="C54" s="107"/>
      <c r="D54" s="111">
        <f>SUM(D34:D53)</f>
        <v>0</v>
      </c>
      <c r="F54" s="21"/>
      <c r="J54" s="34"/>
    </row>
    <row r="55" spans="1:18" x14ac:dyDescent="0.25">
      <c r="A55" s="108"/>
      <c r="B55" s="109"/>
      <c r="C55" s="110"/>
      <c r="D55" s="11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13" t="s">
        <v>90</v>
      </c>
      <c r="B58" s="114"/>
      <c r="C58" s="114"/>
      <c r="D58" s="115"/>
      <c r="F58" s="113" t="s">
        <v>91</v>
      </c>
      <c r="G58" s="114"/>
      <c r="H58" s="114"/>
      <c r="I58" s="114"/>
      <c r="J58" s="115"/>
    </row>
    <row r="59" spans="1:18" x14ac:dyDescent="0.25">
      <c r="A59" s="116"/>
      <c r="B59" s="117"/>
      <c r="C59" s="117"/>
      <c r="D59" s="118"/>
      <c r="F59" s="116"/>
      <c r="G59" s="117"/>
      <c r="H59" s="117"/>
      <c r="I59" s="117"/>
      <c r="J59" s="118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92AE5A-7381-4C36-98AF-66D237DB2BAF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1" t="s">
        <v>1</v>
      </c>
      <c r="O1" s="201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2" t="s">
        <v>7</v>
      </c>
      <c r="B4" s="153"/>
      <c r="C4" s="153"/>
      <c r="D4" s="154"/>
      <c r="F4" s="202" t="s">
        <v>8</v>
      </c>
      <c r="G4" s="204">
        <v>1</v>
      </c>
      <c r="H4" s="206" t="s">
        <v>9</v>
      </c>
      <c r="I4" s="208">
        <v>46165</v>
      </c>
      <c r="J4" s="20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6" t="s">
        <v>7</v>
      </c>
      <c r="B5" s="15" t="s">
        <v>11</v>
      </c>
      <c r="C5" s="9" t="s">
        <v>12</v>
      </c>
      <c r="D5" s="25" t="s">
        <v>13</v>
      </c>
      <c r="F5" s="203"/>
      <c r="G5" s="205"/>
      <c r="H5" s="207"/>
      <c r="I5" s="210"/>
      <c r="J5" s="21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7"/>
      <c r="B6" s="16" t="s">
        <v>15</v>
      </c>
      <c r="C6" s="10">
        <v>364</v>
      </c>
      <c r="D6" s="13">
        <f t="shared" ref="D6:D28" si="1">C6*L6</f>
        <v>277004</v>
      </c>
      <c r="F6" s="212" t="s">
        <v>16</v>
      </c>
      <c r="G6" s="214" t="s">
        <v>99</v>
      </c>
      <c r="H6" s="215"/>
      <c r="I6" s="215"/>
      <c r="J6" s="21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7"/>
      <c r="B7" s="16" t="s">
        <v>18</v>
      </c>
      <c r="C7" s="10">
        <v>2</v>
      </c>
      <c r="D7" s="13">
        <f t="shared" si="1"/>
        <v>1562</v>
      </c>
      <c r="F7" s="213"/>
      <c r="G7" s="217"/>
      <c r="H7" s="218"/>
      <c r="I7" s="218"/>
      <c r="J7" s="21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7"/>
      <c r="B8" s="16" t="s">
        <v>20</v>
      </c>
      <c r="C8" s="10"/>
      <c r="D8" s="13">
        <f t="shared" si="1"/>
        <v>0</v>
      </c>
      <c r="F8" s="220" t="s">
        <v>21</v>
      </c>
      <c r="G8" s="221" t="s">
        <v>120</v>
      </c>
      <c r="H8" s="222"/>
      <c r="I8" s="222"/>
      <c r="J8" s="22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7"/>
      <c r="B9" s="16" t="s">
        <v>23</v>
      </c>
      <c r="C9" s="10">
        <v>3</v>
      </c>
      <c r="D9" s="13">
        <f t="shared" si="1"/>
        <v>2199</v>
      </c>
      <c r="F9" s="213"/>
      <c r="G9" s="224"/>
      <c r="H9" s="225"/>
      <c r="I9" s="225"/>
      <c r="J9" s="22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7"/>
      <c r="B10" t="s">
        <v>25</v>
      </c>
      <c r="C10" s="10">
        <v>20</v>
      </c>
      <c r="D10" s="13">
        <f t="shared" si="1"/>
        <v>20640</v>
      </c>
      <c r="F10" s="212" t="s">
        <v>26</v>
      </c>
      <c r="G10" s="227" t="s">
        <v>108</v>
      </c>
      <c r="H10" s="228"/>
      <c r="I10" s="228"/>
      <c r="J10" s="229"/>
      <c r="K10" s="8"/>
      <c r="L10" s="6">
        <f>R36</f>
        <v>1032</v>
      </c>
      <c r="P10" s="4"/>
      <c r="Q10" s="4"/>
      <c r="R10" s="5"/>
    </row>
    <row r="11" spans="1:18" ht="15.75" x14ac:dyDescent="0.25">
      <c r="A11" s="147"/>
      <c r="B11" s="17" t="s">
        <v>28</v>
      </c>
      <c r="C11" s="10"/>
      <c r="D11" s="13">
        <f t="shared" si="1"/>
        <v>0</v>
      </c>
      <c r="F11" s="213"/>
      <c r="G11" s="224"/>
      <c r="H11" s="225"/>
      <c r="I11" s="225"/>
      <c r="J11" s="22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7"/>
      <c r="B12" s="17" t="s">
        <v>30</v>
      </c>
      <c r="C12" s="10">
        <v>1</v>
      </c>
      <c r="D12" s="48">
        <f t="shared" si="1"/>
        <v>992</v>
      </c>
      <c r="F12" s="230" t="s">
        <v>33</v>
      </c>
      <c r="G12" s="231"/>
      <c r="H12" s="231"/>
      <c r="I12" s="231"/>
      <c r="J12" s="23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7"/>
      <c r="B13" s="17" t="s">
        <v>32</v>
      </c>
      <c r="C13" s="10">
        <v>5</v>
      </c>
      <c r="D13" s="48">
        <f t="shared" si="1"/>
        <v>1535</v>
      </c>
      <c r="F13" s="233" t="s">
        <v>36</v>
      </c>
      <c r="G13" s="197"/>
      <c r="H13" s="188">
        <f>D29</f>
        <v>305232</v>
      </c>
      <c r="I13" s="189"/>
      <c r="J13" s="19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7"/>
      <c r="B14" s="14" t="s">
        <v>35</v>
      </c>
      <c r="C14" s="10"/>
      <c r="D14" s="31">
        <f t="shared" si="1"/>
        <v>0</v>
      </c>
      <c r="F14" s="191" t="s">
        <v>38</v>
      </c>
      <c r="G14" s="192"/>
      <c r="H14" s="193">
        <f>D54</f>
        <v>89406.75</v>
      </c>
      <c r="I14" s="194"/>
      <c r="J14" s="19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7"/>
      <c r="B15" s="14" t="s">
        <v>122</v>
      </c>
      <c r="C15" s="10"/>
      <c r="D15" s="31">
        <f t="shared" si="1"/>
        <v>0</v>
      </c>
      <c r="F15" s="196" t="s">
        <v>39</v>
      </c>
      <c r="G15" s="197"/>
      <c r="H15" s="198">
        <f>H13-H14</f>
        <v>215825.25</v>
      </c>
      <c r="I15" s="199"/>
      <c r="J15" s="200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7"/>
      <c r="B16" s="18" t="s">
        <v>111</v>
      </c>
      <c r="C16" s="10">
        <v>2</v>
      </c>
      <c r="D16" s="48">
        <f t="shared" si="1"/>
        <v>1300</v>
      </c>
      <c r="F16" s="67" t="s">
        <v>41</v>
      </c>
      <c r="G16" s="66" t="s">
        <v>42</v>
      </c>
      <c r="H16" s="158">
        <v>2070</v>
      </c>
      <c r="I16" s="158"/>
      <c r="J16" s="158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7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69"/>
      <c r="I17" s="169"/>
      <c r="J17" s="169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7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69"/>
      <c r="I18" s="169"/>
      <c r="J18" s="169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7"/>
      <c r="B19" s="83" t="s">
        <v>105</v>
      </c>
      <c r="C19" s="10"/>
      <c r="D19" s="48">
        <f t="shared" si="1"/>
        <v>0</v>
      </c>
      <c r="F19" s="56"/>
      <c r="G19" s="68" t="s">
        <v>49</v>
      </c>
      <c r="H19" s="158"/>
      <c r="I19" s="158"/>
      <c r="J19" s="158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7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58"/>
      <c r="I20" s="158"/>
      <c r="J20" s="158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7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71" t="s">
        <v>13</v>
      </c>
      <c r="I21" s="172"/>
      <c r="J21" s="173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7"/>
      <c r="B22" s="46" t="s">
        <v>103</v>
      </c>
      <c r="C22" s="10"/>
      <c r="D22" s="48">
        <f t="shared" si="1"/>
        <v>0</v>
      </c>
      <c r="F22" s="77"/>
      <c r="G22" s="73"/>
      <c r="H22" s="174"/>
      <c r="I22" s="174"/>
      <c r="J22" s="174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7"/>
      <c r="B23" s="14" t="s">
        <v>121</v>
      </c>
      <c r="C23" s="10"/>
      <c r="D23" s="48">
        <f t="shared" si="1"/>
        <v>0</v>
      </c>
      <c r="F23" s="77"/>
      <c r="G23" s="79"/>
      <c r="H23" s="242"/>
      <c r="I23" s="243"/>
      <c r="J23" s="243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7"/>
      <c r="B24" s="14" t="s">
        <v>128</v>
      </c>
      <c r="C24" s="10"/>
      <c r="D24" s="48">
        <f t="shared" si="1"/>
        <v>0</v>
      </c>
      <c r="F24" s="77"/>
      <c r="G24" s="79"/>
      <c r="H24" s="242"/>
      <c r="I24" s="243"/>
      <c r="J24" s="243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7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76" t="s">
        <v>13</v>
      </c>
      <c r="I25" s="177"/>
      <c r="J25" s="178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7"/>
      <c r="B26" s="14" t="s">
        <v>129</v>
      </c>
      <c r="C26" s="10"/>
      <c r="D26" s="48">
        <f t="shared" si="1"/>
        <v>0</v>
      </c>
      <c r="F26" s="75"/>
      <c r="G26" s="65"/>
      <c r="H26" s="144"/>
      <c r="I26" s="144"/>
      <c r="J26" s="144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7"/>
      <c r="B27" s="14" t="s">
        <v>130</v>
      </c>
      <c r="C27" s="10"/>
      <c r="D27" s="44">
        <f t="shared" si="1"/>
        <v>0</v>
      </c>
      <c r="F27" s="71"/>
      <c r="G27" s="88"/>
      <c r="H27" s="244"/>
      <c r="I27" s="245"/>
      <c r="J27" s="245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8"/>
      <c r="B28" s="46" t="s">
        <v>92</v>
      </c>
      <c r="C28" s="10"/>
      <c r="D28" s="48">
        <f t="shared" si="1"/>
        <v>0</v>
      </c>
      <c r="F28" s="91"/>
      <c r="G28" s="61"/>
      <c r="H28" s="185"/>
      <c r="I28" s="186"/>
      <c r="J28" s="187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9" t="s">
        <v>36</v>
      </c>
      <c r="B29" s="160"/>
      <c r="C29" s="161"/>
      <c r="D29" s="165">
        <f>SUM(D6:D28)</f>
        <v>305232</v>
      </c>
      <c r="F29" s="105" t="s">
        <v>54</v>
      </c>
      <c r="G29" s="167"/>
      <c r="H29" s="127">
        <f>H15-H16-H17-H18-H19-H20-H22-H23-H24+H26+H27+H28</f>
        <v>213755.25</v>
      </c>
      <c r="I29" s="128"/>
      <c r="J29" s="129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08"/>
      <c r="G30" s="168"/>
      <c r="H30" s="130"/>
      <c r="I30" s="131"/>
      <c r="J30" s="132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2" t="s">
        <v>57</v>
      </c>
      <c r="B32" s="153"/>
      <c r="C32" s="153"/>
      <c r="D32" s="154"/>
      <c r="F32" s="155" t="s">
        <v>58</v>
      </c>
      <c r="G32" s="156"/>
      <c r="H32" s="156"/>
      <c r="I32" s="156"/>
      <c r="J32" s="157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2" t="s">
        <v>62</v>
      </c>
      <c r="H33" s="155" t="s">
        <v>13</v>
      </c>
      <c r="I33" s="156"/>
      <c r="J33" s="157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6" t="s">
        <v>64</v>
      </c>
      <c r="B34" s="26" t="s">
        <v>65</v>
      </c>
      <c r="C34" s="51">
        <v>3</v>
      </c>
      <c r="D34" s="30">
        <f>C34*120</f>
        <v>360</v>
      </c>
      <c r="F34" s="12">
        <v>1000</v>
      </c>
      <c r="G34" s="40">
        <v>17</v>
      </c>
      <c r="H34" s="149">
        <f t="shared" ref="H34:H39" si="2">F34*G34</f>
        <v>17000</v>
      </c>
      <c r="I34" s="150"/>
      <c r="J34" s="151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7"/>
      <c r="B35" s="27" t="s">
        <v>67</v>
      </c>
      <c r="C35" s="52"/>
      <c r="D35" s="30">
        <f>C35*84</f>
        <v>0</v>
      </c>
      <c r="F35" s="58">
        <v>500</v>
      </c>
      <c r="G35" s="41">
        <v>8</v>
      </c>
      <c r="H35" s="149">
        <f t="shared" si="2"/>
        <v>4000</v>
      </c>
      <c r="I35" s="150"/>
      <c r="J35" s="15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8"/>
      <c r="B36" s="26" t="s">
        <v>69</v>
      </c>
      <c r="C36" s="10"/>
      <c r="D36" s="12">
        <f>C36*1.5</f>
        <v>0</v>
      </c>
      <c r="F36" s="12">
        <v>200</v>
      </c>
      <c r="G36" s="37"/>
      <c r="H36" s="149">
        <f t="shared" si="2"/>
        <v>0</v>
      </c>
      <c r="I36" s="150"/>
      <c r="J36" s="151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6" t="s">
        <v>71</v>
      </c>
      <c r="B37" s="28" t="s">
        <v>65</v>
      </c>
      <c r="C37" s="53">
        <v>763</v>
      </c>
      <c r="D37" s="12">
        <f>C37*111</f>
        <v>84693</v>
      </c>
      <c r="F37" s="12">
        <v>100</v>
      </c>
      <c r="G37" s="39">
        <v>5</v>
      </c>
      <c r="H37" s="149">
        <f t="shared" si="2"/>
        <v>500</v>
      </c>
      <c r="I37" s="150"/>
      <c r="J37" s="151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7"/>
      <c r="B38" s="29" t="s">
        <v>67</v>
      </c>
      <c r="C38" s="54">
        <v>19</v>
      </c>
      <c r="D38" s="12">
        <f>C38*84</f>
        <v>1596</v>
      </c>
      <c r="F38" s="30">
        <v>50</v>
      </c>
      <c r="G38" s="39">
        <v>2</v>
      </c>
      <c r="H38" s="149">
        <f t="shared" si="2"/>
        <v>100</v>
      </c>
      <c r="I38" s="150"/>
      <c r="J38" s="151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8"/>
      <c r="B39" s="29" t="s">
        <v>69</v>
      </c>
      <c r="C39" s="52">
        <v>4</v>
      </c>
      <c r="D39" s="31">
        <f>C39*4.5</f>
        <v>18</v>
      </c>
      <c r="F39" s="12">
        <v>20</v>
      </c>
      <c r="G39" s="37"/>
      <c r="H39" s="149">
        <f t="shared" si="2"/>
        <v>0</v>
      </c>
      <c r="I39" s="150"/>
      <c r="J39" s="15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6" t="s">
        <v>75</v>
      </c>
      <c r="B40" s="27" t="s">
        <v>65</v>
      </c>
      <c r="C40" s="63">
        <v>1</v>
      </c>
      <c r="D40" s="12">
        <f>C40*111</f>
        <v>111</v>
      </c>
      <c r="F40" s="12">
        <v>10</v>
      </c>
      <c r="G40" s="42"/>
      <c r="H40" s="149"/>
      <c r="I40" s="150"/>
      <c r="J40" s="151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7"/>
      <c r="B41" s="27" t="s">
        <v>67</v>
      </c>
      <c r="C41" s="10">
        <v>1</v>
      </c>
      <c r="D41" s="12">
        <f>C41*84</f>
        <v>84</v>
      </c>
      <c r="F41" s="12">
        <v>5</v>
      </c>
      <c r="G41" s="42"/>
      <c r="H41" s="149"/>
      <c r="I41" s="150"/>
      <c r="J41" s="151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8"/>
      <c r="B42" s="27" t="s">
        <v>69</v>
      </c>
      <c r="C42" s="11">
        <v>5</v>
      </c>
      <c r="D42" s="12">
        <f>C42*2.25</f>
        <v>11.25</v>
      </c>
      <c r="F42" s="39" t="s">
        <v>78</v>
      </c>
      <c r="G42" s="149"/>
      <c r="H42" s="150"/>
      <c r="I42" s="150"/>
      <c r="J42" s="151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19" t="s">
        <v>80</v>
      </c>
      <c r="C43" s="11"/>
      <c r="D43" s="12"/>
      <c r="F43" s="59" t="s">
        <v>81</v>
      </c>
      <c r="G43" s="88" t="s">
        <v>82</v>
      </c>
      <c r="H43" s="141" t="s">
        <v>13</v>
      </c>
      <c r="I43" s="142"/>
      <c r="J43" s="143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20"/>
      <c r="B44" s="27" t="s">
        <v>65</v>
      </c>
      <c r="C44" s="10">
        <v>2</v>
      </c>
      <c r="D44" s="12">
        <f>C44*120</f>
        <v>240</v>
      </c>
      <c r="F44" s="37" t="s">
        <v>136</v>
      </c>
      <c r="G44" s="62" t="s">
        <v>205</v>
      </c>
      <c r="H44" s="144">
        <v>192163</v>
      </c>
      <c r="I44" s="144"/>
      <c r="J44" s="144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20"/>
      <c r="B45" s="27" t="s">
        <v>67</v>
      </c>
      <c r="C45" s="33">
        <v>1</v>
      </c>
      <c r="D45" s="12">
        <f>C45*84</f>
        <v>84</v>
      </c>
      <c r="F45" s="37"/>
      <c r="G45" s="62"/>
      <c r="H45" s="144"/>
      <c r="I45" s="144"/>
      <c r="J45" s="144"/>
      <c r="K45" s="21"/>
      <c r="P45" s="4"/>
      <c r="Q45" s="4"/>
      <c r="R45" s="5"/>
    </row>
    <row r="46" spans="1:18" ht="15.75" x14ac:dyDescent="0.25">
      <c r="A46" s="120"/>
      <c r="B46" s="49" t="s">
        <v>69</v>
      </c>
      <c r="C46" s="81">
        <v>21</v>
      </c>
      <c r="D46" s="12">
        <f>C46*1.5</f>
        <v>31.5</v>
      </c>
      <c r="F46" s="37"/>
      <c r="G46" s="62"/>
      <c r="H46" s="144"/>
      <c r="I46" s="144"/>
      <c r="J46" s="144"/>
      <c r="K46" s="21"/>
      <c r="P46" s="4"/>
      <c r="Q46" s="4"/>
      <c r="R46" s="5"/>
    </row>
    <row r="47" spans="1:18" ht="15.75" x14ac:dyDescent="0.25">
      <c r="A47" s="121"/>
      <c r="B47" s="27"/>
      <c r="C47" s="11"/>
      <c r="D47" s="12"/>
      <c r="F47" s="59"/>
      <c r="G47" s="59"/>
      <c r="H47" s="122"/>
      <c r="I47" s="123"/>
      <c r="J47" s="124"/>
      <c r="K47" s="21"/>
      <c r="P47" s="4"/>
      <c r="Q47" s="4"/>
      <c r="R47" s="5"/>
    </row>
    <row r="48" spans="1:18" ht="15" customHeight="1" x14ac:dyDescent="0.25">
      <c r="A48" s="119" t="s">
        <v>32</v>
      </c>
      <c r="B48" s="27" t="s">
        <v>65</v>
      </c>
      <c r="C48" s="10">
        <v>15</v>
      </c>
      <c r="D48" s="12">
        <f>C48*78</f>
        <v>1170</v>
      </c>
      <c r="F48" s="59"/>
      <c r="G48" s="59"/>
      <c r="H48" s="122"/>
      <c r="I48" s="123"/>
      <c r="J48" s="124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20"/>
      <c r="B49" s="29" t="s">
        <v>67</v>
      </c>
      <c r="C49" s="33">
        <v>24</v>
      </c>
      <c r="D49" s="12">
        <f>C49*42</f>
        <v>1008</v>
      </c>
      <c r="F49" s="125" t="s">
        <v>85</v>
      </c>
      <c r="G49" s="127">
        <f>H34+H35+H36+H37+H38+H39+H40+H41+G42+H44+H45+H46</f>
        <v>213763</v>
      </c>
      <c r="H49" s="128"/>
      <c r="I49" s="128"/>
      <c r="J49" s="129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0"/>
      <c r="B50" s="32" t="s">
        <v>69</v>
      </c>
      <c r="C50" s="11"/>
      <c r="D50" s="12">
        <f>C50*1.5</f>
        <v>0</v>
      </c>
      <c r="F50" s="126"/>
      <c r="G50" s="130"/>
      <c r="H50" s="131"/>
      <c r="I50" s="131"/>
      <c r="J50" s="132"/>
      <c r="O50" t="s">
        <v>114</v>
      </c>
      <c r="P50" s="4">
        <v>1204</v>
      </c>
      <c r="Q50" s="4"/>
      <c r="R50" s="5"/>
    </row>
    <row r="51" spans="1:18" ht="15" customHeight="1" x14ac:dyDescent="0.25">
      <c r="A51" s="120"/>
      <c r="B51" s="27"/>
      <c r="C51" s="10"/>
      <c r="D51" s="31"/>
      <c r="F51" s="133" t="s">
        <v>173</v>
      </c>
      <c r="G51" s="236">
        <f>G49-H29</f>
        <v>7.75</v>
      </c>
      <c r="H51" s="237"/>
      <c r="I51" s="237"/>
      <c r="J51" s="238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20"/>
      <c r="B52" s="29"/>
      <c r="C52" s="33"/>
      <c r="D52" s="45"/>
      <c r="F52" s="134"/>
      <c r="G52" s="239"/>
      <c r="H52" s="240"/>
      <c r="I52" s="240"/>
      <c r="J52" s="241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1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05" t="s">
        <v>89</v>
      </c>
      <c r="B54" s="106"/>
      <c r="C54" s="107"/>
      <c r="D54" s="111">
        <f>SUM(D34:D53)</f>
        <v>89406.75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08"/>
      <c r="B55" s="109"/>
      <c r="C55" s="110"/>
      <c r="D55" s="11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113" t="s">
        <v>90</v>
      </c>
      <c r="B58" s="114"/>
      <c r="C58" s="114"/>
      <c r="D58" s="115"/>
      <c r="F58" s="113" t="s">
        <v>91</v>
      </c>
      <c r="G58" s="114"/>
      <c r="H58" s="114"/>
      <c r="I58" s="114"/>
      <c r="J58" s="115"/>
    </row>
    <row r="59" spans="1:18" x14ac:dyDescent="0.25">
      <c r="A59" s="116"/>
      <c r="B59" s="117"/>
      <c r="C59" s="117"/>
      <c r="D59" s="118"/>
      <c r="F59" s="116"/>
      <c r="G59" s="117"/>
      <c r="H59" s="117"/>
      <c r="I59" s="117"/>
      <c r="J59" s="118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3B6908-EA79-47A0-B22E-6DACC07CB500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1" t="s">
        <v>1</v>
      </c>
      <c r="O1" s="201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2" t="s">
        <v>7</v>
      </c>
      <c r="B4" s="153"/>
      <c r="C4" s="153"/>
      <c r="D4" s="154"/>
      <c r="F4" s="202" t="s">
        <v>8</v>
      </c>
      <c r="G4" s="204">
        <v>2</v>
      </c>
      <c r="H4" s="206" t="s">
        <v>9</v>
      </c>
      <c r="I4" s="208">
        <v>46165</v>
      </c>
      <c r="J4" s="20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6" t="s">
        <v>7</v>
      </c>
      <c r="B5" s="15" t="s">
        <v>11</v>
      </c>
      <c r="C5" s="9" t="s">
        <v>12</v>
      </c>
      <c r="D5" s="25" t="s">
        <v>13</v>
      </c>
      <c r="F5" s="203"/>
      <c r="G5" s="205"/>
      <c r="H5" s="207"/>
      <c r="I5" s="210"/>
      <c r="J5" s="21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7"/>
      <c r="B6" s="16" t="s">
        <v>15</v>
      </c>
      <c r="C6" s="10">
        <v>274</v>
      </c>
      <c r="D6" s="13">
        <f t="shared" ref="D6:D28" si="1">C6*L6</f>
        <v>208514</v>
      </c>
      <c r="F6" s="212" t="s">
        <v>16</v>
      </c>
      <c r="G6" s="214" t="s">
        <v>107</v>
      </c>
      <c r="H6" s="215"/>
      <c r="I6" s="215"/>
      <c r="J6" s="21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7"/>
      <c r="B7" s="16" t="s">
        <v>18</v>
      </c>
      <c r="C7" s="10">
        <v>11</v>
      </c>
      <c r="D7" s="13">
        <f t="shared" si="1"/>
        <v>8591</v>
      </c>
      <c r="F7" s="213"/>
      <c r="G7" s="217"/>
      <c r="H7" s="218"/>
      <c r="I7" s="218"/>
      <c r="J7" s="21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7"/>
      <c r="B8" s="16" t="s">
        <v>20</v>
      </c>
      <c r="C8" s="10"/>
      <c r="D8" s="13">
        <f t="shared" si="1"/>
        <v>0</v>
      </c>
      <c r="F8" s="220" t="s">
        <v>21</v>
      </c>
      <c r="G8" s="221" t="s">
        <v>100</v>
      </c>
      <c r="H8" s="222"/>
      <c r="I8" s="222"/>
      <c r="J8" s="22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7"/>
      <c r="B9" s="16" t="s">
        <v>23</v>
      </c>
      <c r="C9" s="10">
        <v>12</v>
      </c>
      <c r="D9" s="13">
        <f t="shared" si="1"/>
        <v>8796</v>
      </c>
      <c r="F9" s="213"/>
      <c r="G9" s="224"/>
      <c r="H9" s="225"/>
      <c r="I9" s="225"/>
      <c r="J9" s="22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7"/>
      <c r="B10" t="s">
        <v>25</v>
      </c>
      <c r="C10" s="10"/>
      <c r="D10" s="13">
        <f t="shared" si="1"/>
        <v>0</v>
      </c>
      <c r="F10" s="212" t="s">
        <v>26</v>
      </c>
      <c r="G10" s="227" t="s">
        <v>101</v>
      </c>
      <c r="H10" s="228"/>
      <c r="I10" s="228"/>
      <c r="J10" s="229"/>
      <c r="K10" s="8"/>
      <c r="L10" s="6">
        <f>R36</f>
        <v>1032</v>
      </c>
      <c r="P10" s="4"/>
      <c r="Q10" s="4"/>
      <c r="R10" s="5"/>
    </row>
    <row r="11" spans="1:18" ht="15.75" x14ac:dyDescent="0.25">
      <c r="A11" s="147"/>
      <c r="B11" s="17" t="s">
        <v>28</v>
      </c>
      <c r="C11" s="10"/>
      <c r="D11" s="13">
        <f t="shared" si="1"/>
        <v>0</v>
      </c>
      <c r="F11" s="213"/>
      <c r="G11" s="224"/>
      <c r="H11" s="225"/>
      <c r="I11" s="225"/>
      <c r="J11" s="22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7"/>
      <c r="B12" s="17" t="s">
        <v>30</v>
      </c>
      <c r="C12" s="10">
        <v>2</v>
      </c>
      <c r="D12" s="48">
        <f t="shared" si="1"/>
        <v>1984</v>
      </c>
      <c r="F12" s="230" t="s">
        <v>33</v>
      </c>
      <c r="G12" s="231"/>
      <c r="H12" s="231"/>
      <c r="I12" s="231"/>
      <c r="J12" s="23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7"/>
      <c r="B13" s="17" t="s">
        <v>32</v>
      </c>
      <c r="C13" s="10">
        <v>10</v>
      </c>
      <c r="D13" s="48">
        <f t="shared" si="1"/>
        <v>3070</v>
      </c>
      <c r="F13" s="233" t="s">
        <v>36</v>
      </c>
      <c r="G13" s="197"/>
      <c r="H13" s="188">
        <f>D29</f>
        <v>231087</v>
      </c>
      <c r="I13" s="189"/>
      <c r="J13" s="19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7"/>
      <c r="B14" s="14" t="s">
        <v>35</v>
      </c>
      <c r="C14" s="10">
        <v>12</v>
      </c>
      <c r="D14" s="31">
        <f t="shared" si="1"/>
        <v>132</v>
      </c>
      <c r="F14" s="191" t="s">
        <v>38</v>
      </c>
      <c r="G14" s="192"/>
      <c r="H14" s="193">
        <f>D54</f>
        <v>31207.5</v>
      </c>
      <c r="I14" s="194"/>
      <c r="J14" s="19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7"/>
      <c r="B15" s="14" t="s">
        <v>122</v>
      </c>
      <c r="C15" s="10"/>
      <c r="D15" s="31">
        <f t="shared" si="1"/>
        <v>0</v>
      </c>
      <c r="F15" s="196" t="s">
        <v>39</v>
      </c>
      <c r="G15" s="197"/>
      <c r="H15" s="198">
        <f>H13-H14</f>
        <v>199879.5</v>
      </c>
      <c r="I15" s="199"/>
      <c r="J15" s="200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7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58">
        <f>1356</f>
        <v>1356</v>
      </c>
      <c r="I16" s="158"/>
      <c r="J16" s="158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7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69"/>
      <c r="I17" s="169"/>
      <c r="J17" s="169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7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69"/>
      <c r="I18" s="169"/>
      <c r="J18" s="169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7"/>
      <c r="B19" s="87" t="s">
        <v>105</v>
      </c>
      <c r="C19" s="10"/>
      <c r="D19" s="48">
        <f t="shared" si="1"/>
        <v>0</v>
      </c>
      <c r="F19" s="56"/>
      <c r="G19" s="68" t="s">
        <v>49</v>
      </c>
      <c r="H19" s="253"/>
      <c r="I19" s="253"/>
      <c r="J19" s="253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7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58"/>
      <c r="I20" s="158"/>
      <c r="J20" s="158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7"/>
      <c r="B21" s="14" t="s">
        <v>183</v>
      </c>
      <c r="C21" s="10"/>
      <c r="D21" s="48">
        <f t="shared" si="1"/>
        <v>0</v>
      </c>
      <c r="F21" s="69" t="s">
        <v>94</v>
      </c>
      <c r="G21" s="82" t="s">
        <v>93</v>
      </c>
      <c r="H21" s="171" t="s">
        <v>13</v>
      </c>
      <c r="I21" s="172"/>
      <c r="J21" s="173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7"/>
      <c r="B22" s="46" t="s">
        <v>103</v>
      </c>
      <c r="C22" s="10"/>
      <c r="D22" s="48">
        <f t="shared" si="1"/>
        <v>0</v>
      </c>
      <c r="F22" s="77"/>
      <c r="G22" s="73"/>
      <c r="H22" s="174"/>
      <c r="I22" s="174"/>
      <c r="J22" s="174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7"/>
      <c r="B23" s="14" t="s">
        <v>121</v>
      </c>
      <c r="C23" s="10"/>
      <c r="D23" s="48">
        <f t="shared" si="1"/>
        <v>0</v>
      </c>
      <c r="F23" s="78"/>
      <c r="G23" s="79"/>
      <c r="H23" s="254"/>
      <c r="I23" s="174"/>
      <c r="J23" s="174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7"/>
      <c r="B24" s="14" t="s">
        <v>128</v>
      </c>
      <c r="C24" s="10"/>
      <c r="D24" s="48">
        <f t="shared" si="1"/>
        <v>0</v>
      </c>
      <c r="F24" s="38"/>
      <c r="G24" s="37"/>
      <c r="H24" s="175"/>
      <c r="I24" s="144"/>
      <c r="J24" s="144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7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76" t="s">
        <v>13</v>
      </c>
      <c r="I25" s="177"/>
      <c r="J25" s="178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7"/>
      <c r="B26" s="14" t="s">
        <v>129</v>
      </c>
      <c r="C26" s="10"/>
      <c r="D26" s="48">
        <f t="shared" si="1"/>
        <v>0</v>
      </c>
      <c r="F26" s="64"/>
      <c r="G26" s="59"/>
      <c r="H26" s="179"/>
      <c r="I26" s="180"/>
      <c r="J26" s="181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7"/>
      <c r="B27" s="14" t="s">
        <v>130</v>
      </c>
      <c r="C27" s="10"/>
      <c r="D27" s="44">
        <f t="shared" si="1"/>
        <v>0</v>
      </c>
      <c r="F27" s="25"/>
      <c r="G27" s="80"/>
      <c r="H27" s="182"/>
      <c r="I27" s="183"/>
      <c r="J27" s="184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8"/>
      <c r="B28" s="46" t="s">
        <v>92</v>
      </c>
      <c r="C28" s="10"/>
      <c r="D28" s="48">
        <f t="shared" si="1"/>
        <v>0</v>
      </c>
      <c r="F28" s="91"/>
      <c r="G28" s="61"/>
      <c r="H28" s="185"/>
      <c r="I28" s="186"/>
      <c r="J28" s="187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9" t="s">
        <v>36</v>
      </c>
      <c r="B29" s="160"/>
      <c r="C29" s="161"/>
      <c r="D29" s="165">
        <f>SUM(D6:D28)</f>
        <v>231087</v>
      </c>
      <c r="F29" s="105" t="s">
        <v>54</v>
      </c>
      <c r="G29" s="167"/>
      <c r="H29" s="127">
        <f>H15-H16-H17-H18-H19-H20-H22-H23-H24+H26+H27</f>
        <v>198523.5</v>
      </c>
      <c r="I29" s="128"/>
      <c r="J29" s="129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08"/>
      <c r="G30" s="168"/>
      <c r="H30" s="130"/>
      <c r="I30" s="131"/>
      <c r="J30" s="132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2" t="s">
        <v>57</v>
      </c>
      <c r="B32" s="153"/>
      <c r="C32" s="153"/>
      <c r="D32" s="154"/>
      <c r="F32" s="155" t="s">
        <v>58</v>
      </c>
      <c r="G32" s="156"/>
      <c r="H32" s="156"/>
      <c r="I32" s="156"/>
      <c r="J32" s="157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2" t="s">
        <v>62</v>
      </c>
      <c r="H33" s="155" t="s">
        <v>13</v>
      </c>
      <c r="I33" s="156"/>
      <c r="J33" s="157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6" t="s">
        <v>64</v>
      </c>
      <c r="B34" s="26" t="s">
        <v>65</v>
      </c>
      <c r="C34" s="51">
        <v>1</v>
      </c>
      <c r="D34" s="30">
        <f>C34*120</f>
        <v>120</v>
      </c>
      <c r="F34" s="12">
        <v>1000</v>
      </c>
      <c r="G34" s="74">
        <v>41</v>
      </c>
      <c r="H34" s="149">
        <f>F34*G34</f>
        <v>41000</v>
      </c>
      <c r="I34" s="150"/>
      <c r="J34" s="151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7"/>
      <c r="B35" s="27" t="s">
        <v>67</v>
      </c>
      <c r="C35" s="52"/>
      <c r="D35" s="30">
        <f>C35*84</f>
        <v>0</v>
      </c>
      <c r="F35" s="58">
        <v>500</v>
      </c>
      <c r="G35" s="41">
        <v>7</v>
      </c>
      <c r="H35" s="149">
        <f>F35*G35</f>
        <v>3500</v>
      </c>
      <c r="I35" s="150"/>
      <c r="J35" s="15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8"/>
      <c r="B36" s="26" t="s">
        <v>69</v>
      </c>
      <c r="C36" s="10"/>
      <c r="D36" s="12">
        <f>C36*1.5</f>
        <v>0</v>
      </c>
      <c r="F36" s="12">
        <v>200</v>
      </c>
      <c r="G36" s="37"/>
      <c r="H36" s="149">
        <f t="shared" ref="H36:H39" si="2">F36*G36</f>
        <v>0</v>
      </c>
      <c r="I36" s="150"/>
      <c r="J36" s="151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6" t="s">
        <v>71</v>
      </c>
      <c r="B37" s="28" t="s">
        <v>65</v>
      </c>
      <c r="C37" s="53">
        <v>244</v>
      </c>
      <c r="D37" s="12">
        <f>C37*111</f>
        <v>27084</v>
      </c>
      <c r="F37" s="12">
        <v>100</v>
      </c>
      <c r="G37" s="39">
        <v>1</v>
      </c>
      <c r="H37" s="149">
        <f t="shared" si="2"/>
        <v>100</v>
      </c>
      <c r="I37" s="150"/>
      <c r="J37" s="151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7"/>
      <c r="B38" s="29" t="s">
        <v>67</v>
      </c>
      <c r="C38" s="54">
        <v>3</v>
      </c>
      <c r="D38" s="12">
        <f>C38*84</f>
        <v>252</v>
      </c>
      <c r="F38" s="30">
        <v>50</v>
      </c>
      <c r="G38" s="39"/>
      <c r="H38" s="149">
        <f t="shared" si="2"/>
        <v>0</v>
      </c>
      <c r="I38" s="150"/>
      <c r="J38" s="151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8"/>
      <c r="B39" s="29" t="s">
        <v>69</v>
      </c>
      <c r="C39" s="52">
        <v>6</v>
      </c>
      <c r="D39" s="31">
        <f>C39*4.5</f>
        <v>27</v>
      </c>
      <c r="F39" s="12">
        <v>20</v>
      </c>
      <c r="G39" s="37"/>
      <c r="H39" s="149">
        <f t="shared" si="2"/>
        <v>0</v>
      </c>
      <c r="I39" s="150"/>
      <c r="J39" s="15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6" t="s">
        <v>75</v>
      </c>
      <c r="B40" s="27" t="s">
        <v>65</v>
      </c>
      <c r="C40" s="63">
        <v>8</v>
      </c>
      <c r="D40" s="12">
        <f>C40*111</f>
        <v>888</v>
      </c>
      <c r="F40" s="12">
        <v>10</v>
      </c>
      <c r="G40" s="42"/>
      <c r="H40" s="149"/>
      <c r="I40" s="150"/>
      <c r="J40" s="151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7"/>
      <c r="B41" s="27" t="s">
        <v>67</v>
      </c>
      <c r="C41" s="10">
        <v>1</v>
      </c>
      <c r="D41" s="12">
        <f>C41*84</f>
        <v>84</v>
      </c>
      <c r="F41" s="12">
        <v>5</v>
      </c>
      <c r="G41" s="42"/>
      <c r="H41" s="149"/>
      <c r="I41" s="150"/>
      <c r="J41" s="151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8"/>
      <c r="B42" s="27" t="s">
        <v>69</v>
      </c>
      <c r="C42" s="11">
        <v>20</v>
      </c>
      <c r="D42" s="12">
        <f>C42*2.25</f>
        <v>45</v>
      </c>
      <c r="F42" s="39" t="s">
        <v>78</v>
      </c>
      <c r="G42" s="149">
        <v>42</v>
      </c>
      <c r="H42" s="150"/>
      <c r="I42" s="150"/>
      <c r="J42" s="151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19" t="s">
        <v>80</v>
      </c>
      <c r="C43" s="11"/>
      <c r="D43" s="12"/>
      <c r="F43" s="59" t="s">
        <v>81</v>
      </c>
      <c r="G43" s="88" t="s">
        <v>82</v>
      </c>
      <c r="H43" s="141" t="s">
        <v>13</v>
      </c>
      <c r="I43" s="142"/>
      <c r="J43" s="143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20"/>
      <c r="B44" s="27" t="s">
        <v>65</v>
      </c>
      <c r="C44" s="10">
        <v>9</v>
      </c>
      <c r="D44" s="12">
        <f>C44*120</f>
        <v>1080</v>
      </c>
      <c r="F44" s="37" t="s">
        <v>132</v>
      </c>
      <c r="G44" s="62" t="s">
        <v>206</v>
      </c>
      <c r="H44" s="144">
        <v>154005</v>
      </c>
      <c r="I44" s="144"/>
      <c r="J44" s="144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20"/>
      <c r="B45" s="27" t="s">
        <v>67</v>
      </c>
      <c r="C45" s="33"/>
      <c r="D45" s="12">
        <f>C45*84</f>
        <v>0</v>
      </c>
      <c r="F45" s="37"/>
      <c r="G45" s="76"/>
      <c r="H45" s="144"/>
      <c r="I45" s="144"/>
      <c r="J45" s="144"/>
      <c r="K45" s="21"/>
      <c r="P45" s="4"/>
      <c r="Q45" s="4"/>
      <c r="R45" s="5"/>
    </row>
    <row r="46" spans="1:18" ht="15.75" x14ac:dyDescent="0.25">
      <c r="A46" s="120"/>
      <c r="B46" s="49" t="s">
        <v>69</v>
      </c>
      <c r="C46" s="81">
        <v>2</v>
      </c>
      <c r="D46" s="12">
        <f>C46*1.5</f>
        <v>3</v>
      </c>
      <c r="F46" s="37"/>
      <c r="G46" s="62"/>
      <c r="H46" s="145"/>
      <c r="I46" s="145"/>
      <c r="J46" s="145"/>
      <c r="K46" s="21"/>
      <c r="P46" s="4"/>
      <c r="Q46" s="4"/>
      <c r="R46" s="5"/>
    </row>
    <row r="47" spans="1:18" ht="15.75" x14ac:dyDescent="0.25">
      <c r="A47" s="121"/>
      <c r="B47" s="27"/>
      <c r="C47" s="11"/>
      <c r="D47" s="12"/>
      <c r="F47" s="59"/>
      <c r="G47" s="59"/>
      <c r="H47" s="122"/>
      <c r="I47" s="123"/>
      <c r="J47" s="124"/>
      <c r="K47" s="21"/>
      <c r="P47" s="4"/>
      <c r="Q47" s="4"/>
      <c r="R47" s="5"/>
    </row>
    <row r="48" spans="1:18" ht="15" customHeight="1" x14ac:dyDescent="0.25">
      <c r="A48" s="119" t="s">
        <v>32</v>
      </c>
      <c r="B48" s="27" t="s">
        <v>65</v>
      </c>
      <c r="C48" s="10">
        <v>11</v>
      </c>
      <c r="D48" s="12">
        <f>C48*78</f>
        <v>858</v>
      </c>
      <c r="F48" s="59"/>
      <c r="G48" s="59"/>
      <c r="H48" s="122"/>
      <c r="I48" s="123"/>
      <c r="J48" s="124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20"/>
      <c r="B49" s="29" t="s">
        <v>67</v>
      </c>
      <c r="C49" s="33">
        <v>17</v>
      </c>
      <c r="D49" s="12">
        <f>C49*42</f>
        <v>714</v>
      </c>
      <c r="F49" s="125" t="s">
        <v>85</v>
      </c>
      <c r="G49" s="127">
        <f>H34+H35+H36+H37+H38+H39+H40+H41+G42+H44+H45+H46</f>
        <v>198647</v>
      </c>
      <c r="H49" s="128"/>
      <c r="I49" s="128"/>
      <c r="J49" s="129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0"/>
      <c r="B50" s="32" t="s">
        <v>69</v>
      </c>
      <c r="C50" s="81">
        <v>35</v>
      </c>
      <c r="D50" s="12">
        <f>C50*1.5</f>
        <v>52.5</v>
      </c>
      <c r="F50" s="126"/>
      <c r="G50" s="130"/>
      <c r="H50" s="131"/>
      <c r="I50" s="131"/>
      <c r="J50" s="132"/>
      <c r="O50" t="s">
        <v>114</v>
      </c>
      <c r="P50" s="4">
        <v>1204</v>
      </c>
      <c r="Q50" s="4"/>
      <c r="R50" s="5"/>
    </row>
    <row r="51" spans="1:18" ht="15" customHeight="1" x14ac:dyDescent="0.25">
      <c r="A51" s="120"/>
      <c r="B51" s="27"/>
      <c r="C51" s="10"/>
      <c r="D51" s="31"/>
      <c r="F51" s="133" t="s">
        <v>115</v>
      </c>
      <c r="G51" s="135">
        <f>G49-H29</f>
        <v>123.5</v>
      </c>
      <c r="H51" s="136"/>
      <c r="I51" s="136"/>
      <c r="J51" s="137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20"/>
      <c r="B52" s="29"/>
      <c r="C52" s="33"/>
      <c r="D52" s="45"/>
      <c r="F52" s="134"/>
      <c r="G52" s="138"/>
      <c r="H52" s="139"/>
      <c r="I52" s="139"/>
      <c r="J52" s="140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1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05" t="s">
        <v>89</v>
      </c>
      <c r="B54" s="106"/>
      <c r="C54" s="107"/>
      <c r="D54" s="111">
        <f>SUM(D34:D53)</f>
        <v>31207.5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08"/>
      <c r="B55" s="109"/>
      <c r="C55" s="110"/>
      <c r="D55" s="11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13" t="s">
        <v>90</v>
      </c>
      <c r="B58" s="114"/>
      <c r="C58" s="114"/>
      <c r="D58" s="115"/>
      <c r="F58" s="113" t="s">
        <v>91</v>
      </c>
      <c r="G58" s="114"/>
      <c r="H58" s="114"/>
      <c r="I58" s="114"/>
      <c r="J58" s="115"/>
    </row>
    <row r="59" spans="1:18" x14ac:dyDescent="0.25">
      <c r="A59" s="116"/>
      <c r="B59" s="117"/>
      <c r="C59" s="117"/>
      <c r="D59" s="118"/>
      <c r="F59" s="116"/>
      <c r="G59" s="117"/>
      <c r="H59" s="117"/>
      <c r="I59" s="117"/>
      <c r="J59" s="118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7AA42A-A3D8-4551-9DF3-EBAB7019BAA8}">
  <dimension ref="A1:R59"/>
  <sheetViews>
    <sheetView topLeftCell="A19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1" t="s">
        <v>1</v>
      </c>
      <c r="O1" s="201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2" t="s">
        <v>7</v>
      </c>
      <c r="B4" s="153"/>
      <c r="C4" s="153"/>
      <c r="D4" s="154"/>
      <c r="F4" s="202" t="s">
        <v>8</v>
      </c>
      <c r="G4" s="204">
        <v>3</v>
      </c>
      <c r="H4" s="206" t="s">
        <v>9</v>
      </c>
      <c r="I4" s="208">
        <v>46165</v>
      </c>
      <c r="J4" s="20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6" t="s">
        <v>7</v>
      </c>
      <c r="B5" s="15" t="s">
        <v>11</v>
      </c>
      <c r="C5" s="9" t="s">
        <v>12</v>
      </c>
      <c r="D5" s="25" t="s">
        <v>13</v>
      </c>
      <c r="F5" s="203"/>
      <c r="G5" s="205"/>
      <c r="H5" s="207"/>
      <c r="I5" s="210"/>
      <c r="J5" s="21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7"/>
      <c r="B6" s="16" t="s">
        <v>15</v>
      </c>
      <c r="C6" s="10">
        <v>665</v>
      </c>
      <c r="D6" s="13">
        <f t="shared" ref="D6:D28" si="1">C6*L6</f>
        <v>506065</v>
      </c>
      <c r="F6" s="212" t="s">
        <v>16</v>
      </c>
      <c r="G6" s="214" t="s">
        <v>117</v>
      </c>
      <c r="H6" s="215"/>
      <c r="I6" s="215"/>
      <c r="J6" s="21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7"/>
      <c r="B7" s="16" t="s">
        <v>18</v>
      </c>
      <c r="C7" s="10">
        <v>20</v>
      </c>
      <c r="D7" s="13">
        <f t="shared" si="1"/>
        <v>15620</v>
      </c>
      <c r="F7" s="213"/>
      <c r="G7" s="217"/>
      <c r="H7" s="218"/>
      <c r="I7" s="218"/>
      <c r="J7" s="21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7"/>
      <c r="B8" s="16" t="s">
        <v>20</v>
      </c>
      <c r="C8" s="10"/>
      <c r="D8" s="13">
        <f t="shared" si="1"/>
        <v>0</v>
      </c>
      <c r="F8" s="220" t="s">
        <v>21</v>
      </c>
      <c r="G8" s="221" t="s">
        <v>110</v>
      </c>
      <c r="H8" s="222"/>
      <c r="I8" s="222"/>
      <c r="J8" s="22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7"/>
      <c r="B9" s="16" t="s">
        <v>23</v>
      </c>
      <c r="C9" s="10">
        <v>1</v>
      </c>
      <c r="D9" s="13">
        <f t="shared" si="1"/>
        <v>733</v>
      </c>
      <c r="F9" s="213"/>
      <c r="G9" s="224"/>
      <c r="H9" s="225"/>
      <c r="I9" s="225"/>
      <c r="J9" s="22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7"/>
      <c r="B10" t="s">
        <v>25</v>
      </c>
      <c r="C10" s="10"/>
      <c r="D10" s="13">
        <f t="shared" si="1"/>
        <v>0</v>
      </c>
      <c r="F10" s="212" t="s">
        <v>26</v>
      </c>
      <c r="G10" s="227" t="s">
        <v>124</v>
      </c>
      <c r="H10" s="228"/>
      <c r="I10" s="228"/>
      <c r="J10" s="229"/>
      <c r="K10" s="8"/>
      <c r="L10" s="6">
        <f>R36</f>
        <v>1032</v>
      </c>
      <c r="P10" s="4"/>
      <c r="Q10" s="4"/>
      <c r="R10" s="5"/>
    </row>
    <row r="11" spans="1:18" ht="15.75" x14ac:dyDescent="0.25">
      <c r="A11" s="147"/>
      <c r="B11" s="17" t="s">
        <v>28</v>
      </c>
      <c r="C11" s="10">
        <v>5</v>
      </c>
      <c r="D11" s="13">
        <f t="shared" si="1"/>
        <v>5850</v>
      </c>
      <c r="F11" s="213"/>
      <c r="G11" s="224"/>
      <c r="H11" s="225"/>
      <c r="I11" s="225"/>
      <c r="J11" s="22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7"/>
      <c r="B12" s="17" t="s">
        <v>30</v>
      </c>
      <c r="C12" s="10">
        <v>8</v>
      </c>
      <c r="D12" s="48">
        <f t="shared" si="1"/>
        <v>7936</v>
      </c>
      <c r="F12" s="230" t="s">
        <v>33</v>
      </c>
      <c r="G12" s="231"/>
      <c r="H12" s="231"/>
      <c r="I12" s="231"/>
      <c r="J12" s="23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7"/>
      <c r="B13" s="17" t="s">
        <v>32</v>
      </c>
      <c r="C13" s="10">
        <v>19</v>
      </c>
      <c r="D13" s="48">
        <f t="shared" si="1"/>
        <v>5833</v>
      </c>
      <c r="F13" s="233" t="s">
        <v>36</v>
      </c>
      <c r="G13" s="197"/>
      <c r="H13" s="188">
        <f>D29</f>
        <v>542169</v>
      </c>
      <c r="I13" s="189"/>
      <c r="J13" s="19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7"/>
      <c r="B14" s="14" t="s">
        <v>35</v>
      </c>
      <c r="C14" s="10">
        <v>12</v>
      </c>
      <c r="D14" s="31">
        <f t="shared" si="1"/>
        <v>132</v>
      </c>
      <c r="F14" s="191" t="s">
        <v>38</v>
      </c>
      <c r="G14" s="192"/>
      <c r="H14" s="193">
        <f>D54</f>
        <v>85605.75</v>
      </c>
      <c r="I14" s="194"/>
      <c r="J14" s="19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7"/>
      <c r="B15" s="14" t="s">
        <v>122</v>
      </c>
      <c r="C15" s="10"/>
      <c r="D15" s="31">
        <f t="shared" si="1"/>
        <v>0</v>
      </c>
      <c r="F15" s="196" t="s">
        <v>39</v>
      </c>
      <c r="G15" s="197"/>
      <c r="H15" s="198">
        <f>H13-H14</f>
        <v>456563.25</v>
      </c>
      <c r="I15" s="199"/>
      <c r="J15" s="200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7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58">
        <f>300+648+654</f>
        <v>1602</v>
      </c>
      <c r="I16" s="158"/>
      <c r="J16" s="158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7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69"/>
      <c r="I17" s="169"/>
      <c r="J17" s="169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7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69"/>
      <c r="I18" s="169"/>
      <c r="J18" s="169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7"/>
      <c r="B19" s="87" t="s">
        <v>105</v>
      </c>
      <c r="C19" s="10"/>
      <c r="D19" s="48">
        <f t="shared" si="1"/>
        <v>0</v>
      </c>
      <c r="F19" s="56"/>
      <c r="G19" s="68" t="s">
        <v>49</v>
      </c>
      <c r="H19" s="253"/>
      <c r="I19" s="253"/>
      <c r="J19" s="253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7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58"/>
      <c r="I20" s="158"/>
      <c r="J20" s="158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7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71" t="s">
        <v>13</v>
      </c>
      <c r="I21" s="172"/>
      <c r="J21" s="173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7"/>
      <c r="B22" s="46" t="s">
        <v>103</v>
      </c>
      <c r="C22" s="10"/>
      <c r="D22" s="48">
        <f t="shared" si="1"/>
        <v>0</v>
      </c>
      <c r="F22" s="77"/>
      <c r="G22" s="73"/>
      <c r="H22" s="174"/>
      <c r="I22" s="174"/>
      <c r="J22" s="174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7"/>
      <c r="B23" s="14" t="s">
        <v>121</v>
      </c>
      <c r="C23" s="10"/>
      <c r="D23" s="48">
        <f t="shared" si="1"/>
        <v>0</v>
      </c>
      <c r="F23" s="78"/>
      <c r="G23" s="79"/>
      <c r="H23" s="254"/>
      <c r="I23" s="174"/>
      <c r="J23" s="174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7"/>
      <c r="B24" s="14" t="s">
        <v>128</v>
      </c>
      <c r="C24" s="10"/>
      <c r="D24" s="48">
        <f t="shared" si="1"/>
        <v>0</v>
      </c>
      <c r="F24" s="38"/>
      <c r="G24" s="37"/>
      <c r="H24" s="175"/>
      <c r="I24" s="144"/>
      <c r="J24" s="144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7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76" t="s">
        <v>13</v>
      </c>
      <c r="I25" s="177"/>
      <c r="J25" s="178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7"/>
      <c r="B26" s="14" t="s">
        <v>129</v>
      </c>
      <c r="C26" s="10"/>
      <c r="D26" s="48">
        <f t="shared" si="1"/>
        <v>0</v>
      </c>
      <c r="F26" s="64"/>
      <c r="G26" s="59"/>
      <c r="H26" s="179"/>
      <c r="I26" s="180"/>
      <c r="J26" s="181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7"/>
      <c r="B27" s="14" t="s">
        <v>130</v>
      </c>
      <c r="C27" s="10"/>
      <c r="D27" s="44">
        <f t="shared" si="1"/>
        <v>0</v>
      </c>
      <c r="F27" s="25"/>
      <c r="G27" s="80"/>
      <c r="H27" s="182"/>
      <c r="I27" s="183"/>
      <c r="J27" s="184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8"/>
      <c r="B28" s="46" t="s">
        <v>92</v>
      </c>
      <c r="C28" s="10"/>
      <c r="D28" s="48">
        <f t="shared" si="1"/>
        <v>0</v>
      </c>
      <c r="F28" s="91"/>
      <c r="G28" s="61"/>
      <c r="H28" s="185"/>
      <c r="I28" s="186"/>
      <c r="J28" s="187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9" t="s">
        <v>36</v>
      </c>
      <c r="B29" s="160"/>
      <c r="C29" s="161"/>
      <c r="D29" s="165">
        <f>SUM(D6:D28)</f>
        <v>542169</v>
      </c>
      <c r="F29" s="105" t="s">
        <v>54</v>
      </c>
      <c r="G29" s="167"/>
      <c r="H29" s="127">
        <f>H15-H16-H17-H18-H19-H20-H22-H23-H24+H26+H27</f>
        <v>454961.25</v>
      </c>
      <c r="I29" s="128"/>
      <c r="J29" s="129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08"/>
      <c r="G30" s="168"/>
      <c r="H30" s="130"/>
      <c r="I30" s="131"/>
      <c r="J30" s="132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2" t="s">
        <v>57</v>
      </c>
      <c r="B32" s="153"/>
      <c r="C32" s="153"/>
      <c r="D32" s="154"/>
      <c r="F32" s="155" t="s">
        <v>58</v>
      </c>
      <c r="G32" s="156"/>
      <c r="H32" s="156"/>
      <c r="I32" s="156"/>
      <c r="J32" s="157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2" t="s">
        <v>62</v>
      </c>
      <c r="H33" s="155" t="s">
        <v>13</v>
      </c>
      <c r="I33" s="156"/>
      <c r="J33" s="157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6" t="s">
        <v>64</v>
      </c>
      <c r="B34" s="26" t="s">
        <v>65</v>
      </c>
      <c r="C34" s="51"/>
      <c r="D34" s="30">
        <f>C34*120</f>
        <v>0</v>
      </c>
      <c r="F34" s="12">
        <v>1000</v>
      </c>
      <c r="G34" s="74">
        <v>105</v>
      </c>
      <c r="H34" s="149">
        <f>F34*G34</f>
        <v>105000</v>
      </c>
      <c r="I34" s="150"/>
      <c r="J34" s="151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7"/>
      <c r="B35" s="27" t="s">
        <v>67</v>
      </c>
      <c r="C35" s="52"/>
      <c r="D35" s="30">
        <f>C35*84</f>
        <v>0</v>
      </c>
      <c r="F35" s="58">
        <v>500</v>
      </c>
      <c r="G35" s="41">
        <v>24</v>
      </c>
      <c r="H35" s="149">
        <f>F35*G35</f>
        <v>12000</v>
      </c>
      <c r="I35" s="150"/>
      <c r="J35" s="15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8"/>
      <c r="B36" s="26" t="s">
        <v>69</v>
      </c>
      <c r="C36" s="10"/>
      <c r="D36" s="12">
        <f>C36*1.5</f>
        <v>0</v>
      </c>
      <c r="F36" s="12">
        <v>200</v>
      </c>
      <c r="G36" s="37"/>
      <c r="H36" s="149">
        <f t="shared" ref="H36:H39" si="2">F36*G36</f>
        <v>0</v>
      </c>
      <c r="I36" s="150"/>
      <c r="J36" s="151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6" t="s">
        <v>71</v>
      </c>
      <c r="B37" s="28" t="s">
        <v>65</v>
      </c>
      <c r="C37" s="53">
        <v>735</v>
      </c>
      <c r="D37" s="12">
        <f>C37*111</f>
        <v>81585</v>
      </c>
      <c r="F37" s="12">
        <v>100</v>
      </c>
      <c r="G37" s="39">
        <v>14</v>
      </c>
      <c r="H37" s="149">
        <f t="shared" si="2"/>
        <v>1400</v>
      </c>
      <c r="I37" s="150"/>
      <c r="J37" s="151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7"/>
      <c r="B38" s="29" t="s">
        <v>67</v>
      </c>
      <c r="C38" s="54">
        <v>8</v>
      </c>
      <c r="D38" s="12">
        <f>C38*84</f>
        <v>672</v>
      </c>
      <c r="F38" s="30">
        <v>50</v>
      </c>
      <c r="G38" s="39">
        <v>3</v>
      </c>
      <c r="H38" s="149">
        <f t="shared" si="2"/>
        <v>150</v>
      </c>
      <c r="I38" s="150"/>
      <c r="J38" s="151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8"/>
      <c r="B39" s="29" t="s">
        <v>69</v>
      </c>
      <c r="C39" s="52">
        <v>4</v>
      </c>
      <c r="D39" s="31">
        <f>C39*4.5</f>
        <v>18</v>
      </c>
      <c r="F39" s="12">
        <v>20</v>
      </c>
      <c r="G39" s="37"/>
      <c r="H39" s="149">
        <f t="shared" si="2"/>
        <v>0</v>
      </c>
      <c r="I39" s="150"/>
      <c r="J39" s="15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6" t="s">
        <v>75</v>
      </c>
      <c r="B40" s="27" t="s">
        <v>65</v>
      </c>
      <c r="C40" s="63">
        <v>12</v>
      </c>
      <c r="D40" s="12">
        <f>C40*111</f>
        <v>1332</v>
      </c>
      <c r="F40" s="12">
        <v>10</v>
      </c>
      <c r="G40" s="42"/>
      <c r="H40" s="149"/>
      <c r="I40" s="150"/>
      <c r="J40" s="151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7"/>
      <c r="B41" s="27" t="s">
        <v>67</v>
      </c>
      <c r="C41" s="10"/>
      <c r="D41" s="12">
        <f>C41*84</f>
        <v>0</v>
      </c>
      <c r="F41" s="12">
        <v>5</v>
      </c>
      <c r="G41" s="42"/>
      <c r="H41" s="149"/>
      <c r="I41" s="150"/>
      <c r="J41" s="151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8"/>
      <c r="B42" s="27" t="s">
        <v>69</v>
      </c>
      <c r="C42" s="11">
        <v>1</v>
      </c>
      <c r="D42" s="12">
        <f>C42*2.25</f>
        <v>2.25</v>
      </c>
      <c r="F42" s="39" t="s">
        <v>78</v>
      </c>
      <c r="G42" s="149">
        <v>22</v>
      </c>
      <c r="H42" s="150"/>
      <c r="I42" s="150"/>
      <c r="J42" s="151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19" t="s">
        <v>80</v>
      </c>
      <c r="C43" s="11"/>
      <c r="D43" s="12"/>
      <c r="F43" s="59" t="s">
        <v>81</v>
      </c>
      <c r="G43" s="88" t="s">
        <v>82</v>
      </c>
      <c r="H43" s="141" t="s">
        <v>13</v>
      </c>
      <c r="I43" s="142"/>
      <c r="J43" s="143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20"/>
      <c r="B44" s="27" t="s">
        <v>65</v>
      </c>
      <c r="C44" s="10">
        <v>5</v>
      </c>
      <c r="D44" s="12">
        <f>C44*120</f>
        <v>600</v>
      </c>
      <c r="F44" s="37" t="s">
        <v>136</v>
      </c>
      <c r="G44" s="76" t="s">
        <v>207</v>
      </c>
      <c r="H44" s="144">
        <v>27108</v>
      </c>
      <c r="I44" s="144"/>
      <c r="J44" s="144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20"/>
      <c r="B45" s="27" t="s">
        <v>67</v>
      </c>
      <c r="C45" s="33">
        <v>2</v>
      </c>
      <c r="D45" s="12">
        <f>C45*84</f>
        <v>168</v>
      </c>
      <c r="F45" s="37" t="s">
        <v>136</v>
      </c>
      <c r="G45" s="76" t="s">
        <v>208</v>
      </c>
      <c r="H45" s="144">
        <v>237647</v>
      </c>
      <c r="I45" s="144"/>
      <c r="J45" s="144"/>
      <c r="K45" s="21"/>
      <c r="P45" s="4"/>
      <c r="Q45" s="4"/>
      <c r="R45" s="5"/>
    </row>
    <row r="46" spans="1:18" ht="15.75" x14ac:dyDescent="0.25">
      <c r="A46" s="120"/>
      <c r="B46" s="49" t="s">
        <v>69</v>
      </c>
      <c r="C46" s="81"/>
      <c r="D46" s="12">
        <f>C46*1.5</f>
        <v>0</v>
      </c>
      <c r="F46" s="37" t="s">
        <v>136</v>
      </c>
      <c r="G46" s="96" t="s">
        <v>209</v>
      </c>
      <c r="H46" s="144">
        <v>70468</v>
      </c>
      <c r="I46" s="144"/>
      <c r="J46" s="144"/>
      <c r="K46" s="21"/>
      <c r="P46" s="4"/>
      <c r="Q46" s="4"/>
      <c r="R46" s="5"/>
    </row>
    <row r="47" spans="1:18" ht="15.75" x14ac:dyDescent="0.25">
      <c r="A47" s="121"/>
      <c r="B47" s="27"/>
      <c r="C47" s="11"/>
      <c r="D47" s="12"/>
      <c r="F47" s="59"/>
      <c r="G47" s="59"/>
      <c r="H47" s="122"/>
      <c r="I47" s="123"/>
      <c r="J47" s="124"/>
      <c r="K47" s="21"/>
      <c r="P47" s="4"/>
      <c r="Q47" s="4"/>
      <c r="R47" s="5"/>
    </row>
    <row r="48" spans="1:18" ht="15" customHeight="1" x14ac:dyDescent="0.25">
      <c r="A48" s="119" t="s">
        <v>32</v>
      </c>
      <c r="B48" s="27" t="s">
        <v>65</v>
      </c>
      <c r="C48" s="10">
        <v>13</v>
      </c>
      <c r="D48" s="12">
        <f>C48*78</f>
        <v>1014</v>
      </c>
      <c r="F48" s="59"/>
      <c r="G48" s="59"/>
      <c r="H48" s="122"/>
      <c r="I48" s="123"/>
      <c r="J48" s="124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20"/>
      <c r="B49" s="29" t="s">
        <v>67</v>
      </c>
      <c r="C49" s="33">
        <v>5</v>
      </c>
      <c r="D49" s="12">
        <f>C49*42</f>
        <v>210</v>
      </c>
      <c r="F49" s="125" t="s">
        <v>85</v>
      </c>
      <c r="G49" s="127">
        <f>H34+H35+H36+H37+H38+H39+H40+H41+G42+H44+H45+H46</f>
        <v>453795</v>
      </c>
      <c r="H49" s="128"/>
      <c r="I49" s="128"/>
      <c r="J49" s="129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0"/>
      <c r="B50" s="32" t="s">
        <v>69</v>
      </c>
      <c r="C50" s="11">
        <v>3</v>
      </c>
      <c r="D50" s="12">
        <f>C50*1.5</f>
        <v>4.5</v>
      </c>
      <c r="F50" s="126"/>
      <c r="G50" s="130"/>
      <c r="H50" s="131"/>
      <c r="I50" s="131"/>
      <c r="J50" s="132"/>
      <c r="O50" t="s">
        <v>114</v>
      </c>
      <c r="P50" s="4">
        <v>1204</v>
      </c>
      <c r="Q50" s="4"/>
      <c r="R50" s="5"/>
    </row>
    <row r="51" spans="1:18" ht="15" customHeight="1" x14ac:dyDescent="0.25">
      <c r="A51" s="120"/>
      <c r="B51" s="27"/>
      <c r="C51" s="10"/>
      <c r="D51" s="31"/>
      <c r="F51" s="133" t="s">
        <v>109</v>
      </c>
      <c r="G51" s="246">
        <f>G49-H29</f>
        <v>-1166.25</v>
      </c>
      <c r="H51" s="247"/>
      <c r="I51" s="247"/>
      <c r="J51" s="248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20"/>
      <c r="B52" s="29"/>
      <c r="C52" s="33"/>
      <c r="D52" s="45"/>
      <c r="F52" s="134"/>
      <c r="G52" s="249"/>
      <c r="H52" s="250"/>
      <c r="I52" s="250"/>
      <c r="J52" s="251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1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05" t="s">
        <v>89</v>
      </c>
      <c r="B54" s="106"/>
      <c r="C54" s="107"/>
      <c r="D54" s="111">
        <f>SUM(D34:D53)</f>
        <v>85605.75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08"/>
      <c r="B55" s="109"/>
      <c r="C55" s="110"/>
      <c r="D55" s="11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13" t="s">
        <v>90</v>
      </c>
      <c r="B58" s="114"/>
      <c r="C58" s="114"/>
      <c r="D58" s="115"/>
      <c r="F58" s="113" t="s">
        <v>91</v>
      </c>
      <c r="G58" s="114"/>
      <c r="H58" s="114"/>
      <c r="I58" s="114"/>
      <c r="J58" s="115"/>
    </row>
    <row r="59" spans="1:18" x14ac:dyDescent="0.25">
      <c r="A59" s="116"/>
      <c r="B59" s="117"/>
      <c r="C59" s="117"/>
      <c r="D59" s="118"/>
      <c r="F59" s="116"/>
      <c r="G59" s="117"/>
      <c r="H59" s="117"/>
      <c r="I59" s="117"/>
      <c r="J59" s="118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r:id="rId1"/>
  <drawing r:id="rId2"/>
</worksheet>
</file>

<file path=xl/worksheets/sheet8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7D0BCB-E10F-4733-8334-3B0868B2C4AE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01" t="s">
        <v>1</v>
      </c>
      <c r="O1" s="201"/>
      <c r="P1" s="90" t="s">
        <v>2</v>
      </c>
      <c r="Q1" s="90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52" t="s">
        <v>7</v>
      </c>
      <c r="B4" s="153"/>
      <c r="C4" s="153"/>
      <c r="D4" s="154"/>
      <c r="F4" s="202" t="s">
        <v>8</v>
      </c>
      <c r="G4" s="204"/>
      <c r="H4" s="206" t="s">
        <v>9</v>
      </c>
      <c r="I4" s="208"/>
      <c r="J4" s="20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46" t="s">
        <v>7</v>
      </c>
      <c r="B5" s="15" t="s">
        <v>11</v>
      </c>
      <c r="C5" s="9" t="s">
        <v>12</v>
      </c>
      <c r="D5" s="25" t="s">
        <v>13</v>
      </c>
      <c r="F5" s="203"/>
      <c r="G5" s="205"/>
      <c r="H5" s="207"/>
      <c r="I5" s="210"/>
      <c r="J5" s="21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47"/>
      <c r="B6" s="16"/>
      <c r="C6" s="10"/>
      <c r="D6" s="13">
        <f t="shared" ref="D6:D28" si="1">C6*L6</f>
        <v>0</v>
      </c>
      <c r="F6" s="212" t="s">
        <v>16</v>
      </c>
      <c r="G6" s="214"/>
      <c r="H6" s="215"/>
      <c r="I6" s="215"/>
      <c r="J6" s="216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47"/>
      <c r="B7" s="16"/>
      <c r="C7" s="10"/>
      <c r="D7" s="13">
        <f t="shared" si="1"/>
        <v>0</v>
      </c>
      <c r="F7" s="213"/>
      <c r="G7" s="217"/>
      <c r="H7" s="218"/>
      <c r="I7" s="218"/>
      <c r="J7" s="219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47"/>
      <c r="B8" s="16"/>
      <c r="C8" s="10"/>
      <c r="D8" s="13">
        <f t="shared" si="1"/>
        <v>0</v>
      </c>
      <c r="F8" s="220" t="s">
        <v>21</v>
      </c>
      <c r="G8" s="221"/>
      <c r="H8" s="222"/>
      <c r="I8" s="222"/>
      <c r="J8" s="223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47"/>
      <c r="B9" s="16"/>
      <c r="C9" s="10"/>
      <c r="D9" s="13">
        <f t="shared" si="1"/>
        <v>0</v>
      </c>
      <c r="F9" s="213"/>
      <c r="G9" s="224"/>
      <c r="H9" s="225"/>
      <c r="I9" s="225"/>
      <c r="J9" s="226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47"/>
      <c r="C10" s="10"/>
      <c r="D10" s="13">
        <f t="shared" si="1"/>
        <v>0</v>
      </c>
      <c r="F10" s="212" t="s">
        <v>26</v>
      </c>
      <c r="G10" s="227"/>
      <c r="H10" s="228"/>
      <c r="I10" s="228"/>
      <c r="J10" s="229"/>
      <c r="K10" s="8"/>
      <c r="L10" s="6">
        <f>R36</f>
        <v>972</v>
      </c>
      <c r="P10" s="4"/>
      <c r="Q10" s="4"/>
      <c r="R10" s="5"/>
    </row>
    <row r="11" spans="1:19" ht="15.75" x14ac:dyDescent="0.25">
      <c r="A11" s="147"/>
      <c r="B11" s="17"/>
      <c r="C11" s="10"/>
      <c r="D11" s="13">
        <f t="shared" si="1"/>
        <v>0</v>
      </c>
      <c r="F11" s="213"/>
      <c r="G11" s="224"/>
      <c r="H11" s="225"/>
      <c r="I11" s="225"/>
      <c r="J11" s="226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47"/>
      <c r="B12" s="17"/>
      <c r="C12" s="10"/>
      <c r="D12" s="48">
        <f t="shared" si="1"/>
        <v>0</v>
      </c>
      <c r="F12" s="230" t="s">
        <v>33</v>
      </c>
      <c r="G12" s="231"/>
      <c r="H12" s="231"/>
      <c r="I12" s="231"/>
      <c r="J12" s="232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47"/>
      <c r="B13" s="17"/>
      <c r="C13" s="10"/>
      <c r="D13" s="48">
        <f t="shared" si="1"/>
        <v>0</v>
      </c>
      <c r="F13" s="233" t="s">
        <v>36</v>
      </c>
      <c r="G13" s="197"/>
      <c r="H13" s="188">
        <f>D29</f>
        <v>0</v>
      </c>
      <c r="I13" s="189"/>
      <c r="J13" s="19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47"/>
      <c r="B14" s="14"/>
      <c r="C14" s="10"/>
      <c r="D14" s="31">
        <f t="shared" si="1"/>
        <v>0</v>
      </c>
      <c r="F14" s="191" t="s">
        <v>38</v>
      </c>
      <c r="G14" s="192"/>
      <c r="H14" s="193">
        <f>D54</f>
        <v>0</v>
      </c>
      <c r="I14" s="194"/>
      <c r="J14" s="19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47"/>
      <c r="B15" s="14"/>
      <c r="C15" s="10"/>
      <c r="D15" s="31">
        <f t="shared" si="1"/>
        <v>0</v>
      </c>
      <c r="F15" s="196" t="s">
        <v>39</v>
      </c>
      <c r="G15" s="197"/>
      <c r="H15" s="198">
        <f>H13-H14</f>
        <v>0</v>
      </c>
      <c r="I15" s="199"/>
      <c r="J15" s="200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47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58"/>
      <c r="I16" s="158"/>
      <c r="J16" s="158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7"/>
      <c r="C17" s="10"/>
      <c r="D17" s="48">
        <f t="shared" si="1"/>
        <v>0</v>
      </c>
      <c r="F17" s="56"/>
      <c r="G17" s="66" t="s">
        <v>44</v>
      </c>
      <c r="H17" s="169"/>
      <c r="I17" s="169"/>
      <c r="J17" s="169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7"/>
      <c r="B18" s="19"/>
      <c r="C18" s="10"/>
      <c r="D18" s="48">
        <f t="shared" si="1"/>
        <v>0</v>
      </c>
      <c r="F18" s="56"/>
      <c r="G18" s="66" t="s">
        <v>46</v>
      </c>
      <c r="H18" s="169"/>
      <c r="I18" s="169"/>
      <c r="J18" s="16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7"/>
      <c r="B19" s="14"/>
      <c r="C19" s="10"/>
      <c r="D19" s="48">
        <f t="shared" si="1"/>
        <v>0</v>
      </c>
      <c r="F19" s="56"/>
      <c r="G19" s="68" t="s">
        <v>49</v>
      </c>
      <c r="H19" s="170"/>
      <c r="I19" s="170"/>
      <c r="J19" s="170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7"/>
      <c r="B20" s="46"/>
      <c r="C20" s="10"/>
      <c r="D20" s="13">
        <f t="shared" si="1"/>
        <v>0</v>
      </c>
      <c r="F20" s="57"/>
      <c r="G20" s="70" t="s">
        <v>102</v>
      </c>
      <c r="H20" s="158"/>
      <c r="I20" s="158"/>
      <c r="J20" s="158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7"/>
      <c r="B21" s="14"/>
      <c r="C21" s="10"/>
      <c r="D21" s="48">
        <f t="shared" si="1"/>
        <v>0</v>
      </c>
      <c r="F21" s="69" t="s">
        <v>94</v>
      </c>
      <c r="G21" s="82" t="s">
        <v>93</v>
      </c>
      <c r="H21" s="171" t="s">
        <v>13</v>
      </c>
      <c r="I21" s="172"/>
      <c r="J21" s="173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7"/>
      <c r="B22" s="46"/>
      <c r="C22" s="10"/>
      <c r="D22" s="48">
        <f t="shared" si="1"/>
        <v>0</v>
      </c>
      <c r="F22" s="77"/>
      <c r="G22" s="73"/>
      <c r="H22" s="174"/>
      <c r="I22" s="174"/>
      <c r="J22" s="174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7"/>
      <c r="B23" s="14"/>
      <c r="C23" s="10"/>
      <c r="D23" s="48">
        <f t="shared" si="1"/>
        <v>0</v>
      </c>
      <c r="F23" s="78"/>
      <c r="G23" s="79"/>
      <c r="H23" s="175"/>
      <c r="I23" s="144"/>
      <c r="J23" s="144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7"/>
      <c r="B24" s="14"/>
      <c r="C24" s="10"/>
      <c r="D24" s="48">
        <f t="shared" si="1"/>
        <v>0</v>
      </c>
      <c r="F24" s="38"/>
      <c r="G24" s="37"/>
      <c r="H24" s="175"/>
      <c r="I24" s="144"/>
      <c r="J24" s="144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7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176" t="s">
        <v>13</v>
      </c>
      <c r="I25" s="177"/>
      <c r="J25" s="178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7"/>
      <c r="B26" s="14"/>
      <c r="C26" s="10"/>
      <c r="D26" s="48">
        <f t="shared" si="1"/>
        <v>0</v>
      </c>
      <c r="F26" s="64"/>
      <c r="G26" s="59"/>
      <c r="H26" s="179"/>
      <c r="I26" s="180"/>
      <c r="J26" s="181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7"/>
      <c r="B27" s="14"/>
      <c r="C27" s="10"/>
      <c r="D27" s="44">
        <f t="shared" si="1"/>
        <v>0</v>
      </c>
      <c r="F27" s="25"/>
      <c r="G27" s="80"/>
      <c r="H27" s="182"/>
      <c r="I27" s="183"/>
      <c r="J27" s="184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8"/>
      <c r="B28" s="46"/>
      <c r="C28" s="10"/>
      <c r="D28" s="48">
        <f t="shared" si="1"/>
        <v>0</v>
      </c>
      <c r="F28" s="91"/>
      <c r="G28" s="61"/>
      <c r="H28" s="185"/>
      <c r="I28" s="186"/>
      <c r="J28" s="187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9" t="s">
        <v>36</v>
      </c>
      <c r="B29" s="160"/>
      <c r="C29" s="161"/>
      <c r="D29" s="165">
        <f>SUM(D6:D28)</f>
        <v>0</v>
      </c>
      <c r="F29" s="105" t="s">
        <v>54</v>
      </c>
      <c r="G29" s="167"/>
      <c r="H29" s="127">
        <f>H15-H16-H17-H18-H19-H20-H22-H23-H24+H26+H27</f>
        <v>0</v>
      </c>
      <c r="I29" s="128"/>
      <c r="J29" s="129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08"/>
      <c r="G30" s="168"/>
      <c r="H30" s="130"/>
      <c r="I30" s="131"/>
      <c r="J30" s="132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52" t="s">
        <v>57</v>
      </c>
      <c r="B32" s="153"/>
      <c r="C32" s="153"/>
      <c r="D32" s="154"/>
      <c r="F32" s="155" t="s">
        <v>58</v>
      </c>
      <c r="G32" s="156"/>
      <c r="H32" s="156"/>
      <c r="I32" s="156"/>
      <c r="J32" s="157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2" t="s">
        <v>62</v>
      </c>
      <c r="H33" s="155" t="s">
        <v>13</v>
      </c>
      <c r="I33" s="156"/>
      <c r="J33" s="157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6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149"/>
      <c r="I34" s="150"/>
      <c r="J34" s="151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7"/>
      <c r="B35" s="27" t="s">
        <v>67</v>
      </c>
      <c r="C35" s="52"/>
      <c r="D35" s="30">
        <f>C35*84</f>
        <v>0</v>
      </c>
      <c r="F35" s="58">
        <v>500</v>
      </c>
      <c r="G35" s="41"/>
      <c r="H35" s="149"/>
      <c r="I35" s="150"/>
      <c r="J35" s="15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8"/>
      <c r="B36" s="26" t="s">
        <v>69</v>
      </c>
      <c r="C36" s="10"/>
      <c r="D36" s="12">
        <f>C36*1.5</f>
        <v>0</v>
      </c>
      <c r="F36" s="12">
        <v>200</v>
      </c>
      <c r="G36" s="37"/>
      <c r="H36" s="149"/>
      <c r="I36" s="150"/>
      <c r="J36" s="151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6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49"/>
      <c r="I37" s="150"/>
      <c r="J37" s="151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7"/>
      <c r="B38" s="29" t="s">
        <v>67</v>
      </c>
      <c r="C38" s="54"/>
      <c r="D38" s="12">
        <f>C38*84</f>
        <v>0</v>
      </c>
      <c r="F38" s="30">
        <v>50</v>
      </c>
      <c r="G38" s="39"/>
      <c r="H38" s="149"/>
      <c r="I38" s="150"/>
      <c r="J38" s="151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8"/>
      <c r="B39" s="29" t="s">
        <v>69</v>
      </c>
      <c r="C39" s="52"/>
      <c r="D39" s="31">
        <f>C39*4.5</f>
        <v>0</v>
      </c>
      <c r="F39" s="12">
        <v>20</v>
      </c>
      <c r="G39" s="37"/>
      <c r="H39" s="149"/>
      <c r="I39" s="150"/>
      <c r="J39" s="15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6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49"/>
      <c r="I40" s="150"/>
      <c r="J40" s="151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7"/>
      <c r="B41" s="27" t="s">
        <v>67</v>
      </c>
      <c r="C41" s="10"/>
      <c r="D41" s="12">
        <f>C41*84</f>
        <v>0</v>
      </c>
      <c r="F41" s="12">
        <v>5</v>
      </c>
      <c r="G41" s="42"/>
      <c r="H41" s="149"/>
      <c r="I41" s="150"/>
      <c r="J41" s="151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8"/>
      <c r="B42" s="27" t="s">
        <v>69</v>
      </c>
      <c r="C42" s="11"/>
      <c r="D42" s="12">
        <f>C42*2.25</f>
        <v>0</v>
      </c>
      <c r="F42" s="39" t="s">
        <v>78</v>
      </c>
      <c r="G42" s="149"/>
      <c r="H42" s="150"/>
      <c r="I42" s="150"/>
      <c r="J42" s="151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19" t="s">
        <v>80</v>
      </c>
      <c r="C43" s="11"/>
      <c r="D43" s="12"/>
      <c r="F43" s="59" t="s">
        <v>81</v>
      </c>
      <c r="G43" s="88" t="s">
        <v>82</v>
      </c>
      <c r="H43" s="141" t="s">
        <v>13</v>
      </c>
      <c r="I43" s="142"/>
      <c r="J43" s="143"/>
      <c r="K43" s="21"/>
      <c r="P43" s="4"/>
      <c r="Q43" s="4"/>
      <c r="R43" s="5"/>
    </row>
    <row r="44" spans="1:18" ht="15.75" x14ac:dyDescent="0.25">
      <c r="A44" s="120"/>
      <c r="B44" s="27" t="s">
        <v>65</v>
      </c>
      <c r="C44" s="10"/>
      <c r="D44" s="12">
        <f>C44*120</f>
        <v>0</v>
      </c>
      <c r="F44" s="37"/>
      <c r="G44" s="76"/>
      <c r="H44" s="144"/>
      <c r="I44" s="144"/>
      <c r="J44" s="144"/>
      <c r="K44" s="21"/>
      <c r="P44" s="4"/>
      <c r="Q44" s="4"/>
      <c r="R44" s="5"/>
    </row>
    <row r="45" spans="1:18" ht="15.75" x14ac:dyDescent="0.25">
      <c r="A45" s="120"/>
      <c r="B45" s="27" t="s">
        <v>67</v>
      </c>
      <c r="C45" s="33"/>
      <c r="D45" s="12">
        <f>C45*84</f>
        <v>0</v>
      </c>
      <c r="F45" s="37"/>
      <c r="G45" s="76"/>
      <c r="H45" s="144"/>
      <c r="I45" s="144"/>
      <c r="J45" s="144"/>
      <c r="K45" s="21"/>
      <c r="P45" s="4"/>
      <c r="Q45" s="4"/>
      <c r="R45" s="5"/>
    </row>
    <row r="46" spans="1:18" ht="15.75" x14ac:dyDescent="0.25">
      <c r="A46" s="120"/>
      <c r="B46" s="49" t="s">
        <v>69</v>
      </c>
      <c r="C46" s="81"/>
      <c r="D46" s="12">
        <f>C46*1.5</f>
        <v>0</v>
      </c>
      <c r="F46" s="37"/>
      <c r="G46" s="62"/>
      <c r="H46" s="145"/>
      <c r="I46" s="145"/>
      <c r="J46" s="145"/>
      <c r="K46" s="21"/>
      <c r="P46" s="4"/>
      <c r="Q46" s="4"/>
      <c r="R46" s="5"/>
    </row>
    <row r="47" spans="1:18" ht="15.75" x14ac:dyDescent="0.25">
      <c r="A47" s="121"/>
      <c r="B47" s="27"/>
      <c r="C47" s="11"/>
      <c r="D47" s="12"/>
      <c r="F47" s="59"/>
      <c r="G47" s="59"/>
      <c r="H47" s="122"/>
      <c r="I47" s="123"/>
      <c r="J47" s="124"/>
      <c r="K47" s="21"/>
      <c r="P47" s="4"/>
      <c r="Q47" s="4"/>
      <c r="R47" s="5"/>
    </row>
    <row r="48" spans="1:18" ht="15" customHeight="1" x14ac:dyDescent="0.25">
      <c r="A48" s="119" t="s">
        <v>32</v>
      </c>
      <c r="B48" s="27" t="s">
        <v>65</v>
      </c>
      <c r="C48" s="10"/>
      <c r="D48" s="12">
        <f>C48*78</f>
        <v>0</v>
      </c>
      <c r="F48" s="59"/>
      <c r="G48" s="59"/>
      <c r="H48" s="122"/>
      <c r="I48" s="123"/>
      <c r="J48" s="124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20"/>
      <c r="B49" s="29" t="s">
        <v>67</v>
      </c>
      <c r="C49" s="33"/>
      <c r="D49" s="12">
        <f>C49*42</f>
        <v>0</v>
      </c>
      <c r="F49" s="125" t="s">
        <v>85</v>
      </c>
      <c r="G49" s="127">
        <f>H34+H35+H36+H37+H38+H39+H40+H41+G42+H44+H45+H46</f>
        <v>0</v>
      </c>
      <c r="H49" s="128"/>
      <c r="I49" s="128"/>
      <c r="J49" s="129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0"/>
      <c r="B50" s="32" t="s">
        <v>69</v>
      </c>
      <c r="C50" s="11"/>
      <c r="D50" s="12">
        <f>C50*1.5</f>
        <v>0</v>
      </c>
      <c r="F50" s="126"/>
      <c r="G50" s="130"/>
      <c r="H50" s="131"/>
      <c r="I50" s="131"/>
      <c r="J50" s="132"/>
      <c r="P50" s="4"/>
      <c r="Q50" s="4"/>
      <c r="R50" s="5"/>
    </row>
    <row r="51" spans="1:18" ht="15" customHeight="1" x14ac:dyDescent="0.25">
      <c r="A51" s="120"/>
      <c r="B51" s="27"/>
      <c r="C51" s="10"/>
      <c r="D51" s="31"/>
      <c r="F51" s="133" t="s">
        <v>106</v>
      </c>
      <c r="G51" s="135">
        <f>G49-H29</f>
        <v>0</v>
      </c>
      <c r="H51" s="136"/>
      <c r="I51" s="136"/>
      <c r="J51" s="137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0"/>
      <c r="B52" s="29"/>
      <c r="C52" s="33"/>
      <c r="D52" s="45"/>
      <c r="F52" s="134"/>
      <c r="G52" s="138"/>
      <c r="H52" s="139"/>
      <c r="I52" s="139"/>
      <c r="J52" s="140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1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05" t="s">
        <v>89</v>
      </c>
      <c r="B54" s="106"/>
      <c r="C54" s="107"/>
      <c r="D54" s="111">
        <f>SUM(D34:D53)</f>
        <v>0</v>
      </c>
      <c r="F54" s="21"/>
      <c r="J54" s="34"/>
    </row>
    <row r="55" spans="1:18" x14ac:dyDescent="0.25">
      <c r="A55" s="108"/>
      <c r="B55" s="109"/>
      <c r="C55" s="110"/>
      <c r="D55" s="11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13" t="s">
        <v>90</v>
      </c>
      <c r="B58" s="114"/>
      <c r="C58" s="114"/>
      <c r="D58" s="115"/>
      <c r="F58" s="113" t="s">
        <v>91</v>
      </c>
      <c r="G58" s="114"/>
      <c r="H58" s="114"/>
      <c r="I58" s="114"/>
      <c r="J58" s="115"/>
    </row>
    <row r="59" spans="1:18" x14ac:dyDescent="0.25">
      <c r="A59" s="116"/>
      <c r="B59" s="117"/>
      <c r="C59" s="117"/>
      <c r="D59" s="118"/>
      <c r="F59" s="116"/>
      <c r="G59" s="117"/>
      <c r="H59" s="117"/>
      <c r="I59" s="117"/>
      <c r="J59" s="118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5E1D35-D37F-4FD8-A108-69794375B78E}">
  <dimension ref="A1:R59"/>
  <sheetViews>
    <sheetView topLeftCell="A22" zoomScaleNormal="100" zoomScaleSheetLayoutView="85" workbookViewId="0">
      <selection activeCell="V39" sqref="V39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1" t="s">
        <v>1</v>
      </c>
      <c r="O1" s="201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2" t="s">
        <v>7</v>
      </c>
      <c r="B4" s="153"/>
      <c r="C4" s="153"/>
      <c r="D4" s="154"/>
      <c r="F4" s="202" t="s">
        <v>8</v>
      </c>
      <c r="G4" s="204">
        <v>1</v>
      </c>
      <c r="H4" s="206" t="s">
        <v>9</v>
      </c>
      <c r="I4" s="208">
        <v>46167</v>
      </c>
      <c r="J4" s="20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6" t="s">
        <v>7</v>
      </c>
      <c r="B5" s="15" t="s">
        <v>11</v>
      </c>
      <c r="C5" s="9" t="s">
        <v>12</v>
      </c>
      <c r="D5" s="25" t="s">
        <v>13</v>
      </c>
      <c r="F5" s="203"/>
      <c r="G5" s="205"/>
      <c r="H5" s="207"/>
      <c r="I5" s="210"/>
      <c r="J5" s="21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7"/>
      <c r="B6" s="16" t="s">
        <v>15</v>
      </c>
      <c r="C6" s="10">
        <v>84</v>
      </c>
      <c r="D6" s="13">
        <f t="shared" ref="D6:D28" si="1">C6*L6</f>
        <v>63924</v>
      </c>
      <c r="F6" s="212" t="s">
        <v>16</v>
      </c>
      <c r="G6" s="214" t="s">
        <v>99</v>
      </c>
      <c r="H6" s="215"/>
      <c r="I6" s="215"/>
      <c r="J6" s="21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7"/>
      <c r="B7" s="16" t="s">
        <v>18</v>
      </c>
      <c r="C7" s="10">
        <v>10</v>
      </c>
      <c r="D7" s="13">
        <f t="shared" si="1"/>
        <v>7810</v>
      </c>
      <c r="F7" s="213"/>
      <c r="G7" s="217"/>
      <c r="H7" s="218"/>
      <c r="I7" s="218"/>
      <c r="J7" s="21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7"/>
      <c r="B8" s="16" t="s">
        <v>20</v>
      </c>
      <c r="C8" s="10"/>
      <c r="D8" s="13">
        <f t="shared" si="1"/>
        <v>0</v>
      </c>
      <c r="F8" s="220" t="s">
        <v>21</v>
      </c>
      <c r="G8" s="221" t="s">
        <v>120</v>
      </c>
      <c r="H8" s="222"/>
      <c r="I8" s="222"/>
      <c r="J8" s="22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7"/>
      <c r="B9" s="16" t="s">
        <v>23</v>
      </c>
      <c r="C9" s="10">
        <v>22</v>
      </c>
      <c r="D9" s="13">
        <f t="shared" si="1"/>
        <v>16126</v>
      </c>
      <c r="F9" s="213"/>
      <c r="G9" s="224"/>
      <c r="H9" s="225"/>
      <c r="I9" s="225"/>
      <c r="J9" s="22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7"/>
      <c r="B10" t="s">
        <v>25</v>
      </c>
      <c r="C10" s="10"/>
      <c r="D10" s="13">
        <f t="shared" si="1"/>
        <v>0</v>
      </c>
      <c r="F10" s="212" t="s">
        <v>26</v>
      </c>
      <c r="G10" s="227" t="s">
        <v>108</v>
      </c>
      <c r="H10" s="228"/>
      <c r="I10" s="228"/>
      <c r="J10" s="229"/>
      <c r="K10" s="8"/>
      <c r="L10" s="6">
        <f>R36</f>
        <v>1032</v>
      </c>
      <c r="P10" s="4"/>
      <c r="Q10" s="4"/>
      <c r="R10" s="5"/>
    </row>
    <row r="11" spans="1:18" ht="15.75" x14ac:dyDescent="0.25">
      <c r="A11" s="147"/>
      <c r="B11" s="17" t="s">
        <v>28</v>
      </c>
      <c r="C11" s="10"/>
      <c r="D11" s="13">
        <f t="shared" si="1"/>
        <v>0</v>
      </c>
      <c r="F11" s="213"/>
      <c r="G11" s="224"/>
      <c r="H11" s="225"/>
      <c r="I11" s="225"/>
      <c r="J11" s="22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7"/>
      <c r="B12" s="17" t="s">
        <v>30</v>
      </c>
      <c r="C12" s="10"/>
      <c r="D12" s="48">
        <f t="shared" si="1"/>
        <v>0</v>
      </c>
      <c r="F12" s="230" t="s">
        <v>33</v>
      </c>
      <c r="G12" s="231"/>
      <c r="H12" s="231"/>
      <c r="I12" s="231"/>
      <c r="J12" s="23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7"/>
      <c r="B13" s="17" t="s">
        <v>32</v>
      </c>
      <c r="C13" s="10">
        <v>2</v>
      </c>
      <c r="D13" s="48">
        <f t="shared" si="1"/>
        <v>614</v>
      </c>
      <c r="F13" s="233" t="s">
        <v>36</v>
      </c>
      <c r="G13" s="197"/>
      <c r="H13" s="188">
        <f>D29</f>
        <v>88474</v>
      </c>
      <c r="I13" s="189"/>
      <c r="J13" s="19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7"/>
      <c r="B14" s="14" t="s">
        <v>35</v>
      </c>
      <c r="C14" s="10"/>
      <c r="D14" s="31">
        <f t="shared" si="1"/>
        <v>0</v>
      </c>
      <c r="F14" s="191" t="s">
        <v>38</v>
      </c>
      <c r="G14" s="192"/>
      <c r="H14" s="193">
        <f>D54</f>
        <v>12474.75</v>
      </c>
      <c r="I14" s="194"/>
      <c r="J14" s="19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7"/>
      <c r="B15" s="14" t="s">
        <v>122</v>
      </c>
      <c r="C15" s="10"/>
      <c r="D15" s="31">
        <f t="shared" si="1"/>
        <v>0</v>
      </c>
      <c r="F15" s="196" t="s">
        <v>39</v>
      </c>
      <c r="G15" s="197"/>
      <c r="H15" s="198">
        <f>H13-H14</f>
        <v>75999.25</v>
      </c>
      <c r="I15" s="199"/>
      <c r="J15" s="200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7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58"/>
      <c r="I16" s="158"/>
      <c r="J16" s="158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7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69"/>
      <c r="I17" s="169"/>
      <c r="J17" s="169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7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69"/>
      <c r="I18" s="169"/>
      <c r="J18" s="169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7"/>
      <c r="B19" s="83" t="s">
        <v>105</v>
      </c>
      <c r="C19" s="10"/>
      <c r="D19" s="48">
        <f t="shared" si="1"/>
        <v>0</v>
      </c>
      <c r="F19" s="56"/>
      <c r="G19" s="68" t="s">
        <v>49</v>
      </c>
      <c r="H19" s="158"/>
      <c r="I19" s="158"/>
      <c r="J19" s="158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7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58"/>
      <c r="I20" s="158"/>
      <c r="J20" s="158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7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71" t="s">
        <v>13</v>
      </c>
      <c r="I21" s="172"/>
      <c r="J21" s="173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7"/>
      <c r="B22" s="46" t="s">
        <v>103</v>
      </c>
      <c r="C22" s="10"/>
      <c r="D22" s="48">
        <f t="shared" si="1"/>
        <v>0</v>
      </c>
      <c r="F22" s="77"/>
      <c r="G22" s="73"/>
      <c r="H22" s="174"/>
      <c r="I22" s="174"/>
      <c r="J22" s="174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7"/>
      <c r="B23" s="14" t="s">
        <v>121</v>
      </c>
      <c r="C23" s="10"/>
      <c r="D23" s="48">
        <f t="shared" si="1"/>
        <v>0</v>
      </c>
      <c r="F23" s="77"/>
      <c r="G23" s="79"/>
      <c r="H23" s="242"/>
      <c r="I23" s="243"/>
      <c r="J23" s="243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7"/>
      <c r="B24" s="14" t="s">
        <v>128</v>
      </c>
      <c r="C24" s="10"/>
      <c r="D24" s="48">
        <f t="shared" si="1"/>
        <v>0</v>
      </c>
      <c r="F24" s="77"/>
      <c r="G24" s="79"/>
      <c r="H24" s="242"/>
      <c r="I24" s="243"/>
      <c r="J24" s="243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7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76" t="s">
        <v>13</v>
      </c>
      <c r="I25" s="177"/>
      <c r="J25" s="178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7"/>
      <c r="B26" s="14" t="s">
        <v>129</v>
      </c>
      <c r="C26" s="10"/>
      <c r="D26" s="48">
        <f t="shared" si="1"/>
        <v>0</v>
      </c>
      <c r="F26" s="75"/>
      <c r="G26" s="65"/>
      <c r="H26" s="144"/>
      <c r="I26" s="144"/>
      <c r="J26" s="144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7"/>
      <c r="B27" s="14" t="s">
        <v>130</v>
      </c>
      <c r="C27" s="10"/>
      <c r="D27" s="44">
        <f t="shared" si="1"/>
        <v>0</v>
      </c>
      <c r="F27" s="71"/>
      <c r="G27" s="88"/>
      <c r="H27" s="244"/>
      <c r="I27" s="245"/>
      <c r="J27" s="245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8"/>
      <c r="B28" s="46" t="s">
        <v>92</v>
      </c>
      <c r="C28" s="10"/>
      <c r="D28" s="48">
        <f t="shared" si="1"/>
        <v>0</v>
      </c>
      <c r="F28" s="91"/>
      <c r="G28" s="61"/>
      <c r="H28" s="185"/>
      <c r="I28" s="186"/>
      <c r="J28" s="187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9" t="s">
        <v>36</v>
      </c>
      <c r="B29" s="160"/>
      <c r="C29" s="161"/>
      <c r="D29" s="165">
        <f>SUM(D6:D28)</f>
        <v>88474</v>
      </c>
      <c r="F29" s="105" t="s">
        <v>54</v>
      </c>
      <c r="G29" s="167"/>
      <c r="H29" s="127">
        <f>H15-H16-H17-H18-H19-H20-H22-H23-H24+H26+H27+H28</f>
        <v>75999.25</v>
      </c>
      <c r="I29" s="128"/>
      <c r="J29" s="129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08"/>
      <c r="G30" s="168"/>
      <c r="H30" s="130"/>
      <c r="I30" s="131"/>
      <c r="J30" s="132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2" t="s">
        <v>57</v>
      </c>
      <c r="B32" s="153"/>
      <c r="C32" s="153"/>
      <c r="D32" s="154"/>
      <c r="F32" s="155" t="s">
        <v>58</v>
      </c>
      <c r="G32" s="156"/>
      <c r="H32" s="156"/>
      <c r="I32" s="156"/>
      <c r="J32" s="157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2" t="s">
        <v>62</v>
      </c>
      <c r="H33" s="155" t="s">
        <v>13</v>
      </c>
      <c r="I33" s="156"/>
      <c r="J33" s="157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6" t="s">
        <v>64</v>
      </c>
      <c r="B34" s="26" t="s">
        <v>65</v>
      </c>
      <c r="C34" s="51"/>
      <c r="D34" s="30">
        <f>C34*120</f>
        <v>0</v>
      </c>
      <c r="F34" s="12">
        <v>1000</v>
      </c>
      <c r="G34" s="40">
        <v>57</v>
      </c>
      <c r="H34" s="149">
        <f t="shared" ref="H34:H39" si="2">F34*G34</f>
        <v>57000</v>
      </c>
      <c r="I34" s="150"/>
      <c r="J34" s="151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7"/>
      <c r="B35" s="27" t="s">
        <v>67</v>
      </c>
      <c r="C35" s="52"/>
      <c r="D35" s="30">
        <f>C35*84</f>
        <v>0</v>
      </c>
      <c r="F35" s="58">
        <v>500</v>
      </c>
      <c r="G35" s="41">
        <v>36</v>
      </c>
      <c r="H35" s="149">
        <f t="shared" si="2"/>
        <v>18000</v>
      </c>
      <c r="I35" s="150"/>
      <c r="J35" s="15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8"/>
      <c r="B36" s="26" t="s">
        <v>69</v>
      </c>
      <c r="C36" s="10"/>
      <c r="D36" s="12">
        <f>C36*1.5</f>
        <v>0</v>
      </c>
      <c r="F36" s="12">
        <v>200</v>
      </c>
      <c r="G36" s="37"/>
      <c r="H36" s="149">
        <f t="shared" si="2"/>
        <v>0</v>
      </c>
      <c r="I36" s="150"/>
      <c r="J36" s="151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6" t="s">
        <v>71</v>
      </c>
      <c r="B37" s="28" t="s">
        <v>65</v>
      </c>
      <c r="C37" s="53">
        <v>86</v>
      </c>
      <c r="D37" s="12">
        <f>C37*111</f>
        <v>9546</v>
      </c>
      <c r="F37" s="12">
        <v>100</v>
      </c>
      <c r="G37" s="39">
        <v>13</v>
      </c>
      <c r="H37" s="149">
        <f t="shared" si="2"/>
        <v>1300</v>
      </c>
      <c r="I37" s="150"/>
      <c r="J37" s="151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7"/>
      <c r="B38" s="29" t="s">
        <v>67</v>
      </c>
      <c r="C38" s="54">
        <v>22</v>
      </c>
      <c r="D38" s="12">
        <f>C38*84</f>
        <v>1848</v>
      </c>
      <c r="F38" s="30">
        <v>50</v>
      </c>
      <c r="G38" s="39">
        <v>4</v>
      </c>
      <c r="H38" s="149">
        <f t="shared" si="2"/>
        <v>200</v>
      </c>
      <c r="I38" s="150"/>
      <c r="J38" s="151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8"/>
      <c r="B39" s="29" t="s">
        <v>69</v>
      </c>
      <c r="C39" s="52">
        <v>2</v>
      </c>
      <c r="D39" s="31">
        <f>C39*4.5</f>
        <v>9</v>
      </c>
      <c r="F39" s="12">
        <v>20</v>
      </c>
      <c r="G39" s="37"/>
      <c r="H39" s="149">
        <f t="shared" si="2"/>
        <v>0</v>
      </c>
      <c r="I39" s="150"/>
      <c r="J39" s="15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6" t="s">
        <v>75</v>
      </c>
      <c r="B40" s="27" t="s">
        <v>65</v>
      </c>
      <c r="C40" s="63">
        <v>6</v>
      </c>
      <c r="D40" s="12">
        <f>C40*111</f>
        <v>666</v>
      </c>
      <c r="F40" s="12">
        <v>10</v>
      </c>
      <c r="G40" s="42"/>
      <c r="H40" s="149"/>
      <c r="I40" s="150"/>
      <c r="J40" s="151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7"/>
      <c r="B41" s="27" t="s">
        <v>67</v>
      </c>
      <c r="C41" s="10">
        <v>3</v>
      </c>
      <c r="D41" s="12">
        <f>C41*84</f>
        <v>252</v>
      </c>
      <c r="F41" s="12">
        <v>5</v>
      </c>
      <c r="G41" s="42"/>
      <c r="H41" s="149"/>
      <c r="I41" s="150"/>
      <c r="J41" s="151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8"/>
      <c r="B42" s="27" t="s">
        <v>69</v>
      </c>
      <c r="C42" s="11">
        <v>5</v>
      </c>
      <c r="D42" s="12">
        <f>C42*2.25</f>
        <v>11.25</v>
      </c>
      <c r="F42" s="39" t="s">
        <v>78</v>
      </c>
      <c r="G42" s="149">
        <v>196</v>
      </c>
      <c r="H42" s="150"/>
      <c r="I42" s="150"/>
      <c r="J42" s="151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19" t="s">
        <v>80</v>
      </c>
      <c r="C43" s="11"/>
      <c r="D43" s="12"/>
      <c r="F43" s="59" t="s">
        <v>81</v>
      </c>
      <c r="G43" s="88" t="s">
        <v>82</v>
      </c>
      <c r="H43" s="141" t="s">
        <v>13</v>
      </c>
      <c r="I43" s="142"/>
      <c r="J43" s="143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20"/>
      <c r="B44" s="27" t="s">
        <v>65</v>
      </c>
      <c r="C44" s="10"/>
      <c r="D44" s="12">
        <f>C44*120</f>
        <v>0</v>
      </c>
      <c r="F44" s="37"/>
      <c r="G44" s="62"/>
      <c r="H44" s="144"/>
      <c r="I44" s="144"/>
      <c r="J44" s="144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20"/>
      <c r="B45" s="27" t="s">
        <v>67</v>
      </c>
      <c r="C45" s="33"/>
      <c r="D45" s="12">
        <f>C45*84</f>
        <v>0</v>
      </c>
      <c r="F45" s="37"/>
      <c r="G45" s="62"/>
      <c r="H45" s="144"/>
      <c r="I45" s="144"/>
      <c r="J45" s="144"/>
      <c r="K45" s="21"/>
      <c r="P45" s="4"/>
      <c r="Q45" s="4"/>
      <c r="R45" s="5"/>
    </row>
    <row r="46" spans="1:18" ht="15.75" x14ac:dyDescent="0.25">
      <c r="A46" s="120"/>
      <c r="B46" s="49" t="s">
        <v>69</v>
      </c>
      <c r="C46" s="81"/>
      <c r="D46" s="12">
        <f>C46*1.5</f>
        <v>0</v>
      </c>
      <c r="F46" s="37"/>
      <c r="G46" s="62"/>
      <c r="H46" s="144"/>
      <c r="I46" s="144"/>
      <c r="J46" s="144"/>
      <c r="K46" s="21"/>
      <c r="P46" s="4"/>
      <c r="Q46" s="4"/>
      <c r="R46" s="5"/>
    </row>
    <row r="47" spans="1:18" ht="15.75" x14ac:dyDescent="0.25">
      <c r="A47" s="121"/>
      <c r="B47" s="27"/>
      <c r="C47" s="11"/>
      <c r="D47" s="12"/>
      <c r="F47" s="59"/>
      <c r="G47" s="59"/>
      <c r="H47" s="122"/>
      <c r="I47" s="123"/>
      <c r="J47" s="124"/>
      <c r="K47" s="21"/>
      <c r="P47" s="4"/>
      <c r="Q47" s="4"/>
      <c r="R47" s="5"/>
    </row>
    <row r="48" spans="1:18" ht="15" customHeight="1" x14ac:dyDescent="0.25">
      <c r="A48" s="119" t="s">
        <v>32</v>
      </c>
      <c r="B48" s="27" t="s">
        <v>65</v>
      </c>
      <c r="C48" s="10">
        <v>1</v>
      </c>
      <c r="D48" s="12">
        <f>C48*78</f>
        <v>78</v>
      </c>
      <c r="F48" s="59"/>
      <c r="G48" s="59"/>
      <c r="H48" s="122"/>
      <c r="I48" s="123"/>
      <c r="J48" s="124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20"/>
      <c r="B49" s="29" t="s">
        <v>67</v>
      </c>
      <c r="C49" s="33">
        <v>1</v>
      </c>
      <c r="D49" s="12">
        <f>C49*42</f>
        <v>42</v>
      </c>
      <c r="F49" s="125" t="s">
        <v>85</v>
      </c>
      <c r="G49" s="127">
        <f>H34+H35+H36+H37+H38+H39+H40+H41+G42+H44+H45+H46</f>
        <v>76696</v>
      </c>
      <c r="H49" s="128"/>
      <c r="I49" s="128"/>
      <c r="J49" s="129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0"/>
      <c r="B50" s="32" t="s">
        <v>69</v>
      </c>
      <c r="C50" s="11">
        <v>15</v>
      </c>
      <c r="D50" s="12">
        <f>C50*1.5</f>
        <v>22.5</v>
      </c>
      <c r="F50" s="126"/>
      <c r="G50" s="130"/>
      <c r="H50" s="131"/>
      <c r="I50" s="131"/>
      <c r="J50" s="132"/>
      <c r="O50" t="s">
        <v>114</v>
      </c>
      <c r="P50" s="4">
        <v>1204</v>
      </c>
      <c r="Q50" s="4"/>
      <c r="R50" s="5"/>
    </row>
    <row r="51" spans="1:18" ht="15" customHeight="1" x14ac:dyDescent="0.25">
      <c r="A51" s="120"/>
      <c r="B51" s="27"/>
      <c r="C51" s="10"/>
      <c r="D51" s="31"/>
      <c r="F51" s="133" t="s">
        <v>173</v>
      </c>
      <c r="G51" s="236">
        <f>G49-H29</f>
        <v>696.75</v>
      </c>
      <c r="H51" s="237"/>
      <c r="I51" s="237"/>
      <c r="J51" s="238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20"/>
      <c r="B52" s="29"/>
      <c r="C52" s="33"/>
      <c r="D52" s="45"/>
      <c r="F52" s="134"/>
      <c r="G52" s="239"/>
      <c r="H52" s="240"/>
      <c r="I52" s="240"/>
      <c r="J52" s="241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1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05" t="s">
        <v>89</v>
      </c>
      <c r="B54" s="106"/>
      <c r="C54" s="107"/>
      <c r="D54" s="111">
        <f>SUM(D34:D53)</f>
        <v>12474.75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08"/>
      <c r="B55" s="109"/>
      <c r="C55" s="110"/>
      <c r="D55" s="11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113" t="s">
        <v>90</v>
      </c>
      <c r="B58" s="114"/>
      <c r="C58" s="114"/>
      <c r="D58" s="115"/>
      <c r="F58" s="113" t="s">
        <v>91</v>
      </c>
      <c r="G58" s="114"/>
      <c r="H58" s="114"/>
      <c r="I58" s="114"/>
      <c r="J58" s="115"/>
    </row>
    <row r="59" spans="1:18" x14ac:dyDescent="0.25">
      <c r="A59" s="116"/>
      <c r="B59" s="117"/>
      <c r="C59" s="117"/>
      <c r="D59" s="118"/>
      <c r="F59" s="116"/>
      <c r="G59" s="117"/>
      <c r="H59" s="117"/>
      <c r="I59" s="117"/>
      <c r="J59" s="118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8F3CCC-25E1-4A7E-BFB7-1A2220AACDF6}">
  <dimension ref="A1:R59"/>
  <sheetViews>
    <sheetView topLeftCell="A28" zoomScaleNormal="100" zoomScaleSheetLayoutView="85" workbookViewId="0">
      <selection activeCell="J66" sqref="J66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1" t="s">
        <v>1</v>
      </c>
      <c r="O1" s="201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2" t="s">
        <v>7</v>
      </c>
      <c r="B4" s="153"/>
      <c r="C4" s="153"/>
      <c r="D4" s="154"/>
      <c r="F4" s="202" t="s">
        <v>8</v>
      </c>
      <c r="G4" s="204">
        <v>2</v>
      </c>
      <c r="H4" s="206" t="s">
        <v>9</v>
      </c>
      <c r="I4" s="208">
        <v>46167</v>
      </c>
      <c r="J4" s="20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6" t="s">
        <v>7</v>
      </c>
      <c r="B5" s="15" t="s">
        <v>11</v>
      </c>
      <c r="C5" s="9" t="s">
        <v>12</v>
      </c>
      <c r="D5" s="25" t="s">
        <v>13</v>
      </c>
      <c r="F5" s="203"/>
      <c r="G5" s="205"/>
      <c r="H5" s="207"/>
      <c r="I5" s="210"/>
      <c r="J5" s="21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7"/>
      <c r="B6" s="16" t="s">
        <v>15</v>
      </c>
      <c r="C6" s="10">
        <v>231</v>
      </c>
      <c r="D6" s="13">
        <f t="shared" ref="D6:D28" si="1">C6*L6</f>
        <v>175791</v>
      </c>
      <c r="F6" s="212" t="s">
        <v>16</v>
      </c>
      <c r="G6" s="214" t="s">
        <v>107</v>
      </c>
      <c r="H6" s="215"/>
      <c r="I6" s="215"/>
      <c r="J6" s="21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7"/>
      <c r="B7" s="16" t="s">
        <v>18</v>
      </c>
      <c r="C7" s="10"/>
      <c r="D7" s="13">
        <f t="shared" si="1"/>
        <v>0</v>
      </c>
      <c r="F7" s="213"/>
      <c r="G7" s="217"/>
      <c r="H7" s="218"/>
      <c r="I7" s="218"/>
      <c r="J7" s="21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7"/>
      <c r="B8" s="16" t="s">
        <v>20</v>
      </c>
      <c r="C8" s="10"/>
      <c r="D8" s="13">
        <f t="shared" si="1"/>
        <v>0</v>
      </c>
      <c r="F8" s="220" t="s">
        <v>21</v>
      </c>
      <c r="G8" s="221" t="s">
        <v>100</v>
      </c>
      <c r="H8" s="222"/>
      <c r="I8" s="222"/>
      <c r="J8" s="22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7"/>
      <c r="B9" s="16" t="s">
        <v>23</v>
      </c>
      <c r="C9" s="10">
        <v>134</v>
      </c>
      <c r="D9" s="13">
        <f t="shared" si="1"/>
        <v>98222</v>
      </c>
      <c r="F9" s="213"/>
      <c r="G9" s="224"/>
      <c r="H9" s="225"/>
      <c r="I9" s="225"/>
      <c r="J9" s="22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7"/>
      <c r="B10" t="s">
        <v>25</v>
      </c>
      <c r="C10" s="10"/>
      <c r="D10" s="13">
        <f t="shared" si="1"/>
        <v>0</v>
      </c>
      <c r="F10" s="212" t="s">
        <v>26</v>
      </c>
      <c r="G10" s="227" t="s">
        <v>101</v>
      </c>
      <c r="H10" s="228"/>
      <c r="I10" s="228"/>
      <c r="J10" s="229"/>
      <c r="K10" s="8"/>
      <c r="L10" s="6">
        <f>R36</f>
        <v>1032</v>
      </c>
      <c r="P10" s="4"/>
      <c r="Q10" s="4"/>
      <c r="R10" s="5"/>
    </row>
    <row r="11" spans="1:18" ht="15.75" x14ac:dyDescent="0.25">
      <c r="A11" s="147"/>
      <c r="B11" s="17" t="s">
        <v>28</v>
      </c>
      <c r="C11" s="10"/>
      <c r="D11" s="13">
        <f t="shared" si="1"/>
        <v>0</v>
      </c>
      <c r="F11" s="213"/>
      <c r="G11" s="224"/>
      <c r="H11" s="225"/>
      <c r="I11" s="225"/>
      <c r="J11" s="22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7"/>
      <c r="B12" s="17" t="s">
        <v>30</v>
      </c>
      <c r="C12" s="10"/>
      <c r="D12" s="48">
        <f t="shared" si="1"/>
        <v>0</v>
      </c>
      <c r="F12" s="230" t="s">
        <v>33</v>
      </c>
      <c r="G12" s="231"/>
      <c r="H12" s="231"/>
      <c r="I12" s="231"/>
      <c r="J12" s="23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7"/>
      <c r="B13" s="17" t="s">
        <v>32</v>
      </c>
      <c r="C13" s="10">
        <v>11</v>
      </c>
      <c r="D13" s="48">
        <f t="shared" si="1"/>
        <v>3377</v>
      </c>
      <c r="F13" s="233" t="s">
        <v>36</v>
      </c>
      <c r="G13" s="197"/>
      <c r="H13" s="188">
        <f>D29</f>
        <v>278040</v>
      </c>
      <c r="I13" s="189"/>
      <c r="J13" s="19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7"/>
      <c r="B14" s="14" t="s">
        <v>35</v>
      </c>
      <c r="C14" s="10"/>
      <c r="D14" s="31">
        <f t="shared" si="1"/>
        <v>0</v>
      </c>
      <c r="F14" s="191" t="s">
        <v>38</v>
      </c>
      <c r="G14" s="192"/>
      <c r="H14" s="193">
        <f>D54</f>
        <v>41770.5</v>
      </c>
      <c r="I14" s="194"/>
      <c r="J14" s="19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7"/>
      <c r="B15" s="14" t="s">
        <v>122</v>
      </c>
      <c r="C15" s="10"/>
      <c r="D15" s="31">
        <f t="shared" si="1"/>
        <v>0</v>
      </c>
      <c r="F15" s="196" t="s">
        <v>39</v>
      </c>
      <c r="G15" s="197"/>
      <c r="H15" s="198">
        <f>H13-H14</f>
        <v>236269.5</v>
      </c>
      <c r="I15" s="199"/>
      <c r="J15" s="200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7"/>
      <c r="B16" s="18" t="s">
        <v>111</v>
      </c>
      <c r="C16" s="10">
        <v>1</v>
      </c>
      <c r="D16" s="48">
        <f t="shared" si="1"/>
        <v>650</v>
      </c>
      <c r="F16" s="67" t="s">
        <v>41</v>
      </c>
      <c r="G16" s="66" t="s">
        <v>42</v>
      </c>
      <c r="H16" s="158">
        <v>2082</v>
      </c>
      <c r="I16" s="158"/>
      <c r="J16" s="158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7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69"/>
      <c r="I17" s="169"/>
      <c r="J17" s="169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7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69"/>
      <c r="I18" s="169"/>
      <c r="J18" s="169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7"/>
      <c r="B19" s="87" t="s">
        <v>105</v>
      </c>
      <c r="C19" s="10"/>
      <c r="D19" s="48">
        <f t="shared" si="1"/>
        <v>0</v>
      </c>
      <c r="F19" s="56"/>
      <c r="G19" s="68" t="s">
        <v>49</v>
      </c>
      <c r="H19" s="253"/>
      <c r="I19" s="253"/>
      <c r="J19" s="253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7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58"/>
      <c r="I20" s="158"/>
      <c r="J20" s="158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7"/>
      <c r="B21" s="14" t="s">
        <v>183</v>
      </c>
      <c r="C21" s="10"/>
      <c r="D21" s="48">
        <f t="shared" si="1"/>
        <v>0</v>
      </c>
      <c r="F21" s="69" t="s">
        <v>94</v>
      </c>
      <c r="G21" s="82" t="s">
        <v>93</v>
      </c>
      <c r="H21" s="171" t="s">
        <v>13</v>
      </c>
      <c r="I21" s="172"/>
      <c r="J21" s="173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7"/>
      <c r="B22" s="46" t="s">
        <v>103</v>
      </c>
      <c r="C22" s="10"/>
      <c r="D22" s="48">
        <f t="shared" si="1"/>
        <v>0</v>
      </c>
      <c r="F22" s="77"/>
      <c r="G22" s="73"/>
      <c r="H22" s="174"/>
      <c r="I22" s="174"/>
      <c r="J22" s="174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7"/>
      <c r="B23" s="14" t="s">
        <v>121</v>
      </c>
      <c r="C23" s="10"/>
      <c r="D23" s="48">
        <f t="shared" si="1"/>
        <v>0</v>
      </c>
      <c r="F23" s="78"/>
      <c r="G23" s="79"/>
      <c r="H23" s="254"/>
      <c r="I23" s="174"/>
      <c r="J23" s="174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7"/>
      <c r="B24" s="14" t="s">
        <v>128</v>
      </c>
      <c r="C24" s="10"/>
      <c r="D24" s="48">
        <f t="shared" si="1"/>
        <v>0</v>
      </c>
      <c r="F24" s="38"/>
      <c r="G24" s="37"/>
      <c r="H24" s="175"/>
      <c r="I24" s="144"/>
      <c r="J24" s="144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7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76" t="s">
        <v>13</v>
      </c>
      <c r="I25" s="177"/>
      <c r="J25" s="178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7"/>
      <c r="B26" s="14" t="s">
        <v>129</v>
      </c>
      <c r="C26" s="10"/>
      <c r="D26" s="48">
        <f t="shared" si="1"/>
        <v>0</v>
      </c>
      <c r="F26" s="64"/>
      <c r="G26" s="59"/>
      <c r="H26" s="179"/>
      <c r="I26" s="180"/>
      <c r="J26" s="181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7"/>
      <c r="B27" s="14" t="s">
        <v>130</v>
      </c>
      <c r="C27" s="10"/>
      <c r="D27" s="44">
        <f t="shared" si="1"/>
        <v>0</v>
      </c>
      <c r="F27" s="25"/>
      <c r="G27" s="80"/>
      <c r="H27" s="182"/>
      <c r="I27" s="183"/>
      <c r="J27" s="184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8"/>
      <c r="B28" s="46" t="s">
        <v>92</v>
      </c>
      <c r="C28" s="10"/>
      <c r="D28" s="48">
        <f t="shared" si="1"/>
        <v>0</v>
      </c>
      <c r="F28" s="91"/>
      <c r="G28" s="61"/>
      <c r="H28" s="185"/>
      <c r="I28" s="186"/>
      <c r="J28" s="187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9" t="s">
        <v>36</v>
      </c>
      <c r="B29" s="160"/>
      <c r="C29" s="161"/>
      <c r="D29" s="165">
        <f>SUM(D6:D28)</f>
        <v>278040</v>
      </c>
      <c r="F29" s="105" t="s">
        <v>54</v>
      </c>
      <c r="G29" s="167"/>
      <c r="H29" s="127">
        <f>H15-H16-H17-H18-H19-H20-H22-H23-H24+H26+H27</f>
        <v>234187.5</v>
      </c>
      <c r="I29" s="128"/>
      <c r="J29" s="129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08"/>
      <c r="G30" s="168"/>
      <c r="H30" s="130"/>
      <c r="I30" s="131"/>
      <c r="J30" s="132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2" t="s">
        <v>57</v>
      </c>
      <c r="B32" s="153"/>
      <c r="C32" s="153"/>
      <c r="D32" s="154"/>
      <c r="F32" s="155" t="s">
        <v>58</v>
      </c>
      <c r="G32" s="156"/>
      <c r="H32" s="156"/>
      <c r="I32" s="156"/>
      <c r="J32" s="157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2" t="s">
        <v>62</v>
      </c>
      <c r="H33" s="155" t="s">
        <v>13</v>
      </c>
      <c r="I33" s="156"/>
      <c r="J33" s="157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6" t="s">
        <v>64</v>
      </c>
      <c r="B34" s="26" t="s">
        <v>65</v>
      </c>
      <c r="C34" s="51"/>
      <c r="D34" s="30">
        <f>C34*120</f>
        <v>0</v>
      </c>
      <c r="F34" s="12">
        <v>1000</v>
      </c>
      <c r="G34" s="74">
        <v>40</v>
      </c>
      <c r="H34" s="149">
        <f>F34*G34</f>
        <v>40000</v>
      </c>
      <c r="I34" s="150"/>
      <c r="J34" s="151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7"/>
      <c r="B35" s="27" t="s">
        <v>67</v>
      </c>
      <c r="C35" s="52"/>
      <c r="D35" s="30">
        <f>C35*84</f>
        <v>0</v>
      </c>
      <c r="F35" s="58">
        <v>500</v>
      </c>
      <c r="G35" s="41">
        <v>203</v>
      </c>
      <c r="H35" s="149">
        <f>F35*G35</f>
        <v>101500</v>
      </c>
      <c r="I35" s="150"/>
      <c r="J35" s="15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8"/>
      <c r="B36" s="26" t="s">
        <v>69</v>
      </c>
      <c r="C36" s="10"/>
      <c r="D36" s="12">
        <f>C36*1.5</f>
        <v>0</v>
      </c>
      <c r="F36" s="12">
        <v>200</v>
      </c>
      <c r="G36" s="37"/>
      <c r="H36" s="149">
        <f t="shared" ref="H36:H39" si="2">F36*G36</f>
        <v>0</v>
      </c>
      <c r="I36" s="150"/>
      <c r="J36" s="151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6" t="s">
        <v>71</v>
      </c>
      <c r="B37" s="28" t="s">
        <v>65</v>
      </c>
      <c r="C37" s="53">
        <v>370</v>
      </c>
      <c r="D37" s="12">
        <f>C37*111</f>
        <v>41070</v>
      </c>
      <c r="F37" s="12">
        <v>100</v>
      </c>
      <c r="G37" s="39">
        <v>86</v>
      </c>
      <c r="H37" s="149">
        <f t="shared" si="2"/>
        <v>8600</v>
      </c>
      <c r="I37" s="150"/>
      <c r="J37" s="151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7"/>
      <c r="B38" s="29" t="s">
        <v>67</v>
      </c>
      <c r="C38" s="54"/>
      <c r="D38" s="12">
        <f>C38*84</f>
        <v>0</v>
      </c>
      <c r="F38" s="30">
        <v>50</v>
      </c>
      <c r="G38" s="39">
        <v>4</v>
      </c>
      <c r="H38" s="149">
        <f t="shared" si="2"/>
        <v>200</v>
      </c>
      <c r="I38" s="150"/>
      <c r="J38" s="151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8"/>
      <c r="B39" s="29" t="s">
        <v>69</v>
      </c>
      <c r="C39" s="52">
        <v>1</v>
      </c>
      <c r="D39" s="31">
        <f>C39*4.5</f>
        <v>4.5</v>
      </c>
      <c r="F39" s="12">
        <v>20</v>
      </c>
      <c r="G39" s="37"/>
      <c r="H39" s="149">
        <f t="shared" si="2"/>
        <v>0</v>
      </c>
      <c r="I39" s="150"/>
      <c r="J39" s="15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6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49"/>
      <c r="I40" s="150"/>
      <c r="J40" s="151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7"/>
      <c r="B41" s="27" t="s">
        <v>67</v>
      </c>
      <c r="C41" s="10"/>
      <c r="D41" s="12">
        <f>C41*84</f>
        <v>0</v>
      </c>
      <c r="F41" s="12">
        <v>5</v>
      </c>
      <c r="G41" s="42"/>
      <c r="H41" s="149"/>
      <c r="I41" s="150"/>
      <c r="J41" s="151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8"/>
      <c r="B42" s="27" t="s">
        <v>69</v>
      </c>
      <c r="C42" s="11"/>
      <c r="D42" s="12">
        <f>C42*2.25</f>
        <v>0</v>
      </c>
      <c r="F42" s="39" t="s">
        <v>78</v>
      </c>
      <c r="G42" s="149">
        <v>83</v>
      </c>
      <c r="H42" s="150"/>
      <c r="I42" s="150"/>
      <c r="J42" s="151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19" t="s">
        <v>80</v>
      </c>
      <c r="C43" s="11"/>
      <c r="D43" s="12"/>
      <c r="F43" s="59" t="s">
        <v>81</v>
      </c>
      <c r="G43" s="88" t="s">
        <v>82</v>
      </c>
      <c r="H43" s="141" t="s">
        <v>13</v>
      </c>
      <c r="I43" s="142"/>
      <c r="J43" s="143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20"/>
      <c r="B44" s="27" t="s">
        <v>65</v>
      </c>
      <c r="C44" s="10"/>
      <c r="D44" s="12">
        <f>C44*120</f>
        <v>0</v>
      </c>
      <c r="F44" s="37" t="s">
        <v>132</v>
      </c>
      <c r="G44" s="76" t="s">
        <v>210</v>
      </c>
      <c r="H44" s="144">
        <v>83720</v>
      </c>
      <c r="I44" s="144"/>
      <c r="J44" s="144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20"/>
      <c r="B45" s="27" t="s">
        <v>67</v>
      </c>
      <c r="C45" s="33"/>
      <c r="D45" s="12">
        <f>C45*84</f>
        <v>0</v>
      </c>
      <c r="F45" s="37"/>
      <c r="G45" s="76"/>
      <c r="H45" s="144"/>
      <c r="I45" s="144"/>
      <c r="J45" s="144"/>
      <c r="K45" s="21"/>
      <c r="P45" s="4"/>
      <c r="Q45" s="4"/>
      <c r="R45" s="5"/>
    </row>
    <row r="46" spans="1:18" ht="15.75" x14ac:dyDescent="0.25">
      <c r="A46" s="120"/>
      <c r="B46" s="49" t="s">
        <v>69</v>
      </c>
      <c r="C46" s="81"/>
      <c r="D46" s="12">
        <f>C46*1.5</f>
        <v>0</v>
      </c>
      <c r="F46" s="37"/>
      <c r="G46" s="62"/>
      <c r="H46" s="145"/>
      <c r="I46" s="145"/>
      <c r="J46" s="145"/>
      <c r="K46" s="21"/>
      <c r="P46" s="4"/>
      <c r="Q46" s="4"/>
      <c r="R46" s="5"/>
    </row>
    <row r="47" spans="1:18" ht="15.75" x14ac:dyDescent="0.25">
      <c r="A47" s="121"/>
      <c r="B47" s="27"/>
      <c r="C47" s="11"/>
      <c r="D47" s="12"/>
      <c r="F47" s="59"/>
      <c r="G47" s="59"/>
      <c r="H47" s="122"/>
      <c r="I47" s="123"/>
      <c r="J47" s="124"/>
      <c r="K47" s="21"/>
      <c r="P47" s="4"/>
      <c r="Q47" s="4"/>
      <c r="R47" s="5"/>
    </row>
    <row r="48" spans="1:18" ht="15" customHeight="1" x14ac:dyDescent="0.25">
      <c r="A48" s="119" t="s">
        <v>32</v>
      </c>
      <c r="B48" s="27" t="s">
        <v>65</v>
      </c>
      <c r="C48" s="10">
        <v>8</v>
      </c>
      <c r="D48" s="12">
        <f>C48*78</f>
        <v>624</v>
      </c>
      <c r="F48" s="59"/>
      <c r="G48" s="59"/>
      <c r="H48" s="122"/>
      <c r="I48" s="123"/>
      <c r="J48" s="124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20"/>
      <c r="B49" s="29" t="s">
        <v>67</v>
      </c>
      <c r="C49" s="33">
        <v>1</v>
      </c>
      <c r="D49" s="12">
        <f>C49*42</f>
        <v>42</v>
      </c>
      <c r="F49" s="125" t="s">
        <v>85</v>
      </c>
      <c r="G49" s="127">
        <f>H34+H35+H36+H37+H38+H39+H40+H41+G42+H44+H45+H46</f>
        <v>234103</v>
      </c>
      <c r="H49" s="128"/>
      <c r="I49" s="128"/>
      <c r="J49" s="129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0"/>
      <c r="B50" s="32" t="s">
        <v>69</v>
      </c>
      <c r="C50" s="81">
        <v>20</v>
      </c>
      <c r="D50" s="12">
        <f>C50*1.5</f>
        <v>30</v>
      </c>
      <c r="F50" s="126"/>
      <c r="G50" s="130"/>
      <c r="H50" s="131"/>
      <c r="I50" s="131"/>
      <c r="J50" s="132"/>
      <c r="O50" t="s">
        <v>114</v>
      </c>
      <c r="P50" s="4">
        <v>1204</v>
      </c>
      <c r="Q50" s="4"/>
      <c r="R50" s="5"/>
    </row>
    <row r="51" spans="1:18" ht="15" customHeight="1" x14ac:dyDescent="0.25">
      <c r="A51" s="120"/>
      <c r="B51" s="27"/>
      <c r="C51" s="10"/>
      <c r="D51" s="31"/>
      <c r="F51" s="133" t="s">
        <v>186</v>
      </c>
      <c r="G51" s="246">
        <f>G49-H29</f>
        <v>-84.5</v>
      </c>
      <c r="H51" s="247"/>
      <c r="I51" s="247"/>
      <c r="J51" s="248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20"/>
      <c r="B52" s="29"/>
      <c r="C52" s="33"/>
      <c r="D52" s="45"/>
      <c r="F52" s="134"/>
      <c r="G52" s="249"/>
      <c r="H52" s="250"/>
      <c r="I52" s="250"/>
      <c r="J52" s="251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1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05" t="s">
        <v>89</v>
      </c>
      <c r="B54" s="106"/>
      <c r="C54" s="107"/>
      <c r="D54" s="111">
        <f>SUM(D34:D53)</f>
        <v>41770.5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08"/>
      <c r="B55" s="109"/>
      <c r="C55" s="110"/>
      <c r="D55" s="11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13" t="s">
        <v>90</v>
      </c>
      <c r="B58" s="114"/>
      <c r="C58" s="114"/>
      <c r="D58" s="115"/>
      <c r="F58" s="113" t="s">
        <v>91</v>
      </c>
      <c r="G58" s="114"/>
      <c r="H58" s="114"/>
      <c r="I58" s="114"/>
      <c r="J58" s="115"/>
    </row>
    <row r="59" spans="1:18" x14ac:dyDescent="0.25">
      <c r="A59" s="116"/>
      <c r="B59" s="117"/>
      <c r="C59" s="117"/>
      <c r="D59" s="118"/>
      <c r="F59" s="116"/>
      <c r="G59" s="117"/>
      <c r="H59" s="117"/>
      <c r="I59" s="117"/>
      <c r="J59" s="118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0FA32B-2EE2-47EE-BBD2-26E5D18ECA3B}">
  <dimension ref="A1:R59"/>
  <sheetViews>
    <sheetView topLeftCell="A28" zoomScaleNormal="100" zoomScaleSheetLayoutView="85" workbookViewId="0">
      <selection activeCell="I54" sqref="I54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1" t="s">
        <v>1</v>
      </c>
      <c r="O1" s="201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2" t="s">
        <v>7</v>
      </c>
      <c r="B4" s="153"/>
      <c r="C4" s="153"/>
      <c r="D4" s="154"/>
      <c r="F4" s="202" t="s">
        <v>8</v>
      </c>
      <c r="G4" s="204">
        <v>3</v>
      </c>
      <c r="H4" s="206" t="s">
        <v>9</v>
      </c>
      <c r="I4" s="208">
        <v>46167</v>
      </c>
      <c r="J4" s="20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6" t="s">
        <v>7</v>
      </c>
      <c r="B5" s="15" t="s">
        <v>11</v>
      </c>
      <c r="C5" s="9" t="s">
        <v>12</v>
      </c>
      <c r="D5" s="25" t="s">
        <v>13</v>
      </c>
      <c r="F5" s="203"/>
      <c r="G5" s="205"/>
      <c r="H5" s="207"/>
      <c r="I5" s="210"/>
      <c r="J5" s="21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7"/>
      <c r="B6" s="16" t="s">
        <v>15</v>
      </c>
      <c r="C6" s="10">
        <v>448</v>
      </c>
      <c r="D6" s="13">
        <f t="shared" ref="D6:D28" si="1">C6*L6</f>
        <v>340928</v>
      </c>
      <c r="F6" s="212" t="s">
        <v>16</v>
      </c>
      <c r="G6" s="214" t="s">
        <v>117</v>
      </c>
      <c r="H6" s="215"/>
      <c r="I6" s="215"/>
      <c r="J6" s="21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7"/>
      <c r="B7" s="16" t="s">
        <v>18</v>
      </c>
      <c r="C7" s="10">
        <v>14</v>
      </c>
      <c r="D7" s="13">
        <f t="shared" si="1"/>
        <v>10934</v>
      </c>
      <c r="F7" s="213"/>
      <c r="G7" s="217"/>
      <c r="H7" s="218"/>
      <c r="I7" s="218"/>
      <c r="J7" s="21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7"/>
      <c r="B8" s="16" t="s">
        <v>20</v>
      </c>
      <c r="C8" s="10"/>
      <c r="D8" s="13">
        <f t="shared" si="1"/>
        <v>0</v>
      </c>
      <c r="F8" s="220" t="s">
        <v>21</v>
      </c>
      <c r="G8" s="221" t="s">
        <v>110</v>
      </c>
      <c r="H8" s="222"/>
      <c r="I8" s="222"/>
      <c r="J8" s="22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7"/>
      <c r="B9" s="16" t="s">
        <v>23</v>
      </c>
      <c r="C9" s="10">
        <v>100</v>
      </c>
      <c r="D9" s="13">
        <f t="shared" si="1"/>
        <v>73300</v>
      </c>
      <c r="F9" s="213"/>
      <c r="G9" s="224"/>
      <c r="H9" s="225"/>
      <c r="I9" s="225"/>
      <c r="J9" s="22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7"/>
      <c r="B10" t="s">
        <v>25</v>
      </c>
      <c r="C10" s="10"/>
      <c r="D10" s="13">
        <f t="shared" si="1"/>
        <v>0</v>
      </c>
      <c r="F10" s="212" t="s">
        <v>26</v>
      </c>
      <c r="G10" s="227" t="s">
        <v>124</v>
      </c>
      <c r="H10" s="228"/>
      <c r="I10" s="228"/>
      <c r="J10" s="229"/>
      <c r="K10" s="8"/>
      <c r="L10" s="6">
        <f>R36</f>
        <v>1032</v>
      </c>
      <c r="P10" s="4"/>
      <c r="Q10" s="4"/>
      <c r="R10" s="5"/>
    </row>
    <row r="11" spans="1:18" ht="15.75" x14ac:dyDescent="0.25">
      <c r="A11" s="147"/>
      <c r="B11" s="17" t="s">
        <v>28</v>
      </c>
      <c r="C11" s="10"/>
      <c r="D11" s="13">
        <f t="shared" si="1"/>
        <v>0</v>
      </c>
      <c r="F11" s="213"/>
      <c r="G11" s="224"/>
      <c r="H11" s="225"/>
      <c r="I11" s="225"/>
      <c r="J11" s="22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7"/>
      <c r="B12" s="17" t="s">
        <v>30</v>
      </c>
      <c r="C12" s="10"/>
      <c r="D12" s="48">
        <f t="shared" si="1"/>
        <v>0</v>
      </c>
      <c r="F12" s="230" t="s">
        <v>33</v>
      </c>
      <c r="G12" s="231"/>
      <c r="H12" s="231"/>
      <c r="I12" s="231"/>
      <c r="J12" s="23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7"/>
      <c r="B13" s="17" t="s">
        <v>32</v>
      </c>
      <c r="C13" s="10">
        <v>15</v>
      </c>
      <c r="D13" s="48">
        <f t="shared" si="1"/>
        <v>4605</v>
      </c>
      <c r="F13" s="233" t="s">
        <v>36</v>
      </c>
      <c r="G13" s="197"/>
      <c r="H13" s="188">
        <f>D29</f>
        <v>429899</v>
      </c>
      <c r="I13" s="189"/>
      <c r="J13" s="19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7"/>
      <c r="B14" s="14" t="s">
        <v>35</v>
      </c>
      <c r="C14" s="10">
        <v>12</v>
      </c>
      <c r="D14" s="31">
        <f t="shared" si="1"/>
        <v>132</v>
      </c>
      <c r="F14" s="191" t="s">
        <v>38</v>
      </c>
      <c r="G14" s="192"/>
      <c r="H14" s="193">
        <f>D54</f>
        <v>41526</v>
      </c>
      <c r="I14" s="194"/>
      <c r="J14" s="19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7"/>
      <c r="B15" s="14" t="s">
        <v>122</v>
      </c>
      <c r="C15" s="10"/>
      <c r="D15" s="31">
        <f t="shared" si="1"/>
        <v>0</v>
      </c>
      <c r="F15" s="196" t="s">
        <v>39</v>
      </c>
      <c r="G15" s="197"/>
      <c r="H15" s="198">
        <f>H13-H14</f>
        <v>388373</v>
      </c>
      <c r="I15" s="199"/>
      <c r="J15" s="200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7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58">
        <f>1440+300</f>
        <v>1740</v>
      </c>
      <c r="I16" s="158"/>
      <c r="J16" s="158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7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69"/>
      <c r="I17" s="169"/>
      <c r="J17" s="169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7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69"/>
      <c r="I18" s="169"/>
      <c r="J18" s="169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7"/>
      <c r="B19" s="87" t="s">
        <v>105</v>
      </c>
      <c r="C19" s="10"/>
      <c r="D19" s="48">
        <f t="shared" si="1"/>
        <v>0</v>
      </c>
      <c r="F19" s="56"/>
      <c r="G19" s="68" t="s">
        <v>49</v>
      </c>
      <c r="H19" s="253">
        <v>50</v>
      </c>
      <c r="I19" s="253"/>
      <c r="J19" s="253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7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58"/>
      <c r="I20" s="158"/>
      <c r="J20" s="158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7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71" t="s">
        <v>13</v>
      </c>
      <c r="I21" s="172"/>
      <c r="J21" s="173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7"/>
      <c r="B22" s="46" t="s">
        <v>103</v>
      </c>
      <c r="C22" s="10"/>
      <c r="D22" s="48">
        <f t="shared" si="1"/>
        <v>0</v>
      </c>
      <c r="F22" s="77"/>
      <c r="G22" s="73"/>
      <c r="H22" s="174"/>
      <c r="I22" s="174"/>
      <c r="J22" s="174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7"/>
      <c r="B23" s="14" t="s">
        <v>121</v>
      </c>
      <c r="C23" s="10"/>
      <c r="D23" s="48">
        <f t="shared" si="1"/>
        <v>0</v>
      </c>
      <c r="F23" s="78"/>
      <c r="G23" s="79"/>
      <c r="H23" s="254"/>
      <c r="I23" s="174"/>
      <c r="J23" s="174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7"/>
      <c r="B24" s="14" t="s">
        <v>128</v>
      </c>
      <c r="C24" s="10"/>
      <c r="D24" s="48">
        <f t="shared" si="1"/>
        <v>0</v>
      </c>
      <c r="F24" s="38"/>
      <c r="G24" s="37"/>
      <c r="H24" s="175"/>
      <c r="I24" s="144"/>
      <c r="J24" s="144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7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76" t="s">
        <v>13</v>
      </c>
      <c r="I25" s="177"/>
      <c r="J25" s="178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7"/>
      <c r="B26" s="14" t="s">
        <v>129</v>
      </c>
      <c r="C26" s="10"/>
      <c r="D26" s="48">
        <f t="shared" si="1"/>
        <v>0</v>
      </c>
      <c r="F26" s="64"/>
      <c r="G26" s="59"/>
      <c r="H26" s="179"/>
      <c r="I26" s="180"/>
      <c r="J26" s="181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7"/>
      <c r="B27" s="14" t="s">
        <v>130</v>
      </c>
      <c r="C27" s="10"/>
      <c r="D27" s="44">
        <f t="shared" si="1"/>
        <v>0</v>
      </c>
      <c r="F27" s="25"/>
      <c r="G27" s="80"/>
      <c r="H27" s="182"/>
      <c r="I27" s="183"/>
      <c r="J27" s="184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8"/>
      <c r="B28" s="46" t="s">
        <v>92</v>
      </c>
      <c r="C28" s="10"/>
      <c r="D28" s="48">
        <f t="shared" si="1"/>
        <v>0</v>
      </c>
      <c r="F28" s="91"/>
      <c r="G28" s="61"/>
      <c r="H28" s="185"/>
      <c r="I28" s="186"/>
      <c r="J28" s="187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9" t="s">
        <v>36</v>
      </c>
      <c r="B29" s="160"/>
      <c r="C29" s="161"/>
      <c r="D29" s="165">
        <f>SUM(D6:D28)</f>
        <v>429899</v>
      </c>
      <c r="F29" s="105" t="s">
        <v>54</v>
      </c>
      <c r="G29" s="167"/>
      <c r="H29" s="127">
        <f>H15-H16-H17-H18-H19-H20-H22-H23-H24+H26+H27</f>
        <v>386583</v>
      </c>
      <c r="I29" s="128"/>
      <c r="J29" s="129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08"/>
      <c r="G30" s="168"/>
      <c r="H30" s="130"/>
      <c r="I30" s="131"/>
      <c r="J30" s="132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2" t="s">
        <v>57</v>
      </c>
      <c r="B32" s="153"/>
      <c r="C32" s="153"/>
      <c r="D32" s="154"/>
      <c r="F32" s="155" t="s">
        <v>58</v>
      </c>
      <c r="G32" s="156"/>
      <c r="H32" s="156"/>
      <c r="I32" s="156"/>
      <c r="J32" s="157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2" t="s">
        <v>62</v>
      </c>
      <c r="H33" s="155" t="s">
        <v>13</v>
      </c>
      <c r="I33" s="156"/>
      <c r="J33" s="157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6" t="s">
        <v>64</v>
      </c>
      <c r="B34" s="26" t="s">
        <v>65</v>
      </c>
      <c r="C34" s="51"/>
      <c r="D34" s="30">
        <f>C34*120</f>
        <v>0</v>
      </c>
      <c r="F34" s="12">
        <v>1000</v>
      </c>
      <c r="G34" s="74">
        <v>64</v>
      </c>
      <c r="H34" s="149">
        <f>F34*G34</f>
        <v>64000</v>
      </c>
      <c r="I34" s="150"/>
      <c r="J34" s="151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7"/>
      <c r="B35" s="27" t="s">
        <v>67</v>
      </c>
      <c r="C35" s="52"/>
      <c r="D35" s="30">
        <f>C35*84</f>
        <v>0</v>
      </c>
      <c r="F35" s="58">
        <v>500</v>
      </c>
      <c r="G35" s="41">
        <v>3</v>
      </c>
      <c r="H35" s="149">
        <f>F35*G35</f>
        <v>1500</v>
      </c>
      <c r="I35" s="150"/>
      <c r="J35" s="15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8"/>
      <c r="B36" s="26" t="s">
        <v>69</v>
      </c>
      <c r="C36" s="10"/>
      <c r="D36" s="12">
        <f>C36*1.5</f>
        <v>0</v>
      </c>
      <c r="F36" s="12">
        <v>200</v>
      </c>
      <c r="G36" s="37"/>
      <c r="H36" s="149">
        <f t="shared" ref="H36:H39" si="2">F36*G36</f>
        <v>0</v>
      </c>
      <c r="I36" s="150"/>
      <c r="J36" s="151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6" t="s">
        <v>71</v>
      </c>
      <c r="B37" s="28" t="s">
        <v>65</v>
      </c>
      <c r="C37" s="53">
        <v>361</v>
      </c>
      <c r="D37" s="12">
        <f>C37*111</f>
        <v>40071</v>
      </c>
      <c r="F37" s="12">
        <v>100</v>
      </c>
      <c r="G37" s="39">
        <v>3</v>
      </c>
      <c r="H37" s="149">
        <f t="shared" si="2"/>
        <v>300</v>
      </c>
      <c r="I37" s="150"/>
      <c r="J37" s="151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7"/>
      <c r="B38" s="29" t="s">
        <v>67</v>
      </c>
      <c r="C38" s="54">
        <v>5</v>
      </c>
      <c r="D38" s="12">
        <f>C38*84</f>
        <v>420</v>
      </c>
      <c r="F38" s="30">
        <v>50</v>
      </c>
      <c r="G38" s="39">
        <v>1</v>
      </c>
      <c r="H38" s="149">
        <f t="shared" si="2"/>
        <v>50</v>
      </c>
      <c r="I38" s="150"/>
      <c r="J38" s="151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8"/>
      <c r="B39" s="29" t="s">
        <v>69</v>
      </c>
      <c r="C39" s="52">
        <v>1</v>
      </c>
      <c r="D39" s="31">
        <f>C39*4.5</f>
        <v>4.5</v>
      </c>
      <c r="F39" s="12">
        <v>20</v>
      </c>
      <c r="G39" s="37"/>
      <c r="H39" s="149">
        <f t="shared" si="2"/>
        <v>0</v>
      </c>
      <c r="I39" s="150"/>
      <c r="J39" s="15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6" t="s">
        <v>75</v>
      </c>
      <c r="B40" s="27" t="s">
        <v>65</v>
      </c>
      <c r="C40" s="63">
        <v>4</v>
      </c>
      <c r="D40" s="12">
        <f>C40*111</f>
        <v>444</v>
      </c>
      <c r="F40" s="12">
        <v>10</v>
      </c>
      <c r="G40" s="42"/>
      <c r="H40" s="149"/>
      <c r="I40" s="150"/>
      <c r="J40" s="151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7"/>
      <c r="B41" s="27" t="s">
        <v>67</v>
      </c>
      <c r="C41" s="10">
        <v>1</v>
      </c>
      <c r="D41" s="12">
        <f>C41*84</f>
        <v>84</v>
      </c>
      <c r="F41" s="12">
        <v>5</v>
      </c>
      <c r="G41" s="42"/>
      <c r="H41" s="149"/>
      <c r="I41" s="150"/>
      <c r="J41" s="151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8"/>
      <c r="B42" s="27" t="s">
        <v>69</v>
      </c>
      <c r="C42" s="11">
        <v>6</v>
      </c>
      <c r="D42" s="12">
        <f>C42*2.25</f>
        <v>13.5</v>
      </c>
      <c r="F42" s="39" t="s">
        <v>78</v>
      </c>
      <c r="G42" s="149">
        <v>56</v>
      </c>
      <c r="H42" s="150"/>
      <c r="I42" s="150"/>
      <c r="J42" s="151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19" t="s">
        <v>80</v>
      </c>
      <c r="C43" s="11"/>
      <c r="D43" s="12"/>
      <c r="F43" s="59" t="s">
        <v>81</v>
      </c>
      <c r="G43" s="88" t="s">
        <v>82</v>
      </c>
      <c r="H43" s="141" t="s">
        <v>13</v>
      </c>
      <c r="I43" s="142"/>
      <c r="J43" s="143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20"/>
      <c r="B44" s="27" t="s">
        <v>65</v>
      </c>
      <c r="C44" s="10"/>
      <c r="D44" s="12">
        <f>C44*120</f>
        <v>0</v>
      </c>
      <c r="F44" s="37" t="s">
        <v>132</v>
      </c>
      <c r="G44" s="76" t="s">
        <v>211</v>
      </c>
      <c r="H44" s="144">
        <v>155617</v>
      </c>
      <c r="I44" s="144"/>
      <c r="J44" s="144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20"/>
      <c r="B45" s="27" t="s">
        <v>67</v>
      </c>
      <c r="C45" s="33"/>
      <c r="D45" s="12">
        <f>C45*84</f>
        <v>0</v>
      </c>
      <c r="F45" s="37" t="s">
        <v>189</v>
      </c>
      <c r="G45" s="76" t="s">
        <v>212</v>
      </c>
      <c r="H45" s="144">
        <v>172322</v>
      </c>
      <c r="I45" s="144"/>
      <c r="J45" s="144"/>
      <c r="K45" s="21"/>
      <c r="P45" s="4"/>
      <c r="Q45" s="4"/>
      <c r="R45" s="5"/>
    </row>
    <row r="46" spans="1:18" ht="15.75" x14ac:dyDescent="0.25">
      <c r="A46" s="120"/>
      <c r="B46" s="49" t="s">
        <v>69</v>
      </c>
      <c r="C46" s="81">
        <v>2</v>
      </c>
      <c r="D46" s="12">
        <f>C46*1.5</f>
        <v>3</v>
      </c>
      <c r="F46" s="37"/>
      <c r="G46" s="62"/>
      <c r="H46" s="145"/>
      <c r="I46" s="145"/>
      <c r="J46" s="145"/>
      <c r="K46" s="21"/>
      <c r="P46" s="4"/>
      <c r="Q46" s="4"/>
      <c r="R46" s="5"/>
    </row>
    <row r="47" spans="1:18" ht="15.75" x14ac:dyDescent="0.25">
      <c r="A47" s="121"/>
      <c r="B47" s="27"/>
      <c r="C47" s="11"/>
      <c r="D47" s="12"/>
      <c r="F47" s="59"/>
      <c r="G47" s="59"/>
      <c r="H47" s="122"/>
      <c r="I47" s="123"/>
      <c r="J47" s="124"/>
      <c r="K47" s="21"/>
      <c r="P47" s="4"/>
      <c r="Q47" s="4"/>
      <c r="R47" s="5"/>
    </row>
    <row r="48" spans="1:18" ht="15" customHeight="1" x14ac:dyDescent="0.25">
      <c r="A48" s="119" t="s">
        <v>32</v>
      </c>
      <c r="B48" s="27" t="s">
        <v>65</v>
      </c>
      <c r="C48" s="10">
        <v>3</v>
      </c>
      <c r="D48" s="12">
        <f>C48*78</f>
        <v>234</v>
      </c>
      <c r="F48" s="59"/>
      <c r="G48" s="59"/>
      <c r="H48" s="122"/>
      <c r="I48" s="123"/>
      <c r="J48" s="124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20"/>
      <c r="B49" s="29" t="s">
        <v>67</v>
      </c>
      <c r="C49" s="33">
        <v>6</v>
      </c>
      <c r="D49" s="12">
        <f>C49*42</f>
        <v>252</v>
      </c>
      <c r="F49" s="125" t="s">
        <v>85</v>
      </c>
      <c r="G49" s="127">
        <f>H34+H35+H36+H37+H38+H39+H40+H41+G42+H44+H45+H46</f>
        <v>393845</v>
      </c>
      <c r="H49" s="128"/>
      <c r="I49" s="128"/>
      <c r="J49" s="129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0"/>
      <c r="B50" s="32" t="s">
        <v>69</v>
      </c>
      <c r="C50" s="11"/>
      <c r="D50" s="12">
        <f>C50*1.5</f>
        <v>0</v>
      </c>
      <c r="F50" s="126"/>
      <c r="G50" s="130"/>
      <c r="H50" s="131"/>
      <c r="I50" s="131"/>
      <c r="J50" s="132"/>
      <c r="O50" t="s">
        <v>114</v>
      </c>
      <c r="P50" s="4">
        <v>1204</v>
      </c>
      <c r="Q50" s="4"/>
      <c r="R50" s="5"/>
    </row>
    <row r="51" spans="1:18" ht="15" customHeight="1" x14ac:dyDescent="0.25">
      <c r="A51" s="120"/>
      <c r="B51" s="27"/>
      <c r="C51" s="10"/>
      <c r="D51" s="31"/>
      <c r="F51" s="133" t="s">
        <v>195</v>
      </c>
      <c r="G51" s="236">
        <f>G49-H29</f>
        <v>7262</v>
      </c>
      <c r="H51" s="237"/>
      <c r="I51" s="237"/>
      <c r="J51" s="238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20"/>
      <c r="B52" s="29"/>
      <c r="C52" s="33"/>
      <c r="D52" s="45"/>
      <c r="F52" s="134"/>
      <c r="G52" s="239"/>
      <c r="H52" s="240"/>
      <c r="I52" s="240"/>
      <c r="J52" s="241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1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05" t="s">
        <v>89</v>
      </c>
      <c r="B54" s="106"/>
      <c r="C54" s="107"/>
      <c r="D54" s="111">
        <f>SUM(D34:D53)</f>
        <v>41526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08"/>
      <c r="B55" s="109"/>
      <c r="C55" s="110"/>
      <c r="D55" s="11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13" t="s">
        <v>90</v>
      </c>
      <c r="B58" s="114"/>
      <c r="C58" s="114"/>
      <c r="D58" s="115"/>
      <c r="F58" s="113" t="s">
        <v>91</v>
      </c>
      <c r="G58" s="114"/>
      <c r="H58" s="114"/>
      <c r="I58" s="114"/>
      <c r="J58" s="115"/>
    </row>
    <row r="59" spans="1:18" x14ac:dyDescent="0.25">
      <c r="A59" s="116"/>
      <c r="B59" s="117"/>
      <c r="C59" s="117"/>
      <c r="D59" s="118"/>
      <c r="F59" s="116"/>
      <c r="G59" s="117"/>
      <c r="H59" s="117"/>
      <c r="I59" s="117"/>
      <c r="J59" s="118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AB449F-8887-4E15-A3DC-8C7C9B29B55E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01" t="s">
        <v>1</v>
      </c>
      <c r="O1" s="201"/>
      <c r="P1" s="97" t="s">
        <v>2</v>
      </c>
      <c r="Q1" s="97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52" t="s">
        <v>7</v>
      </c>
      <c r="B4" s="153"/>
      <c r="C4" s="153"/>
      <c r="D4" s="154"/>
      <c r="F4" s="202" t="s">
        <v>8</v>
      </c>
      <c r="G4" s="204"/>
      <c r="H4" s="206" t="s">
        <v>9</v>
      </c>
      <c r="I4" s="208"/>
      <c r="J4" s="20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46" t="s">
        <v>7</v>
      </c>
      <c r="B5" s="15" t="s">
        <v>11</v>
      </c>
      <c r="C5" s="9" t="s">
        <v>12</v>
      </c>
      <c r="D5" s="25" t="s">
        <v>13</v>
      </c>
      <c r="F5" s="203"/>
      <c r="G5" s="205"/>
      <c r="H5" s="207"/>
      <c r="I5" s="210"/>
      <c r="J5" s="21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47"/>
      <c r="B6" s="16"/>
      <c r="C6" s="10"/>
      <c r="D6" s="13">
        <f t="shared" ref="D6:D28" si="1">C6*L6</f>
        <v>0</v>
      </c>
      <c r="F6" s="212" t="s">
        <v>16</v>
      </c>
      <c r="G6" s="214"/>
      <c r="H6" s="215"/>
      <c r="I6" s="215"/>
      <c r="J6" s="216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47"/>
      <c r="B7" s="16"/>
      <c r="C7" s="10"/>
      <c r="D7" s="13">
        <f t="shared" si="1"/>
        <v>0</v>
      </c>
      <c r="F7" s="213"/>
      <c r="G7" s="217"/>
      <c r="H7" s="218"/>
      <c r="I7" s="218"/>
      <c r="J7" s="219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47"/>
      <c r="B8" s="16"/>
      <c r="C8" s="10"/>
      <c r="D8" s="13">
        <f t="shared" si="1"/>
        <v>0</v>
      </c>
      <c r="F8" s="220" t="s">
        <v>21</v>
      </c>
      <c r="G8" s="221"/>
      <c r="H8" s="222"/>
      <c r="I8" s="222"/>
      <c r="J8" s="223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47"/>
      <c r="B9" s="16"/>
      <c r="C9" s="10"/>
      <c r="D9" s="13">
        <f t="shared" si="1"/>
        <v>0</v>
      </c>
      <c r="F9" s="213"/>
      <c r="G9" s="224"/>
      <c r="H9" s="225"/>
      <c r="I9" s="225"/>
      <c r="J9" s="226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47"/>
      <c r="C10" s="10"/>
      <c r="D10" s="13">
        <f t="shared" si="1"/>
        <v>0</v>
      </c>
      <c r="F10" s="212" t="s">
        <v>26</v>
      </c>
      <c r="G10" s="227"/>
      <c r="H10" s="228"/>
      <c r="I10" s="228"/>
      <c r="J10" s="229"/>
      <c r="K10" s="8"/>
      <c r="L10" s="6">
        <f>R36</f>
        <v>972</v>
      </c>
      <c r="P10" s="4"/>
      <c r="Q10" s="4"/>
      <c r="R10" s="5"/>
    </row>
    <row r="11" spans="1:19" ht="15.75" x14ac:dyDescent="0.25">
      <c r="A11" s="147"/>
      <c r="B11" s="17"/>
      <c r="C11" s="10"/>
      <c r="D11" s="13">
        <f t="shared" si="1"/>
        <v>0</v>
      </c>
      <c r="F11" s="213"/>
      <c r="G11" s="224"/>
      <c r="H11" s="225"/>
      <c r="I11" s="225"/>
      <c r="J11" s="226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47"/>
      <c r="B12" s="17"/>
      <c r="C12" s="10"/>
      <c r="D12" s="48">
        <f t="shared" si="1"/>
        <v>0</v>
      </c>
      <c r="F12" s="230" t="s">
        <v>33</v>
      </c>
      <c r="G12" s="231"/>
      <c r="H12" s="231"/>
      <c r="I12" s="231"/>
      <c r="J12" s="232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47"/>
      <c r="B13" s="17"/>
      <c r="C13" s="10"/>
      <c r="D13" s="48">
        <f t="shared" si="1"/>
        <v>0</v>
      </c>
      <c r="F13" s="233" t="s">
        <v>36</v>
      </c>
      <c r="G13" s="197"/>
      <c r="H13" s="188">
        <f>D29</f>
        <v>0</v>
      </c>
      <c r="I13" s="189"/>
      <c r="J13" s="19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47"/>
      <c r="B14" s="14"/>
      <c r="C14" s="10"/>
      <c r="D14" s="31">
        <f t="shared" si="1"/>
        <v>0</v>
      </c>
      <c r="F14" s="191" t="s">
        <v>38</v>
      </c>
      <c r="G14" s="192"/>
      <c r="H14" s="193">
        <f>D54</f>
        <v>0</v>
      </c>
      <c r="I14" s="194"/>
      <c r="J14" s="19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47"/>
      <c r="B15" s="14"/>
      <c r="C15" s="10"/>
      <c r="D15" s="31">
        <f t="shared" si="1"/>
        <v>0</v>
      </c>
      <c r="F15" s="196" t="s">
        <v>39</v>
      </c>
      <c r="G15" s="197"/>
      <c r="H15" s="198">
        <f>H13-H14</f>
        <v>0</v>
      </c>
      <c r="I15" s="199"/>
      <c r="J15" s="200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47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58"/>
      <c r="I16" s="158"/>
      <c r="J16" s="158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7"/>
      <c r="C17" s="10"/>
      <c r="D17" s="48">
        <f t="shared" si="1"/>
        <v>0</v>
      </c>
      <c r="F17" s="56"/>
      <c r="G17" s="66" t="s">
        <v>44</v>
      </c>
      <c r="H17" s="169"/>
      <c r="I17" s="169"/>
      <c r="J17" s="169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7"/>
      <c r="B18" s="19"/>
      <c r="C18" s="10"/>
      <c r="D18" s="48">
        <f t="shared" si="1"/>
        <v>0</v>
      </c>
      <c r="F18" s="56"/>
      <c r="G18" s="66" t="s">
        <v>46</v>
      </c>
      <c r="H18" s="169"/>
      <c r="I18" s="169"/>
      <c r="J18" s="16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7"/>
      <c r="B19" s="14"/>
      <c r="C19" s="10"/>
      <c r="D19" s="48">
        <f t="shared" si="1"/>
        <v>0</v>
      </c>
      <c r="F19" s="56"/>
      <c r="G19" s="68" t="s">
        <v>49</v>
      </c>
      <c r="H19" s="170"/>
      <c r="I19" s="170"/>
      <c r="J19" s="170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7"/>
      <c r="B20" s="46"/>
      <c r="C20" s="10"/>
      <c r="D20" s="13">
        <f t="shared" si="1"/>
        <v>0</v>
      </c>
      <c r="F20" s="57"/>
      <c r="G20" s="70" t="s">
        <v>102</v>
      </c>
      <c r="H20" s="158"/>
      <c r="I20" s="158"/>
      <c r="J20" s="158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7"/>
      <c r="B21" s="14"/>
      <c r="C21" s="10"/>
      <c r="D21" s="48">
        <f t="shared" si="1"/>
        <v>0</v>
      </c>
      <c r="F21" s="69" t="s">
        <v>94</v>
      </c>
      <c r="G21" s="82" t="s">
        <v>93</v>
      </c>
      <c r="H21" s="171" t="s">
        <v>13</v>
      </c>
      <c r="I21" s="172"/>
      <c r="J21" s="173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7"/>
      <c r="B22" s="46"/>
      <c r="C22" s="10"/>
      <c r="D22" s="48">
        <f t="shared" si="1"/>
        <v>0</v>
      </c>
      <c r="F22" s="77"/>
      <c r="G22" s="73"/>
      <c r="H22" s="174"/>
      <c r="I22" s="174"/>
      <c r="J22" s="174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7"/>
      <c r="B23" s="14"/>
      <c r="C23" s="10"/>
      <c r="D23" s="48">
        <f t="shared" si="1"/>
        <v>0</v>
      </c>
      <c r="F23" s="78"/>
      <c r="G23" s="79"/>
      <c r="H23" s="175"/>
      <c r="I23" s="144"/>
      <c r="J23" s="144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7"/>
      <c r="B24" s="14"/>
      <c r="C24" s="10"/>
      <c r="D24" s="48">
        <f t="shared" si="1"/>
        <v>0</v>
      </c>
      <c r="F24" s="38"/>
      <c r="G24" s="37"/>
      <c r="H24" s="175"/>
      <c r="I24" s="144"/>
      <c r="J24" s="144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7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176" t="s">
        <v>13</v>
      </c>
      <c r="I25" s="177"/>
      <c r="J25" s="178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7"/>
      <c r="B26" s="14"/>
      <c r="C26" s="10"/>
      <c r="D26" s="48">
        <f t="shared" si="1"/>
        <v>0</v>
      </c>
      <c r="F26" s="64"/>
      <c r="G26" s="59"/>
      <c r="H26" s="179"/>
      <c r="I26" s="180"/>
      <c r="J26" s="181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7"/>
      <c r="B27" s="14"/>
      <c r="C27" s="10"/>
      <c r="D27" s="44">
        <f t="shared" si="1"/>
        <v>0</v>
      </c>
      <c r="F27" s="25"/>
      <c r="G27" s="80"/>
      <c r="H27" s="182"/>
      <c r="I27" s="183"/>
      <c r="J27" s="184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8"/>
      <c r="B28" s="46"/>
      <c r="C28" s="10"/>
      <c r="D28" s="48">
        <f t="shared" si="1"/>
        <v>0</v>
      </c>
      <c r="F28" s="98"/>
      <c r="G28" s="61"/>
      <c r="H28" s="185"/>
      <c r="I28" s="186"/>
      <c r="J28" s="187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9" t="s">
        <v>36</v>
      </c>
      <c r="B29" s="160"/>
      <c r="C29" s="161"/>
      <c r="D29" s="165">
        <f>SUM(D6:D28)</f>
        <v>0</v>
      </c>
      <c r="F29" s="105" t="s">
        <v>54</v>
      </c>
      <c r="G29" s="167"/>
      <c r="H29" s="127">
        <f>H15-H16-H17-H18-H19-H20-H22-H23-H24+H26+H27</f>
        <v>0</v>
      </c>
      <c r="I29" s="128"/>
      <c r="J29" s="129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08"/>
      <c r="G30" s="168"/>
      <c r="H30" s="130"/>
      <c r="I30" s="131"/>
      <c r="J30" s="132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52" t="s">
        <v>57</v>
      </c>
      <c r="B32" s="153"/>
      <c r="C32" s="153"/>
      <c r="D32" s="154"/>
      <c r="F32" s="155" t="s">
        <v>58</v>
      </c>
      <c r="G32" s="156"/>
      <c r="H32" s="156"/>
      <c r="I32" s="156"/>
      <c r="J32" s="157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9" t="s">
        <v>62</v>
      </c>
      <c r="H33" s="155" t="s">
        <v>13</v>
      </c>
      <c r="I33" s="156"/>
      <c r="J33" s="157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6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149"/>
      <c r="I34" s="150"/>
      <c r="J34" s="151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7"/>
      <c r="B35" s="27" t="s">
        <v>67</v>
      </c>
      <c r="C35" s="52"/>
      <c r="D35" s="30">
        <f>C35*84</f>
        <v>0</v>
      </c>
      <c r="F35" s="58">
        <v>500</v>
      </c>
      <c r="G35" s="41"/>
      <c r="H35" s="149"/>
      <c r="I35" s="150"/>
      <c r="J35" s="15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8"/>
      <c r="B36" s="26" t="s">
        <v>69</v>
      </c>
      <c r="C36" s="10"/>
      <c r="D36" s="12">
        <f>C36*1.5</f>
        <v>0</v>
      </c>
      <c r="F36" s="12">
        <v>200</v>
      </c>
      <c r="G36" s="37"/>
      <c r="H36" s="149"/>
      <c r="I36" s="150"/>
      <c r="J36" s="151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6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49"/>
      <c r="I37" s="150"/>
      <c r="J37" s="151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7"/>
      <c r="B38" s="29" t="s">
        <v>67</v>
      </c>
      <c r="C38" s="54"/>
      <c r="D38" s="12">
        <f>C38*84</f>
        <v>0</v>
      </c>
      <c r="F38" s="30">
        <v>50</v>
      </c>
      <c r="G38" s="39"/>
      <c r="H38" s="149"/>
      <c r="I38" s="150"/>
      <c r="J38" s="151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8"/>
      <c r="B39" s="29" t="s">
        <v>69</v>
      </c>
      <c r="C39" s="52"/>
      <c r="D39" s="31">
        <f>C39*4.5</f>
        <v>0</v>
      </c>
      <c r="F39" s="12">
        <v>20</v>
      </c>
      <c r="G39" s="37"/>
      <c r="H39" s="149"/>
      <c r="I39" s="150"/>
      <c r="J39" s="15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6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49"/>
      <c r="I40" s="150"/>
      <c r="J40" s="151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7"/>
      <c r="B41" s="27" t="s">
        <v>67</v>
      </c>
      <c r="C41" s="10"/>
      <c r="D41" s="12">
        <f>C41*84</f>
        <v>0</v>
      </c>
      <c r="F41" s="12">
        <v>5</v>
      </c>
      <c r="G41" s="42"/>
      <c r="H41" s="149"/>
      <c r="I41" s="150"/>
      <c r="J41" s="151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8"/>
      <c r="B42" s="27" t="s">
        <v>69</v>
      </c>
      <c r="C42" s="11"/>
      <c r="D42" s="12">
        <f>C42*2.25</f>
        <v>0</v>
      </c>
      <c r="F42" s="39" t="s">
        <v>78</v>
      </c>
      <c r="G42" s="149"/>
      <c r="H42" s="150"/>
      <c r="I42" s="150"/>
      <c r="J42" s="151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19" t="s">
        <v>80</v>
      </c>
      <c r="C43" s="11"/>
      <c r="D43" s="12"/>
      <c r="F43" s="59" t="s">
        <v>81</v>
      </c>
      <c r="G43" s="100" t="s">
        <v>82</v>
      </c>
      <c r="H43" s="141" t="s">
        <v>13</v>
      </c>
      <c r="I43" s="142"/>
      <c r="J43" s="143"/>
      <c r="K43" s="21"/>
      <c r="P43" s="4"/>
      <c r="Q43" s="4"/>
      <c r="R43" s="5"/>
    </row>
    <row r="44" spans="1:18" ht="15.75" x14ac:dyDescent="0.25">
      <c r="A44" s="120"/>
      <c r="B44" s="27" t="s">
        <v>65</v>
      </c>
      <c r="C44" s="10"/>
      <c r="D44" s="12">
        <f>C44*120</f>
        <v>0</v>
      </c>
      <c r="F44" s="37"/>
      <c r="G44" s="76"/>
      <c r="H44" s="144"/>
      <c r="I44" s="144"/>
      <c r="J44" s="144"/>
      <c r="K44" s="21"/>
      <c r="P44" s="4"/>
      <c r="Q44" s="4"/>
      <c r="R44" s="5"/>
    </row>
    <row r="45" spans="1:18" ht="15.75" x14ac:dyDescent="0.25">
      <c r="A45" s="120"/>
      <c r="B45" s="27" t="s">
        <v>67</v>
      </c>
      <c r="C45" s="33"/>
      <c r="D45" s="12">
        <f>C45*84</f>
        <v>0</v>
      </c>
      <c r="F45" s="37"/>
      <c r="G45" s="76"/>
      <c r="H45" s="144"/>
      <c r="I45" s="144"/>
      <c r="J45" s="144"/>
      <c r="K45" s="21"/>
      <c r="P45" s="4"/>
      <c r="Q45" s="4"/>
      <c r="R45" s="5"/>
    </row>
    <row r="46" spans="1:18" ht="15.75" x14ac:dyDescent="0.25">
      <c r="A46" s="120"/>
      <c r="B46" s="49" t="s">
        <v>69</v>
      </c>
      <c r="C46" s="81"/>
      <c r="D46" s="12">
        <f>C46*1.5</f>
        <v>0</v>
      </c>
      <c r="F46" s="37"/>
      <c r="G46" s="62"/>
      <c r="H46" s="145"/>
      <c r="I46" s="145"/>
      <c r="J46" s="145"/>
      <c r="K46" s="21"/>
      <c r="P46" s="4"/>
      <c r="Q46" s="4"/>
      <c r="R46" s="5"/>
    </row>
    <row r="47" spans="1:18" ht="15.75" x14ac:dyDescent="0.25">
      <c r="A47" s="121"/>
      <c r="B47" s="27"/>
      <c r="C47" s="11"/>
      <c r="D47" s="12"/>
      <c r="F47" s="59"/>
      <c r="G47" s="59"/>
      <c r="H47" s="122"/>
      <c r="I47" s="123"/>
      <c r="J47" s="124"/>
      <c r="K47" s="21"/>
      <c r="P47" s="4"/>
      <c r="Q47" s="4"/>
      <c r="R47" s="5"/>
    </row>
    <row r="48" spans="1:18" ht="15" customHeight="1" x14ac:dyDescent="0.25">
      <c r="A48" s="119" t="s">
        <v>32</v>
      </c>
      <c r="B48" s="27" t="s">
        <v>65</v>
      </c>
      <c r="C48" s="10"/>
      <c r="D48" s="12">
        <f>C48*78</f>
        <v>0</v>
      </c>
      <c r="F48" s="59"/>
      <c r="G48" s="59"/>
      <c r="H48" s="122"/>
      <c r="I48" s="123"/>
      <c r="J48" s="124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20"/>
      <c r="B49" s="29" t="s">
        <v>67</v>
      </c>
      <c r="C49" s="33"/>
      <c r="D49" s="12">
        <f>C49*42</f>
        <v>0</v>
      </c>
      <c r="F49" s="125" t="s">
        <v>85</v>
      </c>
      <c r="G49" s="127">
        <f>H34+H35+H36+H37+H38+H39+H40+H41+G42+H44+H45+H46</f>
        <v>0</v>
      </c>
      <c r="H49" s="128"/>
      <c r="I49" s="128"/>
      <c r="J49" s="129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0"/>
      <c r="B50" s="32" t="s">
        <v>69</v>
      </c>
      <c r="C50" s="11"/>
      <c r="D50" s="12">
        <f>C50*1.5</f>
        <v>0</v>
      </c>
      <c r="F50" s="126"/>
      <c r="G50" s="130"/>
      <c r="H50" s="131"/>
      <c r="I50" s="131"/>
      <c r="J50" s="132"/>
      <c r="P50" s="4"/>
      <c r="Q50" s="4"/>
      <c r="R50" s="5"/>
    </row>
    <row r="51" spans="1:18" ht="15" customHeight="1" x14ac:dyDescent="0.25">
      <c r="A51" s="120"/>
      <c r="B51" s="27"/>
      <c r="C51" s="10"/>
      <c r="D51" s="31"/>
      <c r="F51" s="133" t="s">
        <v>106</v>
      </c>
      <c r="G51" s="135">
        <f>G49-H29</f>
        <v>0</v>
      </c>
      <c r="H51" s="136"/>
      <c r="I51" s="136"/>
      <c r="J51" s="137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0"/>
      <c r="B52" s="29"/>
      <c r="C52" s="33"/>
      <c r="D52" s="45"/>
      <c r="F52" s="134"/>
      <c r="G52" s="138"/>
      <c r="H52" s="139"/>
      <c r="I52" s="139"/>
      <c r="J52" s="140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1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05" t="s">
        <v>89</v>
      </c>
      <c r="B54" s="106"/>
      <c r="C54" s="107"/>
      <c r="D54" s="111">
        <f>SUM(D34:D53)</f>
        <v>0</v>
      </c>
      <c r="F54" s="21"/>
      <c r="J54" s="34"/>
    </row>
    <row r="55" spans="1:18" x14ac:dyDescent="0.25">
      <c r="A55" s="108"/>
      <c r="B55" s="109"/>
      <c r="C55" s="110"/>
      <c r="D55" s="11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13" t="s">
        <v>90</v>
      </c>
      <c r="B58" s="114"/>
      <c r="C58" s="114"/>
      <c r="D58" s="115"/>
      <c r="F58" s="113" t="s">
        <v>91</v>
      </c>
      <c r="G58" s="114"/>
      <c r="H58" s="114"/>
      <c r="I58" s="114"/>
      <c r="J58" s="115"/>
    </row>
    <row r="59" spans="1:18" x14ac:dyDescent="0.25">
      <c r="A59" s="116"/>
      <c r="B59" s="117"/>
      <c r="C59" s="117"/>
      <c r="D59" s="118"/>
      <c r="F59" s="116"/>
      <c r="G59" s="117"/>
      <c r="H59" s="117"/>
      <c r="I59" s="117"/>
      <c r="J59" s="118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C3E501-C780-4AB1-A5EA-0813D8EECC2C}">
  <dimension ref="A1:R59"/>
  <sheetViews>
    <sheetView topLeftCell="A7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1" t="s">
        <v>1</v>
      </c>
      <c r="O1" s="201"/>
      <c r="P1" s="97" t="s">
        <v>2</v>
      </c>
      <c r="Q1" s="97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2" t="s">
        <v>7</v>
      </c>
      <c r="B4" s="153"/>
      <c r="C4" s="153"/>
      <c r="D4" s="154"/>
      <c r="F4" s="202" t="s">
        <v>8</v>
      </c>
      <c r="G4" s="204">
        <v>1</v>
      </c>
      <c r="H4" s="206" t="s">
        <v>9</v>
      </c>
      <c r="I4" s="208">
        <v>46168</v>
      </c>
      <c r="J4" s="20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6" t="s">
        <v>7</v>
      </c>
      <c r="B5" s="15" t="s">
        <v>11</v>
      </c>
      <c r="C5" s="9" t="s">
        <v>12</v>
      </c>
      <c r="D5" s="25" t="s">
        <v>13</v>
      </c>
      <c r="F5" s="203"/>
      <c r="G5" s="205"/>
      <c r="H5" s="207"/>
      <c r="I5" s="210"/>
      <c r="J5" s="21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7"/>
      <c r="B6" s="16" t="s">
        <v>15</v>
      </c>
      <c r="C6" s="10">
        <v>250</v>
      </c>
      <c r="D6" s="13">
        <f t="shared" ref="D6:D28" si="1">C6*L6</f>
        <v>190250</v>
      </c>
      <c r="F6" s="212" t="s">
        <v>16</v>
      </c>
      <c r="G6" s="214" t="s">
        <v>214</v>
      </c>
      <c r="H6" s="215"/>
      <c r="I6" s="215"/>
      <c r="J6" s="21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7"/>
      <c r="B7" s="16" t="s">
        <v>18</v>
      </c>
      <c r="C7" s="10">
        <v>5</v>
      </c>
      <c r="D7" s="13">
        <f t="shared" si="1"/>
        <v>3905</v>
      </c>
      <c r="F7" s="213"/>
      <c r="G7" s="217"/>
      <c r="H7" s="218"/>
      <c r="I7" s="218"/>
      <c r="J7" s="21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7"/>
      <c r="B8" s="16" t="s">
        <v>20</v>
      </c>
      <c r="C8" s="10"/>
      <c r="D8" s="13">
        <f t="shared" si="1"/>
        <v>0</v>
      </c>
      <c r="F8" s="220" t="s">
        <v>21</v>
      </c>
      <c r="G8" s="221" t="s">
        <v>99</v>
      </c>
      <c r="H8" s="222"/>
      <c r="I8" s="222"/>
      <c r="J8" s="22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7"/>
      <c r="B9" s="16" t="s">
        <v>23</v>
      </c>
      <c r="C9" s="10">
        <v>27</v>
      </c>
      <c r="D9" s="13">
        <f t="shared" si="1"/>
        <v>19791</v>
      </c>
      <c r="F9" s="213"/>
      <c r="G9" s="224"/>
      <c r="H9" s="225"/>
      <c r="I9" s="225"/>
      <c r="J9" s="22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7"/>
      <c r="B10" t="s">
        <v>25</v>
      </c>
      <c r="C10" s="10"/>
      <c r="D10" s="13">
        <f t="shared" si="1"/>
        <v>0</v>
      </c>
      <c r="F10" s="212" t="s">
        <v>26</v>
      </c>
      <c r="G10" s="227" t="s">
        <v>108</v>
      </c>
      <c r="H10" s="228"/>
      <c r="I10" s="228"/>
      <c r="J10" s="229"/>
      <c r="K10" s="8"/>
      <c r="L10" s="6">
        <f>R36</f>
        <v>1032</v>
      </c>
      <c r="P10" s="4"/>
      <c r="Q10" s="4"/>
      <c r="R10" s="5"/>
    </row>
    <row r="11" spans="1:18" ht="15.75" x14ac:dyDescent="0.25">
      <c r="A11" s="147"/>
      <c r="B11" s="17" t="s">
        <v>28</v>
      </c>
      <c r="C11" s="10"/>
      <c r="D11" s="13">
        <f t="shared" si="1"/>
        <v>0</v>
      </c>
      <c r="F11" s="213"/>
      <c r="G11" s="224"/>
      <c r="H11" s="225"/>
      <c r="I11" s="225"/>
      <c r="J11" s="22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7"/>
      <c r="B12" s="17" t="s">
        <v>30</v>
      </c>
      <c r="C12" s="10"/>
      <c r="D12" s="48">
        <f t="shared" si="1"/>
        <v>0</v>
      </c>
      <c r="F12" s="230" t="s">
        <v>33</v>
      </c>
      <c r="G12" s="231"/>
      <c r="H12" s="231"/>
      <c r="I12" s="231"/>
      <c r="J12" s="23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7"/>
      <c r="B13" s="17" t="s">
        <v>32</v>
      </c>
      <c r="C13" s="10">
        <v>5</v>
      </c>
      <c r="D13" s="48">
        <f t="shared" si="1"/>
        <v>1535</v>
      </c>
      <c r="F13" s="233" t="s">
        <v>36</v>
      </c>
      <c r="G13" s="197"/>
      <c r="H13" s="188">
        <f>D29</f>
        <v>216781</v>
      </c>
      <c r="I13" s="189"/>
      <c r="J13" s="19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7"/>
      <c r="B14" s="14" t="s">
        <v>35</v>
      </c>
      <c r="C14" s="10"/>
      <c r="D14" s="31">
        <f t="shared" si="1"/>
        <v>0</v>
      </c>
      <c r="F14" s="191" t="s">
        <v>38</v>
      </c>
      <c r="G14" s="192"/>
      <c r="H14" s="193">
        <f>D54</f>
        <v>32183.25</v>
      </c>
      <c r="I14" s="194"/>
      <c r="J14" s="19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7"/>
      <c r="B15" s="14" t="s">
        <v>122</v>
      </c>
      <c r="C15" s="10"/>
      <c r="D15" s="31">
        <f t="shared" si="1"/>
        <v>0</v>
      </c>
      <c r="F15" s="196" t="s">
        <v>39</v>
      </c>
      <c r="G15" s="197"/>
      <c r="H15" s="198">
        <f>H13-H14</f>
        <v>184597.75</v>
      </c>
      <c r="I15" s="199"/>
      <c r="J15" s="200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7"/>
      <c r="B16" s="18" t="s">
        <v>111</v>
      </c>
      <c r="C16" s="10">
        <f>1+1</f>
        <v>2</v>
      </c>
      <c r="D16" s="48">
        <f t="shared" si="1"/>
        <v>1300</v>
      </c>
      <c r="F16" s="67" t="s">
        <v>41</v>
      </c>
      <c r="G16" s="66" t="s">
        <v>42</v>
      </c>
      <c r="H16" s="158"/>
      <c r="I16" s="158"/>
      <c r="J16" s="158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7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69"/>
      <c r="I17" s="169"/>
      <c r="J17" s="169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7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69"/>
      <c r="I18" s="169"/>
      <c r="J18" s="169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7"/>
      <c r="B19" s="83" t="s">
        <v>105</v>
      </c>
      <c r="C19" s="10"/>
      <c r="D19" s="48">
        <f t="shared" si="1"/>
        <v>0</v>
      </c>
      <c r="F19" s="56"/>
      <c r="G19" s="68" t="s">
        <v>49</v>
      </c>
      <c r="H19" s="158"/>
      <c r="I19" s="158"/>
      <c r="J19" s="158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7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58"/>
      <c r="I20" s="158"/>
      <c r="J20" s="158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7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71" t="s">
        <v>13</v>
      </c>
      <c r="I21" s="172"/>
      <c r="J21" s="173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7"/>
      <c r="B22" s="46" t="s">
        <v>103</v>
      </c>
      <c r="C22" s="10"/>
      <c r="D22" s="48">
        <f t="shared" si="1"/>
        <v>0</v>
      </c>
      <c r="F22" s="77"/>
      <c r="G22" s="73"/>
      <c r="H22" s="174"/>
      <c r="I22" s="174"/>
      <c r="J22" s="174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7"/>
      <c r="B23" s="14" t="s">
        <v>121</v>
      </c>
      <c r="C23" s="10"/>
      <c r="D23" s="48">
        <f t="shared" si="1"/>
        <v>0</v>
      </c>
      <c r="F23" s="77"/>
      <c r="G23" s="79"/>
      <c r="H23" s="242"/>
      <c r="I23" s="243"/>
      <c r="J23" s="243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7"/>
      <c r="B24" s="14" t="s">
        <v>128</v>
      </c>
      <c r="C24" s="10"/>
      <c r="D24" s="48">
        <f t="shared" si="1"/>
        <v>0</v>
      </c>
      <c r="F24" s="77"/>
      <c r="G24" s="79"/>
      <c r="H24" s="242"/>
      <c r="I24" s="243"/>
      <c r="J24" s="243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7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76" t="s">
        <v>13</v>
      </c>
      <c r="I25" s="177"/>
      <c r="J25" s="178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7"/>
      <c r="B26" s="14" t="s">
        <v>129</v>
      </c>
      <c r="C26" s="10"/>
      <c r="D26" s="48">
        <f t="shared" si="1"/>
        <v>0</v>
      </c>
      <c r="F26" s="75"/>
      <c r="G26" s="65"/>
      <c r="H26" s="144"/>
      <c r="I26" s="144"/>
      <c r="J26" s="144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7"/>
      <c r="B27" s="14" t="s">
        <v>130</v>
      </c>
      <c r="C27" s="10"/>
      <c r="D27" s="44">
        <f t="shared" si="1"/>
        <v>0</v>
      </c>
      <c r="F27" s="71"/>
      <c r="G27" s="100"/>
      <c r="H27" s="244"/>
      <c r="I27" s="245"/>
      <c r="J27" s="245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8"/>
      <c r="B28" s="46" t="s">
        <v>92</v>
      </c>
      <c r="C28" s="10"/>
      <c r="D28" s="48">
        <f t="shared" si="1"/>
        <v>0</v>
      </c>
      <c r="F28" s="98"/>
      <c r="G28" s="61"/>
      <c r="H28" s="185"/>
      <c r="I28" s="186"/>
      <c r="J28" s="187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9" t="s">
        <v>36</v>
      </c>
      <c r="B29" s="160"/>
      <c r="C29" s="161"/>
      <c r="D29" s="165">
        <f>SUM(D6:D28)</f>
        <v>216781</v>
      </c>
      <c r="F29" s="105" t="s">
        <v>54</v>
      </c>
      <c r="G29" s="167"/>
      <c r="H29" s="127">
        <f>H15-H16-H17-H18-H19-H20-H22-H23-H24+H26+H27+H28</f>
        <v>184597.75</v>
      </c>
      <c r="I29" s="128"/>
      <c r="J29" s="129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08"/>
      <c r="G30" s="168"/>
      <c r="H30" s="130"/>
      <c r="I30" s="131"/>
      <c r="J30" s="132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2" t="s">
        <v>57</v>
      </c>
      <c r="B32" s="153"/>
      <c r="C32" s="153"/>
      <c r="D32" s="154"/>
      <c r="F32" s="155" t="s">
        <v>58</v>
      </c>
      <c r="G32" s="156"/>
      <c r="H32" s="156"/>
      <c r="I32" s="156"/>
      <c r="J32" s="157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9" t="s">
        <v>62</v>
      </c>
      <c r="H33" s="155" t="s">
        <v>13</v>
      </c>
      <c r="I33" s="156"/>
      <c r="J33" s="157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6" t="s">
        <v>64</v>
      </c>
      <c r="B34" s="26" t="s">
        <v>65</v>
      </c>
      <c r="C34" s="51"/>
      <c r="D34" s="30">
        <f>C34*120</f>
        <v>0</v>
      </c>
      <c r="F34" s="12">
        <v>1000</v>
      </c>
      <c r="G34" s="40">
        <v>112</v>
      </c>
      <c r="H34" s="149">
        <f t="shared" ref="H34:H39" si="2">F34*G34</f>
        <v>112000</v>
      </c>
      <c r="I34" s="150"/>
      <c r="J34" s="151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7"/>
      <c r="B35" s="27" t="s">
        <v>67</v>
      </c>
      <c r="C35" s="52"/>
      <c r="D35" s="30">
        <f>C35*84</f>
        <v>0</v>
      </c>
      <c r="F35" s="58">
        <v>500</v>
      </c>
      <c r="G35" s="41">
        <v>67</v>
      </c>
      <c r="H35" s="149">
        <f t="shared" si="2"/>
        <v>33500</v>
      </c>
      <c r="I35" s="150"/>
      <c r="J35" s="15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8"/>
      <c r="B36" s="26" t="s">
        <v>69</v>
      </c>
      <c r="C36" s="10"/>
      <c r="D36" s="12">
        <f>C36*1.5</f>
        <v>0</v>
      </c>
      <c r="F36" s="12">
        <v>200</v>
      </c>
      <c r="G36" s="37"/>
      <c r="H36" s="149">
        <f t="shared" si="2"/>
        <v>0</v>
      </c>
      <c r="I36" s="150"/>
      <c r="J36" s="151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6" t="s">
        <v>71</v>
      </c>
      <c r="B37" s="28" t="s">
        <v>65</v>
      </c>
      <c r="C37" s="53">
        <v>280</v>
      </c>
      <c r="D37" s="12">
        <f>C37*111</f>
        <v>31080</v>
      </c>
      <c r="F37" s="12">
        <v>100</v>
      </c>
      <c r="G37" s="39">
        <v>20</v>
      </c>
      <c r="H37" s="149">
        <f t="shared" si="2"/>
        <v>2000</v>
      </c>
      <c r="I37" s="150"/>
      <c r="J37" s="151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7"/>
      <c r="B38" s="29" t="s">
        <v>67</v>
      </c>
      <c r="C38" s="54">
        <v>3</v>
      </c>
      <c r="D38" s="12">
        <f>C38*84</f>
        <v>252</v>
      </c>
      <c r="F38" s="30">
        <v>50</v>
      </c>
      <c r="G38" s="39">
        <v>4</v>
      </c>
      <c r="H38" s="149">
        <f t="shared" si="2"/>
        <v>200</v>
      </c>
      <c r="I38" s="150"/>
      <c r="J38" s="151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8"/>
      <c r="B39" s="29" t="s">
        <v>69</v>
      </c>
      <c r="C39" s="52">
        <v>5</v>
      </c>
      <c r="D39" s="31">
        <f>C39*4.5</f>
        <v>22.5</v>
      </c>
      <c r="F39" s="12">
        <v>20</v>
      </c>
      <c r="G39" s="37"/>
      <c r="H39" s="149">
        <f t="shared" si="2"/>
        <v>0</v>
      </c>
      <c r="I39" s="150"/>
      <c r="J39" s="15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6" t="s">
        <v>75</v>
      </c>
      <c r="B40" s="27" t="s">
        <v>65</v>
      </c>
      <c r="C40" s="63">
        <v>4</v>
      </c>
      <c r="D40" s="12">
        <f>C40*111</f>
        <v>444</v>
      </c>
      <c r="F40" s="12">
        <v>10</v>
      </c>
      <c r="G40" s="42"/>
      <c r="H40" s="149"/>
      <c r="I40" s="150"/>
      <c r="J40" s="151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7"/>
      <c r="B41" s="27" t="s">
        <v>67</v>
      </c>
      <c r="C41" s="10"/>
      <c r="D41" s="12">
        <f>C41*84</f>
        <v>0</v>
      </c>
      <c r="F41" s="12">
        <v>5</v>
      </c>
      <c r="G41" s="42"/>
      <c r="H41" s="149"/>
      <c r="I41" s="150"/>
      <c r="J41" s="151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8"/>
      <c r="B42" s="27" t="s">
        <v>69</v>
      </c>
      <c r="C42" s="11">
        <v>1</v>
      </c>
      <c r="D42" s="12">
        <f>C42*2.25</f>
        <v>2.25</v>
      </c>
      <c r="F42" s="39" t="s">
        <v>78</v>
      </c>
      <c r="G42" s="149">
        <v>96</v>
      </c>
      <c r="H42" s="150"/>
      <c r="I42" s="150"/>
      <c r="J42" s="151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19" t="s">
        <v>80</v>
      </c>
      <c r="C43" s="11"/>
      <c r="D43" s="12"/>
      <c r="F43" s="59" t="s">
        <v>81</v>
      </c>
      <c r="G43" s="100" t="s">
        <v>82</v>
      </c>
      <c r="H43" s="141" t="s">
        <v>13</v>
      </c>
      <c r="I43" s="142"/>
      <c r="J43" s="143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20"/>
      <c r="B44" s="27" t="s">
        <v>65</v>
      </c>
      <c r="C44" s="10"/>
      <c r="D44" s="12">
        <f>C44*120</f>
        <v>0</v>
      </c>
      <c r="F44" s="37" t="s">
        <v>136</v>
      </c>
      <c r="G44" s="62"/>
      <c r="H44" s="144">
        <v>31000</v>
      </c>
      <c r="I44" s="144"/>
      <c r="J44" s="144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20"/>
      <c r="B45" s="27" t="s">
        <v>67</v>
      </c>
      <c r="C45" s="33"/>
      <c r="D45" s="12">
        <f>C45*84</f>
        <v>0</v>
      </c>
      <c r="F45" s="37" t="s">
        <v>137</v>
      </c>
      <c r="G45" s="62"/>
      <c r="H45" s="144">
        <v>5850</v>
      </c>
      <c r="I45" s="144"/>
      <c r="J45" s="144"/>
      <c r="K45" s="21"/>
      <c r="P45" s="4"/>
      <c r="Q45" s="4"/>
      <c r="R45" s="5"/>
    </row>
    <row r="46" spans="1:18" ht="15.75" x14ac:dyDescent="0.25">
      <c r="A46" s="120"/>
      <c r="B46" s="49" t="s">
        <v>69</v>
      </c>
      <c r="C46" s="81"/>
      <c r="D46" s="12">
        <f>C46*1.5</f>
        <v>0</v>
      </c>
      <c r="F46" s="37"/>
      <c r="G46" s="62"/>
      <c r="H46" s="144"/>
      <c r="I46" s="144"/>
      <c r="J46" s="144"/>
      <c r="K46" s="21"/>
      <c r="P46" s="4"/>
      <c r="Q46" s="4"/>
      <c r="R46" s="5"/>
    </row>
    <row r="47" spans="1:18" ht="15.75" x14ac:dyDescent="0.25">
      <c r="A47" s="121"/>
      <c r="B47" s="27"/>
      <c r="C47" s="11"/>
      <c r="D47" s="12"/>
      <c r="F47" s="59"/>
      <c r="G47" s="59"/>
      <c r="H47" s="122"/>
      <c r="I47" s="123"/>
      <c r="J47" s="124"/>
      <c r="K47" s="21"/>
      <c r="P47" s="4"/>
      <c r="Q47" s="4"/>
      <c r="R47" s="5"/>
    </row>
    <row r="48" spans="1:18" ht="15" customHeight="1" x14ac:dyDescent="0.25">
      <c r="A48" s="119" t="s">
        <v>32</v>
      </c>
      <c r="B48" s="27" t="s">
        <v>65</v>
      </c>
      <c r="C48" s="10">
        <v>4</v>
      </c>
      <c r="D48" s="12">
        <f>C48*78</f>
        <v>312</v>
      </c>
      <c r="F48" s="59"/>
      <c r="G48" s="59"/>
      <c r="H48" s="122"/>
      <c r="I48" s="123"/>
      <c r="J48" s="124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20"/>
      <c r="B49" s="29" t="s">
        <v>67</v>
      </c>
      <c r="C49" s="33">
        <v>1</v>
      </c>
      <c r="D49" s="12">
        <f>C49*42</f>
        <v>42</v>
      </c>
      <c r="F49" s="125" t="s">
        <v>85</v>
      </c>
      <c r="G49" s="127">
        <f>H34+H35+H36+H37+H38+H39+H40+H41+G42+H44+H45+H46</f>
        <v>184646</v>
      </c>
      <c r="H49" s="128"/>
      <c r="I49" s="128"/>
      <c r="J49" s="129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0"/>
      <c r="B50" s="32" t="s">
        <v>69</v>
      </c>
      <c r="C50" s="11">
        <v>19</v>
      </c>
      <c r="D50" s="12">
        <f>C50*1.5</f>
        <v>28.5</v>
      </c>
      <c r="F50" s="126"/>
      <c r="G50" s="130"/>
      <c r="H50" s="131"/>
      <c r="I50" s="131"/>
      <c r="J50" s="132"/>
      <c r="O50" t="s">
        <v>114</v>
      </c>
      <c r="P50" s="4">
        <v>1204</v>
      </c>
      <c r="Q50" s="4"/>
      <c r="R50" s="5"/>
    </row>
    <row r="51" spans="1:18" ht="15" customHeight="1" x14ac:dyDescent="0.25">
      <c r="A51" s="120"/>
      <c r="B51" s="27"/>
      <c r="C51" s="10"/>
      <c r="D51" s="31"/>
      <c r="F51" s="133" t="s">
        <v>173</v>
      </c>
      <c r="G51" s="236">
        <f>G49-H29</f>
        <v>48.25</v>
      </c>
      <c r="H51" s="237"/>
      <c r="I51" s="237"/>
      <c r="J51" s="238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20"/>
      <c r="B52" s="29"/>
      <c r="C52" s="33"/>
      <c r="D52" s="45"/>
      <c r="F52" s="134"/>
      <c r="G52" s="239"/>
      <c r="H52" s="240"/>
      <c r="I52" s="240"/>
      <c r="J52" s="241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1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05" t="s">
        <v>89</v>
      </c>
      <c r="B54" s="106"/>
      <c r="C54" s="107"/>
      <c r="D54" s="111">
        <f>SUM(D34:D53)</f>
        <v>32183.25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08"/>
      <c r="B55" s="109"/>
      <c r="C55" s="110"/>
      <c r="D55" s="11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216</v>
      </c>
      <c r="D57" s="34"/>
      <c r="F57" s="36"/>
      <c r="G57" s="50"/>
      <c r="H57" s="50"/>
      <c r="I57" s="50"/>
      <c r="J57" s="43"/>
    </row>
    <row r="58" spans="1:18" x14ac:dyDescent="0.25">
      <c r="A58" s="113" t="s">
        <v>90</v>
      </c>
      <c r="B58" s="114"/>
      <c r="C58" s="114"/>
      <c r="D58" s="115"/>
      <c r="F58" s="113" t="s">
        <v>91</v>
      </c>
      <c r="G58" s="114"/>
      <c r="H58" s="114"/>
      <c r="I58" s="114"/>
      <c r="J58" s="115"/>
    </row>
    <row r="59" spans="1:18" x14ac:dyDescent="0.25">
      <c r="A59" s="116"/>
      <c r="B59" s="117"/>
      <c r="C59" s="117"/>
      <c r="D59" s="118"/>
      <c r="F59" s="116"/>
      <c r="G59" s="117"/>
      <c r="H59" s="117"/>
      <c r="I59" s="117"/>
      <c r="J59" s="118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3569C8-6467-464F-81EB-939BBE6CD0E6}">
  <dimension ref="A1:R59"/>
  <sheetViews>
    <sheetView topLeftCell="A22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1" t="s">
        <v>1</v>
      </c>
      <c r="O1" s="201"/>
      <c r="P1" s="97" t="s">
        <v>2</v>
      </c>
      <c r="Q1" s="97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2" t="s">
        <v>7</v>
      </c>
      <c r="B4" s="153"/>
      <c r="C4" s="153"/>
      <c r="D4" s="154"/>
      <c r="F4" s="202" t="s">
        <v>8</v>
      </c>
      <c r="G4" s="204">
        <v>2</v>
      </c>
      <c r="H4" s="206" t="s">
        <v>9</v>
      </c>
      <c r="I4" s="208">
        <v>46168</v>
      </c>
      <c r="J4" s="20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6" t="s">
        <v>7</v>
      </c>
      <c r="B5" s="15" t="s">
        <v>11</v>
      </c>
      <c r="C5" s="9" t="s">
        <v>12</v>
      </c>
      <c r="D5" s="25" t="s">
        <v>13</v>
      </c>
      <c r="F5" s="203"/>
      <c r="G5" s="205"/>
      <c r="H5" s="207"/>
      <c r="I5" s="210"/>
      <c r="J5" s="21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7"/>
      <c r="B6" s="16" t="s">
        <v>15</v>
      </c>
      <c r="C6" s="10">
        <v>278</v>
      </c>
      <c r="D6" s="13">
        <f t="shared" ref="D6:D28" si="1">C6*L6</f>
        <v>211558</v>
      </c>
      <c r="F6" s="212" t="s">
        <v>16</v>
      </c>
      <c r="G6" s="214" t="s">
        <v>107</v>
      </c>
      <c r="H6" s="215"/>
      <c r="I6" s="215"/>
      <c r="J6" s="21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7"/>
      <c r="B7" s="16" t="s">
        <v>18</v>
      </c>
      <c r="C7" s="10">
        <v>8</v>
      </c>
      <c r="D7" s="13">
        <f t="shared" si="1"/>
        <v>6248</v>
      </c>
      <c r="F7" s="213"/>
      <c r="G7" s="217"/>
      <c r="H7" s="218"/>
      <c r="I7" s="218"/>
      <c r="J7" s="21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7"/>
      <c r="B8" s="16" t="s">
        <v>20</v>
      </c>
      <c r="C8" s="10"/>
      <c r="D8" s="13">
        <f t="shared" si="1"/>
        <v>0</v>
      </c>
      <c r="F8" s="220" t="s">
        <v>21</v>
      </c>
      <c r="G8" s="221" t="s">
        <v>101</v>
      </c>
      <c r="H8" s="222"/>
      <c r="I8" s="222"/>
      <c r="J8" s="22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7"/>
      <c r="B9" s="16" t="s">
        <v>23</v>
      </c>
      <c r="C9" s="10">
        <v>20</v>
      </c>
      <c r="D9" s="13">
        <f t="shared" si="1"/>
        <v>14660</v>
      </c>
      <c r="F9" s="213"/>
      <c r="G9" s="224"/>
      <c r="H9" s="225"/>
      <c r="I9" s="225"/>
      <c r="J9" s="22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7"/>
      <c r="B10" t="s">
        <v>25</v>
      </c>
      <c r="C10" s="10"/>
      <c r="D10" s="13">
        <f t="shared" si="1"/>
        <v>0</v>
      </c>
      <c r="F10" s="212" t="s">
        <v>26</v>
      </c>
      <c r="G10" s="227" t="s">
        <v>101</v>
      </c>
      <c r="H10" s="228"/>
      <c r="I10" s="228"/>
      <c r="J10" s="229"/>
      <c r="K10" s="8"/>
      <c r="L10" s="6">
        <f>R36</f>
        <v>1032</v>
      </c>
      <c r="P10" s="4"/>
      <c r="Q10" s="4"/>
      <c r="R10" s="5"/>
    </row>
    <row r="11" spans="1:18" ht="15.75" x14ac:dyDescent="0.25">
      <c r="A11" s="147"/>
      <c r="B11" s="17" t="s">
        <v>28</v>
      </c>
      <c r="C11" s="10"/>
      <c r="D11" s="13">
        <f t="shared" si="1"/>
        <v>0</v>
      </c>
      <c r="F11" s="213"/>
      <c r="G11" s="224"/>
      <c r="H11" s="225"/>
      <c r="I11" s="225"/>
      <c r="J11" s="22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7"/>
      <c r="B12" s="17" t="s">
        <v>30</v>
      </c>
      <c r="C12" s="10"/>
      <c r="D12" s="48">
        <f t="shared" si="1"/>
        <v>0</v>
      </c>
      <c r="F12" s="230" t="s">
        <v>33</v>
      </c>
      <c r="G12" s="231"/>
      <c r="H12" s="231"/>
      <c r="I12" s="231"/>
      <c r="J12" s="23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7"/>
      <c r="B13" s="17" t="s">
        <v>32</v>
      </c>
      <c r="C13" s="10">
        <v>10</v>
      </c>
      <c r="D13" s="48">
        <f t="shared" si="1"/>
        <v>3070</v>
      </c>
      <c r="F13" s="233" t="s">
        <v>36</v>
      </c>
      <c r="G13" s="197"/>
      <c r="H13" s="188">
        <f>D29</f>
        <v>236836</v>
      </c>
      <c r="I13" s="189"/>
      <c r="J13" s="19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7"/>
      <c r="B14" s="14" t="s">
        <v>35</v>
      </c>
      <c r="C14" s="10"/>
      <c r="D14" s="31">
        <f t="shared" si="1"/>
        <v>0</v>
      </c>
      <c r="F14" s="191" t="s">
        <v>38</v>
      </c>
      <c r="G14" s="192"/>
      <c r="H14" s="193">
        <f>D54</f>
        <v>30952.5</v>
      </c>
      <c r="I14" s="194"/>
      <c r="J14" s="19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7"/>
      <c r="B15" s="14" t="s">
        <v>122</v>
      </c>
      <c r="C15" s="10"/>
      <c r="D15" s="31">
        <f t="shared" si="1"/>
        <v>0</v>
      </c>
      <c r="F15" s="196" t="s">
        <v>39</v>
      </c>
      <c r="G15" s="197"/>
      <c r="H15" s="198">
        <f>H13-H14</f>
        <v>205883.5</v>
      </c>
      <c r="I15" s="199"/>
      <c r="J15" s="200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7"/>
      <c r="B16" s="18" t="s">
        <v>111</v>
      </c>
      <c r="C16" s="10">
        <f>1+1</f>
        <v>2</v>
      </c>
      <c r="D16" s="48">
        <f t="shared" si="1"/>
        <v>1300</v>
      </c>
      <c r="F16" s="67" t="s">
        <v>41</v>
      </c>
      <c r="G16" s="66" t="s">
        <v>42</v>
      </c>
      <c r="H16" s="158">
        <v>1110</v>
      </c>
      <c r="I16" s="158"/>
      <c r="J16" s="158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7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69"/>
      <c r="I17" s="169"/>
      <c r="J17" s="169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7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69"/>
      <c r="I18" s="169"/>
      <c r="J18" s="169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7"/>
      <c r="B19" s="87" t="s">
        <v>105</v>
      </c>
      <c r="C19" s="10"/>
      <c r="D19" s="48">
        <f t="shared" si="1"/>
        <v>0</v>
      </c>
      <c r="F19" s="56"/>
      <c r="G19" s="68" t="s">
        <v>49</v>
      </c>
      <c r="H19" s="253"/>
      <c r="I19" s="253"/>
      <c r="J19" s="253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7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58"/>
      <c r="I20" s="158"/>
      <c r="J20" s="158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7"/>
      <c r="B21" s="14" t="s">
        <v>183</v>
      </c>
      <c r="C21" s="10"/>
      <c r="D21" s="48">
        <f t="shared" si="1"/>
        <v>0</v>
      </c>
      <c r="F21" s="69" t="s">
        <v>94</v>
      </c>
      <c r="G21" s="82" t="s">
        <v>93</v>
      </c>
      <c r="H21" s="171" t="s">
        <v>13</v>
      </c>
      <c r="I21" s="172"/>
      <c r="J21" s="173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7"/>
      <c r="B22" s="46" t="s">
        <v>103</v>
      </c>
      <c r="C22" s="10"/>
      <c r="D22" s="48">
        <f t="shared" si="1"/>
        <v>0</v>
      </c>
      <c r="F22" s="77"/>
      <c r="G22" s="73"/>
      <c r="H22" s="174"/>
      <c r="I22" s="174"/>
      <c r="J22" s="174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7"/>
      <c r="B23" s="14" t="s">
        <v>121</v>
      </c>
      <c r="C23" s="10"/>
      <c r="D23" s="48">
        <f t="shared" si="1"/>
        <v>0</v>
      </c>
      <c r="F23" s="78"/>
      <c r="G23" s="79"/>
      <c r="H23" s="254"/>
      <c r="I23" s="174"/>
      <c r="J23" s="174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7"/>
      <c r="B24" s="14" t="s">
        <v>128</v>
      </c>
      <c r="C24" s="10"/>
      <c r="D24" s="48">
        <f t="shared" si="1"/>
        <v>0</v>
      </c>
      <c r="F24" s="38"/>
      <c r="G24" s="37"/>
      <c r="H24" s="175"/>
      <c r="I24" s="144"/>
      <c r="J24" s="144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7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76" t="s">
        <v>13</v>
      </c>
      <c r="I25" s="177"/>
      <c r="J25" s="178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7"/>
      <c r="B26" s="14" t="s">
        <v>129</v>
      </c>
      <c r="C26" s="10"/>
      <c r="D26" s="48">
        <f t="shared" si="1"/>
        <v>0</v>
      </c>
      <c r="F26" s="64"/>
      <c r="G26" s="59"/>
      <c r="H26" s="179"/>
      <c r="I26" s="180"/>
      <c r="J26" s="181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7"/>
      <c r="B27" s="14" t="s">
        <v>130</v>
      </c>
      <c r="C27" s="10"/>
      <c r="D27" s="44">
        <f t="shared" si="1"/>
        <v>0</v>
      </c>
      <c r="F27" s="25"/>
      <c r="G27" s="80"/>
      <c r="H27" s="182"/>
      <c r="I27" s="183"/>
      <c r="J27" s="184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8"/>
      <c r="B28" s="46" t="s">
        <v>92</v>
      </c>
      <c r="C28" s="10"/>
      <c r="D28" s="48">
        <f t="shared" si="1"/>
        <v>0</v>
      </c>
      <c r="F28" s="98"/>
      <c r="G28" s="61"/>
      <c r="H28" s="185"/>
      <c r="I28" s="186"/>
      <c r="J28" s="187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9" t="s">
        <v>36</v>
      </c>
      <c r="B29" s="160"/>
      <c r="C29" s="161"/>
      <c r="D29" s="165">
        <f>SUM(D6:D28)</f>
        <v>236836</v>
      </c>
      <c r="F29" s="105" t="s">
        <v>54</v>
      </c>
      <c r="G29" s="167"/>
      <c r="H29" s="127">
        <f>H15-H16-H17-H18-H19-H20-H22-H23-H24+H26+H27</f>
        <v>204773.5</v>
      </c>
      <c r="I29" s="128"/>
      <c r="J29" s="129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08"/>
      <c r="G30" s="168"/>
      <c r="H30" s="130"/>
      <c r="I30" s="131"/>
      <c r="J30" s="132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2" t="s">
        <v>57</v>
      </c>
      <c r="B32" s="153"/>
      <c r="C32" s="153"/>
      <c r="D32" s="154"/>
      <c r="F32" s="155" t="s">
        <v>58</v>
      </c>
      <c r="G32" s="156"/>
      <c r="H32" s="156"/>
      <c r="I32" s="156"/>
      <c r="J32" s="157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9" t="s">
        <v>62</v>
      </c>
      <c r="H33" s="155" t="s">
        <v>13</v>
      </c>
      <c r="I33" s="156"/>
      <c r="J33" s="157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6" t="s">
        <v>64</v>
      </c>
      <c r="B34" s="26" t="s">
        <v>65</v>
      </c>
      <c r="C34" s="51">
        <v>1</v>
      </c>
      <c r="D34" s="30">
        <f>C34*120</f>
        <v>120</v>
      </c>
      <c r="F34" s="12">
        <v>1000</v>
      </c>
      <c r="G34" s="74">
        <v>66</v>
      </c>
      <c r="H34" s="149">
        <f>F34*G34</f>
        <v>66000</v>
      </c>
      <c r="I34" s="150"/>
      <c r="J34" s="151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7"/>
      <c r="B35" s="27" t="s">
        <v>67</v>
      </c>
      <c r="C35" s="52"/>
      <c r="D35" s="30">
        <f>C35*84</f>
        <v>0</v>
      </c>
      <c r="F35" s="58">
        <v>500</v>
      </c>
      <c r="G35" s="41">
        <v>23</v>
      </c>
      <c r="H35" s="149">
        <f>F35*G35</f>
        <v>11500</v>
      </c>
      <c r="I35" s="150"/>
      <c r="J35" s="15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8"/>
      <c r="B36" s="26" t="s">
        <v>69</v>
      </c>
      <c r="C36" s="10"/>
      <c r="D36" s="12">
        <f>C36*1.5</f>
        <v>0</v>
      </c>
      <c r="F36" s="12">
        <v>200</v>
      </c>
      <c r="G36" s="37"/>
      <c r="H36" s="149">
        <f t="shared" ref="H36:H39" si="2">F36*G36</f>
        <v>0</v>
      </c>
      <c r="I36" s="150"/>
      <c r="J36" s="151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6" t="s">
        <v>71</v>
      </c>
      <c r="B37" s="28" t="s">
        <v>65</v>
      </c>
      <c r="C37" s="53">
        <v>260</v>
      </c>
      <c r="D37" s="12">
        <f>C37*111</f>
        <v>28860</v>
      </c>
      <c r="F37" s="12">
        <v>100</v>
      </c>
      <c r="G37" s="39">
        <v>4</v>
      </c>
      <c r="H37" s="149">
        <f t="shared" si="2"/>
        <v>400</v>
      </c>
      <c r="I37" s="150"/>
      <c r="J37" s="151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7"/>
      <c r="B38" s="29" t="s">
        <v>67</v>
      </c>
      <c r="C38" s="54">
        <v>10</v>
      </c>
      <c r="D38" s="12">
        <f>C38*84</f>
        <v>840</v>
      </c>
      <c r="F38" s="30">
        <v>50</v>
      </c>
      <c r="G38" s="39">
        <v>2</v>
      </c>
      <c r="H38" s="149">
        <f t="shared" si="2"/>
        <v>100</v>
      </c>
      <c r="I38" s="150"/>
      <c r="J38" s="151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8"/>
      <c r="B39" s="29" t="s">
        <v>69</v>
      </c>
      <c r="C39" s="52">
        <v>5</v>
      </c>
      <c r="D39" s="31">
        <f>C39*4.5</f>
        <v>22.5</v>
      </c>
      <c r="F39" s="12">
        <v>20</v>
      </c>
      <c r="G39" s="37"/>
      <c r="H39" s="149">
        <f t="shared" si="2"/>
        <v>0</v>
      </c>
      <c r="I39" s="150"/>
      <c r="J39" s="15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6" t="s">
        <v>75</v>
      </c>
      <c r="B40" s="27" t="s">
        <v>65</v>
      </c>
      <c r="C40" s="63">
        <v>5</v>
      </c>
      <c r="D40" s="12">
        <f>C40*111</f>
        <v>555</v>
      </c>
      <c r="F40" s="12">
        <v>10</v>
      </c>
      <c r="G40" s="42"/>
      <c r="H40" s="149"/>
      <c r="I40" s="150"/>
      <c r="J40" s="151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7"/>
      <c r="B41" s="27" t="s">
        <v>67</v>
      </c>
      <c r="C41" s="10"/>
      <c r="D41" s="12">
        <f>C41*84</f>
        <v>0</v>
      </c>
      <c r="F41" s="12">
        <v>5</v>
      </c>
      <c r="G41" s="42"/>
      <c r="H41" s="149"/>
      <c r="I41" s="150"/>
      <c r="J41" s="151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8"/>
      <c r="B42" s="27" t="s">
        <v>69</v>
      </c>
      <c r="C42" s="11"/>
      <c r="D42" s="12">
        <f>C42*2.25</f>
        <v>0</v>
      </c>
      <c r="F42" s="39" t="s">
        <v>78</v>
      </c>
      <c r="G42" s="149">
        <v>36</v>
      </c>
      <c r="H42" s="150"/>
      <c r="I42" s="150"/>
      <c r="J42" s="151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19" t="s">
        <v>80</v>
      </c>
      <c r="C43" s="11"/>
      <c r="D43" s="12"/>
      <c r="F43" s="59" t="s">
        <v>81</v>
      </c>
      <c r="G43" s="100" t="s">
        <v>82</v>
      </c>
      <c r="H43" s="141" t="s">
        <v>13</v>
      </c>
      <c r="I43" s="142"/>
      <c r="J43" s="143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20"/>
      <c r="B44" s="27" t="s">
        <v>65</v>
      </c>
      <c r="C44" s="10"/>
      <c r="D44" s="12">
        <f>C44*120</f>
        <v>0</v>
      </c>
      <c r="F44" s="37" t="s">
        <v>132</v>
      </c>
      <c r="G44" s="76" t="s">
        <v>215</v>
      </c>
      <c r="H44" s="144">
        <v>126587</v>
      </c>
      <c r="I44" s="144"/>
      <c r="J44" s="144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20"/>
      <c r="B45" s="27" t="s">
        <v>67</v>
      </c>
      <c r="C45" s="33"/>
      <c r="D45" s="12">
        <f>C45*84</f>
        <v>0</v>
      </c>
      <c r="F45" s="37"/>
      <c r="G45" s="76"/>
      <c r="H45" s="144"/>
      <c r="I45" s="144"/>
      <c r="J45" s="144"/>
      <c r="K45" s="21"/>
      <c r="P45" s="4"/>
      <c r="Q45" s="4"/>
      <c r="R45" s="5"/>
    </row>
    <row r="46" spans="1:18" ht="15.75" x14ac:dyDescent="0.25">
      <c r="A46" s="120"/>
      <c r="B46" s="49" t="s">
        <v>69</v>
      </c>
      <c r="C46" s="81"/>
      <c r="D46" s="12">
        <f>C46*1.5</f>
        <v>0</v>
      </c>
      <c r="F46" s="37"/>
      <c r="G46" s="62"/>
      <c r="H46" s="145"/>
      <c r="I46" s="145"/>
      <c r="J46" s="145"/>
      <c r="K46" s="21"/>
      <c r="P46" s="4"/>
      <c r="Q46" s="4"/>
      <c r="R46" s="5"/>
    </row>
    <row r="47" spans="1:18" ht="15.75" x14ac:dyDescent="0.25">
      <c r="A47" s="121"/>
      <c r="B47" s="27"/>
      <c r="C47" s="11"/>
      <c r="D47" s="12"/>
      <c r="F47" s="59"/>
      <c r="G47" s="59"/>
      <c r="H47" s="122"/>
      <c r="I47" s="123"/>
      <c r="J47" s="124"/>
      <c r="K47" s="21"/>
      <c r="P47" s="4"/>
      <c r="Q47" s="4"/>
      <c r="R47" s="5"/>
    </row>
    <row r="48" spans="1:18" ht="15" customHeight="1" x14ac:dyDescent="0.25">
      <c r="A48" s="119" t="s">
        <v>32</v>
      </c>
      <c r="B48" s="27" t="s">
        <v>65</v>
      </c>
      <c r="C48" s="10">
        <v>4</v>
      </c>
      <c r="D48" s="12">
        <f>C48*78</f>
        <v>312</v>
      </c>
      <c r="F48" s="59"/>
      <c r="G48" s="59"/>
      <c r="H48" s="122"/>
      <c r="I48" s="123"/>
      <c r="J48" s="124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20"/>
      <c r="B49" s="29" t="s">
        <v>67</v>
      </c>
      <c r="C49" s="33">
        <v>5</v>
      </c>
      <c r="D49" s="12">
        <f>C49*42</f>
        <v>210</v>
      </c>
      <c r="F49" s="125" t="s">
        <v>85</v>
      </c>
      <c r="G49" s="127">
        <f>H34+H35+H36+H37+H38+H39+H40+H41+G42+H44+H45+H46</f>
        <v>204623</v>
      </c>
      <c r="H49" s="128"/>
      <c r="I49" s="128"/>
      <c r="J49" s="129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0"/>
      <c r="B50" s="32" t="s">
        <v>69</v>
      </c>
      <c r="C50" s="81">
        <v>22</v>
      </c>
      <c r="D50" s="12">
        <f>C50*1.5</f>
        <v>33</v>
      </c>
      <c r="F50" s="126"/>
      <c r="G50" s="130"/>
      <c r="H50" s="131"/>
      <c r="I50" s="131"/>
      <c r="J50" s="132"/>
      <c r="O50" t="s">
        <v>114</v>
      </c>
      <c r="P50" s="4">
        <v>1204</v>
      </c>
      <c r="Q50" s="4"/>
      <c r="R50" s="5"/>
    </row>
    <row r="51" spans="1:18" ht="15" customHeight="1" x14ac:dyDescent="0.25">
      <c r="A51" s="120"/>
      <c r="B51" s="27"/>
      <c r="C51" s="10"/>
      <c r="D51" s="31"/>
      <c r="F51" s="133" t="s">
        <v>109</v>
      </c>
      <c r="G51" s="246">
        <f>G49-H29</f>
        <v>-150.5</v>
      </c>
      <c r="H51" s="247"/>
      <c r="I51" s="247"/>
      <c r="J51" s="248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20"/>
      <c r="B52" s="29"/>
      <c r="C52" s="33"/>
      <c r="D52" s="45"/>
      <c r="F52" s="134"/>
      <c r="G52" s="249"/>
      <c r="H52" s="250"/>
      <c r="I52" s="250"/>
      <c r="J52" s="251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1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05" t="s">
        <v>89</v>
      </c>
      <c r="B54" s="106"/>
      <c r="C54" s="107"/>
      <c r="D54" s="111">
        <f>SUM(D34:D53)</f>
        <v>30952.5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08"/>
      <c r="B55" s="109"/>
      <c r="C55" s="110"/>
      <c r="D55" s="11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13" t="s">
        <v>90</v>
      </c>
      <c r="B58" s="114"/>
      <c r="C58" s="114"/>
      <c r="D58" s="115"/>
      <c r="F58" s="113" t="s">
        <v>91</v>
      </c>
      <c r="G58" s="114"/>
      <c r="H58" s="114"/>
      <c r="I58" s="114"/>
      <c r="J58" s="115"/>
    </row>
    <row r="59" spans="1:18" x14ac:dyDescent="0.25">
      <c r="A59" s="116"/>
      <c r="B59" s="117"/>
      <c r="C59" s="117"/>
      <c r="D59" s="118"/>
      <c r="F59" s="116"/>
      <c r="G59" s="117"/>
      <c r="H59" s="117"/>
      <c r="I59" s="117"/>
      <c r="J59" s="118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7B61FD-7AD9-4BBB-A79C-F9133B92AC14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1" t="s">
        <v>1</v>
      </c>
      <c r="O1" s="201"/>
      <c r="P1" s="97" t="s">
        <v>2</v>
      </c>
      <c r="Q1" s="97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2" t="s">
        <v>7</v>
      </c>
      <c r="B4" s="153"/>
      <c r="C4" s="153"/>
      <c r="D4" s="154"/>
      <c r="F4" s="202" t="s">
        <v>8</v>
      </c>
      <c r="G4" s="204">
        <v>3</v>
      </c>
      <c r="H4" s="206" t="s">
        <v>9</v>
      </c>
      <c r="I4" s="208">
        <v>46168</v>
      </c>
      <c r="J4" s="20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6" t="s">
        <v>7</v>
      </c>
      <c r="B5" s="15" t="s">
        <v>11</v>
      </c>
      <c r="C5" s="9" t="s">
        <v>12</v>
      </c>
      <c r="D5" s="25" t="s">
        <v>13</v>
      </c>
      <c r="F5" s="203"/>
      <c r="G5" s="205"/>
      <c r="H5" s="207"/>
      <c r="I5" s="210"/>
      <c r="J5" s="21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7"/>
      <c r="B6" s="16" t="s">
        <v>15</v>
      </c>
      <c r="C6" s="10">
        <v>504</v>
      </c>
      <c r="D6" s="13">
        <f t="shared" ref="D6:D28" si="1">C6*L6</f>
        <v>383544</v>
      </c>
      <c r="F6" s="212" t="s">
        <v>16</v>
      </c>
      <c r="G6" s="214" t="s">
        <v>117</v>
      </c>
      <c r="H6" s="215"/>
      <c r="I6" s="215"/>
      <c r="J6" s="21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7"/>
      <c r="B7" s="16" t="s">
        <v>18</v>
      </c>
      <c r="C7" s="10">
        <v>16</v>
      </c>
      <c r="D7" s="13">
        <f t="shared" si="1"/>
        <v>12496</v>
      </c>
      <c r="F7" s="213"/>
      <c r="G7" s="217"/>
      <c r="H7" s="218"/>
      <c r="I7" s="218"/>
      <c r="J7" s="21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7"/>
      <c r="B8" s="16" t="s">
        <v>20</v>
      </c>
      <c r="C8" s="10"/>
      <c r="D8" s="13">
        <f t="shared" si="1"/>
        <v>0</v>
      </c>
      <c r="F8" s="220" t="s">
        <v>21</v>
      </c>
      <c r="G8" s="221" t="s">
        <v>110</v>
      </c>
      <c r="H8" s="222"/>
      <c r="I8" s="222"/>
      <c r="J8" s="22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7"/>
      <c r="B9" s="16" t="s">
        <v>23</v>
      </c>
      <c r="C9" s="10">
        <v>18</v>
      </c>
      <c r="D9" s="13">
        <f t="shared" si="1"/>
        <v>13194</v>
      </c>
      <c r="F9" s="213"/>
      <c r="G9" s="224"/>
      <c r="H9" s="225"/>
      <c r="I9" s="225"/>
      <c r="J9" s="22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7"/>
      <c r="B10" t="s">
        <v>25</v>
      </c>
      <c r="C10" s="10"/>
      <c r="D10" s="13">
        <f t="shared" si="1"/>
        <v>0</v>
      </c>
      <c r="F10" s="212" t="s">
        <v>26</v>
      </c>
      <c r="G10" s="227" t="s">
        <v>124</v>
      </c>
      <c r="H10" s="228"/>
      <c r="I10" s="228"/>
      <c r="J10" s="229"/>
      <c r="K10" s="8"/>
      <c r="L10" s="6">
        <f>R36</f>
        <v>1032</v>
      </c>
      <c r="P10" s="4"/>
      <c r="Q10" s="4"/>
      <c r="R10" s="5"/>
    </row>
    <row r="11" spans="1:18" ht="15.75" x14ac:dyDescent="0.25">
      <c r="A11" s="147"/>
      <c r="B11" s="17" t="s">
        <v>28</v>
      </c>
      <c r="C11" s="10"/>
      <c r="D11" s="13">
        <f t="shared" si="1"/>
        <v>0</v>
      </c>
      <c r="F11" s="213"/>
      <c r="G11" s="224"/>
      <c r="H11" s="225"/>
      <c r="I11" s="225"/>
      <c r="J11" s="22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7"/>
      <c r="B12" s="17" t="s">
        <v>30</v>
      </c>
      <c r="C12" s="10"/>
      <c r="D12" s="48">
        <f t="shared" si="1"/>
        <v>0</v>
      </c>
      <c r="F12" s="230" t="s">
        <v>33</v>
      </c>
      <c r="G12" s="231"/>
      <c r="H12" s="231"/>
      <c r="I12" s="231"/>
      <c r="J12" s="23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7"/>
      <c r="B13" s="17" t="s">
        <v>32</v>
      </c>
      <c r="C13" s="10">
        <v>14</v>
      </c>
      <c r="D13" s="48">
        <f t="shared" si="1"/>
        <v>4298</v>
      </c>
      <c r="F13" s="233" t="s">
        <v>36</v>
      </c>
      <c r="G13" s="197"/>
      <c r="H13" s="188">
        <f>D29</f>
        <v>416264</v>
      </c>
      <c r="I13" s="189"/>
      <c r="J13" s="19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7"/>
      <c r="B14" s="14" t="s">
        <v>35</v>
      </c>
      <c r="C14" s="10">
        <v>12</v>
      </c>
      <c r="D14" s="31">
        <f t="shared" si="1"/>
        <v>132</v>
      </c>
      <c r="F14" s="191" t="s">
        <v>38</v>
      </c>
      <c r="G14" s="192"/>
      <c r="H14" s="193">
        <f>D54</f>
        <v>59088.75</v>
      </c>
      <c r="I14" s="194"/>
      <c r="J14" s="19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7"/>
      <c r="B15" s="14" t="s">
        <v>122</v>
      </c>
      <c r="C15" s="10"/>
      <c r="D15" s="31">
        <f t="shared" si="1"/>
        <v>0</v>
      </c>
      <c r="F15" s="196" t="s">
        <v>39</v>
      </c>
      <c r="G15" s="197"/>
      <c r="H15" s="198">
        <f>H13-H14</f>
        <v>357175.25</v>
      </c>
      <c r="I15" s="199"/>
      <c r="J15" s="200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7"/>
      <c r="B16" s="18" t="s">
        <v>111</v>
      </c>
      <c r="C16" s="10">
        <f>2+2</f>
        <v>4</v>
      </c>
      <c r="D16" s="48">
        <f t="shared" si="1"/>
        <v>2600</v>
      </c>
      <c r="F16" s="67" t="s">
        <v>41</v>
      </c>
      <c r="G16" s="66" t="s">
        <v>42</v>
      </c>
      <c r="H16" s="158">
        <f>2004+348</f>
        <v>2352</v>
      </c>
      <c r="I16" s="158"/>
      <c r="J16" s="158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7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69"/>
      <c r="I17" s="169"/>
      <c r="J17" s="169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7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69"/>
      <c r="I18" s="169"/>
      <c r="J18" s="169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7"/>
      <c r="B19" s="87" t="s">
        <v>105</v>
      </c>
      <c r="C19" s="10"/>
      <c r="D19" s="48">
        <f t="shared" si="1"/>
        <v>0</v>
      </c>
      <c r="F19" s="56"/>
      <c r="G19" s="68" t="s">
        <v>49</v>
      </c>
      <c r="H19" s="253"/>
      <c r="I19" s="253"/>
      <c r="J19" s="253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7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58"/>
      <c r="I20" s="158"/>
      <c r="J20" s="158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7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71" t="s">
        <v>13</v>
      </c>
      <c r="I21" s="172"/>
      <c r="J21" s="173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7"/>
      <c r="B22" s="46" t="s">
        <v>103</v>
      </c>
      <c r="C22" s="10"/>
      <c r="D22" s="48">
        <f t="shared" si="1"/>
        <v>0</v>
      </c>
      <c r="F22" s="77"/>
      <c r="G22" s="73"/>
      <c r="H22" s="174"/>
      <c r="I22" s="174"/>
      <c r="J22" s="174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7"/>
      <c r="B23" s="14" t="s">
        <v>121</v>
      </c>
      <c r="C23" s="10"/>
      <c r="D23" s="48">
        <f t="shared" si="1"/>
        <v>0</v>
      </c>
      <c r="F23" s="78"/>
      <c r="G23" s="79"/>
      <c r="H23" s="254"/>
      <c r="I23" s="174"/>
      <c r="J23" s="174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7"/>
      <c r="B24" s="14" t="s">
        <v>128</v>
      </c>
      <c r="C24" s="10"/>
      <c r="D24" s="48">
        <f t="shared" si="1"/>
        <v>0</v>
      </c>
      <c r="F24" s="38"/>
      <c r="G24" s="37"/>
      <c r="H24" s="175"/>
      <c r="I24" s="144"/>
      <c r="J24" s="144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7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76" t="s">
        <v>13</v>
      </c>
      <c r="I25" s="177"/>
      <c r="J25" s="178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7"/>
      <c r="B26" s="14" t="s">
        <v>129</v>
      </c>
      <c r="C26" s="10"/>
      <c r="D26" s="48">
        <f t="shared" si="1"/>
        <v>0</v>
      </c>
      <c r="F26" s="64"/>
      <c r="G26" s="59"/>
      <c r="H26" s="179"/>
      <c r="I26" s="180"/>
      <c r="J26" s="181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7"/>
      <c r="B27" s="14" t="s">
        <v>130</v>
      </c>
      <c r="C27" s="10"/>
      <c r="D27" s="44">
        <f t="shared" si="1"/>
        <v>0</v>
      </c>
      <c r="F27" s="25"/>
      <c r="G27" s="80"/>
      <c r="H27" s="182"/>
      <c r="I27" s="183"/>
      <c r="J27" s="184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8"/>
      <c r="B28" s="46" t="s">
        <v>92</v>
      </c>
      <c r="C28" s="10"/>
      <c r="D28" s="48">
        <f t="shared" si="1"/>
        <v>0</v>
      </c>
      <c r="F28" s="98"/>
      <c r="G28" s="61"/>
      <c r="H28" s="185"/>
      <c r="I28" s="186"/>
      <c r="J28" s="187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9" t="s">
        <v>36</v>
      </c>
      <c r="B29" s="160"/>
      <c r="C29" s="161"/>
      <c r="D29" s="165">
        <f>SUM(D6:D28)</f>
        <v>416264</v>
      </c>
      <c r="F29" s="105" t="s">
        <v>54</v>
      </c>
      <c r="G29" s="167"/>
      <c r="H29" s="127">
        <f>H15-H16-H17-H18-H19-H20-H22-H23-H24+H26+H27</f>
        <v>354823.25</v>
      </c>
      <c r="I29" s="128"/>
      <c r="J29" s="129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08"/>
      <c r="G30" s="168"/>
      <c r="H30" s="130"/>
      <c r="I30" s="131"/>
      <c r="J30" s="132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2" t="s">
        <v>57</v>
      </c>
      <c r="B32" s="153"/>
      <c r="C32" s="153"/>
      <c r="D32" s="154"/>
      <c r="F32" s="155" t="s">
        <v>58</v>
      </c>
      <c r="G32" s="156"/>
      <c r="H32" s="156"/>
      <c r="I32" s="156"/>
      <c r="J32" s="157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9" t="s">
        <v>62</v>
      </c>
      <c r="H33" s="155" t="s">
        <v>13</v>
      </c>
      <c r="I33" s="156"/>
      <c r="J33" s="157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6" t="s">
        <v>64</v>
      </c>
      <c r="B34" s="26" t="s">
        <v>65</v>
      </c>
      <c r="C34" s="51"/>
      <c r="D34" s="30">
        <f>C34*120</f>
        <v>0</v>
      </c>
      <c r="F34" s="12">
        <v>1000</v>
      </c>
      <c r="G34" s="74">
        <v>115</v>
      </c>
      <c r="H34" s="149">
        <f>F34*G34</f>
        <v>115000</v>
      </c>
      <c r="I34" s="150"/>
      <c r="J34" s="151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7"/>
      <c r="B35" s="27" t="s">
        <v>67</v>
      </c>
      <c r="C35" s="52"/>
      <c r="D35" s="30">
        <f>C35*84</f>
        <v>0</v>
      </c>
      <c r="F35" s="58">
        <v>500</v>
      </c>
      <c r="G35" s="41">
        <v>35</v>
      </c>
      <c r="H35" s="149">
        <f>F35*G35</f>
        <v>17500</v>
      </c>
      <c r="I35" s="150"/>
      <c r="J35" s="15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8"/>
      <c r="B36" s="26" t="s">
        <v>69</v>
      </c>
      <c r="C36" s="10"/>
      <c r="D36" s="12">
        <f>C36*1.5</f>
        <v>0</v>
      </c>
      <c r="F36" s="12">
        <v>200</v>
      </c>
      <c r="G36" s="37"/>
      <c r="H36" s="149">
        <f t="shared" ref="H36:H39" si="2">F36*G36</f>
        <v>0</v>
      </c>
      <c r="I36" s="150"/>
      <c r="J36" s="151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6" t="s">
        <v>71</v>
      </c>
      <c r="B37" s="28" t="s">
        <v>65</v>
      </c>
      <c r="C37" s="53">
        <f>69+432</f>
        <v>501</v>
      </c>
      <c r="D37" s="12">
        <f>C37*111</f>
        <v>55611</v>
      </c>
      <c r="F37" s="12">
        <v>100</v>
      </c>
      <c r="G37" s="39">
        <v>28</v>
      </c>
      <c r="H37" s="149">
        <f t="shared" si="2"/>
        <v>2800</v>
      </c>
      <c r="I37" s="150"/>
      <c r="J37" s="151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7"/>
      <c r="B38" s="29" t="s">
        <v>67</v>
      </c>
      <c r="C38" s="54">
        <v>3</v>
      </c>
      <c r="D38" s="12">
        <f>C38*84</f>
        <v>252</v>
      </c>
      <c r="F38" s="30">
        <v>50</v>
      </c>
      <c r="G38" s="39"/>
      <c r="H38" s="149">
        <f t="shared" si="2"/>
        <v>0</v>
      </c>
      <c r="I38" s="150"/>
      <c r="J38" s="151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8"/>
      <c r="B39" s="29" t="s">
        <v>69</v>
      </c>
      <c r="C39" s="52">
        <v>4</v>
      </c>
      <c r="D39" s="31">
        <f>C39*4.5</f>
        <v>18</v>
      </c>
      <c r="F39" s="12">
        <v>20</v>
      </c>
      <c r="G39" s="37"/>
      <c r="H39" s="149">
        <f t="shared" si="2"/>
        <v>0</v>
      </c>
      <c r="I39" s="150"/>
      <c r="J39" s="15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6" t="s">
        <v>75</v>
      </c>
      <c r="B40" s="27" t="s">
        <v>65</v>
      </c>
      <c r="C40" s="63">
        <v>13</v>
      </c>
      <c r="D40" s="12">
        <f>C40*111</f>
        <v>1443</v>
      </c>
      <c r="F40" s="12">
        <v>10</v>
      </c>
      <c r="G40" s="42"/>
      <c r="H40" s="149"/>
      <c r="I40" s="150"/>
      <c r="J40" s="151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7"/>
      <c r="B41" s="27" t="s">
        <v>67</v>
      </c>
      <c r="C41" s="10">
        <v>1</v>
      </c>
      <c r="D41" s="12">
        <f>C41*84</f>
        <v>84</v>
      </c>
      <c r="F41" s="12">
        <v>5</v>
      </c>
      <c r="G41" s="42"/>
      <c r="H41" s="149"/>
      <c r="I41" s="150"/>
      <c r="J41" s="151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8"/>
      <c r="B42" s="27" t="s">
        <v>69</v>
      </c>
      <c r="C42" s="11">
        <v>11</v>
      </c>
      <c r="D42" s="12">
        <f>C42*2.25</f>
        <v>24.75</v>
      </c>
      <c r="F42" s="39" t="s">
        <v>78</v>
      </c>
      <c r="G42" s="149">
        <v>49</v>
      </c>
      <c r="H42" s="150"/>
      <c r="I42" s="150"/>
      <c r="J42" s="151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19" t="s">
        <v>80</v>
      </c>
      <c r="C43" s="11"/>
      <c r="D43" s="12"/>
      <c r="F43" s="59" t="s">
        <v>81</v>
      </c>
      <c r="G43" s="100" t="s">
        <v>82</v>
      </c>
      <c r="H43" s="141" t="s">
        <v>13</v>
      </c>
      <c r="I43" s="142"/>
      <c r="J43" s="143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20"/>
      <c r="B44" s="27" t="s">
        <v>65</v>
      </c>
      <c r="C44" s="10">
        <v>7</v>
      </c>
      <c r="D44" s="12">
        <f>C44*120</f>
        <v>840</v>
      </c>
      <c r="F44" s="37" t="s">
        <v>136</v>
      </c>
      <c r="G44" s="76" t="s">
        <v>213</v>
      </c>
      <c r="H44" s="144">
        <v>217844</v>
      </c>
      <c r="I44" s="144"/>
      <c r="J44" s="144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20"/>
      <c r="B45" s="27" t="s">
        <v>67</v>
      </c>
      <c r="C45" s="33"/>
      <c r="D45" s="12">
        <f>C45*84</f>
        <v>0</v>
      </c>
      <c r="F45" s="37"/>
      <c r="G45" s="76"/>
      <c r="H45" s="144"/>
      <c r="I45" s="144"/>
      <c r="J45" s="144"/>
      <c r="K45" s="21"/>
      <c r="P45" s="4"/>
      <c r="Q45" s="4"/>
      <c r="R45" s="5"/>
    </row>
    <row r="46" spans="1:18" ht="15.75" x14ac:dyDescent="0.25">
      <c r="A46" s="120"/>
      <c r="B46" s="49" t="s">
        <v>69</v>
      </c>
      <c r="C46" s="81">
        <v>2</v>
      </c>
      <c r="D46" s="12">
        <f>C46*1.5</f>
        <v>3</v>
      </c>
      <c r="F46" s="37"/>
      <c r="G46" s="62"/>
      <c r="H46" s="145"/>
      <c r="I46" s="145"/>
      <c r="J46" s="145"/>
      <c r="K46" s="21"/>
      <c r="P46" s="4"/>
      <c r="Q46" s="4"/>
      <c r="R46" s="5"/>
    </row>
    <row r="47" spans="1:18" ht="15.75" x14ac:dyDescent="0.25">
      <c r="A47" s="121"/>
      <c r="B47" s="27"/>
      <c r="C47" s="11"/>
      <c r="D47" s="12"/>
      <c r="F47" s="59"/>
      <c r="G47" s="59"/>
      <c r="H47" s="122"/>
      <c r="I47" s="123"/>
      <c r="J47" s="124"/>
      <c r="K47" s="21"/>
      <c r="P47" s="4"/>
      <c r="Q47" s="4"/>
      <c r="R47" s="5"/>
    </row>
    <row r="48" spans="1:18" ht="15" customHeight="1" x14ac:dyDescent="0.25">
      <c r="A48" s="119" t="s">
        <v>32</v>
      </c>
      <c r="B48" s="27" t="s">
        <v>65</v>
      </c>
      <c r="C48" s="10">
        <v>6</v>
      </c>
      <c r="D48" s="12">
        <f>C48*78</f>
        <v>468</v>
      </c>
      <c r="F48" s="59"/>
      <c r="G48" s="59"/>
      <c r="H48" s="122"/>
      <c r="I48" s="123"/>
      <c r="J48" s="124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20"/>
      <c r="B49" s="29" t="s">
        <v>67</v>
      </c>
      <c r="C49" s="33">
        <v>8</v>
      </c>
      <c r="D49" s="12">
        <f>C49*42</f>
        <v>336</v>
      </c>
      <c r="F49" s="125" t="s">
        <v>85</v>
      </c>
      <c r="G49" s="127">
        <f>H34+H35+H36+H37+H38+H39+H40+H41+G42+H44+H45+H46</f>
        <v>353193</v>
      </c>
      <c r="H49" s="128"/>
      <c r="I49" s="128"/>
      <c r="J49" s="129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0"/>
      <c r="B50" s="32" t="s">
        <v>69</v>
      </c>
      <c r="C50" s="11">
        <v>6</v>
      </c>
      <c r="D50" s="12">
        <f>C50*1.5</f>
        <v>9</v>
      </c>
      <c r="F50" s="126"/>
      <c r="G50" s="130"/>
      <c r="H50" s="131"/>
      <c r="I50" s="131"/>
      <c r="J50" s="132"/>
      <c r="O50" t="s">
        <v>114</v>
      </c>
      <c r="P50" s="4">
        <v>1204</v>
      </c>
      <c r="Q50" s="4"/>
      <c r="R50" s="5"/>
    </row>
    <row r="51" spans="1:18" ht="15" customHeight="1" x14ac:dyDescent="0.25">
      <c r="A51" s="120"/>
      <c r="B51" s="27"/>
      <c r="C51" s="10"/>
      <c r="D51" s="31"/>
      <c r="F51" s="133" t="s">
        <v>109</v>
      </c>
      <c r="G51" s="246">
        <f>G49-H29</f>
        <v>-1630.25</v>
      </c>
      <c r="H51" s="247"/>
      <c r="I51" s="247"/>
      <c r="J51" s="248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20"/>
      <c r="B52" s="29"/>
      <c r="C52" s="33"/>
      <c r="D52" s="45"/>
      <c r="F52" s="134"/>
      <c r="G52" s="249"/>
      <c r="H52" s="250"/>
      <c r="I52" s="250"/>
      <c r="J52" s="251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1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05" t="s">
        <v>89</v>
      </c>
      <c r="B54" s="106"/>
      <c r="C54" s="107"/>
      <c r="D54" s="111">
        <f>SUM(D34:D53)</f>
        <v>59088.75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08"/>
      <c r="B55" s="109"/>
      <c r="C55" s="110"/>
      <c r="D55" s="11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13" t="s">
        <v>90</v>
      </c>
      <c r="B58" s="114"/>
      <c r="C58" s="114"/>
      <c r="D58" s="115"/>
      <c r="F58" s="113" t="s">
        <v>91</v>
      </c>
      <c r="G58" s="114"/>
      <c r="H58" s="114"/>
      <c r="I58" s="114"/>
      <c r="J58" s="115"/>
    </row>
    <row r="59" spans="1:18" x14ac:dyDescent="0.25">
      <c r="A59" s="116"/>
      <c r="B59" s="117"/>
      <c r="C59" s="117"/>
      <c r="D59" s="118"/>
      <c r="F59" s="116"/>
      <c r="G59" s="117"/>
      <c r="H59" s="117"/>
      <c r="I59" s="117"/>
      <c r="J59" s="118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95E5F1-C77E-48FF-AE6E-DCEE49D34582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01" t="s">
        <v>1</v>
      </c>
      <c r="O1" s="201"/>
      <c r="P1" s="97" t="s">
        <v>2</v>
      </c>
      <c r="Q1" s="97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52" t="s">
        <v>7</v>
      </c>
      <c r="B4" s="153"/>
      <c r="C4" s="153"/>
      <c r="D4" s="154"/>
      <c r="F4" s="202" t="s">
        <v>8</v>
      </c>
      <c r="G4" s="204"/>
      <c r="H4" s="206" t="s">
        <v>9</v>
      </c>
      <c r="I4" s="208"/>
      <c r="J4" s="20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46" t="s">
        <v>7</v>
      </c>
      <c r="B5" s="15" t="s">
        <v>11</v>
      </c>
      <c r="C5" s="9" t="s">
        <v>12</v>
      </c>
      <c r="D5" s="25" t="s">
        <v>13</v>
      </c>
      <c r="F5" s="203"/>
      <c r="G5" s="205"/>
      <c r="H5" s="207"/>
      <c r="I5" s="210"/>
      <c r="J5" s="21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47"/>
      <c r="B6" s="16"/>
      <c r="C6" s="10"/>
      <c r="D6" s="13">
        <f t="shared" ref="D6:D28" si="1">C6*L6</f>
        <v>0</v>
      </c>
      <c r="F6" s="212" t="s">
        <v>16</v>
      </c>
      <c r="G6" s="214"/>
      <c r="H6" s="215"/>
      <c r="I6" s="215"/>
      <c r="J6" s="216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47"/>
      <c r="B7" s="16"/>
      <c r="C7" s="10"/>
      <c r="D7" s="13">
        <f t="shared" si="1"/>
        <v>0</v>
      </c>
      <c r="F7" s="213"/>
      <c r="G7" s="217"/>
      <c r="H7" s="218"/>
      <c r="I7" s="218"/>
      <c r="J7" s="219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47"/>
      <c r="B8" s="16"/>
      <c r="C8" s="10"/>
      <c r="D8" s="13">
        <f t="shared" si="1"/>
        <v>0</v>
      </c>
      <c r="F8" s="220" t="s">
        <v>21</v>
      </c>
      <c r="G8" s="221"/>
      <c r="H8" s="222"/>
      <c r="I8" s="222"/>
      <c r="J8" s="223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47"/>
      <c r="B9" s="16"/>
      <c r="C9" s="10"/>
      <c r="D9" s="13">
        <f t="shared" si="1"/>
        <v>0</v>
      </c>
      <c r="F9" s="213"/>
      <c r="G9" s="224"/>
      <c r="H9" s="225"/>
      <c r="I9" s="225"/>
      <c r="J9" s="226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47"/>
      <c r="C10" s="10"/>
      <c r="D10" s="13">
        <f t="shared" si="1"/>
        <v>0</v>
      </c>
      <c r="F10" s="212" t="s">
        <v>26</v>
      </c>
      <c r="G10" s="227"/>
      <c r="H10" s="228"/>
      <c r="I10" s="228"/>
      <c r="J10" s="229"/>
      <c r="K10" s="8"/>
      <c r="L10" s="6">
        <f>R36</f>
        <v>972</v>
      </c>
      <c r="P10" s="4"/>
      <c r="Q10" s="4"/>
      <c r="R10" s="5"/>
    </row>
    <row r="11" spans="1:19" ht="15.75" x14ac:dyDescent="0.25">
      <c r="A11" s="147"/>
      <c r="B11" s="17"/>
      <c r="C11" s="10"/>
      <c r="D11" s="13">
        <f t="shared" si="1"/>
        <v>0</v>
      </c>
      <c r="F11" s="213"/>
      <c r="G11" s="224"/>
      <c r="H11" s="225"/>
      <c r="I11" s="225"/>
      <c r="J11" s="226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47"/>
      <c r="B12" s="17"/>
      <c r="C12" s="10"/>
      <c r="D12" s="48">
        <f t="shared" si="1"/>
        <v>0</v>
      </c>
      <c r="F12" s="230" t="s">
        <v>33</v>
      </c>
      <c r="G12" s="231"/>
      <c r="H12" s="231"/>
      <c r="I12" s="231"/>
      <c r="J12" s="232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47"/>
      <c r="B13" s="17"/>
      <c r="C13" s="10"/>
      <c r="D13" s="48">
        <f t="shared" si="1"/>
        <v>0</v>
      </c>
      <c r="F13" s="233" t="s">
        <v>36</v>
      </c>
      <c r="G13" s="197"/>
      <c r="H13" s="188">
        <f>D29</f>
        <v>0</v>
      </c>
      <c r="I13" s="189"/>
      <c r="J13" s="19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47"/>
      <c r="B14" s="14"/>
      <c r="C14" s="10"/>
      <c r="D14" s="31">
        <f t="shared" si="1"/>
        <v>0</v>
      </c>
      <c r="F14" s="191" t="s">
        <v>38</v>
      </c>
      <c r="G14" s="192"/>
      <c r="H14" s="193">
        <f>D54</f>
        <v>0</v>
      </c>
      <c r="I14" s="194"/>
      <c r="J14" s="19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47"/>
      <c r="B15" s="14"/>
      <c r="C15" s="10"/>
      <c r="D15" s="31">
        <f t="shared" si="1"/>
        <v>0</v>
      </c>
      <c r="F15" s="196" t="s">
        <v>39</v>
      </c>
      <c r="G15" s="197"/>
      <c r="H15" s="198">
        <f>H13-H14</f>
        <v>0</v>
      </c>
      <c r="I15" s="199"/>
      <c r="J15" s="200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47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58"/>
      <c r="I16" s="158"/>
      <c r="J16" s="158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7"/>
      <c r="C17" s="10"/>
      <c r="D17" s="48">
        <f t="shared" si="1"/>
        <v>0</v>
      </c>
      <c r="F17" s="56"/>
      <c r="G17" s="66" t="s">
        <v>44</v>
      </c>
      <c r="H17" s="169"/>
      <c r="I17" s="169"/>
      <c r="J17" s="169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7"/>
      <c r="B18" s="19"/>
      <c r="C18" s="10"/>
      <c r="D18" s="48">
        <f t="shared" si="1"/>
        <v>0</v>
      </c>
      <c r="F18" s="56"/>
      <c r="G18" s="66" t="s">
        <v>46</v>
      </c>
      <c r="H18" s="169"/>
      <c r="I18" s="169"/>
      <c r="J18" s="16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7"/>
      <c r="B19" s="14"/>
      <c r="C19" s="10"/>
      <c r="D19" s="48">
        <f t="shared" si="1"/>
        <v>0</v>
      </c>
      <c r="F19" s="56"/>
      <c r="G19" s="68" t="s">
        <v>49</v>
      </c>
      <c r="H19" s="170"/>
      <c r="I19" s="170"/>
      <c r="J19" s="170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7"/>
      <c r="B20" s="46"/>
      <c r="C20" s="10"/>
      <c r="D20" s="13">
        <f t="shared" si="1"/>
        <v>0</v>
      </c>
      <c r="F20" s="57"/>
      <c r="G20" s="70" t="s">
        <v>102</v>
      </c>
      <c r="H20" s="158"/>
      <c r="I20" s="158"/>
      <c r="J20" s="158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7"/>
      <c r="B21" s="14"/>
      <c r="C21" s="10"/>
      <c r="D21" s="48">
        <f t="shared" si="1"/>
        <v>0</v>
      </c>
      <c r="F21" s="69" t="s">
        <v>94</v>
      </c>
      <c r="G21" s="82" t="s">
        <v>93</v>
      </c>
      <c r="H21" s="171" t="s">
        <v>13</v>
      </c>
      <c r="I21" s="172"/>
      <c r="J21" s="173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7"/>
      <c r="B22" s="46"/>
      <c r="C22" s="10"/>
      <c r="D22" s="48">
        <f t="shared" si="1"/>
        <v>0</v>
      </c>
      <c r="F22" s="77"/>
      <c r="G22" s="73"/>
      <c r="H22" s="174"/>
      <c r="I22" s="174"/>
      <c r="J22" s="174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7"/>
      <c r="B23" s="14"/>
      <c r="C23" s="10"/>
      <c r="D23" s="48">
        <f t="shared" si="1"/>
        <v>0</v>
      </c>
      <c r="F23" s="78"/>
      <c r="G23" s="79"/>
      <c r="H23" s="175"/>
      <c r="I23" s="144"/>
      <c r="J23" s="144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7"/>
      <c r="B24" s="14"/>
      <c r="C24" s="10"/>
      <c r="D24" s="48">
        <f t="shared" si="1"/>
        <v>0</v>
      </c>
      <c r="F24" s="38"/>
      <c r="G24" s="37"/>
      <c r="H24" s="175"/>
      <c r="I24" s="144"/>
      <c r="J24" s="144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7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176" t="s">
        <v>13</v>
      </c>
      <c r="I25" s="177"/>
      <c r="J25" s="178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7"/>
      <c r="B26" s="14"/>
      <c r="C26" s="10"/>
      <c r="D26" s="48">
        <f t="shared" si="1"/>
        <v>0</v>
      </c>
      <c r="F26" s="64"/>
      <c r="G26" s="59"/>
      <c r="H26" s="179"/>
      <c r="I26" s="180"/>
      <c r="J26" s="181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7"/>
      <c r="B27" s="14"/>
      <c r="C27" s="10"/>
      <c r="D27" s="44">
        <f t="shared" si="1"/>
        <v>0</v>
      </c>
      <c r="F27" s="25"/>
      <c r="G27" s="80"/>
      <c r="H27" s="182"/>
      <c r="I27" s="183"/>
      <c r="J27" s="184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8"/>
      <c r="B28" s="46"/>
      <c r="C28" s="10"/>
      <c r="D28" s="48">
        <f t="shared" si="1"/>
        <v>0</v>
      </c>
      <c r="F28" s="98"/>
      <c r="G28" s="61"/>
      <c r="H28" s="185"/>
      <c r="I28" s="186"/>
      <c r="J28" s="187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9" t="s">
        <v>36</v>
      </c>
      <c r="B29" s="160"/>
      <c r="C29" s="161"/>
      <c r="D29" s="165">
        <f>SUM(D6:D28)</f>
        <v>0</v>
      </c>
      <c r="F29" s="105" t="s">
        <v>54</v>
      </c>
      <c r="G29" s="167"/>
      <c r="H29" s="127">
        <f>H15-H16-H17-H18-H19-H20-H22-H23-H24+H26+H27</f>
        <v>0</v>
      </c>
      <c r="I29" s="128"/>
      <c r="J29" s="129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08"/>
      <c r="G30" s="168"/>
      <c r="H30" s="130"/>
      <c r="I30" s="131"/>
      <c r="J30" s="132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52" t="s">
        <v>57</v>
      </c>
      <c r="B32" s="153"/>
      <c r="C32" s="153"/>
      <c r="D32" s="154"/>
      <c r="F32" s="155" t="s">
        <v>58</v>
      </c>
      <c r="G32" s="156"/>
      <c r="H32" s="156"/>
      <c r="I32" s="156"/>
      <c r="J32" s="157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9" t="s">
        <v>62</v>
      </c>
      <c r="H33" s="155" t="s">
        <v>13</v>
      </c>
      <c r="I33" s="156"/>
      <c r="J33" s="157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6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149"/>
      <c r="I34" s="150"/>
      <c r="J34" s="151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7"/>
      <c r="B35" s="27" t="s">
        <v>67</v>
      </c>
      <c r="C35" s="52"/>
      <c r="D35" s="30">
        <f>C35*84</f>
        <v>0</v>
      </c>
      <c r="F35" s="58">
        <v>500</v>
      </c>
      <c r="G35" s="41"/>
      <c r="H35" s="149"/>
      <c r="I35" s="150"/>
      <c r="J35" s="15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8"/>
      <c r="B36" s="26" t="s">
        <v>69</v>
      </c>
      <c r="C36" s="10"/>
      <c r="D36" s="12">
        <f>C36*1.5</f>
        <v>0</v>
      </c>
      <c r="F36" s="12">
        <v>200</v>
      </c>
      <c r="G36" s="37"/>
      <c r="H36" s="149"/>
      <c r="I36" s="150"/>
      <c r="J36" s="151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6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49"/>
      <c r="I37" s="150"/>
      <c r="J37" s="151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7"/>
      <c r="B38" s="29" t="s">
        <v>67</v>
      </c>
      <c r="C38" s="54"/>
      <c r="D38" s="12">
        <f>C38*84</f>
        <v>0</v>
      </c>
      <c r="F38" s="30">
        <v>50</v>
      </c>
      <c r="G38" s="39"/>
      <c r="H38" s="149"/>
      <c r="I38" s="150"/>
      <c r="J38" s="151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8"/>
      <c r="B39" s="29" t="s">
        <v>69</v>
      </c>
      <c r="C39" s="52"/>
      <c r="D39" s="31">
        <f>C39*4.5</f>
        <v>0</v>
      </c>
      <c r="F39" s="12">
        <v>20</v>
      </c>
      <c r="G39" s="37"/>
      <c r="H39" s="149"/>
      <c r="I39" s="150"/>
      <c r="J39" s="15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6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49"/>
      <c r="I40" s="150"/>
      <c r="J40" s="151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7"/>
      <c r="B41" s="27" t="s">
        <v>67</v>
      </c>
      <c r="C41" s="10"/>
      <c r="D41" s="12">
        <f>C41*84</f>
        <v>0</v>
      </c>
      <c r="F41" s="12">
        <v>5</v>
      </c>
      <c r="G41" s="42"/>
      <c r="H41" s="149"/>
      <c r="I41" s="150"/>
      <c r="J41" s="151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8"/>
      <c r="B42" s="27" t="s">
        <v>69</v>
      </c>
      <c r="C42" s="11"/>
      <c r="D42" s="12">
        <f>C42*2.25</f>
        <v>0</v>
      </c>
      <c r="F42" s="39" t="s">
        <v>78</v>
      </c>
      <c r="G42" s="149"/>
      <c r="H42" s="150"/>
      <c r="I42" s="150"/>
      <c r="J42" s="151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19" t="s">
        <v>80</v>
      </c>
      <c r="C43" s="11"/>
      <c r="D43" s="12"/>
      <c r="F43" s="59" t="s">
        <v>81</v>
      </c>
      <c r="G43" s="100" t="s">
        <v>82</v>
      </c>
      <c r="H43" s="141" t="s">
        <v>13</v>
      </c>
      <c r="I43" s="142"/>
      <c r="J43" s="143"/>
      <c r="K43" s="21"/>
      <c r="P43" s="4"/>
      <c r="Q43" s="4"/>
      <c r="R43" s="5"/>
    </row>
    <row r="44" spans="1:18" ht="15.75" x14ac:dyDescent="0.25">
      <c r="A44" s="120"/>
      <c r="B44" s="27" t="s">
        <v>65</v>
      </c>
      <c r="C44" s="10"/>
      <c r="D44" s="12">
        <f>C44*120</f>
        <v>0</v>
      </c>
      <c r="F44" s="37"/>
      <c r="G44" s="76"/>
      <c r="H44" s="144"/>
      <c r="I44" s="144"/>
      <c r="J44" s="144"/>
      <c r="K44" s="21"/>
      <c r="P44" s="4"/>
      <c r="Q44" s="4"/>
      <c r="R44" s="5"/>
    </row>
    <row r="45" spans="1:18" ht="15.75" x14ac:dyDescent="0.25">
      <c r="A45" s="120"/>
      <c r="B45" s="27" t="s">
        <v>67</v>
      </c>
      <c r="C45" s="33"/>
      <c r="D45" s="12">
        <f>C45*84</f>
        <v>0</v>
      </c>
      <c r="F45" s="37"/>
      <c r="G45" s="76"/>
      <c r="H45" s="144"/>
      <c r="I45" s="144"/>
      <c r="J45" s="144"/>
      <c r="K45" s="21"/>
      <c r="P45" s="4"/>
      <c r="Q45" s="4"/>
      <c r="R45" s="5"/>
    </row>
    <row r="46" spans="1:18" ht="15.75" x14ac:dyDescent="0.25">
      <c r="A46" s="120"/>
      <c r="B46" s="49" t="s">
        <v>69</v>
      </c>
      <c r="C46" s="81"/>
      <c r="D46" s="12">
        <f>C46*1.5</f>
        <v>0</v>
      </c>
      <c r="F46" s="37"/>
      <c r="G46" s="62"/>
      <c r="H46" s="145"/>
      <c r="I46" s="145"/>
      <c r="J46" s="145"/>
      <c r="K46" s="21"/>
      <c r="P46" s="4"/>
      <c r="Q46" s="4"/>
      <c r="R46" s="5"/>
    </row>
    <row r="47" spans="1:18" ht="15.75" x14ac:dyDescent="0.25">
      <c r="A47" s="121"/>
      <c r="B47" s="27"/>
      <c r="C47" s="11"/>
      <c r="D47" s="12"/>
      <c r="F47" s="59"/>
      <c r="G47" s="59"/>
      <c r="H47" s="122"/>
      <c r="I47" s="123"/>
      <c r="J47" s="124"/>
      <c r="K47" s="21"/>
      <c r="P47" s="4"/>
      <c r="Q47" s="4"/>
      <c r="R47" s="5"/>
    </row>
    <row r="48" spans="1:18" ht="15" customHeight="1" x14ac:dyDescent="0.25">
      <c r="A48" s="119" t="s">
        <v>32</v>
      </c>
      <c r="B48" s="27" t="s">
        <v>65</v>
      </c>
      <c r="C48" s="10"/>
      <c r="D48" s="12">
        <f>C48*78</f>
        <v>0</v>
      </c>
      <c r="F48" s="59"/>
      <c r="G48" s="59"/>
      <c r="H48" s="122"/>
      <c r="I48" s="123"/>
      <c r="J48" s="124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20"/>
      <c r="B49" s="29" t="s">
        <v>67</v>
      </c>
      <c r="C49" s="33"/>
      <c r="D49" s="12">
        <f>C49*42</f>
        <v>0</v>
      </c>
      <c r="F49" s="125" t="s">
        <v>85</v>
      </c>
      <c r="G49" s="127">
        <f>H34+H35+H36+H37+H38+H39+H40+H41+G42+H44+H45+H46</f>
        <v>0</v>
      </c>
      <c r="H49" s="128"/>
      <c r="I49" s="128"/>
      <c r="J49" s="129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0"/>
      <c r="B50" s="32" t="s">
        <v>69</v>
      </c>
      <c r="C50" s="11"/>
      <c r="D50" s="12">
        <f>C50*1.5</f>
        <v>0</v>
      </c>
      <c r="F50" s="126"/>
      <c r="G50" s="130"/>
      <c r="H50" s="131"/>
      <c r="I50" s="131"/>
      <c r="J50" s="132"/>
      <c r="P50" s="4"/>
      <c r="Q50" s="4"/>
      <c r="R50" s="5"/>
    </row>
    <row r="51" spans="1:18" ht="15" customHeight="1" x14ac:dyDescent="0.25">
      <c r="A51" s="120"/>
      <c r="B51" s="27"/>
      <c r="C51" s="10"/>
      <c r="D51" s="31"/>
      <c r="F51" s="133" t="s">
        <v>106</v>
      </c>
      <c r="G51" s="135">
        <f>G49-H29</f>
        <v>0</v>
      </c>
      <c r="H51" s="136"/>
      <c r="I51" s="136"/>
      <c r="J51" s="137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0"/>
      <c r="B52" s="29"/>
      <c r="C52" s="33"/>
      <c r="D52" s="45"/>
      <c r="F52" s="134"/>
      <c r="G52" s="138"/>
      <c r="H52" s="139"/>
      <c r="I52" s="139"/>
      <c r="J52" s="140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1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05" t="s">
        <v>89</v>
      </c>
      <c r="B54" s="106"/>
      <c r="C54" s="107"/>
      <c r="D54" s="111">
        <f>SUM(D34:D53)</f>
        <v>0</v>
      </c>
      <c r="F54" s="21"/>
      <c r="J54" s="34"/>
    </row>
    <row r="55" spans="1:18" x14ac:dyDescent="0.25">
      <c r="A55" s="108"/>
      <c r="B55" s="109"/>
      <c r="C55" s="110"/>
      <c r="D55" s="11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13" t="s">
        <v>90</v>
      </c>
      <c r="B58" s="114"/>
      <c r="C58" s="114"/>
      <c r="D58" s="115"/>
      <c r="F58" s="113" t="s">
        <v>91</v>
      </c>
      <c r="G58" s="114"/>
      <c r="H58" s="114"/>
      <c r="I58" s="114"/>
      <c r="J58" s="115"/>
    </row>
    <row r="59" spans="1:18" x14ac:dyDescent="0.25">
      <c r="A59" s="116"/>
      <c r="B59" s="117"/>
      <c r="C59" s="117"/>
      <c r="D59" s="118"/>
      <c r="F59" s="116"/>
      <c r="G59" s="117"/>
      <c r="H59" s="117"/>
      <c r="I59" s="117"/>
      <c r="J59" s="118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FCB143-C922-4C41-8A62-9E308512D18B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1" t="s">
        <v>1</v>
      </c>
      <c r="O1" s="201"/>
      <c r="P1" s="97" t="s">
        <v>2</v>
      </c>
      <c r="Q1" s="97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2" t="s">
        <v>7</v>
      </c>
      <c r="B4" s="153"/>
      <c r="C4" s="153"/>
      <c r="D4" s="154"/>
      <c r="F4" s="202" t="s">
        <v>8</v>
      </c>
      <c r="G4" s="204">
        <v>1</v>
      </c>
      <c r="H4" s="206" t="s">
        <v>9</v>
      </c>
      <c r="I4" s="208">
        <v>46169</v>
      </c>
      <c r="J4" s="20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6" t="s">
        <v>7</v>
      </c>
      <c r="B5" s="15" t="s">
        <v>11</v>
      </c>
      <c r="C5" s="9" t="s">
        <v>12</v>
      </c>
      <c r="D5" s="25" t="s">
        <v>13</v>
      </c>
      <c r="F5" s="203"/>
      <c r="G5" s="205"/>
      <c r="H5" s="207"/>
      <c r="I5" s="210"/>
      <c r="J5" s="21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7"/>
      <c r="B6" s="16" t="s">
        <v>15</v>
      </c>
      <c r="C6" s="10">
        <v>324</v>
      </c>
      <c r="D6" s="13">
        <f t="shared" ref="D6:D28" si="1">C6*L6</f>
        <v>246564</v>
      </c>
      <c r="F6" s="212" t="s">
        <v>16</v>
      </c>
      <c r="G6" s="214" t="s">
        <v>99</v>
      </c>
      <c r="H6" s="215"/>
      <c r="I6" s="215"/>
      <c r="J6" s="21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7"/>
      <c r="B7" s="16" t="s">
        <v>18</v>
      </c>
      <c r="C7" s="10"/>
      <c r="D7" s="13">
        <f t="shared" si="1"/>
        <v>0</v>
      </c>
      <c r="F7" s="213"/>
      <c r="G7" s="217"/>
      <c r="H7" s="218"/>
      <c r="I7" s="218"/>
      <c r="J7" s="21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7"/>
      <c r="B8" s="16" t="s">
        <v>20</v>
      </c>
      <c r="C8" s="10"/>
      <c r="D8" s="13">
        <f t="shared" si="1"/>
        <v>0</v>
      </c>
      <c r="F8" s="220" t="s">
        <v>21</v>
      </c>
      <c r="G8" s="221" t="s">
        <v>120</v>
      </c>
      <c r="H8" s="222"/>
      <c r="I8" s="222"/>
      <c r="J8" s="22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7"/>
      <c r="B9" s="16" t="s">
        <v>23</v>
      </c>
      <c r="C9" s="10">
        <v>25</v>
      </c>
      <c r="D9" s="13">
        <f t="shared" si="1"/>
        <v>18325</v>
      </c>
      <c r="F9" s="213"/>
      <c r="G9" s="224"/>
      <c r="H9" s="225"/>
      <c r="I9" s="225"/>
      <c r="J9" s="22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7"/>
      <c r="B10" t="s">
        <v>25</v>
      </c>
      <c r="C10" s="10"/>
      <c r="D10" s="13">
        <f t="shared" si="1"/>
        <v>0</v>
      </c>
      <c r="F10" s="212" t="s">
        <v>26</v>
      </c>
      <c r="G10" s="227" t="s">
        <v>108</v>
      </c>
      <c r="H10" s="228"/>
      <c r="I10" s="228"/>
      <c r="J10" s="229"/>
      <c r="K10" s="8"/>
      <c r="L10" s="6">
        <f>R36</f>
        <v>1032</v>
      </c>
      <c r="P10" s="4"/>
      <c r="Q10" s="4"/>
      <c r="R10" s="5"/>
    </row>
    <row r="11" spans="1:18" ht="15.75" x14ac:dyDescent="0.25">
      <c r="A11" s="147"/>
      <c r="B11" s="17" t="s">
        <v>28</v>
      </c>
      <c r="C11" s="10"/>
      <c r="D11" s="13">
        <f t="shared" si="1"/>
        <v>0</v>
      </c>
      <c r="F11" s="213"/>
      <c r="G11" s="224"/>
      <c r="H11" s="225"/>
      <c r="I11" s="225"/>
      <c r="J11" s="22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7"/>
      <c r="B12" s="17" t="s">
        <v>30</v>
      </c>
      <c r="C12" s="10"/>
      <c r="D12" s="48">
        <f t="shared" si="1"/>
        <v>0</v>
      </c>
      <c r="F12" s="230" t="s">
        <v>33</v>
      </c>
      <c r="G12" s="231"/>
      <c r="H12" s="231"/>
      <c r="I12" s="231"/>
      <c r="J12" s="23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7"/>
      <c r="B13" s="17" t="s">
        <v>32</v>
      </c>
      <c r="C13" s="10">
        <v>9</v>
      </c>
      <c r="D13" s="48">
        <f t="shared" si="1"/>
        <v>2763</v>
      </c>
      <c r="F13" s="233" t="s">
        <v>36</v>
      </c>
      <c r="G13" s="197"/>
      <c r="H13" s="188">
        <f>D29</f>
        <v>267784</v>
      </c>
      <c r="I13" s="189"/>
      <c r="J13" s="19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7"/>
      <c r="B14" s="14" t="s">
        <v>35</v>
      </c>
      <c r="C14" s="10">
        <v>12</v>
      </c>
      <c r="D14" s="31">
        <f t="shared" si="1"/>
        <v>132</v>
      </c>
      <c r="F14" s="191" t="s">
        <v>38</v>
      </c>
      <c r="G14" s="192"/>
      <c r="H14" s="193">
        <f>D54</f>
        <v>32602.5</v>
      </c>
      <c r="I14" s="194"/>
      <c r="J14" s="19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7"/>
      <c r="B15" s="14" t="s">
        <v>122</v>
      </c>
      <c r="C15" s="10"/>
      <c r="D15" s="31">
        <f t="shared" si="1"/>
        <v>0</v>
      </c>
      <c r="F15" s="196" t="s">
        <v>39</v>
      </c>
      <c r="G15" s="197"/>
      <c r="H15" s="198">
        <f>H13-H14</f>
        <v>235181.5</v>
      </c>
      <c r="I15" s="199"/>
      <c r="J15" s="200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7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58">
        <v>2064</v>
      </c>
      <c r="I16" s="158"/>
      <c r="J16" s="158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7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69"/>
      <c r="I17" s="169"/>
      <c r="J17" s="169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7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69"/>
      <c r="I18" s="169"/>
      <c r="J18" s="169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7"/>
      <c r="B19" s="83" t="s">
        <v>105</v>
      </c>
      <c r="C19" s="10"/>
      <c r="D19" s="48">
        <f t="shared" si="1"/>
        <v>0</v>
      </c>
      <c r="F19" s="56"/>
      <c r="G19" s="68" t="s">
        <v>49</v>
      </c>
      <c r="H19" s="158"/>
      <c r="I19" s="158"/>
      <c r="J19" s="158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7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58"/>
      <c r="I20" s="158"/>
      <c r="J20" s="158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7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71" t="s">
        <v>13</v>
      </c>
      <c r="I21" s="172"/>
      <c r="J21" s="173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7"/>
      <c r="B22" s="46" t="s">
        <v>103</v>
      </c>
      <c r="C22" s="10"/>
      <c r="D22" s="48">
        <f t="shared" si="1"/>
        <v>0</v>
      </c>
      <c r="F22" s="77"/>
      <c r="G22" s="73"/>
      <c r="H22" s="174"/>
      <c r="I22" s="174"/>
      <c r="J22" s="174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7"/>
      <c r="B23" s="14" t="s">
        <v>121</v>
      </c>
      <c r="C23" s="10"/>
      <c r="D23" s="48">
        <f t="shared" si="1"/>
        <v>0</v>
      </c>
      <c r="F23" s="77"/>
      <c r="G23" s="79"/>
      <c r="H23" s="242"/>
      <c r="I23" s="243"/>
      <c r="J23" s="243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7"/>
      <c r="B24" s="14" t="s">
        <v>128</v>
      </c>
      <c r="C24" s="10"/>
      <c r="D24" s="48">
        <f t="shared" si="1"/>
        <v>0</v>
      </c>
      <c r="F24" s="77"/>
      <c r="G24" s="79"/>
      <c r="H24" s="242"/>
      <c r="I24" s="243"/>
      <c r="J24" s="243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7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76" t="s">
        <v>13</v>
      </c>
      <c r="I25" s="177"/>
      <c r="J25" s="178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7"/>
      <c r="B26" s="14" t="s">
        <v>129</v>
      </c>
      <c r="C26" s="10"/>
      <c r="D26" s="48">
        <f t="shared" si="1"/>
        <v>0</v>
      </c>
      <c r="F26" s="75"/>
      <c r="G26" s="65"/>
      <c r="H26" s="144"/>
      <c r="I26" s="144"/>
      <c r="J26" s="144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7"/>
      <c r="B27" s="14" t="s">
        <v>130</v>
      </c>
      <c r="C27" s="10"/>
      <c r="D27" s="44">
        <f t="shared" si="1"/>
        <v>0</v>
      </c>
      <c r="F27" s="71"/>
      <c r="G27" s="100"/>
      <c r="H27" s="244"/>
      <c r="I27" s="245"/>
      <c r="J27" s="245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8"/>
      <c r="B28" s="46" t="s">
        <v>92</v>
      </c>
      <c r="C28" s="10"/>
      <c r="D28" s="48">
        <f t="shared" si="1"/>
        <v>0</v>
      </c>
      <c r="F28" s="98"/>
      <c r="G28" s="61"/>
      <c r="H28" s="185"/>
      <c r="I28" s="186"/>
      <c r="J28" s="187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9" t="s">
        <v>36</v>
      </c>
      <c r="B29" s="160"/>
      <c r="C29" s="161"/>
      <c r="D29" s="165">
        <f>SUM(D6:D28)</f>
        <v>267784</v>
      </c>
      <c r="F29" s="105" t="s">
        <v>54</v>
      </c>
      <c r="G29" s="167"/>
      <c r="H29" s="127">
        <f>H15-H16-H17-H18-H19-H20-H22-H23-H24+H26+H27+H28</f>
        <v>233117.5</v>
      </c>
      <c r="I29" s="128"/>
      <c r="J29" s="129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08"/>
      <c r="G30" s="168"/>
      <c r="H30" s="130"/>
      <c r="I30" s="131"/>
      <c r="J30" s="132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2" t="s">
        <v>57</v>
      </c>
      <c r="B32" s="153"/>
      <c r="C32" s="153"/>
      <c r="D32" s="154"/>
      <c r="F32" s="155" t="s">
        <v>58</v>
      </c>
      <c r="G32" s="156"/>
      <c r="H32" s="156"/>
      <c r="I32" s="156"/>
      <c r="J32" s="157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9" t="s">
        <v>62</v>
      </c>
      <c r="H33" s="155" t="s">
        <v>13</v>
      </c>
      <c r="I33" s="156"/>
      <c r="J33" s="157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6" t="s">
        <v>64</v>
      </c>
      <c r="B34" s="26" t="s">
        <v>65</v>
      </c>
      <c r="C34" s="51"/>
      <c r="D34" s="30">
        <f>C34*120</f>
        <v>0</v>
      </c>
      <c r="F34" s="12">
        <v>1000</v>
      </c>
      <c r="G34" s="40">
        <v>123</v>
      </c>
      <c r="H34" s="149">
        <f t="shared" ref="H34:H39" si="2">F34*G34</f>
        <v>123000</v>
      </c>
      <c r="I34" s="150"/>
      <c r="J34" s="151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7"/>
      <c r="B35" s="27" t="s">
        <v>67</v>
      </c>
      <c r="C35" s="52"/>
      <c r="D35" s="30">
        <f>C35*84</f>
        <v>0</v>
      </c>
      <c r="F35" s="58">
        <v>500</v>
      </c>
      <c r="G35" s="41">
        <v>219</v>
      </c>
      <c r="H35" s="149">
        <f t="shared" si="2"/>
        <v>109500</v>
      </c>
      <c r="I35" s="150"/>
      <c r="J35" s="15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8"/>
      <c r="B36" s="26" t="s">
        <v>69</v>
      </c>
      <c r="C36" s="10"/>
      <c r="D36" s="12">
        <f>C36*1.5</f>
        <v>0</v>
      </c>
      <c r="F36" s="12">
        <v>200</v>
      </c>
      <c r="G36" s="37"/>
      <c r="H36" s="149">
        <f t="shared" si="2"/>
        <v>0</v>
      </c>
      <c r="I36" s="150"/>
      <c r="J36" s="151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6" t="s">
        <v>71</v>
      </c>
      <c r="B37" s="28" t="s">
        <v>65</v>
      </c>
      <c r="C37" s="53">
        <v>282</v>
      </c>
      <c r="D37" s="12">
        <f>C37*111</f>
        <v>31302</v>
      </c>
      <c r="F37" s="12">
        <v>100</v>
      </c>
      <c r="G37" s="39">
        <v>2</v>
      </c>
      <c r="H37" s="149">
        <f t="shared" si="2"/>
        <v>200</v>
      </c>
      <c r="I37" s="150"/>
      <c r="J37" s="151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7"/>
      <c r="B38" s="29" t="s">
        <v>67</v>
      </c>
      <c r="C38" s="54">
        <v>8</v>
      </c>
      <c r="D38" s="12">
        <f>C38*84</f>
        <v>672</v>
      </c>
      <c r="F38" s="30">
        <v>50</v>
      </c>
      <c r="G38" s="39"/>
      <c r="H38" s="149">
        <f t="shared" si="2"/>
        <v>0</v>
      </c>
      <c r="I38" s="150"/>
      <c r="J38" s="151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8"/>
      <c r="B39" s="29" t="s">
        <v>69</v>
      </c>
      <c r="C39" s="52">
        <v>5</v>
      </c>
      <c r="D39" s="31">
        <f>C39*4.5</f>
        <v>22.5</v>
      </c>
      <c r="F39" s="12">
        <v>20</v>
      </c>
      <c r="G39" s="37"/>
      <c r="H39" s="149">
        <f t="shared" si="2"/>
        <v>0</v>
      </c>
      <c r="I39" s="150"/>
      <c r="J39" s="15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6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49"/>
      <c r="I40" s="150"/>
      <c r="J40" s="151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7"/>
      <c r="B41" s="27" t="s">
        <v>67</v>
      </c>
      <c r="C41" s="10">
        <v>1</v>
      </c>
      <c r="D41" s="12">
        <f>C41*84</f>
        <v>84</v>
      </c>
      <c r="F41" s="12">
        <v>5</v>
      </c>
      <c r="G41" s="42"/>
      <c r="H41" s="149"/>
      <c r="I41" s="150"/>
      <c r="J41" s="151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8"/>
      <c r="B42" s="27" t="s">
        <v>69</v>
      </c>
      <c r="C42" s="11">
        <v>10</v>
      </c>
      <c r="D42" s="12">
        <f>C42*2.25</f>
        <v>22.5</v>
      </c>
      <c r="F42" s="39" t="s">
        <v>78</v>
      </c>
      <c r="G42" s="149"/>
      <c r="H42" s="150"/>
      <c r="I42" s="150"/>
      <c r="J42" s="151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19" t="s">
        <v>80</v>
      </c>
      <c r="C43" s="11"/>
      <c r="D43" s="12"/>
      <c r="F43" s="59" t="s">
        <v>81</v>
      </c>
      <c r="G43" s="100" t="s">
        <v>82</v>
      </c>
      <c r="H43" s="141" t="s">
        <v>13</v>
      </c>
      <c r="I43" s="142"/>
      <c r="J43" s="143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20"/>
      <c r="B44" s="27" t="s">
        <v>65</v>
      </c>
      <c r="C44" s="10"/>
      <c r="D44" s="12">
        <f>C44*120</f>
        <v>0</v>
      </c>
      <c r="F44" s="37"/>
      <c r="G44" s="62"/>
      <c r="H44" s="144"/>
      <c r="I44" s="144"/>
      <c r="J44" s="144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20"/>
      <c r="B45" s="27" t="s">
        <v>67</v>
      </c>
      <c r="C45" s="33"/>
      <c r="D45" s="12">
        <f>C45*84</f>
        <v>0</v>
      </c>
      <c r="F45" s="37"/>
      <c r="G45" s="62"/>
      <c r="H45" s="144"/>
      <c r="I45" s="144"/>
      <c r="J45" s="144"/>
      <c r="K45" s="21"/>
      <c r="P45" s="4"/>
      <c r="Q45" s="4"/>
      <c r="R45" s="5"/>
    </row>
    <row r="46" spans="1:18" ht="15.75" x14ac:dyDescent="0.25">
      <c r="A46" s="120"/>
      <c r="B46" s="49" t="s">
        <v>69</v>
      </c>
      <c r="C46" s="81"/>
      <c r="D46" s="12">
        <f>C46*1.5</f>
        <v>0</v>
      </c>
      <c r="F46" s="37"/>
      <c r="G46" s="62"/>
      <c r="H46" s="144"/>
      <c r="I46" s="144"/>
      <c r="J46" s="144"/>
      <c r="K46" s="21"/>
      <c r="P46" s="4"/>
      <c r="Q46" s="4"/>
      <c r="R46" s="5"/>
    </row>
    <row r="47" spans="1:18" ht="15.75" x14ac:dyDescent="0.25">
      <c r="A47" s="121"/>
      <c r="B47" s="27"/>
      <c r="C47" s="11"/>
      <c r="D47" s="12"/>
      <c r="F47" s="59"/>
      <c r="G47" s="59"/>
      <c r="H47" s="122"/>
      <c r="I47" s="123"/>
      <c r="J47" s="124"/>
      <c r="K47" s="21"/>
      <c r="P47" s="4"/>
      <c r="Q47" s="4"/>
      <c r="R47" s="5"/>
    </row>
    <row r="48" spans="1:18" ht="15" customHeight="1" x14ac:dyDescent="0.25">
      <c r="A48" s="119" t="s">
        <v>32</v>
      </c>
      <c r="B48" s="27" t="s">
        <v>65</v>
      </c>
      <c r="C48" s="10">
        <v>1</v>
      </c>
      <c r="D48" s="12">
        <f>C48*78</f>
        <v>78</v>
      </c>
      <c r="F48" s="59"/>
      <c r="G48" s="59"/>
      <c r="H48" s="122"/>
      <c r="I48" s="123"/>
      <c r="J48" s="124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20"/>
      <c r="B49" s="29" t="s">
        <v>67</v>
      </c>
      <c r="C49" s="33">
        <v>10</v>
      </c>
      <c r="D49" s="12">
        <f>C49*42</f>
        <v>420</v>
      </c>
      <c r="F49" s="125" t="s">
        <v>85</v>
      </c>
      <c r="G49" s="127">
        <f>H34+H35+H36+H37+H38+H39+H40+H41+G42+H44+H45+H46</f>
        <v>232700</v>
      </c>
      <c r="H49" s="128"/>
      <c r="I49" s="128"/>
      <c r="J49" s="129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0"/>
      <c r="B50" s="32" t="s">
        <v>69</v>
      </c>
      <c r="C50" s="11">
        <v>1</v>
      </c>
      <c r="D50" s="12">
        <f>C50*1.5</f>
        <v>1.5</v>
      </c>
      <c r="F50" s="126"/>
      <c r="G50" s="130"/>
      <c r="H50" s="131"/>
      <c r="I50" s="131"/>
      <c r="J50" s="132"/>
      <c r="O50" t="s">
        <v>114</v>
      </c>
      <c r="P50" s="4">
        <v>1204</v>
      </c>
      <c r="Q50" s="4"/>
      <c r="R50" s="5"/>
    </row>
    <row r="51" spans="1:18" ht="15" customHeight="1" x14ac:dyDescent="0.25">
      <c r="A51" s="120"/>
      <c r="B51" s="27"/>
      <c r="C51" s="10"/>
      <c r="D51" s="31"/>
      <c r="F51" s="133" t="s">
        <v>217</v>
      </c>
      <c r="G51" s="246">
        <f>G49-H29</f>
        <v>-417.5</v>
      </c>
      <c r="H51" s="247"/>
      <c r="I51" s="247"/>
      <c r="J51" s="248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20"/>
      <c r="B52" s="29"/>
      <c r="C52" s="33"/>
      <c r="D52" s="45"/>
      <c r="F52" s="134"/>
      <c r="G52" s="249"/>
      <c r="H52" s="250"/>
      <c r="I52" s="250"/>
      <c r="J52" s="251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1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05" t="s">
        <v>89</v>
      </c>
      <c r="B54" s="106"/>
      <c r="C54" s="107"/>
      <c r="D54" s="111">
        <f>SUM(D34:D53)</f>
        <v>32602.5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08"/>
      <c r="B55" s="109"/>
      <c r="C55" s="110"/>
      <c r="D55" s="11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113" t="s">
        <v>90</v>
      </c>
      <c r="B58" s="114"/>
      <c r="C58" s="114"/>
      <c r="D58" s="115"/>
      <c r="F58" s="113" t="s">
        <v>91</v>
      </c>
      <c r="G58" s="114"/>
      <c r="H58" s="114"/>
      <c r="I58" s="114"/>
      <c r="J58" s="115"/>
    </row>
    <row r="59" spans="1:18" x14ac:dyDescent="0.25">
      <c r="A59" s="116"/>
      <c r="B59" s="117"/>
      <c r="C59" s="117"/>
      <c r="D59" s="118"/>
      <c r="F59" s="116"/>
      <c r="G59" s="117"/>
      <c r="H59" s="117"/>
      <c r="I59" s="117"/>
      <c r="J59" s="118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9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4AAF28-F737-458D-A878-5CEAA06A22A4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1" t="s">
        <v>1</v>
      </c>
      <c r="O1" s="201"/>
      <c r="P1" s="97" t="s">
        <v>2</v>
      </c>
      <c r="Q1" s="97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2" t="s">
        <v>7</v>
      </c>
      <c r="B4" s="153"/>
      <c r="C4" s="153"/>
      <c r="D4" s="154"/>
      <c r="F4" s="202" t="s">
        <v>8</v>
      </c>
      <c r="G4" s="204">
        <v>2</v>
      </c>
      <c r="H4" s="206" t="s">
        <v>9</v>
      </c>
      <c r="I4" s="208">
        <v>46169</v>
      </c>
      <c r="J4" s="20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6" t="s">
        <v>7</v>
      </c>
      <c r="B5" s="15" t="s">
        <v>11</v>
      </c>
      <c r="C5" s="9" t="s">
        <v>12</v>
      </c>
      <c r="D5" s="25" t="s">
        <v>13</v>
      </c>
      <c r="F5" s="203"/>
      <c r="G5" s="205"/>
      <c r="H5" s="207"/>
      <c r="I5" s="210"/>
      <c r="J5" s="21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7"/>
      <c r="B6" s="16" t="s">
        <v>15</v>
      </c>
      <c r="C6" s="10">
        <v>149</v>
      </c>
      <c r="D6" s="13">
        <f t="shared" ref="D6:D28" si="1">C6*L6</f>
        <v>113389</v>
      </c>
      <c r="F6" s="212" t="s">
        <v>16</v>
      </c>
      <c r="G6" s="214" t="s">
        <v>107</v>
      </c>
      <c r="H6" s="215"/>
      <c r="I6" s="215"/>
      <c r="J6" s="21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7"/>
      <c r="B7" s="16" t="s">
        <v>18</v>
      </c>
      <c r="C7" s="10">
        <v>8</v>
      </c>
      <c r="D7" s="13">
        <f t="shared" si="1"/>
        <v>6248</v>
      </c>
      <c r="F7" s="213"/>
      <c r="G7" s="217"/>
      <c r="H7" s="218"/>
      <c r="I7" s="218"/>
      <c r="J7" s="21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7"/>
      <c r="B8" s="16" t="s">
        <v>20</v>
      </c>
      <c r="C8" s="10"/>
      <c r="D8" s="13">
        <f t="shared" si="1"/>
        <v>0</v>
      </c>
      <c r="F8" s="220" t="s">
        <v>21</v>
      </c>
      <c r="G8" s="221" t="s">
        <v>100</v>
      </c>
      <c r="H8" s="222"/>
      <c r="I8" s="222"/>
      <c r="J8" s="22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7"/>
      <c r="B9" s="16" t="s">
        <v>23</v>
      </c>
      <c r="C9" s="10">
        <v>20</v>
      </c>
      <c r="D9" s="13">
        <f t="shared" si="1"/>
        <v>14660</v>
      </c>
      <c r="F9" s="213"/>
      <c r="G9" s="224"/>
      <c r="H9" s="225"/>
      <c r="I9" s="225"/>
      <c r="J9" s="22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7"/>
      <c r="B10" t="s">
        <v>25</v>
      </c>
      <c r="C10" s="10"/>
      <c r="D10" s="13">
        <f t="shared" si="1"/>
        <v>0</v>
      </c>
      <c r="F10" s="212" t="s">
        <v>26</v>
      </c>
      <c r="G10" s="227" t="s">
        <v>101</v>
      </c>
      <c r="H10" s="228"/>
      <c r="I10" s="228"/>
      <c r="J10" s="229"/>
      <c r="K10" s="8"/>
      <c r="L10" s="6">
        <f>R36</f>
        <v>1032</v>
      </c>
      <c r="P10" s="4"/>
      <c r="Q10" s="4"/>
      <c r="R10" s="5"/>
    </row>
    <row r="11" spans="1:18" ht="15.75" x14ac:dyDescent="0.25">
      <c r="A11" s="147"/>
      <c r="B11" s="17" t="s">
        <v>28</v>
      </c>
      <c r="C11" s="10"/>
      <c r="D11" s="13">
        <f t="shared" si="1"/>
        <v>0</v>
      </c>
      <c r="F11" s="213"/>
      <c r="G11" s="224"/>
      <c r="H11" s="225"/>
      <c r="I11" s="225"/>
      <c r="J11" s="22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7"/>
      <c r="B12" s="17" t="s">
        <v>30</v>
      </c>
      <c r="C12" s="10"/>
      <c r="D12" s="48">
        <f t="shared" si="1"/>
        <v>0</v>
      </c>
      <c r="F12" s="230" t="s">
        <v>33</v>
      </c>
      <c r="G12" s="231"/>
      <c r="H12" s="231"/>
      <c r="I12" s="231"/>
      <c r="J12" s="23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7"/>
      <c r="B13" s="17" t="s">
        <v>32</v>
      </c>
      <c r="C13" s="10">
        <v>3</v>
      </c>
      <c r="D13" s="48">
        <f t="shared" si="1"/>
        <v>921</v>
      </c>
      <c r="F13" s="233" t="s">
        <v>36</v>
      </c>
      <c r="G13" s="197"/>
      <c r="H13" s="188">
        <f>D29</f>
        <v>136970</v>
      </c>
      <c r="I13" s="189"/>
      <c r="J13" s="19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7"/>
      <c r="B14" s="14" t="s">
        <v>35</v>
      </c>
      <c r="C14" s="10"/>
      <c r="D14" s="31">
        <f t="shared" si="1"/>
        <v>0</v>
      </c>
      <c r="F14" s="191" t="s">
        <v>38</v>
      </c>
      <c r="G14" s="192"/>
      <c r="H14" s="193">
        <f>D54</f>
        <v>19894.5</v>
      </c>
      <c r="I14" s="194"/>
      <c r="J14" s="19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7"/>
      <c r="B15" s="14" t="s">
        <v>122</v>
      </c>
      <c r="C15" s="10"/>
      <c r="D15" s="31">
        <f t="shared" si="1"/>
        <v>0</v>
      </c>
      <c r="F15" s="196" t="s">
        <v>39</v>
      </c>
      <c r="G15" s="197"/>
      <c r="H15" s="198">
        <f>H13-H14</f>
        <v>117075.5</v>
      </c>
      <c r="I15" s="199"/>
      <c r="J15" s="200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7"/>
      <c r="B16" s="18" t="s">
        <v>111</v>
      </c>
      <c r="C16" s="10">
        <v>1</v>
      </c>
      <c r="D16" s="48">
        <f t="shared" si="1"/>
        <v>650</v>
      </c>
      <c r="F16" s="67" t="s">
        <v>41</v>
      </c>
      <c r="G16" s="66" t="s">
        <v>42</v>
      </c>
      <c r="H16" s="158">
        <v>768</v>
      </c>
      <c r="I16" s="158"/>
      <c r="J16" s="158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7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69"/>
      <c r="I17" s="169"/>
      <c r="J17" s="169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7"/>
      <c r="B18" s="86" t="s">
        <v>125</v>
      </c>
      <c r="C18" s="10">
        <v>1</v>
      </c>
      <c r="D18" s="48">
        <f t="shared" si="1"/>
        <v>1102</v>
      </c>
      <c r="F18" s="56"/>
      <c r="G18" s="66" t="s">
        <v>46</v>
      </c>
      <c r="H18" s="169"/>
      <c r="I18" s="169"/>
      <c r="J18" s="169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7"/>
      <c r="B19" s="87" t="s">
        <v>105</v>
      </c>
      <c r="C19" s="10"/>
      <c r="D19" s="48">
        <f t="shared" si="1"/>
        <v>0</v>
      </c>
      <c r="F19" s="56"/>
      <c r="G19" s="68" t="s">
        <v>49</v>
      </c>
      <c r="H19" s="253"/>
      <c r="I19" s="253"/>
      <c r="J19" s="253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7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58"/>
      <c r="I20" s="158"/>
      <c r="J20" s="158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7"/>
      <c r="B21" s="14" t="s">
        <v>183</v>
      </c>
      <c r="C21" s="10"/>
      <c r="D21" s="48">
        <f t="shared" si="1"/>
        <v>0</v>
      </c>
      <c r="F21" s="69" t="s">
        <v>94</v>
      </c>
      <c r="G21" s="82" t="s">
        <v>93</v>
      </c>
      <c r="H21" s="171" t="s">
        <v>13</v>
      </c>
      <c r="I21" s="172"/>
      <c r="J21" s="173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7"/>
      <c r="B22" s="46" t="s">
        <v>103</v>
      </c>
      <c r="C22" s="10"/>
      <c r="D22" s="48">
        <f t="shared" si="1"/>
        <v>0</v>
      </c>
      <c r="F22" s="77"/>
      <c r="G22" s="73"/>
      <c r="H22" s="174"/>
      <c r="I22" s="174"/>
      <c r="J22" s="174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7"/>
      <c r="B23" s="14" t="s">
        <v>121</v>
      </c>
      <c r="C23" s="10"/>
      <c r="D23" s="48">
        <f t="shared" si="1"/>
        <v>0</v>
      </c>
      <c r="F23" s="78"/>
      <c r="G23" s="79"/>
      <c r="H23" s="254"/>
      <c r="I23" s="174"/>
      <c r="J23" s="174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7"/>
      <c r="B24" s="14" t="s">
        <v>128</v>
      </c>
      <c r="C24" s="10"/>
      <c r="D24" s="48">
        <f t="shared" si="1"/>
        <v>0</v>
      </c>
      <c r="F24" s="38"/>
      <c r="G24" s="37"/>
      <c r="H24" s="175"/>
      <c r="I24" s="144"/>
      <c r="J24" s="144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7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76" t="s">
        <v>13</v>
      </c>
      <c r="I25" s="177"/>
      <c r="J25" s="178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7"/>
      <c r="B26" s="14" t="s">
        <v>129</v>
      </c>
      <c r="C26" s="10"/>
      <c r="D26" s="48">
        <f t="shared" si="1"/>
        <v>0</v>
      </c>
      <c r="F26" s="64"/>
      <c r="G26" s="59"/>
      <c r="H26" s="179"/>
      <c r="I26" s="180"/>
      <c r="J26" s="181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7"/>
      <c r="B27" s="14" t="s">
        <v>130</v>
      </c>
      <c r="C27" s="10"/>
      <c r="D27" s="44">
        <f t="shared" si="1"/>
        <v>0</v>
      </c>
      <c r="F27" s="25"/>
      <c r="G27" s="80"/>
      <c r="H27" s="182"/>
      <c r="I27" s="183"/>
      <c r="J27" s="184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8"/>
      <c r="B28" s="46" t="s">
        <v>92</v>
      </c>
      <c r="C28" s="10"/>
      <c r="D28" s="48">
        <f t="shared" si="1"/>
        <v>0</v>
      </c>
      <c r="F28" s="98"/>
      <c r="G28" s="61"/>
      <c r="H28" s="185"/>
      <c r="I28" s="186"/>
      <c r="J28" s="187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9" t="s">
        <v>36</v>
      </c>
      <c r="B29" s="160"/>
      <c r="C29" s="161"/>
      <c r="D29" s="165">
        <f>SUM(D6:D28)</f>
        <v>136970</v>
      </c>
      <c r="F29" s="105" t="s">
        <v>54</v>
      </c>
      <c r="G29" s="167"/>
      <c r="H29" s="127">
        <f>H15-H16-H17-H18-H19-H20-H22-H23-H24+H26+H27</f>
        <v>116307.5</v>
      </c>
      <c r="I29" s="128"/>
      <c r="J29" s="129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08"/>
      <c r="G30" s="168"/>
      <c r="H30" s="130"/>
      <c r="I30" s="131"/>
      <c r="J30" s="132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2" t="s">
        <v>57</v>
      </c>
      <c r="B32" s="153"/>
      <c r="C32" s="153"/>
      <c r="D32" s="154"/>
      <c r="F32" s="155" t="s">
        <v>58</v>
      </c>
      <c r="G32" s="156"/>
      <c r="H32" s="156"/>
      <c r="I32" s="156"/>
      <c r="J32" s="157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9" t="s">
        <v>62</v>
      </c>
      <c r="H33" s="155" t="s">
        <v>13</v>
      </c>
      <c r="I33" s="156"/>
      <c r="J33" s="157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6" t="s">
        <v>64</v>
      </c>
      <c r="B34" s="26" t="s">
        <v>65</v>
      </c>
      <c r="C34" s="51"/>
      <c r="D34" s="30">
        <f>C34*120</f>
        <v>0</v>
      </c>
      <c r="F34" s="12">
        <v>1000</v>
      </c>
      <c r="G34" s="74">
        <v>100</v>
      </c>
      <c r="H34" s="149">
        <f>F34*G34</f>
        <v>100000</v>
      </c>
      <c r="I34" s="150"/>
      <c r="J34" s="151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7"/>
      <c r="B35" s="27" t="s">
        <v>67</v>
      </c>
      <c r="C35" s="52"/>
      <c r="D35" s="30">
        <f>C35*84</f>
        <v>0</v>
      </c>
      <c r="F35" s="58">
        <v>500</v>
      </c>
      <c r="G35" s="41">
        <v>31</v>
      </c>
      <c r="H35" s="149">
        <f>F35*G35</f>
        <v>15500</v>
      </c>
      <c r="I35" s="150"/>
      <c r="J35" s="15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8"/>
      <c r="B36" s="26" t="s">
        <v>69</v>
      </c>
      <c r="C36" s="10"/>
      <c r="D36" s="12">
        <f>C36*1.5</f>
        <v>0</v>
      </c>
      <c r="F36" s="12">
        <v>200</v>
      </c>
      <c r="G36" s="37"/>
      <c r="H36" s="149">
        <f t="shared" ref="H36:H39" si="2">F36*G36</f>
        <v>0</v>
      </c>
      <c r="I36" s="150"/>
      <c r="J36" s="151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6" t="s">
        <v>71</v>
      </c>
      <c r="B37" s="28" t="s">
        <v>65</v>
      </c>
      <c r="C37" s="53">
        <v>177</v>
      </c>
      <c r="D37" s="12">
        <f>C37*111</f>
        <v>19647</v>
      </c>
      <c r="F37" s="12">
        <v>100</v>
      </c>
      <c r="G37" s="39">
        <v>9</v>
      </c>
      <c r="H37" s="149">
        <f t="shared" si="2"/>
        <v>900</v>
      </c>
      <c r="I37" s="150"/>
      <c r="J37" s="151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7"/>
      <c r="B38" s="29" t="s">
        <v>67</v>
      </c>
      <c r="C38" s="54"/>
      <c r="D38" s="12">
        <f>C38*84</f>
        <v>0</v>
      </c>
      <c r="F38" s="30">
        <v>50</v>
      </c>
      <c r="G38" s="39"/>
      <c r="H38" s="149">
        <f t="shared" si="2"/>
        <v>0</v>
      </c>
      <c r="I38" s="150"/>
      <c r="J38" s="151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8"/>
      <c r="B39" s="29" t="s">
        <v>69</v>
      </c>
      <c r="C39" s="52"/>
      <c r="D39" s="31">
        <f>C39*4.5</f>
        <v>0</v>
      </c>
      <c r="F39" s="12">
        <v>20</v>
      </c>
      <c r="G39" s="37"/>
      <c r="H39" s="149">
        <f t="shared" si="2"/>
        <v>0</v>
      </c>
      <c r="I39" s="150"/>
      <c r="J39" s="15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6" t="s">
        <v>75</v>
      </c>
      <c r="B40" s="27" t="s">
        <v>65</v>
      </c>
      <c r="C40" s="63">
        <v>1</v>
      </c>
      <c r="D40" s="12">
        <f>C40*111</f>
        <v>111</v>
      </c>
      <c r="F40" s="12">
        <v>10</v>
      </c>
      <c r="G40" s="42"/>
      <c r="H40" s="149"/>
      <c r="I40" s="150"/>
      <c r="J40" s="151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7"/>
      <c r="B41" s="27" t="s">
        <v>67</v>
      </c>
      <c r="C41" s="10"/>
      <c r="D41" s="12">
        <f>C41*84</f>
        <v>0</v>
      </c>
      <c r="F41" s="12">
        <v>5</v>
      </c>
      <c r="G41" s="42"/>
      <c r="H41" s="149"/>
      <c r="I41" s="150"/>
      <c r="J41" s="151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8"/>
      <c r="B42" s="27" t="s">
        <v>69</v>
      </c>
      <c r="C42" s="11"/>
      <c r="D42" s="12">
        <f>C42*2.25</f>
        <v>0</v>
      </c>
      <c r="F42" s="39" t="s">
        <v>78</v>
      </c>
      <c r="G42" s="149">
        <v>38</v>
      </c>
      <c r="H42" s="150"/>
      <c r="I42" s="150"/>
      <c r="J42" s="151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19" t="s">
        <v>80</v>
      </c>
      <c r="C43" s="11"/>
      <c r="D43" s="12"/>
      <c r="F43" s="59" t="s">
        <v>81</v>
      </c>
      <c r="G43" s="100" t="s">
        <v>82</v>
      </c>
      <c r="H43" s="141" t="s">
        <v>13</v>
      </c>
      <c r="I43" s="142"/>
      <c r="J43" s="143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20"/>
      <c r="B44" s="27" t="s">
        <v>65</v>
      </c>
      <c r="C44" s="10"/>
      <c r="D44" s="12">
        <f>C44*120</f>
        <v>0</v>
      </c>
      <c r="F44" s="37"/>
      <c r="G44" s="76"/>
      <c r="H44" s="144"/>
      <c r="I44" s="144"/>
      <c r="J44" s="144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20"/>
      <c r="B45" s="27" t="s">
        <v>67</v>
      </c>
      <c r="C45" s="33"/>
      <c r="D45" s="12">
        <f>C45*84</f>
        <v>0</v>
      </c>
      <c r="F45" s="37"/>
      <c r="G45" s="76"/>
      <c r="H45" s="144"/>
      <c r="I45" s="144"/>
      <c r="J45" s="144"/>
      <c r="K45" s="21"/>
      <c r="P45" s="4"/>
      <c r="Q45" s="4"/>
      <c r="R45" s="5"/>
    </row>
    <row r="46" spans="1:18" ht="15.75" x14ac:dyDescent="0.25">
      <c r="A46" s="120"/>
      <c r="B46" s="49" t="s">
        <v>69</v>
      </c>
      <c r="C46" s="81"/>
      <c r="D46" s="12">
        <f>C46*1.5</f>
        <v>0</v>
      </c>
      <c r="F46" s="37"/>
      <c r="G46" s="62"/>
      <c r="H46" s="145"/>
      <c r="I46" s="145"/>
      <c r="J46" s="145"/>
      <c r="K46" s="21"/>
      <c r="P46" s="4"/>
      <c r="Q46" s="4"/>
      <c r="R46" s="5"/>
    </row>
    <row r="47" spans="1:18" ht="15.75" x14ac:dyDescent="0.25">
      <c r="A47" s="121"/>
      <c r="B47" s="27"/>
      <c r="C47" s="11"/>
      <c r="D47" s="12"/>
      <c r="F47" s="59"/>
      <c r="G47" s="59"/>
      <c r="H47" s="122"/>
      <c r="I47" s="123"/>
      <c r="J47" s="124"/>
      <c r="K47" s="21"/>
      <c r="P47" s="4"/>
      <c r="Q47" s="4"/>
      <c r="R47" s="5"/>
    </row>
    <row r="48" spans="1:18" ht="15" customHeight="1" x14ac:dyDescent="0.25">
      <c r="A48" s="119" t="s">
        <v>32</v>
      </c>
      <c r="B48" s="27" t="s">
        <v>65</v>
      </c>
      <c r="C48" s="10">
        <v>1</v>
      </c>
      <c r="D48" s="12">
        <f>C48*78</f>
        <v>78</v>
      </c>
      <c r="F48" s="59"/>
      <c r="G48" s="59"/>
      <c r="H48" s="122"/>
      <c r="I48" s="123"/>
      <c r="J48" s="124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20"/>
      <c r="B49" s="29" t="s">
        <v>67</v>
      </c>
      <c r="C49" s="33">
        <v>1</v>
      </c>
      <c r="D49" s="12">
        <f>C49*42</f>
        <v>42</v>
      </c>
      <c r="F49" s="125" t="s">
        <v>85</v>
      </c>
      <c r="G49" s="127">
        <f>H34+H35+H36+H37+H38+H39+H40+H41+G42+H44+H45+H46</f>
        <v>116438</v>
      </c>
      <c r="H49" s="128"/>
      <c r="I49" s="128"/>
      <c r="J49" s="129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0"/>
      <c r="B50" s="32" t="s">
        <v>69</v>
      </c>
      <c r="C50" s="81">
        <v>11</v>
      </c>
      <c r="D50" s="12">
        <f>C50*1.5</f>
        <v>16.5</v>
      </c>
      <c r="F50" s="126"/>
      <c r="G50" s="130"/>
      <c r="H50" s="131"/>
      <c r="I50" s="131"/>
      <c r="J50" s="132"/>
      <c r="O50" t="s">
        <v>114</v>
      </c>
      <c r="P50" s="4">
        <v>1204</v>
      </c>
      <c r="Q50" s="4"/>
      <c r="R50" s="5"/>
    </row>
    <row r="51" spans="1:18" ht="15" customHeight="1" x14ac:dyDescent="0.25">
      <c r="A51" s="120"/>
      <c r="B51" s="27"/>
      <c r="C51" s="10"/>
      <c r="D51" s="31"/>
      <c r="F51" s="133" t="s">
        <v>115</v>
      </c>
      <c r="G51" s="135">
        <f>G49-H29</f>
        <v>130.5</v>
      </c>
      <c r="H51" s="136"/>
      <c r="I51" s="136"/>
      <c r="J51" s="137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20"/>
      <c r="B52" s="29"/>
      <c r="C52" s="33"/>
      <c r="D52" s="45"/>
      <c r="F52" s="134"/>
      <c r="G52" s="138"/>
      <c r="H52" s="139"/>
      <c r="I52" s="139"/>
      <c r="J52" s="140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1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05" t="s">
        <v>89</v>
      </c>
      <c r="B54" s="106"/>
      <c r="C54" s="107"/>
      <c r="D54" s="111">
        <f>SUM(D34:D53)</f>
        <v>19894.5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08"/>
      <c r="B55" s="109"/>
      <c r="C55" s="110"/>
      <c r="D55" s="11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13" t="s">
        <v>90</v>
      </c>
      <c r="B58" s="114"/>
      <c r="C58" s="114"/>
      <c r="D58" s="115"/>
      <c r="F58" s="113" t="s">
        <v>91</v>
      </c>
      <c r="G58" s="114"/>
      <c r="H58" s="114"/>
      <c r="I58" s="114"/>
      <c r="J58" s="115"/>
    </row>
    <row r="59" spans="1:18" x14ac:dyDescent="0.25">
      <c r="A59" s="116"/>
      <c r="B59" s="117"/>
      <c r="C59" s="117"/>
      <c r="D59" s="118"/>
      <c r="F59" s="116"/>
      <c r="G59" s="117"/>
      <c r="H59" s="117"/>
      <c r="I59" s="117"/>
      <c r="J59" s="118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9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5AC1D4-6A60-4215-A1B4-C84F6EDFCAE9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1" t="s">
        <v>1</v>
      </c>
      <c r="O1" s="201"/>
      <c r="P1" s="97" t="s">
        <v>2</v>
      </c>
      <c r="Q1" s="97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2" t="s">
        <v>7</v>
      </c>
      <c r="B4" s="153"/>
      <c r="C4" s="153"/>
      <c r="D4" s="154"/>
      <c r="F4" s="202" t="s">
        <v>8</v>
      </c>
      <c r="G4" s="204">
        <v>3</v>
      </c>
      <c r="H4" s="206" t="s">
        <v>9</v>
      </c>
      <c r="I4" s="208">
        <v>46169</v>
      </c>
      <c r="J4" s="20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6" t="s">
        <v>7</v>
      </c>
      <c r="B5" s="15" t="s">
        <v>11</v>
      </c>
      <c r="C5" s="9" t="s">
        <v>12</v>
      </c>
      <c r="D5" s="25" t="s">
        <v>13</v>
      </c>
      <c r="F5" s="203"/>
      <c r="G5" s="205"/>
      <c r="H5" s="207"/>
      <c r="I5" s="210"/>
      <c r="J5" s="21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7"/>
      <c r="B6" s="16" t="s">
        <v>15</v>
      </c>
      <c r="C6" s="10">
        <v>298</v>
      </c>
      <c r="D6" s="13">
        <f t="shared" ref="D6:D28" si="1">C6*L6</f>
        <v>226778</v>
      </c>
      <c r="F6" s="212" t="s">
        <v>16</v>
      </c>
      <c r="G6" s="214" t="s">
        <v>117</v>
      </c>
      <c r="H6" s="215"/>
      <c r="I6" s="215"/>
      <c r="J6" s="21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7"/>
      <c r="B7" s="16" t="s">
        <v>18</v>
      </c>
      <c r="C7" s="10">
        <v>6</v>
      </c>
      <c r="D7" s="13">
        <f t="shared" si="1"/>
        <v>4686</v>
      </c>
      <c r="F7" s="213"/>
      <c r="G7" s="217"/>
      <c r="H7" s="218"/>
      <c r="I7" s="218"/>
      <c r="J7" s="21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7"/>
      <c r="B8" s="16" t="s">
        <v>20</v>
      </c>
      <c r="C8" s="10">
        <v>1</v>
      </c>
      <c r="D8" s="13">
        <f t="shared" si="1"/>
        <v>1093</v>
      </c>
      <c r="F8" s="220" t="s">
        <v>21</v>
      </c>
      <c r="G8" s="221" t="s">
        <v>110</v>
      </c>
      <c r="H8" s="222"/>
      <c r="I8" s="222"/>
      <c r="J8" s="22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7"/>
      <c r="B9" s="16" t="s">
        <v>23</v>
      </c>
      <c r="C9" s="10">
        <v>22</v>
      </c>
      <c r="D9" s="13">
        <f t="shared" si="1"/>
        <v>16126</v>
      </c>
      <c r="F9" s="213"/>
      <c r="G9" s="224"/>
      <c r="H9" s="225"/>
      <c r="I9" s="225"/>
      <c r="J9" s="22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7"/>
      <c r="B10" t="s">
        <v>25</v>
      </c>
      <c r="C10" s="10"/>
      <c r="D10" s="13">
        <f t="shared" si="1"/>
        <v>0</v>
      </c>
      <c r="F10" s="212" t="s">
        <v>26</v>
      </c>
      <c r="G10" s="227" t="s">
        <v>124</v>
      </c>
      <c r="H10" s="228"/>
      <c r="I10" s="228"/>
      <c r="J10" s="229"/>
      <c r="K10" s="8"/>
      <c r="L10" s="6">
        <f>R36</f>
        <v>1032</v>
      </c>
      <c r="P10" s="4"/>
      <c r="Q10" s="4"/>
      <c r="R10" s="5"/>
    </row>
    <row r="11" spans="1:18" ht="15.75" x14ac:dyDescent="0.25">
      <c r="A11" s="147"/>
      <c r="B11" s="17" t="s">
        <v>28</v>
      </c>
      <c r="C11" s="10">
        <v>1</v>
      </c>
      <c r="D11" s="13">
        <f t="shared" si="1"/>
        <v>1170</v>
      </c>
      <c r="F11" s="213"/>
      <c r="G11" s="224"/>
      <c r="H11" s="225"/>
      <c r="I11" s="225"/>
      <c r="J11" s="22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7"/>
      <c r="B12" s="17" t="s">
        <v>30</v>
      </c>
      <c r="C12" s="10"/>
      <c r="D12" s="48">
        <f t="shared" si="1"/>
        <v>0</v>
      </c>
      <c r="F12" s="230" t="s">
        <v>33</v>
      </c>
      <c r="G12" s="231"/>
      <c r="H12" s="231"/>
      <c r="I12" s="231"/>
      <c r="J12" s="23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7"/>
      <c r="B13" s="17" t="s">
        <v>32</v>
      </c>
      <c r="C13" s="10">
        <v>7</v>
      </c>
      <c r="D13" s="48">
        <f t="shared" si="1"/>
        <v>2149</v>
      </c>
      <c r="F13" s="233" t="s">
        <v>36</v>
      </c>
      <c r="G13" s="197"/>
      <c r="H13" s="188">
        <f>D29</f>
        <v>253015.5</v>
      </c>
      <c r="I13" s="189"/>
      <c r="J13" s="19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7"/>
      <c r="B14" s="14" t="s">
        <v>35</v>
      </c>
      <c r="C14" s="10"/>
      <c r="D14" s="31">
        <f t="shared" si="1"/>
        <v>0</v>
      </c>
      <c r="F14" s="191" t="s">
        <v>38</v>
      </c>
      <c r="G14" s="192"/>
      <c r="H14" s="193">
        <f>D54</f>
        <v>34426.5</v>
      </c>
      <c r="I14" s="194"/>
      <c r="J14" s="19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7"/>
      <c r="B15" s="14" t="s">
        <v>122</v>
      </c>
      <c r="C15" s="10"/>
      <c r="D15" s="31">
        <f t="shared" si="1"/>
        <v>0</v>
      </c>
      <c r="F15" s="196" t="s">
        <v>39</v>
      </c>
      <c r="G15" s="197"/>
      <c r="H15" s="198">
        <f>H13-H14</f>
        <v>218589</v>
      </c>
      <c r="I15" s="199"/>
      <c r="J15" s="200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7"/>
      <c r="B16" s="18" t="s">
        <v>111</v>
      </c>
      <c r="C16" s="10">
        <v>1</v>
      </c>
      <c r="D16" s="48">
        <f t="shared" si="1"/>
        <v>650</v>
      </c>
      <c r="F16" s="67" t="s">
        <v>41</v>
      </c>
      <c r="G16" s="66" t="s">
        <v>42</v>
      </c>
      <c r="H16" s="158">
        <v>630</v>
      </c>
      <c r="I16" s="158"/>
      <c r="J16" s="158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7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69"/>
      <c r="I17" s="169"/>
      <c r="J17" s="169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7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69"/>
      <c r="I18" s="169"/>
      <c r="J18" s="169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7"/>
      <c r="B19" s="87" t="s">
        <v>105</v>
      </c>
      <c r="C19" s="10"/>
      <c r="D19" s="48">
        <f t="shared" si="1"/>
        <v>0</v>
      </c>
      <c r="F19" s="56"/>
      <c r="G19" s="68" t="s">
        <v>49</v>
      </c>
      <c r="H19" s="253"/>
      <c r="I19" s="253"/>
      <c r="J19" s="253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7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58"/>
      <c r="I20" s="158"/>
      <c r="J20" s="158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7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71" t="s">
        <v>13</v>
      </c>
      <c r="I21" s="172"/>
      <c r="J21" s="173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7"/>
      <c r="B22" s="46" t="s">
        <v>103</v>
      </c>
      <c r="C22" s="10"/>
      <c r="D22" s="48">
        <f t="shared" si="1"/>
        <v>0</v>
      </c>
      <c r="F22" s="77"/>
      <c r="G22" s="73"/>
      <c r="H22" s="174"/>
      <c r="I22" s="174"/>
      <c r="J22" s="174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7"/>
      <c r="B23" s="14" t="s">
        <v>121</v>
      </c>
      <c r="C23" s="10"/>
      <c r="D23" s="48">
        <f t="shared" si="1"/>
        <v>0</v>
      </c>
      <c r="F23" s="78"/>
      <c r="G23" s="79"/>
      <c r="H23" s="254"/>
      <c r="I23" s="174"/>
      <c r="J23" s="174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7"/>
      <c r="B24" s="14" t="s">
        <v>128</v>
      </c>
      <c r="C24" s="10"/>
      <c r="D24" s="48">
        <f t="shared" si="1"/>
        <v>0</v>
      </c>
      <c r="F24" s="38"/>
      <c r="G24" s="37"/>
      <c r="H24" s="175"/>
      <c r="I24" s="144"/>
      <c r="J24" s="144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7"/>
      <c r="B25" s="14" t="s">
        <v>104</v>
      </c>
      <c r="C25" s="10">
        <v>3</v>
      </c>
      <c r="D25" s="48">
        <f t="shared" si="1"/>
        <v>363.5</v>
      </c>
      <c r="F25" s="60" t="s">
        <v>95</v>
      </c>
      <c r="G25" s="55" t="s">
        <v>93</v>
      </c>
      <c r="H25" s="176" t="s">
        <v>13</v>
      </c>
      <c r="I25" s="177"/>
      <c r="J25" s="178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7"/>
      <c r="B26" s="14" t="s">
        <v>129</v>
      </c>
      <c r="C26" s="10"/>
      <c r="D26" s="48">
        <f t="shared" si="1"/>
        <v>0</v>
      </c>
      <c r="F26" s="64"/>
      <c r="G26" s="59"/>
      <c r="H26" s="179"/>
      <c r="I26" s="180"/>
      <c r="J26" s="181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7"/>
      <c r="B27" s="14" t="s">
        <v>130</v>
      </c>
      <c r="C27" s="10"/>
      <c r="D27" s="44">
        <f t="shared" si="1"/>
        <v>0</v>
      </c>
      <c r="F27" s="25"/>
      <c r="G27" s="80"/>
      <c r="H27" s="182"/>
      <c r="I27" s="183"/>
      <c r="J27" s="184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8"/>
      <c r="B28" s="46" t="s">
        <v>92</v>
      </c>
      <c r="C28" s="10"/>
      <c r="D28" s="48">
        <f t="shared" si="1"/>
        <v>0</v>
      </c>
      <c r="F28" s="98"/>
      <c r="G28" s="61"/>
      <c r="H28" s="185"/>
      <c r="I28" s="186"/>
      <c r="J28" s="187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9" t="s">
        <v>36</v>
      </c>
      <c r="B29" s="160"/>
      <c r="C29" s="161"/>
      <c r="D29" s="165">
        <f>SUM(D6:D28)</f>
        <v>253015.5</v>
      </c>
      <c r="F29" s="105" t="s">
        <v>54</v>
      </c>
      <c r="G29" s="167"/>
      <c r="H29" s="127">
        <f>H15-H16-H17-H18-H19-H20-H22-H23-H24+H26+H27</f>
        <v>217959</v>
      </c>
      <c r="I29" s="128"/>
      <c r="J29" s="129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08"/>
      <c r="G30" s="168"/>
      <c r="H30" s="130"/>
      <c r="I30" s="131"/>
      <c r="J30" s="132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2" t="s">
        <v>57</v>
      </c>
      <c r="B32" s="153"/>
      <c r="C32" s="153"/>
      <c r="D32" s="154"/>
      <c r="F32" s="155" t="s">
        <v>58</v>
      </c>
      <c r="G32" s="156"/>
      <c r="H32" s="156"/>
      <c r="I32" s="156"/>
      <c r="J32" s="157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9" t="s">
        <v>62</v>
      </c>
      <c r="H33" s="155" t="s">
        <v>13</v>
      </c>
      <c r="I33" s="156"/>
      <c r="J33" s="157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6" t="s">
        <v>64</v>
      </c>
      <c r="B34" s="26" t="s">
        <v>65</v>
      </c>
      <c r="C34" s="51"/>
      <c r="D34" s="30">
        <f>C34*120</f>
        <v>0</v>
      </c>
      <c r="F34" s="12">
        <v>1000</v>
      </c>
      <c r="G34" s="74">
        <v>125</v>
      </c>
      <c r="H34" s="149">
        <f>F34*G34</f>
        <v>125000</v>
      </c>
      <c r="I34" s="150"/>
      <c r="J34" s="151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7"/>
      <c r="B35" s="27" t="s">
        <v>67</v>
      </c>
      <c r="C35" s="52"/>
      <c r="D35" s="30">
        <f>C35*84</f>
        <v>0</v>
      </c>
      <c r="F35" s="58">
        <v>500</v>
      </c>
      <c r="G35" s="41">
        <v>47</v>
      </c>
      <c r="H35" s="149">
        <f>F35*G35</f>
        <v>23500</v>
      </c>
      <c r="I35" s="150"/>
      <c r="J35" s="15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8"/>
      <c r="B36" s="26" t="s">
        <v>69</v>
      </c>
      <c r="C36" s="10"/>
      <c r="D36" s="12">
        <f>C36*1.5</f>
        <v>0</v>
      </c>
      <c r="F36" s="12">
        <v>200</v>
      </c>
      <c r="G36" s="37"/>
      <c r="H36" s="149">
        <f t="shared" ref="H36:H39" si="2">F36*G36</f>
        <v>0</v>
      </c>
      <c r="I36" s="150"/>
      <c r="J36" s="151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6" t="s">
        <v>71</v>
      </c>
      <c r="B37" s="28" t="s">
        <v>65</v>
      </c>
      <c r="C37" s="53">
        <v>298</v>
      </c>
      <c r="D37" s="12">
        <f>C37*111</f>
        <v>33078</v>
      </c>
      <c r="F37" s="12">
        <v>100</v>
      </c>
      <c r="G37" s="39">
        <v>4</v>
      </c>
      <c r="H37" s="149">
        <f t="shared" si="2"/>
        <v>400</v>
      </c>
      <c r="I37" s="150"/>
      <c r="J37" s="151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7"/>
      <c r="B38" s="29" t="s">
        <v>67</v>
      </c>
      <c r="C38" s="54">
        <v>9</v>
      </c>
      <c r="D38" s="12">
        <f>C38*84</f>
        <v>756</v>
      </c>
      <c r="F38" s="30">
        <v>50</v>
      </c>
      <c r="G38" s="39">
        <v>6</v>
      </c>
      <c r="H38" s="149">
        <f t="shared" si="2"/>
        <v>300</v>
      </c>
      <c r="I38" s="150"/>
      <c r="J38" s="151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8"/>
      <c r="B39" s="29" t="s">
        <v>69</v>
      </c>
      <c r="C39" s="52"/>
      <c r="D39" s="31">
        <f>C39*4.5</f>
        <v>0</v>
      </c>
      <c r="F39" s="12">
        <v>20</v>
      </c>
      <c r="G39" s="37">
        <v>2</v>
      </c>
      <c r="H39" s="149">
        <f t="shared" si="2"/>
        <v>40</v>
      </c>
      <c r="I39" s="150"/>
      <c r="J39" s="15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6" t="s">
        <v>75</v>
      </c>
      <c r="B40" s="27" t="s">
        <v>65</v>
      </c>
      <c r="C40" s="63">
        <v>1</v>
      </c>
      <c r="D40" s="12">
        <f>C40*111</f>
        <v>111</v>
      </c>
      <c r="F40" s="12">
        <v>10</v>
      </c>
      <c r="G40" s="42"/>
      <c r="H40" s="149"/>
      <c r="I40" s="150"/>
      <c r="J40" s="151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7"/>
      <c r="B41" s="27" t="s">
        <v>67</v>
      </c>
      <c r="C41" s="10"/>
      <c r="D41" s="12">
        <f>C41*84</f>
        <v>0</v>
      </c>
      <c r="F41" s="12">
        <v>5</v>
      </c>
      <c r="G41" s="42"/>
      <c r="H41" s="149"/>
      <c r="I41" s="150"/>
      <c r="J41" s="151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8"/>
      <c r="B42" s="27" t="s">
        <v>69</v>
      </c>
      <c r="C42" s="11">
        <v>10</v>
      </c>
      <c r="D42" s="12">
        <f>C42*2.25</f>
        <v>22.5</v>
      </c>
      <c r="F42" s="39" t="s">
        <v>78</v>
      </c>
      <c r="G42" s="149">
        <v>25</v>
      </c>
      <c r="H42" s="150"/>
      <c r="I42" s="150"/>
      <c r="J42" s="151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19" t="s">
        <v>80</v>
      </c>
      <c r="C43" s="11"/>
      <c r="D43" s="12"/>
      <c r="F43" s="59" t="s">
        <v>81</v>
      </c>
      <c r="G43" s="100" t="s">
        <v>82</v>
      </c>
      <c r="H43" s="141" t="s">
        <v>13</v>
      </c>
      <c r="I43" s="142"/>
      <c r="J43" s="143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20"/>
      <c r="B44" s="27" t="s">
        <v>65</v>
      </c>
      <c r="C44" s="10"/>
      <c r="D44" s="12">
        <f>C44*120</f>
        <v>0</v>
      </c>
      <c r="F44" s="37" t="s">
        <v>132</v>
      </c>
      <c r="G44" s="76" t="s">
        <v>218</v>
      </c>
      <c r="H44" s="144">
        <v>69286</v>
      </c>
      <c r="I44" s="144"/>
      <c r="J44" s="144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20"/>
      <c r="B45" s="27" t="s">
        <v>67</v>
      </c>
      <c r="C45" s="33">
        <v>1</v>
      </c>
      <c r="D45" s="12">
        <f>C45*84</f>
        <v>84</v>
      </c>
      <c r="F45" s="37"/>
      <c r="G45" s="76"/>
      <c r="H45" s="144"/>
      <c r="I45" s="144"/>
      <c r="J45" s="144"/>
      <c r="K45" s="21"/>
      <c r="P45" s="4"/>
      <c r="Q45" s="4"/>
      <c r="R45" s="5"/>
    </row>
    <row r="46" spans="1:18" ht="15.75" x14ac:dyDescent="0.25">
      <c r="A46" s="120"/>
      <c r="B46" s="49" t="s">
        <v>69</v>
      </c>
      <c r="C46" s="81">
        <v>14</v>
      </c>
      <c r="D46" s="12">
        <f>C46*1.5</f>
        <v>21</v>
      </c>
      <c r="F46" s="37"/>
      <c r="G46" s="62"/>
      <c r="H46" s="145"/>
      <c r="I46" s="145"/>
      <c r="J46" s="145"/>
      <c r="K46" s="21"/>
      <c r="P46" s="4"/>
      <c r="Q46" s="4"/>
      <c r="R46" s="5"/>
    </row>
    <row r="47" spans="1:18" ht="15.75" x14ac:dyDescent="0.25">
      <c r="A47" s="121"/>
      <c r="B47" s="27"/>
      <c r="C47" s="11"/>
      <c r="D47" s="12"/>
      <c r="F47" s="59"/>
      <c r="G47" s="59"/>
      <c r="H47" s="122"/>
      <c r="I47" s="123"/>
      <c r="J47" s="124"/>
      <c r="K47" s="21"/>
      <c r="P47" s="4"/>
      <c r="Q47" s="4"/>
      <c r="R47" s="5"/>
    </row>
    <row r="48" spans="1:18" ht="15" customHeight="1" x14ac:dyDescent="0.25">
      <c r="A48" s="119" t="s">
        <v>32</v>
      </c>
      <c r="B48" s="27" t="s">
        <v>65</v>
      </c>
      <c r="C48" s="10">
        <v>4</v>
      </c>
      <c r="D48" s="12">
        <f>C48*78</f>
        <v>312</v>
      </c>
      <c r="F48" s="59"/>
      <c r="G48" s="59"/>
      <c r="H48" s="122"/>
      <c r="I48" s="123"/>
      <c r="J48" s="124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20"/>
      <c r="B49" s="29" t="s">
        <v>67</v>
      </c>
      <c r="C49" s="33">
        <v>1</v>
      </c>
      <c r="D49" s="12">
        <f>C49*42</f>
        <v>42</v>
      </c>
      <c r="F49" s="125" t="s">
        <v>85</v>
      </c>
      <c r="G49" s="127">
        <f>H34+H35+H36+H37+H38+H39+H40+H41+G42+H44+H45+H46</f>
        <v>218551</v>
      </c>
      <c r="H49" s="128"/>
      <c r="I49" s="128"/>
      <c r="J49" s="129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0"/>
      <c r="B50" s="32" t="s">
        <v>69</v>
      </c>
      <c r="C50" s="11"/>
      <c r="D50" s="12">
        <f>C50*1.5</f>
        <v>0</v>
      </c>
      <c r="F50" s="126"/>
      <c r="G50" s="130"/>
      <c r="H50" s="131"/>
      <c r="I50" s="131"/>
      <c r="J50" s="132"/>
      <c r="O50" t="s">
        <v>114</v>
      </c>
      <c r="P50" s="4">
        <v>1204</v>
      </c>
      <c r="Q50" s="4"/>
      <c r="R50" s="5"/>
    </row>
    <row r="51" spans="1:18" ht="15" customHeight="1" x14ac:dyDescent="0.25">
      <c r="A51" s="120"/>
      <c r="B51" s="27"/>
      <c r="C51" s="10"/>
      <c r="D51" s="31"/>
      <c r="F51" s="133" t="s">
        <v>115</v>
      </c>
      <c r="G51" s="135">
        <f>G49-H29</f>
        <v>592</v>
      </c>
      <c r="H51" s="136"/>
      <c r="I51" s="136"/>
      <c r="J51" s="137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20"/>
      <c r="B52" s="29"/>
      <c r="C52" s="33"/>
      <c r="D52" s="45"/>
      <c r="F52" s="134"/>
      <c r="G52" s="138"/>
      <c r="H52" s="139"/>
      <c r="I52" s="139"/>
      <c r="J52" s="140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1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05" t="s">
        <v>89</v>
      </c>
      <c r="B54" s="106"/>
      <c r="C54" s="107"/>
      <c r="D54" s="111">
        <f>SUM(D34:D53)</f>
        <v>34426.5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08"/>
      <c r="B55" s="109"/>
      <c r="C55" s="110"/>
      <c r="D55" s="11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13" t="s">
        <v>90</v>
      </c>
      <c r="B58" s="114"/>
      <c r="C58" s="114"/>
      <c r="D58" s="115"/>
      <c r="F58" s="113" t="s">
        <v>91</v>
      </c>
      <c r="G58" s="114"/>
      <c r="H58" s="114"/>
      <c r="I58" s="114"/>
      <c r="J58" s="115"/>
    </row>
    <row r="59" spans="1:18" x14ac:dyDescent="0.25">
      <c r="A59" s="116"/>
      <c r="B59" s="117"/>
      <c r="C59" s="117"/>
      <c r="D59" s="118"/>
      <c r="F59" s="116"/>
      <c r="G59" s="117"/>
      <c r="H59" s="117"/>
      <c r="I59" s="117"/>
      <c r="J59" s="118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9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1D3D98-64E3-4B2B-83C0-47A40E04C737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01" t="s">
        <v>1</v>
      </c>
      <c r="O1" s="201"/>
      <c r="P1" s="97" t="s">
        <v>2</v>
      </c>
      <c r="Q1" s="97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52" t="s">
        <v>7</v>
      </c>
      <c r="B4" s="153"/>
      <c r="C4" s="153"/>
      <c r="D4" s="154"/>
      <c r="F4" s="202" t="s">
        <v>8</v>
      </c>
      <c r="G4" s="204"/>
      <c r="H4" s="206" t="s">
        <v>9</v>
      </c>
      <c r="I4" s="208"/>
      <c r="J4" s="20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46" t="s">
        <v>7</v>
      </c>
      <c r="B5" s="15" t="s">
        <v>11</v>
      </c>
      <c r="C5" s="9" t="s">
        <v>12</v>
      </c>
      <c r="D5" s="25" t="s">
        <v>13</v>
      </c>
      <c r="F5" s="203"/>
      <c r="G5" s="205"/>
      <c r="H5" s="207"/>
      <c r="I5" s="210"/>
      <c r="J5" s="21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47"/>
      <c r="B6" s="16"/>
      <c r="C6" s="10"/>
      <c r="D6" s="13">
        <f t="shared" ref="D6:D28" si="1">C6*L6</f>
        <v>0</v>
      </c>
      <c r="F6" s="212" t="s">
        <v>16</v>
      </c>
      <c r="G6" s="214"/>
      <c r="H6" s="215"/>
      <c r="I6" s="215"/>
      <c r="J6" s="216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47"/>
      <c r="B7" s="16"/>
      <c r="C7" s="10"/>
      <c r="D7" s="13">
        <f t="shared" si="1"/>
        <v>0</v>
      </c>
      <c r="F7" s="213"/>
      <c r="G7" s="217"/>
      <c r="H7" s="218"/>
      <c r="I7" s="218"/>
      <c r="J7" s="219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47"/>
      <c r="B8" s="16"/>
      <c r="C8" s="10"/>
      <c r="D8" s="13">
        <f t="shared" si="1"/>
        <v>0</v>
      </c>
      <c r="F8" s="220" t="s">
        <v>21</v>
      </c>
      <c r="G8" s="221"/>
      <c r="H8" s="222"/>
      <c r="I8" s="222"/>
      <c r="J8" s="223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47"/>
      <c r="B9" s="16"/>
      <c r="C9" s="10"/>
      <c r="D9" s="13">
        <f t="shared" si="1"/>
        <v>0</v>
      </c>
      <c r="F9" s="213"/>
      <c r="G9" s="224"/>
      <c r="H9" s="225"/>
      <c r="I9" s="225"/>
      <c r="J9" s="226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47"/>
      <c r="C10" s="10"/>
      <c r="D10" s="13">
        <f t="shared" si="1"/>
        <v>0</v>
      </c>
      <c r="F10" s="212" t="s">
        <v>26</v>
      </c>
      <c r="G10" s="227"/>
      <c r="H10" s="228"/>
      <c r="I10" s="228"/>
      <c r="J10" s="229"/>
      <c r="K10" s="8"/>
      <c r="L10" s="6">
        <f>R36</f>
        <v>972</v>
      </c>
      <c r="P10" s="4"/>
      <c r="Q10" s="4"/>
      <c r="R10" s="5"/>
    </row>
    <row r="11" spans="1:19" ht="15.75" x14ac:dyDescent="0.25">
      <c r="A11" s="147"/>
      <c r="B11" s="17"/>
      <c r="C11" s="10"/>
      <c r="D11" s="13">
        <f t="shared" si="1"/>
        <v>0</v>
      </c>
      <c r="F11" s="213"/>
      <c r="G11" s="224"/>
      <c r="H11" s="225"/>
      <c r="I11" s="225"/>
      <c r="J11" s="226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47"/>
      <c r="B12" s="17"/>
      <c r="C12" s="10"/>
      <c r="D12" s="48">
        <f t="shared" si="1"/>
        <v>0</v>
      </c>
      <c r="F12" s="230" t="s">
        <v>33</v>
      </c>
      <c r="G12" s="231"/>
      <c r="H12" s="231"/>
      <c r="I12" s="231"/>
      <c r="J12" s="232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47"/>
      <c r="B13" s="17"/>
      <c r="C13" s="10"/>
      <c r="D13" s="48">
        <f t="shared" si="1"/>
        <v>0</v>
      </c>
      <c r="F13" s="233" t="s">
        <v>36</v>
      </c>
      <c r="G13" s="197"/>
      <c r="H13" s="188">
        <f>D29</f>
        <v>0</v>
      </c>
      <c r="I13" s="189"/>
      <c r="J13" s="19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47"/>
      <c r="B14" s="14"/>
      <c r="C14" s="10"/>
      <c r="D14" s="31">
        <f t="shared" si="1"/>
        <v>0</v>
      </c>
      <c r="F14" s="191" t="s">
        <v>38</v>
      </c>
      <c r="G14" s="192"/>
      <c r="H14" s="193">
        <f>D54</f>
        <v>0</v>
      </c>
      <c r="I14" s="194"/>
      <c r="J14" s="19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47"/>
      <c r="B15" s="14"/>
      <c r="C15" s="10"/>
      <c r="D15" s="31">
        <f t="shared" si="1"/>
        <v>0</v>
      </c>
      <c r="F15" s="196" t="s">
        <v>39</v>
      </c>
      <c r="G15" s="197"/>
      <c r="H15" s="198">
        <f>H13-H14</f>
        <v>0</v>
      </c>
      <c r="I15" s="199"/>
      <c r="J15" s="200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47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58"/>
      <c r="I16" s="158"/>
      <c r="J16" s="158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7"/>
      <c r="C17" s="10"/>
      <c r="D17" s="48">
        <f t="shared" si="1"/>
        <v>0</v>
      </c>
      <c r="F17" s="56"/>
      <c r="G17" s="66" t="s">
        <v>44</v>
      </c>
      <c r="H17" s="169"/>
      <c r="I17" s="169"/>
      <c r="J17" s="169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7"/>
      <c r="B18" s="19"/>
      <c r="C18" s="10"/>
      <c r="D18" s="48">
        <f t="shared" si="1"/>
        <v>0</v>
      </c>
      <c r="F18" s="56"/>
      <c r="G18" s="66" t="s">
        <v>46</v>
      </c>
      <c r="H18" s="169"/>
      <c r="I18" s="169"/>
      <c r="J18" s="16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7"/>
      <c r="B19" s="14"/>
      <c r="C19" s="10"/>
      <c r="D19" s="48">
        <f t="shared" si="1"/>
        <v>0</v>
      </c>
      <c r="F19" s="56"/>
      <c r="G19" s="68" t="s">
        <v>49</v>
      </c>
      <c r="H19" s="170"/>
      <c r="I19" s="170"/>
      <c r="J19" s="170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7"/>
      <c r="B20" s="46"/>
      <c r="C20" s="10"/>
      <c r="D20" s="13">
        <f t="shared" si="1"/>
        <v>0</v>
      </c>
      <c r="F20" s="57"/>
      <c r="G20" s="70" t="s">
        <v>102</v>
      </c>
      <c r="H20" s="158"/>
      <c r="I20" s="158"/>
      <c r="J20" s="158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7"/>
      <c r="B21" s="14"/>
      <c r="C21" s="10"/>
      <c r="D21" s="48">
        <f t="shared" si="1"/>
        <v>0</v>
      </c>
      <c r="F21" s="69" t="s">
        <v>94</v>
      </c>
      <c r="G21" s="82" t="s">
        <v>93</v>
      </c>
      <c r="H21" s="171" t="s">
        <v>13</v>
      </c>
      <c r="I21" s="172"/>
      <c r="J21" s="173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7"/>
      <c r="B22" s="46"/>
      <c r="C22" s="10"/>
      <c r="D22" s="48">
        <f t="shared" si="1"/>
        <v>0</v>
      </c>
      <c r="F22" s="77"/>
      <c r="G22" s="73"/>
      <c r="H22" s="174"/>
      <c r="I22" s="174"/>
      <c r="J22" s="174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7"/>
      <c r="B23" s="14"/>
      <c r="C23" s="10"/>
      <c r="D23" s="48">
        <f t="shared" si="1"/>
        <v>0</v>
      </c>
      <c r="F23" s="78"/>
      <c r="G23" s="79"/>
      <c r="H23" s="175"/>
      <c r="I23" s="144"/>
      <c r="J23" s="144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7"/>
      <c r="B24" s="14"/>
      <c r="C24" s="10"/>
      <c r="D24" s="48">
        <f t="shared" si="1"/>
        <v>0</v>
      </c>
      <c r="F24" s="38"/>
      <c r="G24" s="37"/>
      <c r="H24" s="175"/>
      <c r="I24" s="144"/>
      <c r="J24" s="144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7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176" t="s">
        <v>13</v>
      </c>
      <c r="I25" s="177"/>
      <c r="J25" s="178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7"/>
      <c r="B26" s="14"/>
      <c r="C26" s="10"/>
      <c r="D26" s="48">
        <f t="shared" si="1"/>
        <v>0</v>
      </c>
      <c r="F26" s="64"/>
      <c r="G26" s="59"/>
      <c r="H26" s="179"/>
      <c r="I26" s="180"/>
      <c r="J26" s="181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7"/>
      <c r="B27" s="14"/>
      <c r="C27" s="10"/>
      <c r="D27" s="44">
        <f t="shared" si="1"/>
        <v>0</v>
      </c>
      <c r="F27" s="25"/>
      <c r="G27" s="80"/>
      <c r="H27" s="182"/>
      <c r="I27" s="183"/>
      <c r="J27" s="184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8"/>
      <c r="B28" s="46"/>
      <c r="C28" s="10"/>
      <c r="D28" s="48">
        <f t="shared" si="1"/>
        <v>0</v>
      </c>
      <c r="F28" s="98"/>
      <c r="G28" s="61"/>
      <c r="H28" s="185"/>
      <c r="I28" s="186"/>
      <c r="J28" s="187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9" t="s">
        <v>36</v>
      </c>
      <c r="B29" s="160"/>
      <c r="C29" s="161"/>
      <c r="D29" s="165">
        <f>SUM(D6:D28)</f>
        <v>0</v>
      </c>
      <c r="F29" s="105" t="s">
        <v>54</v>
      </c>
      <c r="G29" s="167"/>
      <c r="H29" s="127">
        <f>H15-H16-H17-H18-H19-H20-H22-H23-H24+H26+H27</f>
        <v>0</v>
      </c>
      <c r="I29" s="128"/>
      <c r="J29" s="129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08"/>
      <c r="G30" s="168"/>
      <c r="H30" s="130"/>
      <c r="I30" s="131"/>
      <c r="J30" s="132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52" t="s">
        <v>57</v>
      </c>
      <c r="B32" s="153"/>
      <c r="C32" s="153"/>
      <c r="D32" s="154"/>
      <c r="F32" s="155" t="s">
        <v>58</v>
      </c>
      <c r="G32" s="156"/>
      <c r="H32" s="156"/>
      <c r="I32" s="156"/>
      <c r="J32" s="157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9" t="s">
        <v>62</v>
      </c>
      <c r="H33" s="155" t="s">
        <v>13</v>
      </c>
      <c r="I33" s="156"/>
      <c r="J33" s="157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6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149"/>
      <c r="I34" s="150"/>
      <c r="J34" s="151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7"/>
      <c r="B35" s="27" t="s">
        <v>67</v>
      </c>
      <c r="C35" s="52"/>
      <c r="D35" s="30">
        <f>C35*84</f>
        <v>0</v>
      </c>
      <c r="F35" s="58">
        <v>500</v>
      </c>
      <c r="G35" s="41"/>
      <c r="H35" s="149"/>
      <c r="I35" s="150"/>
      <c r="J35" s="15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8"/>
      <c r="B36" s="26" t="s">
        <v>69</v>
      </c>
      <c r="C36" s="10"/>
      <c r="D36" s="12">
        <f>C36*1.5</f>
        <v>0</v>
      </c>
      <c r="F36" s="12">
        <v>200</v>
      </c>
      <c r="G36" s="37"/>
      <c r="H36" s="149"/>
      <c r="I36" s="150"/>
      <c r="J36" s="151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6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49"/>
      <c r="I37" s="150"/>
      <c r="J37" s="151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7"/>
      <c r="B38" s="29" t="s">
        <v>67</v>
      </c>
      <c r="C38" s="54"/>
      <c r="D38" s="12">
        <f>C38*84</f>
        <v>0</v>
      </c>
      <c r="F38" s="30">
        <v>50</v>
      </c>
      <c r="G38" s="39"/>
      <c r="H38" s="149"/>
      <c r="I38" s="150"/>
      <c r="J38" s="151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8"/>
      <c r="B39" s="29" t="s">
        <v>69</v>
      </c>
      <c r="C39" s="52"/>
      <c r="D39" s="31">
        <f>C39*4.5</f>
        <v>0</v>
      </c>
      <c r="F39" s="12">
        <v>20</v>
      </c>
      <c r="G39" s="37"/>
      <c r="H39" s="149"/>
      <c r="I39" s="150"/>
      <c r="J39" s="15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6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49"/>
      <c r="I40" s="150"/>
      <c r="J40" s="151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7"/>
      <c r="B41" s="27" t="s">
        <v>67</v>
      </c>
      <c r="C41" s="10"/>
      <c r="D41" s="12">
        <f>C41*84</f>
        <v>0</v>
      </c>
      <c r="F41" s="12">
        <v>5</v>
      </c>
      <c r="G41" s="42"/>
      <c r="H41" s="149"/>
      <c r="I41" s="150"/>
      <c r="J41" s="151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8"/>
      <c r="B42" s="27" t="s">
        <v>69</v>
      </c>
      <c r="C42" s="11"/>
      <c r="D42" s="12">
        <f>C42*2.25</f>
        <v>0</v>
      </c>
      <c r="F42" s="39" t="s">
        <v>78</v>
      </c>
      <c r="G42" s="149"/>
      <c r="H42" s="150"/>
      <c r="I42" s="150"/>
      <c r="J42" s="151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19" t="s">
        <v>80</v>
      </c>
      <c r="C43" s="11"/>
      <c r="D43" s="12"/>
      <c r="F43" s="59" t="s">
        <v>81</v>
      </c>
      <c r="G43" s="100" t="s">
        <v>82</v>
      </c>
      <c r="H43" s="141" t="s">
        <v>13</v>
      </c>
      <c r="I43" s="142"/>
      <c r="J43" s="143"/>
      <c r="K43" s="21"/>
      <c r="P43" s="4"/>
      <c r="Q43" s="4"/>
      <c r="R43" s="5"/>
    </row>
    <row r="44" spans="1:18" ht="15.75" x14ac:dyDescent="0.25">
      <c r="A44" s="120"/>
      <c r="B44" s="27" t="s">
        <v>65</v>
      </c>
      <c r="C44" s="10"/>
      <c r="D44" s="12">
        <f>C44*120</f>
        <v>0</v>
      </c>
      <c r="F44" s="37"/>
      <c r="G44" s="76"/>
      <c r="H44" s="144"/>
      <c r="I44" s="144"/>
      <c r="J44" s="144"/>
      <c r="K44" s="21"/>
      <c r="P44" s="4"/>
      <c r="Q44" s="4"/>
      <c r="R44" s="5"/>
    </row>
    <row r="45" spans="1:18" ht="15.75" x14ac:dyDescent="0.25">
      <c r="A45" s="120"/>
      <c r="B45" s="27" t="s">
        <v>67</v>
      </c>
      <c r="C45" s="33"/>
      <c r="D45" s="12">
        <f>C45*84</f>
        <v>0</v>
      </c>
      <c r="F45" s="37"/>
      <c r="G45" s="76"/>
      <c r="H45" s="144"/>
      <c r="I45" s="144"/>
      <c r="J45" s="144"/>
      <c r="K45" s="21"/>
      <c r="P45" s="4"/>
      <c r="Q45" s="4"/>
      <c r="R45" s="5"/>
    </row>
    <row r="46" spans="1:18" ht="15.75" x14ac:dyDescent="0.25">
      <c r="A46" s="120"/>
      <c r="B46" s="49" t="s">
        <v>69</v>
      </c>
      <c r="C46" s="81"/>
      <c r="D46" s="12">
        <f>C46*1.5</f>
        <v>0</v>
      </c>
      <c r="F46" s="37"/>
      <c r="G46" s="62"/>
      <c r="H46" s="145"/>
      <c r="I46" s="145"/>
      <c r="J46" s="145"/>
      <c r="K46" s="21"/>
      <c r="P46" s="4"/>
      <c r="Q46" s="4"/>
      <c r="R46" s="5"/>
    </row>
    <row r="47" spans="1:18" ht="15.75" x14ac:dyDescent="0.25">
      <c r="A47" s="121"/>
      <c r="B47" s="27"/>
      <c r="C47" s="11"/>
      <c r="D47" s="12"/>
      <c r="F47" s="59"/>
      <c r="G47" s="59"/>
      <c r="H47" s="122"/>
      <c r="I47" s="123"/>
      <c r="J47" s="124"/>
      <c r="K47" s="21"/>
      <c r="P47" s="4"/>
      <c r="Q47" s="4"/>
      <c r="R47" s="5"/>
    </row>
    <row r="48" spans="1:18" ht="15" customHeight="1" x14ac:dyDescent="0.25">
      <c r="A48" s="119" t="s">
        <v>32</v>
      </c>
      <c r="B48" s="27" t="s">
        <v>65</v>
      </c>
      <c r="C48" s="10"/>
      <c r="D48" s="12">
        <f>C48*78</f>
        <v>0</v>
      </c>
      <c r="F48" s="59"/>
      <c r="G48" s="59"/>
      <c r="H48" s="122"/>
      <c r="I48" s="123"/>
      <c r="J48" s="124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20"/>
      <c r="B49" s="29" t="s">
        <v>67</v>
      </c>
      <c r="C49" s="33"/>
      <c r="D49" s="12">
        <f>C49*42</f>
        <v>0</v>
      </c>
      <c r="F49" s="125" t="s">
        <v>85</v>
      </c>
      <c r="G49" s="127">
        <f>H34+H35+H36+H37+H38+H39+H40+H41+G42+H44+H45+H46</f>
        <v>0</v>
      </c>
      <c r="H49" s="128"/>
      <c r="I49" s="128"/>
      <c r="J49" s="129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0"/>
      <c r="B50" s="32" t="s">
        <v>69</v>
      </c>
      <c r="C50" s="11"/>
      <c r="D50" s="12">
        <f>C50*1.5</f>
        <v>0</v>
      </c>
      <c r="F50" s="126"/>
      <c r="G50" s="130"/>
      <c r="H50" s="131"/>
      <c r="I50" s="131"/>
      <c r="J50" s="132"/>
      <c r="P50" s="4"/>
      <c r="Q50" s="4"/>
      <c r="R50" s="5"/>
    </row>
    <row r="51" spans="1:18" ht="15" customHeight="1" x14ac:dyDescent="0.25">
      <c r="A51" s="120"/>
      <c r="B51" s="27"/>
      <c r="C51" s="10"/>
      <c r="D51" s="31"/>
      <c r="F51" s="133" t="s">
        <v>106</v>
      </c>
      <c r="G51" s="135">
        <f>G49-H29</f>
        <v>0</v>
      </c>
      <c r="H51" s="136"/>
      <c r="I51" s="136"/>
      <c r="J51" s="137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0"/>
      <c r="B52" s="29"/>
      <c r="C52" s="33"/>
      <c r="D52" s="45"/>
      <c r="F52" s="134"/>
      <c r="G52" s="138"/>
      <c r="H52" s="139"/>
      <c r="I52" s="139"/>
      <c r="J52" s="140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1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05" t="s">
        <v>89</v>
      </c>
      <c r="B54" s="106"/>
      <c r="C54" s="107"/>
      <c r="D54" s="111">
        <f>SUM(D34:D53)</f>
        <v>0</v>
      </c>
      <c r="F54" s="21"/>
      <c r="J54" s="34"/>
    </row>
    <row r="55" spans="1:18" x14ac:dyDescent="0.25">
      <c r="A55" s="108"/>
      <c r="B55" s="109"/>
      <c r="C55" s="110"/>
      <c r="D55" s="11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13" t="s">
        <v>90</v>
      </c>
      <c r="B58" s="114"/>
      <c r="C58" s="114"/>
      <c r="D58" s="115"/>
      <c r="F58" s="113" t="s">
        <v>91</v>
      </c>
      <c r="G58" s="114"/>
      <c r="H58" s="114"/>
      <c r="I58" s="114"/>
      <c r="J58" s="115"/>
    </row>
    <row r="59" spans="1:18" x14ac:dyDescent="0.25">
      <c r="A59" s="116"/>
      <c r="B59" s="117"/>
      <c r="C59" s="117"/>
      <c r="D59" s="118"/>
      <c r="F59" s="116"/>
      <c r="G59" s="117"/>
      <c r="H59" s="117"/>
      <c r="I59" s="117"/>
      <c r="J59" s="118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9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79F749-A591-4A95-8C31-13BFDE189EAE}">
  <dimension ref="A1:R59"/>
  <sheetViews>
    <sheetView tabSelected="1" topLeftCell="A19" zoomScaleNormal="100" zoomScaleSheetLayoutView="85" workbookViewId="0">
      <selection activeCell="G45" sqref="G4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1" t="s">
        <v>1</v>
      </c>
      <c r="O1" s="201"/>
      <c r="P1" s="97" t="s">
        <v>2</v>
      </c>
      <c r="Q1" s="97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2" t="s">
        <v>7</v>
      </c>
      <c r="B4" s="153"/>
      <c r="C4" s="153"/>
      <c r="D4" s="154"/>
      <c r="F4" s="202" t="s">
        <v>8</v>
      </c>
      <c r="G4" s="204">
        <v>1</v>
      </c>
      <c r="H4" s="206" t="s">
        <v>9</v>
      </c>
      <c r="I4" s="208">
        <v>46170</v>
      </c>
      <c r="J4" s="20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6" t="s">
        <v>7</v>
      </c>
      <c r="B5" s="15" t="s">
        <v>11</v>
      </c>
      <c r="C5" s="9" t="s">
        <v>12</v>
      </c>
      <c r="D5" s="25" t="s">
        <v>13</v>
      </c>
      <c r="F5" s="203"/>
      <c r="G5" s="205"/>
      <c r="H5" s="207"/>
      <c r="I5" s="210"/>
      <c r="J5" s="21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7"/>
      <c r="B6" s="16" t="s">
        <v>15</v>
      </c>
      <c r="C6" s="10"/>
      <c r="D6" s="13">
        <f t="shared" ref="D6:D28" si="1">C6*L6</f>
        <v>0</v>
      </c>
      <c r="F6" s="212" t="s">
        <v>16</v>
      </c>
      <c r="G6" s="214" t="s">
        <v>99</v>
      </c>
      <c r="H6" s="215"/>
      <c r="I6" s="215"/>
      <c r="J6" s="21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7"/>
      <c r="B7" s="16" t="s">
        <v>18</v>
      </c>
      <c r="C7" s="10"/>
      <c r="D7" s="13">
        <f t="shared" si="1"/>
        <v>0</v>
      </c>
      <c r="F7" s="213"/>
      <c r="G7" s="217"/>
      <c r="H7" s="218"/>
      <c r="I7" s="218"/>
      <c r="J7" s="21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7"/>
      <c r="B8" s="16" t="s">
        <v>20</v>
      </c>
      <c r="C8" s="10"/>
      <c r="D8" s="13">
        <f t="shared" si="1"/>
        <v>0</v>
      </c>
      <c r="F8" s="220" t="s">
        <v>21</v>
      </c>
      <c r="G8" s="221" t="s">
        <v>120</v>
      </c>
      <c r="H8" s="222"/>
      <c r="I8" s="222"/>
      <c r="J8" s="22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7"/>
      <c r="B9" s="16" t="s">
        <v>23</v>
      </c>
      <c r="C9" s="10"/>
      <c r="D9" s="13">
        <f t="shared" si="1"/>
        <v>0</v>
      </c>
      <c r="F9" s="213"/>
      <c r="G9" s="224"/>
      <c r="H9" s="225"/>
      <c r="I9" s="225"/>
      <c r="J9" s="22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7"/>
      <c r="B10" t="s">
        <v>25</v>
      </c>
      <c r="C10" s="10"/>
      <c r="D10" s="13">
        <f t="shared" si="1"/>
        <v>0</v>
      </c>
      <c r="F10" s="212" t="s">
        <v>26</v>
      </c>
      <c r="G10" s="227" t="s">
        <v>108</v>
      </c>
      <c r="H10" s="228"/>
      <c r="I10" s="228"/>
      <c r="J10" s="229"/>
      <c r="K10" s="8"/>
      <c r="L10" s="6">
        <f>R36</f>
        <v>1032</v>
      </c>
      <c r="P10" s="4"/>
      <c r="Q10" s="4"/>
      <c r="R10" s="5"/>
    </row>
    <row r="11" spans="1:18" ht="15.75" x14ac:dyDescent="0.25">
      <c r="A11" s="147"/>
      <c r="B11" s="17" t="s">
        <v>28</v>
      </c>
      <c r="C11" s="10"/>
      <c r="D11" s="13">
        <f t="shared" si="1"/>
        <v>0</v>
      </c>
      <c r="F11" s="213"/>
      <c r="G11" s="224"/>
      <c r="H11" s="225"/>
      <c r="I11" s="225"/>
      <c r="J11" s="22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7"/>
      <c r="B12" s="17" t="s">
        <v>30</v>
      </c>
      <c r="C12" s="10"/>
      <c r="D12" s="48">
        <f t="shared" si="1"/>
        <v>0</v>
      </c>
      <c r="F12" s="230" t="s">
        <v>33</v>
      </c>
      <c r="G12" s="231"/>
      <c r="H12" s="231"/>
      <c r="I12" s="231"/>
      <c r="J12" s="23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7"/>
      <c r="B13" s="17" t="s">
        <v>32</v>
      </c>
      <c r="C13" s="10"/>
      <c r="D13" s="48">
        <f t="shared" si="1"/>
        <v>0</v>
      </c>
      <c r="F13" s="233" t="s">
        <v>36</v>
      </c>
      <c r="G13" s="197"/>
      <c r="H13" s="188">
        <f>D29</f>
        <v>0</v>
      </c>
      <c r="I13" s="189"/>
      <c r="J13" s="19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7"/>
      <c r="B14" s="14" t="s">
        <v>35</v>
      </c>
      <c r="C14" s="10"/>
      <c r="D14" s="31">
        <f t="shared" si="1"/>
        <v>0</v>
      </c>
      <c r="F14" s="191" t="s">
        <v>38</v>
      </c>
      <c r="G14" s="192"/>
      <c r="H14" s="193">
        <f>D54</f>
        <v>0</v>
      </c>
      <c r="I14" s="194"/>
      <c r="J14" s="19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7"/>
      <c r="B15" s="14" t="s">
        <v>122</v>
      </c>
      <c r="C15" s="10"/>
      <c r="D15" s="31">
        <f t="shared" si="1"/>
        <v>0</v>
      </c>
      <c r="F15" s="196" t="s">
        <v>39</v>
      </c>
      <c r="G15" s="197"/>
      <c r="H15" s="198">
        <f>H13-H14</f>
        <v>0</v>
      </c>
      <c r="I15" s="199"/>
      <c r="J15" s="200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7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58">
        <v>30</v>
      </c>
      <c r="I16" s="158"/>
      <c r="J16" s="158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7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69"/>
      <c r="I17" s="169"/>
      <c r="J17" s="169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7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69"/>
      <c r="I18" s="169"/>
      <c r="J18" s="169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7"/>
      <c r="B19" s="83" t="s">
        <v>105</v>
      </c>
      <c r="C19" s="10"/>
      <c r="D19" s="48">
        <f t="shared" si="1"/>
        <v>0</v>
      </c>
      <c r="F19" s="56"/>
      <c r="G19" s="68" t="s">
        <v>49</v>
      </c>
      <c r="H19" s="158"/>
      <c r="I19" s="158"/>
      <c r="J19" s="158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7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58"/>
      <c r="I20" s="158"/>
      <c r="J20" s="158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7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71" t="s">
        <v>13</v>
      </c>
      <c r="I21" s="172"/>
      <c r="J21" s="173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7"/>
      <c r="B22" s="46" t="s">
        <v>103</v>
      </c>
      <c r="C22" s="10"/>
      <c r="D22" s="48">
        <f t="shared" si="1"/>
        <v>0</v>
      </c>
      <c r="F22" s="77" t="s">
        <v>153</v>
      </c>
      <c r="G22" s="73">
        <v>10819</v>
      </c>
      <c r="H22" s="174">
        <v>68780</v>
      </c>
      <c r="I22" s="174"/>
      <c r="J22" s="174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7"/>
      <c r="B23" s="14" t="s">
        <v>121</v>
      </c>
      <c r="C23" s="10"/>
      <c r="D23" s="48">
        <f t="shared" si="1"/>
        <v>0</v>
      </c>
      <c r="F23" s="77"/>
      <c r="G23" s="79"/>
      <c r="H23" s="242"/>
      <c r="I23" s="243"/>
      <c r="J23" s="243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7"/>
      <c r="B24" s="14" t="s">
        <v>128</v>
      </c>
      <c r="C24" s="10"/>
      <c r="D24" s="48">
        <f t="shared" si="1"/>
        <v>0</v>
      </c>
      <c r="F24" s="77"/>
      <c r="G24" s="79"/>
      <c r="H24" s="242"/>
      <c r="I24" s="243"/>
      <c r="J24" s="243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7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76" t="s">
        <v>13</v>
      </c>
      <c r="I25" s="177"/>
      <c r="J25" s="178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7"/>
      <c r="B26" s="14" t="s">
        <v>129</v>
      </c>
      <c r="C26" s="10"/>
      <c r="D26" s="48">
        <f t="shared" si="1"/>
        <v>0</v>
      </c>
      <c r="F26" s="75"/>
      <c r="G26" s="65"/>
      <c r="H26" s="144"/>
      <c r="I26" s="144"/>
      <c r="J26" s="144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7"/>
      <c r="B27" s="14" t="s">
        <v>130</v>
      </c>
      <c r="C27" s="10"/>
      <c r="D27" s="44">
        <f t="shared" si="1"/>
        <v>0</v>
      </c>
      <c r="F27" s="71"/>
      <c r="G27" s="100"/>
      <c r="H27" s="244"/>
      <c r="I27" s="245"/>
      <c r="J27" s="245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8"/>
      <c r="B28" s="46" t="s">
        <v>92</v>
      </c>
      <c r="C28" s="10"/>
      <c r="D28" s="48">
        <f t="shared" si="1"/>
        <v>0</v>
      </c>
      <c r="F28" s="98"/>
      <c r="G28" s="61"/>
      <c r="H28" s="185"/>
      <c r="I28" s="186"/>
      <c r="J28" s="187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9" t="s">
        <v>36</v>
      </c>
      <c r="B29" s="160"/>
      <c r="C29" s="161"/>
      <c r="D29" s="165">
        <f>SUM(D6:D28)</f>
        <v>0</v>
      </c>
      <c r="F29" s="105" t="s">
        <v>54</v>
      </c>
      <c r="G29" s="167"/>
      <c r="H29" s="127">
        <f>H15-H16-H17-H18-H19-H20-H22-H23-H24+H26+H27+H28</f>
        <v>-68810</v>
      </c>
      <c r="I29" s="128"/>
      <c r="J29" s="129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08"/>
      <c r="G30" s="168"/>
      <c r="H30" s="130"/>
      <c r="I30" s="131"/>
      <c r="J30" s="132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2" t="s">
        <v>57</v>
      </c>
      <c r="B32" s="153"/>
      <c r="C32" s="153"/>
      <c r="D32" s="154"/>
      <c r="F32" s="155" t="s">
        <v>58</v>
      </c>
      <c r="G32" s="156"/>
      <c r="H32" s="156"/>
      <c r="I32" s="156"/>
      <c r="J32" s="157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9" t="s">
        <v>62</v>
      </c>
      <c r="H33" s="155" t="s">
        <v>13</v>
      </c>
      <c r="I33" s="156"/>
      <c r="J33" s="157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6" t="s">
        <v>64</v>
      </c>
      <c r="B34" s="26" t="s">
        <v>65</v>
      </c>
      <c r="C34" s="51"/>
      <c r="D34" s="30">
        <f>C34*120</f>
        <v>0</v>
      </c>
      <c r="F34" s="12">
        <v>1000</v>
      </c>
      <c r="G34" s="40">
        <v>100</v>
      </c>
      <c r="H34" s="149">
        <f t="shared" ref="H34:H39" si="2">F34*G34</f>
        <v>100000</v>
      </c>
      <c r="I34" s="150"/>
      <c r="J34" s="151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7"/>
      <c r="B35" s="27" t="s">
        <v>67</v>
      </c>
      <c r="C35" s="52"/>
      <c r="D35" s="30">
        <f>C35*84</f>
        <v>0</v>
      </c>
      <c r="F35" s="58">
        <v>500</v>
      </c>
      <c r="G35" s="41">
        <v>31</v>
      </c>
      <c r="H35" s="149">
        <f t="shared" si="2"/>
        <v>15500</v>
      </c>
      <c r="I35" s="150"/>
      <c r="J35" s="15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8"/>
      <c r="B36" s="26" t="s">
        <v>69</v>
      </c>
      <c r="C36" s="10"/>
      <c r="D36" s="12">
        <f>C36*1.5</f>
        <v>0</v>
      </c>
      <c r="F36" s="12">
        <v>200</v>
      </c>
      <c r="G36" s="37"/>
      <c r="H36" s="149">
        <f t="shared" si="2"/>
        <v>0</v>
      </c>
      <c r="I36" s="150"/>
      <c r="J36" s="151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6" t="s">
        <v>71</v>
      </c>
      <c r="B37" s="28" t="s">
        <v>65</v>
      </c>
      <c r="C37" s="53"/>
      <c r="D37" s="12">
        <f>C37*111</f>
        <v>0</v>
      </c>
      <c r="F37" s="12">
        <v>100</v>
      </c>
      <c r="G37" s="39">
        <v>3</v>
      </c>
      <c r="H37" s="149">
        <f t="shared" si="2"/>
        <v>300</v>
      </c>
      <c r="I37" s="150"/>
      <c r="J37" s="151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7"/>
      <c r="B38" s="29" t="s">
        <v>67</v>
      </c>
      <c r="C38" s="54"/>
      <c r="D38" s="12">
        <f>C38*84</f>
        <v>0</v>
      </c>
      <c r="F38" s="30">
        <v>50</v>
      </c>
      <c r="G38" s="39">
        <v>2</v>
      </c>
      <c r="H38" s="149">
        <f t="shared" si="2"/>
        <v>100</v>
      </c>
      <c r="I38" s="150"/>
      <c r="J38" s="151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8"/>
      <c r="B39" s="29" t="s">
        <v>69</v>
      </c>
      <c r="C39" s="52"/>
      <c r="D39" s="31">
        <f>C39*4.5</f>
        <v>0</v>
      </c>
      <c r="F39" s="12">
        <v>20</v>
      </c>
      <c r="G39" s="37"/>
      <c r="H39" s="149">
        <f t="shared" si="2"/>
        <v>0</v>
      </c>
      <c r="I39" s="150"/>
      <c r="J39" s="15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6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49"/>
      <c r="I40" s="150"/>
      <c r="J40" s="151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7"/>
      <c r="B41" s="27" t="s">
        <v>67</v>
      </c>
      <c r="C41" s="10"/>
      <c r="D41" s="12">
        <f>C41*84</f>
        <v>0</v>
      </c>
      <c r="F41" s="12">
        <v>5</v>
      </c>
      <c r="G41" s="42"/>
      <c r="H41" s="149"/>
      <c r="I41" s="150"/>
      <c r="J41" s="151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8"/>
      <c r="B42" s="27" t="s">
        <v>69</v>
      </c>
      <c r="C42" s="11"/>
      <c r="D42" s="12">
        <f>C42*2.25</f>
        <v>0</v>
      </c>
      <c r="F42" s="39" t="s">
        <v>78</v>
      </c>
      <c r="G42" s="149">
        <v>401</v>
      </c>
      <c r="H42" s="150"/>
      <c r="I42" s="150"/>
      <c r="J42" s="151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19" t="s">
        <v>80</v>
      </c>
      <c r="C43" s="11"/>
      <c r="D43" s="12"/>
      <c r="F43" s="59" t="s">
        <v>81</v>
      </c>
      <c r="G43" s="100" t="s">
        <v>82</v>
      </c>
      <c r="H43" s="141" t="s">
        <v>13</v>
      </c>
      <c r="I43" s="142"/>
      <c r="J43" s="143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20"/>
      <c r="B44" s="27" t="s">
        <v>65</v>
      </c>
      <c r="C44" s="10"/>
      <c r="D44" s="12">
        <f>C44*120</f>
        <v>0</v>
      </c>
      <c r="F44" s="37" t="s">
        <v>147</v>
      </c>
      <c r="G44" s="96" t="s">
        <v>219</v>
      </c>
      <c r="H44" s="144">
        <v>79439.25</v>
      </c>
      <c r="I44" s="144"/>
      <c r="J44" s="144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20"/>
      <c r="B45" s="27" t="s">
        <v>67</v>
      </c>
      <c r="C45" s="33"/>
      <c r="D45" s="12">
        <f>C45*84</f>
        <v>0</v>
      </c>
      <c r="F45" s="37" t="s">
        <v>137</v>
      </c>
      <c r="G45" s="62"/>
      <c r="H45" s="144">
        <v>5200</v>
      </c>
      <c r="I45" s="144"/>
      <c r="J45" s="144"/>
      <c r="K45" s="21"/>
      <c r="P45" s="4"/>
      <c r="Q45" s="4"/>
      <c r="R45" s="5"/>
    </row>
    <row r="46" spans="1:18" ht="15.75" x14ac:dyDescent="0.25">
      <c r="A46" s="120"/>
      <c r="B46" s="49" t="s">
        <v>69</v>
      </c>
      <c r="C46" s="81"/>
      <c r="D46" s="12">
        <f>C46*1.5</f>
        <v>0</v>
      </c>
      <c r="F46" s="37"/>
      <c r="G46" s="62"/>
      <c r="H46" s="144"/>
      <c r="I46" s="144"/>
      <c r="J46" s="144"/>
      <c r="K46" s="21"/>
      <c r="P46" s="4"/>
      <c r="Q46" s="4"/>
      <c r="R46" s="5"/>
    </row>
    <row r="47" spans="1:18" ht="15.75" x14ac:dyDescent="0.25">
      <c r="A47" s="121"/>
      <c r="B47" s="27"/>
      <c r="C47" s="11"/>
      <c r="D47" s="12"/>
      <c r="F47" s="59"/>
      <c r="G47" s="59"/>
      <c r="H47" s="122"/>
      <c r="I47" s="123"/>
      <c r="J47" s="124"/>
      <c r="K47" s="21"/>
      <c r="P47" s="4"/>
      <c r="Q47" s="4"/>
      <c r="R47" s="5"/>
    </row>
    <row r="48" spans="1:18" ht="15" customHeight="1" x14ac:dyDescent="0.25">
      <c r="A48" s="119" t="s">
        <v>32</v>
      </c>
      <c r="B48" s="27" t="s">
        <v>65</v>
      </c>
      <c r="C48" s="10"/>
      <c r="D48" s="12">
        <f>C48*78</f>
        <v>0</v>
      </c>
      <c r="F48" s="59"/>
      <c r="G48" s="59"/>
      <c r="H48" s="122"/>
      <c r="I48" s="123"/>
      <c r="J48" s="124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20"/>
      <c r="B49" s="29" t="s">
        <v>67</v>
      </c>
      <c r="C49" s="33"/>
      <c r="D49" s="12">
        <f>C49*42</f>
        <v>0</v>
      </c>
      <c r="F49" s="125" t="s">
        <v>85</v>
      </c>
      <c r="G49" s="127">
        <f>H34+H35+H36+H37+H38+H39+H40+H41+G42+H44+H45+H46</f>
        <v>200940.25</v>
      </c>
      <c r="H49" s="128"/>
      <c r="I49" s="128"/>
      <c r="J49" s="129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0"/>
      <c r="B50" s="32" t="s">
        <v>69</v>
      </c>
      <c r="C50" s="11"/>
      <c r="D50" s="12">
        <f>C50*1.5</f>
        <v>0</v>
      </c>
      <c r="F50" s="126"/>
      <c r="G50" s="130"/>
      <c r="H50" s="131"/>
      <c r="I50" s="131"/>
      <c r="J50" s="132"/>
      <c r="O50" t="s">
        <v>114</v>
      </c>
      <c r="P50" s="4">
        <v>1204</v>
      </c>
      <c r="Q50" s="4"/>
      <c r="R50" s="5"/>
    </row>
    <row r="51" spans="1:18" ht="15" customHeight="1" x14ac:dyDescent="0.25">
      <c r="A51" s="120"/>
      <c r="B51" s="27"/>
      <c r="C51" s="10"/>
      <c r="D51" s="31"/>
      <c r="F51" s="133" t="s">
        <v>184</v>
      </c>
      <c r="G51" s="236">
        <f>G49-H29</f>
        <v>269750.25</v>
      </c>
      <c r="H51" s="237"/>
      <c r="I51" s="237"/>
      <c r="J51" s="238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20"/>
      <c r="B52" s="29"/>
      <c r="C52" s="33"/>
      <c r="D52" s="45"/>
      <c r="F52" s="134"/>
      <c r="G52" s="239"/>
      <c r="H52" s="240"/>
      <c r="I52" s="240"/>
      <c r="J52" s="241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1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05" t="s">
        <v>89</v>
      </c>
      <c r="B54" s="106"/>
      <c r="C54" s="107"/>
      <c r="D54" s="111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08"/>
      <c r="B55" s="109"/>
      <c r="C55" s="110"/>
      <c r="D55" s="11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113" t="s">
        <v>90</v>
      </c>
      <c r="B58" s="114"/>
      <c r="C58" s="114"/>
      <c r="D58" s="115"/>
      <c r="F58" s="113" t="s">
        <v>91</v>
      </c>
      <c r="G58" s="114"/>
      <c r="H58" s="114"/>
      <c r="I58" s="114"/>
      <c r="J58" s="115"/>
    </row>
    <row r="59" spans="1:18" x14ac:dyDescent="0.25">
      <c r="A59" s="116"/>
      <c r="B59" s="117"/>
      <c r="C59" s="117"/>
      <c r="D59" s="118"/>
      <c r="F59" s="116"/>
      <c r="G59" s="117"/>
      <c r="H59" s="117"/>
      <c r="I59" s="117"/>
      <c r="J59" s="118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9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A18329-3562-4B4F-95FA-353A2CB24AF3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1" t="s">
        <v>1</v>
      </c>
      <c r="O1" s="201"/>
      <c r="P1" s="97" t="s">
        <v>2</v>
      </c>
      <c r="Q1" s="97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2" t="s">
        <v>7</v>
      </c>
      <c r="B4" s="153"/>
      <c r="C4" s="153"/>
      <c r="D4" s="154"/>
      <c r="F4" s="202" t="s">
        <v>8</v>
      </c>
      <c r="G4" s="204">
        <v>2</v>
      </c>
      <c r="H4" s="206" t="s">
        <v>9</v>
      </c>
      <c r="I4" s="208">
        <v>46170</v>
      </c>
      <c r="J4" s="20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6" t="s">
        <v>7</v>
      </c>
      <c r="B5" s="15" t="s">
        <v>11</v>
      </c>
      <c r="C5" s="9" t="s">
        <v>12</v>
      </c>
      <c r="D5" s="25" t="s">
        <v>13</v>
      </c>
      <c r="F5" s="203"/>
      <c r="G5" s="205"/>
      <c r="H5" s="207"/>
      <c r="I5" s="210"/>
      <c r="J5" s="21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7"/>
      <c r="B6" s="16" t="s">
        <v>15</v>
      </c>
      <c r="C6" s="10"/>
      <c r="D6" s="13">
        <f t="shared" ref="D6:D28" si="1">C6*L6</f>
        <v>0</v>
      </c>
      <c r="F6" s="212" t="s">
        <v>16</v>
      </c>
      <c r="G6" s="214" t="s">
        <v>107</v>
      </c>
      <c r="H6" s="215"/>
      <c r="I6" s="215"/>
      <c r="J6" s="21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7"/>
      <c r="B7" s="16" t="s">
        <v>18</v>
      </c>
      <c r="C7" s="10"/>
      <c r="D7" s="13">
        <f t="shared" si="1"/>
        <v>0</v>
      </c>
      <c r="F7" s="213"/>
      <c r="G7" s="217"/>
      <c r="H7" s="218"/>
      <c r="I7" s="218"/>
      <c r="J7" s="21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7"/>
      <c r="B8" s="16" t="s">
        <v>20</v>
      </c>
      <c r="C8" s="10"/>
      <c r="D8" s="13">
        <f t="shared" si="1"/>
        <v>0</v>
      </c>
      <c r="F8" s="220" t="s">
        <v>21</v>
      </c>
      <c r="G8" s="221" t="s">
        <v>100</v>
      </c>
      <c r="H8" s="222"/>
      <c r="I8" s="222"/>
      <c r="J8" s="22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7"/>
      <c r="B9" s="16" t="s">
        <v>23</v>
      </c>
      <c r="C9" s="10"/>
      <c r="D9" s="13">
        <f t="shared" si="1"/>
        <v>0</v>
      </c>
      <c r="F9" s="213"/>
      <c r="G9" s="224"/>
      <c r="H9" s="225"/>
      <c r="I9" s="225"/>
      <c r="J9" s="22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7"/>
      <c r="B10" t="s">
        <v>25</v>
      </c>
      <c r="C10" s="10"/>
      <c r="D10" s="13">
        <f t="shared" si="1"/>
        <v>0</v>
      </c>
      <c r="F10" s="212" t="s">
        <v>26</v>
      </c>
      <c r="G10" s="227" t="s">
        <v>101</v>
      </c>
      <c r="H10" s="228"/>
      <c r="I10" s="228"/>
      <c r="J10" s="229"/>
      <c r="K10" s="8"/>
      <c r="L10" s="6">
        <f>R36</f>
        <v>1032</v>
      </c>
      <c r="P10" s="4"/>
      <c r="Q10" s="4"/>
      <c r="R10" s="5"/>
    </row>
    <row r="11" spans="1:18" ht="15.75" x14ac:dyDescent="0.25">
      <c r="A11" s="147"/>
      <c r="B11" s="17" t="s">
        <v>28</v>
      </c>
      <c r="C11" s="10"/>
      <c r="D11" s="13">
        <f t="shared" si="1"/>
        <v>0</v>
      </c>
      <c r="F11" s="213"/>
      <c r="G11" s="224"/>
      <c r="H11" s="225"/>
      <c r="I11" s="225"/>
      <c r="J11" s="22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7"/>
      <c r="B12" s="17" t="s">
        <v>30</v>
      </c>
      <c r="C12" s="10"/>
      <c r="D12" s="48">
        <f t="shared" si="1"/>
        <v>0</v>
      </c>
      <c r="F12" s="230" t="s">
        <v>33</v>
      </c>
      <c r="G12" s="231"/>
      <c r="H12" s="231"/>
      <c r="I12" s="231"/>
      <c r="J12" s="23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7"/>
      <c r="B13" s="17" t="s">
        <v>32</v>
      </c>
      <c r="C13" s="10"/>
      <c r="D13" s="48">
        <f t="shared" si="1"/>
        <v>0</v>
      </c>
      <c r="F13" s="233" t="s">
        <v>36</v>
      </c>
      <c r="G13" s="197"/>
      <c r="H13" s="188">
        <f>D29</f>
        <v>0</v>
      </c>
      <c r="I13" s="189"/>
      <c r="J13" s="19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7"/>
      <c r="B14" s="14" t="s">
        <v>35</v>
      </c>
      <c r="C14" s="10"/>
      <c r="D14" s="31">
        <f t="shared" si="1"/>
        <v>0</v>
      </c>
      <c r="F14" s="191" t="s">
        <v>38</v>
      </c>
      <c r="G14" s="192"/>
      <c r="H14" s="193">
        <f>D54</f>
        <v>0</v>
      </c>
      <c r="I14" s="194"/>
      <c r="J14" s="19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7"/>
      <c r="B15" s="14" t="s">
        <v>122</v>
      </c>
      <c r="C15" s="10"/>
      <c r="D15" s="31">
        <f t="shared" si="1"/>
        <v>0</v>
      </c>
      <c r="F15" s="196" t="s">
        <v>39</v>
      </c>
      <c r="G15" s="197"/>
      <c r="H15" s="198">
        <f>H13-H14</f>
        <v>0</v>
      </c>
      <c r="I15" s="199"/>
      <c r="J15" s="200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7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58"/>
      <c r="I16" s="158"/>
      <c r="J16" s="158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7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69"/>
      <c r="I17" s="169"/>
      <c r="J17" s="169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7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69"/>
      <c r="I18" s="169"/>
      <c r="J18" s="169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7"/>
      <c r="B19" s="87" t="s">
        <v>105</v>
      </c>
      <c r="C19" s="10"/>
      <c r="D19" s="48">
        <f t="shared" si="1"/>
        <v>0</v>
      </c>
      <c r="F19" s="56"/>
      <c r="G19" s="68" t="s">
        <v>49</v>
      </c>
      <c r="H19" s="253"/>
      <c r="I19" s="253"/>
      <c r="J19" s="253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7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58"/>
      <c r="I20" s="158"/>
      <c r="J20" s="158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7"/>
      <c r="B21" s="14" t="s">
        <v>183</v>
      </c>
      <c r="C21" s="10"/>
      <c r="D21" s="48">
        <f t="shared" si="1"/>
        <v>0</v>
      </c>
      <c r="F21" s="69" t="s">
        <v>94</v>
      </c>
      <c r="G21" s="82" t="s">
        <v>93</v>
      </c>
      <c r="H21" s="171" t="s">
        <v>13</v>
      </c>
      <c r="I21" s="172"/>
      <c r="J21" s="173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7"/>
      <c r="B22" s="46" t="s">
        <v>103</v>
      </c>
      <c r="C22" s="10"/>
      <c r="D22" s="48">
        <f t="shared" si="1"/>
        <v>0</v>
      </c>
      <c r="F22" s="77"/>
      <c r="G22" s="73"/>
      <c r="H22" s="174"/>
      <c r="I22" s="174"/>
      <c r="J22" s="174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7"/>
      <c r="B23" s="14" t="s">
        <v>121</v>
      </c>
      <c r="C23" s="10"/>
      <c r="D23" s="48">
        <f t="shared" si="1"/>
        <v>0</v>
      </c>
      <c r="F23" s="78"/>
      <c r="G23" s="79"/>
      <c r="H23" s="254"/>
      <c r="I23" s="174"/>
      <c r="J23" s="174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7"/>
      <c r="B24" s="14" t="s">
        <v>128</v>
      </c>
      <c r="C24" s="10"/>
      <c r="D24" s="48">
        <f t="shared" si="1"/>
        <v>0</v>
      </c>
      <c r="F24" s="38"/>
      <c r="G24" s="37"/>
      <c r="H24" s="175"/>
      <c r="I24" s="144"/>
      <c r="J24" s="144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7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76" t="s">
        <v>13</v>
      </c>
      <c r="I25" s="177"/>
      <c r="J25" s="178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7"/>
      <c r="B26" s="14" t="s">
        <v>129</v>
      </c>
      <c r="C26" s="10"/>
      <c r="D26" s="48">
        <f t="shared" si="1"/>
        <v>0</v>
      </c>
      <c r="F26" s="64"/>
      <c r="G26" s="59"/>
      <c r="H26" s="179"/>
      <c r="I26" s="180"/>
      <c r="J26" s="181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7"/>
      <c r="B27" s="14" t="s">
        <v>130</v>
      </c>
      <c r="C27" s="10"/>
      <c r="D27" s="44">
        <f t="shared" si="1"/>
        <v>0</v>
      </c>
      <c r="F27" s="25"/>
      <c r="G27" s="80"/>
      <c r="H27" s="182"/>
      <c r="I27" s="183"/>
      <c r="J27" s="184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8"/>
      <c r="B28" s="46" t="s">
        <v>92</v>
      </c>
      <c r="C28" s="10"/>
      <c r="D28" s="48">
        <f t="shared" si="1"/>
        <v>0</v>
      </c>
      <c r="F28" s="98"/>
      <c r="G28" s="61"/>
      <c r="H28" s="185"/>
      <c r="I28" s="186"/>
      <c r="J28" s="187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9" t="s">
        <v>36</v>
      </c>
      <c r="B29" s="160"/>
      <c r="C29" s="161"/>
      <c r="D29" s="165">
        <f>SUM(D6:D28)</f>
        <v>0</v>
      </c>
      <c r="F29" s="105" t="s">
        <v>54</v>
      </c>
      <c r="G29" s="167"/>
      <c r="H29" s="127">
        <f>H15-H16-H17-H18-H19-H20-H22-H23-H24+H26+H27</f>
        <v>0</v>
      </c>
      <c r="I29" s="128"/>
      <c r="J29" s="129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08"/>
      <c r="G30" s="168"/>
      <c r="H30" s="130"/>
      <c r="I30" s="131"/>
      <c r="J30" s="132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2" t="s">
        <v>57</v>
      </c>
      <c r="B32" s="153"/>
      <c r="C32" s="153"/>
      <c r="D32" s="154"/>
      <c r="F32" s="155" t="s">
        <v>58</v>
      </c>
      <c r="G32" s="156"/>
      <c r="H32" s="156"/>
      <c r="I32" s="156"/>
      <c r="J32" s="157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9" t="s">
        <v>62</v>
      </c>
      <c r="H33" s="155" t="s">
        <v>13</v>
      </c>
      <c r="I33" s="156"/>
      <c r="J33" s="157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6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149">
        <f>F34*G34</f>
        <v>0</v>
      </c>
      <c r="I34" s="150"/>
      <c r="J34" s="151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7"/>
      <c r="B35" s="27" t="s">
        <v>67</v>
      </c>
      <c r="C35" s="52"/>
      <c r="D35" s="30">
        <f>C35*84</f>
        <v>0</v>
      </c>
      <c r="F35" s="58">
        <v>500</v>
      </c>
      <c r="G35" s="41"/>
      <c r="H35" s="149">
        <f>F35*G35</f>
        <v>0</v>
      </c>
      <c r="I35" s="150"/>
      <c r="J35" s="15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8"/>
      <c r="B36" s="26" t="s">
        <v>69</v>
      </c>
      <c r="C36" s="10"/>
      <c r="D36" s="12">
        <f>C36*1.5</f>
        <v>0</v>
      </c>
      <c r="F36" s="12">
        <v>200</v>
      </c>
      <c r="G36" s="37"/>
      <c r="H36" s="149">
        <f t="shared" ref="H36:H39" si="2">F36*G36</f>
        <v>0</v>
      </c>
      <c r="I36" s="150"/>
      <c r="J36" s="151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6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49">
        <f t="shared" si="2"/>
        <v>0</v>
      </c>
      <c r="I37" s="150"/>
      <c r="J37" s="151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7"/>
      <c r="B38" s="29" t="s">
        <v>67</v>
      </c>
      <c r="C38" s="54"/>
      <c r="D38" s="12">
        <f>C38*84</f>
        <v>0</v>
      </c>
      <c r="F38" s="30">
        <v>50</v>
      </c>
      <c r="G38" s="39"/>
      <c r="H38" s="149">
        <f t="shared" si="2"/>
        <v>0</v>
      </c>
      <c r="I38" s="150"/>
      <c r="J38" s="151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8"/>
      <c r="B39" s="29" t="s">
        <v>69</v>
      </c>
      <c r="C39" s="52"/>
      <c r="D39" s="31">
        <f>C39*4.5</f>
        <v>0</v>
      </c>
      <c r="F39" s="12">
        <v>20</v>
      </c>
      <c r="G39" s="37"/>
      <c r="H39" s="149">
        <f t="shared" si="2"/>
        <v>0</v>
      </c>
      <c r="I39" s="150"/>
      <c r="J39" s="15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6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49"/>
      <c r="I40" s="150"/>
      <c r="J40" s="151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7"/>
      <c r="B41" s="27" t="s">
        <v>67</v>
      </c>
      <c r="C41" s="10"/>
      <c r="D41" s="12">
        <f>C41*84</f>
        <v>0</v>
      </c>
      <c r="F41" s="12">
        <v>5</v>
      </c>
      <c r="G41" s="42"/>
      <c r="H41" s="149"/>
      <c r="I41" s="150"/>
      <c r="J41" s="151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8"/>
      <c r="B42" s="27" t="s">
        <v>69</v>
      </c>
      <c r="C42" s="11"/>
      <c r="D42" s="12">
        <f>C42*2.25</f>
        <v>0</v>
      </c>
      <c r="F42" s="39" t="s">
        <v>78</v>
      </c>
      <c r="G42" s="149"/>
      <c r="H42" s="150"/>
      <c r="I42" s="150"/>
      <c r="J42" s="151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19" t="s">
        <v>80</v>
      </c>
      <c r="C43" s="11"/>
      <c r="D43" s="12"/>
      <c r="F43" s="59" t="s">
        <v>81</v>
      </c>
      <c r="G43" s="100" t="s">
        <v>82</v>
      </c>
      <c r="H43" s="141" t="s">
        <v>13</v>
      </c>
      <c r="I43" s="142"/>
      <c r="J43" s="143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20"/>
      <c r="B44" s="27" t="s">
        <v>65</v>
      </c>
      <c r="C44" s="10"/>
      <c r="D44" s="12">
        <f>C44*120</f>
        <v>0</v>
      </c>
      <c r="F44" s="37"/>
      <c r="G44" s="76"/>
      <c r="H44" s="144"/>
      <c r="I44" s="144"/>
      <c r="J44" s="144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20"/>
      <c r="B45" s="27" t="s">
        <v>67</v>
      </c>
      <c r="C45" s="33"/>
      <c r="D45" s="12">
        <f>C45*84</f>
        <v>0</v>
      </c>
      <c r="F45" s="37"/>
      <c r="G45" s="76"/>
      <c r="H45" s="144"/>
      <c r="I45" s="144"/>
      <c r="J45" s="144"/>
      <c r="K45" s="21"/>
      <c r="P45" s="4"/>
      <c r="Q45" s="4"/>
      <c r="R45" s="5"/>
    </row>
    <row r="46" spans="1:18" ht="15.75" x14ac:dyDescent="0.25">
      <c r="A46" s="120"/>
      <c r="B46" s="49" t="s">
        <v>69</v>
      </c>
      <c r="C46" s="81"/>
      <c r="D46" s="12">
        <f>C46*1.5</f>
        <v>0</v>
      </c>
      <c r="F46" s="37"/>
      <c r="G46" s="62"/>
      <c r="H46" s="145"/>
      <c r="I46" s="145"/>
      <c r="J46" s="145"/>
      <c r="K46" s="21"/>
      <c r="P46" s="4"/>
      <c r="Q46" s="4"/>
      <c r="R46" s="5"/>
    </row>
    <row r="47" spans="1:18" ht="15.75" x14ac:dyDescent="0.25">
      <c r="A47" s="121"/>
      <c r="B47" s="27"/>
      <c r="C47" s="11"/>
      <c r="D47" s="12"/>
      <c r="F47" s="59"/>
      <c r="G47" s="59"/>
      <c r="H47" s="122"/>
      <c r="I47" s="123"/>
      <c r="J47" s="124"/>
      <c r="K47" s="21"/>
      <c r="P47" s="4"/>
      <c r="Q47" s="4"/>
      <c r="R47" s="5"/>
    </row>
    <row r="48" spans="1:18" ht="15" customHeight="1" x14ac:dyDescent="0.25">
      <c r="A48" s="119" t="s">
        <v>32</v>
      </c>
      <c r="B48" s="27" t="s">
        <v>65</v>
      </c>
      <c r="C48" s="10"/>
      <c r="D48" s="12">
        <f>C48*78</f>
        <v>0</v>
      </c>
      <c r="F48" s="59"/>
      <c r="G48" s="59"/>
      <c r="H48" s="122"/>
      <c r="I48" s="123"/>
      <c r="J48" s="124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20"/>
      <c r="B49" s="29" t="s">
        <v>67</v>
      </c>
      <c r="C49" s="33"/>
      <c r="D49" s="12">
        <f>C49*42</f>
        <v>0</v>
      </c>
      <c r="F49" s="125" t="s">
        <v>85</v>
      </c>
      <c r="G49" s="127">
        <f>H34+H35+H36+H37+H38+H39+H40+H41+G42+H44+H45+H46</f>
        <v>0</v>
      </c>
      <c r="H49" s="128"/>
      <c r="I49" s="128"/>
      <c r="J49" s="129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0"/>
      <c r="B50" s="32" t="s">
        <v>69</v>
      </c>
      <c r="C50" s="81"/>
      <c r="D50" s="12">
        <f>C50*1.5</f>
        <v>0</v>
      </c>
      <c r="F50" s="126"/>
      <c r="G50" s="130"/>
      <c r="H50" s="131"/>
      <c r="I50" s="131"/>
      <c r="J50" s="132"/>
      <c r="O50" t="s">
        <v>114</v>
      </c>
      <c r="P50" s="4">
        <v>1204</v>
      </c>
      <c r="Q50" s="4"/>
      <c r="R50" s="5"/>
    </row>
    <row r="51" spans="1:18" ht="15" customHeight="1" x14ac:dyDescent="0.25">
      <c r="A51" s="120"/>
      <c r="B51" s="27"/>
      <c r="C51" s="10"/>
      <c r="D51" s="31"/>
      <c r="F51" s="133" t="s">
        <v>115</v>
      </c>
      <c r="G51" s="135">
        <f>G49-H29</f>
        <v>0</v>
      </c>
      <c r="H51" s="136"/>
      <c r="I51" s="136"/>
      <c r="J51" s="137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20"/>
      <c r="B52" s="29"/>
      <c r="C52" s="33"/>
      <c r="D52" s="45"/>
      <c r="F52" s="134"/>
      <c r="G52" s="138"/>
      <c r="H52" s="139"/>
      <c r="I52" s="139"/>
      <c r="J52" s="140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1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05" t="s">
        <v>89</v>
      </c>
      <c r="B54" s="106"/>
      <c r="C54" s="107"/>
      <c r="D54" s="111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08"/>
      <c r="B55" s="109"/>
      <c r="C55" s="110"/>
      <c r="D55" s="11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13" t="s">
        <v>90</v>
      </c>
      <c r="B58" s="114"/>
      <c r="C58" s="114"/>
      <c r="D58" s="115"/>
      <c r="F58" s="113" t="s">
        <v>91</v>
      </c>
      <c r="G58" s="114"/>
      <c r="H58" s="114"/>
      <c r="I58" s="114"/>
      <c r="J58" s="115"/>
    </row>
    <row r="59" spans="1:18" x14ac:dyDescent="0.25">
      <c r="A59" s="116"/>
      <c r="B59" s="117"/>
      <c r="C59" s="117"/>
      <c r="D59" s="118"/>
      <c r="F59" s="116"/>
      <c r="G59" s="117"/>
      <c r="H59" s="117"/>
      <c r="I59" s="117"/>
      <c r="J59" s="118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9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1C9092-8ECF-4A3E-97AD-AF1276CD59C9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1" t="s">
        <v>1</v>
      </c>
      <c r="O1" s="201"/>
      <c r="P1" s="97" t="s">
        <v>2</v>
      </c>
      <c r="Q1" s="97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2" t="s">
        <v>7</v>
      </c>
      <c r="B4" s="153"/>
      <c r="C4" s="153"/>
      <c r="D4" s="154"/>
      <c r="F4" s="202" t="s">
        <v>8</v>
      </c>
      <c r="G4" s="204">
        <v>3</v>
      </c>
      <c r="H4" s="206" t="s">
        <v>9</v>
      </c>
      <c r="I4" s="208">
        <v>46170</v>
      </c>
      <c r="J4" s="20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6" t="s">
        <v>7</v>
      </c>
      <c r="B5" s="15" t="s">
        <v>11</v>
      </c>
      <c r="C5" s="9" t="s">
        <v>12</v>
      </c>
      <c r="D5" s="25" t="s">
        <v>13</v>
      </c>
      <c r="F5" s="203"/>
      <c r="G5" s="205"/>
      <c r="H5" s="207"/>
      <c r="I5" s="210"/>
      <c r="J5" s="21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7"/>
      <c r="B6" s="16" t="s">
        <v>15</v>
      </c>
      <c r="C6" s="10"/>
      <c r="D6" s="13">
        <f t="shared" ref="D6:D28" si="1">C6*L6</f>
        <v>0</v>
      </c>
      <c r="F6" s="212" t="s">
        <v>16</v>
      </c>
      <c r="G6" s="214" t="s">
        <v>117</v>
      </c>
      <c r="H6" s="215"/>
      <c r="I6" s="215"/>
      <c r="J6" s="21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7"/>
      <c r="B7" s="16" t="s">
        <v>18</v>
      </c>
      <c r="C7" s="10"/>
      <c r="D7" s="13">
        <f t="shared" si="1"/>
        <v>0</v>
      </c>
      <c r="F7" s="213"/>
      <c r="G7" s="217"/>
      <c r="H7" s="218"/>
      <c r="I7" s="218"/>
      <c r="J7" s="21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7"/>
      <c r="B8" s="16" t="s">
        <v>20</v>
      </c>
      <c r="C8" s="10"/>
      <c r="D8" s="13">
        <f t="shared" si="1"/>
        <v>0</v>
      </c>
      <c r="F8" s="220" t="s">
        <v>21</v>
      </c>
      <c r="G8" s="221" t="s">
        <v>110</v>
      </c>
      <c r="H8" s="222"/>
      <c r="I8" s="222"/>
      <c r="J8" s="22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7"/>
      <c r="B9" s="16" t="s">
        <v>23</v>
      </c>
      <c r="C9" s="10"/>
      <c r="D9" s="13">
        <f t="shared" si="1"/>
        <v>0</v>
      </c>
      <c r="F9" s="213"/>
      <c r="G9" s="224"/>
      <c r="H9" s="225"/>
      <c r="I9" s="225"/>
      <c r="J9" s="22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7"/>
      <c r="B10" t="s">
        <v>25</v>
      </c>
      <c r="C10" s="10"/>
      <c r="D10" s="13">
        <f t="shared" si="1"/>
        <v>0</v>
      </c>
      <c r="F10" s="212" t="s">
        <v>26</v>
      </c>
      <c r="G10" s="227" t="s">
        <v>124</v>
      </c>
      <c r="H10" s="228"/>
      <c r="I10" s="228"/>
      <c r="J10" s="229"/>
      <c r="K10" s="8"/>
      <c r="L10" s="6">
        <f>R36</f>
        <v>1032</v>
      </c>
      <c r="P10" s="4"/>
      <c r="Q10" s="4"/>
      <c r="R10" s="5"/>
    </row>
    <row r="11" spans="1:18" ht="15.75" x14ac:dyDescent="0.25">
      <c r="A11" s="147"/>
      <c r="B11" s="17" t="s">
        <v>28</v>
      </c>
      <c r="C11" s="10"/>
      <c r="D11" s="13">
        <f t="shared" si="1"/>
        <v>0</v>
      </c>
      <c r="F11" s="213"/>
      <c r="G11" s="224"/>
      <c r="H11" s="225"/>
      <c r="I11" s="225"/>
      <c r="J11" s="22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7"/>
      <c r="B12" s="17" t="s">
        <v>30</v>
      </c>
      <c r="C12" s="10"/>
      <c r="D12" s="48">
        <f t="shared" si="1"/>
        <v>0</v>
      </c>
      <c r="F12" s="230" t="s">
        <v>33</v>
      </c>
      <c r="G12" s="231"/>
      <c r="H12" s="231"/>
      <c r="I12" s="231"/>
      <c r="J12" s="23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7"/>
      <c r="B13" s="17" t="s">
        <v>32</v>
      </c>
      <c r="C13" s="10"/>
      <c r="D13" s="48">
        <f t="shared" si="1"/>
        <v>0</v>
      </c>
      <c r="F13" s="233" t="s">
        <v>36</v>
      </c>
      <c r="G13" s="197"/>
      <c r="H13" s="188">
        <f>D29</f>
        <v>0</v>
      </c>
      <c r="I13" s="189"/>
      <c r="J13" s="19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7"/>
      <c r="B14" s="14" t="s">
        <v>35</v>
      </c>
      <c r="C14" s="10"/>
      <c r="D14" s="31">
        <f t="shared" si="1"/>
        <v>0</v>
      </c>
      <c r="F14" s="191" t="s">
        <v>38</v>
      </c>
      <c r="G14" s="192"/>
      <c r="H14" s="193">
        <f>D54</f>
        <v>0</v>
      </c>
      <c r="I14" s="194"/>
      <c r="J14" s="19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7"/>
      <c r="B15" s="14" t="s">
        <v>122</v>
      </c>
      <c r="C15" s="10"/>
      <c r="D15" s="31">
        <f t="shared" si="1"/>
        <v>0</v>
      </c>
      <c r="F15" s="196" t="s">
        <v>39</v>
      </c>
      <c r="G15" s="197"/>
      <c r="H15" s="198">
        <f>H13-H14</f>
        <v>0</v>
      </c>
      <c r="I15" s="199"/>
      <c r="J15" s="200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7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58"/>
      <c r="I16" s="158"/>
      <c r="J16" s="158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7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69"/>
      <c r="I17" s="169"/>
      <c r="J17" s="169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7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69"/>
      <c r="I18" s="169"/>
      <c r="J18" s="169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7"/>
      <c r="B19" s="87" t="s">
        <v>105</v>
      </c>
      <c r="C19" s="10"/>
      <c r="D19" s="48">
        <f t="shared" si="1"/>
        <v>0</v>
      </c>
      <c r="F19" s="56"/>
      <c r="G19" s="68" t="s">
        <v>49</v>
      </c>
      <c r="H19" s="253"/>
      <c r="I19" s="253"/>
      <c r="J19" s="253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7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58"/>
      <c r="I20" s="158"/>
      <c r="J20" s="158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7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71" t="s">
        <v>13</v>
      </c>
      <c r="I21" s="172"/>
      <c r="J21" s="173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7"/>
      <c r="B22" s="46" t="s">
        <v>103</v>
      </c>
      <c r="C22" s="10"/>
      <c r="D22" s="48">
        <f t="shared" si="1"/>
        <v>0</v>
      </c>
      <c r="F22" s="77"/>
      <c r="G22" s="73"/>
      <c r="H22" s="174"/>
      <c r="I22" s="174"/>
      <c r="J22" s="174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7"/>
      <c r="B23" s="14" t="s">
        <v>121</v>
      </c>
      <c r="C23" s="10"/>
      <c r="D23" s="48">
        <f t="shared" si="1"/>
        <v>0</v>
      </c>
      <c r="F23" s="78"/>
      <c r="G23" s="79"/>
      <c r="H23" s="254"/>
      <c r="I23" s="174"/>
      <c r="J23" s="174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7"/>
      <c r="B24" s="14" t="s">
        <v>128</v>
      </c>
      <c r="C24" s="10"/>
      <c r="D24" s="48">
        <f t="shared" si="1"/>
        <v>0</v>
      </c>
      <c r="F24" s="38"/>
      <c r="G24" s="37"/>
      <c r="H24" s="175"/>
      <c r="I24" s="144"/>
      <c r="J24" s="144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7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76" t="s">
        <v>13</v>
      </c>
      <c r="I25" s="177"/>
      <c r="J25" s="178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7"/>
      <c r="B26" s="14" t="s">
        <v>129</v>
      </c>
      <c r="C26" s="10"/>
      <c r="D26" s="48">
        <f t="shared" si="1"/>
        <v>0</v>
      </c>
      <c r="F26" s="64"/>
      <c r="G26" s="59"/>
      <c r="H26" s="179"/>
      <c r="I26" s="180"/>
      <c r="J26" s="181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7"/>
      <c r="B27" s="14" t="s">
        <v>130</v>
      </c>
      <c r="C27" s="10"/>
      <c r="D27" s="44">
        <f t="shared" si="1"/>
        <v>0</v>
      </c>
      <c r="F27" s="25"/>
      <c r="G27" s="80"/>
      <c r="H27" s="182"/>
      <c r="I27" s="183"/>
      <c r="J27" s="184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8"/>
      <c r="B28" s="46" t="s">
        <v>92</v>
      </c>
      <c r="C28" s="10"/>
      <c r="D28" s="48">
        <f t="shared" si="1"/>
        <v>0</v>
      </c>
      <c r="F28" s="98"/>
      <c r="G28" s="61"/>
      <c r="H28" s="185"/>
      <c r="I28" s="186"/>
      <c r="J28" s="187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9" t="s">
        <v>36</v>
      </c>
      <c r="B29" s="160"/>
      <c r="C29" s="161"/>
      <c r="D29" s="165">
        <f>SUM(D6:D28)</f>
        <v>0</v>
      </c>
      <c r="F29" s="105" t="s">
        <v>54</v>
      </c>
      <c r="G29" s="167"/>
      <c r="H29" s="127">
        <f>H15-H16-H17-H18-H19-H20-H22-H23-H24+H26+H27</f>
        <v>0</v>
      </c>
      <c r="I29" s="128"/>
      <c r="J29" s="129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08"/>
      <c r="G30" s="168"/>
      <c r="H30" s="130"/>
      <c r="I30" s="131"/>
      <c r="J30" s="132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2" t="s">
        <v>57</v>
      </c>
      <c r="B32" s="153"/>
      <c r="C32" s="153"/>
      <c r="D32" s="154"/>
      <c r="F32" s="155" t="s">
        <v>58</v>
      </c>
      <c r="G32" s="156"/>
      <c r="H32" s="156"/>
      <c r="I32" s="156"/>
      <c r="J32" s="157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9" t="s">
        <v>62</v>
      </c>
      <c r="H33" s="155" t="s">
        <v>13</v>
      </c>
      <c r="I33" s="156"/>
      <c r="J33" s="157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6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149">
        <f>F34*G34</f>
        <v>0</v>
      </c>
      <c r="I34" s="150"/>
      <c r="J34" s="151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7"/>
      <c r="B35" s="27" t="s">
        <v>67</v>
      </c>
      <c r="C35" s="52"/>
      <c r="D35" s="30">
        <f>C35*84</f>
        <v>0</v>
      </c>
      <c r="F35" s="58">
        <v>500</v>
      </c>
      <c r="G35" s="41"/>
      <c r="H35" s="149">
        <f>F35*G35</f>
        <v>0</v>
      </c>
      <c r="I35" s="150"/>
      <c r="J35" s="15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8"/>
      <c r="B36" s="26" t="s">
        <v>69</v>
      </c>
      <c r="C36" s="10"/>
      <c r="D36" s="12">
        <f>C36*1.5</f>
        <v>0</v>
      </c>
      <c r="F36" s="12">
        <v>200</v>
      </c>
      <c r="G36" s="37"/>
      <c r="H36" s="149">
        <f t="shared" ref="H36:H39" si="2">F36*G36</f>
        <v>0</v>
      </c>
      <c r="I36" s="150"/>
      <c r="J36" s="151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6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49">
        <f t="shared" si="2"/>
        <v>0</v>
      </c>
      <c r="I37" s="150"/>
      <c r="J37" s="151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7"/>
      <c r="B38" s="29" t="s">
        <v>67</v>
      </c>
      <c r="C38" s="54"/>
      <c r="D38" s="12">
        <f>C38*84</f>
        <v>0</v>
      </c>
      <c r="F38" s="30">
        <v>50</v>
      </c>
      <c r="G38" s="39"/>
      <c r="H38" s="149">
        <f t="shared" si="2"/>
        <v>0</v>
      </c>
      <c r="I38" s="150"/>
      <c r="J38" s="151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8"/>
      <c r="B39" s="29" t="s">
        <v>69</v>
      </c>
      <c r="C39" s="52"/>
      <c r="D39" s="31">
        <f>C39*4.5</f>
        <v>0</v>
      </c>
      <c r="F39" s="12">
        <v>20</v>
      </c>
      <c r="G39" s="37"/>
      <c r="H39" s="149">
        <f t="shared" si="2"/>
        <v>0</v>
      </c>
      <c r="I39" s="150"/>
      <c r="J39" s="15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6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49"/>
      <c r="I40" s="150"/>
      <c r="J40" s="151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7"/>
      <c r="B41" s="27" t="s">
        <v>67</v>
      </c>
      <c r="C41" s="10"/>
      <c r="D41" s="12">
        <f>C41*84</f>
        <v>0</v>
      </c>
      <c r="F41" s="12">
        <v>5</v>
      </c>
      <c r="G41" s="42"/>
      <c r="H41" s="149"/>
      <c r="I41" s="150"/>
      <c r="J41" s="151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8"/>
      <c r="B42" s="27" t="s">
        <v>69</v>
      </c>
      <c r="C42" s="11"/>
      <c r="D42" s="12">
        <f>C42*2.25</f>
        <v>0</v>
      </c>
      <c r="F42" s="39" t="s">
        <v>78</v>
      </c>
      <c r="G42" s="149"/>
      <c r="H42" s="150"/>
      <c r="I42" s="150"/>
      <c r="J42" s="151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19" t="s">
        <v>80</v>
      </c>
      <c r="C43" s="11"/>
      <c r="D43" s="12"/>
      <c r="F43" s="59" t="s">
        <v>81</v>
      </c>
      <c r="G43" s="100" t="s">
        <v>82</v>
      </c>
      <c r="H43" s="141" t="s">
        <v>13</v>
      </c>
      <c r="I43" s="142"/>
      <c r="J43" s="143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20"/>
      <c r="B44" s="27" t="s">
        <v>65</v>
      </c>
      <c r="C44" s="10"/>
      <c r="D44" s="12">
        <f>C44*120</f>
        <v>0</v>
      </c>
      <c r="F44" s="37"/>
      <c r="G44" s="76"/>
      <c r="H44" s="144"/>
      <c r="I44" s="144"/>
      <c r="J44" s="144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20"/>
      <c r="B45" s="27" t="s">
        <v>67</v>
      </c>
      <c r="C45" s="33"/>
      <c r="D45" s="12">
        <f>C45*84</f>
        <v>0</v>
      </c>
      <c r="F45" s="37"/>
      <c r="G45" s="76"/>
      <c r="H45" s="144"/>
      <c r="I45" s="144"/>
      <c r="J45" s="144"/>
      <c r="K45" s="21"/>
      <c r="P45" s="4"/>
      <c r="Q45" s="4"/>
      <c r="R45" s="5"/>
    </row>
    <row r="46" spans="1:18" ht="15.75" x14ac:dyDescent="0.25">
      <c r="A46" s="120"/>
      <c r="B46" s="49" t="s">
        <v>69</v>
      </c>
      <c r="C46" s="81"/>
      <c r="D46" s="12">
        <f>C46*1.5</f>
        <v>0</v>
      </c>
      <c r="F46" s="37"/>
      <c r="G46" s="62"/>
      <c r="H46" s="145"/>
      <c r="I46" s="145"/>
      <c r="J46" s="145"/>
      <c r="K46" s="21"/>
      <c r="P46" s="4"/>
      <c r="Q46" s="4"/>
      <c r="R46" s="5"/>
    </row>
    <row r="47" spans="1:18" ht="15.75" x14ac:dyDescent="0.25">
      <c r="A47" s="121"/>
      <c r="B47" s="27"/>
      <c r="C47" s="11"/>
      <c r="D47" s="12"/>
      <c r="F47" s="59"/>
      <c r="G47" s="59"/>
      <c r="H47" s="122"/>
      <c r="I47" s="123"/>
      <c r="J47" s="124"/>
      <c r="K47" s="21"/>
      <c r="P47" s="4"/>
      <c r="Q47" s="4"/>
      <c r="R47" s="5"/>
    </row>
    <row r="48" spans="1:18" ht="15" customHeight="1" x14ac:dyDescent="0.25">
      <c r="A48" s="119" t="s">
        <v>32</v>
      </c>
      <c r="B48" s="27" t="s">
        <v>65</v>
      </c>
      <c r="C48" s="10"/>
      <c r="D48" s="12">
        <f>C48*78</f>
        <v>0</v>
      </c>
      <c r="F48" s="59"/>
      <c r="G48" s="59"/>
      <c r="H48" s="122"/>
      <c r="I48" s="123"/>
      <c r="J48" s="124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20"/>
      <c r="B49" s="29" t="s">
        <v>67</v>
      </c>
      <c r="C49" s="33"/>
      <c r="D49" s="12">
        <f>C49*42</f>
        <v>0</v>
      </c>
      <c r="F49" s="125" t="s">
        <v>85</v>
      </c>
      <c r="G49" s="127">
        <f>H34+H35+H36+H37+H38+H39+H40+H41+G42+H44+H45+H46</f>
        <v>0</v>
      </c>
      <c r="H49" s="128"/>
      <c r="I49" s="128"/>
      <c r="J49" s="129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0"/>
      <c r="B50" s="32" t="s">
        <v>69</v>
      </c>
      <c r="C50" s="11"/>
      <c r="D50" s="12">
        <f>C50*1.5</f>
        <v>0</v>
      </c>
      <c r="F50" s="126"/>
      <c r="G50" s="130"/>
      <c r="H50" s="131"/>
      <c r="I50" s="131"/>
      <c r="J50" s="132"/>
      <c r="O50" t="s">
        <v>114</v>
      </c>
      <c r="P50" s="4">
        <v>1204</v>
      </c>
      <c r="Q50" s="4"/>
      <c r="R50" s="5"/>
    </row>
    <row r="51" spans="1:18" ht="15" customHeight="1" x14ac:dyDescent="0.25">
      <c r="A51" s="120"/>
      <c r="B51" s="27"/>
      <c r="C51" s="10"/>
      <c r="D51" s="31"/>
      <c r="F51" s="133" t="s">
        <v>115</v>
      </c>
      <c r="G51" s="135">
        <f>G49-H29</f>
        <v>0</v>
      </c>
      <c r="H51" s="136"/>
      <c r="I51" s="136"/>
      <c r="J51" s="137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20"/>
      <c r="B52" s="29"/>
      <c r="C52" s="33"/>
      <c r="D52" s="45"/>
      <c r="F52" s="134"/>
      <c r="G52" s="138"/>
      <c r="H52" s="139"/>
      <c r="I52" s="139"/>
      <c r="J52" s="140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1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05" t="s">
        <v>89</v>
      </c>
      <c r="B54" s="106"/>
      <c r="C54" s="107"/>
      <c r="D54" s="111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08"/>
      <c r="B55" s="109"/>
      <c r="C55" s="110"/>
      <c r="D55" s="11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13" t="s">
        <v>90</v>
      </c>
      <c r="B58" s="114"/>
      <c r="C58" s="114"/>
      <c r="D58" s="115"/>
      <c r="F58" s="113" t="s">
        <v>91</v>
      </c>
      <c r="G58" s="114"/>
      <c r="H58" s="114"/>
      <c r="I58" s="114"/>
      <c r="J58" s="115"/>
    </row>
    <row r="59" spans="1:18" x14ac:dyDescent="0.25">
      <c r="A59" s="116"/>
      <c r="B59" s="117"/>
      <c r="C59" s="117"/>
      <c r="D59" s="118"/>
      <c r="F59" s="116"/>
      <c r="G59" s="117"/>
      <c r="H59" s="117"/>
      <c r="I59" s="117"/>
      <c r="J59" s="118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9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4267A5-F845-4B13-BA14-28029FF3F6EF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01" t="s">
        <v>1</v>
      </c>
      <c r="O1" s="201"/>
      <c r="P1" s="97" t="s">
        <v>2</v>
      </c>
      <c r="Q1" s="97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52" t="s">
        <v>7</v>
      </c>
      <c r="B4" s="153"/>
      <c r="C4" s="153"/>
      <c r="D4" s="154"/>
      <c r="F4" s="202" t="s">
        <v>8</v>
      </c>
      <c r="G4" s="204"/>
      <c r="H4" s="206" t="s">
        <v>9</v>
      </c>
      <c r="I4" s="208"/>
      <c r="J4" s="20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46" t="s">
        <v>7</v>
      </c>
      <c r="B5" s="15" t="s">
        <v>11</v>
      </c>
      <c r="C5" s="9" t="s">
        <v>12</v>
      </c>
      <c r="D5" s="25" t="s">
        <v>13</v>
      </c>
      <c r="F5" s="203"/>
      <c r="G5" s="205"/>
      <c r="H5" s="207"/>
      <c r="I5" s="210"/>
      <c r="J5" s="21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47"/>
      <c r="B6" s="16"/>
      <c r="C6" s="10"/>
      <c r="D6" s="13">
        <f t="shared" ref="D6:D28" si="1">C6*L6</f>
        <v>0</v>
      </c>
      <c r="F6" s="212" t="s">
        <v>16</v>
      </c>
      <c r="G6" s="214"/>
      <c r="H6" s="215"/>
      <c r="I6" s="215"/>
      <c r="J6" s="216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47"/>
      <c r="B7" s="16"/>
      <c r="C7" s="10"/>
      <c r="D7" s="13">
        <f t="shared" si="1"/>
        <v>0</v>
      </c>
      <c r="F7" s="213"/>
      <c r="G7" s="217"/>
      <c r="H7" s="218"/>
      <c r="I7" s="218"/>
      <c r="J7" s="219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47"/>
      <c r="B8" s="16"/>
      <c r="C8" s="10"/>
      <c r="D8" s="13">
        <f t="shared" si="1"/>
        <v>0</v>
      </c>
      <c r="F8" s="220" t="s">
        <v>21</v>
      </c>
      <c r="G8" s="221"/>
      <c r="H8" s="222"/>
      <c r="I8" s="222"/>
      <c r="J8" s="223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47"/>
      <c r="B9" s="16"/>
      <c r="C9" s="10"/>
      <c r="D9" s="13">
        <f t="shared" si="1"/>
        <v>0</v>
      </c>
      <c r="F9" s="213"/>
      <c r="G9" s="224"/>
      <c r="H9" s="225"/>
      <c r="I9" s="225"/>
      <c r="J9" s="226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47"/>
      <c r="C10" s="10"/>
      <c r="D10" s="13">
        <f t="shared" si="1"/>
        <v>0</v>
      </c>
      <c r="F10" s="212" t="s">
        <v>26</v>
      </c>
      <c r="G10" s="227"/>
      <c r="H10" s="228"/>
      <c r="I10" s="228"/>
      <c r="J10" s="229"/>
      <c r="K10" s="8"/>
      <c r="L10" s="6">
        <f>R36</f>
        <v>972</v>
      </c>
      <c r="P10" s="4"/>
      <c r="Q10" s="4"/>
      <c r="R10" s="5"/>
    </row>
    <row r="11" spans="1:19" ht="15.75" x14ac:dyDescent="0.25">
      <c r="A11" s="147"/>
      <c r="B11" s="17"/>
      <c r="C11" s="10"/>
      <c r="D11" s="13">
        <f t="shared" si="1"/>
        <v>0</v>
      </c>
      <c r="F11" s="213"/>
      <c r="G11" s="224"/>
      <c r="H11" s="225"/>
      <c r="I11" s="225"/>
      <c r="J11" s="226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47"/>
      <c r="B12" s="17"/>
      <c r="C12" s="10"/>
      <c r="D12" s="48">
        <f t="shared" si="1"/>
        <v>0</v>
      </c>
      <c r="F12" s="230" t="s">
        <v>33</v>
      </c>
      <c r="G12" s="231"/>
      <c r="H12" s="231"/>
      <c r="I12" s="231"/>
      <c r="J12" s="232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47"/>
      <c r="B13" s="17"/>
      <c r="C13" s="10"/>
      <c r="D13" s="48">
        <f t="shared" si="1"/>
        <v>0</v>
      </c>
      <c r="F13" s="233" t="s">
        <v>36</v>
      </c>
      <c r="G13" s="197"/>
      <c r="H13" s="188">
        <f>D29</f>
        <v>0</v>
      </c>
      <c r="I13" s="189"/>
      <c r="J13" s="19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47"/>
      <c r="B14" s="14"/>
      <c r="C14" s="10"/>
      <c r="D14" s="31">
        <f t="shared" si="1"/>
        <v>0</v>
      </c>
      <c r="F14" s="191" t="s">
        <v>38</v>
      </c>
      <c r="G14" s="192"/>
      <c r="H14" s="193">
        <f>D54</f>
        <v>0</v>
      </c>
      <c r="I14" s="194"/>
      <c r="J14" s="19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47"/>
      <c r="B15" s="14"/>
      <c r="C15" s="10"/>
      <c r="D15" s="31">
        <f t="shared" si="1"/>
        <v>0</v>
      </c>
      <c r="F15" s="196" t="s">
        <v>39</v>
      </c>
      <c r="G15" s="197"/>
      <c r="H15" s="198">
        <f>H13-H14</f>
        <v>0</v>
      </c>
      <c r="I15" s="199"/>
      <c r="J15" s="200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47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58"/>
      <c r="I16" s="158"/>
      <c r="J16" s="158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7"/>
      <c r="C17" s="10"/>
      <c r="D17" s="48">
        <f t="shared" si="1"/>
        <v>0</v>
      </c>
      <c r="F17" s="56"/>
      <c r="G17" s="66" t="s">
        <v>44</v>
      </c>
      <c r="H17" s="169"/>
      <c r="I17" s="169"/>
      <c r="J17" s="169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7"/>
      <c r="B18" s="19"/>
      <c r="C18" s="10"/>
      <c r="D18" s="48">
        <f t="shared" si="1"/>
        <v>0</v>
      </c>
      <c r="F18" s="56"/>
      <c r="G18" s="66" t="s">
        <v>46</v>
      </c>
      <c r="H18" s="169"/>
      <c r="I18" s="169"/>
      <c r="J18" s="16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7"/>
      <c r="B19" s="14"/>
      <c r="C19" s="10"/>
      <c r="D19" s="48">
        <f t="shared" si="1"/>
        <v>0</v>
      </c>
      <c r="F19" s="56"/>
      <c r="G19" s="68" t="s">
        <v>49</v>
      </c>
      <c r="H19" s="170"/>
      <c r="I19" s="170"/>
      <c r="J19" s="170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7"/>
      <c r="B20" s="46"/>
      <c r="C20" s="10"/>
      <c r="D20" s="13">
        <f t="shared" si="1"/>
        <v>0</v>
      </c>
      <c r="F20" s="57"/>
      <c r="G20" s="70" t="s">
        <v>102</v>
      </c>
      <c r="H20" s="158"/>
      <c r="I20" s="158"/>
      <c r="J20" s="158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7"/>
      <c r="B21" s="14"/>
      <c r="C21" s="10"/>
      <c r="D21" s="48">
        <f t="shared" si="1"/>
        <v>0</v>
      </c>
      <c r="F21" s="69" t="s">
        <v>94</v>
      </c>
      <c r="G21" s="82" t="s">
        <v>93</v>
      </c>
      <c r="H21" s="171" t="s">
        <v>13</v>
      </c>
      <c r="I21" s="172"/>
      <c r="J21" s="173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7"/>
      <c r="B22" s="46"/>
      <c r="C22" s="10"/>
      <c r="D22" s="48">
        <f t="shared" si="1"/>
        <v>0</v>
      </c>
      <c r="F22" s="77"/>
      <c r="G22" s="73"/>
      <c r="H22" s="174"/>
      <c r="I22" s="174"/>
      <c r="J22" s="174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7"/>
      <c r="B23" s="14"/>
      <c r="C23" s="10"/>
      <c r="D23" s="48">
        <f t="shared" si="1"/>
        <v>0</v>
      </c>
      <c r="F23" s="78"/>
      <c r="G23" s="79"/>
      <c r="H23" s="175"/>
      <c r="I23" s="144"/>
      <c r="J23" s="144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7"/>
      <c r="B24" s="14"/>
      <c r="C24" s="10"/>
      <c r="D24" s="48">
        <f t="shared" si="1"/>
        <v>0</v>
      </c>
      <c r="F24" s="38"/>
      <c r="G24" s="37"/>
      <c r="H24" s="175"/>
      <c r="I24" s="144"/>
      <c r="J24" s="144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7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176" t="s">
        <v>13</v>
      </c>
      <c r="I25" s="177"/>
      <c r="J25" s="178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7"/>
      <c r="B26" s="14"/>
      <c r="C26" s="10"/>
      <c r="D26" s="48">
        <f t="shared" si="1"/>
        <v>0</v>
      </c>
      <c r="F26" s="64"/>
      <c r="G26" s="59"/>
      <c r="H26" s="179"/>
      <c r="I26" s="180"/>
      <c r="J26" s="181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7"/>
      <c r="B27" s="14"/>
      <c r="C27" s="10"/>
      <c r="D27" s="44">
        <f t="shared" si="1"/>
        <v>0</v>
      </c>
      <c r="F27" s="25"/>
      <c r="G27" s="80"/>
      <c r="H27" s="182"/>
      <c r="I27" s="183"/>
      <c r="J27" s="184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8"/>
      <c r="B28" s="46"/>
      <c r="C28" s="10"/>
      <c r="D28" s="48">
        <f t="shared" si="1"/>
        <v>0</v>
      </c>
      <c r="F28" s="98"/>
      <c r="G28" s="61"/>
      <c r="H28" s="185"/>
      <c r="I28" s="186"/>
      <c r="J28" s="187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9" t="s">
        <v>36</v>
      </c>
      <c r="B29" s="160"/>
      <c r="C29" s="161"/>
      <c r="D29" s="165">
        <f>SUM(D6:D28)</f>
        <v>0</v>
      </c>
      <c r="F29" s="105" t="s">
        <v>54</v>
      </c>
      <c r="G29" s="167"/>
      <c r="H29" s="127">
        <f>H15-H16-H17-H18-H19-H20-H22-H23-H24+H26+H27</f>
        <v>0</v>
      </c>
      <c r="I29" s="128"/>
      <c r="J29" s="129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08"/>
      <c r="G30" s="168"/>
      <c r="H30" s="130"/>
      <c r="I30" s="131"/>
      <c r="J30" s="132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52" t="s">
        <v>57</v>
      </c>
      <c r="B32" s="153"/>
      <c r="C32" s="153"/>
      <c r="D32" s="154"/>
      <c r="F32" s="155" t="s">
        <v>58</v>
      </c>
      <c r="G32" s="156"/>
      <c r="H32" s="156"/>
      <c r="I32" s="156"/>
      <c r="J32" s="157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9" t="s">
        <v>62</v>
      </c>
      <c r="H33" s="155" t="s">
        <v>13</v>
      </c>
      <c r="I33" s="156"/>
      <c r="J33" s="157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6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149"/>
      <c r="I34" s="150"/>
      <c r="J34" s="151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7"/>
      <c r="B35" s="27" t="s">
        <v>67</v>
      </c>
      <c r="C35" s="52"/>
      <c r="D35" s="30">
        <f>C35*84</f>
        <v>0</v>
      </c>
      <c r="F35" s="58">
        <v>500</v>
      </c>
      <c r="G35" s="41"/>
      <c r="H35" s="149"/>
      <c r="I35" s="150"/>
      <c r="J35" s="15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8"/>
      <c r="B36" s="26" t="s">
        <v>69</v>
      </c>
      <c r="C36" s="10"/>
      <c r="D36" s="12">
        <f>C36*1.5</f>
        <v>0</v>
      </c>
      <c r="F36" s="12">
        <v>200</v>
      </c>
      <c r="G36" s="37"/>
      <c r="H36" s="149"/>
      <c r="I36" s="150"/>
      <c r="J36" s="151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6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49"/>
      <c r="I37" s="150"/>
      <c r="J37" s="151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7"/>
      <c r="B38" s="29" t="s">
        <v>67</v>
      </c>
      <c r="C38" s="54"/>
      <c r="D38" s="12">
        <f>C38*84</f>
        <v>0</v>
      </c>
      <c r="F38" s="30">
        <v>50</v>
      </c>
      <c r="G38" s="39"/>
      <c r="H38" s="149"/>
      <c r="I38" s="150"/>
      <c r="J38" s="151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8"/>
      <c r="B39" s="29" t="s">
        <v>69</v>
      </c>
      <c r="C39" s="52"/>
      <c r="D39" s="31">
        <f>C39*4.5</f>
        <v>0</v>
      </c>
      <c r="F39" s="12">
        <v>20</v>
      </c>
      <c r="G39" s="37"/>
      <c r="H39" s="149"/>
      <c r="I39" s="150"/>
      <c r="J39" s="15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6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49"/>
      <c r="I40" s="150"/>
      <c r="J40" s="151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7"/>
      <c r="B41" s="27" t="s">
        <v>67</v>
      </c>
      <c r="C41" s="10"/>
      <c r="D41" s="12">
        <f>C41*84</f>
        <v>0</v>
      </c>
      <c r="F41" s="12">
        <v>5</v>
      </c>
      <c r="G41" s="42"/>
      <c r="H41" s="149"/>
      <c r="I41" s="150"/>
      <c r="J41" s="151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8"/>
      <c r="B42" s="27" t="s">
        <v>69</v>
      </c>
      <c r="C42" s="11"/>
      <c r="D42" s="12">
        <f>C42*2.25</f>
        <v>0</v>
      </c>
      <c r="F42" s="39" t="s">
        <v>78</v>
      </c>
      <c r="G42" s="149"/>
      <c r="H42" s="150"/>
      <c r="I42" s="150"/>
      <c r="J42" s="151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19" t="s">
        <v>80</v>
      </c>
      <c r="C43" s="11"/>
      <c r="D43" s="12"/>
      <c r="F43" s="59" t="s">
        <v>81</v>
      </c>
      <c r="G43" s="100" t="s">
        <v>82</v>
      </c>
      <c r="H43" s="141" t="s">
        <v>13</v>
      </c>
      <c r="I43" s="142"/>
      <c r="J43" s="143"/>
      <c r="K43" s="21"/>
      <c r="P43" s="4"/>
      <c r="Q43" s="4"/>
      <c r="R43" s="5"/>
    </row>
    <row r="44" spans="1:18" ht="15.75" x14ac:dyDescent="0.25">
      <c r="A44" s="120"/>
      <c r="B44" s="27" t="s">
        <v>65</v>
      </c>
      <c r="C44" s="10"/>
      <c r="D44" s="12">
        <f>C44*120</f>
        <v>0</v>
      </c>
      <c r="F44" s="37"/>
      <c r="G44" s="76"/>
      <c r="H44" s="144"/>
      <c r="I44" s="144"/>
      <c r="J44" s="144"/>
      <c r="K44" s="21"/>
      <c r="P44" s="4"/>
      <c r="Q44" s="4"/>
      <c r="R44" s="5"/>
    </row>
    <row r="45" spans="1:18" ht="15.75" x14ac:dyDescent="0.25">
      <c r="A45" s="120"/>
      <c r="B45" s="27" t="s">
        <v>67</v>
      </c>
      <c r="C45" s="33"/>
      <c r="D45" s="12">
        <f>C45*84</f>
        <v>0</v>
      </c>
      <c r="F45" s="37"/>
      <c r="G45" s="76"/>
      <c r="H45" s="144"/>
      <c r="I45" s="144"/>
      <c r="J45" s="144"/>
      <c r="K45" s="21"/>
      <c r="P45" s="4"/>
      <c r="Q45" s="4"/>
      <c r="R45" s="5"/>
    </row>
    <row r="46" spans="1:18" ht="15.75" x14ac:dyDescent="0.25">
      <c r="A46" s="120"/>
      <c r="B46" s="49" t="s">
        <v>69</v>
      </c>
      <c r="C46" s="81"/>
      <c r="D46" s="12">
        <f>C46*1.5</f>
        <v>0</v>
      </c>
      <c r="F46" s="37"/>
      <c r="G46" s="62"/>
      <c r="H46" s="145"/>
      <c r="I46" s="145"/>
      <c r="J46" s="145"/>
      <c r="K46" s="21"/>
      <c r="P46" s="4"/>
      <c r="Q46" s="4"/>
      <c r="R46" s="5"/>
    </row>
    <row r="47" spans="1:18" ht="15.75" x14ac:dyDescent="0.25">
      <c r="A47" s="121"/>
      <c r="B47" s="27"/>
      <c r="C47" s="11"/>
      <c r="D47" s="12"/>
      <c r="F47" s="59"/>
      <c r="G47" s="59"/>
      <c r="H47" s="122"/>
      <c r="I47" s="123"/>
      <c r="J47" s="124"/>
      <c r="K47" s="21"/>
      <c r="P47" s="4"/>
      <c r="Q47" s="4"/>
      <c r="R47" s="5"/>
    </row>
    <row r="48" spans="1:18" ht="15" customHeight="1" x14ac:dyDescent="0.25">
      <c r="A48" s="119" t="s">
        <v>32</v>
      </c>
      <c r="B48" s="27" t="s">
        <v>65</v>
      </c>
      <c r="C48" s="10"/>
      <c r="D48" s="12">
        <f>C48*78</f>
        <v>0</v>
      </c>
      <c r="F48" s="59"/>
      <c r="G48" s="59"/>
      <c r="H48" s="122"/>
      <c r="I48" s="123"/>
      <c r="J48" s="124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20"/>
      <c r="B49" s="29" t="s">
        <v>67</v>
      </c>
      <c r="C49" s="33"/>
      <c r="D49" s="12">
        <f>C49*42</f>
        <v>0</v>
      </c>
      <c r="F49" s="125" t="s">
        <v>85</v>
      </c>
      <c r="G49" s="127">
        <f>H34+H35+H36+H37+H38+H39+H40+H41+G42+H44+H45+H46</f>
        <v>0</v>
      </c>
      <c r="H49" s="128"/>
      <c r="I49" s="128"/>
      <c r="J49" s="129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0"/>
      <c r="B50" s="32" t="s">
        <v>69</v>
      </c>
      <c r="C50" s="11"/>
      <c r="D50" s="12">
        <f>C50*1.5</f>
        <v>0</v>
      </c>
      <c r="F50" s="126"/>
      <c r="G50" s="130"/>
      <c r="H50" s="131"/>
      <c r="I50" s="131"/>
      <c r="J50" s="132"/>
      <c r="P50" s="4"/>
      <c r="Q50" s="4"/>
      <c r="R50" s="5"/>
    </row>
    <row r="51" spans="1:18" ht="15" customHeight="1" x14ac:dyDescent="0.25">
      <c r="A51" s="120"/>
      <c r="B51" s="27"/>
      <c r="C51" s="10"/>
      <c r="D51" s="31"/>
      <c r="F51" s="133" t="s">
        <v>106</v>
      </c>
      <c r="G51" s="135">
        <f>G49-H29</f>
        <v>0</v>
      </c>
      <c r="H51" s="136"/>
      <c r="I51" s="136"/>
      <c r="J51" s="137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0"/>
      <c r="B52" s="29"/>
      <c r="C52" s="33"/>
      <c r="D52" s="45"/>
      <c r="F52" s="134"/>
      <c r="G52" s="138"/>
      <c r="H52" s="139"/>
      <c r="I52" s="139"/>
      <c r="J52" s="140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1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05" t="s">
        <v>89</v>
      </c>
      <c r="B54" s="106"/>
      <c r="C54" s="107"/>
      <c r="D54" s="111">
        <f>SUM(D34:D53)</f>
        <v>0</v>
      </c>
      <c r="F54" s="21"/>
      <c r="J54" s="34"/>
    </row>
    <row r="55" spans="1:18" x14ac:dyDescent="0.25">
      <c r="A55" s="108"/>
      <c r="B55" s="109"/>
      <c r="C55" s="110"/>
      <c r="D55" s="11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13" t="s">
        <v>90</v>
      </c>
      <c r="B58" s="114"/>
      <c r="C58" s="114"/>
      <c r="D58" s="115"/>
      <c r="F58" s="113" t="s">
        <v>91</v>
      </c>
      <c r="G58" s="114"/>
      <c r="H58" s="114"/>
      <c r="I58" s="114"/>
      <c r="J58" s="115"/>
    </row>
    <row r="59" spans="1:18" x14ac:dyDescent="0.25">
      <c r="A59" s="116"/>
      <c r="B59" s="117"/>
      <c r="C59" s="117"/>
      <c r="D59" s="118"/>
      <c r="F59" s="116"/>
      <c r="G59" s="117"/>
      <c r="H59" s="117"/>
      <c r="I59" s="117"/>
      <c r="J59" s="118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9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B23456-0AF7-4F3D-B76C-3EF7EE9BF851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1" t="s">
        <v>1</v>
      </c>
      <c r="O1" s="201"/>
      <c r="P1" s="97" t="s">
        <v>2</v>
      </c>
      <c r="Q1" s="97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2" t="s">
        <v>7</v>
      </c>
      <c r="B4" s="153"/>
      <c r="C4" s="153"/>
      <c r="D4" s="154"/>
      <c r="F4" s="202" t="s">
        <v>8</v>
      </c>
      <c r="G4" s="204">
        <v>1</v>
      </c>
      <c r="H4" s="206" t="s">
        <v>9</v>
      </c>
      <c r="I4" s="208">
        <v>46171</v>
      </c>
      <c r="J4" s="20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6" t="s">
        <v>7</v>
      </c>
      <c r="B5" s="15" t="s">
        <v>11</v>
      </c>
      <c r="C5" s="9" t="s">
        <v>12</v>
      </c>
      <c r="D5" s="25" t="s">
        <v>13</v>
      </c>
      <c r="F5" s="203"/>
      <c r="G5" s="205"/>
      <c r="H5" s="207"/>
      <c r="I5" s="210"/>
      <c r="J5" s="21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7"/>
      <c r="B6" s="16" t="s">
        <v>15</v>
      </c>
      <c r="C6" s="10"/>
      <c r="D6" s="13">
        <f t="shared" ref="D6:D28" si="1">C6*L6</f>
        <v>0</v>
      </c>
      <c r="F6" s="212" t="s">
        <v>16</v>
      </c>
      <c r="G6" s="214" t="s">
        <v>99</v>
      </c>
      <c r="H6" s="215"/>
      <c r="I6" s="215"/>
      <c r="J6" s="21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7"/>
      <c r="B7" s="16" t="s">
        <v>18</v>
      </c>
      <c r="C7" s="10"/>
      <c r="D7" s="13">
        <f t="shared" si="1"/>
        <v>0</v>
      </c>
      <c r="F7" s="213"/>
      <c r="G7" s="217"/>
      <c r="H7" s="218"/>
      <c r="I7" s="218"/>
      <c r="J7" s="21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7"/>
      <c r="B8" s="16" t="s">
        <v>20</v>
      </c>
      <c r="C8" s="10"/>
      <c r="D8" s="13">
        <f t="shared" si="1"/>
        <v>0</v>
      </c>
      <c r="F8" s="220" t="s">
        <v>21</v>
      </c>
      <c r="G8" s="221" t="s">
        <v>120</v>
      </c>
      <c r="H8" s="222"/>
      <c r="I8" s="222"/>
      <c r="J8" s="22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7"/>
      <c r="B9" s="16" t="s">
        <v>23</v>
      </c>
      <c r="C9" s="10"/>
      <c r="D9" s="13">
        <f t="shared" si="1"/>
        <v>0</v>
      </c>
      <c r="F9" s="213"/>
      <c r="G9" s="224"/>
      <c r="H9" s="225"/>
      <c r="I9" s="225"/>
      <c r="J9" s="22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7"/>
      <c r="B10" t="s">
        <v>25</v>
      </c>
      <c r="C10" s="10"/>
      <c r="D10" s="13">
        <f t="shared" si="1"/>
        <v>0</v>
      </c>
      <c r="F10" s="212" t="s">
        <v>26</v>
      </c>
      <c r="G10" s="227" t="s">
        <v>108</v>
      </c>
      <c r="H10" s="228"/>
      <c r="I10" s="228"/>
      <c r="J10" s="229"/>
      <c r="K10" s="8"/>
      <c r="L10" s="6">
        <f>R36</f>
        <v>1032</v>
      </c>
      <c r="P10" s="4"/>
      <c r="Q10" s="4"/>
      <c r="R10" s="5"/>
    </row>
    <row r="11" spans="1:18" ht="15.75" x14ac:dyDescent="0.25">
      <c r="A11" s="147"/>
      <c r="B11" s="17" t="s">
        <v>28</v>
      </c>
      <c r="C11" s="10"/>
      <c r="D11" s="13">
        <f t="shared" si="1"/>
        <v>0</v>
      </c>
      <c r="F11" s="213"/>
      <c r="G11" s="224"/>
      <c r="H11" s="225"/>
      <c r="I11" s="225"/>
      <c r="J11" s="22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7"/>
      <c r="B12" s="17" t="s">
        <v>30</v>
      </c>
      <c r="C12" s="10"/>
      <c r="D12" s="48">
        <f t="shared" si="1"/>
        <v>0</v>
      </c>
      <c r="F12" s="230" t="s">
        <v>33</v>
      </c>
      <c r="G12" s="231"/>
      <c r="H12" s="231"/>
      <c r="I12" s="231"/>
      <c r="J12" s="23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7"/>
      <c r="B13" s="17" t="s">
        <v>32</v>
      </c>
      <c r="C13" s="10"/>
      <c r="D13" s="48">
        <f t="shared" si="1"/>
        <v>0</v>
      </c>
      <c r="F13" s="233" t="s">
        <v>36</v>
      </c>
      <c r="G13" s="197"/>
      <c r="H13" s="188">
        <f>D29</f>
        <v>0</v>
      </c>
      <c r="I13" s="189"/>
      <c r="J13" s="19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7"/>
      <c r="B14" s="14" t="s">
        <v>35</v>
      </c>
      <c r="C14" s="10"/>
      <c r="D14" s="31">
        <f t="shared" si="1"/>
        <v>0</v>
      </c>
      <c r="F14" s="191" t="s">
        <v>38</v>
      </c>
      <c r="G14" s="192"/>
      <c r="H14" s="193">
        <f>D54</f>
        <v>0</v>
      </c>
      <c r="I14" s="194"/>
      <c r="J14" s="19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7"/>
      <c r="B15" s="14" t="s">
        <v>122</v>
      </c>
      <c r="C15" s="10"/>
      <c r="D15" s="31">
        <f t="shared" si="1"/>
        <v>0</v>
      </c>
      <c r="F15" s="196" t="s">
        <v>39</v>
      </c>
      <c r="G15" s="197"/>
      <c r="H15" s="198">
        <f>H13-H14</f>
        <v>0</v>
      </c>
      <c r="I15" s="199"/>
      <c r="J15" s="200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7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58"/>
      <c r="I16" s="158"/>
      <c r="J16" s="158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7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69"/>
      <c r="I17" s="169"/>
      <c r="J17" s="169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7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69"/>
      <c r="I18" s="169"/>
      <c r="J18" s="169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7"/>
      <c r="B19" s="83" t="s">
        <v>105</v>
      </c>
      <c r="C19" s="10"/>
      <c r="D19" s="48">
        <f t="shared" si="1"/>
        <v>0</v>
      </c>
      <c r="F19" s="56"/>
      <c r="G19" s="68" t="s">
        <v>49</v>
      </c>
      <c r="H19" s="158"/>
      <c r="I19" s="158"/>
      <c r="J19" s="158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7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58"/>
      <c r="I20" s="158"/>
      <c r="J20" s="158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7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71" t="s">
        <v>13</v>
      </c>
      <c r="I21" s="172"/>
      <c r="J21" s="173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7"/>
      <c r="B22" s="46" t="s">
        <v>103</v>
      </c>
      <c r="C22" s="10"/>
      <c r="D22" s="48">
        <f t="shared" si="1"/>
        <v>0</v>
      </c>
      <c r="F22" s="77"/>
      <c r="G22" s="73"/>
      <c r="H22" s="174"/>
      <c r="I22" s="174"/>
      <c r="J22" s="174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7"/>
      <c r="B23" s="14" t="s">
        <v>121</v>
      </c>
      <c r="C23" s="10"/>
      <c r="D23" s="48">
        <f t="shared" si="1"/>
        <v>0</v>
      </c>
      <c r="F23" s="77"/>
      <c r="G23" s="79"/>
      <c r="H23" s="242"/>
      <c r="I23" s="243"/>
      <c r="J23" s="243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7"/>
      <c r="B24" s="14" t="s">
        <v>128</v>
      </c>
      <c r="C24" s="10"/>
      <c r="D24" s="48">
        <f t="shared" si="1"/>
        <v>0</v>
      </c>
      <c r="F24" s="77"/>
      <c r="G24" s="79"/>
      <c r="H24" s="242"/>
      <c r="I24" s="243"/>
      <c r="J24" s="243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7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76" t="s">
        <v>13</v>
      </c>
      <c r="I25" s="177"/>
      <c r="J25" s="178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7"/>
      <c r="B26" s="14" t="s">
        <v>129</v>
      </c>
      <c r="C26" s="10"/>
      <c r="D26" s="48">
        <f t="shared" si="1"/>
        <v>0</v>
      </c>
      <c r="F26" s="75"/>
      <c r="G26" s="65"/>
      <c r="H26" s="144"/>
      <c r="I26" s="144"/>
      <c r="J26" s="144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7"/>
      <c r="B27" s="14" t="s">
        <v>130</v>
      </c>
      <c r="C27" s="10"/>
      <c r="D27" s="44">
        <f t="shared" si="1"/>
        <v>0</v>
      </c>
      <c r="F27" s="71"/>
      <c r="G27" s="100"/>
      <c r="H27" s="244"/>
      <c r="I27" s="245"/>
      <c r="J27" s="245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8"/>
      <c r="B28" s="46" t="s">
        <v>92</v>
      </c>
      <c r="C28" s="10"/>
      <c r="D28" s="48">
        <f t="shared" si="1"/>
        <v>0</v>
      </c>
      <c r="F28" s="98"/>
      <c r="G28" s="61"/>
      <c r="H28" s="185"/>
      <c r="I28" s="186"/>
      <c r="J28" s="187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9" t="s">
        <v>36</v>
      </c>
      <c r="B29" s="160"/>
      <c r="C29" s="161"/>
      <c r="D29" s="165">
        <f>SUM(D6:D28)</f>
        <v>0</v>
      </c>
      <c r="F29" s="105" t="s">
        <v>54</v>
      </c>
      <c r="G29" s="167"/>
      <c r="H29" s="127">
        <f>H15-H16-H17-H18-H19-H20-H22-H23-H24+H26+H27+H28</f>
        <v>0</v>
      </c>
      <c r="I29" s="128"/>
      <c r="J29" s="129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08"/>
      <c r="G30" s="168"/>
      <c r="H30" s="130"/>
      <c r="I30" s="131"/>
      <c r="J30" s="132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2" t="s">
        <v>57</v>
      </c>
      <c r="B32" s="153"/>
      <c r="C32" s="153"/>
      <c r="D32" s="154"/>
      <c r="F32" s="155" t="s">
        <v>58</v>
      </c>
      <c r="G32" s="156"/>
      <c r="H32" s="156"/>
      <c r="I32" s="156"/>
      <c r="J32" s="157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9" t="s">
        <v>62</v>
      </c>
      <c r="H33" s="155" t="s">
        <v>13</v>
      </c>
      <c r="I33" s="156"/>
      <c r="J33" s="157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6" t="s">
        <v>64</v>
      </c>
      <c r="B34" s="26" t="s">
        <v>65</v>
      </c>
      <c r="C34" s="51"/>
      <c r="D34" s="30">
        <f>C34*120</f>
        <v>0</v>
      </c>
      <c r="F34" s="12">
        <v>1000</v>
      </c>
      <c r="G34" s="40"/>
      <c r="H34" s="149">
        <f t="shared" ref="H34:H39" si="2">F34*G34</f>
        <v>0</v>
      </c>
      <c r="I34" s="150"/>
      <c r="J34" s="151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7"/>
      <c r="B35" s="27" t="s">
        <v>67</v>
      </c>
      <c r="C35" s="52"/>
      <c r="D35" s="30">
        <f>C35*84</f>
        <v>0</v>
      </c>
      <c r="F35" s="58">
        <v>500</v>
      </c>
      <c r="G35" s="41"/>
      <c r="H35" s="149">
        <f t="shared" si="2"/>
        <v>0</v>
      </c>
      <c r="I35" s="150"/>
      <c r="J35" s="15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8"/>
      <c r="B36" s="26" t="s">
        <v>69</v>
      </c>
      <c r="C36" s="10"/>
      <c r="D36" s="12">
        <f>C36*1.5</f>
        <v>0</v>
      </c>
      <c r="F36" s="12">
        <v>200</v>
      </c>
      <c r="G36" s="37"/>
      <c r="H36" s="149">
        <f t="shared" si="2"/>
        <v>0</v>
      </c>
      <c r="I36" s="150"/>
      <c r="J36" s="151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6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49">
        <f t="shared" si="2"/>
        <v>0</v>
      </c>
      <c r="I37" s="150"/>
      <c r="J37" s="151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7"/>
      <c r="B38" s="29" t="s">
        <v>67</v>
      </c>
      <c r="C38" s="54"/>
      <c r="D38" s="12">
        <f>C38*84</f>
        <v>0</v>
      </c>
      <c r="F38" s="30">
        <v>50</v>
      </c>
      <c r="G38" s="39"/>
      <c r="H38" s="149">
        <f t="shared" si="2"/>
        <v>0</v>
      </c>
      <c r="I38" s="150"/>
      <c r="J38" s="151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8"/>
      <c r="B39" s="29" t="s">
        <v>69</v>
      </c>
      <c r="C39" s="52"/>
      <c r="D39" s="31">
        <f>C39*4.5</f>
        <v>0</v>
      </c>
      <c r="F39" s="12">
        <v>20</v>
      </c>
      <c r="G39" s="37"/>
      <c r="H39" s="149">
        <f t="shared" si="2"/>
        <v>0</v>
      </c>
      <c r="I39" s="150"/>
      <c r="J39" s="15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6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49"/>
      <c r="I40" s="150"/>
      <c r="J40" s="151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7"/>
      <c r="B41" s="27" t="s">
        <v>67</v>
      </c>
      <c r="C41" s="10"/>
      <c r="D41" s="12">
        <f>C41*84</f>
        <v>0</v>
      </c>
      <c r="F41" s="12">
        <v>5</v>
      </c>
      <c r="G41" s="42"/>
      <c r="H41" s="149"/>
      <c r="I41" s="150"/>
      <c r="J41" s="151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8"/>
      <c r="B42" s="27" t="s">
        <v>69</v>
      </c>
      <c r="C42" s="11"/>
      <c r="D42" s="12">
        <f>C42*2.25</f>
        <v>0</v>
      </c>
      <c r="F42" s="39" t="s">
        <v>78</v>
      </c>
      <c r="G42" s="149"/>
      <c r="H42" s="150"/>
      <c r="I42" s="150"/>
      <c r="J42" s="151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19" t="s">
        <v>80</v>
      </c>
      <c r="C43" s="11"/>
      <c r="D43" s="12"/>
      <c r="F43" s="59" t="s">
        <v>81</v>
      </c>
      <c r="G43" s="100" t="s">
        <v>82</v>
      </c>
      <c r="H43" s="141" t="s">
        <v>13</v>
      </c>
      <c r="I43" s="142"/>
      <c r="J43" s="143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20"/>
      <c r="B44" s="27" t="s">
        <v>65</v>
      </c>
      <c r="C44" s="10"/>
      <c r="D44" s="12">
        <f>C44*120</f>
        <v>0</v>
      </c>
      <c r="F44" s="37"/>
      <c r="G44" s="62"/>
      <c r="H44" s="144"/>
      <c r="I44" s="144"/>
      <c r="J44" s="144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20"/>
      <c r="B45" s="27" t="s">
        <v>67</v>
      </c>
      <c r="C45" s="33"/>
      <c r="D45" s="12">
        <f>C45*84</f>
        <v>0</v>
      </c>
      <c r="F45" s="37"/>
      <c r="G45" s="62"/>
      <c r="H45" s="144"/>
      <c r="I45" s="144"/>
      <c r="J45" s="144"/>
      <c r="K45" s="21"/>
      <c r="P45" s="4"/>
      <c r="Q45" s="4"/>
      <c r="R45" s="5"/>
    </row>
    <row r="46" spans="1:18" ht="15.75" x14ac:dyDescent="0.25">
      <c r="A46" s="120"/>
      <c r="B46" s="49" t="s">
        <v>69</v>
      </c>
      <c r="C46" s="81"/>
      <c r="D46" s="12">
        <f>C46*1.5</f>
        <v>0</v>
      </c>
      <c r="F46" s="37"/>
      <c r="G46" s="62"/>
      <c r="H46" s="144"/>
      <c r="I46" s="144"/>
      <c r="J46" s="144"/>
      <c r="K46" s="21"/>
      <c r="P46" s="4"/>
      <c r="Q46" s="4"/>
      <c r="R46" s="5"/>
    </row>
    <row r="47" spans="1:18" ht="15.75" x14ac:dyDescent="0.25">
      <c r="A47" s="121"/>
      <c r="B47" s="27"/>
      <c r="C47" s="11"/>
      <c r="D47" s="12"/>
      <c r="F47" s="59"/>
      <c r="G47" s="59"/>
      <c r="H47" s="122"/>
      <c r="I47" s="123"/>
      <c r="J47" s="124"/>
      <c r="K47" s="21"/>
      <c r="P47" s="4"/>
      <c r="Q47" s="4"/>
      <c r="R47" s="5"/>
    </row>
    <row r="48" spans="1:18" ht="15" customHeight="1" x14ac:dyDescent="0.25">
      <c r="A48" s="119" t="s">
        <v>32</v>
      </c>
      <c r="B48" s="27" t="s">
        <v>65</v>
      </c>
      <c r="C48" s="10"/>
      <c r="D48" s="12">
        <f>C48*78</f>
        <v>0</v>
      </c>
      <c r="F48" s="59"/>
      <c r="G48" s="59"/>
      <c r="H48" s="122"/>
      <c r="I48" s="123"/>
      <c r="J48" s="124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20"/>
      <c r="B49" s="29" t="s">
        <v>67</v>
      </c>
      <c r="C49" s="33"/>
      <c r="D49" s="12">
        <f>C49*42</f>
        <v>0</v>
      </c>
      <c r="F49" s="125" t="s">
        <v>85</v>
      </c>
      <c r="G49" s="127">
        <f>H34+H35+H36+H37+H38+H39+H40+H41+G42+H44+H45+H46</f>
        <v>0</v>
      </c>
      <c r="H49" s="128"/>
      <c r="I49" s="128"/>
      <c r="J49" s="129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0"/>
      <c r="B50" s="32" t="s">
        <v>69</v>
      </c>
      <c r="C50" s="11"/>
      <c r="D50" s="12">
        <f>C50*1.5</f>
        <v>0</v>
      </c>
      <c r="F50" s="126"/>
      <c r="G50" s="130"/>
      <c r="H50" s="131"/>
      <c r="I50" s="131"/>
      <c r="J50" s="132"/>
      <c r="O50" t="s">
        <v>114</v>
      </c>
      <c r="P50" s="4">
        <v>1204</v>
      </c>
      <c r="Q50" s="4"/>
      <c r="R50" s="5"/>
    </row>
    <row r="51" spans="1:18" ht="15" customHeight="1" x14ac:dyDescent="0.25">
      <c r="A51" s="120"/>
      <c r="B51" s="27"/>
      <c r="C51" s="10"/>
      <c r="D51" s="31"/>
      <c r="F51" s="133" t="s">
        <v>184</v>
      </c>
      <c r="G51" s="236">
        <f>G49-H29</f>
        <v>0</v>
      </c>
      <c r="H51" s="237"/>
      <c r="I51" s="237"/>
      <c r="J51" s="238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20"/>
      <c r="B52" s="29"/>
      <c r="C52" s="33"/>
      <c r="D52" s="45"/>
      <c r="F52" s="134"/>
      <c r="G52" s="239"/>
      <c r="H52" s="240"/>
      <c r="I52" s="240"/>
      <c r="J52" s="241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1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05" t="s">
        <v>89</v>
      </c>
      <c r="B54" s="106"/>
      <c r="C54" s="107"/>
      <c r="D54" s="111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08"/>
      <c r="B55" s="109"/>
      <c r="C55" s="110"/>
      <c r="D55" s="11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113" t="s">
        <v>90</v>
      </c>
      <c r="B58" s="114"/>
      <c r="C58" s="114"/>
      <c r="D58" s="115"/>
      <c r="F58" s="113" t="s">
        <v>91</v>
      </c>
      <c r="G58" s="114"/>
      <c r="H58" s="114"/>
      <c r="I58" s="114"/>
      <c r="J58" s="115"/>
    </row>
    <row r="59" spans="1:18" x14ac:dyDescent="0.25">
      <c r="A59" s="116"/>
      <c r="B59" s="117"/>
      <c r="C59" s="117"/>
      <c r="D59" s="118"/>
      <c r="F59" s="116"/>
      <c r="G59" s="117"/>
      <c r="H59" s="117"/>
      <c r="I59" s="117"/>
      <c r="J59" s="118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9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AA5463-C915-4AB0-8841-FC00FE70B797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1" t="s">
        <v>1</v>
      </c>
      <c r="O1" s="201"/>
      <c r="P1" s="97" t="s">
        <v>2</v>
      </c>
      <c r="Q1" s="97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2" t="s">
        <v>7</v>
      </c>
      <c r="B4" s="153"/>
      <c r="C4" s="153"/>
      <c r="D4" s="154"/>
      <c r="F4" s="202" t="s">
        <v>8</v>
      </c>
      <c r="G4" s="204">
        <v>2</v>
      </c>
      <c r="H4" s="206" t="s">
        <v>9</v>
      </c>
      <c r="I4" s="208">
        <v>46171</v>
      </c>
      <c r="J4" s="20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6" t="s">
        <v>7</v>
      </c>
      <c r="B5" s="15" t="s">
        <v>11</v>
      </c>
      <c r="C5" s="9" t="s">
        <v>12</v>
      </c>
      <c r="D5" s="25" t="s">
        <v>13</v>
      </c>
      <c r="F5" s="203"/>
      <c r="G5" s="205"/>
      <c r="H5" s="207"/>
      <c r="I5" s="210"/>
      <c r="J5" s="21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7"/>
      <c r="B6" s="16" t="s">
        <v>15</v>
      </c>
      <c r="C6" s="10"/>
      <c r="D6" s="13">
        <f t="shared" ref="D6:D28" si="1">C6*L6</f>
        <v>0</v>
      </c>
      <c r="F6" s="212" t="s">
        <v>16</v>
      </c>
      <c r="G6" s="214" t="s">
        <v>107</v>
      </c>
      <c r="H6" s="215"/>
      <c r="I6" s="215"/>
      <c r="J6" s="21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7"/>
      <c r="B7" s="16" t="s">
        <v>18</v>
      </c>
      <c r="C7" s="10"/>
      <c r="D7" s="13">
        <f t="shared" si="1"/>
        <v>0</v>
      </c>
      <c r="F7" s="213"/>
      <c r="G7" s="217"/>
      <c r="H7" s="218"/>
      <c r="I7" s="218"/>
      <c r="J7" s="21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7"/>
      <c r="B8" s="16" t="s">
        <v>20</v>
      </c>
      <c r="C8" s="10"/>
      <c r="D8" s="13">
        <f t="shared" si="1"/>
        <v>0</v>
      </c>
      <c r="F8" s="220" t="s">
        <v>21</v>
      </c>
      <c r="G8" s="221" t="s">
        <v>100</v>
      </c>
      <c r="H8" s="222"/>
      <c r="I8" s="222"/>
      <c r="J8" s="22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7"/>
      <c r="B9" s="16" t="s">
        <v>23</v>
      </c>
      <c r="C9" s="10"/>
      <c r="D9" s="13">
        <f t="shared" si="1"/>
        <v>0</v>
      </c>
      <c r="F9" s="213"/>
      <c r="G9" s="224"/>
      <c r="H9" s="225"/>
      <c r="I9" s="225"/>
      <c r="J9" s="22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7"/>
      <c r="B10" t="s">
        <v>25</v>
      </c>
      <c r="C10" s="10"/>
      <c r="D10" s="13">
        <f t="shared" si="1"/>
        <v>0</v>
      </c>
      <c r="F10" s="212" t="s">
        <v>26</v>
      </c>
      <c r="G10" s="227" t="s">
        <v>101</v>
      </c>
      <c r="H10" s="228"/>
      <c r="I10" s="228"/>
      <c r="J10" s="229"/>
      <c r="K10" s="8"/>
      <c r="L10" s="6">
        <f>R36</f>
        <v>1032</v>
      </c>
      <c r="P10" s="4"/>
      <c r="Q10" s="4"/>
      <c r="R10" s="5"/>
    </row>
    <row r="11" spans="1:18" ht="15.75" x14ac:dyDescent="0.25">
      <c r="A11" s="147"/>
      <c r="B11" s="17" t="s">
        <v>28</v>
      </c>
      <c r="C11" s="10"/>
      <c r="D11" s="13">
        <f t="shared" si="1"/>
        <v>0</v>
      </c>
      <c r="F11" s="213"/>
      <c r="G11" s="224"/>
      <c r="H11" s="225"/>
      <c r="I11" s="225"/>
      <c r="J11" s="22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7"/>
      <c r="B12" s="17" t="s">
        <v>30</v>
      </c>
      <c r="C12" s="10"/>
      <c r="D12" s="48">
        <f t="shared" si="1"/>
        <v>0</v>
      </c>
      <c r="F12" s="230" t="s">
        <v>33</v>
      </c>
      <c r="G12" s="231"/>
      <c r="H12" s="231"/>
      <c r="I12" s="231"/>
      <c r="J12" s="23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7"/>
      <c r="B13" s="17" t="s">
        <v>32</v>
      </c>
      <c r="C13" s="10"/>
      <c r="D13" s="48">
        <f t="shared" si="1"/>
        <v>0</v>
      </c>
      <c r="F13" s="233" t="s">
        <v>36</v>
      </c>
      <c r="G13" s="197"/>
      <c r="H13" s="188">
        <f>D29</f>
        <v>0</v>
      </c>
      <c r="I13" s="189"/>
      <c r="J13" s="19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7"/>
      <c r="B14" s="14" t="s">
        <v>35</v>
      </c>
      <c r="C14" s="10"/>
      <c r="D14" s="31">
        <f t="shared" si="1"/>
        <v>0</v>
      </c>
      <c r="F14" s="191" t="s">
        <v>38</v>
      </c>
      <c r="G14" s="192"/>
      <c r="H14" s="193">
        <f>D54</f>
        <v>0</v>
      </c>
      <c r="I14" s="194"/>
      <c r="J14" s="19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7"/>
      <c r="B15" s="14" t="s">
        <v>122</v>
      </c>
      <c r="C15" s="10"/>
      <c r="D15" s="31">
        <f t="shared" si="1"/>
        <v>0</v>
      </c>
      <c r="F15" s="196" t="s">
        <v>39</v>
      </c>
      <c r="G15" s="197"/>
      <c r="H15" s="198">
        <f>H13-H14</f>
        <v>0</v>
      </c>
      <c r="I15" s="199"/>
      <c r="J15" s="200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7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58"/>
      <c r="I16" s="158"/>
      <c r="J16" s="158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7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69"/>
      <c r="I17" s="169"/>
      <c r="J17" s="169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7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69"/>
      <c r="I18" s="169"/>
      <c r="J18" s="169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7"/>
      <c r="B19" s="87" t="s">
        <v>105</v>
      </c>
      <c r="C19" s="10"/>
      <c r="D19" s="48">
        <f t="shared" si="1"/>
        <v>0</v>
      </c>
      <c r="F19" s="56"/>
      <c r="G19" s="68" t="s">
        <v>49</v>
      </c>
      <c r="H19" s="253"/>
      <c r="I19" s="253"/>
      <c r="J19" s="253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7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58"/>
      <c r="I20" s="158"/>
      <c r="J20" s="158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7"/>
      <c r="B21" s="14" t="s">
        <v>183</v>
      </c>
      <c r="C21" s="10"/>
      <c r="D21" s="48">
        <f t="shared" si="1"/>
        <v>0</v>
      </c>
      <c r="F21" s="69" t="s">
        <v>94</v>
      </c>
      <c r="G21" s="82" t="s">
        <v>93</v>
      </c>
      <c r="H21" s="171" t="s">
        <v>13</v>
      </c>
      <c r="I21" s="172"/>
      <c r="J21" s="173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7"/>
      <c r="B22" s="46" t="s">
        <v>103</v>
      </c>
      <c r="C22" s="10"/>
      <c r="D22" s="48">
        <f t="shared" si="1"/>
        <v>0</v>
      </c>
      <c r="F22" s="77"/>
      <c r="G22" s="73"/>
      <c r="H22" s="174"/>
      <c r="I22" s="174"/>
      <c r="J22" s="174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7"/>
      <c r="B23" s="14" t="s">
        <v>121</v>
      </c>
      <c r="C23" s="10"/>
      <c r="D23" s="48">
        <f t="shared" si="1"/>
        <v>0</v>
      </c>
      <c r="F23" s="78"/>
      <c r="G23" s="79"/>
      <c r="H23" s="254"/>
      <c r="I23" s="174"/>
      <c r="J23" s="174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7"/>
      <c r="B24" s="14" t="s">
        <v>128</v>
      </c>
      <c r="C24" s="10"/>
      <c r="D24" s="48">
        <f t="shared" si="1"/>
        <v>0</v>
      </c>
      <c r="F24" s="38"/>
      <c r="G24" s="37"/>
      <c r="H24" s="175"/>
      <c r="I24" s="144"/>
      <c r="J24" s="144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7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76" t="s">
        <v>13</v>
      </c>
      <c r="I25" s="177"/>
      <c r="J25" s="178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7"/>
      <c r="B26" s="14" t="s">
        <v>129</v>
      </c>
      <c r="C26" s="10"/>
      <c r="D26" s="48">
        <f t="shared" si="1"/>
        <v>0</v>
      </c>
      <c r="F26" s="64"/>
      <c r="G26" s="59"/>
      <c r="H26" s="179"/>
      <c r="I26" s="180"/>
      <c r="J26" s="181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7"/>
      <c r="B27" s="14" t="s">
        <v>130</v>
      </c>
      <c r="C27" s="10"/>
      <c r="D27" s="44">
        <f t="shared" si="1"/>
        <v>0</v>
      </c>
      <c r="F27" s="25"/>
      <c r="G27" s="80"/>
      <c r="H27" s="182"/>
      <c r="I27" s="183"/>
      <c r="J27" s="184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8"/>
      <c r="B28" s="46" t="s">
        <v>92</v>
      </c>
      <c r="C28" s="10"/>
      <c r="D28" s="48">
        <f t="shared" si="1"/>
        <v>0</v>
      </c>
      <c r="F28" s="98"/>
      <c r="G28" s="61"/>
      <c r="H28" s="185"/>
      <c r="I28" s="186"/>
      <c r="J28" s="187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9" t="s">
        <v>36</v>
      </c>
      <c r="B29" s="160"/>
      <c r="C29" s="161"/>
      <c r="D29" s="165">
        <f>SUM(D6:D28)</f>
        <v>0</v>
      </c>
      <c r="F29" s="105" t="s">
        <v>54</v>
      </c>
      <c r="G29" s="167"/>
      <c r="H29" s="127">
        <f>H15-H16-H17-H18-H19-H20-H22-H23-H24+H26+H27</f>
        <v>0</v>
      </c>
      <c r="I29" s="128"/>
      <c r="J29" s="129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08"/>
      <c r="G30" s="168"/>
      <c r="H30" s="130"/>
      <c r="I30" s="131"/>
      <c r="J30" s="132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2" t="s">
        <v>57</v>
      </c>
      <c r="B32" s="153"/>
      <c r="C32" s="153"/>
      <c r="D32" s="154"/>
      <c r="F32" s="155" t="s">
        <v>58</v>
      </c>
      <c r="G32" s="156"/>
      <c r="H32" s="156"/>
      <c r="I32" s="156"/>
      <c r="J32" s="157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9" t="s">
        <v>62</v>
      </c>
      <c r="H33" s="155" t="s">
        <v>13</v>
      </c>
      <c r="I33" s="156"/>
      <c r="J33" s="157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6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149">
        <f>F34*G34</f>
        <v>0</v>
      </c>
      <c r="I34" s="150"/>
      <c r="J34" s="151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7"/>
      <c r="B35" s="27" t="s">
        <v>67</v>
      </c>
      <c r="C35" s="52"/>
      <c r="D35" s="30">
        <f>C35*84</f>
        <v>0</v>
      </c>
      <c r="F35" s="58">
        <v>500</v>
      </c>
      <c r="G35" s="41"/>
      <c r="H35" s="149">
        <f>F35*G35</f>
        <v>0</v>
      </c>
      <c r="I35" s="150"/>
      <c r="J35" s="15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8"/>
      <c r="B36" s="26" t="s">
        <v>69</v>
      </c>
      <c r="C36" s="10"/>
      <c r="D36" s="12">
        <f>C36*1.5</f>
        <v>0</v>
      </c>
      <c r="F36" s="12">
        <v>200</v>
      </c>
      <c r="G36" s="37"/>
      <c r="H36" s="149">
        <f t="shared" ref="H36:H39" si="2">F36*G36</f>
        <v>0</v>
      </c>
      <c r="I36" s="150"/>
      <c r="J36" s="151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6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49">
        <f t="shared" si="2"/>
        <v>0</v>
      </c>
      <c r="I37" s="150"/>
      <c r="J37" s="151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7"/>
      <c r="B38" s="29" t="s">
        <v>67</v>
      </c>
      <c r="C38" s="54"/>
      <c r="D38" s="12">
        <f>C38*84</f>
        <v>0</v>
      </c>
      <c r="F38" s="30">
        <v>50</v>
      </c>
      <c r="G38" s="39"/>
      <c r="H38" s="149">
        <f t="shared" si="2"/>
        <v>0</v>
      </c>
      <c r="I38" s="150"/>
      <c r="J38" s="151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8"/>
      <c r="B39" s="29" t="s">
        <v>69</v>
      </c>
      <c r="C39" s="52"/>
      <c r="D39" s="31">
        <f>C39*4.5</f>
        <v>0</v>
      </c>
      <c r="F39" s="12">
        <v>20</v>
      </c>
      <c r="G39" s="37"/>
      <c r="H39" s="149">
        <f t="shared" si="2"/>
        <v>0</v>
      </c>
      <c r="I39" s="150"/>
      <c r="J39" s="15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6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49"/>
      <c r="I40" s="150"/>
      <c r="J40" s="151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7"/>
      <c r="B41" s="27" t="s">
        <v>67</v>
      </c>
      <c r="C41" s="10"/>
      <c r="D41" s="12">
        <f>C41*84</f>
        <v>0</v>
      </c>
      <c r="F41" s="12">
        <v>5</v>
      </c>
      <c r="G41" s="42"/>
      <c r="H41" s="149"/>
      <c r="I41" s="150"/>
      <c r="J41" s="151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8"/>
      <c r="B42" s="27" t="s">
        <v>69</v>
      </c>
      <c r="C42" s="11"/>
      <c r="D42" s="12">
        <f>C42*2.25</f>
        <v>0</v>
      </c>
      <c r="F42" s="39" t="s">
        <v>78</v>
      </c>
      <c r="G42" s="149"/>
      <c r="H42" s="150"/>
      <c r="I42" s="150"/>
      <c r="J42" s="151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19" t="s">
        <v>80</v>
      </c>
      <c r="C43" s="11"/>
      <c r="D43" s="12"/>
      <c r="F43" s="59" t="s">
        <v>81</v>
      </c>
      <c r="G43" s="100" t="s">
        <v>82</v>
      </c>
      <c r="H43" s="141" t="s">
        <v>13</v>
      </c>
      <c r="I43" s="142"/>
      <c r="J43" s="143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20"/>
      <c r="B44" s="27" t="s">
        <v>65</v>
      </c>
      <c r="C44" s="10"/>
      <c r="D44" s="12">
        <f>C44*120</f>
        <v>0</v>
      </c>
      <c r="F44" s="37"/>
      <c r="G44" s="76"/>
      <c r="H44" s="144"/>
      <c r="I44" s="144"/>
      <c r="J44" s="144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20"/>
      <c r="B45" s="27" t="s">
        <v>67</v>
      </c>
      <c r="C45" s="33"/>
      <c r="D45" s="12">
        <f>C45*84</f>
        <v>0</v>
      </c>
      <c r="F45" s="37"/>
      <c r="G45" s="76"/>
      <c r="H45" s="144"/>
      <c r="I45" s="144"/>
      <c r="J45" s="144"/>
      <c r="K45" s="21"/>
      <c r="P45" s="4"/>
      <c r="Q45" s="4"/>
      <c r="R45" s="5"/>
    </row>
    <row r="46" spans="1:18" ht="15.75" x14ac:dyDescent="0.25">
      <c r="A46" s="120"/>
      <c r="B46" s="49" t="s">
        <v>69</v>
      </c>
      <c r="C46" s="81"/>
      <c r="D46" s="12">
        <f>C46*1.5</f>
        <v>0</v>
      </c>
      <c r="F46" s="37"/>
      <c r="G46" s="62"/>
      <c r="H46" s="145"/>
      <c r="I46" s="145"/>
      <c r="J46" s="145"/>
      <c r="K46" s="21"/>
      <c r="P46" s="4"/>
      <c r="Q46" s="4"/>
      <c r="R46" s="5"/>
    </row>
    <row r="47" spans="1:18" ht="15.75" x14ac:dyDescent="0.25">
      <c r="A47" s="121"/>
      <c r="B47" s="27"/>
      <c r="C47" s="11"/>
      <c r="D47" s="12"/>
      <c r="F47" s="59"/>
      <c r="G47" s="59"/>
      <c r="H47" s="122"/>
      <c r="I47" s="123"/>
      <c r="J47" s="124"/>
      <c r="K47" s="21"/>
      <c r="P47" s="4"/>
      <c r="Q47" s="4"/>
      <c r="R47" s="5"/>
    </row>
    <row r="48" spans="1:18" ht="15" customHeight="1" x14ac:dyDescent="0.25">
      <c r="A48" s="119" t="s">
        <v>32</v>
      </c>
      <c r="B48" s="27" t="s">
        <v>65</v>
      </c>
      <c r="C48" s="10"/>
      <c r="D48" s="12">
        <f>C48*78</f>
        <v>0</v>
      </c>
      <c r="F48" s="59"/>
      <c r="G48" s="59"/>
      <c r="H48" s="122"/>
      <c r="I48" s="123"/>
      <c r="J48" s="124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20"/>
      <c r="B49" s="29" t="s">
        <v>67</v>
      </c>
      <c r="C49" s="33"/>
      <c r="D49" s="12">
        <f>C49*42</f>
        <v>0</v>
      </c>
      <c r="F49" s="125" t="s">
        <v>85</v>
      </c>
      <c r="G49" s="127">
        <f>H34+H35+H36+H37+H38+H39+H40+H41+G42+H44+H45+H46</f>
        <v>0</v>
      </c>
      <c r="H49" s="128"/>
      <c r="I49" s="128"/>
      <c r="J49" s="129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0"/>
      <c r="B50" s="32" t="s">
        <v>69</v>
      </c>
      <c r="C50" s="81"/>
      <c r="D50" s="12">
        <f>C50*1.5</f>
        <v>0</v>
      </c>
      <c r="F50" s="126"/>
      <c r="G50" s="130"/>
      <c r="H50" s="131"/>
      <c r="I50" s="131"/>
      <c r="J50" s="132"/>
      <c r="O50" t="s">
        <v>114</v>
      </c>
      <c r="P50" s="4">
        <v>1204</v>
      </c>
      <c r="Q50" s="4"/>
      <c r="R50" s="5"/>
    </row>
    <row r="51" spans="1:18" ht="15" customHeight="1" x14ac:dyDescent="0.25">
      <c r="A51" s="120"/>
      <c r="B51" s="27"/>
      <c r="C51" s="10"/>
      <c r="D51" s="31"/>
      <c r="F51" s="133" t="s">
        <v>115</v>
      </c>
      <c r="G51" s="135">
        <f>G49-H29</f>
        <v>0</v>
      </c>
      <c r="H51" s="136"/>
      <c r="I51" s="136"/>
      <c r="J51" s="137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20"/>
      <c r="B52" s="29"/>
      <c r="C52" s="33"/>
      <c r="D52" s="45"/>
      <c r="F52" s="134"/>
      <c r="G52" s="138"/>
      <c r="H52" s="139"/>
      <c r="I52" s="139"/>
      <c r="J52" s="140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1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05" t="s">
        <v>89</v>
      </c>
      <c r="B54" s="106"/>
      <c r="C54" s="107"/>
      <c r="D54" s="111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08"/>
      <c r="B55" s="109"/>
      <c r="C55" s="110"/>
      <c r="D55" s="11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13" t="s">
        <v>90</v>
      </c>
      <c r="B58" s="114"/>
      <c r="C58" s="114"/>
      <c r="D58" s="115"/>
      <c r="F58" s="113" t="s">
        <v>91</v>
      </c>
      <c r="G58" s="114"/>
      <c r="H58" s="114"/>
      <c r="I58" s="114"/>
      <c r="J58" s="115"/>
    </row>
    <row r="59" spans="1:18" x14ac:dyDescent="0.25">
      <c r="A59" s="116"/>
      <c r="B59" s="117"/>
      <c r="C59" s="117"/>
      <c r="D59" s="118"/>
      <c r="F59" s="116"/>
      <c r="G59" s="117"/>
      <c r="H59" s="117"/>
      <c r="I59" s="117"/>
      <c r="J59" s="118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9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0C9854-339D-41BF-8D46-5ACE743E5FF6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1" t="s">
        <v>1</v>
      </c>
      <c r="O1" s="201"/>
      <c r="P1" s="97" t="s">
        <v>2</v>
      </c>
      <c r="Q1" s="97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2" t="s">
        <v>7</v>
      </c>
      <c r="B4" s="153"/>
      <c r="C4" s="153"/>
      <c r="D4" s="154"/>
      <c r="F4" s="202" t="s">
        <v>8</v>
      </c>
      <c r="G4" s="204">
        <v>3</v>
      </c>
      <c r="H4" s="206" t="s">
        <v>9</v>
      </c>
      <c r="I4" s="208">
        <v>46171</v>
      </c>
      <c r="J4" s="20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6" t="s">
        <v>7</v>
      </c>
      <c r="B5" s="15" t="s">
        <v>11</v>
      </c>
      <c r="C5" s="9" t="s">
        <v>12</v>
      </c>
      <c r="D5" s="25" t="s">
        <v>13</v>
      </c>
      <c r="F5" s="203"/>
      <c r="G5" s="205"/>
      <c r="H5" s="207"/>
      <c r="I5" s="210"/>
      <c r="J5" s="21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7"/>
      <c r="B6" s="16" t="s">
        <v>15</v>
      </c>
      <c r="C6" s="10"/>
      <c r="D6" s="13">
        <f t="shared" ref="D6:D28" si="1">C6*L6</f>
        <v>0</v>
      </c>
      <c r="F6" s="212" t="s">
        <v>16</v>
      </c>
      <c r="G6" s="214" t="s">
        <v>117</v>
      </c>
      <c r="H6" s="215"/>
      <c r="I6" s="215"/>
      <c r="J6" s="21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7"/>
      <c r="B7" s="16" t="s">
        <v>18</v>
      </c>
      <c r="C7" s="10"/>
      <c r="D7" s="13">
        <f t="shared" si="1"/>
        <v>0</v>
      </c>
      <c r="F7" s="213"/>
      <c r="G7" s="217"/>
      <c r="H7" s="218"/>
      <c r="I7" s="218"/>
      <c r="J7" s="21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7"/>
      <c r="B8" s="16" t="s">
        <v>20</v>
      </c>
      <c r="C8" s="10"/>
      <c r="D8" s="13">
        <f t="shared" si="1"/>
        <v>0</v>
      </c>
      <c r="F8" s="220" t="s">
        <v>21</v>
      </c>
      <c r="G8" s="221" t="s">
        <v>110</v>
      </c>
      <c r="H8" s="222"/>
      <c r="I8" s="222"/>
      <c r="J8" s="22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7"/>
      <c r="B9" s="16" t="s">
        <v>23</v>
      </c>
      <c r="C9" s="10"/>
      <c r="D9" s="13">
        <f t="shared" si="1"/>
        <v>0</v>
      </c>
      <c r="F9" s="213"/>
      <c r="G9" s="224"/>
      <c r="H9" s="225"/>
      <c r="I9" s="225"/>
      <c r="J9" s="22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7"/>
      <c r="B10" t="s">
        <v>25</v>
      </c>
      <c r="C10" s="10"/>
      <c r="D10" s="13">
        <f t="shared" si="1"/>
        <v>0</v>
      </c>
      <c r="F10" s="212" t="s">
        <v>26</v>
      </c>
      <c r="G10" s="227" t="s">
        <v>124</v>
      </c>
      <c r="H10" s="228"/>
      <c r="I10" s="228"/>
      <c r="J10" s="229"/>
      <c r="K10" s="8"/>
      <c r="L10" s="6">
        <f>R36</f>
        <v>1032</v>
      </c>
      <c r="P10" s="4"/>
      <c r="Q10" s="4"/>
      <c r="R10" s="5"/>
    </row>
    <row r="11" spans="1:18" ht="15.75" x14ac:dyDescent="0.25">
      <c r="A11" s="147"/>
      <c r="B11" s="17" t="s">
        <v>28</v>
      </c>
      <c r="C11" s="10"/>
      <c r="D11" s="13">
        <f t="shared" si="1"/>
        <v>0</v>
      </c>
      <c r="F11" s="213"/>
      <c r="G11" s="224"/>
      <c r="H11" s="225"/>
      <c r="I11" s="225"/>
      <c r="J11" s="22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7"/>
      <c r="B12" s="17" t="s">
        <v>30</v>
      </c>
      <c r="C12" s="10"/>
      <c r="D12" s="48">
        <f t="shared" si="1"/>
        <v>0</v>
      </c>
      <c r="F12" s="230" t="s">
        <v>33</v>
      </c>
      <c r="G12" s="231"/>
      <c r="H12" s="231"/>
      <c r="I12" s="231"/>
      <c r="J12" s="23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7"/>
      <c r="B13" s="17" t="s">
        <v>32</v>
      </c>
      <c r="C13" s="10"/>
      <c r="D13" s="48">
        <f t="shared" si="1"/>
        <v>0</v>
      </c>
      <c r="F13" s="233" t="s">
        <v>36</v>
      </c>
      <c r="G13" s="197"/>
      <c r="H13" s="188">
        <f>D29</f>
        <v>0</v>
      </c>
      <c r="I13" s="189"/>
      <c r="J13" s="19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7"/>
      <c r="B14" s="14" t="s">
        <v>35</v>
      </c>
      <c r="C14" s="10"/>
      <c r="D14" s="31">
        <f t="shared" si="1"/>
        <v>0</v>
      </c>
      <c r="F14" s="191" t="s">
        <v>38</v>
      </c>
      <c r="G14" s="192"/>
      <c r="H14" s="193">
        <f>D54</f>
        <v>0</v>
      </c>
      <c r="I14" s="194"/>
      <c r="J14" s="19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7"/>
      <c r="B15" s="14" t="s">
        <v>122</v>
      </c>
      <c r="C15" s="10"/>
      <c r="D15" s="31">
        <f t="shared" si="1"/>
        <v>0</v>
      </c>
      <c r="F15" s="196" t="s">
        <v>39</v>
      </c>
      <c r="G15" s="197"/>
      <c r="H15" s="198">
        <f>H13-H14</f>
        <v>0</v>
      </c>
      <c r="I15" s="199"/>
      <c r="J15" s="200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7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58"/>
      <c r="I16" s="158"/>
      <c r="J16" s="158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7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69"/>
      <c r="I17" s="169"/>
      <c r="J17" s="169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7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69"/>
      <c r="I18" s="169"/>
      <c r="J18" s="169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7"/>
      <c r="B19" s="87" t="s">
        <v>105</v>
      </c>
      <c r="C19" s="10"/>
      <c r="D19" s="48">
        <f t="shared" si="1"/>
        <v>0</v>
      </c>
      <c r="F19" s="56"/>
      <c r="G19" s="68" t="s">
        <v>49</v>
      </c>
      <c r="H19" s="253"/>
      <c r="I19" s="253"/>
      <c r="J19" s="253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7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58"/>
      <c r="I20" s="158"/>
      <c r="J20" s="158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7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71" t="s">
        <v>13</v>
      </c>
      <c r="I21" s="172"/>
      <c r="J21" s="173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7"/>
      <c r="B22" s="46" t="s">
        <v>103</v>
      </c>
      <c r="C22" s="10"/>
      <c r="D22" s="48">
        <f t="shared" si="1"/>
        <v>0</v>
      </c>
      <c r="F22" s="77"/>
      <c r="G22" s="73"/>
      <c r="H22" s="174"/>
      <c r="I22" s="174"/>
      <c r="J22" s="174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7"/>
      <c r="B23" s="14" t="s">
        <v>121</v>
      </c>
      <c r="C23" s="10"/>
      <c r="D23" s="48">
        <f t="shared" si="1"/>
        <v>0</v>
      </c>
      <c r="F23" s="78"/>
      <c r="G23" s="79"/>
      <c r="H23" s="254"/>
      <c r="I23" s="174"/>
      <c r="J23" s="174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7"/>
      <c r="B24" s="14" t="s">
        <v>128</v>
      </c>
      <c r="C24" s="10"/>
      <c r="D24" s="48">
        <f t="shared" si="1"/>
        <v>0</v>
      </c>
      <c r="F24" s="38"/>
      <c r="G24" s="37"/>
      <c r="H24" s="175"/>
      <c r="I24" s="144"/>
      <c r="J24" s="144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7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76" t="s">
        <v>13</v>
      </c>
      <c r="I25" s="177"/>
      <c r="J25" s="178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7"/>
      <c r="B26" s="14" t="s">
        <v>129</v>
      </c>
      <c r="C26" s="10"/>
      <c r="D26" s="48">
        <f t="shared" si="1"/>
        <v>0</v>
      </c>
      <c r="F26" s="64"/>
      <c r="G26" s="59"/>
      <c r="H26" s="179"/>
      <c r="I26" s="180"/>
      <c r="J26" s="181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7"/>
      <c r="B27" s="14" t="s">
        <v>130</v>
      </c>
      <c r="C27" s="10"/>
      <c r="D27" s="44">
        <f t="shared" si="1"/>
        <v>0</v>
      </c>
      <c r="F27" s="25"/>
      <c r="G27" s="80"/>
      <c r="H27" s="182"/>
      <c r="I27" s="183"/>
      <c r="J27" s="184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8"/>
      <c r="B28" s="46" t="s">
        <v>92</v>
      </c>
      <c r="C28" s="10"/>
      <c r="D28" s="48">
        <f t="shared" si="1"/>
        <v>0</v>
      </c>
      <c r="F28" s="98"/>
      <c r="G28" s="61"/>
      <c r="H28" s="185"/>
      <c r="I28" s="186"/>
      <c r="J28" s="187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9" t="s">
        <v>36</v>
      </c>
      <c r="B29" s="160"/>
      <c r="C29" s="161"/>
      <c r="D29" s="165">
        <f>SUM(D6:D28)</f>
        <v>0</v>
      </c>
      <c r="F29" s="105" t="s">
        <v>54</v>
      </c>
      <c r="G29" s="167"/>
      <c r="H29" s="127">
        <f>H15-H16-H17-H18-H19-H20-H22-H23-H24+H26+H27</f>
        <v>0</v>
      </c>
      <c r="I29" s="128"/>
      <c r="J29" s="129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08"/>
      <c r="G30" s="168"/>
      <c r="H30" s="130"/>
      <c r="I30" s="131"/>
      <c r="J30" s="132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2" t="s">
        <v>57</v>
      </c>
      <c r="B32" s="153"/>
      <c r="C32" s="153"/>
      <c r="D32" s="154"/>
      <c r="F32" s="155" t="s">
        <v>58</v>
      </c>
      <c r="G32" s="156"/>
      <c r="H32" s="156"/>
      <c r="I32" s="156"/>
      <c r="J32" s="157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9" t="s">
        <v>62</v>
      </c>
      <c r="H33" s="155" t="s">
        <v>13</v>
      </c>
      <c r="I33" s="156"/>
      <c r="J33" s="157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6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149">
        <f>F34*G34</f>
        <v>0</v>
      </c>
      <c r="I34" s="150"/>
      <c r="J34" s="151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7"/>
      <c r="B35" s="27" t="s">
        <v>67</v>
      </c>
      <c r="C35" s="52"/>
      <c r="D35" s="30">
        <f>C35*84</f>
        <v>0</v>
      </c>
      <c r="F35" s="58">
        <v>500</v>
      </c>
      <c r="G35" s="41"/>
      <c r="H35" s="149">
        <f>F35*G35</f>
        <v>0</v>
      </c>
      <c r="I35" s="150"/>
      <c r="J35" s="15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8"/>
      <c r="B36" s="26" t="s">
        <v>69</v>
      </c>
      <c r="C36" s="10"/>
      <c r="D36" s="12">
        <f>C36*1.5</f>
        <v>0</v>
      </c>
      <c r="F36" s="12">
        <v>200</v>
      </c>
      <c r="G36" s="37"/>
      <c r="H36" s="149">
        <f t="shared" ref="H36:H39" si="2">F36*G36</f>
        <v>0</v>
      </c>
      <c r="I36" s="150"/>
      <c r="J36" s="151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6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49">
        <f t="shared" si="2"/>
        <v>0</v>
      </c>
      <c r="I37" s="150"/>
      <c r="J37" s="151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7"/>
      <c r="B38" s="29" t="s">
        <v>67</v>
      </c>
      <c r="C38" s="54"/>
      <c r="D38" s="12">
        <f>C38*84</f>
        <v>0</v>
      </c>
      <c r="F38" s="30">
        <v>50</v>
      </c>
      <c r="G38" s="39"/>
      <c r="H38" s="149">
        <f t="shared" si="2"/>
        <v>0</v>
      </c>
      <c r="I38" s="150"/>
      <c r="J38" s="151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8"/>
      <c r="B39" s="29" t="s">
        <v>69</v>
      </c>
      <c r="C39" s="52"/>
      <c r="D39" s="31">
        <f>C39*4.5</f>
        <v>0</v>
      </c>
      <c r="F39" s="12">
        <v>20</v>
      </c>
      <c r="G39" s="37"/>
      <c r="H39" s="149">
        <f t="shared" si="2"/>
        <v>0</v>
      </c>
      <c r="I39" s="150"/>
      <c r="J39" s="15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6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49"/>
      <c r="I40" s="150"/>
      <c r="J40" s="151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7"/>
      <c r="B41" s="27" t="s">
        <v>67</v>
      </c>
      <c r="C41" s="10"/>
      <c r="D41" s="12">
        <f>C41*84</f>
        <v>0</v>
      </c>
      <c r="F41" s="12">
        <v>5</v>
      </c>
      <c r="G41" s="42"/>
      <c r="H41" s="149"/>
      <c r="I41" s="150"/>
      <c r="J41" s="151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8"/>
      <c r="B42" s="27" t="s">
        <v>69</v>
      </c>
      <c r="C42" s="11"/>
      <c r="D42" s="12">
        <f>C42*2.25</f>
        <v>0</v>
      </c>
      <c r="F42" s="39" t="s">
        <v>78</v>
      </c>
      <c r="G42" s="149"/>
      <c r="H42" s="150"/>
      <c r="I42" s="150"/>
      <c r="J42" s="151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19" t="s">
        <v>80</v>
      </c>
      <c r="C43" s="11"/>
      <c r="D43" s="12"/>
      <c r="F43" s="59" t="s">
        <v>81</v>
      </c>
      <c r="G43" s="100" t="s">
        <v>82</v>
      </c>
      <c r="H43" s="141" t="s">
        <v>13</v>
      </c>
      <c r="I43" s="142"/>
      <c r="J43" s="143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20"/>
      <c r="B44" s="27" t="s">
        <v>65</v>
      </c>
      <c r="C44" s="10"/>
      <c r="D44" s="12">
        <f>C44*120</f>
        <v>0</v>
      </c>
      <c r="F44" s="37"/>
      <c r="G44" s="76"/>
      <c r="H44" s="144"/>
      <c r="I44" s="144"/>
      <c r="J44" s="144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20"/>
      <c r="B45" s="27" t="s">
        <v>67</v>
      </c>
      <c r="C45" s="33"/>
      <c r="D45" s="12">
        <f>C45*84</f>
        <v>0</v>
      </c>
      <c r="F45" s="37"/>
      <c r="G45" s="76"/>
      <c r="H45" s="144"/>
      <c r="I45" s="144"/>
      <c r="J45" s="144"/>
      <c r="K45" s="21"/>
      <c r="P45" s="4"/>
      <c r="Q45" s="4"/>
      <c r="R45" s="5"/>
    </row>
    <row r="46" spans="1:18" ht="15.75" x14ac:dyDescent="0.25">
      <c r="A46" s="120"/>
      <c r="B46" s="49" t="s">
        <v>69</v>
      </c>
      <c r="C46" s="81"/>
      <c r="D46" s="12">
        <f>C46*1.5</f>
        <v>0</v>
      </c>
      <c r="F46" s="37"/>
      <c r="G46" s="62"/>
      <c r="H46" s="145"/>
      <c r="I46" s="145"/>
      <c r="J46" s="145"/>
      <c r="K46" s="21"/>
      <c r="P46" s="4"/>
      <c r="Q46" s="4"/>
      <c r="R46" s="5"/>
    </row>
    <row r="47" spans="1:18" ht="15.75" x14ac:dyDescent="0.25">
      <c r="A47" s="121"/>
      <c r="B47" s="27"/>
      <c r="C47" s="11"/>
      <c r="D47" s="12"/>
      <c r="F47" s="59"/>
      <c r="G47" s="59"/>
      <c r="H47" s="122"/>
      <c r="I47" s="123"/>
      <c r="J47" s="124"/>
      <c r="K47" s="21"/>
      <c r="P47" s="4"/>
      <c r="Q47" s="4"/>
      <c r="R47" s="5"/>
    </row>
    <row r="48" spans="1:18" ht="15" customHeight="1" x14ac:dyDescent="0.25">
      <c r="A48" s="119" t="s">
        <v>32</v>
      </c>
      <c r="B48" s="27" t="s">
        <v>65</v>
      </c>
      <c r="C48" s="10"/>
      <c r="D48" s="12">
        <f>C48*78</f>
        <v>0</v>
      </c>
      <c r="F48" s="59"/>
      <c r="G48" s="59"/>
      <c r="H48" s="122"/>
      <c r="I48" s="123"/>
      <c r="J48" s="124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20"/>
      <c r="B49" s="29" t="s">
        <v>67</v>
      </c>
      <c r="C49" s="33"/>
      <c r="D49" s="12">
        <f>C49*42</f>
        <v>0</v>
      </c>
      <c r="F49" s="125" t="s">
        <v>85</v>
      </c>
      <c r="G49" s="127">
        <f>H34+H35+H36+H37+H38+H39+H40+H41+G42+H44+H45+H46</f>
        <v>0</v>
      </c>
      <c r="H49" s="128"/>
      <c r="I49" s="128"/>
      <c r="J49" s="129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0"/>
      <c r="B50" s="32" t="s">
        <v>69</v>
      </c>
      <c r="C50" s="11"/>
      <c r="D50" s="12">
        <f>C50*1.5</f>
        <v>0</v>
      </c>
      <c r="F50" s="126"/>
      <c r="G50" s="130"/>
      <c r="H50" s="131"/>
      <c r="I50" s="131"/>
      <c r="J50" s="132"/>
      <c r="O50" t="s">
        <v>114</v>
      </c>
      <c r="P50" s="4">
        <v>1204</v>
      </c>
      <c r="Q50" s="4"/>
      <c r="R50" s="5"/>
    </row>
    <row r="51" spans="1:18" ht="15" customHeight="1" x14ac:dyDescent="0.25">
      <c r="A51" s="120"/>
      <c r="B51" s="27"/>
      <c r="C51" s="10"/>
      <c r="D51" s="31"/>
      <c r="F51" s="133" t="s">
        <v>115</v>
      </c>
      <c r="G51" s="135">
        <f>G49-H29</f>
        <v>0</v>
      </c>
      <c r="H51" s="136"/>
      <c r="I51" s="136"/>
      <c r="J51" s="137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20"/>
      <c r="B52" s="29"/>
      <c r="C52" s="33"/>
      <c r="D52" s="45"/>
      <c r="F52" s="134"/>
      <c r="G52" s="138"/>
      <c r="H52" s="139"/>
      <c r="I52" s="139"/>
      <c r="J52" s="140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1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05" t="s">
        <v>89</v>
      </c>
      <c r="B54" s="106"/>
      <c r="C54" s="107"/>
      <c r="D54" s="111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08"/>
      <c r="B55" s="109"/>
      <c r="C55" s="110"/>
      <c r="D55" s="11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13" t="s">
        <v>90</v>
      </c>
      <c r="B58" s="114"/>
      <c r="C58" s="114"/>
      <c r="D58" s="115"/>
      <c r="F58" s="113" t="s">
        <v>91</v>
      </c>
      <c r="G58" s="114"/>
      <c r="H58" s="114"/>
      <c r="I58" s="114"/>
      <c r="J58" s="115"/>
    </row>
    <row r="59" spans="1:18" x14ac:dyDescent="0.25">
      <c r="A59" s="116"/>
      <c r="B59" s="117"/>
      <c r="C59" s="117"/>
      <c r="D59" s="118"/>
      <c r="F59" s="116"/>
      <c r="G59" s="117"/>
      <c r="H59" s="117"/>
      <c r="I59" s="117"/>
      <c r="J59" s="118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0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054E7D-671A-43A3-846C-F8B866E01108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01" t="s">
        <v>1</v>
      </c>
      <c r="O1" s="201"/>
      <c r="P1" s="97" t="s">
        <v>2</v>
      </c>
      <c r="Q1" s="97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52" t="s">
        <v>7</v>
      </c>
      <c r="B4" s="153"/>
      <c r="C4" s="153"/>
      <c r="D4" s="154"/>
      <c r="F4" s="202" t="s">
        <v>8</v>
      </c>
      <c r="G4" s="204"/>
      <c r="H4" s="206" t="s">
        <v>9</v>
      </c>
      <c r="I4" s="208"/>
      <c r="J4" s="20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46" t="s">
        <v>7</v>
      </c>
      <c r="B5" s="15" t="s">
        <v>11</v>
      </c>
      <c r="C5" s="9" t="s">
        <v>12</v>
      </c>
      <c r="D5" s="25" t="s">
        <v>13</v>
      </c>
      <c r="F5" s="203"/>
      <c r="G5" s="205"/>
      <c r="H5" s="207"/>
      <c r="I5" s="210"/>
      <c r="J5" s="21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47"/>
      <c r="B6" s="16"/>
      <c r="C6" s="10"/>
      <c r="D6" s="13">
        <f t="shared" ref="D6:D28" si="1">C6*L6</f>
        <v>0</v>
      </c>
      <c r="F6" s="212" t="s">
        <v>16</v>
      </c>
      <c r="G6" s="214"/>
      <c r="H6" s="215"/>
      <c r="I6" s="215"/>
      <c r="J6" s="216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47"/>
      <c r="B7" s="16"/>
      <c r="C7" s="10"/>
      <c r="D7" s="13">
        <f t="shared" si="1"/>
        <v>0</v>
      </c>
      <c r="F7" s="213"/>
      <c r="G7" s="217"/>
      <c r="H7" s="218"/>
      <c r="I7" s="218"/>
      <c r="J7" s="219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47"/>
      <c r="B8" s="16"/>
      <c r="C8" s="10"/>
      <c r="D8" s="13">
        <f t="shared" si="1"/>
        <v>0</v>
      </c>
      <c r="F8" s="220" t="s">
        <v>21</v>
      </c>
      <c r="G8" s="221"/>
      <c r="H8" s="222"/>
      <c r="I8" s="222"/>
      <c r="J8" s="223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47"/>
      <c r="B9" s="16"/>
      <c r="C9" s="10"/>
      <c r="D9" s="13">
        <f t="shared" si="1"/>
        <v>0</v>
      </c>
      <c r="F9" s="213"/>
      <c r="G9" s="224"/>
      <c r="H9" s="225"/>
      <c r="I9" s="225"/>
      <c r="J9" s="226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47"/>
      <c r="C10" s="10"/>
      <c r="D10" s="13">
        <f t="shared" si="1"/>
        <v>0</v>
      </c>
      <c r="F10" s="212" t="s">
        <v>26</v>
      </c>
      <c r="G10" s="227"/>
      <c r="H10" s="228"/>
      <c r="I10" s="228"/>
      <c r="J10" s="229"/>
      <c r="K10" s="8"/>
      <c r="L10" s="6">
        <f>R36</f>
        <v>972</v>
      </c>
      <c r="P10" s="4"/>
      <c r="Q10" s="4"/>
      <c r="R10" s="5"/>
    </row>
    <row r="11" spans="1:19" ht="15.75" x14ac:dyDescent="0.25">
      <c r="A11" s="147"/>
      <c r="B11" s="17"/>
      <c r="C11" s="10"/>
      <c r="D11" s="13">
        <f t="shared" si="1"/>
        <v>0</v>
      </c>
      <c r="F11" s="213"/>
      <c r="G11" s="224"/>
      <c r="H11" s="225"/>
      <c r="I11" s="225"/>
      <c r="J11" s="226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47"/>
      <c r="B12" s="17"/>
      <c r="C12" s="10"/>
      <c r="D12" s="48">
        <f t="shared" si="1"/>
        <v>0</v>
      </c>
      <c r="F12" s="230" t="s">
        <v>33</v>
      </c>
      <c r="G12" s="231"/>
      <c r="H12" s="231"/>
      <c r="I12" s="231"/>
      <c r="J12" s="232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47"/>
      <c r="B13" s="17"/>
      <c r="C13" s="10"/>
      <c r="D13" s="48">
        <f t="shared" si="1"/>
        <v>0</v>
      </c>
      <c r="F13" s="233" t="s">
        <v>36</v>
      </c>
      <c r="G13" s="197"/>
      <c r="H13" s="188">
        <f>D29</f>
        <v>0</v>
      </c>
      <c r="I13" s="189"/>
      <c r="J13" s="19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47"/>
      <c r="B14" s="14"/>
      <c r="C14" s="10"/>
      <c r="D14" s="31">
        <f t="shared" si="1"/>
        <v>0</v>
      </c>
      <c r="F14" s="191" t="s">
        <v>38</v>
      </c>
      <c r="G14" s="192"/>
      <c r="H14" s="193">
        <f>D54</f>
        <v>0</v>
      </c>
      <c r="I14" s="194"/>
      <c r="J14" s="19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47"/>
      <c r="B15" s="14"/>
      <c r="C15" s="10"/>
      <c r="D15" s="31">
        <f t="shared" si="1"/>
        <v>0</v>
      </c>
      <c r="F15" s="196" t="s">
        <v>39</v>
      </c>
      <c r="G15" s="197"/>
      <c r="H15" s="198">
        <f>H13-H14</f>
        <v>0</v>
      </c>
      <c r="I15" s="199"/>
      <c r="J15" s="200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47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58"/>
      <c r="I16" s="158"/>
      <c r="J16" s="158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7"/>
      <c r="C17" s="10"/>
      <c r="D17" s="48">
        <f t="shared" si="1"/>
        <v>0</v>
      </c>
      <c r="F17" s="56"/>
      <c r="G17" s="66" t="s">
        <v>44</v>
      </c>
      <c r="H17" s="169"/>
      <c r="I17" s="169"/>
      <c r="J17" s="169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7"/>
      <c r="B18" s="19"/>
      <c r="C18" s="10"/>
      <c r="D18" s="48">
        <f t="shared" si="1"/>
        <v>0</v>
      </c>
      <c r="F18" s="56"/>
      <c r="G18" s="66" t="s">
        <v>46</v>
      </c>
      <c r="H18" s="169"/>
      <c r="I18" s="169"/>
      <c r="J18" s="16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7"/>
      <c r="B19" s="14"/>
      <c r="C19" s="10"/>
      <c r="D19" s="48">
        <f t="shared" si="1"/>
        <v>0</v>
      </c>
      <c r="F19" s="56"/>
      <c r="G19" s="68" t="s">
        <v>49</v>
      </c>
      <c r="H19" s="170"/>
      <c r="I19" s="170"/>
      <c r="J19" s="170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7"/>
      <c r="B20" s="46"/>
      <c r="C20" s="10"/>
      <c r="D20" s="13">
        <f t="shared" si="1"/>
        <v>0</v>
      </c>
      <c r="F20" s="57"/>
      <c r="G20" s="70" t="s">
        <v>102</v>
      </c>
      <c r="H20" s="158"/>
      <c r="I20" s="158"/>
      <c r="J20" s="158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7"/>
      <c r="B21" s="14"/>
      <c r="C21" s="10"/>
      <c r="D21" s="48">
        <f t="shared" si="1"/>
        <v>0</v>
      </c>
      <c r="F21" s="69" t="s">
        <v>94</v>
      </c>
      <c r="G21" s="82" t="s">
        <v>93</v>
      </c>
      <c r="H21" s="171" t="s">
        <v>13</v>
      </c>
      <c r="I21" s="172"/>
      <c r="J21" s="173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7"/>
      <c r="B22" s="46"/>
      <c r="C22" s="10"/>
      <c r="D22" s="48">
        <f t="shared" si="1"/>
        <v>0</v>
      </c>
      <c r="F22" s="77"/>
      <c r="G22" s="73"/>
      <c r="H22" s="174"/>
      <c r="I22" s="174"/>
      <c r="J22" s="174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7"/>
      <c r="B23" s="14"/>
      <c r="C23" s="10"/>
      <c r="D23" s="48">
        <f t="shared" si="1"/>
        <v>0</v>
      </c>
      <c r="F23" s="78"/>
      <c r="G23" s="79"/>
      <c r="H23" s="175"/>
      <c r="I23" s="144"/>
      <c r="J23" s="144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7"/>
      <c r="B24" s="14"/>
      <c r="C24" s="10"/>
      <c r="D24" s="48">
        <f t="shared" si="1"/>
        <v>0</v>
      </c>
      <c r="F24" s="38"/>
      <c r="G24" s="37"/>
      <c r="H24" s="175"/>
      <c r="I24" s="144"/>
      <c r="J24" s="144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7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176" t="s">
        <v>13</v>
      </c>
      <c r="I25" s="177"/>
      <c r="J25" s="178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7"/>
      <c r="B26" s="14"/>
      <c r="C26" s="10"/>
      <c r="D26" s="48">
        <f t="shared" si="1"/>
        <v>0</v>
      </c>
      <c r="F26" s="64"/>
      <c r="G26" s="59"/>
      <c r="H26" s="179"/>
      <c r="I26" s="180"/>
      <c r="J26" s="181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7"/>
      <c r="B27" s="14"/>
      <c r="C27" s="10"/>
      <c r="D27" s="44">
        <f t="shared" si="1"/>
        <v>0</v>
      </c>
      <c r="F27" s="25"/>
      <c r="G27" s="80"/>
      <c r="H27" s="182"/>
      <c r="I27" s="183"/>
      <c r="J27" s="184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8"/>
      <c r="B28" s="46"/>
      <c r="C28" s="10"/>
      <c r="D28" s="48">
        <f t="shared" si="1"/>
        <v>0</v>
      </c>
      <c r="F28" s="98"/>
      <c r="G28" s="61"/>
      <c r="H28" s="185"/>
      <c r="I28" s="186"/>
      <c r="J28" s="187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9" t="s">
        <v>36</v>
      </c>
      <c r="B29" s="160"/>
      <c r="C29" s="161"/>
      <c r="D29" s="165">
        <f>SUM(D6:D28)</f>
        <v>0</v>
      </c>
      <c r="F29" s="105" t="s">
        <v>54</v>
      </c>
      <c r="G29" s="167"/>
      <c r="H29" s="127">
        <f>H15-H16-H17-H18-H19-H20-H22-H23-H24+H26+H27</f>
        <v>0</v>
      </c>
      <c r="I29" s="128"/>
      <c r="J29" s="129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08"/>
      <c r="G30" s="168"/>
      <c r="H30" s="130"/>
      <c r="I30" s="131"/>
      <c r="J30" s="132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52" t="s">
        <v>57</v>
      </c>
      <c r="B32" s="153"/>
      <c r="C32" s="153"/>
      <c r="D32" s="154"/>
      <c r="F32" s="155" t="s">
        <v>58</v>
      </c>
      <c r="G32" s="156"/>
      <c r="H32" s="156"/>
      <c r="I32" s="156"/>
      <c r="J32" s="157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9" t="s">
        <v>62</v>
      </c>
      <c r="H33" s="155" t="s">
        <v>13</v>
      </c>
      <c r="I33" s="156"/>
      <c r="J33" s="157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6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149"/>
      <c r="I34" s="150"/>
      <c r="J34" s="151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7"/>
      <c r="B35" s="27" t="s">
        <v>67</v>
      </c>
      <c r="C35" s="52"/>
      <c r="D35" s="30">
        <f>C35*84</f>
        <v>0</v>
      </c>
      <c r="F35" s="58">
        <v>500</v>
      </c>
      <c r="G35" s="41"/>
      <c r="H35" s="149"/>
      <c r="I35" s="150"/>
      <c r="J35" s="15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8"/>
      <c r="B36" s="26" t="s">
        <v>69</v>
      </c>
      <c r="C36" s="10"/>
      <c r="D36" s="12">
        <f>C36*1.5</f>
        <v>0</v>
      </c>
      <c r="F36" s="12">
        <v>200</v>
      </c>
      <c r="G36" s="37"/>
      <c r="H36" s="149"/>
      <c r="I36" s="150"/>
      <c r="J36" s="151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6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49"/>
      <c r="I37" s="150"/>
      <c r="J37" s="151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7"/>
      <c r="B38" s="29" t="s">
        <v>67</v>
      </c>
      <c r="C38" s="54"/>
      <c r="D38" s="12">
        <f>C38*84</f>
        <v>0</v>
      </c>
      <c r="F38" s="30">
        <v>50</v>
      </c>
      <c r="G38" s="39"/>
      <c r="H38" s="149"/>
      <c r="I38" s="150"/>
      <c r="J38" s="151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8"/>
      <c r="B39" s="29" t="s">
        <v>69</v>
      </c>
      <c r="C39" s="52"/>
      <c r="D39" s="31">
        <f>C39*4.5</f>
        <v>0</v>
      </c>
      <c r="F39" s="12">
        <v>20</v>
      </c>
      <c r="G39" s="37"/>
      <c r="H39" s="149"/>
      <c r="I39" s="150"/>
      <c r="J39" s="15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6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49"/>
      <c r="I40" s="150"/>
      <c r="J40" s="151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7"/>
      <c r="B41" s="27" t="s">
        <v>67</v>
      </c>
      <c r="C41" s="10"/>
      <c r="D41" s="12">
        <f>C41*84</f>
        <v>0</v>
      </c>
      <c r="F41" s="12">
        <v>5</v>
      </c>
      <c r="G41" s="42"/>
      <c r="H41" s="149"/>
      <c r="I41" s="150"/>
      <c r="J41" s="151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8"/>
      <c r="B42" s="27" t="s">
        <v>69</v>
      </c>
      <c r="C42" s="11"/>
      <c r="D42" s="12">
        <f>C42*2.25</f>
        <v>0</v>
      </c>
      <c r="F42" s="39" t="s">
        <v>78</v>
      </c>
      <c r="G42" s="149"/>
      <c r="H42" s="150"/>
      <c r="I42" s="150"/>
      <c r="J42" s="151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19" t="s">
        <v>80</v>
      </c>
      <c r="C43" s="11"/>
      <c r="D43" s="12"/>
      <c r="F43" s="59" t="s">
        <v>81</v>
      </c>
      <c r="G43" s="100" t="s">
        <v>82</v>
      </c>
      <c r="H43" s="141" t="s">
        <v>13</v>
      </c>
      <c r="I43" s="142"/>
      <c r="J43" s="143"/>
      <c r="K43" s="21"/>
      <c r="P43" s="4"/>
      <c r="Q43" s="4"/>
      <c r="R43" s="5"/>
    </row>
    <row r="44" spans="1:18" ht="15.75" x14ac:dyDescent="0.25">
      <c r="A44" s="120"/>
      <c r="B44" s="27" t="s">
        <v>65</v>
      </c>
      <c r="C44" s="10"/>
      <c r="D44" s="12">
        <f>C44*120</f>
        <v>0</v>
      </c>
      <c r="F44" s="37"/>
      <c r="G44" s="76"/>
      <c r="H44" s="144"/>
      <c r="I44" s="144"/>
      <c r="J44" s="144"/>
      <c r="K44" s="21"/>
      <c r="P44" s="4"/>
      <c r="Q44" s="4"/>
      <c r="R44" s="5"/>
    </row>
    <row r="45" spans="1:18" ht="15.75" x14ac:dyDescent="0.25">
      <c r="A45" s="120"/>
      <c r="B45" s="27" t="s">
        <v>67</v>
      </c>
      <c r="C45" s="33"/>
      <c r="D45" s="12">
        <f>C45*84</f>
        <v>0</v>
      </c>
      <c r="F45" s="37"/>
      <c r="G45" s="76"/>
      <c r="H45" s="144"/>
      <c r="I45" s="144"/>
      <c r="J45" s="144"/>
      <c r="K45" s="21"/>
      <c r="P45" s="4"/>
      <c r="Q45" s="4"/>
      <c r="R45" s="5"/>
    </row>
    <row r="46" spans="1:18" ht="15.75" x14ac:dyDescent="0.25">
      <c r="A46" s="120"/>
      <c r="B46" s="49" t="s">
        <v>69</v>
      </c>
      <c r="C46" s="81"/>
      <c r="D46" s="12">
        <f>C46*1.5</f>
        <v>0</v>
      </c>
      <c r="F46" s="37"/>
      <c r="G46" s="62"/>
      <c r="H46" s="145"/>
      <c r="I46" s="145"/>
      <c r="J46" s="145"/>
      <c r="K46" s="21"/>
      <c r="P46" s="4"/>
      <c r="Q46" s="4"/>
      <c r="R46" s="5"/>
    </row>
    <row r="47" spans="1:18" ht="15.75" x14ac:dyDescent="0.25">
      <c r="A47" s="121"/>
      <c r="B47" s="27"/>
      <c r="C47" s="11"/>
      <c r="D47" s="12"/>
      <c r="F47" s="59"/>
      <c r="G47" s="59"/>
      <c r="H47" s="122"/>
      <c r="I47" s="123"/>
      <c r="J47" s="124"/>
      <c r="K47" s="21"/>
      <c r="P47" s="4"/>
      <c r="Q47" s="4"/>
      <c r="R47" s="5"/>
    </row>
    <row r="48" spans="1:18" ht="15" customHeight="1" x14ac:dyDescent="0.25">
      <c r="A48" s="119" t="s">
        <v>32</v>
      </c>
      <c r="B48" s="27" t="s">
        <v>65</v>
      </c>
      <c r="C48" s="10"/>
      <c r="D48" s="12">
        <f>C48*78</f>
        <v>0</v>
      </c>
      <c r="F48" s="59"/>
      <c r="G48" s="59"/>
      <c r="H48" s="122"/>
      <c r="I48" s="123"/>
      <c r="J48" s="124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20"/>
      <c r="B49" s="29" t="s">
        <v>67</v>
      </c>
      <c r="C49" s="33"/>
      <c r="D49" s="12">
        <f>C49*42</f>
        <v>0</v>
      </c>
      <c r="F49" s="125" t="s">
        <v>85</v>
      </c>
      <c r="G49" s="127">
        <f>H34+H35+H36+H37+H38+H39+H40+H41+G42+H44+H45+H46</f>
        <v>0</v>
      </c>
      <c r="H49" s="128"/>
      <c r="I49" s="128"/>
      <c r="J49" s="129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0"/>
      <c r="B50" s="32" t="s">
        <v>69</v>
      </c>
      <c r="C50" s="11"/>
      <c r="D50" s="12">
        <f>C50*1.5</f>
        <v>0</v>
      </c>
      <c r="F50" s="126"/>
      <c r="G50" s="130"/>
      <c r="H50" s="131"/>
      <c r="I50" s="131"/>
      <c r="J50" s="132"/>
      <c r="P50" s="4"/>
      <c r="Q50" s="4"/>
      <c r="R50" s="5"/>
    </row>
    <row r="51" spans="1:18" ht="15" customHeight="1" x14ac:dyDescent="0.25">
      <c r="A51" s="120"/>
      <c r="B51" s="27"/>
      <c r="C51" s="10"/>
      <c r="D51" s="31"/>
      <c r="F51" s="133" t="s">
        <v>106</v>
      </c>
      <c r="G51" s="135">
        <f>G49-H29</f>
        <v>0</v>
      </c>
      <c r="H51" s="136"/>
      <c r="I51" s="136"/>
      <c r="J51" s="137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0"/>
      <c r="B52" s="29"/>
      <c r="C52" s="33"/>
      <c r="D52" s="45"/>
      <c r="F52" s="134"/>
      <c r="G52" s="138"/>
      <c r="H52" s="139"/>
      <c r="I52" s="139"/>
      <c r="J52" s="140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1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05" t="s">
        <v>89</v>
      </c>
      <c r="B54" s="106"/>
      <c r="C54" s="107"/>
      <c r="D54" s="111">
        <f>SUM(D34:D53)</f>
        <v>0</v>
      </c>
      <c r="F54" s="21"/>
      <c r="J54" s="34"/>
    </row>
    <row r="55" spans="1:18" x14ac:dyDescent="0.25">
      <c r="A55" s="108"/>
      <c r="B55" s="109"/>
      <c r="C55" s="110"/>
      <c r="D55" s="11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13" t="s">
        <v>90</v>
      </c>
      <c r="B58" s="114"/>
      <c r="C58" s="114"/>
      <c r="D58" s="115"/>
      <c r="F58" s="113" t="s">
        <v>91</v>
      </c>
      <c r="G58" s="114"/>
      <c r="H58" s="114"/>
      <c r="I58" s="114"/>
      <c r="J58" s="115"/>
    </row>
    <row r="59" spans="1:18" x14ac:dyDescent="0.25">
      <c r="A59" s="116"/>
      <c r="B59" s="117"/>
      <c r="C59" s="117"/>
      <c r="D59" s="118"/>
      <c r="F59" s="116"/>
      <c r="G59" s="117"/>
      <c r="H59" s="117"/>
      <c r="I59" s="117"/>
      <c r="J59" s="118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0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BEC9CF-ADD9-45EA-BAD8-50C771B668AA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1" t="s">
        <v>1</v>
      </c>
      <c r="O1" s="201"/>
      <c r="P1" s="97" t="s">
        <v>2</v>
      </c>
      <c r="Q1" s="97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2" t="s">
        <v>7</v>
      </c>
      <c r="B4" s="153"/>
      <c r="C4" s="153"/>
      <c r="D4" s="154"/>
      <c r="F4" s="202" t="s">
        <v>8</v>
      </c>
      <c r="G4" s="204">
        <v>1</v>
      </c>
      <c r="H4" s="206" t="s">
        <v>9</v>
      </c>
      <c r="I4" s="208">
        <v>46172</v>
      </c>
      <c r="J4" s="20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6" t="s">
        <v>7</v>
      </c>
      <c r="B5" s="15" t="s">
        <v>11</v>
      </c>
      <c r="C5" s="9" t="s">
        <v>12</v>
      </c>
      <c r="D5" s="25" t="s">
        <v>13</v>
      </c>
      <c r="F5" s="203"/>
      <c r="G5" s="205"/>
      <c r="H5" s="207"/>
      <c r="I5" s="210"/>
      <c r="J5" s="21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7"/>
      <c r="B6" s="16" t="s">
        <v>15</v>
      </c>
      <c r="C6" s="10"/>
      <c r="D6" s="13">
        <f t="shared" ref="D6:D28" si="1">C6*L6</f>
        <v>0</v>
      </c>
      <c r="F6" s="212" t="s">
        <v>16</v>
      </c>
      <c r="G6" s="214" t="s">
        <v>99</v>
      </c>
      <c r="H6" s="215"/>
      <c r="I6" s="215"/>
      <c r="J6" s="21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7"/>
      <c r="B7" s="16" t="s">
        <v>18</v>
      </c>
      <c r="C7" s="10"/>
      <c r="D7" s="13">
        <f t="shared" si="1"/>
        <v>0</v>
      </c>
      <c r="F7" s="213"/>
      <c r="G7" s="217"/>
      <c r="H7" s="218"/>
      <c r="I7" s="218"/>
      <c r="J7" s="21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7"/>
      <c r="B8" s="16" t="s">
        <v>20</v>
      </c>
      <c r="C8" s="10"/>
      <c r="D8" s="13">
        <f t="shared" si="1"/>
        <v>0</v>
      </c>
      <c r="F8" s="220" t="s">
        <v>21</v>
      </c>
      <c r="G8" s="221" t="s">
        <v>120</v>
      </c>
      <c r="H8" s="222"/>
      <c r="I8" s="222"/>
      <c r="J8" s="22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7"/>
      <c r="B9" s="16" t="s">
        <v>23</v>
      </c>
      <c r="C9" s="10"/>
      <c r="D9" s="13">
        <f t="shared" si="1"/>
        <v>0</v>
      </c>
      <c r="F9" s="213"/>
      <c r="G9" s="224"/>
      <c r="H9" s="225"/>
      <c r="I9" s="225"/>
      <c r="J9" s="22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7"/>
      <c r="B10" t="s">
        <v>25</v>
      </c>
      <c r="C10" s="10"/>
      <c r="D10" s="13">
        <f t="shared" si="1"/>
        <v>0</v>
      </c>
      <c r="F10" s="212" t="s">
        <v>26</v>
      </c>
      <c r="G10" s="227" t="s">
        <v>108</v>
      </c>
      <c r="H10" s="228"/>
      <c r="I10" s="228"/>
      <c r="J10" s="229"/>
      <c r="K10" s="8"/>
      <c r="L10" s="6">
        <f>R36</f>
        <v>1032</v>
      </c>
      <c r="P10" s="4"/>
      <c r="Q10" s="4"/>
      <c r="R10" s="5"/>
    </row>
    <row r="11" spans="1:18" ht="15.75" x14ac:dyDescent="0.25">
      <c r="A11" s="147"/>
      <c r="B11" s="17" t="s">
        <v>28</v>
      </c>
      <c r="C11" s="10"/>
      <c r="D11" s="13">
        <f t="shared" si="1"/>
        <v>0</v>
      </c>
      <c r="F11" s="213"/>
      <c r="G11" s="224"/>
      <c r="H11" s="225"/>
      <c r="I11" s="225"/>
      <c r="J11" s="22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7"/>
      <c r="B12" s="17" t="s">
        <v>30</v>
      </c>
      <c r="C12" s="10"/>
      <c r="D12" s="48">
        <f t="shared" si="1"/>
        <v>0</v>
      </c>
      <c r="F12" s="230" t="s">
        <v>33</v>
      </c>
      <c r="G12" s="231"/>
      <c r="H12" s="231"/>
      <c r="I12" s="231"/>
      <c r="J12" s="23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7"/>
      <c r="B13" s="17" t="s">
        <v>32</v>
      </c>
      <c r="C13" s="10"/>
      <c r="D13" s="48">
        <f t="shared" si="1"/>
        <v>0</v>
      </c>
      <c r="F13" s="233" t="s">
        <v>36</v>
      </c>
      <c r="G13" s="197"/>
      <c r="H13" s="188">
        <f>D29</f>
        <v>0</v>
      </c>
      <c r="I13" s="189"/>
      <c r="J13" s="19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7"/>
      <c r="B14" s="14" t="s">
        <v>35</v>
      </c>
      <c r="C14" s="10"/>
      <c r="D14" s="31">
        <f t="shared" si="1"/>
        <v>0</v>
      </c>
      <c r="F14" s="191" t="s">
        <v>38</v>
      </c>
      <c r="G14" s="192"/>
      <c r="H14" s="193">
        <f>D54</f>
        <v>0</v>
      </c>
      <c r="I14" s="194"/>
      <c r="J14" s="19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7"/>
      <c r="B15" s="14" t="s">
        <v>122</v>
      </c>
      <c r="C15" s="10"/>
      <c r="D15" s="31">
        <f t="shared" si="1"/>
        <v>0</v>
      </c>
      <c r="F15" s="196" t="s">
        <v>39</v>
      </c>
      <c r="G15" s="197"/>
      <c r="H15" s="198">
        <f>H13-H14</f>
        <v>0</v>
      </c>
      <c r="I15" s="199"/>
      <c r="J15" s="200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7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58"/>
      <c r="I16" s="158"/>
      <c r="J16" s="158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7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69"/>
      <c r="I17" s="169"/>
      <c r="J17" s="169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7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69"/>
      <c r="I18" s="169"/>
      <c r="J18" s="169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7"/>
      <c r="B19" s="83" t="s">
        <v>105</v>
      </c>
      <c r="C19" s="10"/>
      <c r="D19" s="48">
        <f t="shared" si="1"/>
        <v>0</v>
      </c>
      <c r="F19" s="56"/>
      <c r="G19" s="68" t="s">
        <v>49</v>
      </c>
      <c r="H19" s="158"/>
      <c r="I19" s="158"/>
      <c r="J19" s="158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7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58"/>
      <c r="I20" s="158"/>
      <c r="J20" s="158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7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71" t="s">
        <v>13</v>
      </c>
      <c r="I21" s="172"/>
      <c r="J21" s="173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7"/>
      <c r="B22" s="46" t="s">
        <v>103</v>
      </c>
      <c r="C22" s="10"/>
      <c r="D22" s="48">
        <f t="shared" si="1"/>
        <v>0</v>
      </c>
      <c r="F22" s="77"/>
      <c r="G22" s="73"/>
      <c r="H22" s="174"/>
      <c r="I22" s="174"/>
      <c r="J22" s="174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7"/>
      <c r="B23" s="14" t="s">
        <v>121</v>
      </c>
      <c r="C23" s="10"/>
      <c r="D23" s="48">
        <f t="shared" si="1"/>
        <v>0</v>
      </c>
      <c r="F23" s="77"/>
      <c r="G23" s="79"/>
      <c r="H23" s="242"/>
      <c r="I23" s="243"/>
      <c r="J23" s="243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7"/>
      <c r="B24" s="14" t="s">
        <v>128</v>
      </c>
      <c r="C24" s="10"/>
      <c r="D24" s="48">
        <f t="shared" si="1"/>
        <v>0</v>
      </c>
      <c r="F24" s="77"/>
      <c r="G24" s="79"/>
      <c r="H24" s="242"/>
      <c r="I24" s="243"/>
      <c r="J24" s="243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7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76" t="s">
        <v>13</v>
      </c>
      <c r="I25" s="177"/>
      <c r="J25" s="178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7"/>
      <c r="B26" s="14" t="s">
        <v>129</v>
      </c>
      <c r="C26" s="10"/>
      <c r="D26" s="48">
        <f t="shared" si="1"/>
        <v>0</v>
      </c>
      <c r="F26" s="75"/>
      <c r="G26" s="65"/>
      <c r="H26" s="144"/>
      <c r="I26" s="144"/>
      <c r="J26" s="144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7"/>
      <c r="B27" s="14" t="s">
        <v>130</v>
      </c>
      <c r="C27" s="10"/>
      <c r="D27" s="44">
        <f t="shared" si="1"/>
        <v>0</v>
      </c>
      <c r="F27" s="71"/>
      <c r="G27" s="100"/>
      <c r="H27" s="244"/>
      <c r="I27" s="245"/>
      <c r="J27" s="245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8"/>
      <c r="B28" s="46" t="s">
        <v>92</v>
      </c>
      <c r="C28" s="10"/>
      <c r="D28" s="48">
        <f t="shared" si="1"/>
        <v>0</v>
      </c>
      <c r="F28" s="98"/>
      <c r="G28" s="61"/>
      <c r="H28" s="185"/>
      <c r="I28" s="186"/>
      <c r="J28" s="187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9" t="s">
        <v>36</v>
      </c>
      <c r="B29" s="160"/>
      <c r="C29" s="161"/>
      <c r="D29" s="165">
        <f>SUM(D6:D28)</f>
        <v>0</v>
      </c>
      <c r="F29" s="105" t="s">
        <v>54</v>
      </c>
      <c r="G29" s="167"/>
      <c r="H29" s="127">
        <f>H15-H16-H17-H18-H19-H20-H22-H23-H24+H26+H27+H28</f>
        <v>0</v>
      </c>
      <c r="I29" s="128"/>
      <c r="J29" s="129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08"/>
      <c r="G30" s="168"/>
      <c r="H30" s="130"/>
      <c r="I30" s="131"/>
      <c r="J30" s="132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2" t="s">
        <v>57</v>
      </c>
      <c r="B32" s="153"/>
      <c r="C32" s="153"/>
      <c r="D32" s="154"/>
      <c r="F32" s="155" t="s">
        <v>58</v>
      </c>
      <c r="G32" s="156"/>
      <c r="H32" s="156"/>
      <c r="I32" s="156"/>
      <c r="J32" s="157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9" t="s">
        <v>62</v>
      </c>
      <c r="H33" s="155" t="s">
        <v>13</v>
      </c>
      <c r="I33" s="156"/>
      <c r="J33" s="157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6" t="s">
        <v>64</v>
      </c>
      <c r="B34" s="26" t="s">
        <v>65</v>
      </c>
      <c r="C34" s="51"/>
      <c r="D34" s="30">
        <f>C34*120</f>
        <v>0</v>
      </c>
      <c r="F34" s="12">
        <v>1000</v>
      </c>
      <c r="G34" s="40"/>
      <c r="H34" s="149">
        <f t="shared" ref="H34:H39" si="2">F34*G34</f>
        <v>0</v>
      </c>
      <c r="I34" s="150"/>
      <c r="J34" s="151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7"/>
      <c r="B35" s="27" t="s">
        <v>67</v>
      </c>
      <c r="C35" s="52"/>
      <c r="D35" s="30">
        <f>C35*84</f>
        <v>0</v>
      </c>
      <c r="F35" s="58">
        <v>500</v>
      </c>
      <c r="G35" s="41"/>
      <c r="H35" s="149">
        <f t="shared" si="2"/>
        <v>0</v>
      </c>
      <c r="I35" s="150"/>
      <c r="J35" s="15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8"/>
      <c r="B36" s="26" t="s">
        <v>69</v>
      </c>
      <c r="C36" s="10"/>
      <c r="D36" s="12">
        <f>C36*1.5</f>
        <v>0</v>
      </c>
      <c r="F36" s="12">
        <v>200</v>
      </c>
      <c r="G36" s="37"/>
      <c r="H36" s="149">
        <f t="shared" si="2"/>
        <v>0</v>
      </c>
      <c r="I36" s="150"/>
      <c r="J36" s="151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6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49">
        <f t="shared" si="2"/>
        <v>0</v>
      </c>
      <c r="I37" s="150"/>
      <c r="J37" s="151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7"/>
      <c r="B38" s="29" t="s">
        <v>67</v>
      </c>
      <c r="C38" s="54"/>
      <c r="D38" s="12">
        <f>C38*84</f>
        <v>0</v>
      </c>
      <c r="F38" s="30">
        <v>50</v>
      </c>
      <c r="G38" s="39"/>
      <c r="H38" s="149">
        <f t="shared" si="2"/>
        <v>0</v>
      </c>
      <c r="I38" s="150"/>
      <c r="J38" s="151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8"/>
      <c r="B39" s="29" t="s">
        <v>69</v>
      </c>
      <c r="C39" s="52"/>
      <c r="D39" s="31">
        <f>C39*4.5</f>
        <v>0</v>
      </c>
      <c r="F39" s="12">
        <v>20</v>
      </c>
      <c r="G39" s="37"/>
      <c r="H39" s="149">
        <f t="shared" si="2"/>
        <v>0</v>
      </c>
      <c r="I39" s="150"/>
      <c r="J39" s="15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6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49"/>
      <c r="I40" s="150"/>
      <c r="J40" s="151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7"/>
      <c r="B41" s="27" t="s">
        <v>67</v>
      </c>
      <c r="C41" s="10"/>
      <c r="D41" s="12">
        <f>C41*84</f>
        <v>0</v>
      </c>
      <c r="F41" s="12">
        <v>5</v>
      </c>
      <c r="G41" s="42"/>
      <c r="H41" s="149"/>
      <c r="I41" s="150"/>
      <c r="J41" s="151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8"/>
      <c r="B42" s="27" t="s">
        <v>69</v>
      </c>
      <c r="C42" s="11"/>
      <c r="D42" s="12">
        <f>C42*2.25</f>
        <v>0</v>
      </c>
      <c r="F42" s="39" t="s">
        <v>78</v>
      </c>
      <c r="G42" s="149"/>
      <c r="H42" s="150"/>
      <c r="I42" s="150"/>
      <c r="J42" s="151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19" t="s">
        <v>80</v>
      </c>
      <c r="C43" s="11"/>
      <c r="D43" s="12"/>
      <c r="F43" s="59" t="s">
        <v>81</v>
      </c>
      <c r="G43" s="100" t="s">
        <v>82</v>
      </c>
      <c r="H43" s="141" t="s">
        <v>13</v>
      </c>
      <c r="I43" s="142"/>
      <c r="J43" s="143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20"/>
      <c r="B44" s="27" t="s">
        <v>65</v>
      </c>
      <c r="C44" s="10"/>
      <c r="D44" s="12">
        <f>C44*120</f>
        <v>0</v>
      </c>
      <c r="F44" s="37"/>
      <c r="G44" s="62"/>
      <c r="H44" s="144"/>
      <c r="I44" s="144"/>
      <c r="J44" s="144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20"/>
      <c r="B45" s="27" t="s">
        <v>67</v>
      </c>
      <c r="C45" s="33"/>
      <c r="D45" s="12">
        <f>C45*84</f>
        <v>0</v>
      </c>
      <c r="F45" s="37"/>
      <c r="G45" s="62"/>
      <c r="H45" s="144"/>
      <c r="I45" s="144"/>
      <c r="J45" s="144"/>
      <c r="K45" s="21"/>
      <c r="P45" s="4"/>
      <c r="Q45" s="4"/>
      <c r="R45" s="5"/>
    </row>
    <row r="46" spans="1:18" ht="15.75" x14ac:dyDescent="0.25">
      <c r="A46" s="120"/>
      <c r="B46" s="49" t="s">
        <v>69</v>
      </c>
      <c r="C46" s="81"/>
      <c r="D46" s="12">
        <f>C46*1.5</f>
        <v>0</v>
      </c>
      <c r="F46" s="37"/>
      <c r="G46" s="62"/>
      <c r="H46" s="144"/>
      <c r="I46" s="144"/>
      <c r="J46" s="144"/>
      <c r="K46" s="21"/>
      <c r="P46" s="4"/>
      <c r="Q46" s="4"/>
      <c r="R46" s="5"/>
    </row>
    <row r="47" spans="1:18" ht="15.75" x14ac:dyDescent="0.25">
      <c r="A47" s="121"/>
      <c r="B47" s="27"/>
      <c r="C47" s="11"/>
      <c r="D47" s="12"/>
      <c r="F47" s="59"/>
      <c r="G47" s="59"/>
      <c r="H47" s="122"/>
      <c r="I47" s="123"/>
      <c r="J47" s="124"/>
      <c r="K47" s="21"/>
      <c r="P47" s="4"/>
      <c r="Q47" s="4"/>
      <c r="R47" s="5"/>
    </row>
    <row r="48" spans="1:18" ht="15" customHeight="1" x14ac:dyDescent="0.25">
      <c r="A48" s="119" t="s">
        <v>32</v>
      </c>
      <c r="B48" s="27" t="s">
        <v>65</v>
      </c>
      <c r="C48" s="10"/>
      <c r="D48" s="12">
        <f>C48*78</f>
        <v>0</v>
      </c>
      <c r="F48" s="59"/>
      <c r="G48" s="59"/>
      <c r="H48" s="122"/>
      <c r="I48" s="123"/>
      <c r="J48" s="124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20"/>
      <c r="B49" s="29" t="s">
        <v>67</v>
      </c>
      <c r="C49" s="33"/>
      <c r="D49" s="12">
        <f>C49*42</f>
        <v>0</v>
      </c>
      <c r="F49" s="125" t="s">
        <v>85</v>
      </c>
      <c r="G49" s="127">
        <f>H34+H35+H36+H37+H38+H39+H40+H41+G42+H44+H45+H46</f>
        <v>0</v>
      </c>
      <c r="H49" s="128"/>
      <c r="I49" s="128"/>
      <c r="J49" s="129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0"/>
      <c r="B50" s="32" t="s">
        <v>69</v>
      </c>
      <c r="C50" s="11"/>
      <c r="D50" s="12">
        <f>C50*1.5</f>
        <v>0</v>
      </c>
      <c r="F50" s="126"/>
      <c r="G50" s="130"/>
      <c r="H50" s="131"/>
      <c r="I50" s="131"/>
      <c r="J50" s="132"/>
      <c r="O50" t="s">
        <v>114</v>
      </c>
      <c r="P50" s="4">
        <v>1204</v>
      </c>
      <c r="Q50" s="4"/>
      <c r="R50" s="5"/>
    </row>
    <row r="51" spans="1:18" ht="15" customHeight="1" x14ac:dyDescent="0.25">
      <c r="A51" s="120"/>
      <c r="B51" s="27"/>
      <c r="C51" s="10"/>
      <c r="D51" s="31"/>
      <c r="F51" s="133" t="s">
        <v>184</v>
      </c>
      <c r="G51" s="236">
        <f>G49-H29</f>
        <v>0</v>
      </c>
      <c r="H51" s="237"/>
      <c r="I51" s="237"/>
      <c r="J51" s="238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20"/>
      <c r="B52" s="29"/>
      <c r="C52" s="33"/>
      <c r="D52" s="45"/>
      <c r="F52" s="134"/>
      <c r="G52" s="239"/>
      <c r="H52" s="240"/>
      <c r="I52" s="240"/>
      <c r="J52" s="241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1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05" t="s">
        <v>89</v>
      </c>
      <c r="B54" s="106"/>
      <c r="C54" s="107"/>
      <c r="D54" s="111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08"/>
      <c r="B55" s="109"/>
      <c r="C55" s="110"/>
      <c r="D55" s="11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113" t="s">
        <v>90</v>
      </c>
      <c r="B58" s="114"/>
      <c r="C58" s="114"/>
      <c r="D58" s="115"/>
      <c r="F58" s="113" t="s">
        <v>91</v>
      </c>
      <c r="G58" s="114"/>
      <c r="H58" s="114"/>
      <c r="I58" s="114"/>
      <c r="J58" s="115"/>
    </row>
    <row r="59" spans="1:18" x14ac:dyDescent="0.25">
      <c r="A59" s="116"/>
      <c r="B59" s="117"/>
      <c r="C59" s="117"/>
      <c r="D59" s="118"/>
      <c r="F59" s="116"/>
      <c r="G59" s="117"/>
      <c r="H59" s="117"/>
      <c r="I59" s="117"/>
      <c r="J59" s="118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0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2F44B5-B18A-4B3C-8F21-C15D698F0AE7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1" t="s">
        <v>1</v>
      </c>
      <c r="O1" s="201"/>
      <c r="P1" s="97" t="s">
        <v>2</v>
      </c>
      <c r="Q1" s="97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2" t="s">
        <v>7</v>
      </c>
      <c r="B4" s="153"/>
      <c r="C4" s="153"/>
      <c r="D4" s="154"/>
      <c r="F4" s="202" t="s">
        <v>8</v>
      </c>
      <c r="G4" s="204">
        <v>2</v>
      </c>
      <c r="H4" s="206" t="s">
        <v>9</v>
      </c>
      <c r="I4" s="208">
        <v>46172</v>
      </c>
      <c r="J4" s="20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6" t="s">
        <v>7</v>
      </c>
      <c r="B5" s="15" t="s">
        <v>11</v>
      </c>
      <c r="C5" s="9" t="s">
        <v>12</v>
      </c>
      <c r="D5" s="25" t="s">
        <v>13</v>
      </c>
      <c r="F5" s="203"/>
      <c r="G5" s="205"/>
      <c r="H5" s="207"/>
      <c r="I5" s="210"/>
      <c r="J5" s="21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7"/>
      <c r="B6" s="16" t="s">
        <v>15</v>
      </c>
      <c r="C6" s="10"/>
      <c r="D6" s="13">
        <f t="shared" ref="D6:D28" si="1">C6*L6</f>
        <v>0</v>
      </c>
      <c r="F6" s="212" t="s">
        <v>16</v>
      </c>
      <c r="G6" s="214" t="s">
        <v>107</v>
      </c>
      <c r="H6" s="215"/>
      <c r="I6" s="215"/>
      <c r="J6" s="21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7"/>
      <c r="B7" s="16" t="s">
        <v>18</v>
      </c>
      <c r="C7" s="10"/>
      <c r="D7" s="13">
        <f t="shared" si="1"/>
        <v>0</v>
      </c>
      <c r="F7" s="213"/>
      <c r="G7" s="217"/>
      <c r="H7" s="218"/>
      <c r="I7" s="218"/>
      <c r="J7" s="21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7"/>
      <c r="B8" s="16" t="s">
        <v>20</v>
      </c>
      <c r="C8" s="10"/>
      <c r="D8" s="13">
        <f t="shared" si="1"/>
        <v>0</v>
      </c>
      <c r="F8" s="220" t="s">
        <v>21</v>
      </c>
      <c r="G8" s="221" t="s">
        <v>100</v>
      </c>
      <c r="H8" s="222"/>
      <c r="I8" s="222"/>
      <c r="J8" s="22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7"/>
      <c r="B9" s="16" t="s">
        <v>23</v>
      </c>
      <c r="C9" s="10"/>
      <c r="D9" s="13">
        <f t="shared" si="1"/>
        <v>0</v>
      </c>
      <c r="F9" s="213"/>
      <c r="G9" s="224"/>
      <c r="H9" s="225"/>
      <c r="I9" s="225"/>
      <c r="J9" s="22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7"/>
      <c r="B10" t="s">
        <v>25</v>
      </c>
      <c r="C10" s="10"/>
      <c r="D10" s="13">
        <f t="shared" si="1"/>
        <v>0</v>
      </c>
      <c r="F10" s="212" t="s">
        <v>26</v>
      </c>
      <c r="G10" s="227" t="s">
        <v>101</v>
      </c>
      <c r="H10" s="228"/>
      <c r="I10" s="228"/>
      <c r="J10" s="229"/>
      <c r="K10" s="8"/>
      <c r="L10" s="6">
        <f>R36</f>
        <v>1032</v>
      </c>
      <c r="P10" s="4"/>
      <c r="Q10" s="4"/>
      <c r="R10" s="5"/>
    </row>
    <row r="11" spans="1:18" ht="15.75" x14ac:dyDescent="0.25">
      <c r="A11" s="147"/>
      <c r="B11" s="17" t="s">
        <v>28</v>
      </c>
      <c r="C11" s="10"/>
      <c r="D11" s="13">
        <f t="shared" si="1"/>
        <v>0</v>
      </c>
      <c r="F11" s="213"/>
      <c r="G11" s="224"/>
      <c r="H11" s="225"/>
      <c r="I11" s="225"/>
      <c r="J11" s="22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7"/>
      <c r="B12" s="17" t="s">
        <v>30</v>
      </c>
      <c r="C12" s="10"/>
      <c r="D12" s="48">
        <f t="shared" si="1"/>
        <v>0</v>
      </c>
      <c r="F12" s="230" t="s">
        <v>33</v>
      </c>
      <c r="G12" s="231"/>
      <c r="H12" s="231"/>
      <c r="I12" s="231"/>
      <c r="J12" s="23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7"/>
      <c r="B13" s="17" t="s">
        <v>32</v>
      </c>
      <c r="C13" s="10"/>
      <c r="D13" s="48">
        <f t="shared" si="1"/>
        <v>0</v>
      </c>
      <c r="F13" s="233" t="s">
        <v>36</v>
      </c>
      <c r="G13" s="197"/>
      <c r="H13" s="188">
        <f>D29</f>
        <v>0</v>
      </c>
      <c r="I13" s="189"/>
      <c r="J13" s="19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7"/>
      <c r="B14" s="14" t="s">
        <v>35</v>
      </c>
      <c r="C14" s="10"/>
      <c r="D14" s="31">
        <f t="shared" si="1"/>
        <v>0</v>
      </c>
      <c r="F14" s="191" t="s">
        <v>38</v>
      </c>
      <c r="G14" s="192"/>
      <c r="H14" s="193">
        <f>D54</f>
        <v>0</v>
      </c>
      <c r="I14" s="194"/>
      <c r="J14" s="19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7"/>
      <c r="B15" s="14" t="s">
        <v>122</v>
      </c>
      <c r="C15" s="10"/>
      <c r="D15" s="31">
        <f t="shared" si="1"/>
        <v>0</v>
      </c>
      <c r="F15" s="196" t="s">
        <v>39</v>
      </c>
      <c r="G15" s="197"/>
      <c r="H15" s="198">
        <f>H13-H14</f>
        <v>0</v>
      </c>
      <c r="I15" s="199"/>
      <c r="J15" s="200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7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58"/>
      <c r="I16" s="158"/>
      <c r="J16" s="158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7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69"/>
      <c r="I17" s="169"/>
      <c r="J17" s="169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7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69"/>
      <c r="I18" s="169"/>
      <c r="J18" s="169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7"/>
      <c r="B19" s="87" t="s">
        <v>105</v>
      </c>
      <c r="C19" s="10"/>
      <c r="D19" s="48">
        <f t="shared" si="1"/>
        <v>0</v>
      </c>
      <c r="F19" s="56"/>
      <c r="G19" s="68" t="s">
        <v>49</v>
      </c>
      <c r="H19" s="253"/>
      <c r="I19" s="253"/>
      <c r="J19" s="253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7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58"/>
      <c r="I20" s="158"/>
      <c r="J20" s="158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7"/>
      <c r="B21" s="14" t="s">
        <v>183</v>
      </c>
      <c r="C21" s="10"/>
      <c r="D21" s="48">
        <f t="shared" si="1"/>
        <v>0</v>
      </c>
      <c r="F21" s="69" t="s">
        <v>94</v>
      </c>
      <c r="G21" s="82" t="s">
        <v>93</v>
      </c>
      <c r="H21" s="171" t="s">
        <v>13</v>
      </c>
      <c r="I21" s="172"/>
      <c r="J21" s="173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7"/>
      <c r="B22" s="46" t="s">
        <v>103</v>
      </c>
      <c r="C22" s="10"/>
      <c r="D22" s="48">
        <f t="shared" si="1"/>
        <v>0</v>
      </c>
      <c r="F22" s="77"/>
      <c r="G22" s="73"/>
      <c r="H22" s="174"/>
      <c r="I22" s="174"/>
      <c r="J22" s="174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7"/>
      <c r="B23" s="14" t="s">
        <v>121</v>
      </c>
      <c r="C23" s="10"/>
      <c r="D23" s="48">
        <f t="shared" si="1"/>
        <v>0</v>
      </c>
      <c r="F23" s="78"/>
      <c r="G23" s="79"/>
      <c r="H23" s="254"/>
      <c r="I23" s="174"/>
      <c r="J23" s="174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7"/>
      <c r="B24" s="14" t="s">
        <v>128</v>
      </c>
      <c r="C24" s="10"/>
      <c r="D24" s="48">
        <f t="shared" si="1"/>
        <v>0</v>
      </c>
      <c r="F24" s="38"/>
      <c r="G24" s="37"/>
      <c r="H24" s="175"/>
      <c r="I24" s="144"/>
      <c r="J24" s="144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7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76" t="s">
        <v>13</v>
      </c>
      <c r="I25" s="177"/>
      <c r="J25" s="178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7"/>
      <c r="B26" s="14" t="s">
        <v>129</v>
      </c>
      <c r="C26" s="10"/>
      <c r="D26" s="48">
        <f t="shared" si="1"/>
        <v>0</v>
      </c>
      <c r="F26" s="64"/>
      <c r="G26" s="59"/>
      <c r="H26" s="179"/>
      <c r="I26" s="180"/>
      <c r="J26" s="181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7"/>
      <c r="B27" s="14" t="s">
        <v>130</v>
      </c>
      <c r="C27" s="10"/>
      <c r="D27" s="44">
        <f t="shared" si="1"/>
        <v>0</v>
      </c>
      <c r="F27" s="25"/>
      <c r="G27" s="80"/>
      <c r="H27" s="182"/>
      <c r="I27" s="183"/>
      <c r="J27" s="184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8"/>
      <c r="B28" s="46" t="s">
        <v>92</v>
      </c>
      <c r="C28" s="10"/>
      <c r="D28" s="48">
        <f t="shared" si="1"/>
        <v>0</v>
      </c>
      <c r="F28" s="98"/>
      <c r="G28" s="61"/>
      <c r="H28" s="185"/>
      <c r="I28" s="186"/>
      <c r="J28" s="187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9" t="s">
        <v>36</v>
      </c>
      <c r="B29" s="160"/>
      <c r="C29" s="161"/>
      <c r="D29" s="165">
        <f>SUM(D6:D28)</f>
        <v>0</v>
      </c>
      <c r="F29" s="105" t="s">
        <v>54</v>
      </c>
      <c r="G29" s="167"/>
      <c r="H29" s="127">
        <f>H15-H16-H17-H18-H19-H20-H22-H23-H24+H26+H27</f>
        <v>0</v>
      </c>
      <c r="I29" s="128"/>
      <c r="J29" s="129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08"/>
      <c r="G30" s="168"/>
      <c r="H30" s="130"/>
      <c r="I30" s="131"/>
      <c r="J30" s="132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2" t="s">
        <v>57</v>
      </c>
      <c r="B32" s="153"/>
      <c r="C32" s="153"/>
      <c r="D32" s="154"/>
      <c r="F32" s="155" t="s">
        <v>58</v>
      </c>
      <c r="G32" s="156"/>
      <c r="H32" s="156"/>
      <c r="I32" s="156"/>
      <c r="J32" s="157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9" t="s">
        <v>62</v>
      </c>
      <c r="H33" s="155" t="s">
        <v>13</v>
      </c>
      <c r="I33" s="156"/>
      <c r="J33" s="157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6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149">
        <f>F34*G34</f>
        <v>0</v>
      </c>
      <c r="I34" s="150"/>
      <c r="J34" s="151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7"/>
      <c r="B35" s="27" t="s">
        <v>67</v>
      </c>
      <c r="C35" s="52"/>
      <c r="D35" s="30">
        <f>C35*84</f>
        <v>0</v>
      </c>
      <c r="F35" s="58">
        <v>500</v>
      </c>
      <c r="G35" s="41"/>
      <c r="H35" s="149">
        <f>F35*G35</f>
        <v>0</v>
      </c>
      <c r="I35" s="150"/>
      <c r="J35" s="15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8"/>
      <c r="B36" s="26" t="s">
        <v>69</v>
      </c>
      <c r="C36" s="10"/>
      <c r="D36" s="12">
        <f>C36*1.5</f>
        <v>0</v>
      </c>
      <c r="F36" s="12">
        <v>200</v>
      </c>
      <c r="G36" s="37"/>
      <c r="H36" s="149">
        <f t="shared" ref="H36:H39" si="2">F36*G36</f>
        <v>0</v>
      </c>
      <c r="I36" s="150"/>
      <c r="J36" s="151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6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49">
        <f t="shared" si="2"/>
        <v>0</v>
      </c>
      <c r="I37" s="150"/>
      <c r="J37" s="151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7"/>
      <c r="B38" s="29" t="s">
        <v>67</v>
      </c>
      <c r="C38" s="54"/>
      <c r="D38" s="12">
        <f>C38*84</f>
        <v>0</v>
      </c>
      <c r="F38" s="30">
        <v>50</v>
      </c>
      <c r="G38" s="39"/>
      <c r="H38" s="149">
        <f t="shared" si="2"/>
        <v>0</v>
      </c>
      <c r="I38" s="150"/>
      <c r="J38" s="151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8"/>
      <c r="B39" s="29" t="s">
        <v>69</v>
      </c>
      <c r="C39" s="52"/>
      <c r="D39" s="31">
        <f>C39*4.5</f>
        <v>0</v>
      </c>
      <c r="F39" s="12">
        <v>20</v>
      </c>
      <c r="G39" s="37"/>
      <c r="H39" s="149">
        <f t="shared" si="2"/>
        <v>0</v>
      </c>
      <c r="I39" s="150"/>
      <c r="J39" s="15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6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49"/>
      <c r="I40" s="150"/>
      <c r="J40" s="151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7"/>
      <c r="B41" s="27" t="s">
        <v>67</v>
      </c>
      <c r="C41" s="10"/>
      <c r="D41" s="12">
        <f>C41*84</f>
        <v>0</v>
      </c>
      <c r="F41" s="12">
        <v>5</v>
      </c>
      <c r="G41" s="42"/>
      <c r="H41" s="149"/>
      <c r="I41" s="150"/>
      <c r="J41" s="151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8"/>
      <c r="B42" s="27" t="s">
        <v>69</v>
      </c>
      <c r="C42" s="11"/>
      <c r="D42" s="12">
        <f>C42*2.25</f>
        <v>0</v>
      </c>
      <c r="F42" s="39" t="s">
        <v>78</v>
      </c>
      <c r="G42" s="149"/>
      <c r="H42" s="150"/>
      <c r="I42" s="150"/>
      <c r="J42" s="151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19" t="s">
        <v>80</v>
      </c>
      <c r="C43" s="11"/>
      <c r="D43" s="12"/>
      <c r="F43" s="59" t="s">
        <v>81</v>
      </c>
      <c r="G43" s="100" t="s">
        <v>82</v>
      </c>
      <c r="H43" s="141" t="s">
        <v>13</v>
      </c>
      <c r="I43" s="142"/>
      <c r="J43" s="143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20"/>
      <c r="B44" s="27" t="s">
        <v>65</v>
      </c>
      <c r="C44" s="10"/>
      <c r="D44" s="12">
        <f>C44*120</f>
        <v>0</v>
      </c>
      <c r="F44" s="37"/>
      <c r="G44" s="76"/>
      <c r="H44" s="144"/>
      <c r="I44" s="144"/>
      <c r="J44" s="144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20"/>
      <c r="B45" s="27" t="s">
        <v>67</v>
      </c>
      <c r="C45" s="33"/>
      <c r="D45" s="12">
        <f>C45*84</f>
        <v>0</v>
      </c>
      <c r="F45" s="37"/>
      <c r="G45" s="76"/>
      <c r="H45" s="144"/>
      <c r="I45" s="144"/>
      <c r="J45" s="144"/>
      <c r="K45" s="21"/>
      <c r="P45" s="4"/>
      <c r="Q45" s="4"/>
      <c r="R45" s="5"/>
    </row>
    <row r="46" spans="1:18" ht="15.75" x14ac:dyDescent="0.25">
      <c r="A46" s="120"/>
      <c r="B46" s="49" t="s">
        <v>69</v>
      </c>
      <c r="C46" s="81"/>
      <c r="D46" s="12">
        <f>C46*1.5</f>
        <v>0</v>
      </c>
      <c r="F46" s="37"/>
      <c r="G46" s="62"/>
      <c r="H46" s="145"/>
      <c r="I46" s="145"/>
      <c r="J46" s="145"/>
      <c r="K46" s="21"/>
      <c r="P46" s="4"/>
      <c r="Q46" s="4"/>
      <c r="R46" s="5"/>
    </row>
    <row r="47" spans="1:18" ht="15.75" x14ac:dyDescent="0.25">
      <c r="A47" s="121"/>
      <c r="B47" s="27"/>
      <c r="C47" s="11"/>
      <c r="D47" s="12"/>
      <c r="F47" s="59"/>
      <c r="G47" s="59"/>
      <c r="H47" s="122"/>
      <c r="I47" s="123"/>
      <c r="J47" s="124"/>
      <c r="K47" s="21"/>
      <c r="P47" s="4"/>
      <c r="Q47" s="4"/>
      <c r="R47" s="5"/>
    </row>
    <row r="48" spans="1:18" ht="15" customHeight="1" x14ac:dyDescent="0.25">
      <c r="A48" s="119" t="s">
        <v>32</v>
      </c>
      <c r="B48" s="27" t="s">
        <v>65</v>
      </c>
      <c r="C48" s="10"/>
      <c r="D48" s="12">
        <f>C48*78</f>
        <v>0</v>
      </c>
      <c r="F48" s="59"/>
      <c r="G48" s="59"/>
      <c r="H48" s="122"/>
      <c r="I48" s="123"/>
      <c r="J48" s="124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20"/>
      <c r="B49" s="29" t="s">
        <v>67</v>
      </c>
      <c r="C49" s="33"/>
      <c r="D49" s="12">
        <f>C49*42</f>
        <v>0</v>
      </c>
      <c r="F49" s="125" t="s">
        <v>85</v>
      </c>
      <c r="G49" s="127">
        <f>H34+H35+H36+H37+H38+H39+H40+H41+G42+H44+H45+H46</f>
        <v>0</v>
      </c>
      <c r="H49" s="128"/>
      <c r="I49" s="128"/>
      <c r="J49" s="129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0"/>
      <c r="B50" s="32" t="s">
        <v>69</v>
      </c>
      <c r="C50" s="81"/>
      <c r="D50" s="12">
        <f>C50*1.5</f>
        <v>0</v>
      </c>
      <c r="F50" s="126"/>
      <c r="G50" s="130"/>
      <c r="H50" s="131"/>
      <c r="I50" s="131"/>
      <c r="J50" s="132"/>
      <c r="O50" t="s">
        <v>114</v>
      </c>
      <c r="P50" s="4">
        <v>1204</v>
      </c>
      <c r="Q50" s="4"/>
      <c r="R50" s="5"/>
    </row>
    <row r="51" spans="1:18" ht="15" customHeight="1" x14ac:dyDescent="0.25">
      <c r="A51" s="120"/>
      <c r="B51" s="27"/>
      <c r="C51" s="10"/>
      <c r="D51" s="31"/>
      <c r="F51" s="133" t="s">
        <v>115</v>
      </c>
      <c r="G51" s="135">
        <f>G49-H29</f>
        <v>0</v>
      </c>
      <c r="H51" s="136"/>
      <c r="I51" s="136"/>
      <c r="J51" s="137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20"/>
      <c r="B52" s="29"/>
      <c r="C52" s="33"/>
      <c r="D52" s="45"/>
      <c r="F52" s="134"/>
      <c r="G52" s="138"/>
      <c r="H52" s="139"/>
      <c r="I52" s="139"/>
      <c r="J52" s="140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1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05" t="s">
        <v>89</v>
      </c>
      <c r="B54" s="106"/>
      <c r="C54" s="107"/>
      <c r="D54" s="111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08"/>
      <c r="B55" s="109"/>
      <c r="C55" s="110"/>
      <c r="D55" s="11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13" t="s">
        <v>90</v>
      </c>
      <c r="B58" s="114"/>
      <c r="C58" s="114"/>
      <c r="D58" s="115"/>
      <c r="F58" s="113" t="s">
        <v>91</v>
      </c>
      <c r="G58" s="114"/>
      <c r="H58" s="114"/>
      <c r="I58" s="114"/>
      <c r="J58" s="115"/>
    </row>
    <row r="59" spans="1:18" x14ac:dyDescent="0.25">
      <c r="A59" s="116"/>
      <c r="B59" s="117"/>
      <c r="C59" s="117"/>
      <c r="D59" s="118"/>
      <c r="F59" s="116"/>
      <c r="G59" s="117"/>
      <c r="H59" s="117"/>
      <c r="I59" s="117"/>
      <c r="J59" s="118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0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7A8AAB-F56F-48D1-B945-3C4A7EC26F07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1" t="s">
        <v>1</v>
      </c>
      <c r="O1" s="201"/>
      <c r="P1" s="97" t="s">
        <v>2</v>
      </c>
      <c r="Q1" s="97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2" t="s">
        <v>7</v>
      </c>
      <c r="B4" s="153"/>
      <c r="C4" s="153"/>
      <c r="D4" s="154"/>
      <c r="F4" s="202" t="s">
        <v>8</v>
      </c>
      <c r="G4" s="204">
        <v>3</v>
      </c>
      <c r="H4" s="206" t="s">
        <v>9</v>
      </c>
      <c r="I4" s="208">
        <v>46172</v>
      </c>
      <c r="J4" s="20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6" t="s">
        <v>7</v>
      </c>
      <c r="B5" s="15" t="s">
        <v>11</v>
      </c>
      <c r="C5" s="9" t="s">
        <v>12</v>
      </c>
      <c r="D5" s="25" t="s">
        <v>13</v>
      </c>
      <c r="F5" s="203"/>
      <c r="G5" s="205"/>
      <c r="H5" s="207"/>
      <c r="I5" s="210"/>
      <c r="J5" s="21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7"/>
      <c r="B6" s="16" t="s">
        <v>15</v>
      </c>
      <c r="C6" s="10"/>
      <c r="D6" s="13">
        <f t="shared" ref="D6:D28" si="1">C6*L6</f>
        <v>0</v>
      </c>
      <c r="F6" s="212" t="s">
        <v>16</v>
      </c>
      <c r="G6" s="214" t="s">
        <v>117</v>
      </c>
      <c r="H6" s="215"/>
      <c r="I6" s="215"/>
      <c r="J6" s="21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7"/>
      <c r="B7" s="16" t="s">
        <v>18</v>
      </c>
      <c r="C7" s="10"/>
      <c r="D7" s="13">
        <f t="shared" si="1"/>
        <v>0</v>
      </c>
      <c r="F7" s="213"/>
      <c r="G7" s="217"/>
      <c r="H7" s="218"/>
      <c r="I7" s="218"/>
      <c r="J7" s="21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7"/>
      <c r="B8" s="16" t="s">
        <v>20</v>
      </c>
      <c r="C8" s="10"/>
      <c r="D8" s="13">
        <f t="shared" si="1"/>
        <v>0</v>
      </c>
      <c r="F8" s="220" t="s">
        <v>21</v>
      </c>
      <c r="G8" s="221" t="s">
        <v>110</v>
      </c>
      <c r="H8" s="222"/>
      <c r="I8" s="222"/>
      <c r="J8" s="22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7"/>
      <c r="B9" s="16" t="s">
        <v>23</v>
      </c>
      <c r="C9" s="10"/>
      <c r="D9" s="13">
        <f t="shared" si="1"/>
        <v>0</v>
      </c>
      <c r="F9" s="213"/>
      <c r="G9" s="224"/>
      <c r="H9" s="225"/>
      <c r="I9" s="225"/>
      <c r="J9" s="22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7"/>
      <c r="B10" t="s">
        <v>25</v>
      </c>
      <c r="C10" s="10"/>
      <c r="D10" s="13">
        <f t="shared" si="1"/>
        <v>0</v>
      </c>
      <c r="F10" s="212" t="s">
        <v>26</v>
      </c>
      <c r="G10" s="227" t="s">
        <v>124</v>
      </c>
      <c r="H10" s="228"/>
      <c r="I10" s="228"/>
      <c r="J10" s="229"/>
      <c r="K10" s="8"/>
      <c r="L10" s="6">
        <f>R36</f>
        <v>1032</v>
      </c>
      <c r="P10" s="4"/>
      <c r="Q10" s="4"/>
      <c r="R10" s="5"/>
    </row>
    <row r="11" spans="1:18" ht="15.75" x14ac:dyDescent="0.25">
      <c r="A11" s="147"/>
      <c r="B11" s="17" t="s">
        <v>28</v>
      </c>
      <c r="C11" s="10"/>
      <c r="D11" s="13">
        <f t="shared" si="1"/>
        <v>0</v>
      </c>
      <c r="F11" s="213"/>
      <c r="G11" s="224"/>
      <c r="H11" s="225"/>
      <c r="I11" s="225"/>
      <c r="J11" s="22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7"/>
      <c r="B12" s="17" t="s">
        <v>30</v>
      </c>
      <c r="C12" s="10"/>
      <c r="D12" s="48">
        <f t="shared" si="1"/>
        <v>0</v>
      </c>
      <c r="F12" s="230" t="s">
        <v>33</v>
      </c>
      <c r="G12" s="231"/>
      <c r="H12" s="231"/>
      <c r="I12" s="231"/>
      <c r="J12" s="23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7"/>
      <c r="B13" s="17" t="s">
        <v>32</v>
      </c>
      <c r="C13" s="10"/>
      <c r="D13" s="48">
        <f t="shared" si="1"/>
        <v>0</v>
      </c>
      <c r="F13" s="233" t="s">
        <v>36</v>
      </c>
      <c r="G13" s="197"/>
      <c r="H13" s="188">
        <f>D29</f>
        <v>0</v>
      </c>
      <c r="I13" s="189"/>
      <c r="J13" s="19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7"/>
      <c r="B14" s="14" t="s">
        <v>35</v>
      </c>
      <c r="C14" s="10"/>
      <c r="D14" s="31">
        <f t="shared" si="1"/>
        <v>0</v>
      </c>
      <c r="F14" s="191" t="s">
        <v>38</v>
      </c>
      <c r="G14" s="192"/>
      <c r="H14" s="193">
        <f>D54</f>
        <v>0</v>
      </c>
      <c r="I14" s="194"/>
      <c r="J14" s="19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7"/>
      <c r="B15" s="14" t="s">
        <v>122</v>
      </c>
      <c r="C15" s="10"/>
      <c r="D15" s="31">
        <f t="shared" si="1"/>
        <v>0</v>
      </c>
      <c r="F15" s="196" t="s">
        <v>39</v>
      </c>
      <c r="G15" s="197"/>
      <c r="H15" s="198">
        <f>H13-H14</f>
        <v>0</v>
      </c>
      <c r="I15" s="199"/>
      <c r="J15" s="200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7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58"/>
      <c r="I16" s="158"/>
      <c r="J16" s="158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7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69"/>
      <c r="I17" s="169"/>
      <c r="J17" s="169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7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69"/>
      <c r="I18" s="169"/>
      <c r="J18" s="169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7"/>
      <c r="B19" s="87" t="s">
        <v>105</v>
      </c>
      <c r="C19" s="10"/>
      <c r="D19" s="48">
        <f t="shared" si="1"/>
        <v>0</v>
      </c>
      <c r="F19" s="56"/>
      <c r="G19" s="68" t="s">
        <v>49</v>
      </c>
      <c r="H19" s="253"/>
      <c r="I19" s="253"/>
      <c r="J19" s="253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7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58"/>
      <c r="I20" s="158"/>
      <c r="J20" s="158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7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71" t="s">
        <v>13</v>
      </c>
      <c r="I21" s="172"/>
      <c r="J21" s="173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7"/>
      <c r="B22" s="46" t="s">
        <v>103</v>
      </c>
      <c r="C22" s="10"/>
      <c r="D22" s="48">
        <f t="shared" si="1"/>
        <v>0</v>
      </c>
      <c r="F22" s="77"/>
      <c r="G22" s="73"/>
      <c r="H22" s="174"/>
      <c r="I22" s="174"/>
      <c r="J22" s="174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7"/>
      <c r="B23" s="14" t="s">
        <v>121</v>
      </c>
      <c r="C23" s="10"/>
      <c r="D23" s="48">
        <f t="shared" si="1"/>
        <v>0</v>
      </c>
      <c r="F23" s="78"/>
      <c r="G23" s="79"/>
      <c r="H23" s="254"/>
      <c r="I23" s="174"/>
      <c r="J23" s="174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7"/>
      <c r="B24" s="14" t="s">
        <v>128</v>
      </c>
      <c r="C24" s="10"/>
      <c r="D24" s="48">
        <f t="shared" si="1"/>
        <v>0</v>
      </c>
      <c r="F24" s="38"/>
      <c r="G24" s="37"/>
      <c r="H24" s="175"/>
      <c r="I24" s="144"/>
      <c r="J24" s="144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7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76" t="s">
        <v>13</v>
      </c>
      <c r="I25" s="177"/>
      <c r="J25" s="178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7"/>
      <c r="B26" s="14" t="s">
        <v>129</v>
      </c>
      <c r="C26" s="10"/>
      <c r="D26" s="48">
        <f t="shared" si="1"/>
        <v>0</v>
      </c>
      <c r="F26" s="64"/>
      <c r="G26" s="59"/>
      <c r="H26" s="179"/>
      <c r="I26" s="180"/>
      <c r="J26" s="181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7"/>
      <c r="B27" s="14" t="s">
        <v>130</v>
      </c>
      <c r="C27" s="10"/>
      <c r="D27" s="44">
        <f t="shared" si="1"/>
        <v>0</v>
      </c>
      <c r="F27" s="25"/>
      <c r="G27" s="80"/>
      <c r="H27" s="182"/>
      <c r="I27" s="183"/>
      <c r="J27" s="184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8"/>
      <c r="B28" s="46" t="s">
        <v>92</v>
      </c>
      <c r="C28" s="10"/>
      <c r="D28" s="48">
        <f t="shared" si="1"/>
        <v>0</v>
      </c>
      <c r="F28" s="98"/>
      <c r="G28" s="61"/>
      <c r="H28" s="185"/>
      <c r="I28" s="186"/>
      <c r="J28" s="187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9" t="s">
        <v>36</v>
      </c>
      <c r="B29" s="160"/>
      <c r="C29" s="161"/>
      <c r="D29" s="165">
        <f>SUM(D6:D28)</f>
        <v>0</v>
      </c>
      <c r="F29" s="105" t="s">
        <v>54</v>
      </c>
      <c r="G29" s="167"/>
      <c r="H29" s="127">
        <f>H15-H16-H17-H18-H19-H20-H22-H23-H24+H26+H27</f>
        <v>0</v>
      </c>
      <c r="I29" s="128"/>
      <c r="J29" s="129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08"/>
      <c r="G30" s="168"/>
      <c r="H30" s="130"/>
      <c r="I30" s="131"/>
      <c r="J30" s="132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2" t="s">
        <v>57</v>
      </c>
      <c r="B32" s="153"/>
      <c r="C32" s="153"/>
      <c r="D32" s="154"/>
      <c r="F32" s="155" t="s">
        <v>58</v>
      </c>
      <c r="G32" s="156"/>
      <c r="H32" s="156"/>
      <c r="I32" s="156"/>
      <c r="J32" s="157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9" t="s">
        <v>62</v>
      </c>
      <c r="H33" s="155" t="s">
        <v>13</v>
      </c>
      <c r="I33" s="156"/>
      <c r="J33" s="157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6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149">
        <f>F34*G34</f>
        <v>0</v>
      </c>
      <c r="I34" s="150"/>
      <c r="J34" s="151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7"/>
      <c r="B35" s="27" t="s">
        <v>67</v>
      </c>
      <c r="C35" s="52"/>
      <c r="D35" s="30">
        <f>C35*84</f>
        <v>0</v>
      </c>
      <c r="F35" s="58">
        <v>500</v>
      </c>
      <c r="G35" s="41"/>
      <c r="H35" s="149">
        <f>F35*G35</f>
        <v>0</v>
      </c>
      <c r="I35" s="150"/>
      <c r="J35" s="15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8"/>
      <c r="B36" s="26" t="s">
        <v>69</v>
      </c>
      <c r="C36" s="10"/>
      <c r="D36" s="12">
        <f>C36*1.5</f>
        <v>0</v>
      </c>
      <c r="F36" s="12">
        <v>200</v>
      </c>
      <c r="G36" s="37"/>
      <c r="H36" s="149">
        <f t="shared" ref="H36:H39" si="2">F36*G36</f>
        <v>0</v>
      </c>
      <c r="I36" s="150"/>
      <c r="J36" s="151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6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49">
        <f t="shared" si="2"/>
        <v>0</v>
      </c>
      <c r="I37" s="150"/>
      <c r="J37" s="151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7"/>
      <c r="B38" s="29" t="s">
        <v>67</v>
      </c>
      <c r="C38" s="54"/>
      <c r="D38" s="12">
        <f>C38*84</f>
        <v>0</v>
      </c>
      <c r="F38" s="30">
        <v>50</v>
      </c>
      <c r="G38" s="39"/>
      <c r="H38" s="149">
        <f t="shared" si="2"/>
        <v>0</v>
      </c>
      <c r="I38" s="150"/>
      <c r="J38" s="151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8"/>
      <c r="B39" s="29" t="s">
        <v>69</v>
      </c>
      <c r="C39" s="52"/>
      <c r="D39" s="31">
        <f>C39*4.5</f>
        <v>0</v>
      </c>
      <c r="F39" s="12">
        <v>20</v>
      </c>
      <c r="G39" s="37"/>
      <c r="H39" s="149">
        <f t="shared" si="2"/>
        <v>0</v>
      </c>
      <c r="I39" s="150"/>
      <c r="J39" s="15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6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49"/>
      <c r="I40" s="150"/>
      <c r="J40" s="151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7"/>
      <c r="B41" s="27" t="s">
        <v>67</v>
      </c>
      <c r="C41" s="10"/>
      <c r="D41" s="12">
        <f>C41*84</f>
        <v>0</v>
      </c>
      <c r="F41" s="12">
        <v>5</v>
      </c>
      <c r="G41" s="42"/>
      <c r="H41" s="149"/>
      <c r="I41" s="150"/>
      <c r="J41" s="151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8"/>
      <c r="B42" s="27" t="s">
        <v>69</v>
      </c>
      <c r="C42" s="11"/>
      <c r="D42" s="12">
        <f>C42*2.25</f>
        <v>0</v>
      </c>
      <c r="F42" s="39" t="s">
        <v>78</v>
      </c>
      <c r="G42" s="149"/>
      <c r="H42" s="150"/>
      <c r="I42" s="150"/>
      <c r="J42" s="151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19" t="s">
        <v>80</v>
      </c>
      <c r="C43" s="11"/>
      <c r="D43" s="12"/>
      <c r="F43" s="59" t="s">
        <v>81</v>
      </c>
      <c r="G43" s="100" t="s">
        <v>82</v>
      </c>
      <c r="H43" s="141" t="s">
        <v>13</v>
      </c>
      <c r="I43" s="142"/>
      <c r="J43" s="143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20"/>
      <c r="B44" s="27" t="s">
        <v>65</v>
      </c>
      <c r="C44" s="10"/>
      <c r="D44" s="12">
        <f>C44*120</f>
        <v>0</v>
      </c>
      <c r="F44" s="37"/>
      <c r="G44" s="76"/>
      <c r="H44" s="144"/>
      <c r="I44" s="144"/>
      <c r="J44" s="144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20"/>
      <c r="B45" s="27" t="s">
        <v>67</v>
      </c>
      <c r="C45" s="33"/>
      <c r="D45" s="12">
        <f>C45*84</f>
        <v>0</v>
      </c>
      <c r="F45" s="37"/>
      <c r="G45" s="76"/>
      <c r="H45" s="144"/>
      <c r="I45" s="144"/>
      <c r="J45" s="144"/>
      <c r="K45" s="21"/>
      <c r="P45" s="4"/>
      <c r="Q45" s="4"/>
      <c r="R45" s="5"/>
    </row>
    <row r="46" spans="1:18" ht="15.75" x14ac:dyDescent="0.25">
      <c r="A46" s="120"/>
      <c r="B46" s="49" t="s">
        <v>69</v>
      </c>
      <c r="C46" s="81"/>
      <c r="D46" s="12">
        <f>C46*1.5</f>
        <v>0</v>
      </c>
      <c r="F46" s="37"/>
      <c r="G46" s="62"/>
      <c r="H46" s="145"/>
      <c r="I46" s="145"/>
      <c r="J46" s="145"/>
      <c r="K46" s="21"/>
      <c r="P46" s="4"/>
      <c r="Q46" s="4"/>
      <c r="R46" s="5"/>
    </row>
    <row r="47" spans="1:18" ht="15.75" x14ac:dyDescent="0.25">
      <c r="A47" s="121"/>
      <c r="B47" s="27"/>
      <c r="C47" s="11"/>
      <c r="D47" s="12"/>
      <c r="F47" s="59"/>
      <c r="G47" s="59"/>
      <c r="H47" s="122"/>
      <c r="I47" s="123"/>
      <c r="J47" s="124"/>
      <c r="K47" s="21"/>
      <c r="P47" s="4"/>
      <c r="Q47" s="4"/>
      <c r="R47" s="5"/>
    </row>
    <row r="48" spans="1:18" ht="15" customHeight="1" x14ac:dyDescent="0.25">
      <c r="A48" s="119" t="s">
        <v>32</v>
      </c>
      <c r="B48" s="27" t="s">
        <v>65</v>
      </c>
      <c r="C48" s="10"/>
      <c r="D48" s="12">
        <f>C48*78</f>
        <v>0</v>
      </c>
      <c r="F48" s="59"/>
      <c r="G48" s="59"/>
      <c r="H48" s="122"/>
      <c r="I48" s="123"/>
      <c r="J48" s="124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20"/>
      <c r="B49" s="29" t="s">
        <v>67</v>
      </c>
      <c r="C49" s="33"/>
      <c r="D49" s="12">
        <f>C49*42</f>
        <v>0</v>
      </c>
      <c r="F49" s="125" t="s">
        <v>85</v>
      </c>
      <c r="G49" s="127">
        <f>H34+H35+H36+H37+H38+H39+H40+H41+G42+H44+H45+H46</f>
        <v>0</v>
      </c>
      <c r="H49" s="128"/>
      <c r="I49" s="128"/>
      <c r="J49" s="129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0"/>
      <c r="B50" s="32" t="s">
        <v>69</v>
      </c>
      <c r="C50" s="11"/>
      <c r="D50" s="12">
        <f>C50*1.5</f>
        <v>0</v>
      </c>
      <c r="F50" s="126"/>
      <c r="G50" s="130"/>
      <c r="H50" s="131"/>
      <c r="I50" s="131"/>
      <c r="J50" s="132"/>
      <c r="O50" t="s">
        <v>114</v>
      </c>
      <c r="P50" s="4">
        <v>1204</v>
      </c>
      <c r="Q50" s="4"/>
      <c r="R50" s="5"/>
    </row>
    <row r="51" spans="1:18" ht="15" customHeight="1" x14ac:dyDescent="0.25">
      <c r="A51" s="120"/>
      <c r="B51" s="27"/>
      <c r="C51" s="10"/>
      <c r="D51" s="31"/>
      <c r="F51" s="133" t="s">
        <v>115</v>
      </c>
      <c r="G51" s="135">
        <f>G49-H29</f>
        <v>0</v>
      </c>
      <c r="H51" s="136"/>
      <c r="I51" s="136"/>
      <c r="J51" s="137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20"/>
      <c r="B52" s="29"/>
      <c r="C52" s="33"/>
      <c r="D52" s="45"/>
      <c r="F52" s="134"/>
      <c r="G52" s="138"/>
      <c r="H52" s="139"/>
      <c r="I52" s="139"/>
      <c r="J52" s="140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1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05" t="s">
        <v>89</v>
      </c>
      <c r="B54" s="106"/>
      <c r="C54" s="107"/>
      <c r="D54" s="111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08"/>
      <c r="B55" s="109"/>
      <c r="C55" s="110"/>
      <c r="D55" s="11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13" t="s">
        <v>90</v>
      </c>
      <c r="B58" s="114"/>
      <c r="C58" s="114"/>
      <c r="D58" s="115"/>
      <c r="F58" s="113" t="s">
        <v>91</v>
      </c>
      <c r="G58" s="114"/>
      <c r="H58" s="114"/>
      <c r="I58" s="114"/>
      <c r="J58" s="115"/>
    </row>
    <row r="59" spans="1:18" x14ac:dyDescent="0.25">
      <c r="A59" s="116"/>
      <c r="B59" s="117"/>
      <c r="C59" s="117"/>
      <c r="D59" s="118"/>
      <c r="F59" s="116"/>
      <c r="G59" s="117"/>
      <c r="H59" s="117"/>
      <c r="I59" s="117"/>
      <c r="J59" s="118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103</vt:i4>
      </vt:variant>
      <vt:variant>
        <vt:lpstr>Named Ranges</vt:lpstr>
      </vt:variant>
      <vt:variant>
        <vt:i4>102</vt:i4>
      </vt:variant>
    </vt:vector>
  </HeadingPairs>
  <TitlesOfParts>
    <vt:vector size="205" baseType="lpstr">
      <vt:lpstr>(MAY 2026)</vt:lpstr>
      <vt:lpstr>(01)</vt:lpstr>
      <vt:lpstr>05,01 R1</vt:lpstr>
      <vt:lpstr>05,01 R2</vt:lpstr>
      <vt:lpstr>05,01 R3</vt:lpstr>
      <vt:lpstr>(2)</vt:lpstr>
      <vt:lpstr>05,02 R3</vt:lpstr>
      <vt:lpstr>(4)</vt:lpstr>
      <vt:lpstr>05,04 R1</vt:lpstr>
      <vt:lpstr>05,04 R2</vt:lpstr>
      <vt:lpstr>05,04 R3</vt:lpstr>
      <vt:lpstr>(5)</vt:lpstr>
      <vt:lpstr>05,05 R1</vt:lpstr>
      <vt:lpstr>05,05 R2</vt:lpstr>
      <vt:lpstr>05,05 R3</vt:lpstr>
      <vt:lpstr>(6)</vt:lpstr>
      <vt:lpstr>05,06 R1</vt:lpstr>
      <vt:lpstr>05,06 R2</vt:lpstr>
      <vt:lpstr>05,06 R3</vt:lpstr>
      <vt:lpstr>(7)</vt:lpstr>
      <vt:lpstr>05,07 R1</vt:lpstr>
      <vt:lpstr>05,07 R1 (2)</vt:lpstr>
      <vt:lpstr>05,07 R2</vt:lpstr>
      <vt:lpstr>05,07 R3</vt:lpstr>
      <vt:lpstr>(8)</vt:lpstr>
      <vt:lpstr>05,08 R1 NO TRIP</vt:lpstr>
      <vt:lpstr>05,08 R2</vt:lpstr>
      <vt:lpstr>05,08 R3</vt:lpstr>
      <vt:lpstr>(11)</vt:lpstr>
      <vt:lpstr>05,11 R1</vt:lpstr>
      <vt:lpstr>05,11 R2</vt:lpstr>
      <vt:lpstr>05,11 R3</vt:lpstr>
      <vt:lpstr>(12)</vt:lpstr>
      <vt:lpstr>05,12 R1</vt:lpstr>
      <vt:lpstr>05,12 R2</vt:lpstr>
      <vt:lpstr>05,12 R3</vt:lpstr>
      <vt:lpstr>(13)</vt:lpstr>
      <vt:lpstr>05,13 R1</vt:lpstr>
      <vt:lpstr>05,13 R2</vt:lpstr>
      <vt:lpstr>05,13 R3 NO TRIP</vt:lpstr>
      <vt:lpstr>(14)</vt:lpstr>
      <vt:lpstr>05,14 R1</vt:lpstr>
      <vt:lpstr>05,14 R2 NO TRIP</vt:lpstr>
      <vt:lpstr>05,14 R3</vt:lpstr>
      <vt:lpstr>(15)</vt:lpstr>
      <vt:lpstr>05,15 R1</vt:lpstr>
      <vt:lpstr>05,15 R2</vt:lpstr>
      <vt:lpstr>05,15 R3</vt:lpstr>
      <vt:lpstr>(16)</vt:lpstr>
      <vt:lpstr>05,15 R1 NO TRIP</vt:lpstr>
      <vt:lpstr>05,16 R2</vt:lpstr>
      <vt:lpstr>05,16 R3 NO TRIP</vt:lpstr>
      <vt:lpstr>(18)</vt:lpstr>
      <vt:lpstr>05,18 R1 NO TRIP</vt:lpstr>
      <vt:lpstr>05,18 R2</vt:lpstr>
      <vt:lpstr>05,18 R3</vt:lpstr>
      <vt:lpstr>(19)</vt:lpstr>
      <vt:lpstr>05,19 R1 ORG</vt:lpstr>
      <vt:lpstr>05,19 R1 NEW</vt:lpstr>
      <vt:lpstr>05,19 R1 COLLECTION</vt:lpstr>
      <vt:lpstr>05,19 R2</vt:lpstr>
      <vt:lpstr>05,19 R3</vt:lpstr>
      <vt:lpstr>(20)</vt:lpstr>
      <vt:lpstr>05,20 R1</vt:lpstr>
      <vt:lpstr>05,20 R2</vt:lpstr>
      <vt:lpstr>05,20 R3</vt:lpstr>
      <vt:lpstr>(21)</vt:lpstr>
      <vt:lpstr>05,21 R1</vt:lpstr>
      <vt:lpstr>05,21 R2</vt:lpstr>
      <vt:lpstr>05,21 R3</vt:lpstr>
      <vt:lpstr>(22)</vt:lpstr>
      <vt:lpstr>05,22 R1</vt:lpstr>
      <vt:lpstr>05,22 R1 Collection</vt:lpstr>
      <vt:lpstr>05,22 R2</vt:lpstr>
      <vt:lpstr>05,22 R3 NO TRIP</vt:lpstr>
      <vt:lpstr>(23)</vt:lpstr>
      <vt:lpstr>05,23 R1</vt:lpstr>
      <vt:lpstr>05,23 R2</vt:lpstr>
      <vt:lpstr>05,23 R3</vt:lpstr>
      <vt:lpstr>(25)</vt:lpstr>
      <vt:lpstr>05,25 R1</vt:lpstr>
      <vt:lpstr>05,25 R2</vt:lpstr>
      <vt:lpstr>05,25 R3</vt:lpstr>
      <vt:lpstr>(26)</vt:lpstr>
      <vt:lpstr>05,26 R1</vt:lpstr>
      <vt:lpstr>05,26 R2</vt:lpstr>
      <vt:lpstr>05,26 R3</vt:lpstr>
      <vt:lpstr>(27)</vt:lpstr>
      <vt:lpstr>05,27 R1</vt:lpstr>
      <vt:lpstr>05,27 R2</vt:lpstr>
      <vt:lpstr>05,27 R3</vt:lpstr>
      <vt:lpstr>(28)</vt:lpstr>
      <vt:lpstr>05,28 R1</vt:lpstr>
      <vt:lpstr>05,28 R2</vt:lpstr>
      <vt:lpstr>05,28 R3</vt:lpstr>
      <vt:lpstr>(29)</vt:lpstr>
      <vt:lpstr>05,29 R1</vt:lpstr>
      <vt:lpstr>05,29 R2</vt:lpstr>
      <vt:lpstr>05,29 R3</vt:lpstr>
      <vt:lpstr>(30)</vt:lpstr>
      <vt:lpstr>05,30 R1</vt:lpstr>
      <vt:lpstr>05,30 R2</vt:lpstr>
      <vt:lpstr>05,30 R3</vt:lpstr>
      <vt:lpstr>'(01)'!Print_Area</vt:lpstr>
      <vt:lpstr>'(11)'!Print_Area</vt:lpstr>
      <vt:lpstr>'(12)'!Print_Area</vt:lpstr>
      <vt:lpstr>'(13)'!Print_Area</vt:lpstr>
      <vt:lpstr>'(14)'!Print_Area</vt:lpstr>
      <vt:lpstr>'(15)'!Print_Area</vt:lpstr>
      <vt:lpstr>'(16)'!Print_Area</vt:lpstr>
      <vt:lpstr>'(18)'!Print_Area</vt:lpstr>
      <vt:lpstr>'(19)'!Print_Area</vt:lpstr>
      <vt:lpstr>'(2)'!Print_Area</vt:lpstr>
      <vt:lpstr>'(20)'!Print_Area</vt:lpstr>
      <vt:lpstr>'(21)'!Print_Area</vt:lpstr>
      <vt:lpstr>'(22)'!Print_Area</vt:lpstr>
      <vt:lpstr>'(23)'!Print_Area</vt:lpstr>
      <vt:lpstr>'(25)'!Print_Area</vt:lpstr>
      <vt:lpstr>'(26)'!Print_Area</vt:lpstr>
      <vt:lpstr>'(27)'!Print_Area</vt:lpstr>
      <vt:lpstr>'(28)'!Print_Area</vt:lpstr>
      <vt:lpstr>'(29)'!Print_Area</vt:lpstr>
      <vt:lpstr>'(30)'!Print_Area</vt:lpstr>
      <vt:lpstr>'(4)'!Print_Area</vt:lpstr>
      <vt:lpstr>'(5)'!Print_Area</vt:lpstr>
      <vt:lpstr>'(6)'!Print_Area</vt:lpstr>
      <vt:lpstr>'(7)'!Print_Area</vt:lpstr>
      <vt:lpstr>'(8)'!Print_Area</vt:lpstr>
      <vt:lpstr>'05,01 R1'!Print_Area</vt:lpstr>
      <vt:lpstr>'05,01 R2'!Print_Area</vt:lpstr>
      <vt:lpstr>'05,01 R3'!Print_Area</vt:lpstr>
      <vt:lpstr>'05,02 R3'!Print_Area</vt:lpstr>
      <vt:lpstr>'05,04 R1'!Print_Area</vt:lpstr>
      <vt:lpstr>'05,04 R2'!Print_Area</vt:lpstr>
      <vt:lpstr>'05,04 R3'!Print_Area</vt:lpstr>
      <vt:lpstr>'05,05 R1'!Print_Area</vt:lpstr>
      <vt:lpstr>'05,05 R2'!Print_Area</vt:lpstr>
      <vt:lpstr>'05,05 R3'!Print_Area</vt:lpstr>
      <vt:lpstr>'05,06 R1'!Print_Area</vt:lpstr>
      <vt:lpstr>'05,06 R2'!Print_Area</vt:lpstr>
      <vt:lpstr>'05,06 R3'!Print_Area</vt:lpstr>
      <vt:lpstr>'05,07 R1'!Print_Area</vt:lpstr>
      <vt:lpstr>'05,07 R1 (2)'!Print_Area</vt:lpstr>
      <vt:lpstr>'05,07 R2'!Print_Area</vt:lpstr>
      <vt:lpstr>'05,07 R3'!Print_Area</vt:lpstr>
      <vt:lpstr>'05,08 R1 NO TRIP'!Print_Area</vt:lpstr>
      <vt:lpstr>'05,08 R2'!Print_Area</vt:lpstr>
      <vt:lpstr>'05,08 R3'!Print_Area</vt:lpstr>
      <vt:lpstr>'05,11 R1'!Print_Area</vt:lpstr>
      <vt:lpstr>'05,11 R2'!Print_Area</vt:lpstr>
      <vt:lpstr>'05,11 R3'!Print_Area</vt:lpstr>
      <vt:lpstr>'05,12 R1'!Print_Area</vt:lpstr>
      <vt:lpstr>'05,12 R2'!Print_Area</vt:lpstr>
      <vt:lpstr>'05,12 R3'!Print_Area</vt:lpstr>
      <vt:lpstr>'05,13 R1'!Print_Area</vt:lpstr>
      <vt:lpstr>'05,13 R2'!Print_Area</vt:lpstr>
      <vt:lpstr>'05,13 R3 NO TRIP'!Print_Area</vt:lpstr>
      <vt:lpstr>'05,14 R1'!Print_Area</vt:lpstr>
      <vt:lpstr>'05,14 R2 NO TRIP'!Print_Area</vt:lpstr>
      <vt:lpstr>'05,14 R3'!Print_Area</vt:lpstr>
      <vt:lpstr>'05,15 R1'!Print_Area</vt:lpstr>
      <vt:lpstr>'05,15 R1 NO TRIP'!Print_Area</vt:lpstr>
      <vt:lpstr>'05,15 R2'!Print_Area</vt:lpstr>
      <vt:lpstr>'05,15 R3'!Print_Area</vt:lpstr>
      <vt:lpstr>'05,16 R2'!Print_Area</vt:lpstr>
      <vt:lpstr>'05,16 R3 NO TRIP'!Print_Area</vt:lpstr>
      <vt:lpstr>'05,18 R1 NO TRIP'!Print_Area</vt:lpstr>
      <vt:lpstr>'05,18 R2'!Print_Area</vt:lpstr>
      <vt:lpstr>'05,18 R3'!Print_Area</vt:lpstr>
      <vt:lpstr>'05,19 R1 COLLECTION'!Print_Area</vt:lpstr>
      <vt:lpstr>'05,19 R1 NEW'!Print_Area</vt:lpstr>
      <vt:lpstr>'05,19 R1 ORG'!Print_Area</vt:lpstr>
      <vt:lpstr>'05,19 R2'!Print_Area</vt:lpstr>
      <vt:lpstr>'05,19 R3'!Print_Area</vt:lpstr>
      <vt:lpstr>'05,20 R1'!Print_Area</vt:lpstr>
      <vt:lpstr>'05,20 R2'!Print_Area</vt:lpstr>
      <vt:lpstr>'05,20 R3'!Print_Area</vt:lpstr>
      <vt:lpstr>'05,21 R1'!Print_Area</vt:lpstr>
      <vt:lpstr>'05,21 R2'!Print_Area</vt:lpstr>
      <vt:lpstr>'05,21 R3'!Print_Area</vt:lpstr>
      <vt:lpstr>'05,22 R1'!Print_Area</vt:lpstr>
      <vt:lpstr>'05,22 R1 Collection'!Print_Area</vt:lpstr>
      <vt:lpstr>'05,22 R2'!Print_Area</vt:lpstr>
      <vt:lpstr>'05,22 R3 NO TRIP'!Print_Area</vt:lpstr>
      <vt:lpstr>'05,23 R1'!Print_Area</vt:lpstr>
      <vt:lpstr>'05,23 R2'!Print_Area</vt:lpstr>
      <vt:lpstr>'05,23 R3'!Print_Area</vt:lpstr>
      <vt:lpstr>'05,25 R1'!Print_Area</vt:lpstr>
      <vt:lpstr>'05,25 R2'!Print_Area</vt:lpstr>
      <vt:lpstr>'05,25 R3'!Print_Area</vt:lpstr>
      <vt:lpstr>'05,26 R1'!Print_Area</vt:lpstr>
      <vt:lpstr>'05,26 R2'!Print_Area</vt:lpstr>
      <vt:lpstr>'05,26 R3'!Print_Area</vt:lpstr>
      <vt:lpstr>'05,27 R1'!Print_Area</vt:lpstr>
      <vt:lpstr>'05,27 R2'!Print_Area</vt:lpstr>
      <vt:lpstr>'05,27 R3'!Print_Area</vt:lpstr>
      <vt:lpstr>'05,28 R1'!Print_Area</vt:lpstr>
      <vt:lpstr>'05,28 R2'!Print_Area</vt:lpstr>
      <vt:lpstr>'05,28 R3'!Print_Area</vt:lpstr>
      <vt:lpstr>'05,29 R1'!Print_Area</vt:lpstr>
      <vt:lpstr>'05,29 R2'!Print_Area</vt:lpstr>
      <vt:lpstr>'05,29 R3'!Print_Area</vt:lpstr>
      <vt:lpstr>'05,30 R1'!Print_Area</vt:lpstr>
      <vt:lpstr>'05,30 R2'!Print_Area</vt:lpstr>
      <vt:lpstr>'05,30 R3'!Print_Area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2026-05-28T01:05:16Z</cp:lastPrinted>
  <dcterms:created xsi:type="dcterms:W3CDTF">2024-09-01T23:36:50Z</dcterms:created>
  <dcterms:modified xsi:type="dcterms:W3CDTF">2026-05-28T08:25:46Z</dcterms:modified>
</cp:coreProperties>
</file>