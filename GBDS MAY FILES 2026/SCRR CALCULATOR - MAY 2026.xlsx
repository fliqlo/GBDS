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3989DFE-189E-4D7B-B59C-6C52B69437D7}" xr6:coauthVersionLast="45" xr6:coauthVersionMax="47" xr10:uidLastSave="{00000000-0000-0000-0000-000000000000}"/>
  <bookViews>
    <workbookView xWindow="-120" yWindow="-120" windowWidth="29040" windowHeight="15840" firstSheet="77" activeTab="88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5" l="1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15" l="1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<sst xmlns="http://schemas.openxmlformats.org/spreadsheetml/2006/main" count="13830" uniqueCount="219">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</sst>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405449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91" t="s">
        <v>38</v>
      </c>
      <c r="G14" s="192"/>
      <c r="H14" s="193">
        <f>D54</f>
        <v>70817.25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334631.75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05" t="s">
        <v>54</v>
      </c>
      <c r="G29" s="167"/>
      <c r="H29" s="127">
        <f>H15-H16-H17-H18-H19-H20-H22-H23-H24+H26+H27+H28</f>
        <v>331751.75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9">
        <f t="shared" ref="H34:H39" si="2">F34*G34</f>
        <v>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9">
        <f t="shared" si="2"/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103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4">
        <v>306035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10505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69</v>
      </c>
      <c r="D49" s="12">
        <f>C49*42</f>
        <v>2898</v>
      </c>
      <c r="F49" s="125" t="s">
        <v>85</v>
      </c>
      <c r="G49" s="127">
        <f>H34+H35+H36+H37+H38+H39+H40+H41+G42+H44+H45+H46</f>
        <v>331463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-288.75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4">
        <v>70631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70631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9">
        <f t="shared" ref="H34:H39" si="2">F34*G34</f>
        <v>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70631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242941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33151.5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209789.5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05" t="s">
        <v>54</v>
      </c>
      <c r="G29" s="167"/>
      <c r="H29" s="127">
        <f>H15-H16-H17-H18-H19-H20-H22-H23-H24+H26+H27</f>
        <v>209789.5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9">
        <f>F34*G34</f>
        <v>179000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9">
        <f t="shared" ref="H35:H39" si="2">F35*G35</f>
        <v>22000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9">
        <f t="shared" si="2"/>
        <v>4500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295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205795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-3994.5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233" t="s">
        <v>36</v>
      </c>
      <c r="G13" s="197"/>
      <c r="H13" s="188">
        <f>D29</f>
        <v>355053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38</v>
      </c>
      <c r="G14" s="192"/>
      <c r="H14" s="193">
        <f>D54</f>
        <v>51516.75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96" t="s">
        <v>39</v>
      </c>
      <c r="G15" s="197"/>
      <c r="H15" s="198">
        <f>H13-H14</f>
        <v>303536.25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05" t="s">
        <v>54</v>
      </c>
      <c r="G29" s="167"/>
      <c r="H29" s="127">
        <f>H15-H16-H17-H18-H19-H20-H22-H23-H24+H26+H27</f>
        <v>301508.25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9">
        <f>F34*G34</f>
        <v>90000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4">
        <v>116753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4">
        <v>70468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301499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257721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91" t="s">
        <v>38</v>
      </c>
      <c r="G14" s="192"/>
      <c r="H14" s="193">
        <f>D54</f>
        <v>24684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233037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05" t="s">
        <v>54</v>
      </c>
      <c r="G29" s="167"/>
      <c r="H29" s="127">
        <f>H15-H16-H17-H18-H19-H20-H22-H23-H24+H26+H27</f>
        <v>231897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9">
        <f t="shared" ref="H35:H39" si="2">F35*G35</f>
        <v>42000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4">
        <v>144012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6</v>
      </c>
      <c r="D46" s="12">
        <f>C46*1.5</f>
        <v>9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234242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2345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411243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62579.25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348663.75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05" t="s">
        <v>54</v>
      </c>
      <c r="G29" s="167"/>
      <c r="H29" s="127">
        <f>H15-H16-H17-H18-H19-H20-H22-H23-H24+H26+H27</f>
        <v>346119.75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9">
        <f>F34*G34</f>
        <v>202000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9">
        <f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84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4">
        <v>95996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76"/>
      <c r="H45" s="144">
        <v>18000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34</v>
      </c>
      <c r="D49" s="12">
        <f>C49*42</f>
        <v>1428</v>
      </c>
      <c r="F49" s="125" t="s">
        <v>85</v>
      </c>
      <c r="G49" s="127">
        <f>H34+H35+H36+H37+H38+H39+H40+H41+G42+H44+H45+H46</f>
        <v>346730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610.25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312686.83333333331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42262.5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270424.33333333331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05" t="s">
        <v>54</v>
      </c>
      <c r="G29" s="167"/>
      <c r="H29" s="127">
        <f>H15-H16-H17-H18-H19-H20-H22-H23-H24+H26+H27+H28</f>
        <v>270424.33333333331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9">
        <f t="shared" ref="H34:H39" si="2">F34*G34</f>
        <v>136000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9">
        <f t="shared" si="2"/>
        <v>54000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9">
        <f t="shared" si="2"/>
        <v>6800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4">
        <v>64500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9016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270377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164</v>
      </c>
      <c r="G51" s="246">
        <f>G49-H29</f>
        <v>-47.333333333313931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385347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57529.5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327817.5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05" t="s">
        <v>54</v>
      </c>
      <c r="G29" s="167"/>
      <c r="H29" s="127">
        <f>H15-H16-H17-H18-H19-H20-H22-H23-H24+H26+H27</f>
        <v>324937.5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9">
        <f>F34*G34</f>
        <v>203000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9">
        <f t="shared" ref="H35:H39" si="2">F35*G35</f>
        <v>70500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9">
        <f t="shared" si="2"/>
        <v>31800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9">
        <f t="shared" si="2"/>
        <v>20200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</v>
      </c>
      <c r="D49" s="12">
        <f>C49*42</f>
        <v>126</v>
      </c>
      <c r="F49" s="125" t="s">
        <v>85</v>
      </c>
      <c r="G49" s="127">
        <f>H34+H35+H36+H37+H38+H39+H40+H41+G42+H44+H45+H46</f>
        <v>325700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762.5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306343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38</v>
      </c>
      <c r="G14" s="192"/>
      <c r="H14" s="193">
        <f>D54</f>
        <v>51729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254614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05" t="s">
        <v>54</v>
      </c>
      <c r="G29" s="167"/>
      <c r="H29" s="127">
        <f>H15-H16-H17-H18-H19-H20-H22-H23-H24+H26+H27</f>
        <v>252932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9">
        <f>F35*G35</f>
        <v>51000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4">
        <v>65537.5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4">
        <v>45415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255583.5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2651.5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302421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42444.75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259976.25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05" t="s">
        <v>54</v>
      </c>
      <c r="G29" s="167"/>
      <c r="H29" s="127">
        <f>H15-H16-H17-H18-H19-H20-H22-H23-H24+H26+H27+H28</f>
        <v>257779.79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9">
        <f t="shared" ref="H34:H39" si="2"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4">
        <v>231190.25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257590.25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-189.54000000000815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288065.5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41509.5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246556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05" t="s">
        <v>54</v>
      </c>
      <c r="G29" s="167"/>
      <c r="H29" s="127">
        <f>H15-H16-H17-H18-H19-H20-H22-H23-H24+H26+H27</f>
        <v>245110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9">
        <f>F34*G34</f>
        <v>84000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 t="shared" ref="H35:H39" si="2"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87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4">
        <v>157141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244228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-882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485304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77406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96" t="s">
        <v>39</v>
      </c>
      <c r="G15" s="197"/>
      <c r="H15" s="198">
        <f>H13-H14</f>
        <v>407898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05" t="s">
        <v>54</v>
      </c>
      <c r="G29" s="167"/>
      <c r="H29" s="127">
        <f>H15-H16-H17-H18-H19-H20-H22-H23-H24+H26+H27</f>
        <v>404232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9">
        <f>F34*G34</f>
        <v>46000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4">
        <v>60416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4">
        <v>295595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402716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172</v>
      </c>
      <c r="G51" s="246">
        <f>G49-H29</f>
        <v>-1516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346170.83333333331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300119.33333333331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4">
        <v>65678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05" t="s">
        <v>54</v>
      </c>
      <c r="G29" s="167"/>
      <c r="H29" s="127">
        <f>H15-H16-H17-H18-H19-H20-H22-H23-H24+H26+H27+H28</f>
        <v>234441.33333333331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9">
        <f t="shared" ref="H34:H39" si="2">F34*G34</f>
        <v>181000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9">
        <f t="shared" si="2"/>
        <v>53000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65</v>
      </c>
      <c r="D44" s="12">
        <f>C44*120</f>
        <v>7800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3.6666666666860692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274505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38</v>
      </c>
      <c r="G14" s="192"/>
      <c r="H14" s="193">
        <f>D54</f>
        <v>40630.5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233874.5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05" t="s">
        <v>54</v>
      </c>
      <c r="G29" s="167"/>
      <c r="H29" s="127">
        <f>H15-H16-H17-H18-H19-H20-H22-H23-H24+H26+H27</f>
        <v>231930.5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9">
        <f>F34*G34</f>
        <v>220000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15</v>
      </c>
      <c r="D46" s="12">
        <f>C46*1.5</f>
        <v>22.5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231660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18</v>
      </c>
      <c r="D50" s="12">
        <f>C50*1.5</f>
        <v>27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-270.5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563496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38</v>
      </c>
      <c r="G14" s="192"/>
      <c r="H14" s="193">
        <f>D54</f>
        <v>77337.75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486158.25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4">
        <v>78233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4">
        <v>92804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05" t="s">
        <v>54</v>
      </c>
      <c r="G29" s="167"/>
      <c r="H29" s="127">
        <f>H15-H16-H17-H18-H19-H20-H22-H23-H24+H26+H27+H28</f>
        <v>497309.25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9">
        <f t="shared" ref="H34:H39" si="2">F34*G34</f>
        <v>300000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9">
        <f t="shared" si="2"/>
        <v>103000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9">
        <f t="shared" si="2"/>
        <v>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57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4">
        <v>92804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38</v>
      </c>
      <c r="D49" s="12">
        <f>C49*42</f>
        <v>1596</v>
      </c>
      <c r="F49" s="125" t="s">
        <v>85</v>
      </c>
      <c r="G49" s="127">
        <f>H34+H35+H36+H37+H38+H39+H40+H41+G42+H44+H45+H46</f>
        <v>497161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34</v>
      </c>
      <c r="D50" s="12">
        <f>C50*1.5</f>
        <v>51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-148.25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344042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46017.75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298024.25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05" t="s">
        <v>54</v>
      </c>
      <c r="G29" s="167"/>
      <c r="H29" s="127">
        <f>H15-H16-H17-H18-H19-H20-H22-H23-H24+H26+H27</f>
        <v>296318.25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9">
        <f>F34*G34</f>
        <v>76000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9">
        <f>F35*G35</f>
        <v>17000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4">
        <v>183675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4">
        <v>19904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296629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310.75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339179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333351.5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4">
        <v>62135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05" t="s">
        <v>54</v>
      </c>
      <c r="G29" s="167"/>
      <c r="H29" s="127">
        <f>H15-H16-H17-H18-H19-H20-H22-H23-H24+H26+H27+H28</f>
        <v>269272.5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9">
        <f t="shared" ref="H34:H39" si="2">F34*G34</f>
        <v>13000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9">
        <f t="shared" si="2"/>
        <v>13500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4">
        <v>244620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271320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2047.5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301997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44970.75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257026.25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05" t="s">
        <v>54</v>
      </c>
      <c r="G29" s="167"/>
      <c r="H29" s="127">
        <f>H15-H16-H17-H18-H19-H20-H22-H23-H24+H26+H27</f>
        <v>255826.25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9">
        <f>F34*G34</f>
        <v>69000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9">
        <f t="shared" ref="H35:H39" si="2">F35*G35</f>
        <v>20000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9">
        <f t="shared" si="2"/>
        <v>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4">
        <v>130451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33800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256005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4</v>
      </c>
      <c r="D50" s="12">
        <f>C50*1.5</f>
        <v>6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178.75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509099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71080.5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438018.5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05" t="s">
        <v>54</v>
      </c>
      <c r="G29" s="167"/>
      <c r="H29" s="127">
        <f>H15-H16-H17-H18-H19-H20-H22-H23-H24+H26+H27</f>
        <v>434826.5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4">
        <v>171049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4">
        <v>140478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434967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140</v>
      </c>
      <c r="D50" s="12">
        <f>C50*1.5</f>
        <v>210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4">
        <v>65678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65678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9">
        <f t="shared" ref="H34:H39" si="2">F34*G34</f>
        <v>65000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65678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272545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41206.5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231338.5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05" t="s">
        <v>54</v>
      </c>
      <c r="G29" s="167"/>
      <c r="H29" s="127">
        <f>H15-H16-H17-H18-H19-H20-H22-H23-H24+H26+H27</f>
        <v>229232.5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9">
        <f>F34*G34</f>
        <v>32000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9">
        <f>F35*G35</f>
        <v>105500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9">
        <f t="shared" si="2"/>
        <v>70000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9">
        <f t="shared" si="2"/>
        <v>19400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182</v>
      </c>
      <c r="G44" s="76"/>
      <c r="H44" s="144">
        <v>2317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16</v>
      </c>
      <c r="D49" s="12">
        <f>C49*42</f>
        <v>672</v>
      </c>
      <c r="F49" s="125" t="s">
        <v>85</v>
      </c>
      <c r="G49" s="127">
        <f>H34+H35+H36+H37+H38+H39+H40+H41+G42+H44+H45+H46</f>
        <v>229254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491364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69771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421593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05" t="s">
        <v>54</v>
      </c>
      <c r="G29" s="167"/>
      <c r="H29" s="127">
        <f>H15-H16-H17-H18-H19-H20-H22-H23-H24+H26+H27</f>
        <v>417927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9">
        <f>F34*G34</f>
        <v>53000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4">
        <v>264034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417722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-205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543461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91" t="s">
        <v>38</v>
      </c>
      <c r="G14" s="192"/>
      <c r="H14" s="193">
        <f>D54</f>
        <v>78838.5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464622.5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05" t="s">
        <v>54</v>
      </c>
      <c r="G29" s="167"/>
      <c r="H29" s="127">
        <f>H15-H16-H17-H18-H19-H20-H22-H23-H24+H26+H27</f>
        <v>461788.5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4">
        <v>100352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4">
        <v>198087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4">
        <v>107346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461803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191</v>
      </c>
      <c r="G51" s="236">
        <f>G49-H29</f>
        <v>14.5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70551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372248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369506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8012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61281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381518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1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3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378776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f>47</f>
        <v>47</v>
      </c>
      <c r="H42" s="150"/>
      <c r="I42" s="150"/>
      <c r="J42" s="15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-1258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9270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-9270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4">
        <v>62135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52865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9">
        <f t="shared" ref="H34:H39" si="2">F34*G34</f>
        <v>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9">
        <f t="shared" si="2"/>
        <v>34000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52865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320424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48226.5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272197.5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05" t="s">
        <v>54</v>
      </c>
      <c r="G29" s="167"/>
      <c r="H29" s="127">
        <f>H15-H16-H17-H18-H19-H20-H22-H23-H24+H26+H27</f>
        <v>270121.5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9">
        <f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9">
        <f>F35*G35</f>
        <v>12500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4">
        <v>140694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269353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-768.5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524541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72742.5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451798.5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05" t="s">
        <v>54</v>
      </c>
      <c r="G29" s="167"/>
      <c r="H29" s="127">
        <f>H15-H16-H17-H18-H19-H20-H22-H23-H24+H26+H27</f>
        <v>448138.5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9">
        <f t="shared" si="2"/>
        <v>8200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4">
        <v>329457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22</v>
      </c>
      <c r="D49" s="12">
        <f>C49*42</f>
        <v>924</v>
      </c>
      <c r="F49" s="125" t="s">
        <v>85</v>
      </c>
      <c r="G49" s="127">
        <f>H34+H35+H36+H37+H38+H39+H40+H41+G42+H44+H45+H46</f>
        <v>448525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386.5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392951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338312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05" t="s">
        <v>54</v>
      </c>
      <c r="G29" s="167"/>
      <c r="H29" s="127">
        <f>H15-H16-H17-H18-H19-H20-H22-H23-H24+H26+H27+H28</f>
        <v>338312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9">
        <f t="shared" ref="H34:H39" si="2">F34*G34</f>
        <v>134000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9">
        <f t="shared" si="2"/>
        <v>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9">
        <f t="shared" si="2"/>
        <v>8300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9">
        <f t="shared" si="2"/>
        <v>1950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4">
        <v>83120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60000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337800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-512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294125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250146.5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05" t="s">
        <v>54</v>
      </c>
      <c r="G29" s="167"/>
      <c r="H29" s="127">
        <f>H15-H16-H17-H18-H19-H20-H22-H23-H24+H26+H27</f>
        <v>248850.5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9">
        <f>F35*G35</f>
        <v>150000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9">
        <f t="shared" si="2"/>
        <v>1550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249675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824.5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212" t="s">
        <v>16</v>
      </c>
      <c r="G6" s="214" t="s">
        <v>197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276301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37863.75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238437.25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05" t="s">
        <v>54</v>
      </c>
      <c r="G29" s="167"/>
      <c r="H29" s="127">
        <f>H15-H16-H17-H18-H19-H20-H22-H23-H24+H26+H27</f>
        <v>237123.25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9">
        <f>F34*G34</f>
        <v>145000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9">
        <f>F35*G35</f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9">
        <f t="shared" si="2"/>
        <v>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4">
        <v>70614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4</v>
      </c>
      <c r="D45" s="12">
        <f>C45*84</f>
        <v>336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236789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-334.25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216025.16666666666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28238.25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96" t="s">
        <v>39</v>
      </c>
      <c r="G15" s="197"/>
      <c r="H15" s="198">
        <f>H13-H14</f>
        <v>187786.91666666666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4">
        <v>57556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05" t="s">
        <v>54</v>
      </c>
      <c r="G29" s="167"/>
      <c r="H29" s="127">
        <f>H15-H16-H17-H18-H19-H20-H22-H23-H24+H26+H27+H28</f>
        <v>130230.91666666666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9">
        <f t="shared" si="2"/>
        <v>1200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4">
        <v>19994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4">
        <v>7705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129445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130</v>
      </c>
      <c r="D50" s="12">
        <f>C50*1.5</f>
        <v>195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-785.91666666665697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238493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43047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195446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4"/>
      <c r="I22" s="174"/>
      <c r="J22" s="174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05" t="s">
        <v>54</v>
      </c>
      <c r="G29" s="167"/>
      <c r="H29" s="127">
        <f>H15-H16-H17-H18-H19-H20-H22-H23-H24+H26+H27</f>
        <v>194288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9">
        <f>F34*G34</f>
        <v>68000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9">
        <f t="shared" si="2"/>
        <v>1000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4">
        <v>124572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194198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412292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66883.5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345408.5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05" t="s">
        <v>54</v>
      </c>
      <c r="G29" s="167"/>
      <c r="H29" s="127">
        <f>H15-H16-H17-H18-H19-H20-H22-H23-H24+H26+H27</f>
        <v>343192.5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9">
        <f>F34*G34</f>
        <v>194000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9">
        <f>F35*G35</f>
        <v>25000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9">
        <f t="shared" si="2"/>
        <v>12300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9">
        <f t="shared" si="2"/>
        <v>7400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219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4">
        <v>102299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341838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-1354.5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446</v>
      </c>
      <c r="D6" s="13">
        <f t="shared" ref="D6:D28" si="1">C6*L6</f>
        <v>339406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343836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51543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292293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05" t="s">
        <v>54</v>
      </c>
      <c r="G29" s="167"/>
      <c r="H29" s="127">
        <f>H15-H16-H17-H18-H19-H20-H22-H23-H24+H26+H27+H28</f>
        <v>347471.73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9">
        <f t="shared" ref="H34:H39" si="2">F34*G34</f>
        <v>302000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9">
        <f t="shared" si="2"/>
        <v>45500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f>87+6</f>
        <v>93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13</v>
      </c>
      <c r="D49" s="12">
        <f>C49*42</f>
        <v>546</v>
      </c>
      <c r="F49" s="125" t="s">
        <v>85</v>
      </c>
      <c r="G49" s="127">
        <f>H34+H35+H36+H37+H38+H39+H40+H41+G42+H44+H45+H46</f>
        <v>347643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171.27000000001863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57556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57556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294</v>
      </c>
      <c r="D6" s="13">
        <f t="shared" ref="D6:D28" si="1">C6*L6</f>
        <v>223734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33</v>
      </c>
      <c r="D9" s="13">
        <f t="shared" si="1"/>
        <v>24189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254943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39281.25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215661.75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05" t="s">
        <v>54</v>
      </c>
      <c r="G29" s="167"/>
      <c r="H29" s="127">
        <f>H15-H16-H17-H18-H19-H20-H22-H23-H24+H26+H27</f>
        <v>214593.75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9">
        <f>F34*G34</f>
        <v>170000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9">
        <f t="shared" si="2"/>
        <v>4100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391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214741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</v>
      </c>
      <c r="D50" s="12">
        <f>C50*1.5</f>
        <v>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147.25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364</v>
      </c>
      <c r="D6" s="13">
        <f t="shared" ref="D6:D28" si="1">C6*L6</f>
        <v>277004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20</v>
      </c>
      <c r="D10" s="13">
        <f t="shared" si="1"/>
        <v>20640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305232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89406.75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215825.25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05" t="s">
        <v>54</v>
      </c>
      <c r="G29" s="167"/>
      <c r="H29" s="127">
        <f>H15-H16-H17-H18-H19-H20-H22-H23-H24+H26+H27+H28</f>
        <v>213755.25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9">
        <f t="shared" ref="H34:H39" si="2">F34*G34</f>
        <v>17000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9">
        <f t="shared" si="2"/>
        <v>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4">
        <v>192163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24</v>
      </c>
      <c r="D49" s="12">
        <f>C49*42</f>
        <v>1008</v>
      </c>
      <c r="F49" s="125" t="s">
        <v>85</v>
      </c>
      <c r="G49" s="127">
        <f>H34+H35+H36+H37+H38+H39+H40+H41+G42+H44+H45+H46</f>
        <v>213763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7.75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274</v>
      </c>
      <c r="D6" s="13">
        <f t="shared" ref="D6:D28" si="1">C6*L6</f>
        <v>208514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231087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31207.5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199879.5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05" t="s">
        <v>54</v>
      </c>
      <c r="G29" s="167"/>
      <c r="H29" s="127">
        <f>H15-H16-H17-H18-H19-H20-H22-H23-H24+H26+H27</f>
        <v>198523.5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9">
        <f>F34*G34</f>
        <v>41000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20</v>
      </c>
      <c r="D42" s="12">
        <f>C42*2.25</f>
        <v>45</v>
      </c>
      <c r="F42" s="39" t="s">
        <v>78</v>
      </c>
      <c r="G42" s="149">
        <v>42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4">
        <v>154005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17</v>
      </c>
      <c r="D49" s="12">
        <f>C49*42</f>
        <v>714</v>
      </c>
      <c r="F49" s="125" t="s">
        <v>85</v>
      </c>
      <c r="G49" s="127">
        <f>H34+H35+H36+H37+H38+H39+H40+H41+G42+H44+H45+H46</f>
        <v>198647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35</v>
      </c>
      <c r="D50" s="12">
        <f>C50*1.5</f>
        <v>52.5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123.5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665</v>
      </c>
      <c r="D6" s="13">
        <f t="shared" ref="D6:D28" si="1">C6*L6</f>
        <v>506065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</v>
      </c>
      <c r="D9" s="13">
        <f t="shared" si="1"/>
        <v>733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542169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85605.75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456563.25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05" t="s">
        <v>54</v>
      </c>
      <c r="G29" s="167"/>
      <c r="H29" s="127">
        <f>H15-H16-H17-H18-H19-H20-H22-H23-H24+H26+H27</f>
        <v>454961.25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9">
        <f>F34*G34</f>
        <v>105000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9">
        <f>F35*G35</f>
        <v>12000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22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4">
        <v>27108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4">
        <v>237647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4">
        <v>70468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453795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-1166.25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84</v>
      </c>
      <c r="D6" s="13">
        <f t="shared" ref="D6:D28" si="1">C6*L6</f>
        <v>63924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</v>
      </c>
      <c r="D13" s="48">
        <f t="shared" si="1"/>
        <v>614</v>
      </c>
      <c r="F13" s="233" t="s">
        <v>36</v>
      </c>
      <c r="G13" s="197"/>
      <c r="H13" s="188">
        <f>D29</f>
        <v>88474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12474.75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75999.25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05" t="s">
        <v>54</v>
      </c>
      <c r="G29" s="167"/>
      <c r="H29" s="127">
        <f>H15-H16-H17-H18-H19-H20-H22-H23-H24+H26+H27+H28</f>
        <v>75999.25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49">
        <f t="shared" si="2"/>
        <v>18000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49">
        <f t="shared" si="2"/>
        <v>1300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196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76696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696.75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231</v>
      </c>
      <c r="D6" s="13">
        <f t="shared" ref="D6:D28" si="1">C6*L6</f>
        <v>175791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134</v>
      </c>
      <c r="D9" s="13">
        <f t="shared" si="1"/>
        <v>98222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278040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41770.5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236269.5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05" t="s">
        <v>54</v>
      </c>
      <c r="G29" s="167"/>
      <c r="H29" s="127">
        <f>H15-H16-H17-H18-H19-H20-H22-H23-H24+H26+H27</f>
        <v>234187.5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49">
        <f>F34*G34</f>
        <v>40000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49">
        <f>F35*G35</f>
        <v>101500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49">
        <f t="shared" si="2"/>
        <v>8600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44">
        <v>83720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234103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20</v>
      </c>
      <c r="D50" s="12">
        <f>C50*1.5</f>
        <v>30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-84.5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448</v>
      </c>
      <c r="D6" s="13">
        <f t="shared" ref="D6:D28" si="1">C6*L6</f>
        <v>340928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14</v>
      </c>
      <c r="D7" s="13">
        <f t="shared" si="1"/>
        <v>10934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100</v>
      </c>
      <c r="D9" s="13">
        <f t="shared" si="1"/>
        <v>73300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429899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41526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388373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05" t="s">
        <v>54</v>
      </c>
      <c r="G29" s="167"/>
      <c r="H29" s="127">
        <f>H15-H16-H17-H18-H19-H20-H22-H23-H24+H26+H27</f>
        <v>386583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49">
        <f>F34*G34</f>
        <v>64000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49">
        <f>F35*G35</f>
        <v>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56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44">
        <v>155617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44">
        <v>172322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393845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7262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250</v>
      </c>
      <c r="D6" s="13">
        <f t="shared" ref="D6:D28" si="1">C6*L6</f>
        <v>190250</v>
      </c>
      <c r="F6" s="212" t="s">
        <v>16</v>
      </c>
      <c r="G6" s="214" t="s">
        <v>214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99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27</v>
      </c>
      <c r="D9" s="13">
        <f t="shared" si="1"/>
        <v>19791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216781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32183.25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184597.75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05" t="s">
        <v>54</v>
      </c>
      <c r="G29" s="167"/>
      <c r="H29" s="127">
        <f>H15-H16-H17-H18-H19-H20-H22-H23-H24+H26+H27+H28</f>
        <v>184597.75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49">
        <f t="shared" ref="H34:H39" si="2">F34*G34</f>
        <v>112000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49">
        <f t="shared" si="2"/>
        <v>33500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49">
        <f t="shared" si="2"/>
        <v>2000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62"/>
      <c r="H44" s="144">
        <v>31000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5850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184646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48.25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278</v>
      </c>
      <c r="D6" s="13">
        <f t="shared" ref="D6:D28" si="1">C6*L6</f>
        <v>211558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101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236836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30952.5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205883.5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05" t="s">
        <v>54</v>
      </c>
      <c r="G29" s="167"/>
      <c r="H29" s="127">
        <f>H15-H16-H17-H18-H19-H20-H22-H23-H24+H26+H27</f>
        <v>204773.5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49">
        <f>F34*G34</f>
        <v>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49">
        <f>F35*G35</f>
        <v>11500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44">
        <v>126587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204623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-150.5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504</v>
      </c>
      <c r="D6" s="13">
        <f t="shared" ref="D6:D28" si="1">C6*L6</f>
        <v>383544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12496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13194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416264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59088.75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357175.25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05" t="s">
        <v>54</v>
      </c>
      <c r="G29" s="167"/>
      <c r="H29" s="127">
        <f>H15-H16-H17-H18-H19-H20-H22-H23-H24+H26+H27</f>
        <v>354823.25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49">
        <f>F34*G34</f>
        <v>115000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49">
        <f>F35*G35</f>
        <v>17500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49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44">
        <v>217844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353193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-1630.25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tabSelected="1" topLeftCell="A37" zoomScaleNormal="100" zoomScaleSheetLayoutView="85" workbookViewId="0">
      <selection activeCell="I56" sqref="I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324</v>
      </c>
      <c r="D6" s="13">
        <f t="shared" ref="D6:D28" si="1">C6*L6</f>
        <v>246564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267784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32602.5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235181.5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2064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267784</v>
      </c>
      <c r="F29" s="105" t="s">
        <v>54</v>
      </c>
      <c r="G29" s="167"/>
      <c r="H29" s="127">
        <f>H15-H16-H17-H18-H19-H20-H22-H23-H24+H26+H27+H28</f>
        <v>233117.5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49">
        <f t="shared" ref="H34:H39" si="2">F34*G34</f>
        <v>123000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49">
        <f t="shared" si="2"/>
        <v>109500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232700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217</v>
      </c>
      <c r="G51" s="246">
        <f>G49-H29</f>
        <v>-417.5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topLeftCell="A28" zoomScaleNormal="100" zoomScaleSheetLayoutView="85" workbookViewId="0">
      <selection activeCell="H56" sqref="H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149</v>
      </c>
      <c r="D6" s="13">
        <f t="shared" ref="D6:D28" si="1">C6*L6</f>
        <v>113389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136970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19894.5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117075.5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768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136970</v>
      </c>
      <c r="F29" s="105" t="s">
        <v>54</v>
      </c>
      <c r="G29" s="167"/>
      <c r="H29" s="127">
        <f>H15-H16-H17-H18-H19-H20-H22-H23-H24+H26+H27</f>
        <v>116307.5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49">
        <f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>F35*G35</f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116438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130.5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topLeftCell="A22" zoomScaleNormal="100" zoomScaleSheetLayoutView="85" workbookViewId="0">
      <selection activeCell="L53" sqref="L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253015.5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34426.5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218589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630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253015.5</v>
      </c>
      <c r="F29" s="105" t="s">
        <v>54</v>
      </c>
      <c r="G29" s="167"/>
      <c r="H29" s="127">
        <f>H15-H16-H17-H18-H19-H20-H22-H23-H24+H26+H27</f>
        <v>217959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49">
        <f>F34*G34</f>
        <v>125000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49">
        <f>F35*G35</f>
        <v>23500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44">
        <v>69286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218551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592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2026-05-28T01:05:16Z</cp:lastPrinted>
  <dcterms:created xsi:type="dcterms:W3CDTF">2024-09-01T23:36:50Z</dcterms:created>
  <dcterms:modified xsi:type="dcterms:W3CDTF">2026-05-28T01:08:20Z</dcterms:modified>
</cp:coreProperties>
</file>