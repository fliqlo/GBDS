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7A02E23B-4AEF-45C9-B123-7644A5BBF6FF}" xr6:coauthVersionLast="45" xr6:coauthVersionMax="47" xr10:uidLastSave="{00000000-0000-0000-0000-000000000000}"/>
  <bookViews>
    <workbookView xWindow="-120" yWindow="-120" windowWidth="29040" windowHeight="15840" firstSheet="54" activeTab="64" xr2:uid="{00000000-000D-0000-FFFF-FFFF00000000}"/>
  </bookViews>
  <sheets>
    <sheet name="(MAY 2026)" sheetId="814" r:id="rId1"/>
    <sheet name="(01)" sheetId="2026" r:id="rId2"/>
    <sheet name="05,01 R1" sheetId="2027" r:id="rId3"/>
    <sheet name="05,01 R2" sheetId="2028" r:id="rId4"/>
    <sheet name="05,01 R3" sheetId="2029" r:id="rId5"/>
    <sheet name="(2)" sheetId="2054" r:id="rId6"/>
    <sheet name="05,02 R3" sheetId="2055" r:id="rId7"/>
    <sheet name="(4)" sheetId="2030" r:id="rId8"/>
    <sheet name="05,04 R1" sheetId="2031" r:id="rId9"/>
    <sheet name="05,04 R2" sheetId="2032" r:id="rId10"/>
    <sheet name="05,04 R3" sheetId="2033" r:id="rId11"/>
    <sheet name="(5)" sheetId="2034" r:id="rId12"/>
    <sheet name="05,05 R1" sheetId="2035" r:id="rId13"/>
    <sheet name="05,05 R2" sheetId="2036" r:id="rId14"/>
    <sheet name="05,05 R3" sheetId="2037" r:id="rId15"/>
    <sheet name="(6)" sheetId="2038" r:id="rId16"/>
    <sheet name="05,06 R1" sheetId="2039" r:id="rId17"/>
    <sheet name="05,06 R2" sheetId="2040" r:id="rId18"/>
    <sheet name="05,06 R3" sheetId="2041" r:id="rId19"/>
    <sheet name="(7)" sheetId="2042" r:id="rId20"/>
    <sheet name="05,07 R1" sheetId="2043" r:id="rId21"/>
    <sheet name="05,07 R1 (2)" sheetId="2073" r:id="rId22"/>
    <sheet name="05,07 R2" sheetId="2044" r:id="rId23"/>
    <sheet name="05,07 R3" sheetId="2045" r:id="rId24"/>
    <sheet name="(8)" sheetId="2046" r:id="rId25"/>
    <sheet name="05,08 R1 NO TRIP" sheetId="2047" r:id="rId26"/>
    <sheet name="05,08 R2" sheetId="2048" r:id="rId27"/>
    <sheet name="05,08 R3" sheetId="2049" r:id="rId28"/>
    <sheet name="(11)" sheetId="2050" r:id="rId29"/>
    <sheet name="05,11 R1" sheetId="2051" r:id="rId30"/>
    <sheet name="05,11 R2" sheetId="2052" r:id="rId31"/>
    <sheet name="05,11 R3" sheetId="2053" r:id="rId32"/>
    <sheet name="(12)" sheetId="2056" r:id="rId33"/>
    <sheet name="05,12 R1" sheetId="2057" r:id="rId34"/>
    <sheet name="05,12 R2" sheetId="2058" r:id="rId35"/>
    <sheet name="05,12 R3" sheetId="2059" r:id="rId36"/>
    <sheet name="(13)" sheetId="2060" r:id="rId37"/>
    <sheet name="05,13 R1" sheetId="2061" r:id="rId38"/>
    <sheet name="05,13 R2" sheetId="2062" r:id="rId39"/>
    <sheet name="05,13 R3 NO TRIP" sheetId="2063" r:id="rId40"/>
    <sheet name="(14)" sheetId="2064" r:id="rId41"/>
    <sheet name="05,14 R1" sheetId="2065" r:id="rId42"/>
    <sheet name="05,14 R2 NO TRIP" sheetId="2066" r:id="rId43"/>
    <sheet name="05,14 R3" sheetId="2067" r:id="rId44"/>
    <sheet name="(15)" sheetId="2068" r:id="rId45"/>
    <sheet name="05,15 R1" sheetId="2069" r:id="rId46"/>
    <sheet name="05,15 R2" sheetId="2070" r:id="rId47"/>
    <sheet name="05,15 R3" sheetId="2071" r:id="rId48"/>
    <sheet name="(16)" sheetId="2072" r:id="rId49"/>
    <sheet name="05,15 R1 NO TRIP" sheetId="2077" r:id="rId50"/>
    <sheet name="05,16 R2" sheetId="2075" r:id="rId51"/>
    <sheet name="05,16 R3 NO TRIP" sheetId="2076" r:id="rId52"/>
    <sheet name="(18)" sheetId="2078" r:id="rId53"/>
    <sheet name="05,18 R1 NO TRIP" sheetId="2079" r:id="rId54"/>
    <sheet name="05,18 R2" sheetId="2080" r:id="rId55"/>
    <sheet name="05,18 R3" sheetId="2081" r:id="rId56"/>
    <sheet name="(19)" sheetId="2082" r:id="rId57"/>
    <sheet name="05,19 R1" sheetId="2106" r:id="rId58"/>
    <sheet name="05,19 R1 COLLECTION" sheetId="2083" r:id="rId59"/>
    <sheet name="05,19 R2" sheetId="2084" r:id="rId60"/>
    <sheet name="05,19 R3" sheetId="2085" r:id="rId61"/>
    <sheet name="(20)" sheetId="2086" r:id="rId62"/>
    <sheet name="05,20 R1" sheetId="2087" r:id="rId63"/>
    <sheet name="05,20 R2" sheetId="2088" r:id="rId64"/>
    <sheet name="05,20 R3" sheetId="2089" r:id="rId65"/>
    <sheet name="(21)" sheetId="2090" r:id="rId66"/>
    <sheet name="05,21 R1" sheetId="2091" r:id="rId67"/>
    <sheet name="05,21 R2" sheetId="2092" r:id="rId68"/>
    <sheet name="05,21 R3" sheetId="2093" r:id="rId69"/>
    <sheet name="(22)" sheetId="2094" r:id="rId70"/>
    <sheet name="05,22 R1" sheetId="2095" r:id="rId71"/>
    <sheet name="05,22 R2" sheetId="2096" r:id="rId72"/>
    <sheet name="05,22 R3" sheetId="2097" r:id="rId73"/>
    <sheet name="(23)" sheetId="2098" r:id="rId74"/>
    <sheet name="05,23 R1" sheetId="2099" r:id="rId75"/>
    <sheet name="05,23 R2" sheetId="2100" r:id="rId76"/>
    <sheet name="05,23 R3" sheetId="2101" r:id="rId77"/>
    <sheet name="(25)" sheetId="2102" r:id="rId78"/>
    <sheet name="05,25 R1" sheetId="2103" r:id="rId79"/>
    <sheet name="05,25 R2" sheetId="2104" r:id="rId80"/>
    <sheet name="05,25 R3" sheetId="2105" r:id="rId81"/>
  </sheets>
  <definedNames>
    <definedName name="_xlnm.Print_Area" localSheetId="1">'(01)'!$A$1:$J$60</definedName>
    <definedName name="_xlnm.Print_Area" localSheetId="28">'(11)'!$A$1:$J$60</definedName>
    <definedName name="_xlnm.Print_Area" localSheetId="32">'(12)'!$A$1:$J$60</definedName>
    <definedName name="_xlnm.Print_Area" localSheetId="36">'(13)'!$A$1:$J$60</definedName>
    <definedName name="_xlnm.Print_Area" localSheetId="40">'(14)'!$A$1:$J$60</definedName>
    <definedName name="_xlnm.Print_Area" localSheetId="44">'(15)'!$A$1:$J$60</definedName>
    <definedName name="_xlnm.Print_Area" localSheetId="48">'(16)'!$A$1:$J$60</definedName>
    <definedName name="_xlnm.Print_Area" localSheetId="52">'(18)'!$A$1:$J$60</definedName>
    <definedName name="_xlnm.Print_Area" localSheetId="56">'(19)'!$A$1:$J$60</definedName>
    <definedName name="_xlnm.Print_Area" localSheetId="5">'(2)'!$A$1:$J$60</definedName>
    <definedName name="_xlnm.Print_Area" localSheetId="61">'(20)'!$A$1:$J$60</definedName>
    <definedName name="_xlnm.Print_Area" localSheetId="65">'(21)'!$A$1:$J$60</definedName>
    <definedName name="_xlnm.Print_Area" localSheetId="69">'(22)'!$A$1:$J$60</definedName>
    <definedName name="_xlnm.Print_Area" localSheetId="73">'(23)'!$A$1:$J$60</definedName>
    <definedName name="_xlnm.Print_Area" localSheetId="77">'(25)'!$A$1:$J$60</definedName>
    <definedName name="_xlnm.Print_Area" localSheetId="7">'(4)'!$A$1:$J$60</definedName>
    <definedName name="_xlnm.Print_Area" localSheetId="11">'(5)'!$A$1:$J$60</definedName>
    <definedName name="_xlnm.Print_Area" localSheetId="15">'(6)'!$A$1:$J$60</definedName>
    <definedName name="_xlnm.Print_Area" localSheetId="19">'(7)'!$A$1:$J$60</definedName>
    <definedName name="_xlnm.Print_Area" localSheetId="24">'(8)'!$A$1:$J$60</definedName>
    <definedName name="_xlnm.Print_Area" localSheetId="2">'05,01 R1'!$A$1:$J$60</definedName>
    <definedName name="_xlnm.Print_Area" localSheetId="3">'05,01 R2'!$A$1:$J$60</definedName>
    <definedName name="_xlnm.Print_Area" localSheetId="4">'05,01 R3'!$A$1:$J$60</definedName>
    <definedName name="_xlnm.Print_Area" localSheetId="6">'05,02 R3'!$A$1:$J$60</definedName>
    <definedName name="_xlnm.Print_Area" localSheetId="8">'05,04 R1'!$A$1:$J$60</definedName>
    <definedName name="_xlnm.Print_Area" localSheetId="9">'05,04 R2'!$A$1:$J$60</definedName>
    <definedName name="_xlnm.Print_Area" localSheetId="10">'05,04 R3'!$A$1:$J$60</definedName>
    <definedName name="_xlnm.Print_Area" localSheetId="12">'05,05 R1'!$A$1:$J$60</definedName>
    <definedName name="_xlnm.Print_Area" localSheetId="13">'05,05 R2'!$A$1:$J$60</definedName>
    <definedName name="_xlnm.Print_Area" localSheetId="14">'05,05 R3'!$A$1:$J$60</definedName>
    <definedName name="_xlnm.Print_Area" localSheetId="16">'05,06 R1'!$A$1:$J$60</definedName>
    <definedName name="_xlnm.Print_Area" localSheetId="17">'05,06 R2'!$A$1:$J$60</definedName>
    <definedName name="_xlnm.Print_Area" localSheetId="18">'05,06 R3'!$A$1:$J$60</definedName>
    <definedName name="_xlnm.Print_Area" localSheetId="20">'05,07 R1'!$A$1:$J$60</definedName>
    <definedName name="_xlnm.Print_Area" localSheetId="21">'05,07 R1 (2)'!$A$1:$J$60</definedName>
    <definedName name="_xlnm.Print_Area" localSheetId="22">'05,07 R2'!$A$1:$J$60</definedName>
    <definedName name="_xlnm.Print_Area" localSheetId="23">'05,07 R3'!$A$1:$J$60</definedName>
    <definedName name="_xlnm.Print_Area" localSheetId="25">'05,08 R1 NO TRIP'!$A$1:$J$60</definedName>
    <definedName name="_xlnm.Print_Area" localSheetId="26">'05,08 R2'!$A$1:$J$60</definedName>
    <definedName name="_xlnm.Print_Area" localSheetId="27">'05,08 R3'!$A$1:$J$60</definedName>
    <definedName name="_xlnm.Print_Area" localSheetId="29">'05,11 R1'!$A$1:$J$60</definedName>
    <definedName name="_xlnm.Print_Area" localSheetId="30">'05,11 R2'!$A$1:$J$60</definedName>
    <definedName name="_xlnm.Print_Area" localSheetId="31">'05,11 R3'!$A$1:$J$60</definedName>
    <definedName name="_xlnm.Print_Area" localSheetId="33">'05,12 R1'!$A$1:$J$60</definedName>
    <definedName name="_xlnm.Print_Area" localSheetId="34">'05,12 R2'!$A$1:$J$60</definedName>
    <definedName name="_xlnm.Print_Area" localSheetId="35">'05,12 R3'!$A$1:$J$60</definedName>
    <definedName name="_xlnm.Print_Area" localSheetId="37">'05,13 R1'!$A$1:$J$60</definedName>
    <definedName name="_xlnm.Print_Area" localSheetId="38">'05,13 R2'!$A$1:$J$60</definedName>
    <definedName name="_xlnm.Print_Area" localSheetId="39">'05,13 R3 NO TRIP'!$A$1:$J$60</definedName>
    <definedName name="_xlnm.Print_Area" localSheetId="41">'05,14 R1'!$A$1:$J$60</definedName>
    <definedName name="_xlnm.Print_Area" localSheetId="42">'05,14 R2 NO TRIP'!$A$1:$J$60</definedName>
    <definedName name="_xlnm.Print_Area" localSheetId="43">'05,14 R3'!$A$1:$J$60</definedName>
    <definedName name="_xlnm.Print_Area" localSheetId="45">'05,15 R1'!$A$1:$J$60</definedName>
    <definedName name="_xlnm.Print_Area" localSheetId="49">'05,15 R1 NO TRIP'!$A$1:$J$60</definedName>
    <definedName name="_xlnm.Print_Area" localSheetId="46">'05,15 R2'!$A$1:$J$60</definedName>
    <definedName name="_xlnm.Print_Area" localSheetId="47">'05,15 R3'!$A$1:$J$60</definedName>
    <definedName name="_xlnm.Print_Area" localSheetId="50">'05,16 R2'!$A$1:$J$60</definedName>
    <definedName name="_xlnm.Print_Area" localSheetId="51">'05,16 R3 NO TRIP'!$A$1:$J$60</definedName>
    <definedName name="_xlnm.Print_Area" localSheetId="53">'05,18 R1 NO TRIP'!$A$1:$J$60</definedName>
    <definedName name="_xlnm.Print_Area" localSheetId="54">'05,18 R2'!$A$1:$J$60</definedName>
    <definedName name="_xlnm.Print_Area" localSheetId="55">'05,18 R3'!$A$1:$J$60</definedName>
    <definedName name="_xlnm.Print_Area" localSheetId="57">'05,19 R1'!$A$1:$J$60</definedName>
    <definedName name="_xlnm.Print_Area" localSheetId="58">'05,19 R1 COLLECTION'!$A$1:$J$60</definedName>
    <definedName name="_xlnm.Print_Area" localSheetId="59">'05,19 R2'!$A$1:$J$60</definedName>
    <definedName name="_xlnm.Print_Area" localSheetId="60">'05,19 R3'!$A$1:$J$60</definedName>
    <definedName name="_xlnm.Print_Area" localSheetId="62">'05,20 R1'!$A$1:$J$60</definedName>
    <definedName name="_xlnm.Print_Area" localSheetId="63">'05,20 R2'!$A$1:$J$60</definedName>
    <definedName name="_xlnm.Print_Area" localSheetId="64">'05,20 R3'!$A$1:$J$60</definedName>
    <definedName name="_xlnm.Print_Area" localSheetId="66">'05,21 R1'!$A$1:$J$60</definedName>
    <definedName name="_xlnm.Print_Area" localSheetId="67">'05,21 R2'!$A$1:$J$60</definedName>
    <definedName name="_xlnm.Print_Area" localSheetId="68">'05,21 R3'!$A$1:$J$60</definedName>
    <definedName name="_xlnm.Print_Area" localSheetId="70">'05,22 R1'!$A$1:$J$60</definedName>
    <definedName name="_xlnm.Print_Area" localSheetId="71">'05,22 R2'!$A$1:$J$60</definedName>
    <definedName name="_xlnm.Print_Area" localSheetId="72">'05,22 R3'!$A$1:$J$60</definedName>
    <definedName name="_xlnm.Print_Area" localSheetId="74">'05,23 R1'!$A$1:$J$60</definedName>
    <definedName name="_xlnm.Print_Area" localSheetId="75">'05,23 R2'!$A$1:$J$60</definedName>
    <definedName name="_xlnm.Print_Area" localSheetId="76">'05,23 R3'!$A$1:$J$60</definedName>
    <definedName name="_xlnm.Print_Area" localSheetId="78">'05,25 R1'!$A$1:$J$60</definedName>
    <definedName name="_xlnm.Print_Area" localSheetId="79">'05,25 R2'!$A$1:$J$60</definedName>
    <definedName name="_xlnm.Print_Area" localSheetId="80">'05,25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2" i="2089" l="1"/>
  <c r="C16" i="2089"/>
  <c r="C16" i="2087"/>
  <c r="H16" i="2085" l="1"/>
  <c r="C15" i="2085" l="1"/>
  <c r="C37" i="2085"/>
  <c r="C12" i="2085"/>
  <c r="R52" i="2106" l="1"/>
  <c r="R51" i="2106"/>
  <c r="D50" i="2106"/>
  <c r="R49" i="2106"/>
  <c r="D49" i="2106"/>
  <c r="R48" i="2106"/>
  <c r="D48" i="2106"/>
  <c r="D46" i="2106"/>
  <c r="D45" i="2106"/>
  <c r="R44" i="2106"/>
  <c r="D44" i="2106"/>
  <c r="R42" i="2106"/>
  <c r="L6" i="2106" s="1"/>
  <c r="D6" i="2106" s="1"/>
  <c r="D42" i="2106"/>
  <c r="R41" i="2106"/>
  <c r="L7" i="2106" s="1"/>
  <c r="D7" i="2106" s="1"/>
  <c r="D41" i="2106"/>
  <c r="R40" i="2106"/>
  <c r="L8" i="2106" s="1"/>
  <c r="D8" i="2106" s="1"/>
  <c r="D40" i="2106"/>
  <c r="R39" i="2106"/>
  <c r="H39" i="2106"/>
  <c r="D39" i="2106"/>
  <c r="R38" i="2106"/>
  <c r="H38" i="2106"/>
  <c r="D38" i="2106"/>
  <c r="R37" i="2106"/>
  <c r="H37" i="2106"/>
  <c r="D37" i="2106"/>
  <c r="R36" i="2106"/>
  <c r="H36" i="2106"/>
  <c r="D36" i="2106"/>
  <c r="R35" i="2106"/>
  <c r="L18" i="2106" s="1"/>
  <c r="D18" i="2106" s="1"/>
  <c r="H35" i="2106"/>
  <c r="D35" i="2106"/>
  <c r="R34" i="2106"/>
  <c r="H34" i="2106"/>
  <c r="D34" i="2106"/>
  <c r="R33" i="2106"/>
  <c r="R32" i="2106"/>
  <c r="R31" i="2106"/>
  <c r="R30" i="2106"/>
  <c r="R29" i="2106"/>
  <c r="R28" i="2106"/>
  <c r="L28" i="2106"/>
  <c r="D28" i="2106"/>
  <c r="R27" i="2106"/>
  <c r="L27" i="2106"/>
  <c r="D27" i="2106"/>
  <c r="R26" i="2106"/>
  <c r="L26" i="2106"/>
  <c r="D26" i="2106" s="1"/>
  <c r="R25" i="2106"/>
  <c r="L25" i="2106"/>
  <c r="D25" i="2106" s="1"/>
  <c r="R24" i="2106"/>
  <c r="L24" i="2106"/>
  <c r="D24" i="2106"/>
  <c r="R23" i="2106"/>
  <c r="L23" i="2106"/>
  <c r="D23" i="2106"/>
  <c r="R22" i="2106"/>
  <c r="L20" i="2106" s="1"/>
  <c r="D20" i="2106" s="1"/>
  <c r="L22" i="2106"/>
  <c r="D22" i="2106"/>
  <c r="R21" i="2106"/>
  <c r="L21" i="2106"/>
  <c r="D21" i="2106"/>
  <c r="R20" i="2106"/>
  <c r="R19" i="2106"/>
  <c r="L19" i="2106"/>
  <c r="D19" i="2106"/>
  <c r="R18" i="2106"/>
  <c r="R17" i="2106"/>
  <c r="L17" i="2106"/>
  <c r="D17" i="2106" s="1"/>
  <c r="R16" i="2106"/>
  <c r="R15" i="2106"/>
  <c r="R14" i="2106"/>
  <c r="D14" i="2106"/>
  <c r="R13" i="2106"/>
  <c r="D13" i="2106"/>
  <c r="R12" i="2106"/>
  <c r="L12" i="2106"/>
  <c r="D12" i="2106" s="1"/>
  <c r="R11" i="2106"/>
  <c r="L11" i="2106"/>
  <c r="D11" i="2106"/>
  <c r="L10" i="2106"/>
  <c r="D10" i="2106" s="1"/>
  <c r="L9" i="2106"/>
  <c r="D9" i="2106"/>
  <c r="R6" i="2106"/>
  <c r="L16" i="2106" s="1"/>
  <c r="D16" i="2106" s="1"/>
  <c r="R5" i="2106"/>
  <c r="R4" i="2106"/>
  <c r="L15" i="2106" s="1"/>
  <c r="D15" i="2106" s="1"/>
  <c r="G49" i="2106" l="1"/>
  <c r="D54" i="2106"/>
  <c r="H14" i="2106" s="1"/>
  <c r="D29" i="2106"/>
  <c r="H13" i="2106" s="1"/>
  <c r="R52" i="2105"/>
  <c r="R51" i="2105"/>
  <c r="D50" i="2105"/>
  <c r="R49" i="2105"/>
  <c r="D49" i="2105"/>
  <c r="R48" i="2105"/>
  <c r="D48" i="2105"/>
  <c r="D46" i="2105"/>
  <c r="D45" i="2105"/>
  <c r="R44" i="2105"/>
  <c r="L28" i="2105" s="1"/>
  <c r="D28" i="2105" s="1"/>
  <c r="D44" i="2105"/>
  <c r="R42" i="2105"/>
  <c r="D42" i="2105"/>
  <c r="R41" i="2105"/>
  <c r="L7" i="2105" s="1"/>
  <c r="D7" i="2105" s="1"/>
  <c r="D41" i="2105"/>
  <c r="R40" i="2105"/>
  <c r="L8" i="2105" s="1"/>
  <c r="D8" i="2105" s="1"/>
  <c r="D40" i="2105"/>
  <c r="R39" i="2105"/>
  <c r="H39" i="2105"/>
  <c r="D39" i="2105"/>
  <c r="R38" i="2105"/>
  <c r="H38" i="2105"/>
  <c r="D38" i="2105"/>
  <c r="R37" i="2105"/>
  <c r="H37" i="2105"/>
  <c r="D37" i="2105"/>
  <c r="R36" i="2105"/>
  <c r="H36" i="2105"/>
  <c r="D36" i="2105"/>
  <c r="R35" i="2105"/>
  <c r="L18" i="2105" s="1"/>
  <c r="D18" i="2105" s="1"/>
  <c r="H35" i="2105"/>
  <c r="D35" i="2105"/>
  <c r="R34" i="2105"/>
  <c r="L12" i="2105" s="1"/>
  <c r="D12" i="2105" s="1"/>
  <c r="H34" i="2105"/>
  <c r="G49" i="2105" s="1"/>
  <c r="D34" i="2105"/>
  <c r="D54" i="2105" s="1"/>
  <c r="H14" i="2105" s="1"/>
  <c r="R33" i="2105"/>
  <c r="L19" i="2105" s="1"/>
  <c r="D19" i="2105" s="1"/>
  <c r="R32" i="2105"/>
  <c r="R31" i="2105"/>
  <c r="R30" i="2105"/>
  <c r="R29" i="2105"/>
  <c r="R28" i="2105"/>
  <c r="R27" i="2105"/>
  <c r="L27" i="2105"/>
  <c r="D27" i="2105"/>
  <c r="R26" i="2105"/>
  <c r="L26" i="2105"/>
  <c r="D26" i="2105"/>
  <c r="R25" i="2105"/>
  <c r="L25" i="2105"/>
  <c r="D25" i="2105"/>
  <c r="R24" i="2105"/>
  <c r="L24" i="2105"/>
  <c r="D24" i="2105" s="1"/>
  <c r="R23" i="2105"/>
  <c r="L23" i="2105"/>
  <c r="D23" i="2105" s="1"/>
  <c r="R22" i="2105"/>
  <c r="L22" i="2105"/>
  <c r="D22" i="2105" s="1"/>
  <c r="R21" i="2105"/>
  <c r="L17" i="2105" s="1"/>
  <c r="D17" i="2105" s="1"/>
  <c r="L21" i="2105"/>
  <c r="D21" i="2105"/>
  <c r="R20" i="2105"/>
  <c r="L20" i="2105"/>
  <c r="D20" i="2105" s="1"/>
  <c r="R19" i="2105"/>
  <c r="R18" i="2105"/>
  <c r="R17" i="2105"/>
  <c r="R16" i="2105"/>
  <c r="L16" i="2105"/>
  <c r="D16" i="2105"/>
  <c r="R15" i="2105"/>
  <c r="L15" i="2105"/>
  <c r="D15" i="2105" s="1"/>
  <c r="R14" i="2105"/>
  <c r="D14" i="2105"/>
  <c r="R13" i="2105"/>
  <c r="D13" i="2105"/>
  <c r="R12" i="2105"/>
  <c r="R11" i="2105"/>
  <c r="L11" i="2105"/>
  <c r="D11" i="2105"/>
  <c r="L10" i="2105"/>
  <c r="D10" i="2105"/>
  <c r="L9" i="2105"/>
  <c r="D9" i="2105" s="1"/>
  <c r="R6" i="2105"/>
  <c r="L6" i="2105"/>
  <c r="D6" i="2105" s="1"/>
  <c r="D29" i="2105" s="1"/>
  <c r="H13" i="2105" s="1"/>
  <c r="H15" i="2105" s="1"/>
  <c r="H29" i="2105" s="1"/>
  <c r="R5" i="2105"/>
  <c r="R4" i="2105"/>
  <c r="R52" i="2104"/>
  <c r="R51" i="2104"/>
  <c r="D50" i="2104"/>
  <c r="R49" i="2104"/>
  <c r="D49" i="2104"/>
  <c r="R48" i="2104"/>
  <c r="D48" i="2104"/>
  <c r="D46" i="2104"/>
  <c r="D45" i="2104"/>
  <c r="R44" i="2104"/>
  <c r="L28" i="2104" s="1"/>
  <c r="D28" i="2104" s="1"/>
  <c r="D44" i="2104"/>
  <c r="R42" i="2104"/>
  <c r="D42" i="2104"/>
  <c r="R41" i="2104"/>
  <c r="D41" i="2104"/>
  <c r="R40" i="2104"/>
  <c r="L8" i="2104" s="1"/>
  <c r="D8" i="2104" s="1"/>
  <c r="D40" i="2104"/>
  <c r="R39" i="2104"/>
  <c r="H39" i="2104"/>
  <c r="D39" i="2104"/>
  <c r="R38" i="2104"/>
  <c r="L9" i="2104" s="1"/>
  <c r="D9" i="2104" s="1"/>
  <c r="H38" i="2104"/>
  <c r="D38" i="2104"/>
  <c r="R37" i="2104"/>
  <c r="H37" i="2104"/>
  <c r="D37" i="2104"/>
  <c r="R36" i="2104"/>
  <c r="H36" i="2104"/>
  <c r="D36" i="2104"/>
  <c r="R35" i="2104"/>
  <c r="H35" i="2104"/>
  <c r="D35" i="2104"/>
  <c r="R34" i="2104"/>
  <c r="L12" i="2104" s="1"/>
  <c r="D12" i="2104" s="1"/>
  <c r="H34" i="2104"/>
  <c r="G49" i="2104" s="1"/>
  <c r="D34" i="2104"/>
  <c r="D54" i="2104" s="1"/>
  <c r="H14" i="2104" s="1"/>
  <c r="R33" i="2104"/>
  <c r="L19" i="2104" s="1"/>
  <c r="D19" i="2104" s="1"/>
  <c r="R32" i="2104"/>
  <c r="R31" i="2104"/>
  <c r="R30" i="2104"/>
  <c r="R29" i="2104"/>
  <c r="R28" i="2104"/>
  <c r="R27" i="2104"/>
  <c r="L27" i="2104"/>
  <c r="D27" i="2104"/>
  <c r="R26" i="2104"/>
  <c r="L26" i="2104"/>
  <c r="D26" i="2104" s="1"/>
  <c r="R25" i="2104"/>
  <c r="L25" i="2104"/>
  <c r="D25" i="2104" s="1"/>
  <c r="R24" i="2104"/>
  <c r="L24" i="2104"/>
  <c r="D24" i="2104" s="1"/>
  <c r="R23" i="2104"/>
  <c r="L23" i="2104"/>
  <c r="D23" i="2104" s="1"/>
  <c r="R22" i="2104"/>
  <c r="L20" i="2104" s="1"/>
  <c r="D20" i="2104" s="1"/>
  <c r="L22" i="2104"/>
  <c r="D22" i="2104"/>
  <c r="R21" i="2104"/>
  <c r="L17" i="2104" s="1"/>
  <c r="D17" i="2104" s="1"/>
  <c r="D21" i="2104"/>
  <c r="R20" i="2104"/>
  <c r="R19" i="2104"/>
  <c r="R18" i="2104"/>
  <c r="L18" i="2104"/>
  <c r="D18" i="2104"/>
  <c r="R17" i="2104"/>
  <c r="R16" i="2104"/>
  <c r="L16" i="2104"/>
  <c r="D16" i="2104"/>
  <c r="R15" i="2104"/>
  <c r="L15" i="2104"/>
  <c r="D15" i="2104" s="1"/>
  <c r="R14" i="2104"/>
  <c r="D14" i="2104"/>
  <c r="R13" i="2104"/>
  <c r="D13" i="2104"/>
  <c r="R12" i="2104"/>
  <c r="R11" i="2104"/>
  <c r="L11" i="2104"/>
  <c r="D11" i="2104"/>
  <c r="L10" i="2104"/>
  <c r="D10" i="2104"/>
  <c r="L7" i="2104"/>
  <c r="D7" i="2104"/>
  <c r="R6" i="2104"/>
  <c r="L6" i="2104"/>
  <c r="D6" i="2104" s="1"/>
  <c r="R5" i="2104"/>
  <c r="R4" i="2104"/>
  <c r="R52" i="2103"/>
  <c r="R51" i="2103"/>
  <c r="D50" i="2103"/>
  <c r="R49" i="2103"/>
  <c r="D49" i="2103"/>
  <c r="R48" i="2103"/>
  <c r="D48" i="2103"/>
  <c r="D46" i="2103"/>
  <c r="D45" i="2103"/>
  <c r="R44" i="2103"/>
  <c r="L28" i="2103" s="1"/>
  <c r="D28" i="2103" s="1"/>
  <c r="D44" i="2103"/>
  <c r="R42" i="2103"/>
  <c r="D42" i="2103"/>
  <c r="R41" i="2103"/>
  <c r="D41" i="2103"/>
  <c r="R40" i="2103"/>
  <c r="L8" i="2103" s="1"/>
  <c r="D8" i="2103" s="1"/>
  <c r="D40" i="2103"/>
  <c r="R39" i="2103"/>
  <c r="H39" i="2103"/>
  <c r="D39" i="2103"/>
  <c r="R38" i="2103"/>
  <c r="H38" i="2103"/>
  <c r="D38" i="2103"/>
  <c r="R37" i="2103"/>
  <c r="H37" i="2103"/>
  <c r="D37" i="2103"/>
  <c r="R36" i="2103"/>
  <c r="H36" i="2103"/>
  <c r="D36" i="2103"/>
  <c r="R35" i="2103"/>
  <c r="H35" i="2103"/>
  <c r="D35" i="2103"/>
  <c r="R34" i="2103"/>
  <c r="L12" i="2103" s="1"/>
  <c r="D12" i="2103" s="1"/>
  <c r="H34" i="2103"/>
  <c r="G49" i="2103" s="1"/>
  <c r="D34" i="2103"/>
  <c r="D54" i="2103" s="1"/>
  <c r="H14" i="2103" s="1"/>
  <c r="R33" i="2103"/>
  <c r="L19" i="2103" s="1"/>
  <c r="D19" i="2103" s="1"/>
  <c r="R32" i="2103"/>
  <c r="R31" i="2103"/>
  <c r="R30" i="2103"/>
  <c r="R29" i="2103"/>
  <c r="R28" i="2103"/>
  <c r="R27" i="2103"/>
  <c r="L27" i="2103"/>
  <c r="D27" i="2103"/>
  <c r="R26" i="2103"/>
  <c r="L26" i="2103"/>
  <c r="D26" i="2103"/>
  <c r="R25" i="2103"/>
  <c r="L25" i="2103"/>
  <c r="D25" i="2103" s="1"/>
  <c r="R24" i="2103"/>
  <c r="L24" i="2103"/>
  <c r="D24" i="2103" s="1"/>
  <c r="R23" i="2103"/>
  <c r="L23" i="2103"/>
  <c r="D23" i="2103" s="1"/>
  <c r="R22" i="2103"/>
  <c r="L22" i="2103"/>
  <c r="D22" i="2103"/>
  <c r="R21" i="2103"/>
  <c r="L17" i="2103" s="1"/>
  <c r="D17" i="2103" s="1"/>
  <c r="L21" i="2103"/>
  <c r="D21" i="2103"/>
  <c r="R20" i="2103"/>
  <c r="L20" i="2103"/>
  <c r="D20" i="2103" s="1"/>
  <c r="R19" i="2103"/>
  <c r="R18" i="2103"/>
  <c r="L18" i="2103"/>
  <c r="D18" i="2103"/>
  <c r="R17" i="2103"/>
  <c r="R16" i="2103"/>
  <c r="L16" i="2103"/>
  <c r="D16" i="2103"/>
  <c r="R15" i="2103"/>
  <c r="L15" i="2103"/>
  <c r="D15" i="2103" s="1"/>
  <c r="R14" i="2103"/>
  <c r="D14" i="2103"/>
  <c r="R13" i="2103"/>
  <c r="D13" i="2103"/>
  <c r="R12" i="2103"/>
  <c r="R11" i="2103"/>
  <c r="L11" i="2103"/>
  <c r="D11" i="2103"/>
  <c r="L10" i="2103"/>
  <c r="D10" i="2103"/>
  <c r="L9" i="2103"/>
  <c r="D9" i="2103" s="1"/>
  <c r="L7" i="2103"/>
  <c r="D7" i="2103" s="1"/>
  <c r="R6" i="2103"/>
  <c r="L6" i="2103"/>
  <c r="D6" i="2103" s="1"/>
  <c r="R5" i="2103"/>
  <c r="R4" i="2103"/>
  <c r="R52" i="2102"/>
  <c r="R51" i="2102"/>
  <c r="D50" i="2102"/>
  <c r="R49" i="2102"/>
  <c r="G49" i="2102"/>
  <c r="D49" i="2102"/>
  <c r="R48" i="2102"/>
  <c r="D48" i="2102"/>
  <c r="D46" i="2102"/>
  <c r="D45" i="2102"/>
  <c r="D44" i="2102"/>
  <c r="R42" i="2102"/>
  <c r="D42" i="2102"/>
  <c r="R41" i="2102"/>
  <c r="L7" i="2102" s="1"/>
  <c r="D7" i="2102" s="1"/>
  <c r="D41" i="2102"/>
  <c r="R40" i="2102"/>
  <c r="D40" i="2102"/>
  <c r="R39" i="2102"/>
  <c r="D39" i="2102"/>
  <c r="R38" i="2102"/>
  <c r="D38" i="2102"/>
  <c r="R37" i="2102"/>
  <c r="D37" i="2102"/>
  <c r="R36" i="2102"/>
  <c r="L10" i="2102" s="1"/>
  <c r="D10" i="2102" s="1"/>
  <c r="D36" i="2102"/>
  <c r="R35" i="2102"/>
  <c r="L19" i="2102" s="1"/>
  <c r="D19" i="2102" s="1"/>
  <c r="D35" i="2102"/>
  <c r="R34" i="2102"/>
  <c r="D34" i="2102"/>
  <c r="D54" i="2102" s="1"/>
  <c r="H14" i="2102" s="1"/>
  <c r="R33" i="2102"/>
  <c r="R32" i="2102"/>
  <c r="R31" i="2102"/>
  <c r="R30" i="2102"/>
  <c r="R29" i="2102"/>
  <c r="R28" i="2102"/>
  <c r="D28" i="2102"/>
  <c r="R27" i="2102"/>
  <c r="D27" i="2102"/>
  <c r="R26" i="2102"/>
  <c r="L26" i="2102"/>
  <c r="D26" i="2102" s="1"/>
  <c r="R25" i="2102"/>
  <c r="L25" i="2102"/>
  <c r="D25" i="2102"/>
  <c r="R24" i="2102"/>
  <c r="D24" i="2102"/>
  <c r="R23" i="2102"/>
  <c r="L23" i="2102"/>
  <c r="D23" i="2102" s="1"/>
  <c r="R22" i="2102"/>
  <c r="L22" i="2102"/>
  <c r="D22" i="2102" s="1"/>
  <c r="R21" i="2102"/>
  <c r="D21" i="2102"/>
  <c r="R20" i="2102"/>
  <c r="L20" i="2102"/>
  <c r="D20" i="2102" s="1"/>
  <c r="R19" i="2102"/>
  <c r="R18" i="2102"/>
  <c r="D18" i="2102"/>
  <c r="R17" i="2102"/>
  <c r="D17" i="2102"/>
  <c r="R16" i="2102"/>
  <c r="L16" i="2102"/>
  <c r="D16" i="2102" s="1"/>
  <c r="S15" i="2102"/>
  <c r="R15" i="2102"/>
  <c r="D15" i="2102"/>
  <c r="S14" i="2102"/>
  <c r="R14" i="2102"/>
  <c r="D14" i="2102"/>
  <c r="R13" i="2102"/>
  <c r="D13" i="2102"/>
  <c r="R12" i="2102"/>
  <c r="L12" i="2102"/>
  <c r="D12" i="2102" s="1"/>
  <c r="R11" i="2102"/>
  <c r="L11" i="2102"/>
  <c r="D11" i="2102" s="1"/>
  <c r="L9" i="2102"/>
  <c r="D9" i="2102"/>
  <c r="L8" i="2102"/>
  <c r="D8" i="2102" s="1"/>
  <c r="R6" i="2102"/>
  <c r="L6" i="2102"/>
  <c r="D6" i="2102"/>
  <c r="R5" i="2102"/>
  <c r="R4" i="2102"/>
  <c r="R52" i="2101"/>
  <c r="R51" i="2101"/>
  <c r="D50" i="2101"/>
  <c r="R49" i="2101"/>
  <c r="G49" i="2101"/>
  <c r="D49" i="2101"/>
  <c r="R48" i="2101"/>
  <c r="D48" i="2101"/>
  <c r="D46" i="2101"/>
  <c r="D45" i="2101"/>
  <c r="R44" i="2101"/>
  <c r="D44" i="2101"/>
  <c r="R42" i="2101"/>
  <c r="D42" i="2101"/>
  <c r="R41" i="2101"/>
  <c r="D41" i="2101"/>
  <c r="R40" i="2101"/>
  <c r="L8" i="2101" s="1"/>
  <c r="D8" i="2101" s="1"/>
  <c r="D40" i="2101"/>
  <c r="R39" i="2101"/>
  <c r="H39" i="2101"/>
  <c r="D39" i="2101"/>
  <c r="R38" i="2101"/>
  <c r="H38" i="2101"/>
  <c r="D38" i="2101"/>
  <c r="R37" i="2101"/>
  <c r="H37" i="2101"/>
  <c r="D37" i="2101"/>
  <c r="R36" i="2101"/>
  <c r="H36" i="2101"/>
  <c r="D36" i="2101"/>
  <c r="R35" i="2101"/>
  <c r="L18" i="2101" s="1"/>
  <c r="D18" i="2101" s="1"/>
  <c r="H35" i="2101"/>
  <c r="D35" i="2101"/>
  <c r="R34" i="2101"/>
  <c r="H34" i="2101"/>
  <c r="D34" i="2101"/>
  <c r="D54" i="2101" s="1"/>
  <c r="H14" i="2101" s="1"/>
  <c r="R33" i="2101"/>
  <c r="L19" i="2101" s="1"/>
  <c r="D19" i="2101" s="1"/>
  <c r="R32" i="2101"/>
  <c r="R31" i="2101"/>
  <c r="R30" i="2101"/>
  <c r="R29" i="2101"/>
  <c r="R28" i="2101"/>
  <c r="L28" i="2101"/>
  <c r="D28" i="2101"/>
  <c r="R27" i="2101"/>
  <c r="L27" i="2101"/>
  <c r="D27" i="2101"/>
  <c r="R26" i="2101"/>
  <c r="L26" i="2101"/>
  <c r="D26" i="2101"/>
  <c r="R25" i="2101"/>
  <c r="L25" i="2101"/>
  <c r="D25" i="2101"/>
  <c r="R24" i="2101"/>
  <c r="L24" i="2101"/>
  <c r="D24" i="2101" s="1"/>
  <c r="R23" i="2101"/>
  <c r="L23" i="2101"/>
  <c r="D23" i="2101" s="1"/>
  <c r="R22" i="2101"/>
  <c r="L22" i="2101"/>
  <c r="D22" i="2101"/>
  <c r="R21" i="2101"/>
  <c r="L17" i="2101" s="1"/>
  <c r="D17" i="2101" s="1"/>
  <c r="L21" i="2101"/>
  <c r="D21" i="2101"/>
  <c r="R20" i="2101"/>
  <c r="L20" i="2101"/>
  <c r="D20" i="2101" s="1"/>
  <c r="R19" i="2101"/>
  <c r="R18" i="2101"/>
  <c r="R17" i="2101"/>
  <c r="R16" i="2101"/>
  <c r="L16" i="2101"/>
  <c r="D16" i="2101" s="1"/>
  <c r="R15" i="2101"/>
  <c r="L15" i="2101"/>
  <c r="D15" i="2101" s="1"/>
  <c r="R14" i="2101"/>
  <c r="D14" i="2101"/>
  <c r="R13" i="2101"/>
  <c r="D13" i="2101"/>
  <c r="R12" i="2101"/>
  <c r="L12" i="2101"/>
  <c r="D12" i="2101"/>
  <c r="R11" i="2101"/>
  <c r="L11" i="2101"/>
  <c r="D11" i="2101" s="1"/>
  <c r="L10" i="2101"/>
  <c r="D10" i="2101"/>
  <c r="L9" i="2101"/>
  <c r="D9" i="2101" s="1"/>
  <c r="L7" i="2101"/>
  <c r="D7" i="2101" s="1"/>
  <c r="R6" i="2101"/>
  <c r="L6" i="2101"/>
  <c r="D6" i="2101" s="1"/>
  <c r="R5" i="2101"/>
  <c r="R4" i="2101"/>
  <c r="R52" i="2100"/>
  <c r="R51" i="2100"/>
  <c r="D50" i="2100"/>
  <c r="R49" i="2100"/>
  <c r="D49" i="2100"/>
  <c r="R48" i="2100"/>
  <c r="D48" i="2100"/>
  <c r="D46" i="2100"/>
  <c r="D45" i="2100"/>
  <c r="R44" i="2100"/>
  <c r="D44" i="2100"/>
  <c r="R42" i="2100"/>
  <c r="D42" i="2100"/>
  <c r="R41" i="2100"/>
  <c r="D41" i="2100"/>
  <c r="R40" i="2100"/>
  <c r="D40" i="2100"/>
  <c r="R39" i="2100"/>
  <c r="H39" i="2100"/>
  <c r="D39" i="2100"/>
  <c r="R38" i="2100"/>
  <c r="L9" i="2100" s="1"/>
  <c r="D9" i="2100" s="1"/>
  <c r="H38" i="2100"/>
  <c r="D38" i="2100"/>
  <c r="R37" i="2100"/>
  <c r="H37" i="2100"/>
  <c r="D37" i="2100"/>
  <c r="R36" i="2100"/>
  <c r="H36" i="2100"/>
  <c r="D36" i="2100"/>
  <c r="R35" i="2100"/>
  <c r="H35" i="2100"/>
  <c r="D35" i="2100"/>
  <c r="R34" i="2100"/>
  <c r="L12" i="2100" s="1"/>
  <c r="D12" i="2100" s="1"/>
  <c r="H34" i="2100"/>
  <c r="G49" i="2100" s="1"/>
  <c r="D34" i="2100"/>
  <c r="D54" i="2100" s="1"/>
  <c r="H14" i="2100" s="1"/>
  <c r="R33" i="2100"/>
  <c r="R32" i="2100"/>
  <c r="L11" i="2100" s="1"/>
  <c r="D11" i="2100" s="1"/>
  <c r="R31" i="2100"/>
  <c r="R30" i="2100"/>
  <c r="R29" i="2100"/>
  <c r="R28" i="2100"/>
  <c r="L28" i="2100"/>
  <c r="D28" i="2100"/>
  <c r="R27" i="2100"/>
  <c r="L27" i="2100"/>
  <c r="D27" i="2100" s="1"/>
  <c r="R26" i="2100"/>
  <c r="L26" i="2100"/>
  <c r="D26" i="2100"/>
  <c r="R25" i="2100"/>
  <c r="L25" i="2100"/>
  <c r="D25" i="2100" s="1"/>
  <c r="R24" i="2100"/>
  <c r="L24" i="2100"/>
  <c r="D24" i="2100"/>
  <c r="R23" i="2100"/>
  <c r="L23" i="2100"/>
  <c r="D23" i="2100" s="1"/>
  <c r="R22" i="2100"/>
  <c r="L22" i="2100"/>
  <c r="D22" i="2100" s="1"/>
  <c r="R21" i="2100"/>
  <c r="L17" i="2100" s="1"/>
  <c r="D17" i="2100" s="1"/>
  <c r="D21" i="2100"/>
  <c r="R20" i="2100"/>
  <c r="L20" i="2100"/>
  <c r="D20" i="2100" s="1"/>
  <c r="R19" i="2100"/>
  <c r="L19" i="2100"/>
  <c r="D19" i="2100" s="1"/>
  <c r="R18" i="2100"/>
  <c r="L18" i="2100"/>
  <c r="D18" i="2100" s="1"/>
  <c r="R17" i="2100"/>
  <c r="R16" i="2100"/>
  <c r="L16" i="2100"/>
  <c r="D16" i="2100" s="1"/>
  <c r="R15" i="2100"/>
  <c r="L15" i="2100"/>
  <c r="D15" i="2100" s="1"/>
  <c r="R14" i="2100"/>
  <c r="D14" i="2100"/>
  <c r="R13" i="2100"/>
  <c r="D13" i="2100"/>
  <c r="R12" i="2100"/>
  <c r="R11" i="2100"/>
  <c r="L10" i="2100"/>
  <c r="D10" i="2100" s="1"/>
  <c r="L8" i="2100"/>
  <c r="D8" i="2100" s="1"/>
  <c r="L7" i="2100"/>
  <c r="D7" i="2100" s="1"/>
  <c r="R6" i="2100"/>
  <c r="L6" i="2100"/>
  <c r="D6" i="2100"/>
  <c r="R5" i="2100"/>
  <c r="R4" i="2100"/>
  <c r="R52" i="2099"/>
  <c r="R51" i="2099"/>
  <c r="D50" i="2099"/>
  <c r="R49" i="2099"/>
  <c r="D49" i="2099"/>
  <c r="R48" i="2099"/>
  <c r="D48" i="2099"/>
  <c r="D46" i="2099"/>
  <c r="D45" i="2099"/>
  <c r="R44" i="2099"/>
  <c r="D44" i="2099"/>
  <c r="R42" i="2099"/>
  <c r="D42" i="2099"/>
  <c r="R41" i="2099"/>
  <c r="D41" i="2099"/>
  <c r="R40" i="2099"/>
  <c r="L8" i="2099" s="1"/>
  <c r="D8" i="2099" s="1"/>
  <c r="D40" i="2099"/>
  <c r="R39" i="2099"/>
  <c r="H39" i="2099"/>
  <c r="D39" i="2099"/>
  <c r="R38" i="2099"/>
  <c r="H38" i="2099"/>
  <c r="D38" i="2099"/>
  <c r="R37" i="2099"/>
  <c r="H37" i="2099"/>
  <c r="D37" i="2099"/>
  <c r="R36" i="2099"/>
  <c r="H36" i="2099"/>
  <c r="D36" i="2099"/>
  <c r="R35" i="2099"/>
  <c r="L18" i="2099" s="1"/>
  <c r="D18" i="2099" s="1"/>
  <c r="H35" i="2099"/>
  <c r="D35" i="2099"/>
  <c r="R34" i="2099"/>
  <c r="L12" i="2099" s="1"/>
  <c r="D12" i="2099" s="1"/>
  <c r="H34" i="2099"/>
  <c r="G49" i="2099" s="1"/>
  <c r="D34" i="2099"/>
  <c r="D54" i="2099" s="1"/>
  <c r="H14" i="2099" s="1"/>
  <c r="R33" i="2099"/>
  <c r="L19" i="2099" s="1"/>
  <c r="D19" i="2099" s="1"/>
  <c r="R32" i="2099"/>
  <c r="R31" i="2099"/>
  <c r="R30" i="2099"/>
  <c r="R29" i="2099"/>
  <c r="R28" i="2099"/>
  <c r="L28" i="2099"/>
  <c r="D28" i="2099"/>
  <c r="R27" i="2099"/>
  <c r="L27" i="2099"/>
  <c r="D27" i="2099"/>
  <c r="R26" i="2099"/>
  <c r="L26" i="2099"/>
  <c r="D26" i="2099" s="1"/>
  <c r="R25" i="2099"/>
  <c r="L25" i="2099"/>
  <c r="D25" i="2099" s="1"/>
  <c r="R24" i="2099"/>
  <c r="L24" i="2099"/>
  <c r="D24" i="2099" s="1"/>
  <c r="R23" i="2099"/>
  <c r="L23" i="2099"/>
  <c r="D23" i="2099" s="1"/>
  <c r="R22" i="2099"/>
  <c r="L22" i="2099"/>
  <c r="D22" i="2099"/>
  <c r="R21" i="2099"/>
  <c r="L17" i="2099" s="1"/>
  <c r="D17" i="2099" s="1"/>
  <c r="L21" i="2099"/>
  <c r="D21" i="2099"/>
  <c r="R20" i="2099"/>
  <c r="L20" i="2099"/>
  <c r="D20" i="2099" s="1"/>
  <c r="R19" i="2099"/>
  <c r="R18" i="2099"/>
  <c r="R17" i="2099"/>
  <c r="R16" i="2099"/>
  <c r="L16" i="2099"/>
  <c r="D16" i="2099"/>
  <c r="R15" i="2099"/>
  <c r="L15" i="2099"/>
  <c r="D15" i="2099" s="1"/>
  <c r="R14" i="2099"/>
  <c r="D14" i="2099"/>
  <c r="R13" i="2099"/>
  <c r="D13" i="2099"/>
  <c r="R12" i="2099"/>
  <c r="R11" i="2099"/>
  <c r="L11" i="2099"/>
  <c r="D11" i="2099"/>
  <c r="L10" i="2099"/>
  <c r="D10" i="2099" s="1"/>
  <c r="L9" i="2099"/>
  <c r="D9" i="2099" s="1"/>
  <c r="L7" i="2099"/>
  <c r="D7" i="2099" s="1"/>
  <c r="R6" i="2099"/>
  <c r="L6" i="2099"/>
  <c r="D6" i="2099" s="1"/>
  <c r="R5" i="2099"/>
  <c r="R4" i="2099"/>
  <c r="R52" i="2098"/>
  <c r="R51" i="2098"/>
  <c r="D50" i="2098"/>
  <c r="R49" i="2098"/>
  <c r="G49" i="2098"/>
  <c r="D49" i="2098"/>
  <c r="R48" i="2098"/>
  <c r="D48" i="2098"/>
  <c r="D46" i="2098"/>
  <c r="D45" i="2098"/>
  <c r="D44" i="2098"/>
  <c r="R42" i="2098"/>
  <c r="D42" i="2098"/>
  <c r="R41" i="2098"/>
  <c r="L7" i="2098" s="1"/>
  <c r="D7" i="2098" s="1"/>
  <c r="D41" i="2098"/>
  <c r="R40" i="2098"/>
  <c r="L8" i="2098" s="1"/>
  <c r="D8" i="2098" s="1"/>
  <c r="D40" i="2098"/>
  <c r="R39" i="2098"/>
  <c r="D39" i="2098"/>
  <c r="R38" i="2098"/>
  <c r="L9" i="2098" s="1"/>
  <c r="D9" i="2098" s="1"/>
  <c r="D38" i="2098"/>
  <c r="R37" i="2098"/>
  <c r="D37" i="2098"/>
  <c r="R36" i="2098"/>
  <c r="L10" i="2098" s="1"/>
  <c r="D10" i="2098" s="1"/>
  <c r="D36" i="2098"/>
  <c r="R35" i="2098"/>
  <c r="D35" i="2098"/>
  <c r="R34" i="2098"/>
  <c r="L12" i="2098" s="1"/>
  <c r="D12" i="2098" s="1"/>
  <c r="D34" i="2098"/>
  <c r="D54" i="2098" s="1"/>
  <c r="H14" i="2098" s="1"/>
  <c r="R33" i="2098"/>
  <c r="L23" i="2098" s="1"/>
  <c r="D23" i="2098" s="1"/>
  <c r="R32" i="2098"/>
  <c r="R31" i="2098"/>
  <c r="R30" i="2098"/>
  <c r="R29" i="2098"/>
  <c r="R28" i="2098"/>
  <c r="L16" i="2098" s="1"/>
  <c r="D16" i="2098" s="1"/>
  <c r="D28" i="2098"/>
  <c r="R27" i="2098"/>
  <c r="D27" i="2098"/>
  <c r="R26" i="2098"/>
  <c r="L26" i="2098"/>
  <c r="D26" i="2098"/>
  <c r="R25" i="2098"/>
  <c r="L25" i="2098"/>
  <c r="D25" i="2098"/>
  <c r="R24" i="2098"/>
  <c r="D24" i="2098"/>
  <c r="R23" i="2098"/>
  <c r="R22" i="2098"/>
  <c r="L22" i="2098"/>
  <c r="D22" i="2098" s="1"/>
  <c r="R21" i="2098"/>
  <c r="D21" i="2098"/>
  <c r="R20" i="2098"/>
  <c r="L20" i="2098"/>
  <c r="D20" i="2098"/>
  <c r="R19" i="2098"/>
  <c r="L19" i="2098"/>
  <c r="D19" i="2098"/>
  <c r="R18" i="2098"/>
  <c r="D18" i="2098"/>
  <c r="R17" i="2098"/>
  <c r="D17" i="2098"/>
  <c r="R16" i="2098"/>
  <c r="S15" i="2098"/>
  <c r="R15" i="2098"/>
  <c r="D15" i="2098"/>
  <c r="S14" i="2098"/>
  <c r="R14" i="2098"/>
  <c r="D14" i="2098"/>
  <c r="R13" i="2098"/>
  <c r="D13" i="2098"/>
  <c r="R12" i="2098"/>
  <c r="R11" i="2098"/>
  <c r="L11" i="2098"/>
  <c r="D11" i="2098" s="1"/>
  <c r="R6" i="2098"/>
  <c r="L6" i="2098"/>
  <c r="D6" i="2098"/>
  <c r="R5" i="2098"/>
  <c r="R4" i="2098"/>
  <c r="R52" i="2097"/>
  <c r="R51" i="2097"/>
  <c r="D50" i="2097"/>
  <c r="R49" i="2097"/>
  <c r="G49" i="2097"/>
  <c r="D49" i="2097"/>
  <c r="R48" i="2097"/>
  <c r="D48" i="2097"/>
  <c r="D46" i="2097"/>
  <c r="D45" i="2097"/>
  <c r="R44" i="2097"/>
  <c r="L28" i="2097" s="1"/>
  <c r="D28" i="2097" s="1"/>
  <c r="D44" i="2097"/>
  <c r="R42" i="2097"/>
  <c r="D42" i="2097"/>
  <c r="R41" i="2097"/>
  <c r="D41" i="2097"/>
  <c r="R40" i="2097"/>
  <c r="D40" i="2097"/>
  <c r="R39" i="2097"/>
  <c r="H39" i="2097"/>
  <c r="D39" i="2097"/>
  <c r="R38" i="2097"/>
  <c r="H38" i="2097"/>
  <c r="D38" i="2097"/>
  <c r="R37" i="2097"/>
  <c r="H37" i="2097"/>
  <c r="D37" i="2097"/>
  <c r="R36" i="2097"/>
  <c r="L10" i="2097" s="1"/>
  <c r="D10" i="2097" s="1"/>
  <c r="H36" i="2097"/>
  <c r="D36" i="2097"/>
  <c r="R35" i="2097"/>
  <c r="H35" i="2097"/>
  <c r="D35" i="2097"/>
  <c r="R34" i="2097"/>
  <c r="H34" i="2097"/>
  <c r="D34" i="2097"/>
  <c r="D54" i="2097" s="1"/>
  <c r="H14" i="2097" s="1"/>
  <c r="R33" i="2097"/>
  <c r="L19" i="2097" s="1"/>
  <c r="D19" i="2097" s="1"/>
  <c r="R32" i="2097"/>
  <c r="L11" i="2097" s="1"/>
  <c r="D11" i="2097" s="1"/>
  <c r="R31" i="2097"/>
  <c r="R30" i="2097"/>
  <c r="R29" i="2097"/>
  <c r="R28" i="2097"/>
  <c r="R27" i="2097"/>
  <c r="L27" i="2097"/>
  <c r="D27" i="2097" s="1"/>
  <c r="R26" i="2097"/>
  <c r="L26" i="2097"/>
  <c r="D26" i="2097"/>
  <c r="R25" i="2097"/>
  <c r="L25" i="2097"/>
  <c r="D25" i="2097" s="1"/>
  <c r="R24" i="2097"/>
  <c r="L24" i="2097"/>
  <c r="D24" i="2097"/>
  <c r="R23" i="2097"/>
  <c r="L23" i="2097"/>
  <c r="D23" i="2097" s="1"/>
  <c r="R22" i="2097"/>
  <c r="L22" i="2097"/>
  <c r="D22" i="2097"/>
  <c r="R21" i="2097"/>
  <c r="L21" i="2097"/>
  <c r="D21" i="2097"/>
  <c r="R20" i="2097"/>
  <c r="L20" i="2097"/>
  <c r="D20" i="2097" s="1"/>
  <c r="R19" i="2097"/>
  <c r="R18" i="2097"/>
  <c r="L18" i="2097"/>
  <c r="D18" i="2097"/>
  <c r="R17" i="2097"/>
  <c r="L17" i="2097"/>
  <c r="D17" i="2097" s="1"/>
  <c r="R16" i="2097"/>
  <c r="R15" i="2097"/>
  <c r="L15" i="2097"/>
  <c r="D15" i="2097" s="1"/>
  <c r="R14" i="2097"/>
  <c r="D14" i="2097"/>
  <c r="R13" i="2097"/>
  <c r="D13" i="2097"/>
  <c r="R12" i="2097"/>
  <c r="L12" i="2097"/>
  <c r="D12" i="2097" s="1"/>
  <c r="R11" i="2097"/>
  <c r="L9" i="2097"/>
  <c r="D9" i="2097" s="1"/>
  <c r="L8" i="2097"/>
  <c r="D8" i="2097"/>
  <c r="L7" i="2097"/>
  <c r="D7" i="2097"/>
  <c r="R6" i="2097"/>
  <c r="L16" i="2097" s="1"/>
  <c r="D16" i="2097" s="1"/>
  <c r="L6" i="2097"/>
  <c r="D6" i="2097" s="1"/>
  <c r="R5" i="2097"/>
  <c r="R4" i="2097"/>
  <c r="D54" i="2096"/>
  <c r="H14" i="2096" s="1"/>
  <c r="R52" i="2096"/>
  <c r="R51" i="2096"/>
  <c r="D50" i="2096"/>
  <c r="R49" i="2096"/>
  <c r="D49" i="2096"/>
  <c r="R48" i="2096"/>
  <c r="D48" i="2096"/>
  <c r="D46" i="2096"/>
  <c r="D45" i="2096"/>
  <c r="R44" i="2096"/>
  <c r="L28" i="2096" s="1"/>
  <c r="D28" i="2096" s="1"/>
  <c r="D44" i="2096"/>
  <c r="R42" i="2096"/>
  <c r="D42" i="2096"/>
  <c r="R41" i="2096"/>
  <c r="L7" i="2096" s="1"/>
  <c r="D7" i="2096" s="1"/>
  <c r="D41" i="2096"/>
  <c r="R40" i="2096"/>
  <c r="L8" i="2096" s="1"/>
  <c r="D8" i="2096" s="1"/>
  <c r="D40" i="2096"/>
  <c r="R39" i="2096"/>
  <c r="H39" i="2096"/>
  <c r="G49" i="2096" s="1"/>
  <c r="D39" i="2096"/>
  <c r="R38" i="2096"/>
  <c r="H38" i="2096"/>
  <c r="D38" i="2096"/>
  <c r="R37" i="2096"/>
  <c r="H37" i="2096"/>
  <c r="D37" i="2096"/>
  <c r="R36" i="2096"/>
  <c r="L10" i="2096" s="1"/>
  <c r="D10" i="2096" s="1"/>
  <c r="H36" i="2096"/>
  <c r="D36" i="2096"/>
  <c r="R35" i="2096"/>
  <c r="L18" i="2096" s="1"/>
  <c r="D18" i="2096" s="1"/>
  <c r="H35" i="2096"/>
  <c r="D35" i="2096"/>
  <c r="R34" i="2096"/>
  <c r="H34" i="2096"/>
  <c r="D34" i="2096"/>
  <c r="R33" i="2096"/>
  <c r="L19" i="2096" s="1"/>
  <c r="D19" i="2096" s="1"/>
  <c r="R32" i="2096"/>
  <c r="R31" i="2096"/>
  <c r="R30" i="2096"/>
  <c r="R29" i="2096"/>
  <c r="R28" i="2096"/>
  <c r="R27" i="2096"/>
  <c r="L27" i="2096"/>
  <c r="D27" i="2096"/>
  <c r="R26" i="2096"/>
  <c r="L26" i="2096"/>
  <c r="D26" i="2096"/>
  <c r="R25" i="2096"/>
  <c r="L25" i="2096"/>
  <c r="D25" i="2096"/>
  <c r="R24" i="2096"/>
  <c r="L24" i="2096"/>
  <c r="D24" i="2096"/>
  <c r="R23" i="2096"/>
  <c r="L23" i="2096"/>
  <c r="D23" i="2096" s="1"/>
  <c r="R22" i="2096"/>
  <c r="L22" i="2096"/>
  <c r="D22" i="2096" s="1"/>
  <c r="R21" i="2096"/>
  <c r="L17" i="2096" s="1"/>
  <c r="D17" i="2096" s="1"/>
  <c r="D21" i="2096"/>
  <c r="R20" i="2096"/>
  <c r="L20" i="2096"/>
  <c r="D20" i="2096"/>
  <c r="R19" i="2096"/>
  <c r="R18" i="2096"/>
  <c r="R17" i="2096"/>
  <c r="R16" i="2096"/>
  <c r="R15" i="2096"/>
  <c r="R14" i="2096"/>
  <c r="D14" i="2096"/>
  <c r="R13" i="2096"/>
  <c r="D13" i="2096"/>
  <c r="R12" i="2096"/>
  <c r="L12" i="2096"/>
  <c r="D12" i="2096"/>
  <c r="R11" i="2096"/>
  <c r="L11" i="2096"/>
  <c r="D11" i="2096"/>
  <c r="L9" i="2096"/>
  <c r="D9" i="2096" s="1"/>
  <c r="R6" i="2096"/>
  <c r="L16" i="2096" s="1"/>
  <c r="D16" i="2096" s="1"/>
  <c r="L6" i="2096"/>
  <c r="D6" i="2096"/>
  <c r="R5" i="2096"/>
  <c r="R4" i="2096"/>
  <c r="L15" i="2096" s="1"/>
  <c r="D15" i="2096" s="1"/>
  <c r="R52" i="2095"/>
  <c r="R51" i="2095"/>
  <c r="D50" i="2095"/>
  <c r="R49" i="2095"/>
  <c r="D49" i="2095"/>
  <c r="R48" i="2095"/>
  <c r="D48" i="2095"/>
  <c r="D46" i="2095"/>
  <c r="D45" i="2095"/>
  <c r="R44" i="2095"/>
  <c r="D44" i="2095"/>
  <c r="R42" i="2095"/>
  <c r="D42" i="2095"/>
  <c r="R41" i="2095"/>
  <c r="L7" i="2095" s="1"/>
  <c r="D7" i="2095" s="1"/>
  <c r="D41" i="2095"/>
  <c r="R40" i="2095"/>
  <c r="L8" i="2095" s="1"/>
  <c r="D8" i="2095" s="1"/>
  <c r="D40" i="2095"/>
  <c r="R39" i="2095"/>
  <c r="H39" i="2095"/>
  <c r="D39" i="2095"/>
  <c r="R38" i="2095"/>
  <c r="L9" i="2095" s="1"/>
  <c r="D9" i="2095" s="1"/>
  <c r="H38" i="2095"/>
  <c r="D38" i="2095"/>
  <c r="R37" i="2095"/>
  <c r="H37" i="2095"/>
  <c r="D37" i="2095"/>
  <c r="R36" i="2095"/>
  <c r="L10" i="2095" s="1"/>
  <c r="D10" i="2095" s="1"/>
  <c r="H36" i="2095"/>
  <c r="D36" i="2095"/>
  <c r="R35" i="2095"/>
  <c r="L18" i="2095" s="1"/>
  <c r="D18" i="2095" s="1"/>
  <c r="H35" i="2095"/>
  <c r="G49" i="2095" s="1"/>
  <c r="D35" i="2095"/>
  <c r="R34" i="2095"/>
  <c r="L12" i="2095" s="1"/>
  <c r="D12" i="2095" s="1"/>
  <c r="H34" i="2095"/>
  <c r="D34" i="2095"/>
  <c r="D54" i="2095" s="1"/>
  <c r="H14" i="2095" s="1"/>
  <c r="R33" i="2095"/>
  <c r="R32" i="2095"/>
  <c r="R31" i="2095"/>
  <c r="R30" i="2095"/>
  <c r="R29" i="2095"/>
  <c r="R28" i="2095"/>
  <c r="L28" i="2095"/>
  <c r="D28" i="2095"/>
  <c r="R27" i="2095"/>
  <c r="L27" i="2095"/>
  <c r="D27" i="2095"/>
  <c r="R26" i="2095"/>
  <c r="L26" i="2095"/>
  <c r="D26" i="2095"/>
  <c r="R25" i="2095"/>
  <c r="L25" i="2095"/>
  <c r="D25" i="2095" s="1"/>
  <c r="R24" i="2095"/>
  <c r="L24" i="2095"/>
  <c r="D24" i="2095"/>
  <c r="R23" i="2095"/>
  <c r="L23" i="2095"/>
  <c r="D23" i="2095" s="1"/>
  <c r="R22" i="2095"/>
  <c r="L20" i="2095" s="1"/>
  <c r="D20" i="2095" s="1"/>
  <c r="L22" i="2095"/>
  <c r="D22" i="2095"/>
  <c r="R21" i="2095"/>
  <c r="L17" i="2095" s="1"/>
  <c r="D17" i="2095" s="1"/>
  <c r="L21" i="2095"/>
  <c r="D21" i="2095" s="1"/>
  <c r="R20" i="2095"/>
  <c r="R19" i="2095"/>
  <c r="L19" i="2095"/>
  <c r="D19" i="2095" s="1"/>
  <c r="R18" i="2095"/>
  <c r="R17" i="2095"/>
  <c r="R16" i="2095"/>
  <c r="L16" i="2095"/>
  <c r="D16" i="2095" s="1"/>
  <c r="R15" i="2095"/>
  <c r="L15" i="2095"/>
  <c r="D15" i="2095"/>
  <c r="R14" i="2095"/>
  <c r="D14" i="2095"/>
  <c r="R13" i="2095"/>
  <c r="D13" i="2095"/>
  <c r="R12" i="2095"/>
  <c r="R11" i="2095"/>
  <c r="L11" i="2095"/>
  <c r="D11" i="2095" s="1"/>
  <c r="R6" i="2095"/>
  <c r="L6" i="2095"/>
  <c r="D6" i="2095" s="1"/>
  <c r="R5" i="2095"/>
  <c r="R4" i="2095"/>
  <c r="R52" i="2094"/>
  <c r="R51" i="2094"/>
  <c r="D50" i="2094"/>
  <c r="R49" i="2094"/>
  <c r="G49" i="2094"/>
  <c r="D49" i="2094"/>
  <c r="R48" i="2094"/>
  <c r="D48" i="2094"/>
  <c r="D46" i="2094"/>
  <c r="D45" i="2094"/>
  <c r="D44" i="2094"/>
  <c r="R42" i="2094"/>
  <c r="D42" i="2094"/>
  <c r="R41" i="2094"/>
  <c r="L7" i="2094" s="1"/>
  <c r="D7" i="2094" s="1"/>
  <c r="D41" i="2094"/>
  <c r="R40" i="2094"/>
  <c r="L8" i="2094" s="1"/>
  <c r="D8" i="2094" s="1"/>
  <c r="D40" i="2094"/>
  <c r="R39" i="2094"/>
  <c r="D39" i="2094"/>
  <c r="R38" i="2094"/>
  <c r="D38" i="2094"/>
  <c r="R37" i="2094"/>
  <c r="D37" i="2094"/>
  <c r="R36" i="2094"/>
  <c r="L10" i="2094" s="1"/>
  <c r="D10" i="2094" s="1"/>
  <c r="D36" i="2094"/>
  <c r="R35" i="2094"/>
  <c r="D35" i="2094"/>
  <c r="R34" i="2094"/>
  <c r="D34" i="2094"/>
  <c r="D54" i="2094" s="1"/>
  <c r="H14" i="2094" s="1"/>
  <c r="R33" i="2094"/>
  <c r="R32" i="2094"/>
  <c r="L11" i="2094" s="1"/>
  <c r="D11" i="2094" s="1"/>
  <c r="R31" i="2094"/>
  <c r="R30" i="2094"/>
  <c r="R29" i="2094"/>
  <c r="R28" i="2094"/>
  <c r="D28" i="2094"/>
  <c r="R27" i="2094"/>
  <c r="D27" i="2094"/>
  <c r="R26" i="2094"/>
  <c r="L26" i="2094"/>
  <c r="D26" i="2094"/>
  <c r="R25" i="2094"/>
  <c r="L25" i="2094"/>
  <c r="D25" i="2094"/>
  <c r="R24" i="2094"/>
  <c r="D24" i="2094"/>
  <c r="R23" i="2094"/>
  <c r="L23" i="2094"/>
  <c r="D23" i="2094" s="1"/>
  <c r="R22" i="2094"/>
  <c r="L22" i="2094"/>
  <c r="D22" i="2094"/>
  <c r="R21" i="2094"/>
  <c r="D21" i="2094"/>
  <c r="R20" i="2094"/>
  <c r="L20" i="2094"/>
  <c r="D20" i="2094"/>
  <c r="R19" i="2094"/>
  <c r="L19" i="2094"/>
  <c r="D19" i="2094"/>
  <c r="R18" i="2094"/>
  <c r="D18" i="2094"/>
  <c r="R17" i="2094"/>
  <c r="D17" i="2094"/>
  <c r="R16" i="2094"/>
  <c r="L16" i="2094"/>
  <c r="D16" i="2094" s="1"/>
  <c r="S15" i="2094"/>
  <c r="R15" i="2094"/>
  <c r="D15" i="2094"/>
  <c r="S14" i="2094"/>
  <c r="R14" i="2094"/>
  <c r="D14" i="2094"/>
  <c r="R13" i="2094"/>
  <c r="D13" i="2094"/>
  <c r="R12" i="2094"/>
  <c r="L12" i="2094"/>
  <c r="D12" i="2094" s="1"/>
  <c r="R11" i="2094"/>
  <c r="L9" i="2094"/>
  <c r="D9" i="2094" s="1"/>
  <c r="R6" i="2094"/>
  <c r="L6" i="2094"/>
  <c r="D6" i="2094" s="1"/>
  <c r="R5" i="2094"/>
  <c r="R4" i="2094"/>
  <c r="R52" i="2093"/>
  <c r="R51" i="2093"/>
  <c r="D50" i="2093"/>
  <c r="R49" i="2093"/>
  <c r="D49" i="2093"/>
  <c r="R48" i="2093"/>
  <c r="D48" i="2093"/>
  <c r="D46" i="2093"/>
  <c r="D45" i="2093"/>
  <c r="R44" i="2093"/>
  <c r="L28" i="2093" s="1"/>
  <c r="D28" i="2093" s="1"/>
  <c r="D44" i="2093"/>
  <c r="R42" i="2093"/>
  <c r="D42" i="2093"/>
  <c r="R41" i="2093"/>
  <c r="D41" i="2093"/>
  <c r="R40" i="2093"/>
  <c r="L8" i="2093" s="1"/>
  <c r="D8" i="2093" s="1"/>
  <c r="D40" i="2093"/>
  <c r="R39" i="2093"/>
  <c r="H39" i="2093"/>
  <c r="D39" i="2093"/>
  <c r="R38" i="2093"/>
  <c r="L9" i="2093" s="1"/>
  <c r="D9" i="2093" s="1"/>
  <c r="H38" i="2093"/>
  <c r="D38" i="2093"/>
  <c r="R37" i="2093"/>
  <c r="H37" i="2093"/>
  <c r="D37" i="2093"/>
  <c r="R36" i="2093"/>
  <c r="H36" i="2093"/>
  <c r="D36" i="2093"/>
  <c r="R35" i="2093"/>
  <c r="H35" i="2093"/>
  <c r="D35" i="2093"/>
  <c r="R34" i="2093"/>
  <c r="L12" i="2093" s="1"/>
  <c r="D12" i="2093" s="1"/>
  <c r="H34" i="2093"/>
  <c r="G49" i="2093" s="1"/>
  <c r="D34" i="2093"/>
  <c r="D54" i="2093" s="1"/>
  <c r="H14" i="2093" s="1"/>
  <c r="R33" i="2093"/>
  <c r="L19" i="2093" s="1"/>
  <c r="D19" i="2093" s="1"/>
  <c r="R32" i="2093"/>
  <c r="L11" i="2093" s="1"/>
  <c r="D11" i="2093" s="1"/>
  <c r="R31" i="2093"/>
  <c r="R30" i="2093"/>
  <c r="R29" i="2093"/>
  <c r="R28" i="2093"/>
  <c r="R27" i="2093"/>
  <c r="L27" i="2093"/>
  <c r="D27" i="2093"/>
  <c r="R26" i="2093"/>
  <c r="L26" i="2093"/>
  <c r="D26" i="2093"/>
  <c r="R25" i="2093"/>
  <c r="L25" i="2093"/>
  <c r="D25" i="2093" s="1"/>
  <c r="R24" i="2093"/>
  <c r="L24" i="2093"/>
  <c r="D24" i="2093"/>
  <c r="R23" i="2093"/>
  <c r="L23" i="2093"/>
  <c r="D23" i="2093"/>
  <c r="R22" i="2093"/>
  <c r="L22" i="2093"/>
  <c r="D22" i="2093"/>
  <c r="R21" i="2093"/>
  <c r="L17" i="2093" s="1"/>
  <c r="D17" i="2093" s="1"/>
  <c r="L21" i="2093"/>
  <c r="D21" i="2093"/>
  <c r="R20" i="2093"/>
  <c r="L20" i="2093"/>
  <c r="D20" i="2093"/>
  <c r="R19" i="2093"/>
  <c r="R18" i="2093"/>
  <c r="L18" i="2093"/>
  <c r="D18" i="2093" s="1"/>
  <c r="R17" i="2093"/>
  <c r="R16" i="2093"/>
  <c r="R15" i="2093"/>
  <c r="L15" i="2093"/>
  <c r="D15" i="2093"/>
  <c r="R14" i="2093"/>
  <c r="D14" i="2093"/>
  <c r="R13" i="2093"/>
  <c r="D13" i="2093"/>
  <c r="R12" i="2093"/>
  <c r="R11" i="2093"/>
  <c r="L10" i="2093"/>
  <c r="D10" i="2093"/>
  <c r="L7" i="2093"/>
  <c r="D7" i="2093"/>
  <c r="R6" i="2093"/>
  <c r="L16" i="2093" s="1"/>
  <c r="D16" i="2093" s="1"/>
  <c r="L6" i="2093"/>
  <c r="D6" i="2093"/>
  <c r="R5" i="2093"/>
  <c r="R4" i="2093"/>
  <c r="R52" i="2092"/>
  <c r="R51" i="2092"/>
  <c r="D50" i="2092"/>
  <c r="R49" i="2092"/>
  <c r="D49" i="2092"/>
  <c r="R48" i="2092"/>
  <c r="D48" i="2092"/>
  <c r="D46" i="2092"/>
  <c r="D45" i="2092"/>
  <c r="R44" i="2092"/>
  <c r="L28" i="2092" s="1"/>
  <c r="D28" i="2092" s="1"/>
  <c r="D44" i="2092"/>
  <c r="R42" i="2092"/>
  <c r="D42" i="2092"/>
  <c r="R41" i="2092"/>
  <c r="D41" i="2092"/>
  <c r="R40" i="2092"/>
  <c r="D40" i="2092"/>
  <c r="R39" i="2092"/>
  <c r="H39" i="2092"/>
  <c r="G49" i="2092" s="1"/>
  <c r="D39" i="2092"/>
  <c r="R38" i="2092"/>
  <c r="H38" i="2092"/>
  <c r="D38" i="2092"/>
  <c r="R37" i="2092"/>
  <c r="H37" i="2092"/>
  <c r="D37" i="2092"/>
  <c r="R36" i="2092"/>
  <c r="H36" i="2092"/>
  <c r="D36" i="2092"/>
  <c r="R35" i="2092"/>
  <c r="H35" i="2092"/>
  <c r="D35" i="2092"/>
  <c r="R34" i="2092"/>
  <c r="L12" i="2092" s="1"/>
  <c r="D12" i="2092" s="1"/>
  <c r="H34" i="2092"/>
  <c r="D34" i="2092"/>
  <c r="D54" i="2092" s="1"/>
  <c r="H14" i="2092" s="1"/>
  <c r="R33" i="2092"/>
  <c r="L19" i="2092" s="1"/>
  <c r="D19" i="2092" s="1"/>
  <c r="R32" i="2092"/>
  <c r="L11" i="2092" s="1"/>
  <c r="D11" i="2092" s="1"/>
  <c r="R31" i="2092"/>
  <c r="R30" i="2092"/>
  <c r="R29" i="2092"/>
  <c r="R28" i="2092"/>
  <c r="R27" i="2092"/>
  <c r="L27" i="2092"/>
  <c r="D27" i="2092"/>
  <c r="R26" i="2092"/>
  <c r="L26" i="2092"/>
  <c r="D26" i="2092"/>
  <c r="R25" i="2092"/>
  <c r="L25" i="2092"/>
  <c r="D25" i="2092" s="1"/>
  <c r="R24" i="2092"/>
  <c r="L24" i="2092"/>
  <c r="D24" i="2092"/>
  <c r="R23" i="2092"/>
  <c r="L23" i="2092"/>
  <c r="D23" i="2092" s="1"/>
  <c r="R22" i="2092"/>
  <c r="L22" i="2092"/>
  <c r="D22" i="2092"/>
  <c r="R21" i="2092"/>
  <c r="L17" i="2092" s="1"/>
  <c r="D17" i="2092" s="1"/>
  <c r="D21" i="2092"/>
  <c r="R20" i="2092"/>
  <c r="L20" i="2092"/>
  <c r="D20" i="2092"/>
  <c r="R19" i="2092"/>
  <c r="R18" i="2092"/>
  <c r="L18" i="2092"/>
  <c r="D18" i="2092"/>
  <c r="R17" i="2092"/>
  <c r="R16" i="2092"/>
  <c r="R15" i="2092"/>
  <c r="L15" i="2092"/>
  <c r="D15" i="2092"/>
  <c r="R14" i="2092"/>
  <c r="D14" i="2092"/>
  <c r="R13" i="2092"/>
  <c r="D13" i="2092"/>
  <c r="R12" i="2092"/>
  <c r="R11" i="2092"/>
  <c r="L10" i="2092"/>
  <c r="D10" i="2092"/>
  <c r="L9" i="2092"/>
  <c r="D9" i="2092"/>
  <c r="L8" i="2092"/>
  <c r="D8" i="2092" s="1"/>
  <c r="L7" i="2092"/>
  <c r="D7" i="2092"/>
  <c r="R6" i="2092"/>
  <c r="L16" i="2092" s="1"/>
  <c r="D16" i="2092" s="1"/>
  <c r="L6" i="2092"/>
  <c r="D6" i="2092" s="1"/>
  <c r="D29" i="2092" s="1"/>
  <c r="H13" i="2092" s="1"/>
  <c r="H15" i="2092" s="1"/>
  <c r="H29" i="2092" s="1"/>
  <c r="R5" i="2092"/>
  <c r="R4" i="2092"/>
  <c r="R52" i="2091"/>
  <c r="R51" i="2091"/>
  <c r="D50" i="2091"/>
  <c r="R49" i="2091"/>
  <c r="D49" i="2091"/>
  <c r="R48" i="2091"/>
  <c r="D48" i="2091"/>
  <c r="D46" i="2091"/>
  <c r="D45" i="2091"/>
  <c r="R44" i="2091"/>
  <c r="D44" i="2091"/>
  <c r="R42" i="2091"/>
  <c r="L6" i="2091" s="1"/>
  <c r="D6" i="2091" s="1"/>
  <c r="D42" i="2091"/>
  <c r="R41" i="2091"/>
  <c r="D41" i="2091"/>
  <c r="R40" i="2091"/>
  <c r="D40" i="2091"/>
  <c r="R39" i="2091"/>
  <c r="H39" i="2091"/>
  <c r="D39" i="2091"/>
  <c r="R38" i="2091"/>
  <c r="H38" i="2091"/>
  <c r="D38" i="2091"/>
  <c r="R37" i="2091"/>
  <c r="H37" i="2091"/>
  <c r="D37" i="2091"/>
  <c r="R36" i="2091"/>
  <c r="L10" i="2091" s="1"/>
  <c r="D10" i="2091" s="1"/>
  <c r="H36" i="2091"/>
  <c r="D36" i="2091"/>
  <c r="R35" i="2091"/>
  <c r="H35" i="2091"/>
  <c r="D35" i="2091"/>
  <c r="R34" i="2091"/>
  <c r="H34" i="2091"/>
  <c r="G49" i="2091" s="1"/>
  <c r="D34" i="2091"/>
  <c r="D54" i="2091" s="1"/>
  <c r="H14" i="2091" s="1"/>
  <c r="R33" i="2091"/>
  <c r="R32" i="2091"/>
  <c r="R31" i="2091"/>
  <c r="R30" i="2091"/>
  <c r="R29" i="2091"/>
  <c r="R28" i="2091"/>
  <c r="L28" i="2091"/>
  <c r="D28" i="2091"/>
  <c r="R27" i="2091"/>
  <c r="L27" i="2091"/>
  <c r="D27" i="2091" s="1"/>
  <c r="R26" i="2091"/>
  <c r="L26" i="2091"/>
  <c r="D26" i="2091" s="1"/>
  <c r="R25" i="2091"/>
  <c r="L25" i="2091"/>
  <c r="D25" i="2091"/>
  <c r="R24" i="2091"/>
  <c r="L24" i="2091"/>
  <c r="D24" i="2091" s="1"/>
  <c r="R23" i="2091"/>
  <c r="L23" i="2091"/>
  <c r="D23" i="2091"/>
  <c r="R22" i="2091"/>
  <c r="L20" i="2091" s="1"/>
  <c r="D20" i="2091" s="1"/>
  <c r="L22" i="2091"/>
  <c r="D22" i="2091" s="1"/>
  <c r="R21" i="2091"/>
  <c r="L21" i="2091"/>
  <c r="D21" i="2091" s="1"/>
  <c r="R20" i="2091"/>
  <c r="R19" i="2091"/>
  <c r="L19" i="2091"/>
  <c r="D19" i="2091"/>
  <c r="R18" i="2091"/>
  <c r="L18" i="2091"/>
  <c r="D18" i="2091"/>
  <c r="R17" i="2091"/>
  <c r="L17" i="2091"/>
  <c r="D17" i="2091" s="1"/>
  <c r="R16" i="2091"/>
  <c r="R15" i="2091"/>
  <c r="R14" i="2091"/>
  <c r="D14" i="2091"/>
  <c r="R13" i="2091"/>
  <c r="D13" i="2091"/>
  <c r="R12" i="2091"/>
  <c r="L12" i="2091"/>
  <c r="D12" i="2091" s="1"/>
  <c r="R11" i="2091"/>
  <c r="L11" i="2091"/>
  <c r="D11" i="2091"/>
  <c r="L9" i="2091"/>
  <c r="D9" i="2091"/>
  <c r="L8" i="2091"/>
  <c r="D8" i="2091"/>
  <c r="L7" i="2091"/>
  <c r="D7" i="2091" s="1"/>
  <c r="R6" i="2091"/>
  <c r="L16" i="2091" s="1"/>
  <c r="D16" i="2091" s="1"/>
  <c r="R5" i="2091"/>
  <c r="R4" i="2091"/>
  <c r="L15" i="2091" s="1"/>
  <c r="D15" i="2091" s="1"/>
  <c r="R52" i="2090"/>
  <c r="R51" i="2090"/>
  <c r="D50" i="2090"/>
  <c r="R49" i="2090"/>
  <c r="G49" i="2090"/>
  <c r="D49" i="2090"/>
  <c r="R48" i="2090"/>
  <c r="D48" i="2090"/>
  <c r="D46" i="2090"/>
  <c r="D45" i="2090"/>
  <c r="D44" i="2090"/>
  <c r="R42" i="2090"/>
  <c r="L6" i="2090" s="1"/>
  <c r="D6" i="2090" s="1"/>
  <c r="D42" i="2090"/>
  <c r="R41" i="2090"/>
  <c r="L7" i="2090" s="1"/>
  <c r="D7" i="2090" s="1"/>
  <c r="D41" i="2090"/>
  <c r="R40" i="2090"/>
  <c r="D40" i="2090"/>
  <c r="R39" i="2090"/>
  <c r="D39" i="2090"/>
  <c r="R38" i="2090"/>
  <c r="D38" i="2090"/>
  <c r="R37" i="2090"/>
  <c r="D37" i="2090"/>
  <c r="R36" i="2090"/>
  <c r="L10" i="2090" s="1"/>
  <c r="D10" i="2090" s="1"/>
  <c r="D36" i="2090"/>
  <c r="R35" i="2090"/>
  <c r="D35" i="2090"/>
  <c r="R34" i="2090"/>
  <c r="L12" i="2090" s="1"/>
  <c r="D12" i="2090" s="1"/>
  <c r="D34" i="2090"/>
  <c r="D54" i="2090" s="1"/>
  <c r="H14" i="2090" s="1"/>
  <c r="R33" i="2090"/>
  <c r="L23" i="2090" s="1"/>
  <c r="D23" i="2090" s="1"/>
  <c r="R32" i="2090"/>
  <c r="R31" i="2090"/>
  <c r="R30" i="2090"/>
  <c r="R29" i="2090"/>
  <c r="R28" i="2090"/>
  <c r="L16" i="2090" s="1"/>
  <c r="D16" i="2090" s="1"/>
  <c r="D28" i="2090"/>
  <c r="R27" i="2090"/>
  <c r="D27" i="2090"/>
  <c r="R26" i="2090"/>
  <c r="L26" i="2090"/>
  <c r="D26" i="2090" s="1"/>
  <c r="R25" i="2090"/>
  <c r="L25" i="2090"/>
  <c r="D25" i="2090"/>
  <c r="R24" i="2090"/>
  <c r="D24" i="2090"/>
  <c r="R23" i="2090"/>
  <c r="R22" i="2090"/>
  <c r="L22" i="2090"/>
  <c r="D22" i="2090"/>
  <c r="R21" i="2090"/>
  <c r="D21" i="2090"/>
  <c r="R20" i="2090"/>
  <c r="L20" i="2090"/>
  <c r="D20" i="2090" s="1"/>
  <c r="R19" i="2090"/>
  <c r="L19" i="2090"/>
  <c r="D19" i="2090"/>
  <c r="R18" i="2090"/>
  <c r="D18" i="2090"/>
  <c r="R17" i="2090"/>
  <c r="D17" i="2090"/>
  <c r="R16" i="2090"/>
  <c r="S15" i="2090"/>
  <c r="R15" i="2090"/>
  <c r="D15" i="2090"/>
  <c r="S14" i="2090"/>
  <c r="R14" i="2090"/>
  <c r="D14" i="2090"/>
  <c r="R13" i="2090"/>
  <c r="D13" i="2090"/>
  <c r="R12" i="2090"/>
  <c r="R11" i="2090"/>
  <c r="L11" i="2090"/>
  <c r="D11" i="2090"/>
  <c r="L9" i="2090"/>
  <c r="D9" i="2090"/>
  <c r="L8" i="2090"/>
  <c r="D8" i="2090"/>
  <c r="R6" i="2090"/>
  <c r="R5" i="2090"/>
  <c r="R4" i="2090"/>
  <c r="R52" i="2089"/>
  <c r="R51" i="2089"/>
  <c r="D50" i="2089"/>
  <c r="R49" i="2089"/>
  <c r="D49" i="2089"/>
  <c r="R48" i="2089"/>
  <c r="D48" i="2089"/>
  <c r="D46" i="2089"/>
  <c r="D45" i="2089"/>
  <c r="R44" i="2089"/>
  <c r="D44" i="2089"/>
  <c r="R42" i="2089"/>
  <c r="L6" i="2089" s="1"/>
  <c r="D6" i="2089" s="1"/>
  <c r="D42" i="2089"/>
  <c r="R41" i="2089"/>
  <c r="D41" i="2089"/>
  <c r="R40" i="2089"/>
  <c r="D40" i="2089"/>
  <c r="R39" i="2089"/>
  <c r="H39" i="2089"/>
  <c r="D39" i="2089"/>
  <c r="R38" i="2089"/>
  <c r="L9" i="2089" s="1"/>
  <c r="D9" i="2089" s="1"/>
  <c r="H38" i="2089"/>
  <c r="D38" i="2089"/>
  <c r="R37" i="2089"/>
  <c r="H37" i="2089"/>
  <c r="D37" i="2089"/>
  <c r="R36" i="2089"/>
  <c r="L10" i="2089" s="1"/>
  <c r="D10" i="2089" s="1"/>
  <c r="H36" i="2089"/>
  <c r="D36" i="2089"/>
  <c r="R35" i="2089"/>
  <c r="H35" i="2089"/>
  <c r="D35" i="2089"/>
  <c r="R34" i="2089"/>
  <c r="H34" i="2089"/>
  <c r="D34" i="2089"/>
  <c r="R33" i="2089"/>
  <c r="R32" i="2089"/>
  <c r="L11" i="2089" s="1"/>
  <c r="D11" i="2089" s="1"/>
  <c r="R31" i="2089"/>
  <c r="R30" i="2089"/>
  <c r="R29" i="2089"/>
  <c r="R28" i="2089"/>
  <c r="L28" i="2089"/>
  <c r="D28" i="2089"/>
  <c r="R27" i="2089"/>
  <c r="L27" i="2089"/>
  <c r="D27" i="2089" s="1"/>
  <c r="R26" i="2089"/>
  <c r="L26" i="2089"/>
  <c r="D26" i="2089" s="1"/>
  <c r="R25" i="2089"/>
  <c r="L25" i="2089"/>
  <c r="D25" i="2089"/>
  <c r="R24" i="2089"/>
  <c r="L24" i="2089"/>
  <c r="D24" i="2089"/>
  <c r="R23" i="2089"/>
  <c r="L23" i="2089"/>
  <c r="D23" i="2089"/>
  <c r="R22" i="2089"/>
  <c r="L20" i="2089" s="1"/>
  <c r="D20" i="2089" s="1"/>
  <c r="L22" i="2089"/>
  <c r="D22" i="2089"/>
  <c r="R21" i="2089"/>
  <c r="L21" i="2089"/>
  <c r="D21" i="2089"/>
  <c r="R20" i="2089"/>
  <c r="R19" i="2089"/>
  <c r="L19" i="2089"/>
  <c r="D19" i="2089"/>
  <c r="R18" i="2089"/>
  <c r="L18" i="2089"/>
  <c r="D18" i="2089"/>
  <c r="R17" i="2089"/>
  <c r="L17" i="2089"/>
  <c r="D17" i="2089" s="1"/>
  <c r="R16" i="2089"/>
  <c r="R15" i="2089"/>
  <c r="L15" i="2089"/>
  <c r="D15" i="2089"/>
  <c r="R14" i="2089"/>
  <c r="D14" i="2089"/>
  <c r="R13" i="2089"/>
  <c r="D13" i="2089"/>
  <c r="R12" i="2089"/>
  <c r="L12" i="2089"/>
  <c r="D12" i="2089" s="1"/>
  <c r="R11" i="2089"/>
  <c r="L8" i="2089"/>
  <c r="D8" i="2089"/>
  <c r="L7" i="2089"/>
  <c r="D7" i="2089"/>
  <c r="R6" i="2089"/>
  <c r="L16" i="2089" s="1"/>
  <c r="D16" i="2089" s="1"/>
  <c r="R5" i="2089"/>
  <c r="R4" i="2089"/>
  <c r="R52" i="2088"/>
  <c r="R51" i="2088"/>
  <c r="D50" i="2088"/>
  <c r="R49" i="2088"/>
  <c r="D49" i="2088"/>
  <c r="R48" i="2088"/>
  <c r="D48" i="2088"/>
  <c r="D46" i="2088"/>
  <c r="D45" i="2088"/>
  <c r="R44" i="2088"/>
  <c r="L28" i="2088" s="1"/>
  <c r="D28" i="2088" s="1"/>
  <c r="D44" i="2088"/>
  <c r="R42" i="2088"/>
  <c r="L6" i="2088" s="1"/>
  <c r="D6" i="2088" s="1"/>
  <c r="D42" i="2088"/>
  <c r="R41" i="2088"/>
  <c r="L7" i="2088" s="1"/>
  <c r="D7" i="2088" s="1"/>
  <c r="D41" i="2088"/>
  <c r="R40" i="2088"/>
  <c r="D40" i="2088"/>
  <c r="R39" i="2088"/>
  <c r="H39" i="2088"/>
  <c r="D39" i="2088"/>
  <c r="R38" i="2088"/>
  <c r="H38" i="2088"/>
  <c r="D38" i="2088"/>
  <c r="R37" i="2088"/>
  <c r="H37" i="2088"/>
  <c r="D37" i="2088"/>
  <c r="R36" i="2088"/>
  <c r="L10" i="2088" s="1"/>
  <c r="D10" i="2088" s="1"/>
  <c r="H36" i="2088"/>
  <c r="D36" i="2088"/>
  <c r="R35" i="2088"/>
  <c r="L18" i="2088" s="1"/>
  <c r="D18" i="2088" s="1"/>
  <c r="H35" i="2088"/>
  <c r="D35" i="2088"/>
  <c r="R34" i="2088"/>
  <c r="H34" i="2088"/>
  <c r="D34" i="2088"/>
  <c r="R33" i="2088"/>
  <c r="L19" i="2088" s="1"/>
  <c r="D19" i="2088" s="1"/>
  <c r="R32" i="2088"/>
  <c r="L11" i="2088" s="1"/>
  <c r="D11" i="2088" s="1"/>
  <c r="R31" i="2088"/>
  <c r="R30" i="2088"/>
  <c r="R29" i="2088"/>
  <c r="R28" i="2088"/>
  <c r="R27" i="2088"/>
  <c r="L27" i="2088"/>
  <c r="D27" i="2088" s="1"/>
  <c r="R26" i="2088"/>
  <c r="L26" i="2088"/>
  <c r="D26" i="2088"/>
  <c r="R25" i="2088"/>
  <c r="L25" i="2088"/>
  <c r="D25" i="2088"/>
  <c r="R24" i="2088"/>
  <c r="L24" i="2088"/>
  <c r="D24" i="2088"/>
  <c r="R23" i="2088"/>
  <c r="L23" i="2088"/>
  <c r="D23" i="2088"/>
  <c r="R22" i="2088"/>
  <c r="L20" i="2088" s="1"/>
  <c r="D20" i="2088" s="1"/>
  <c r="L22" i="2088"/>
  <c r="D22" i="2088" s="1"/>
  <c r="R21" i="2088"/>
  <c r="D21" i="2088"/>
  <c r="R20" i="2088"/>
  <c r="R19" i="2088"/>
  <c r="R18" i="2088"/>
  <c r="R17" i="2088"/>
  <c r="L17" i="2088"/>
  <c r="D17" i="2088"/>
  <c r="R16" i="2088"/>
  <c r="R15" i="2088"/>
  <c r="R14" i="2088"/>
  <c r="D14" i="2088"/>
  <c r="R13" i="2088"/>
  <c r="D13" i="2088"/>
  <c r="R12" i="2088"/>
  <c r="L12" i="2088"/>
  <c r="D12" i="2088"/>
  <c r="R11" i="2088"/>
  <c r="L9" i="2088"/>
  <c r="D9" i="2088"/>
  <c r="L8" i="2088"/>
  <c r="D8" i="2088" s="1"/>
  <c r="R6" i="2088"/>
  <c r="L16" i="2088" s="1"/>
  <c r="D16" i="2088" s="1"/>
  <c r="R5" i="2088"/>
  <c r="R4" i="2088"/>
  <c r="L15" i="2088" s="1"/>
  <c r="D15" i="2088" s="1"/>
  <c r="R52" i="2087"/>
  <c r="R51" i="2087"/>
  <c r="D50" i="2087"/>
  <c r="R49" i="2087"/>
  <c r="D49" i="2087"/>
  <c r="R48" i="2087"/>
  <c r="D48" i="2087"/>
  <c r="D46" i="2087"/>
  <c r="D45" i="2087"/>
  <c r="R44" i="2087"/>
  <c r="L28" i="2087" s="1"/>
  <c r="D28" i="2087" s="1"/>
  <c r="D44" i="2087"/>
  <c r="R42" i="2087"/>
  <c r="D42" i="2087"/>
  <c r="R41" i="2087"/>
  <c r="D41" i="2087"/>
  <c r="R40" i="2087"/>
  <c r="L8" i="2087" s="1"/>
  <c r="D8" i="2087" s="1"/>
  <c r="D40" i="2087"/>
  <c r="R39" i="2087"/>
  <c r="H39" i="2087"/>
  <c r="D39" i="2087"/>
  <c r="R38" i="2087"/>
  <c r="H38" i="2087"/>
  <c r="D38" i="2087"/>
  <c r="R37" i="2087"/>
  <c r="H37" i="2087"/>
  <c r="G49" i="2087" s="1"/>
  <c r="D37" i="2087"/>
  <c r="R36" i="2087"/>
  <c r="L10" i="2087" s="1"/>
  <c r="D10" i="2087" s="1"/>
  <c r="H36" i="2087"/>
  <c r="D36" i="2087"/>
  <c r="R35" i="2087"/>
  <c r="H35" i="2087"/>
  <c r="D35" i="2087"/>
  <c r="R34" i="2087"/>
  <c r="H34" i="2087"/>
  <c r="D34" i="2087"/>
  <c r="R33" i="2087"/>
  <c r="L19" i="2087" s="1"/>
  <c r="D19" i="2087" s="1"/>
  <c r="R32" i="2087"/>
  <c r="R31" i="2087"/>
  <c r="R30" i="2087"/>
  <c r="R29" i="2087"/>
  <c r="R28" i="2087"/>
  <c r="R27" i="2087"/>
  <c r="L27" i="2087"/>
  <c r="D27" i="2087"/>
  <c r="R26" i="2087"/>
  <c r="L26" i="2087"/>
  <c r="D26" i="2087"/>
  <c r="R25" i="2087"/>
  <c r="L25" i="2087"/>
  <c r="D25" i="2087"/>
  <c r="R24" i="2087"/>
  <c r="L24" i="2087"/>
  <c r="D24" i="2087"/>
  <c r="R23" i="2087"/>
  <c r="L23" i="2087"/>
  <c r="D23" i="2087"/>
  <c r="R22" i="2087"/>
  <c r="L22" i="2087"/>
  <c r="D22" i="2087"/>
  <c r="R21" i="2087"/>
  <c r="L21" i="2087"/>
  <c r="D21" i="2087"/>
  <c r="R20" i="2087"/>
  <c r="L20" i="2087"/>
  <c r="D20" i="2087"/>
  <c r="R19" i="2087"/>
  <c r="R18" i="2087"/>
  <c r="L18" i="2087"/>
  <c r="D18" i="2087" s="1"/>
  <c r="R17" i="2087"/>
  <c r="L17" i="2087"/>
  <c r="D17" i="2087"/>
  <c r="R16" i="2087"/>
  <c r="R15" i="2087"/>
  <c r="L15" i="2087"/>
  <c r="D15" i="2087" s="1"/>
  <c r="R14" i="2087"/>
  <c r="D14" i="2087"/>
  <c r="R13" i="2087"/>
  <c r="D13" i="2087"/>
  <c r="R12" i="2087"/>
  <c r="L12" i="2087"/>
  <c r="D12" i="2087"/>
  <c r="R11" i="2087"/>
  <c r="L11" i="2087"/>
  <c r="D11" i="2087"/>
  <c r="L9" i="2087"/>
  <c r="D9" i="2087"/>
  <c r="L7" i="2087"/>
  <c r="D7" i="2087"/>
  <c r="R6" i="2087"/>
  <c r="L16" i="2087" s="1"/>
  <c r="D16" i="2087" s="1"/>
  <c r="L6" i="2087"/>
  <c r="D6" i="2087"/>
  <c r="R5" i="2087"/>
  <c r="R4" i="2087"/>
  <c r="G49" i="2089" l="1"/>
  <c r="D54" i="2089"/>
  <c r="H14" i="2089" s="1"/>
  <c r="D29" i="2089"/>
  <c r="H13" i="2089" s="1"/>
  <c r="G49" i="2088"/>
  <c r="D54" i="2088"/>
  <c r="H14" i="2088" s="1"/>
  <c r="D54" i="2087"/>
  <c r="H14" i="2087" s="1"/>
  <c r="D29" i="2087"/>
  <c r="H13" i="2087" s="1"/>
  <c r="H15" i="2106"/>
  <c r="H29" i="2106" s="1"/>
  <c r="G51" i="2106" s="1"/>
  <c r="G51" i="2105"/>
  <c r="D29" i="2104"/>
  <c r="H13" i="2104" s="1"/>
  <c r="H15" i="2104" s="1"/>
  <c r="H29" i="2104" s="1"/>
  <c r="G51" i="2104"/>
  <c r="D29" i="2103"/>
  <c r="H13" i="2103" s="1"/>
  <c r="H15" i="2103" s="1"/>
  <c r="H29" i="2103" s="1"/>
  <c r="G51" i="2103"/>
  <c r="D29" i="2102"/>
  <c r="H13" i="2102" s="1"/>
  <c r="H15" i="2102" s="1"/>
  <c r="H29" i="2102" s="1"/>
  <c r="G51" i="2102" s="1"/>
  <c r="D29" i="2101"/>
  <c r="H13" i="2101" s="1"/>
  <c r="H15" i="2101" s="1"/>
  <c r="H29" i="2101" s="1"/>
  <c r="G51" i="2101" s="1"/>
  <c r="D29" i="2100"/>
  <c r="H13" i="2100" s="1"/>
  <c r="H15" i="2100" s="1"/>
  <c r="H29" i="2100" s="1"/>
  <c r="G51" i="2100"/>
  <c r="D29" i="2099"/>
  <c r="H13" i="2099" s="1"/>
  <c r="H15" i="2099" s="1"/>
  <c r="H29" i="2099" s="1"/>
  <c r="G51" i="2099" s="1"/>
  <c r="D29" i="2098"/>
  <c r="H13" i="2098" s="1"/>
  <c r="H15" i="2098" s="1"/>
  <c r="H29" i="2098" s="1"/>
  <c r="G51" i="2098" s="1"/>
  <c r="D29" i="2097"/>
  <c r="H13" i="2097" s="1"/>
  <c r="H15" i="2097" s="1"/>
  <c r="H29" i="2097" s="1"/>
  <c r="G51" i="2097" s="1"/>
  <c r="D29" i="2096"/>
  <c r="H13" i="2096" s="1"/>
  <c r="H15" i="2096" s="1"/>
  <c r="H29" i="2096" s="1"/>
  <c r="G51" i="2096" s="1"/>
  <c r="D29" i="2095"/>
  <c r="H13" i="2095" s="1"/>
  <c r="H15" i="2095" s="1"/>
  <c r="H29" i="2095" s="1"/>
  <c r="G51" i="2095" s="1"/>
  <c r="D29" i="2094"/>
  <c r="H13" i="2094" s="1"/>
  <c r="H15" i="2094" s="1"/>
  <c r="H29" i="2094" s="1"/>
  <c r="G51" i="2094" s="1"/>
  <c r="D29" i="2093"/>
  <c r="H13" i="2093" s="1"/>
  <c r="H15" i="2093" s="1"/>
  <c r="H29" i="2093" s="1"/>
  <c r="G51" i="2093"/>
  <c r="G51" i="2092"/>
  <c r="D29" i="2091"/>
  <c r="H13" i="2091" s="1"/>
  <c r="H15" i="2091" s="1"/>
  <c r="H29" i="2091" s="1"/>
  <c r="G51" i="2091"/>
  <c r="D29" i="2090"/>
  <c r="H13" i="2090" s="1"/>
  <c r="H15" i="2090" s="1"/>
  <c r="H29" i="2090" s="1"/>
  <c r="G51" i="2090"/>
  <c r="D29" i="2088"/>
  <c r="H13" i="2088" s="1"/>
  <c r="H26" i="2083"/>
  <c r="H16" i="2081"/>
  <c r="H15" i="2089" l="1"/>
  <c r="H29" i="2089" s="1"/>
  <c r="G51" i="2089" s="1"/>
  <c r="H15" i="2088"/>
  <c r="H29" i="2088" s="1"/>
  <c r="G51" i="2088" s="1"/>
  <c r="H15" i="2087"/>
  <c r="H29" i="2087" s="1"/>
  <c r="G51" i="2087" s="1"/>
  <c r="R52" i="2086"/>
  <c r="R51" i="2086"/>
  <c r="D50" i="2086"/>
  <c r="R49" i="2086"/>
  <c r="G49" i="2086"/>
  <c r="D49" i="2086"/>
  <c r="R48" i="2086"/>
  <c r="D48" i="2086"/>
  <c r="D46" i="2086"/>
  <c r="D45" i="2086"/>
  <c r="D44" i="2086"/>
  <c r="R42" i="2086"/>
  <c r="L6" i="2086" s="1"/>
  <c r="D6" i="2086" s="1"/>
  <c r="D42" i="2086"/>
  <c r="R41" i="2086"/>
  <c r="L7" i="2086" s="1"/>
  <c r="D7" i="2086" s="1"/>
  <c r="D41" i="2086"/>
  <c r="R40" i="2086"/>
  <c r="D40" i="2086"/>
  <c r="R39" i="2086"/>
  <c r="D39" i="2086"/>
  <c r="R38" i="2086"/>
  <c r="L9" i="2086" s="1"/>
  <c r="D9" i="2086" s="1"/>
  <c r="D38" i="2086"/>
  <c r="R37" i="2086"/>
  <c r="D37" i="2086"/>
  <c r="R36" i="2086"/>
  <c r="D36" i="2086"/>
  <c r="D54" i="2086" s="1"/>
  <c r="H14" i="2086" s="1"/>
  <c r="R35" i="2086"/>
  <c r="D35" i="2086"/>
  <c r="R34" i="2086"/>
  <c r="D34" i="2086"/>
  <c r="R33" i="2086"/>
  <c r="R32" i="2086"/>
  <c r="R31" i="2086"/>
  <c r="R30" i="2086"/>
  <c r="R29" i="2086"/>
  <c r="R28" i="2086"/>
  <c r="D28" i="2086"/>
  <c r="R27" i="2086"/>
  <c r="D27" i="2086"/>
  <c r="R26" i="2086"/>
  <c r="L26" i="2086"/>
  <c r="D26" i="2086"/>
  <c r="R25" i="2086"/>
  <c r="L25" i="2086"/>
  <c r="D25" i="2086"/>
  <c r="R24" i="2086"/>
  <c r="D24" i="2086"/>
  <c r="R23" i="2086"/>
  <c r="L23" i="2086"/>
  <c r="D23" i="2086"/>
  <c r="R22" i="2086"/>
  <c r="L22" i="2086"/>
  <c r="D22" i="2086"/>
  <c r="R21" i="2086"/>
  <c r="D21" i="2086"/>
  <c r="R20" i="2086"/>
  <c r="L20" i="2086"/>
  <c r="D20" i="2086"/>
  <c r="R19" i="2086"/>
  <c r="L19" i="2086"/>
  <c r="D19" i="2086"/>
  <c r="R18" i="2086"/>
  <c r="D18" i="2086"/>
  <c r="R17" i="2086"/>
  <c r="D17" i="2086"/>
  <c r="R16" i="2086"/>
  <c r="L16" i="2086"/>
  <c r="D16" i="2086" s="1"/>
  <c r="S15" i="2086"/>
  <c r="R15" i="2086"/>
  <c r="D15" i="2086"/>
  <c r="S14" i="2086"/>
  <c r="R14" i="2086"/>
  <c r="D14" i="2086"/>
  <c r="R13" i="2086"/>
  <c r="D13" i="2086"/>
  <c r="R12" i="2086"/>
  <c r="L12" i="2086"/>
  <c r="D12" i="2086"/>
  <c r="R11" i="2086"/>
  <c r="L11" i="2086"/>
  <c r="D11" i="2086"/>
  <c r="L10" i="2086"/>
  <c r="D10" i="2086" s="1"/>
  <c r="L8" i="2086"/>
  <c r="D8" i="2086"/>
  <c r="R6" i="2086"/>
  <c r="R5" i="2086"/>
  <c r="R4" i="2086"/>
  <c r="R52" i="2085"/>
  <c r="R51" i="2085"/>
  <c r="D50" i="2085"/>
  <c r="R49" i="2085"/>
  <c r="D49" i="2085"/>
  <c r="R48" i="2085"/>
  <c r="D48" i="2085"/>
  <c r="D46" i="2085"/>
  <c r="D45" i="2085"/>
  <c r="R44" i="2085"/>
  <c r="L28" i="2085" s="1"/>
  <c r="D28" i="2085" s="1"/>
  <c r="D44" i="2085"/>
  <c r="R42" i="2085"/>
  <c r="D42" i="2085"/>
  <c r="R41" i="2085"/>
  <c r="D41" i="2085"/>
  <c r="R40" i="2085"/>
  <c r="L8" i="2085" s="1"/>
  <c r="D8" i="2085" s="1"/>
  <c r="D40" i="2085"/>
  <c r="R39" i="2085"/>
  <c r="H39" i="2085"/>
  <c r="D39" i="2085"/>
  <c r="R38" i="2085"/>
  <c r="L9" i="2085" s="1"/>
  <c r="D9" i="2085" s="1"/>
  <c r="H38" i="2085"/>
  <c r="D38" i="2085"/>
  <c r="R37" i="2085"/>
  <c r="H37" i="2085"/>
  <c r="D37" i="2085"/>
  <c r="R36" i="2085"/>
  <c r="H36" i="2085"/>
  <c r="D36" i="2085"/>
  <c r="R35" i="2085"/>
  <c r="H35" i="2085"/>
  <c r="D35" i="2085"/>
  <c r="R34" i="2085"/>
  <c r="L12" i="2085" s="1"/>
  <c r="D12" i="2085" s="1"/>
  <c r="H34" i="2085"/>
  <c r="D34" i="2085"/>
  <c r="R33" i="2085"/>
  <c r="R32" i="2085"/>
  <c r="R31" i="2085"/>
  <c r="R30" i="2085"/>
  <c r="R29" i="2085"/>
  <c r="R28" i="2085"/>
  <c r="R27" i="2085"/>
  <c r="L27" i="2085"/>
  <c r="D27" i="2085"/>
  <c r="R26" i="2085"/>
  <c r="L26" i="2085"/>
  <c r="D26" i="2085"/>
  <c r="R25" i="2085"/>
  <c r="L25" i="2085"/>
  <c r="D25" i="2085" s="1"/>
  <c r="R24" i="2085"/>
  <c r="L24" i="2085"/>
  <c r="D24" i="2085" s="1"/>
  <c r="R23" i="2085"/>
  <c r="L23" i="2085"/>
  <c r="D23" i="2085" s="1"/>
  <c r="R22" i="2085"/>
  <c r="L20" i="2085" s="1"/>
  <c r="D20" i="2085" s="1"/>
  <c r="L22" i="2085"/>
  <c r="D22" i="2085"/>
  <c r="R21" i="2085"/>
  <c r="L17" i="2085" s="1"/>
  <c r="D17" i="2085" s="1"/>
  <c r="L21" i="2085"/>
  <c r="D21" i="2085"/>
  <c r="R20" i="2085"/>
  <c r="R19" i="2085"/>
  <c r="L19" i="2085"/>
  <c r="D19" i="2085"/>
  <c r="R18" i="2085"/>
  <c r="L18" i="2085"/>
  <c r="D18" i="2085"/>
  <c r="R17" i="2085"/>
  <c r="R16" i="2085"/>
  <c r="L16" i="2085"/>
  <c r="D16" i="2085"/>
  <c r="R15" i="2085"/>
  <c r="L15" i="2085"/>
  <c r="D15" i="2085" s="1"/>
  <c r="R14" i="2085"/>
  <c r="D14" i="2085"/>
  <c r="R13" i="2085"/>
  <c r="D13" i="2085"/>
  <c r="R12" i="2085"/>
  <c r="R11" i="2085"/>
  <c r="L11" i="2085"/>
  <c r="D11" i="2085"/>
  <c r="L10" i="2085"/>
  <c r="D10" i="2085"/>
  <c r="L7" i="2085"/>
  <c r="D7" i="2085" s="1"/>
  <c r="R6" i="2085"/>
  <c r="L6" i="2085"/>
  <c r="D6" i="2085" s="1"/>
  <c r="R5" i="2085"/>
  <c r="R4" i="2085"/>
  <c r="R52" i="2084"/>
  <c r="R51" i="2084"/>
  <c r="D50" i="2084"/>
  <c r="R49" i="2084"/>
  <c r="D49" i="2084"/>
  <c r="R48" i="2084"/>
  <c r="D48" i="2084"/>
  <c r="D46" i="2084"/>
  <c r="D45" i="2084"/>
  <c r="R44" i="2084"/>
  <c r="L28" i="2084" s="1"/>
  <c r="D28" i="2084" s="1"/>
  <c r="D44" i="2084"/>
  <c r="R42" i="2084"/>
  <c r="D42" i="2084"/>
  <c r="R41" i="2084"/>
  <c r="D41" i="2084"/>
  <c r="R40" i="2084"/>
  <c r="D40" i="2084"/>
  <c r="R39" i="2084"/>
  <c r="H39" i="2084"/>
  <c r="D39" i="2084"/>
  <c r="R38" i="2084"/>
  <c r="L9" i="2084" s="1"/>
  <c r="D9" i="2084" s="1"/>
  <c r="H38" i="2084"/>
  <c r="D38" i="2084"/>
  <c r="R37" i="2084"/>
  <c r="H37" i="2084"/>
  <c r="D37" i="2084"/>
  <c r="R36" i="2084"/>
  <c r="L10" i="2084" s="1"/>
  <c r="D10" i="2084" s="1"/>
  <c r="H36" i="2084"/>
  <c r="D36" i="2084"/>
  <c r="R35" i="2084"/>
  <c r="L18" i="2084" s="1"/>
  <c r="D18" i="2084" s="1"/>
  <c r="H35" i="2084"/>
  <c r="D35" i="2084"/>
  <c r="R34" i="2084"/>
  <c r="H34" i="2084"/>
  <c r="D34" i="2084"/>
  <c r="R33" i="2084"/>
  <c r="R32" i="2084"/>
  <c r="R31" i="2084"/>
  <c r="R30" i="2084"/>
  <c r="R29" i="2084"/>
  <c r="R28" i="2084"/>
  <c r="R27" i="2084"/>
  <c r="L27" i="2084"/>
  <c r="D27" i="2084" s="1"/>
  <c r="R26" i="2084"/>
  <c r="L26" i="2084"/>
  <c r="D26" i="2084"/>
  <c r="R25" i="2084"/>
  <c r="L25" i="2084"/>
  <c r="D25" i="2084"/>
  <c r="R24" i="2084"/>
  <c r="L24" i="2084"/>
  <c r="D24" i="2084"/>
  <c r="R23" i="2084"/>
  <c r="L23" i="2084"/>
  <c r="D23" i="2084" s="1"/>
  <c r="R22" i="2084"/>
  <c r="L20" i="2084" s="1"/>
  <c r="D20" i="2084" s="1"/>
  <c r="L22" i="2084"/>
  <c r="D22" i="2084"/>
  <c r="R21" i="2084"/>
  <c r="D21" i="2084"/>
  <c r="R20" i="2084"/>
  <c r="R19" i="2084"/>
  <c r="L19" i="2084"/>
  <c r="D19" i="2084"/>
  <c r="R18" i="2084"/>
  <c r="R17" i="2084"/>
  <c r="L17" i="2084"/>
  <c r="D17" i="2084"/>
  <c r="R16" i="2084"/>
  <c r="L16" i="2084"/>
  <c r="D16" i="2084" s="1"/>
  <c r="R15" i="2084"/>
  <c r="R14" i="2084"/>
  <c r="D14" i="2084"/>
  <c r="R13" i="2084"/>
  <c r="D13" i="2084"/>
  <c r="R12" i="2084"/>
  <c r="L12" i="2084"/>
  <c r="D12" i="2084"/>
  <c r="R11" i="2084"/>
  <c r="L11" i="2084"/>
  <c r="D11" i="2084" s="1"/>
  <c r="L8" i="2084"/>
  <c r="D8" i="2084"/>
  <c r="L7" i="2084"/>
  <c r="D7" i="2084" s="1"/>
  <c r="R6" i="2084"/>
  <c r="L6" i="2084"/>
  <c r="D6" i="2084" s="1"/>
  <c r="R5" i="2084"/>
  <c r="R4" i="2084"/>
  <c r="L15" i="2084" s="1"/>
  <c r="D15" i="2084" s="1"/>
  <c r="R52" i="2083"/>
  <c r="R51" i="2083"/>
  <c r="D50" i="2083"/>
  <c r="R49" i="2083"/>
  <c r="D49" i="2083"/>
  <c r="R48" i="2083"/>
  <c r="D48" i="2083"/>
  <c r="D46" i="2083"/>
  <c r="D45" i="2083"/>
  <c r="R44" i="2083"/>
  <c r="D44" i="2083"/>
  <c r="R42" i="2083"/>
  <c r="L6" i="2083" s="1"/>
  <c r="D6" i="2083" s="1"/>
  <c r="D42" i="2083"/>
  <c r="R41" i="2083"/>
  <c r="D41" i="2083"/>
  <c r="R40" i="2083"/>
  <c r="L8" i="2083" s="1"/>
  <c r="D8" i="2083" s="1"/>
  <c r="D40" i="2083"/>
  <c r="R39" i="2083"/>
  <c r="H39" i="2083"/>
  <c r="D39" i="2083"/>
  <c r="R38" i="2083"/>
  <c r="L9" i="2083" s="1"/>
  <c r="D9" i="2083" s="1"/>
  <c r="H38" i="2083"/>
  <c r="D38" i="2083"/>
  <c r="R37" i="2083"/>
  <c r="H37" i="2083"/>
  <c r="D37" i="2083"/>
  <c r="R36" i="2083"/>
  <c r="L10" i="2083" s="1"/>
  <c r="D10" i="2083" s="1"/>
  <c r="H36" i="2083"/>
  <c r="D36" i="2083"/>
  <c r="R35" i="2083"/>
  <c r="H35" i="2083"/>
  <c r="D35" i="2083"/>
  <c r="R34" i="2083"/>
  <c r="H34" i="2083"/>
  <c r="D34" i="2083"/>
  <c r="D54" i="2083" s="1"/>
  <c r="H14" i="2083" s="1"/>
  <c r="R33" i="2083"/>
  <c r="R32" i="2083"/>
  <c r="R31" i="2083"/>
  <c r="R30" i="2083"/>
  <c r="R29" i="2083"/>
  <c r="R28" i="2083"/>
  <c r="L28" i="2083"/>
  <c r="D28" i="2083"/>
  <c r="R27" i="2083"/>
  <c r="L27" i="2083"/>
  <c r="D27" i="2083"/>
  <c r="R26" i="2083"/>
  <c r="L26" i="2083"/>
  <c r="D26" i="2083"/>
  <c r="R25" i="2083"/>
  <c r="L25" i="2083"/>
  <c r="D25" i="2083" s="1"/>
  <c r="R24" i="2083"/>
  <c r="L24" i="2083"/>
  <c r="D24" i="2083"/>
  <c r="R23" i="2083"/>
  <c r="L23" i="2083"/>
  <c r="D23" i="2083"/>
  <c r="R22" i="2083"/>
  <c r="L20" i="2083" s="1"/>
  <c r="D20" i="2083" s="1"/>
  <c r="L22" i="2083"/>
  <c r="D22" i="2083" s="1"/>
  <c r="R21" i="2083"/>
  <c r="L21" i="2083"/>
  <c r="D21" i="2083" s="1"/>
  <c r="R20" i="2083"/>
  <c r="R19" i="2083"/>
  <c r="L19" i="2083"/>
  <c r="D19" i="2083"/>
  <c r="R18" i="2083"/>
  <c r="L18" i="2083"/>
  <c r="D18" i="2083" s="1"/>
  <c r="R17" i="2083"/>
  <c r="L17" i="2083"/>
  <c r="D17" i="2083" s="1"/>
  <c r="R16" i="2083"/>
  <c r="R15" i="2083"/>
  <c r="L15" i="2083"/>
  <c r="D15" i="2083" s="1"/>
  <c r="R14" i="2083"/>
  <c r="D14" i="2083"/>
  <c r="R13" i="2083"/>
  <c r="D13" i="2083"/>
  <c r="R12" i="2083"/>
  <c r="L12" i="2083"/>
  <c r="D12" i="2083" s="1"/>
  <c r="R11" i="2083"/>
  <c r="L11" i="2083"/>
  <c r="D11" i="2083"/>
  <c r="L7" i="2083"/>
  <c r="D7" i="2083"/>
  <c r="R6" i="2083"/>
  <c r="L16" i="2083" s="1"/>
  <c r="D16" i="2083" s="1"/>
  <c r="R5" i="2083"/>
  <c r="R4" i="2083"/>
  <c r="R52" i="2082"/>
  <c r="R51" i="2082"/>
  <c r="D50" i="2082"/>
  <c r="R49" i="2082"/>
  <c r="G49" i="2082"/>
  <c r="D49" i="2082"/>
  <c r="R48" i="2082"/>
  <c r="D48" i="2082"/>
  <c r="D46" i="2082"/>
  <c r="D45" i="2082"/>
  <c r="D44" i="2082"/>
  <c r="R42" i="2082"/>
  <c r="D42" i="2082"/>
  <c r="R41" i="2082"/>
  <c r="L7" i="2082" s="1"/>
  <c r="D7" i="2082" s="1"/>
  <c r="D41" i="2082"/>
  <c r="R40" i="2082"/>
  <c r="L8" i="2082" s="1"/>
  <c r="D8" i="2082" s="1"/>
  <c r="D40" i="2082"/>
  <c r="R39" i="2082"/>
  <c r="D39" i="2082"/>
  <c r="R38" i="2082"/>
  <c r="D38" i="2082"/>
  <c r="R37" i="2082"/>
  <c r="D37" i="2082"/>
  <c r="R36" i="2082"/>
  <c r="L10" i="2082" s="1"/>
  <c r="D10" i="2082" s="1"/>
  <c r="D36" i="2082"/>
  <c r="D54" i="2082" s="1"/>
  <c r="H14" i="2082" s="1"/>
  <c r="R35" i="2082"/>
  <c r="D35" i="2082"/>
  <c r="R34" i="2082"/>
  <c r="L12" i="2082" s="1"/>
  <c r="D12" i="2082" s="1"/>
  <c r="D34" i="2082"/>
  <c r="R33" i="2082"/>
  <c r="L23" i="2082" s="1"/>
  <c r="D23" i="2082" s="1"/>
  <c r="R32" i="2082"/>
  <c r="R31" i="2082"/>
  <c r="R30" i="2082"/>
  <c r="R29" i="2082"/>
  <c r="R28" i="2082"/>
  <c r="L16" i="2082" s="1"/>
  <c r="D16" i="2082" s="1"/>
  <c r="D28" i="2082"/>
  <c r="R27" i="2082"/>
  <c r="D27" i="2082"/>
  <c r="R26" i="2082"/>
  <c r="L26" i="2082"/>
  <c r="D26" i="2082"/>
  <c r="R25" i="2082"/>
  <c r="L25" i="2082"/>
  <c r="D25" i="2082"/>
  <c r="R24" i="2082"/>
  <c r="D24" i="2082"/>
  <c r="R23" i="2082"/>
  <c r="R22" i="2082"/>
  <c r="L22" i="2082"/>
  <c r="D22" i="2082"/>
  <c r="R21" i="2082"/>
  <c r="D21" i="2082"/>
  <c r="R20" i="2082"/>
  <c r="L20" i="2082"/>
  <c r="D20" i="2082"/>
  <c r="R19" i="2082"/>
  <c r="L19" i="2082"/>
  <c r="D19" i="2082"/>
  <c r="R18" i="2082"/>
  <c r="D18" i="2082"/>
  <c r="R17" i="2082"/>
  <c r="D17" i="2082"/>
  <c r="R16" i="2082"/>
  <c r="S15" i="2082"/>
  <c r="R15" i="2082"/>
  <c r="D15" i="2082"/>
  <c r="S14" i="2082"/>
  <c r="R14" i="2082"/>
  <c r="D14" i="2082"/>
  <c r="R13" i="2082"/>
  <c r="D13" i="2082"/>
  <c r="R12" i="2082"/>
  <c r="R11" i="2082"/>
  <c r="L11" i="2082"/>
  <c r="D11" i="2082"/>
  <c r="L9" i="2082"/>
  <c r="D9" i="2082" s="1"/>
  <c r="R6" i="2082"/>
  <c r="L6" i="2082"/>
  <c r="D6" i="2082"/>
  <c r="R5" i="2082"/>
  <c r="R4" i="2082"/>
  <c r="R52" i="2081"/>
  <c r="R51" i="2081"/>
  <c r="D50" i="2081"/>
  <c r="R49" i="2081"/>
  <c r="D49" i="2081"/>
  <c r="R48" i="2081"/>
  <c r="D48" i="2081"/>
  <c r="D46" i="2081"/>
  <c r="D45" i="2081"/>
  <c r="R44" i="2081"/>
  <c r="L28" i="2081" s="1"/>
  <c r="D28" i="2081" s="1"/>
  <c r="D44" i="2081"/>
  <c r="R42" i="2081"/>
  <c r="D42" i="2081"/>
  <c r="R41" i="2081"/>
  <c r="D41" i="2081"/>
  <c r="R40" i="2081"/>
  <c r="L8" i="2081" s="1"/>
  <c r="D8" i="2081" s="1"/>
  <c r="D40" i="2081"/>
  <c r="R39" i="2081"/>
  <c r="H39" i="2081"/>
  <c r="D39" i="2081"/>
  <c r="R38" i="2081"/>
  <c r="H38" i="2081"/>
  <c r="D38" i="2081"/>
  <c r="R37" i="2081"/>
  <c r="H37" i="2081"/>
  <c r="D37" i="2081"/>
  <c r="R36" i="2081"/>
  <c r="H36" i="2081"/>
  <c r="D36" i="2081"/>
  <c r="R35" i="2081"/>
  <c r="L18" i="2081" s="1"/>
  <c r="D18" i="2081" s="1"/>
  <c r="H35" i="2081"/>
  <c r="D35" i="2081"/>
  <c r="R34" i="2081"/>
  <c r="L12" i="2081" s="1"/>
  <c r="D12" i="2081" s="1"/>
  <c r="H34" i="2081"/>
  <c r="D34" i="2081"/>
  <c r="R33" i="2081"/>
  <c r="L19" i="2081" s="1"/>
  <c r="D19" i="2081" s="1"/>
  <c r="R32" i="2081"/>
  <c r="R31" i="2081"/>
  <c r="R30" i="2081"/>
  <c r="R29" i="2081"/>
  <c r="R28" i="2081"/>
  <c r="R27" i="2081"/>
  <c r="L27" i="2081"/>
  <c r="D27" i="2081"/>
  <c r="R26" i="2081"/>
  <c r="L26" i="2081"/>
  <c r="D26" i="2081"/>
  <c r="R25" i="2081"/>
  <c r="L25" i="2081"/>
  <c r="D25" i="2081"/>
  <c r="R24" i="2081"/>
  <c r="L24" i="2081"/>
  <c r="D24" i="2081" s="1"/>
  <c r="R23" i="2081"/>
  <c r="L23" i="2081"/>
  <c r="D23" i="2081" s="1"/>
  <c r="R22" i="2081"/>
  <c r="L22" i="2081"/>
  <c r="D22" i="2081"/>
  <c r="R21" i="2081"/>
  <c r="L17" i="2081" s="1"/>
  <c r="D17" i="2081" s="1"/>
  <c r="L21" i="2081"/>
  <c r="D21" i="2081"/>
  <c r="R20" i="2081"/>
  <c r="L20" i="2081"/>
  <c r="D20" i="2081" s="1"/>
  <c r="R19" i="2081"/>
  <c r="R18" i="2081"/>
  <c r="R17" i="2081"/>
  <c r="R16" i="2081"/>
  <c r="L16" i="2081"/>
  <c r="D16" i="2081"/>
  <c r="R15" i="2081"/>
  <c r="L15" i="2081"/>
  <c r="D15" i="2081" s="1"/>
  <c r="R14" i="2081"/>
  <c r="D14" i="2081"/>
  <c r="R13" i="2081"/>
  <c r="D13" i="2081"/>
  <c r="R12" i="2081"/>
  <c r="R11" i="2081"/>
  <c r="L11" i="2081"/>
  <c r="D11" i="2081"/>
  <c r="L10" i="2081"/>
  <c r="D10" i="2081"/>
  <c r="L9" i="2081"/>
  <c r="D9" i="2081" s="1"/>
  <c r="L7" i="2081"/>
  <c r="D7" i="2081" s="1"/>
  <c r="R6" i="2081"/>
  <c r="L6" i="2081"/>
  <c r="D6" i="2081" s="1"/>
  <c r="R5" i="2081"/>
  <c r="R4" i="2081"/>
  <c r="R52" i="2080"/>
  <c r="R51" i="2080"/>
  <c r="D50" i="2080"/>
  <c r="R49" i="2080"/>
  <c r="D49" i="2080"/>
  <c r="R48" i="2080"/>
  <c r="D48" i="2080"/>
  <c r="D46" i="2080"/>
  <c r="D45" i="2080"/>
  <c r="R44" i="2080"/>
  <c r="L28" i="2080" s="1"/>
  <c r="D28" i="2080" s="1"/>
  <c r="D44" i="2080"/>
  <c r="R42" i="2080"/>
  <c r="D42" i="2080"/>
  <c r="R41" i="2080"/>
  <c r="D41" i="2080"/>
  <c r="R40" i="2080"/>
  <c r="L8" i="2080" s="1"/>
  <c r="D8" i="2080" s="1"/>
  <c r="D40" i="2080"/>
  <c r="R39" i="2080"/>
  <c r="H39" i="2080"/>
  <c r="D39" i="2080"/>
  <c r="R38" i="2080"/>
  <c r="H38" i="2080"/>
  <c r="D38" i="2080"/>
  <c r="R37" i="2080"/>
  <c r="H37" i="2080"/>
  <c r="D37" i="2080"/>
  <c r="R36" i="2080"/>
  <c r="L10" i="2080" s="1"/>
  <c r="D10" i="2080" s="1"/>
  <c r="H36" i="2080"/>
  <c r="D36" i="2080"/>
  <c r="R35" i="2080"/>
  <c r="H35" i="2080"/>
  <c r="D35" i="2080"/>
  <c r="R34" i="2080"/>
  <c r="H34" i="2080"/>
  <c r="D34" i="2080"/>
  <c r="R33" i="2080"/>
  <c r="L19" i="2080" s="1"/>
  <c r="D19" i="2080" s="1"/>
  <c r="R32" i="2080"/>
  <c r="R31" i="2080"/>
  <c r="R30" i="2080"/>
  <c r="R29" i="2080"/>
  <c r="R28" i="2080"/>
  <c r="R27" i="2080"/>
  <c r="L27" i="2080"/>
  <c r="D27" i="2080"/>
  <c r="R26" i="2080"/>
  <c r="L26" i="2080"/>
  <c r="D26" i="2080"/>
  <c r="R25" i="2080"/>
  <c r="L25" i="2080"/>
  <c r="D25" i="2080"/>
  <c r="R24" i="2080"/>
  <c r="L24" i="2080"/>
  <c r="D24" i="2080"/>
  <c r="R23" i="2080"/>
  <c r="L23" i="2080"/>
  <c r="D23" i="2080" s="1"/>
  <c r="R22" i="2080"/>
  <c r="L20" i="2080" s="1"/>
  <c r="D20" i="2080" s="1"/>
  <c r="L22" i="2080"/>
  <c r="D22" i="2080"/>
  <c r="R21" i="2080"/>
  <c r="D21" i="2080"/>
  <c r="R20" i="2080"/>
  <c r="R19" i="2080"/>
  <c r="R18" i="2080"/>
  <c r="L18" i="2080"/>
  <c r="D18" i="2080"/>
  <c r="R17" i="2080"/>
  <c r="L17" i="2080"/>
  <c r="D17" i="2080"/>
  <c r="R16" i="2080"/>
  <c r="R15" i="2080"/>
  <c r="R14" i="2080"/>
  <c r="D14" i="2080"/>
  <c r="R13" i="2080"/>
  <c r="D13" i="2080"/>
  <c r="R12" i="2080"/>
  <c r="L12" i="2080"/>
  <c r="D12" i="2080"/>
  <c r="R11" i="2080"/>
  <c r="L11" i="2080"/>
  <c r="D11" i="2080"/>
  <c r="L9" i="2080"/>
  <c r="D9" i="2080"/>
  <c r="L7" i="2080"/>
  <c r="D7" i="2080"/>
  <c r="R6" i="2080"/>
  <c r="L16" i="2080" s="1"/>
  <c r="D16" i="2080" s="1"/>
  <c r="L6" i="2080"/>
  <c r="D6" i="2080"/>
  <c r="R5" i="2080"/>
  <c r="R4" i="2080"/>
  <c r="L15" i="2080" s="1"/>
  <c r="D15" i="2080" s="1"/>
  <c r="R52" i="2079"/>
  <c r="R51" i="2079"/>
  <c r="D50" i="2079"/>
  <c r="R49" i="2079"/>
  <c r="D49" i="2079"/>
  <c r="R48" i="2079"/>
  <c r="D48" i="2079"/>
  <c r="D46" i="2079"/>
  <c r="D45" i="2079"/>
  <c r="R44" i="2079"/>
  <c r="D44" i="2079"/>
  <c r="R42" i="2079"/>
  <c r="D42" i="2079"/>
  <c r="R41" i="2079"/>
  <c r="D41" i="2079"/>
  <c r="R40" i="2079"/>
  <c r="D40" i="2079"/>
  <c r="R39" i="2079"/>
  <c r="H39" i="2079"/>
  <c r="D39" i="2079"/>
  <c r="R38" i="2079"/>
  <c r="L9" i="2079" s="1"/>
  <c r="D9" i="2079" s="1"/>
  <c r="H38" i="2079"/>
  <c r="D38" i="2079"/>
  <c r="R37" i="2079"/>
  <c r="H37" i="2079"/>
  <c r="D37" i="2079"/>
  <c r="R36" i="2079"/>
  <c r="H36" i="2079"/>
  <c r="D36" i="2079"/>
  <c r="R35" i="2079"/>
  <c r="L18" i="2079" s="1"/>
  <c r="D18" i="2079" s="1"/>
  <c r="H35" i="2079"/>
  <c r="D35" i="2079"/>
  <c r="R34" i="2079"/>
  <c r="L12" i="2079" s="1"/>
  <c r="D12" i="2079" s="1"/>
  <c r="H34" i="2079"/>
  <c r="D34" i="2079"/>
  <c r="D54" i="2079" s="1"/>
  <c r="H14" i="2079" s="1"/>
  <c r="R33" i="2079"/>
  <c r="R32" i="2079"/>
  <c r="L11" i="2079" s="1"/>
  <c r="D11" i="2079" s="1"/>
  <c r="R31" i="2079"/>
  <c r="R30" i="2079"/>
  <c r="R29" i="2079"/>
  <c r="R28" i="2079"/>
  <c r="L28" i="2079"/>
  <c r="D28" i="2079"/>
  <c r="R27" i="2079"/>
  <c r="L27" i="2079"/>
  <c r="D27" i="2079"/>
  <c r="R26" i="2079"/>
  <c r="L26" i="2079"/>
  <c r="D26" i="2079"/>
  <c r="R25" i="2079"/>
  <c r="L25" i="2079"/>
  <c r="D25" i="2079"/>
  <c r="R24" i="2079"/>
  <c r="L24" i="2079"/>
  <c r="D24" i="2079"/>
  <c r="R23" i="2079"/>
  <c r="L23" i="2079"/>
  <c r="D23" i="2079" s="1"/>
  <c r="R22" i="2079"/>
  <c r="L22" i="2079"/>
  <c r="D22" i="2079"/>
  <c r="R21" i="2079"/>
  <c r="L17" i="2079" s="1"/>
  <c r="D17" i="2079" s="1"/>
  <c r="L21" i="2079"/>
  <c r="D21" i="2079"/>
  <c r="R20" i="2079"/>
  <c r="L20" i="2079"/>
  <c r="D20" i="2079"/>
  <c r="R19" i="2079"/>
  <c r="L19" i="2079"/>
  <c r="D19" i="2079"/>
  <c r="R18" i="2079"/>
  <c r="R17" i="2079"/>
  <c r="R16" i="2079"/>
  <c r="L16" i="2079"/>
  <c r="D16" i="2079"/>
  <c r="R15" i="2079"/>
  <c r="L15" i="2079"/>
  <c r="D15" i="2079"/>
  <c r="R14" i="2079"/>
  <c r="D14" i="2079"/>
  <c r="R13" i="2079"/>
  <c r="D13" i="2079"/>
  <c r="R12" i="2079"/>
  <c r="R11" i="2079"/>
  <c r="L10" i="2079"/>
  <c r="D10" i="2079"/>
  <c r="L8" i="2079"/>
  <c r="D8" i="2079"/>
  <c r="L7" i="2079"/>
  <c r="D7" i="2079"/>
  <c r="R6" i="2079"/>
  <c r="L6" i="2079"/>
  <c r="D6" i="2079" s="1"/>
  <c r="R5" i="2079"/>
  <c r="R4" i="2079"/>
  <c r="R52" i="2078"/>
  <c r="R51" i="2078"/>
  <c r="D50" i="2078"/>
  <c r="R49" i="2078"/>
  <c r="G49" i="2078"/>
  <c r="D49" i="2078"/>
  <c r="R48" i="2078"/>
  <c r="D48" i="2078"/>
  <c r="D46" i="2078"/>
  <c r="D45" i="2078"/>
  <c r="D44" i="2078"/>
  <c r="R42" i="2078"/>
  <c r="D42" i="2078"/>
  <c r="R41" i="2078"/>
  <c r="L7" i="2078" s="1"/>
  <c r="D7" i="2078" s="1"/>
  <c r="D41" i="2078"/>
  <c r="R40" i="2078"/>
  <c r="L8" i="2078" s="1"/>
  <c r="D8" i="2078" s="1"/>
  <c r="D40" i="2078"/>
  <c r="R39" i="2078"/>
  <c r="D39" i="2078"/>
  <c r="R38" i="2078"/>
  <c r="D38" i="2078"/>
  <c r="R37" i="2078"/>
  <c r="D37" i="2078"/>
  <c r="R36" i="2078"/>
  <c r="L10" i="2078" s="1"/>
  <c r="D10" i="2078" s="1"/>
  <c r="D36" i="2078"/>
  <c r="R35" i="2078"/>
  <c r="L19" i="2078" s="1"/>
  <c r="D19" i="2078" s="1"/>
  <c r="D35" i="2078"/>
  <c r="R34" i="2078"/>
  <c r="D34" i="2078"/>
  <c r="D54" i="2078" s="1"/>
  <c r="H14" i="2078" s="1"/>
  <c r="R33" i="2078"/>
  <c r="R32" i="2078"/>
  <c r="R31" i="2078"/>
  <c r="R30" i="2078"/>
  <c r="R29" i="2078"/>
  <c r="R28" i="2078"/>
  <c r="L16" i="2078" s="1"/>
  <c r="D16" i="2078" s="1"/>
  <c r="D28" i="2078"/>
  <c r="R27" i="2078"/>
  <c r="D27" i="2078"/>
  <c r="R26" i="2078"/>
  <c r="L26" i="2078"/>
  <c r="D26" i="2078" s="1"/>
  <c r="R25" i="2078"/>
  <c r="L25" i="2078"/>
  <c r="D25" i="2078"/>
  <c r="R24" i="2078"/>
  <c r="D24" i="2078"/>
  <c r="R23" i="2078"/>
  <c r="L23" i="2078"/>
  <c r="D23" i="2078"/>
  <c r="R22" i="2078"/>
  <c r="L22" i="2078"/>
  <c r="D22" i="2078"/>
  <c r="R21" i="2078"/>
  <c r="D21" i="2078"/>
  <c r="R20" i="2078"/>
  <c r="L20" i="2078"/>
  <c r="D20" i="2078" s="1"/>
  <c r="R19" i="2078"/>
  <c r="R18" i="2078"/>
  <c r="D18" i="2078"/>
  <c r="R17" i="2078"/>
  <c r="D17" i="2078"/>
  <c r="R16" i="2078"/>
  <c r="S15" i="2078"/>
  <c r="R15" i="2078"/>
  <c r="D15" i="2078"/>
  <c r="S14" i="2078"/>
  <c r="R14" i="2078"/>
  <c r="D14" i="2078"/>
  <c r="R13" i="2078"/>
  <c r="D13" i="2078"/>
  <c r="R12" i="2078"/>
  <c r="L12" i="2078"/>
  <c r="D12" i="2078"/>
  <c r="R11" i="2078"/>
  <c r="L11" i="2078"/>
  <c r="D11" i="2078"/>
  <c r="L9" i="2078"/>
  <c r="D9" i="2078"/>
  <c r="R6" i="2078"/>
  <c r="L6" i="2078"/>
  <c r="D6" i="2078"/>
  <c r="R5" i="2078"/>
  <c r="R4" i="2078"/>
  <c r="R52" i="2077"/>
  <c r="R51" i="2077"/>
  <c r="D50" i="2077"/>
  <c r="R49" i="2077"/>
  <c r="D49" i="2077"/>
  <c r="R48" i="2077"/>
  <c r="D48" i="2077"/>
  <c r="D46" i="2077"/>
  <c r="D45" i="2077"/>
  <c r="R44" i="2077"/>
  <c r="D44" i="2077"/>
  <c r="R42" i="2077"/>
  <c r="L6" i="2077" s="1"/>
  <c r="D6" i="2077" s="1"/>
  <c r="D42" i="2077"/>
  <c r="R41" i="2077"/>
  <c r="D41" i="2077"/>
  <c r="R40" i="2077"/>
  <c r="D40" i="2077"/>
  <c r="R39" i="2077"/>
  <c r="H39" i="2077"/>
  <c r="D39" i="2077"/>
  <c r="R38" i="2077"/>
  <c r="L9" i="2077" s="1"/>
  <c r="D9" i="2077" s="1"/>
  <c r="H38" i="2077"/>
  <c r="D38" i="2077"/>
  <c r="R37" i="2077"/>
  <c r="H37" i="2077"/>
  <c r="D37" i="2077"/>
  <c r="R36" i="2077"/>
  <c r="L10" i="2077" s="1"/>
  <c r="D10" i="2077" s="1"/>
  <c r="H36" i="2077"/>
  <c r="D36" i="2077"/>
  <c r="R35" i="2077"/>
  <c r="H35" i="2077"/>
  <c r="D35" i="2077"/>
  <c r="R34" i="2077"/>
  <c r="H34" i="2077"/>
  <c r="D34" i="2077"/>
  <c r="R33" i="2077"/>
  <c r="R32" i="2077"/>
  <c r="L11" i="2077" s="1"/>
  <c r="D11" i="2077" s="1"/>
  <c r="R31" i="2077"/>
  <c r="R30" i="2077"/>
  <c r="R29" i="2077"/>
  <c r="R28" i="2077"/>
  <c r="L28" i="2077"/>
  <c r="D28" i="2077"/>
  <c r="R27" i="2077"/>
  <c r="L27" i="2077"/>
  <c r="D27" i="2077"/>
  <c r="R26" i="2077"/>
  <c r="L26" i="2077"/>
  <c r="D26" i="2077" s="1"/>
  <c r="R25" i="2077"/>
  <c r="L25" i="2077"/>
  <c r="D25" i="2077"/>
  <c r="R24" i="2077"/>
  <c r="L24" i="2077"/>
  <c r="D24" i="2077"/>
  <c r="R23" i="2077"/>
  <c r="L23" i="2077"/>
  <c r="D23" i="2077"/>
  <c r="R22" i="2077"/>
  <c r="L20" i="2077" s="1"/>
  <c r="D20" i="2077" s="1"/>
  <c r="L22" i="2077"/>
  <c r="D22" i="2077" s="1"/>
  <c r="R21" i="2077"/>
  <c r="L21" i="2077"/>
  <c r="D21" i="2077"/>
  <c r="R20" i="2077"/>
  <c r="R19" i="2077"/>
  <c r="L19" i="2077"/>
  <c r="D19" i="2077"/>
  <c r="R18" i="2077"/>
  <c r="L18" i="2077"/>
  <c r="D18" i="2077"/>
  <c r="R17" i="2077"/>
  <c r="L17" i="2077"/>
  <c r="D17" i="2077" s="1"/>
  <c r="R16" i="2077"/>
  <c r="R15" i="2077"/>
  <c r="L15" i="2077"/>
  <c r="D15" i="2077"/>
  <c r="R14" i="2077"/>
  <c r="D14" i="2077"/>
  <c r="R13" i="2077"/>
  <c r="D13" i="2077"/>
  <c r="R12" i="2077"/>
  <c r="L12" i="2077"/>
  <c r="D12" i="2077" s="1"/>
  <c r="R11" i="2077"/>
  <c r="L8" i="2077"/>
  <c r="D8" i="2077"/>
  <c r="L7" i="2077"/>
  <c r="D7" i="2077"/>
  <c r="R6" i="2077"/>
  <c r="L16" i="2077" s="1"/>
  <c r="D16" i="2077" s="1"/>
  <c r="R5" i="2077"/>
  <c r="R4" i="2077"/>
  <c r="G49" i="2085" l="1"/>
  <c r="D54" i="2085"/>
  <c r="H14" i="2085" s="1"/>
  <c r="G49" i="2084"/>
  <c r="D54" i="2084"/>
  <c r="H14" i="2084" s="1"/>
  <c r="G49" i="2081"/>
  <c r="G49" i="2080"/>
  <c r="D54" i="2081"/>
  <c r="H14" i="2081" s="1"/>
  <c r="G49" i="2079"/>
  <c r="D29" i="2086"/>
  <c r="H13" i="2086" s="1"/>
  <c r="H15" i="2086" s="1"/>
  <c r="H29" i="2086" s="1"/>
  <c r="G51" i="2086" s="1"/>
  <c r="G49" i="2083"/>
  <c r="D29" i="2085"/>
  <c r="H13" i="2085" s="1"/>
  <c r="D29" i="2084"/>
  <c r="H13" i="2084" s="1"/>
  <c r="H15" i="2084" s="1"/>
  <c r="H29" i="2084" s="1"/>
  <c r="D29" i="2083"/>
  <c r="H13" i="2083" s="1"/>
  <c r="H15" i="2083" s="1"/>
  <c r="H29" i="2083" s="1"/>
  <c r="D29" i="2082"/>
  <c r="H13" i="2082" s="1"/>
  <c r="H15" i="2082" s="1"/>
  <c r="H29" i="2082" s="1"/>
  <c r="G51" i="2082" s="1"/>
  <c r="D54" i="2080"/>
  <c r="H14" i="2080" s="1"/>
  <c r="D29" i="2081"/>
  <c r="H13" i="2081" s="1"/>
  <c r="H15" i="2081" s="1"/>
  <c r="H29" i="2081" s="1"/>
  <c r="D29" i="2080"/>
  <c r="H13" i="2080" s="1"/>
  <c r="D29" i="2079"/>
  <c r="H13" i="2079" s="1"/>
  <c r="H15" i="2079" s="1"/>
  <c r="H29" i="2079" s="1"/>
  <c r="D29" i="2078"/>
  <c r="H13" i="2078" s="1"/>
  <c r="H15" i="2078" s="1"/>
  <c r="H29" i="2078" s="1"/>
  <c r="G51" i="2078"/>
  <c r="D54" i="2077"/>
  <c r="H14" i="2077" s="1"/>
  <c r="G49" i="2077"/>
  <c r="D29" i="2077"/>
  <c r="H13" i="2077" s="1"/>
  <c r="H15" i="2077" s="1"/>
  <c r="H29" i="2077" s="1"/>
  <c r="R52" i="2076"/>
  <c r="R51" i="2076"/>
  <c r="D50" i="2076"/>
  <c r="R49" i="2076"/>
  <c r="D49" i="2076"/>
  <c r="R48" i="2076"/>
  <c r="D48" i="2076"/>
  <c r="D46" i="2076"/>
  <c r="D45" i="2076"/>
  <c r="R44" i="2076"/>
  <c r="L28" i="2076" s="1"/>
  <c r="D28" i="2076" s="1"/>
  <c r="D44" i="2076"/>
  <c r="R42" i="2076"/>
  <c r="D42" i="2076"/>
  <c r="R41" i="2076"/>
  <c r="L7" i="2076" s="1"/>
  <c r="D7" i="2076" s="1"/>
  <c r="D41" i="2076"/>
  <c r="R40" i="2076"/>
  <c r="L8" i="2076" s="1"/>
  <c r="D8" i="2076" s="1"/>
  <c r="D40" i="2076"/>
  <c r="R39" i="2076"/>
  <c r="H39" i="2076"/>
  <c r="D39" i="2076"/>
  <c r="R38" i="2076"/>
  <c r="H38" i="2076"/>
  <c r="D38" i="2076"/>
  <c r="R37" i="2076"/>
  <c r="H37" i="2076"/>
  <c r="D37" i="2076"/>
  <c r="R36" i="2076"/>
  <c r="L10" i="2076" s="1"/>
  <c r="D10" i="2076" s="1"/>
  <c r="H36" i="2076"/>
  <c r="D36" i="2076"/>
  <c r="R35" i="2076"/>
  <c r="L18" i="2076" s="1"/>
  <c r="D18" i="2076" s="1"/>
  <c r="H35" i="2076"/>
  <c r="D35" i="2076"/>
  <c r="D54" i="2076" s="1"/>
  <c r="H14" i="2076" s="1"/>
  <c r="R34" i="2076"/>
  <c r="H34" i="2076"/>
  <c r="G49" i="2076" s="1"/>
  <c r="D34" i="2076"/>
  <c r="R33" i="2076"/>
  <c r="R32" i="2076"/>
  <c r="R31" i="2076"/>
  <c r="R30" i="2076"/>
  <c r="R29" i="2076"/>
  <c r="R28" i="2076"/>
  <c r="R27" i="2076"/>
  <c r="L27" i="2076"/>
  <c r="D27" i="2076"/>
  <c r="R26" i="2076"/>
  <c r="L26" i="2076"/>
  <c r="D26" i="2076"/>
  <c r="R25" i="2076"/>
  <c r="L25" i="2076"/>
  <c r="D25" i="2076"/>
  <c r="R24" i="2076"/>
  <c r="L24" i="2076"/>
  <c r="D24" i="2076" s="1"/>
  <c r="R23" i="2076"/>
  <c r="L23" i="2076"/>
  <c r="D23" i="2076" s="1"/>
  <c r="R22" i="2076"/>
  <c r="L20" i="2076" s="1"/>
  <c r="D20" i="2076" s="1"/>
  <c r="L22" i="2076"/>
  <c r="D22" i="2076"/>
  <c r="R21" i="2076"/>
  <c r="L17" i="2076" s="1"/>
  <c r="D17" i="2076" s="1"/>
  <c r="L21" i="2076"/>
  <c r="D21" i="2076"/>
  <c r="R20" i="2076"/>
  <c r="R19" i="2076"/>
  <c r="L19" i="2076"/>
  <c r="D19" i="2076"/>
  <c r="R18" i="2076"/>
  <c r="R17" i="2076"/>
  <c r="R16" i="2076"/>
  <c r="L16" i="2076"/>
  <c r="D16" i="2076" s="1"/>
  <c r="R15" i="2076"/>
  <c r="R14" i="2076"/>
  <c r="D14" i="2076"/>
  <c r="R13" i="2076"/>
  <c r="D13" i="2076"/>
  <c r="R12" i="2076"/>
  <c r="L12" i="2076"/>
  <c r="D12" i="2076"/>
  <c r="R11" i="2076"/>
  <c r="L11" i="2076"/>
  <c r="D11" i="2076" s="1"/>
  <c r="L9" i="2076"/>
  <c r="D9" i="2076"/>
  <c r="R6" i="2076"/>
  <c r="L6" i="2076"/>
  <c r="D6" i="2076" s="1"/>
  <c r="D29" i="2076" s="1"/>
  <c r="H13" i="2076" s="1"/>
  <c r="H15" i="2076" s="1"/>
  <c r="H29" i="2076" s="1"/>
  <c r="R5" i="2076"/>
  <c r="R4" i="2076"/>
  <c r="L15" i="2076" s="1"/>
  <c r="D15" i="2076" s="1"/>
  <c r="R52" i="2075"/>
  <c r="R51" i="2075"/>
  <c r="D50" i="2075"/>
  <c r="R49" i="2075"/>
  <c r="D49" i="2075"/>
  <c r="R48" i="2075"/>
  <c r="D48" i="2075"/>
  <c r="D46" i="2075"/>
  <c r="D45" i="2075"/>
  <c r="R44" i="2075"/>
  <c r="L28" i="2075" s="1"/>
  <c r="D28" i="2075" s="1"/>
  <c r="D44" i="2075"/>
  <c r="R42" i="2075"/>
  <c r="D42" i="2075"/>
  <c r="R41" i="2075"/>
  <c r="D41" i="2075"/>
  <c r="R40" i="2075"/>
  <c r="L8" i="2075" s="1"/>
  <c r="D8" i="2075" s="1"/>
  <c r="D40" i="2075"/>
  <c r="R39" i="2075"/>
  <c r="H39" i="2075"/>
  <c r="D39" i="2075"/>
  <c r="R38" i="2075"/>
  <c r="H38" i="2075"/>
  <c r="D38" i="2075"/>
  <c r="R37" i="2075"/>
  <c r="H37" i="2075"/>
  <c r="D37" i="2075"/>
  <c r="R36" i="2075"/>
  <c r="H36" i="2075"/>
  <c r="D36" i="2075"/>
  <c r="R35" i="2075"/>
  <c r="H35" i="2075"/>
  <c r="D35" i="2075"/>
  <c r="R34" i="2075"/>
  <c r="L12" i="2075" s="1"/>
  <c r="D12" i="2075" s="1"/>
  <c r="H34" i="2075"/>
  <c r="D34" i="2075"/>
  <c r="R33" i="2075"/>
  <c r="L19" i="2075" s="1"/>
  <c r="D19" i="2075" s="1"/>
  <c r="R32" i="2075"/>
  <c r="R31" i="2075"/>
  <c r="R30" i="2075"/>
  <c r="R29" i="2075"/>
  <c r="R28" i="2075"/>
  <c r="R27" i="2075"/>
  <c r="L27" i="2075"/>
  <c r="D27" i="2075"/>
  <c r="R26" i="2075"/>
  <c r="L26" i="2075"/>
  <c r="D26" i="2075"/>
  <c r="R25" i="2075"/>
  <c r="L25" i="2075"/>
  <c r="D25" i="2075"/>
  <c r="R24" i="2075"/>
  <c r="L24" i="2075"/>
  <c r="D24" i="2075"/>
  <c r="R23" i="2075"/>
  <c r="L23" i="2075"/>
  <c r="D23" i="2075"/>
  <c r="R22" i="2075"/>
  <c r="L22" i="2075"/>
  <c r="D22" i="2075"/>
  <c r="R21" i="2075"/>
  <c r="L17" i="2075" s="1"/>
  <c r="D17" i="2075" s="1"/>
  <c r="D21" i="2075"/>
  <c r="R20" i="2075"/>
  <c r="L20" i="2075"/>
  <c r="D20" i="2075" s="1"/>
  <c r="R19" i="2075"/>
  <c r="R18" i="2075"/>
  <c r="L18" i="2075"/>
  <c r="D18" i="2075" s="1"/>
  <c r="R17" i="2075"/>
  <c r="R16" i="2075"/>
  <c r="L16" i="2075"/>
  <c r="D16" i="2075"/>
  <c r="R15" i="2075"/>
  <c r="L15" i="2075"/>
  <c r="D15" i="2075" s="1"/>
  <c r="R14" i="2075"/>
  <c r="D14" i="2075"/>
  <c r="R13" i="2075"/>
  <c r="D13" i="2075"/>
  <c r="R12" i="2075"/>
  <c r="R11" i="2075"/>
  <c r="L11" i="2075"/>
  <c r="D11" i="2075"/>
  <c r="L10" i="2075"/>
  <c r="D10" i="2075"/>
  <c r="L9" i="2075"/>
  <c r="D9" i="2075"/>
  <c r="L7" i="2075"/>
  <c r="D7" i="2075"/>
  <c r="R6" i="2075"/>
  <c r="L6" i="2075"/>
  <c r="D6" i="2075"/>
  <c r="R5" i="2075"/>
  <c r="R4" i="2075"/>
  <c r="H15" i="2085" l="1"/>
  <c r="H29" i="2085" s="1"/>
  <c r="G51" i="2085" s="1"/>
  <c r="G51" i="2084"/>
  <c r="G51" i="2081"/>
  <c r="H15" i="2080"/>
  <c r="H29" i="2080" s="1"/>
  <c r="G51" i="2080" s="1"/>
  <c r="G51" i="2079"/>
  <c r="G51" i="2083"/>
  <c r="G51" i="2077"/>
  <c r="G49" i="2075"/>
  <c r="G51" i="2076"/>
  <c r="D54" i="2075"/>
  <c r="H14" i="2075" s="1"/>
  <c r="D29" i="2075"/>
  <c r="H13" i="2075" s="1"/>
  <c r="H16" i="2071"/>
  <c r="H15" i="2075" l="1"/>
  <c r="H29" i="2075" s="1"/>
  <c r="G51" i="2075" s="1"/>
  <c r="H16" i="2059"/>
  <c r="H16" i="2053" l="1"/>
  <c r="L6" i="2053"/>
  <c r="L21" i="2051" l="1"/>
  <c r="C12" i="2051"/>
  <c r="L24" i="2039" l="1"/>
  <c r="L25" i="2039"/>
  <c r="D26" i="2039"/>
  <c r="L26" i="2039"/>
  <c r="D14" i="2043"/>
  <c r="H16" i="2049" l="1"/>
  <c r="H34" i="2043" l="1"/>
  <c r="R52" i="2073"/>
  <c r="R51" i="2073"/>
  <c r="D50" i="2073"/>
  <c r="R49" i="2073"/>
  <c r="D49" i="2073"/>
  <c r="R48" i="2073"/>
  <c r="D48" i="2073"/>
  <c r="D46" i="2073"/>
  <c r="D45" i="2073"/>
  <c r="R44" i="2073"/>
  <c r="D44" i="2073"/>
  <c r="R42" i="2073"/>
  <c r="L6" i="2073" s="1"/>
  <c r="D6" i="2073" s="1"/>
  <c r="D42" i="2073"/>
  <c r="R41" i="2073"/>
  <c r="D41" i="2073"/>
  <c r="R40" i="2073"/>
  <c r="L8" i="2073" s="1"/>
  <c r="D8" i="2073" s="1"/>
  <c r="D40" i="2073"/>
  <c r="R39" i="2073"/>
  <c r="H39" i="2073"/>
  <c r="D39" i="2073"/>
  <c r="R38" i="2073"/>
  <c r="H38" i="2073"/>
  <c r="D38" i="2073"/>
  <c r="R37" i="2073"/>
  <c r="H37" i="2073"/>
  <c r="D37" i="2073"/>
  <c r="R36" i="2073"/>
  <c r="L10" i="2073" s="1"/>
  <c r="D10" i="2073" s="1"/>
  <c r="H36" i="2073"/>
  <c r="D36" i="2073"/>
  <c r="R35" i="2073"/>
  <c r="L18" i="2073" s="1"/>
  <c r="D18" i="2073" s="1"/>
  <c r="H35" i="2073"/>
  <c r="G49" i="2073" s="1"/>
  <c r="D35" i="2073"/>
  <c r="R34" i="2073"/>
  <c r="L12" i="2073" s="1"/>
  <c r="D12" i="2073" s="1"/>
  <c r="H34" i="2073"/>
  <c r="D34" i="2073"/>
  <c r="D54" i="2073" s="1"/>
  <c r="H14" i="2073" s="1"/>
  <c r="R33" i="2073"/>
  <c r="L19" i="2073" s="1"/>
  <c r="D19" i="2073" s="1"/>
  <c r="R32" i="2073"/>
  <c r="R31" i="2073"/>
  <c r="R30" i="2073"/>
  <c r="R29" i="2073"/>
  <c r="R28" i="2073"/>
  <c r="L28" i="2073"/>
  <c r="D28" i="2073"/>
  <c r="R27" i="2073"/>
  <c r="L27" i="2073"/>
  <c r="D27" i="2073"/>
  <c r="R26" i="2073"/>
  <c r="L26" i="2073"/>
  <c r="D26" i="2073"/>
  <c r="R25" i="2073"/>
  <c r="L25" i="2073"/>
  <c r="D25" i="2073" s="1"/>
  <c r="R24" i="2073"/>
  <c r="L24" i="2073"/>
  <c r="D24" i="2073"/>
  <c r="R23" i="2073"/>
  <c r="L23" i="2073"/>
  <c r="D23" i="2073"/>
  <c r="R22" i="2073"/>
  <c r="L20" i="2073" s="1"/>
  <c r="D20" i="2073" s="1"/>
  <c r="L22" i="2073"/>
  <c r="D22" i="2073"/>
  <c r="R21" i="2073"/>
  <c r="L17" i="2073" s="1"/>
  <c r="D17" i="2073" s="1"/>
  <c r="L21" i="2073"/>
  <c r="D21" i="2073" s="1"/>
  <c r="R20" i="2073"/>
  <c r="R19" i="2073"/>
  <c r="R18" i="2073"/>
  <c r="R17" i="2073"/>
  <c r="R16" i="2073"/>
  <c r="L16" i="2073"/>
  <c r="D16" i="2073"/>
  <c r="R15" i="2073"/>
  <c r="L15" i="2073"/>
  <c r="D15" i="2073" s="1"/>
  <c r="R14" i="2073"/>
  <c r="D14" i="2073"/>
  <c r="R13" i="2073"/>
  <c r="D13" i="2073"/>
  <c r="R12" i="2073"/>
  <c r="R11" i="2073"/>
  <c r="L11" i="2073"/>
  <c r="D11" i="2073"/>
  <c r="L9" i="2073"/>
  <c r="D9" i="2073" s="1"/>
  <c r="L7" i="2073"/>
  <c r="D7" i="2073"/>
  <c r="R6" i="2073"/>
  <c r="R5" i="2073"/>
  <c r="R4" i="2073"/>
  <c r="H16" i="2045"/>
  <c r="C18" i="2045"/>
  <c r="C15" i="2045"/>
  <c r="D29" i="2073" l="1"/>
  <c r="H13" i="2073" s="1"/>
  <c r="H15" i="2073" s="1"/>
  <c r="H29" i="2073" s="1"/>
  <c r="G51" i="2073" s="1"/>
  <c r="R52" i="2072"/>
  <c r="R51" i="2072"/>
  <c r="D50" i="2072"/>
  <c r="R49" i="2072"/>
  <c r="G49" i="2072"/>
  <c r="D49" i="2072"/>
  <c r="R48" i="2072"/>
  <c r="D48" i="2072"/>
  <c r="D46" i="2072"/>
  <c r="D45" i="2072"/>
  <c r="D44" i="2072"/>
  <c r="R42" i="2072"/>
  <c r="L6" i="2072" s="1"/>
  <c r="D6" i="2072" s="1"/>
  <c r="D42" i="2072"/>
  <c r="R41" i="2072"/>
  <c r="L7" i="2072" s="1"/>
  <c r="D7" i="2072" s="1"/>
  <c r="D41" i="2072"/>
  <c r="R40" i="2072"/>
  <c r="D40" i="2072"/>
  <c r="R39" i="2072"/>
  <c r="D39" i="2072"/>
  <c r="R38" i="2072"/>
  <c r="D38" i="2072"/>
  <c r="R37" i="2072"/>
  <c r="D37" i="2072"/>
  <c r="R36" i="2072"/>
  <c r="D36" i="2072"/>
  <c r="R35" i="2072"/>
  <c r="D35" i="2072"/>
  <c r="D54" i="2072" s="1"/>
  <c r="H14" i="2072" s="1"/>
  <c r="R34" i="2072"/>
  <c r="L12" i="2072" s="1"/>
  <c r="D12" i="2072" s="1"/>
  <c r="D34" i="2072"/>
  <c r="R33" i="2072"/>
  <c r="L23" i="2072" s="1"/>
  <c r="D23" i="2072" s="1"/>
  <c r="R32" i="2072"/>
  <c r="L11" i="2072" s="1"/>
  <c r="D11" i="2072" s="1"/>
  <c r="R31" i="2072"/>
  <c r="R30" i="2072"/>
  <c r="R29" i="2072"/>
  <c r="R28" i="2072"/>
  <c r="D28" i="2072"/>
  <c r="R27" i="2072"/>
  <c r="D27" i="2072"/>
  <c r="R26" i="2072"/>
  <c r="L26" i="2072"/>
  <c r="D26" i="2072"/>
  <c r="R25" i="2072"/>
  <c r="L25" i="2072"/>
  <c r="D25" i="2072"/>
  <c r="R24" i="2072"/>
  <c r="D24" i="2072"/>
  <c r="R23" i="2072"/>
  <c r="R22" i="2072"/>
  <c r="L22" i="2072"/>
  <c r="D22" i="2072"/>
  <c r="R21" i="2072"/>
  <c r="D21" i="2072"/>
  <c r="R20" i="2072"/>
  <c r="L20" i="2072"/>
  <c r="D20" i="2072"/>
  <c r="R19" i="2072"/>
  <c r="L19" i="2072"/>
  <c r="D19" i="2072"/>
  <c r="R18" i="2072"/>
  <c r="D18" i="2072"/>
  <c r="R17" i="2072"/>
  <c r="D17" i="2072"/>
  <c r="R16" i="2072"/>
  <c r="L16" i="2072"/>
  <c r="D16" i="2072" s="1"/>
  <c r="S15" i="2072"/>
  <c r="R15" i="2072"/>
  <c r="D15" i="2072"/>
  <c r="S14" i="2072"/>
  <c r="R14" i="2072"/>
  <c r="D14" i="2072"/>
  <c r="R13" i="2072"/>
  <c r="D13" i="2072"/>
  <c r="R12" i="2072"/>
  <c r="R11" i="2072"/>
  <c r="L10" i="2072"/>
  <c r="D10" i="2072" s="1"/>
  <c r="L9" i="2072"/>
  <c r="D9" i="2072" s="1"/>
  <c r="L8" i="2072"/>
  <c r="D8" i="2072"/>
  <c r="R6" i="2072"/>
  <c r="R5" i="2072"/>
  <c r="R4" i="2072"/>
  <c r="R52" i="2071"/>
  <c r="R51" i="2071"/>
  <c r="D50" i="2071"/>
  <c r="R49" i="2071"/>
  <c r="D49" i="2071"/>
  <c r="R48" i="2071"/>
  <c r="D48" i="2071"/>
  <c r="D46" i="2071"/>
  <c r="D45" i="2071"/>
  <c r="R44" i="2071"/>
  <c r="D44" i="2071"/>
  <c r="R42" i="2071"/>
  <c r="L6" i="2071" s="1"/>
  <c r="D6" i="2071" s="1"/>
  <c r="D42" i="2071"/>
  <c r="R41" i="2071"/>
  <c r="D41" i="2071"/>
  <c r="R40" i="2071"/>
  <c r="L8" i="2071" s="1"/>
  <c r="D8" i="2071" s="1"/>
  <c r="D40" i="2071"/>
  <c r="R39" i="2071"/>
  <c r="H39" i="2071"/>
  <c r="D39" i="2071"/>
  <c r="R38" i="2071"/>
  <c r="H38" i="2071"/>
  <c r="D38" i="2071"/>
  <c r="R37" i="2071"/>
  <c r="H37" i="2071"/>
  <c r="D37" i="2071"/>
  <c r="R36" i="2071"/>
  <c r="H36" i="2071"/>
  <c r="D36" i="2071"/>
  <c r="R35" i="2071"/>
  <c r="H35" i="2071"/>
  <c r="D35" i="2071"/>
  <c r="R34" i="2071"/>
  <c r="H34" i="2071"/>
  <c r="D34" i="2071"/>
  <c r="R33" i="2071"/>
  <c r="L19" i="2071" s="1"/>
  <c r="D19" i="2071" s="1"/>
  <c r="R32" i="2071"/>
  <c r="R31" i="2071"/>
  <c r="R30" i="2071"/>
  <c r="R29" i="2071"/>
  <c r="R28" i="2071"/>
  <c r="L28" i="2071"/>
  <c r="D28" i="2071"/>
  <c r="R27" i="2071"/>
  <c r="L27" i="2071"/>
  <c r="D27" i="2071" s="1"/>
  <c r="R26" i="2071"/>
  <c r="L26" i="2071"/>
  <c r="D26" i="2071" s="1"/>
  <c r="R25" i="2071"/>
  <c r="L25" i="2071"/>
  <c r="D25" i="2071" s="1"/>
  <c r="R24" i="2071"/>
  <c r="L24" i="2071"/>
  <c r="D24" i="2071" s="1"/>
  <c r="R23" i="2071"/>
  <c r="L23" i="2071"/>
  <c r="D23" i="2071"/>
  <c r="R22" i="2071"/>
  <c r="L20" i="2071" s="1"/>
  <c r="D20" i="2071" s="1"/>
  <c r="L22" i="2071"/>
  <c r="D22" i="2071"/>
  <c r="R21" i="2071"/>
  <c r="L21" i="2071"/>
  <c r="D21" i="2071"/>
  <c r="R20" i="2071"/>
  <c r="R19" i="2071"/>
  <c r="R18" i="2071"/>
  <c r="L18" i="2071"/>
  <c r="D18" i="2071"/>
  <c r="R17" i="2071"/>
  <c r="L17" i="2071"/>
  <c r="D17" i="2071" s="1"/>
  <c r="R16" i="2071"/>
  <c r="L16" i="2071"/>
  <c r="D16" i="2071"/>
  <c r="R15" i="2071"/>
  <c r="R14" i="2071"/>
  <c r="D14" i="2071"/>
  <c r="R13" i="2071"/>
  <c r="D13" i="2071"/>
  <c r="R12" i="2071"/>
  <c r="L12" i="2071"/>
  <c r="D12" i="2071" s="1"/>
  <c r="R11" i="2071"/>
  <c r="L11" i="2071"/>
  <c r="D11" i="2071"/>
  <c r="L10" i="2071"/>
  <c r="D10" i="2071" s="1"/>
  <c r="L9" i="2071"/>
  <c r="D9" i="2071"/>
  <c r="L7" i="2071"/>
  <c r="D7" i="2071"/>
  <c r="R6" i="2071"/>
  <c r="R5" i="2071"/>
  <c r="R4" i="2071"/>
  <c r="L15" i="2071" s="1"/>
  <c r="D15" i="2071" s="1"/>
  <c r="R52" i="2070"/>
  <c r="R51" i="2070"/>
  <c r="D50" i="2070"/>
  <c r="R49" i="2070"/>
  <c r="D49" i="2070"/>
  <c r="R48" i="2070"/>
  <c r="D48" i="2070"/>
  <c r="D46" i="2070"/>
  <c r="D45" i="2070"/>
  <c r="R44" i="2070"/>
  <c r="L28" i="2070" s="1"/>
  <c r="D28" i="2070" s="1"/>
  <c r="D44" i="2070"/>
  <c r="R42" i="2070"/>
  <c r="D42" i="2070"/>
  <c r="R41" i="2070"/>
  <c r="L7" i="2070" s="1"/>
  <c r="D7" i="2070" s="1"/>
  <c r="D41" i="2070"/>
  <c r="R40" i="2070"/>
  <c r="L8" i="2070" s="1"/>
  <c r="D8" i="2070" s="1"/>
  <c r="D40" i="2070"/>
  <c r="R39" i="2070"/>
  <c r="H39" i="2070"/>
  <c r="D39" i="2070"/>
  <c r="R38" i="2070"/>
  <c r="H38" i="2070"/>
  <c r="D38" i="2070"/>
  <c r="R37" i="2070"/>
  <c r="H37" i="2070"/>
  <c r="D37" i="2070"/>
  <c r="R36" i="2070"/>
  <c r="L10" i="2070" s="1"/>
  <c r="D10" i="2070" s="1"/>
  <c r="H36" i="2070"/>
  <c r="D36" i="2070"/>
  <c r="R35" i="2070"/>
  <c r="L18" i="2070" s="1"/>
  <c r="D18" i="2070" s="1"/>
  <c r="H35" i="2070"/>
  <c r="D35" i="2070"/>
  <c r="R34" i="2070"/>
  <c r="H34" i="2070"/>
  <c r="D34" i="2070"/>
  <c r="R33" i="2070"/>
  <c r="R32" i="2070"/>
  <c r="R31" i="2070"/>
  <c r="R30" i="2070"/>
  <c r="R29" i="2070"/>
  <c r="R28" i="2070"/>
  <c r="R27" i="2070"/>
  <c r="L27" i="2070"/>
  <c r="D27" i="2070"/>
  <c r="R26" i="2070"/>
  <c r="L26" i="2070"/>
  <c r="D26" i="2070"/>
  <c r="R25" i="2070"/>
  <c r="L25" i="2070"/>
  <c r="D25" i="2070"/>
  <c r="R24" i="2070"/>
  <c r="L24" i="2070"/>
  <c r="D24" i="2070"/>
  <c r="R23" i="2070"/>
  <c r="L23" i="2070"/>
  <c r="D23" i="2070" s="1"/>
  <c r="R22" i="2070"/>
  <c r="L20" i="2070" s="1"/>
  <c r="D20" i="2070" s="1"/>
  <c r="L22" i="2070"/>
  <c r="D22" i="2070"/>
  <c r="R21" i="2070"/>
  <c r="L17" i="2070" s="1"/>
  <c r="D17" i="2070" s="1"/>
  <c r="L21" i="2070"/>
  <c r="D21" i="2070"/>
  <c r="R20" i="2070"/>
  <c r="R19" i="2070"/>
  <c r="L19" i="2070"/>
  <c r="D19" i="2070" s="1"/>
  <c r="R18" i="2070"/>
  <c r="R17" i="2070"/>
  <c r="R16" i="2070"/>
  <c r="L16" i="2070"/>
  <c r="D16" i="2070" s="1"/>
  <c r="R15" i="2070"/>
  <c r="R14" i="2070"/>
  <c r="D14" i="2070"/>
  <c r="R13" i="2070"/>
  <c r="D13" i="2070"/>
  <c r="R12" i="2070"/>
  <c r="L12" i="2070"/>
  <c r="D12" i="2070"/>
  <c r="R11" i="2070"/>
  <c r="L11" i="2070"/>
  <c r="D11" i="2070" s="1"/>
  <c r="L9" i="2070"/>
  <c r="D9" i="2070" s="1"/>
  <c r="R6" i="2070"/>
  <c r="L6" i="2070"/>
  <c r="D6" i="2070" s="1"/>
  <c r="R5" i="2070"/>
  <c r="R4" i="2070"/>
  <c r="L15" i="2070" s="1"/>
  <c r="D15" i="2070" s="1"/>
  <c r="R52" i="2069"/>
  <c r="R51" i="2069"/>
  <c r="D50" i="2069"/>
  <c r="R49" i="2069"/>
  <c r="D49" i="2069"/>
  <c r="R48" i="2069"/>
  <c r="D48" i="2069"/>
  <c r="D46" i="2069"/>
  <c r="D45" i="2069"/>
  <c r="R44" i="2069"/>
  <c r="D44" i="2069"/>
  <c r="R42" i="2069"/>
  <c r="D42" i="2069"/>
  <c r="R41" i="2069"/>
  <c r="D41" i="2069"/>
  <c r="R40" i="2069"/>
  <c r="L8" i="2069" s="1"/>
  <c r="D8" i="2069" s="1"/>
  <c r="D40" i="2069"/>
  <c r="R39" i="2069"/>
  <c r="H39" i="2069"/>
  <c r="D39" i="2069"/>
  <c r="R38" i="2069"/>
  <c r="L9" i="2069" s="1"/>
  <c r="D9" i="2069" s="1"/>
  <c r="H38" i="2069"/>
  <c r="D38" i="2069"/>
  <c r="R37" i="2069"/>
  <c r="H37" i="2069"/>
  <c r="D37" i="2069"/>
  <c r="R36" i="2069"/>
  <c r="H36" i="2069"/>
  <c r="D36" i="2069"/>
  <c r="R35" i="2069"/>
  <c r="L18" i="2069" s="1"/>
  <c r="D18" i="2069" s="1"/>
  <c r="H35" i="2069"/>
  <c r="D35" i="2069"/>
  <c r="R34" i="2069"/>
  <c r="L12" i="2069" s="1"/>
  <c r="D12" i="2069" s="1"/>
  <c r="H34" i="2069"/>
  <c r="D34" i="2069"/>
  <c r="R33" i="2069"/>
  <c r="R32" i="2069"/>
  <c r="R31" i="2069"/>
  <c r="R30" i="2069"/>
  <c r="R29" i="2069"/>
  <c r="R28" i="2069"/>
  <c r="L28" i="2069"/>
  <c r="D28" i="2069"/>
  <c r="R27" i="2069"/>
  <c r="L27" i="2069"/>
  <c r="D27" i="2069" s="1"/>
  <c r="R26" i="2069"/>
  <c r="L26" i="2069"/>
  <c r="D26" i="2069" s="1"/>
  <c r="R25" i="2069"/>
  <c r="L25" i="2069"/>
  <c r="D25" i="2069" s="1"/>
  <c r="R24" i="2069"/>
  <c r="L24" i="2069"/>
  <c r="D24" i="2069"/>
  <c r="R23" i="2069"/>
  <c r="L23" i="2069"/>
  <c r="D23" i="2069" s="1"/>
  <c r="R22" i="2069"/>
  <c r="L20" i="2069" s="1"/>
  <c r="D20" i="2069" s="1"/>
  <c r="L22" i="2069"/>
  <c r="D22" i="2069" s="1"/>
  <c r="R21" i="2069"/>
  <c r="L17" i="2069" s="1"/>
  <c r="D17" i="2069" s="1"/>
  <c r="L21" i="2069"/>
  <c r="D21" i="2069"/>
  <c r="R20" i="2069"/>
  <c r="R19" i="2069"/>
  <c r="L19" i="2069"/>
  <c r="D19" i="2069"/>
  <c r="R18" i="2069"/>
  <c r="R17" i="2069"/>
  <c r="R16" i="2069"/>
  <c r="L16" i="2069"/>
  <c r="D16" i="2069"/>
  <c r="R15" i="2069"/>
  <c r="L15" i="2069"/>
  <c r="D15" i="2069" s="1"/>
  <c r="R14" i="2069"/>
  <c r="D14" i="2069"/>
  <c r="R13" i="2069"/>
  <c r="D13" i="2069"/>
  <c r="R12" i="2069"/>
  <c r="R11" i="2069"/>
  <c r="L11" i="2069"/>
  <c r="D11" i="2069"/>
  <c r="L10" i="2069"/>
  <c r="D10" i="2069" s="1"/>
  <c r="L7" i="2069"/>
  <c r="D7" i="2069" s="1"/>
  <c r="R6" i="2069"/>
  <c r="L6" i="2069"/>
  <c r="D6" i="2069" s="1"/>
  <c r="R5" i="2069"/>
  <c r="R4" i="2069"/>
  <c r="R52" i="2068"/>
  <c r="R51" i="2068"/>
  <c r="D50" i="2068"/>
  <c r="R49" i="2068"/>
  <c r="G49" i="2068"/>
  <c r="D49" i="2068"/>
  <c r="R48" i="2068"/>
  <c r="D48" i="2068"/>
  <c r="D46" i="2068"/>
  <c r="D45" i="2068"/>
  <c r="D44" i="2068"/>
  <c r="R42" i="2068"/>
  <c r="L6" i="2068" s="1"/>
  <c r="D6" i="2068" s="1"/>
  <c r="D42" i="2068"/>
  <c r="R41" i="2068"/>
  <c r="L7" i="2068" s="1"/>
  <c r="D7" i="2068" s="1"/>
  <c r="D41" i="2068"/>
  <c r="R40" i="2068"/>
  <c r="D40" i="2068"/>
  <c r="R39" i="2068"/>
  <c r="D39" i="2068"/>
  <c r="R38" i="2068"/>
  <c r="D38" i="2068"/>
  <c r="R37" i="2068"/>
  <c r="D37" i="2068"/>
  <c r="R36" i="2068"/>
  <c r="L10" i="2068" s="1"/>
  <c r="D10" i="2068" s="1"/>
  <c r="D36" i="2068"/>
  <c r="R35" i="2068"/>
  <c r="D35" i="2068"/>
  <c r="R34" i="2068"/>
  <c r="D34" i="2068"/>
  <c r="D54" i="2068" s="1"/>
  <c r="H14" i="2068" s="1"/>
  <c r="R33" i="2068"/>
  <c r="R32" i="2068"/>
  <c r="L11" i="2068" s="1"/>
  <c r="D11" i="2068" s="1"/>
  <c r="R31" i="2068"/>
  <c r="R30" i="2068"/>
  <c r="R29" i="2068"/>
  <c r="R28" i="2068"/>
  <c r="D28" i="2068"/>
  <c r="R27" i="2068"/>
  <c r="D27" i="2068"/>
  <c r="R26" i="2068"/>
  <c r="L26" i="2068"/>
  <c r="D26" i="2068"/>
  <c r="R25" i="2068"/>
  <c r="L25" i="2068"/>
  <c r="D25" i="2068"/>
  <c r="R24" i="2068"/>
  <c r="D24" i="2068"/>
  <c r="R23" i="2068"/>
  <c r="L23" i="2068"/>
  <c r="D23" i="2068" s="1"/>
  <c r="R22" i="2068"/>
  <c r="L22" i="2068"/>
  <c r="D22" i="2068"/>
  <c r="R21" i="2068"/>
  <c r="D21" i="2068"/>
  <c r="R20" i="2068"/>
  <c r="L20" i="2068"/>
  <c r="D20" i="2068"/>
  <c r="R19" i="2068"/>
  <c r="L19" i="2068"/>
  <c r="D19" i="2068"/>
  <c r="R18" i="2068"/>
  <c r="D18" i="2068"/>
  <c r="R17" i="2068"/>
  <c r="D17" i="2068"/>
  <c r="R16" i="2068"/>
  <c r="L16" i="2068"/>
  <c r="D16" i="2068" s="1"/>
  <c r="S15" i="2068"/>
  <c r="R15" i="2068"/>
  <c r="D15" i="2068"/>
  <c r="S14" i="2068"/>
  <c r="R14" i="2068"/>
  <c r="D14" i="2068"/>
  <c r="R13" i="2068"/>
  <c r="D13" i="2068"/>
  <c r="R12" i="2068"/>
  <c r="L12" i="2068"/>
  <c r="D12" i="2068" s="1"/>
  <c r="R11" i="2068"/>
  <c r="L9" i="2068"/>
  <c r="D9" i="2068" s="1"/>
  <c r="L8" i="2068"/>
  <c r="D8" i="2068"/>
  <c r="R6" i="2068"/>
  <c r="R5" i="2068"/>
  <c r="R4" i="2068"/>
  <c r="R52" i="2067"/>
  <c r="R51" i="2067"/>
  <c r="D50" i="2067"/>
  <c r="R49" i="2067"/>
  <c r="D49" i="2067"/>
  <c r="R48" i="2067"/>
  <c r="D48" i="2067"/>
  <c r="D46" i="2067"/>
  <c r="D45" i="2067"/>
  <c r="R44" i="2067"/>
  <c r="D44" i="2067"/>
  <c r="R42" i="2067"/>
  <c r="L6" i="2067" s="1"/>
  <c r="D6" i="2067" s="1"/>
  <c r="D42" i="2067"/>
  <c r="R41" i="2067"/>
  <c r="D41" i="2067"/>
  <c r="R40" i="2067"/>
  <c r="D40" i="2067"/>
  <c r="R39" i="2067"/>
  <c r="H39" i="2067"/>
  <c r="D39" i="2067"/>
  <c r="R38" i="2067"/>
  <c r="H38" i="2067"/>
  <c r="D38" i="2067"/>
  <c r="R37" i="2067"/>
  <c r="H37" i="2067"/>
  <c r="D37" i="2067"/>
  <c r="R36" i="2067"/>
  <c r="L10" i="2067" s="1"/>
  <c r="D10" i="2067" s="1"/>
  <c r="H36" i="2067"/>
  <c r="D36" i="2067"/>
  <c r="R35" i="2067"/>
  <c r="H35" i="2067"/>
  <c r="D35" i="2067"/>
  <c r="R34" i="2067"/>
  <c r="H34" i="2067"/>
  <c r="D34" i="2067"/>
  <c r="R33" i="2067"/>
  <c r="R32" i="2067"/>
  <c r="L11" i="2067" s="1"/>
  <c r="D11" i="2067" s="1"/>
  <c r="R31" i="2067"/>
  <c r="R30" i="2067"/>
  <c r="R29" i="2067"/>
  <c r="R28" i="2067"/>
  <c r="L28" i="2067"/>
  <c r="D28" i="2067"/>
  <c r="R27" i="2067"/>
  <c r="L27" i="2067"/>
  <c r="D27" i="2067"/>
  <c r="R26" i="2067"/>
  <c r="L26" i="2067"/>
  <c r="D26" i="2067" s="1"/>
  <c r="R25" i="2067"/>
  <c r="L25" i="2067"/>
  <c r="D25" i="2067"/>
  <c r="R24" i="2067"/>
  <c r="L24" i="2067"/>
  <c r="D24" i="2067"/>
  <c r="R23" i="2067"/>
  <c r="L23" i="2067"/>
  <c r="D23" i="2067"/>
  <c r="R22" i="2067"/>
  <c r="L20" i="2067" s="1"/>
  <c r="D20" i="2067" s="1"/>
  <c r="L22" i="2067"/>
  <c r="D22" i="2067" s="1"/>
  <c r="R21" i="2067"/>
  <c r="L21" i="2067"/>
  <c r="D21" i="2067"/>
  <c r="R20" i="2067"/>
  <c r="R19" i="2067"/>
  <c r="L19" i="2067"/>
  <c r="D19" i="2067" s="1"/>
  <c r="R18" i="2067"/>
  <c r="L18" i="2067"/>
  <c r="D18" i="2067" s="1"/>
  <c r="R17" i="2067"/>
  <c r="L17" i="2067"/>
  <c r="D17" i="2067" s="1"/>
  <c r="R16" i="2067"/>
  <c r="R15" i="2067"/>
  <c r="L15" i="2067"/>
  <c r="D15" i="2067"/>
  <c r="R14" i="2067"/>
  <c r="D14" i="2067"/>
  <c r="R13" i="2067"/>
  <c r="D13" i="2067"/>
  <c r="R12" i="2067"/>
  <c r="L12" i="2067"/>
  <c r="D12" i="2067" s="1"/>
  <c r="R11" i="2067"/>
  <c r="L9" i="2067"/>
  <c r="D9" i="2067" s="1"/>
  <c r="L8" i="2067"/>
  <c r="D8" i="2067"/>
  <c r="L7" i="2067"/>
  <c r="D7" i="2067"/>
  <c r="R6" i="2067"/>
  <c r="L16" i="2067" s="1"/>
  <c r="D16" i="2067" s="1"/>
  <c r="R5" i="2067"/>
  <c r="R4" i="2067"/>
  <c r="R52" i="2066"/>
  <c r="R51" i="2066"/>
  <c r="D50" i="2066"/>
  <c r="R49" i="2066"/>
  <c r="D49" i="2066"/>
  <c r="R48" i="2066"/>
  <c r="D48" i="2066"/>
  <c r="D46" i="2066"/>
  <c r="D45" i="2066"/>
  <c r="R44" i="2066"/>
  <c r="D44" i="2066"/>
  <c r="R42" i="2066"/>
  <c r="L6" i="2066" s="1"/>
  <c r="D6" i="2066" s="1"/>
  <c r="D42" i="2066"/>
  <c r="R41" i="2066"/>
  <c r="D41" i="2066"/>
  <c r="R40" i="2066"/>
  <c r="D40" i="2066"/>
  <c r="R39" i="2066"/>
  <c r="H39" i="2066"/>
  <c r="D39" i="2066"/>
  <c r="R38" i="2066"/>
  <c r="H38" i="2066"/>
  <c r="D38" i="2066"/>
  <c r="R37" i="2066"/>
  <c r="H37" i="2066"/>
  <c r="D37" i="2066"/>
  <c r="R36" i="2066"/>
  <c r="L10" i="2066" s="1"/>
  <c r="D10" i="2066" s="1"/>
  <c r="H36" i="2066"/>
  <c r="G49" i="2066" s="1"/>
  <c r="D36" i="2066"/>
  <c r="R35" i="2066"/>
  <c r="L18" i="2066" s="1"/>
  <c r="D18" i="2066" s="1"/>
  <c r="H35" i="2066"/>
  <c r="D35" i="2066"/>
  <c r="D54" i="2066" s="1"/>
  <c r="H14" i="2066" s="1"/>
  <c r="R34" i="2066"/>
  <c r="H34" i="2066"/>
  <c r="D34" i="2066"/>
  <c r="R33" i="2066"/>
  <c r="R32" i="2066"/>
  <c r="R31" i="2066"/>
  <c r="R30" i="2066"/>
  <c r="R29" i="2066"/>
  <c r="R28" i="2066"/>
  <c r="L28" i="2066"/>
  <c r="D28" i="2066"/>
  <c r="R27" i="2066"/>
  <c r="L27" i="2066"/>
  <c r="D27" i="2066"/>
  <c r="R26" i="2066"/>
  <c r="L26" i="2066"/>
  <c r="D26" i="2066" s="1"/>
  <c r="R25" i="2066"/>
  <c r="L25" i="2066"/>
  <c r="D25" i="2066"/>
  <c r="R24" i="2066"/>
  <c r="L24" i="2066"/>
  <c r="D24" i="2066" s="1"/>
  <c r="R23" i="2066"/>
  <c r="L23" i="2066"/>
  <c r="D23" i="2066"/>
  <c r="R22" i="2066"/>
  <c r="L20" i="2066" s="1"/>
  <c r="D20" i="2066" s="1"/>
  <c r="L22" i="2066"/>
  <c r="D22" i="2066" s="1"/>
  <c r="R21" i="2066"/>
  <c r="L21" i="2066"/>
  <c r="D21" i="2066" s="1"/>
  <c r="R20" i="2066"/>
  <c r="R19" i="2066"/>
  <c r="L19" i="2066"/>
  <c r="D19" i="2066" s="1"/>
  <c r="R18" i="2066"/>
  <c r="R17" i="2066"/>
  <c r="L17" i="2066"/>
  <c r="D17" i="2066" s="1"/>
  <c r="R16" i="2066"/>
  <c r="R15" i="2066"/>
  <c r="R14" i="2066"/>
  <c r="D14" i="2066"/>
  <c r="R13" i="2066"/>
  <c r="D13" i="2066"/>
  <c r="R12" i="2066"/>
  <c r="L12" i="2066"/>
  <c r="D12" i="2066" s="1"/>
  <c r="R11" i="2066"/>
  <c r="L11" i="2066"/>
  <c r="D11" i="2066"/>
  <c r="L9" i="2066"/>
  <c r="D9" i="2066" s="1"/>
  <c r="L8" i="2066"/>
  <c r="D8" i="2066"/>
  <c r="L7" i="2066"/>
  <c r="D7" i="2066" s="1"/>
  <c r="R6" i="2066"/>
  <c r="L16" i="2066" s="1"/>
  <c r="D16" i="2066" s="1"/>
  <c r="R5" i="2066"/>
  <c r="R4" i="2066"/>
  <c r="L15" i="2066" s="1"/>
  <c r="D15" i="2066" s="1"/>
  <c r="R52" i="2065"/>
  <c r="R51" i="2065"/>
  <c r="D50" i="2065"/>
  <c r="R49" i="2065"/>
  <c r="D49" i="2065"/>
  <c r="R48" i="2065"/>
  <c r="D48" i="2065"/>
  <c r="D46" i="2065"/>
  <c r="D45" i="2065"/>
  <c r="R44" i="2065"/>
  <c r="L28" i="2065" s="1"/>
  <c r="D28" i="2065" s="1"/>
  <c r="D44" i="2065"/>
  <c r="R42" i="2065"/>
  <c r="D42" i="2065"/>
  <c r="R41" i="2065"/>
  <c r="L7" i="2065" s="1"/>
  <c r="D7" i="2065" s="1"/>
  <c r="D41" i="2065"/>
  <c r="R40" i="2065"/>
  <c r="D40" i="2065"/>
  <c r="R39" i="2065"/>
  <c r="H39" i="2065"/>
  <c r="D39" i="2065"/>
  <c r="R38" i="2065"/>
  <c r="H38" i="2065"/>
  <c r="D38" i="2065"/>
  <c r="R37" i="2065"/>
  <c r="H37" i="2065"/>
  <c r="D37" i="2065"/>
  <c r="R36" i="2065"/>
  <c r="H36" i="2065"/>
  <c r="D36" i="2065"/>
  <c r="R35" i="2065"/>
  <c r="L18" i="2065" s="1"/>
  <c r="D18" i="2065" s="1"/>
  <c r="H35" i="2065"/>
  <c r="D35" i="2065"/>
  <c r="R34" i="2065"/>
  <c r="H34" i="2065"/>
  <c r="D34" i="2065"/>
  <c r="R33" i="2065"/>
  <c r="L19" i="2065" s="1"/>
  <c r="D19" i="2065" s="1"/>
  <c r="R32" i="2065"/>
  <c r="L11" i="2065" s="1"/>
  <c r="D11" i="2065" s="1"/>
  <c r="R31" i="2065"/>
  <c r="R30" i="2065"/>
  <c r="R29" i="2065"/>
  <c r="R28" i="2065"/>
  <c r="R27" i="2065"/>
  <c r="L27" i="2065"/>
  <c r="D27" i="2065" s="1"/>
  <c r="R26" i="2065"/>
  <c r="L26" i="2065"/>
  <c r="D26" i="2065"/>
  <c r="R25" i="2065"/>
  <c r="L25" i="2065"/>
  <c r="D25" i="2065"/>
  <c r="R24" i="2065"/>
  <c r="L24" i="2065"/>
  <c r="D24" i="2065"/>
  <c r="R23" i="2065"/>
  <c r="L23" i="2065"/>
  <c r="D23" i="2065" s="1"/>
  <c r="R22" i="2065"/>
  <c r="L22" i="2065"/>
  <c r="D22" i="2065"/>
  <c r="R21" i="2065"/>
  <c r="L21" i="2065"/>
  <c r="D21" i="2065"/>
  <c r="R20" i="2065"/>
  <c r="L20" i="2065"/>
  <c r="D20" i="2065" s="1"/>
  <c r="R19" i="2065"/>
  <c r="R18" i="2065"/>
  <c r="R17" i="2065"/>
  <c r="L17" i="2065"/>
  <c r="D17" i="2065"/>
  <c r="R16" i="2065"/>
  <c r="R15" i="2065"/>
  <c r="L15" i="2065"/>
  <c r="D15" i="2065" s="1"/>
  <c r="R14" i="2065"/>
  <c r="D14" i="2065"/>
  <c r="R13" i="2065"/>
  <c r="D13" i="2065"/>
  <c r="R12" i="2065"/>
  <c r="L12" i="2065"/>
  <c r="D12" i="2065"/>
  <c r="R11" i="2065"/>
  <c r="L10" i="2065"/>
  <c r="D10" i="2065"/>
  <c r="L9" i="2065"/>
  <c r="D9" i="2065" s="1"/>
  <c r="L8" i="2065"/>
  <c r="D8" i="2065"/>
  <c r="R6" i="2065"/>
  <c r="L16" i="2065" s="1"/>
  <c r="D16" i="2065" s="1"/>
  <c r="L6" i="2065"/>
  <c r="D6" i="2065" s="1"/>
  <c r="R5" i="2065"/>
  <c r="R4" i="2065"/>
  <c r="R52" i="2064"/>
  <c r="R51" i="2064"/>
  <c r="D50" i="2064"/>
  <c r="R49" i="2064"/>
  <c r="G49" i="2064"/>
  <c r="D49" i="2064"/>
  <c r="R48" i="2064"/>
  <c r="D48" i="2064"/>
  <c r="D46" i="2064"/>
  <c r="D45" i="2064"/>
  <c r="D44" i="2064"/>
  <c r="R42" i="2064"/>
  <c r="D42" i="2064"/>
  <c r="R41" i="2064"/>
  <c r="L7" i="2064" s="1"/>
  <c r="D7" i="2064" s="1"/>
  <c r="D41" i="2064"/>
  <c r="R40" i="2064"/>
  <c r="D40" i="2064"/>
  <c r="R39" i="2064"/>
  <c r="D39" i="2064"/>
  <c r="R38" i="2064"/>
  <c r="D38" i="2064"/>
  <c r="R37" i="2064"/>
  <c r="D37" i="2064"/>
  <c r="R36" i="2064"/>
  <c r="D36" i="2064"/>
  <c r="R35" i="2064"/>
  <c r="L19" i="2064" s="1"/>
  <c r="D19" i="2064" s="1"/>
  <c r="D35" i="2064"/>
  <c r="R34" i="2064"/>
  <c r="L12" i="2064" s="1"/>
  <c r="D12" i="2064" s="1"/>
  <c r="D34" i="2064"/>
  <c r="D54" i="2064" s="1"/>
  <c r="H14" i="2064" s="1"/>
  <c r="R33" i="2064"/>
  <c r="L23" i="2064" s="1"/>
  <c r="D23" i="2064" s="1"/>
  <c r="R32" i="2064"/>
  <c r="R31" i="2064"/>
  <c r="R30" i="2064"/>
  <c r="R29" i="2064"/>
  <c r="R28" i="2064"/>
  <c r="L16" i="2064" s="1"/>
  <c r="D16" i="2064" s="1"/>
  <c r="D28" i="2064"/>
  <c r="R27" i="2064"/>
  <c r="D27" i="2064"/>
  <c r="R26" i="2064"/>
  <c r="L26" i="2064"/>
  <c r="D26" i="2064"/>
  <c r="R25" i="2064"/>
  <c r="L25" i="2064"/>
  <c r="D25" i="2064"/>
  <c r="R24" i="2064"/>
  <c r="D24" i="2064"/>
  <c r="R23" i="2064"/>
  <c r="R22" i="2064"/>
  <c r="L22" i="2064"/>
  <c r="D22" i="2064" s="1"/>
  <c r="R21" i="2064"/>
  <c r="D21" i="2064"/>
  <c r="R20" i="2064"/>
  <c r="L20" i="2064"/>
  <c r="D20" i="2064"/>
  <c r="R19" i="2064"/>
  <c r="R18" i="2064"/>
  <c r="D18" i="2064"/>
  <c r="R17" i="2064"/>
  <c r="D17" i="2064"/>
  <c r="R16" i="2064"/>
  <c r="S15" i="2064"/>
  <c r="R15" i="2064"/>
  <c r="D15" i="2064"/>
  <c r="S14" i="2064"/>
  <c r="R14" i="2064"/>
  <c r="D14" i="2064"/>
  <c r="R13" i="2064"/>
  <c r="D13" i="2064"/>
  <c r="R12" i="2064"/>
  <c r="R11" i="2064"/>
  <c r="L11" i="2064"/>
  <c r="D11" i="2064" s="1"/>
  <c r="L10" i="2064"/>
  <c r="D10" i="2064" s="1"/>
  <c r="L9" i="2064"/>
  <c r="D9" i="2064" s="1"/>
  <c r="L8" i="2064"/>
  <c r="D8" i="2064" s="1"/>
  <c r="R6" i="2064"/>
  <c r="L6" i="2064"/>
  <c r="D6" i="2064"/>
  <c r="D29" i="2064" s="1"/>
  <c r="H13" i="2064" s="1"/>
  <c r="R5" i="2064"/>
  <c r="R4" i="2064"/>
  <c r="R52" i="2063"/>
  <c r="R51" i="2063"/>
  <c r="D50" i="2063"/>
  <c r="R49" i="2063"/>
  <c r="D49" i="2063"/>
  <c r="R48" i="2063"/>
  <c r="D48" i="2063"/>
  <c r="D46" i="2063"/>
  <c r="D45" i="2063"/>
  <c r="R44" i="2063"/>
  <c r="L28" i="2063" s="1"/>
  <c r="D28" i="2063" s="1"/>
  <c r="D44" i="2063"/>
  <c r="R42" i="2063"/>
  <c r="D42" i="2063"/>
  <c r="R41" i="2063"/>
  <c r="D41" i="2063"/>
  <c r="R40" i="2063"/>
  <c r="L8" i="2063" s="1"/>
  <c r="D8" i="2063" s="1"/>
  <c r="D40" i="2063"/>
  <c r="R39" i="2063"/>
  <c r="H39" i="2063"/>
  <c r="D39" i="2063"/>
  <c r="R38" i="2063"/>
  <c r="L9" i="2063" s="1"/>
  <c r="D9" i="2063" s="1"/>
  <c r="H38" i="2063"/>
  <c r="D38" i="2063"/>
  <c r="R37" i="2063"/>
  <c r="H37" i="2063"/>
  <c r="D37" i="2063"/>
  <c r="R36" i="2063"/>
  <c r="L10" i="2063" s="1"/>
  <c r="D10" i="2063" s="1"/>
  <c r="H36" i="2063"/>
  <c r="D36" i="2063"/>
  <c r="R35" i="2063"/>
  <c r="H35" i="2063"/>
  <c r="D35" i="2063"/>
  <c r="D54" i="2063" s="1"/>
  <c r="H14" i="2063" s="1"/>
  <c r="R34" i="2063"/>
  <c r="L12" i="2063" s="1"/>
  <c r="D12" i="2063" s="1"/>
  <c r="H34" i="2063"/>
  <c r="G49" i="2063" s="1"/>
  <c r="D34" i="2063"/>
  <c r="R33" i="2063"/>
  <c r="R32" i="2063"/>
  <c r="R31" i="2063"/>
  <c r="R30" i="2063"/>
  <c r="R29" i="2063"/>
  <c r="R28" i="2063"/>
  <c r="R27" i="2063"/>
  <c r="L27" i="2063"/>
  <c r="D27" i="2063"/>
  <c r="R26" i="2063"/>
  <c r="L26" i="2063"/>
  <c r="D26" i="2063"/>
  <c r="R25" i="2063"/>
  <c r="L25" i="2063"/>
  <c r="D25" i="2063"/>
  <c r="R24" i="2063"/>
  <c r="L24" i="2063"/>
  <c r="D24" i="2063"/>
  <c r="R23" i="2063"/>
  <c r="L23" i="2063"/>
  <c r="D23" i="2063"/>
  <c r="R22" i="2063"/>
  <c r="L20" i="2063" s="1"/>
  <c r="D20" i="2063" s="1"/>
  <c r="L22" i="2063"/>
  <c r="D22" i="2063"/>
  <c r="R21" i="2063"/>
  <c r="L17" i="2063" s="1"/>
  <c r="D17" i="2063" s="1"/>
  <c r="L21" i="2063"/>
  <c r="D21" i="2063" s="1"/>
  <c r="R20" i="2063"/>
  <c r="R19" i="2063"/>
  <c r="L19" i="2063"/>
  <c r="D19" i="2063"/>
  <c r="R18" i="2063"/>
  <c r="L18" i="2063"/>
  <c r="D18" i="2063" s="1"/>
  <c r="R17" i="2063"/>
  <c r="R16" i="2063"/>
  <c r="R15" i="2063"/>
  <c r="R14" i="2063"/>
  <c r="D14" i="2063"/>
  <c r="R13" i="2063"/>
  <c r="D13" i="2063"/>
  <c r="R12" i="2063"/>
  <c r="R11" i="2063"/>
  <c r="L11" i="2063"/>
  <c r="D11" i="2063"/>
  <c r="L7" i="2063"/>
  <c r="D7" i="2063"/>
  <c r="R6" i="2063"/>
  <c r="L16" i="2063" s="1"/>
  <c r="D16" i="2063" s="1"/>
  <c r="L6" i="2063"/>
  <c r="D6" i="2063"/>
  <c r="R5" i="2063"/>
  <c r="R4" i="2063"/>
  <c r="L15" i="2063" s="1"/>
  <c r="D15" i="2063" s="1"/>
  <c r="R52" i="2062"/>
  <c r="R51" i="2062"/>
  <c r="D50" i="2062"/>
  <c r="R49" i="2062"/>
  <c r="D49" i="2062"/>
  <c r="R48" i="2062"/>
  <c r="D48" i="2062"/>
  <c r="D46" i="2062"/>
  <c r="D45" i="2062"/>
  <c r="R44" i="2062"/>
  <c r="D44" i="2062"/>
  <c r="R42" i="2062"/>
  <c r="L6" i="2062" s="1"/>
  <c r="D6" i="2062" s="1"/>
  <c r="D42" i="2062"/>
  <c r="R41" i="2062"/>
  <c r="D41" i="2062"/>
  <c r="R40" i="2062"/>
  <c r="L8" i="2062" s="1"/>
  <c r="D8" i="2062" s="1"/>
  <c r="D40" i="2062"/>
  <c r="R39" i="2062"/>
  <c r="H39" i="2062"/>
  <c r="D39" i="2062"/>
  <c r="R38" i="2062"/>
  <c r="L9" i="2062" s="1"/>
  <c r="D9" i="2062" s="1"/>
  <c r="H38" i="2062"/>
  <c r="D38" i="2062"/>
  <c r="R37" i="2062"/>
  <c r="H37" i="2062"/>
  <c r="D37" i="2062"/>
  <c r="R36" i="2062"/>
  <c r="L10" i="2062" s="1"/>
  <c r="D10" i="2062" s="1"/>
  <c r="H36" i="2062"/>
  <c r="G49" i="2062" s="1"/>
  <c r="D36" i="2062"/>
  <c r="R35" i="2062"/>
  <c r="L18" i="2062" s="1"/>
  <c r="D18" i="2062" s="1"/>
  <c r="H35" i="2062"/>
  <c r="D35" i="2062"/>
  <c r="R34" i="2062"/>
  <c r="H34" i="2062"/>
  <c r="D34" i="2062"/>
  <c r="R33" i="2062"/>
  <c r="R32" i="2062"/>
  <c r="R31" i="2062"/>
  <c r="R30" i="2062"/>
  <c r="R29" i="2062"/>
  <c r="R28" i="2062"/>
  <c r="L28" i="2062"/>
  <c r="D28" i="2062"/>
  <c r="R27" i="2062"/>
  <c r="L27" i="2062"/>
  <c r="D27" i="2062"/>
  <c r="R26" i="2062"/>
  <c r="L26" i="2062"/>
  <c r="D26" i="2062"/>
  <c r="R25" i="2062"/>
  <c r="L25" i="2062"/>
  <c r="D25" i="2062" s="1"/>
  <c r="R24" i="2062"/>
  <c r="L24" i="2062"/>
  <c r="D24" i="2062" s="1"/>
  <c r="R23" i="2062"/>
  <c r="L23" i="2062"/>
  <c r="D23" i="2062"/>
  <c r="R22" i="2062"/>
  <c r="L20" i="2062" s="1"/>
  <c r="D20" i="2062" s="1"/>
  <c r="L22" i="2062"/>
  <c r="D22" i="2062" s="1"/>
  <c r="R21" i="2062"/>
  <c r="L21" i="2062"/>
  <c r="D21" i="2062" s="1"/>
  <c r="R20" i="2062"/>
  <c r="R19" i="2062"/>
  <c r="L19" i="2062"/>
  <c r="D19" i="2062"/>
  <c r="R18" i="2062"/>
  <c r="R17" i="2062"/>
  <c r="L17" i="2062"/>
  <c r="D17" i="2062" s="1"/>
  <c r="R16" i="2062"/>
  <c r="L16" i="2062"/>
  <c r="D16" i="2062"/>
  <c r="R15" i="2062"/>
  <c r="R14" i="2062"/>
  <c r="D14" i="2062"/>
  <c r="R13" i="2062"/>
  <c r="D13" i="2062"/>
  <c r="R12" i="2062"/>
  <c r="L12" i="2062"/>
  <c r="D12" i="2062" s="1"/>
  <c r="R11" i="2062"/>
  <c r="L11" i="2062"/>
  <c r="D11" i="2062"/>
  <c r="L7" i="2062"/>
  <c r="D7" i="2062" s="1"/>
  <c r="R6" i="2062"/>
  <c r="R5" i="2062"/>
  <c r="R4" i="2062"/>
  <c r="L15" i="2062" s="1"/>
  <c r="D15" i="2062" s="1"/>
  <c r="R52" i="2061"/>
  <c r="R51" i="2061"/>
  <c r="D50" i="2061"/>
  <c r="R49" i="2061"/>
  <c r="D49" i="2061"/>
  <c r="R48" i="2061"/>
  <c r="D48" i="2061"/>
  <c r="D46" i="2061"/>
  <c r="D45" i="2061"/>
  <c r="R44" i="2061"/>
  <c r="L28" i="2061" s="1"/>
  <c r="D28" i="2061" s="1"/>
  <c r="D44" i="2061"/>
  <c r="R42" i="2061"/>
  <c r="D42" i="2061"/>
  <c r="R41" i="2061"/>
  <c r="L7" i="2061" s="1"/>
  <c r="D7" i="2061" s="1"/>
  <c r="D41" i="2061"/>
  <c r="R40" i="2061"/>
  <c r="D40" i="2061"/>
  <c r="R39" i="2061"/>
  <c r="H39" i="2061"/>
  <c r="D39" i="2061"/>
  <c r="R38" i="2061"/>
  <c r="H38" i="2061"/>
  <c r="D38" i="2061"/>
  <c r="R37" i="2061"/>
  <c r="H37" i="2061"/>
  <c r="D37" i="2061"/>
  <c r="R36" i="2061"/>
  <c r="L10" i="2061" s="1"/>
  <c r="D10" i="2061" s="1"/>
  <c r="H36" i="2061"/>
  <c r="D36" i="2061"/>
  <c r="R35" i="2061"/>
  <c r="L18" i="2061" s="1"/>
  <c r="D18" i="2061" s="1"/>
  <c r="H35" i="2061"/>
  <c r="D35" i="2061"/>
  <c r="R34" i="2061"/>
  <c r="H34" i="2061"/>
  <c r="D34" i="2061"/>
  <c r="R33" i="2061"/>
  <c r="L19" i="2061" s="1"/>
  <c r="D19" i="2061" s="1"/>
  <c r="R32" i="2061"/>
  <c r="L11" i="2061" s="1"/>
  <c r="D11" i="2061" s="1"/>
  <c r="R31" i="2061"/>
  <c r="R30" i="2061"/>
  <c r="R29" i="2061"/>
  <c r="R28" i="2061"/>
  <c r="R27" i="2061"/>
  <c r="L27" i="2061"/>
  <c r="D27" i="2061"/>
  <c r="R26" i="2061"/>
  <c r="L26" i="2061"/>
  <c r="D26" i="2061"/>
  <c r="R25" i="2061"/>
  <c r="L25" i="2061"/>
  <c r="D25" i="2061"/>
  <c r="R24" i="2061"/>
  <c r="L24" i="2061"/>
  <c r="D24" i="2061" s="1"/>
  <c r="R23" i="2061"/>
  <c r="L23" i="2061"/>
  <c r="D23" i="2061" s="1"/>
  <c r="R22" i="2061"/>
  <c r="L20" i="2061" s="1"/>
  <c r="D20" i="2061" s="1"/>
  <c r="L22" i="2061"/>
  <c r="D22" i="2061" s="1"/>
  <c r="R21" i="2061"/>
  <c r="L21" i="2061"/>
  <c r="D21" i="2061"/>
  <c r="R20" i="2061"/>
  <c r="R19" i="2061"/>
  <c r="R18" i="2061"/>
  <c r="R17" i="2061"/>
  <c r="L17" i="2061"/>
  <c r="D17" i="2061"/>
  <c r="R16" i="2061"/>
  <c r="R15" i="2061"/>
  <c r="R14" i="2061"/>
  <c r="D14" i="2061"/>
  <c r="R13" i="2061"/>
  <c r="D13" i="2061"/>
  <c r="R12" i="2061"/>
  <c r="L12" i="2061"/>
  <c r="D12" i="2061"/>
  <c r="R11" i="2061"/>
  <c r="L9" i="2061"/>
  <c r="D9" i="2061"/>
  <c r="L8" i="2061"/>
  <c r="D8" i="2061" s="1"/>
  <c r="R6" i="2061"/>
  <c r="L16" i="2061" s="1"/>
  <c r="D16" i="2061" s="1"/>
  <c r="L6" i="2061"/>
  <c r="D6" i="2061" s="1"/>
  <c r="R5" i="2061"/>
  <c r="R4" i="2061"/>
  <c r="L15" i="2061" s="1"/>
  <c r="D15" i="2061" s="1"/>
  <c r="R52" i="2060"/>
  <c r="R51" i="2060"/>
  <c r="D50" i="2060"/>
  <c r="R49" i="2060"/>
  <c r="G49" i="2060"/>
  <c r="D49" i="2060"/>
  <c r="R48" i="2060"/>
  <c r="D48" i="2060"/>
  <c r="D46" i="2060"/>
  <c r="D45" i="2060"/>
  <c r="D44" i="2060"/>
  <c r="R42" i="2060"/>
  <c r="L6" i="2060" s="1"/>
  <c r="D6" i="2060" s="1"/>
  <c r="D42" i="2060"/>
  <c r="R41" i="2060"/>
  <c r="L7" i="2060" s="1"/>
  <c r="D7" i="2060" s="1"/>
  <c r="D41" i="2060"/>
  <c r="R40" i="2060"/>
  <c r="D40" i="2060"/>
  <c r="R39" i="2060"/>
  <c r="D39" i="2060"/>
  <c r="R38" i="2060"/>
  <c r="D38" i="2060"/>
  <c r="R37" i="2060"/>
  <c r="D37" i="2060"/>
  <c r="R36" i="2060"/>
  <c r="L10" i="2060" s="1"/>
  <c r="D10" i="2060" s="1"/>
  <c r="D36" i="2060"/>
  <c r="R35" i="2060"/>
  <c r="D35" i="2060"/>
  <c r="R34" i="2060"/>
  <c r="L12" i="2060" s="1"/>
  <c r="D12" i="2060" s="1"/>
  <c r="D34" i="2060"/>
  <c r="D54" i="2060" s="1"/>
  <c r="H14" i="2060" s="1"/>
  <c r="R33" i="2060"/>
  <c r="L23" i="2060" s="1"/>
  <c r="D23" i="2060" s="1"/>
  <c r="R32" i="2060"/>
  <c r="R31" i="2060"/>
  <c r="R30" i="2060"/>
  <c r="R29" i="2060"/>
  <c r="R28" i="2060"/>
  <c r="L16" i="2060" s="1"/>
  <c r="D16" i="2060" s="1"/>
  <c r="D28" i="2060"/>
  <c r="R27" i="2060"/>
  <c r="D27" i="2060"/>
  <c r="R26" i="2060"/>
  <c r="L26" i="2060"/>
  <c r="D26" i="2060"/>
  <c r="R25" i="2060"/>
  <c r="L25" i="2060"/>
  <c r="D25" i="2060"/>
  <c r="R24" i="2060"/>
  <c r="D24" i="2060"/>
  <c r="R23" i="2060"/>
  <c r="R22" i="2060"/>
  <c r="L22" i="2060"/>
  <c r="D22" i="2060"/>
  <c r="R21" i="2060"/>
  <c r="D21" i="2060"/>
  <c r="R20" i="2060"/>
  <c r="L20" i="2060"/>
  <c r="D20" i="2060"/>
  <c r="R19" i="2060"/>
  <c r="L19" i="2060"/>
  <c r="D19" i="2060"/>
  <c r="R18" i="2060"/>
  <c r="D18" i="2060"/>
  <c r="R17" i="2060"/>
  <c r="D17" i="2060"/>
  <c r="R16" i="2060"/>
  <c r="S15" i="2060"/>
  <c r="R15" i="2060"/>
  <c r="D15" i="2060"/>
  <c r="S14" i="2060"/>
  <c r="R14" i="2060"/>
  <c r="D14" i="2060"/>
  <c r="R13" i="2060"/>
  <c r="D13" i="2060"/>
  <c r="R12" i="2060"/>
  <c r="R11" i="2060"/>
  <c r="L11" i="2060"/>
  <c r="D11" i="2060"/>
  <c r="L9" i="2060"/>
  <c r="D9" i="2060"/>
  <c r="L8" i="2060"/>
  <c r="D8" i="2060"/>
  <c r="R6" i="2060"/>
  <c r="R5" i="2060"/>
  <c r="R4" i="2060"/>
  <c r="R52" i="2059"/>
  <c r="R51" i="2059"/>
  <c r="D50" i="2059"/>
  <c r="R49" i="2059"/>
  <c r="D49" i="2059"/>
  <c r="R48" i="2059"/>
  <c r="D48" i="2059"/>
  <c r="D46" i="2059"/>
  <c r="D45" i="2059"/>
  <c r="R44" i="2059"/>
  <c r="D44" i="2059"/>
  <c r="R42" i="2059"/>
  <c r="L6" i="2059" s="1"/>
  <c r="D6" i="2059" s="1"/>
  <c r="D42" i="2059"/>
  <c r="R41" i="2059"/>
  <c r="L7" i="2059" s="1"/>
  <c r="D7" i="2059" s="1"/>
  <c r="D41" i="2059"/>
  <c r="R40" i="2059"/>
  <c r="D40" i="2059"/>
  <c r="R39" i="2059"/>
  <c r="H39" i="2059"/>
  <c r="D39" i="2059"/>
  <c r="R38" i="2059"/>
  <c r="H38" i="2059"/>
  <c r="D38" i="2059"/>
  <c r="R37" i="2059"/>
  <c r="H37" i="2059"/>
  <c r="D37" i="2059"/>
  <c r="R36" i="2059"/>
  <c r="H36" i="2059"/>
  <c r="D36" i="2059"/>
  <c r="R35" i="2059"/>
  <c r="L18" i="2059" s="1"/>
  <c r="D18" i="2059" s="1"/>
  <c r="H35" i="2059"/>
  <c r="D35" i="2059"/>
  <c r="R34" i="2059"/>
  <c r="H34" i="2059"/>
  <c r="D34" i="2059"/>
  <c r="R33" i="2059"/>
  <c r="R32" i="2059"/>
  <c r="L11" i="2059" s="1"/>
  <c r="D11" i="2059" s="1"/>
  <c r="R31" i="2059"/>
  <c r="R30" i="2059"/>
  <c r="R29" i="2059"/>
  <c r="R28" i="2059"/>
  <c r="L28" i="2059"/>
  <c r="D28" i="2059"/>
  <c r="R27" i="2059"/>
  <c r="L27" i="2059"/>
  <c r="D27" i="2059" s="1"/>
  <c r="R26" i="2059"/>
  <c r="L26" i="2059"/>
  <c r="D26" i="2059"/>
  <c r="R25" i="2059"/>
  <c r="L25" i="2059"/>
  <c r="D25" i="2059"/>
  <c r="R24" i="2059"/>
  <c r="L24" i="2059"/>
  <c r="D24" i="2059"/>
  <c r="R23" i="2059"/>
  <c r="L23" i="2059"/>
  <c r="D23" i="2059"/>
  <c r="R22" i="2059"/>
  <c r="L20" i="2059" s="1"/>
  <c r="D20" i="2059" s="1"/>
  <c r="L22" i="2059"/>
  <c r="D22" i="2059"/>
  <c r="R21" i="2059"/>
  <c r="L21" i="2059"/>
  <c r="D21" i="2059"/>
  <c r="R20" i="2059"/>
  <c r="R19" i="2059"/>
  <c r="L19" i="2059"/>
  <c r="D19" i="2059"/>
  <c r="R18" i="2059"/>
  <c r="R17" i="2059"/>
  <c r="L17" i="2059"/>
  <c r="D17" i="2059"/>
  <c r="R16" i="2059"/>
  <c r="R15" i="2059"/>
  <c r="R14" i="2059"/>
  <c r="D14" i="2059"/>
  <c r="R13" i="2059"/>
  <c r="D13" i="2059"/>
  <c r="R12" i="2059"/>
  <c r="L12" i="2059"/>
  <c r="D12" i="2059"/>
  <c r="R11" i="2059"/>
  <c r="L10" i="2059"/>
  <c r="D10" i="2059"/>
  <c r="L9" i="2059"/>
  <c r="D9" i="2059"/>
  <c r="L8" i="2059"/>
  <c r="D8" i="2059" s="1"/>
  <c r="R6" i="2059"/>
  <c r="L16" i="2059" s="1"/>
  <c r="D16" i="2059" s="1"/>
  <c r="R5" i="2059"/>
  <c r="R4" i="2059"/>
  <c r="L15" i="2059" s="1"/>
  <c r="D15" i="2059" s="1"/>
  <c r="R52" i="2058"/>
  <c r="R51" i="2058"/>
  <c r="D50" i="2058"/>
  <c r="R49" i="2058"/>
  <c r="D49" i="2058"/>
  <c r="R48" i="2058"/>
  <c r="D48" i="2058"/>
  <c r="D46" i="2058"/>
  <c r="D45" i="2058"/>
  <c r="R44" i="2058"/>
  <c r="L28" i="2058" s="1"/>
  <c r="D28" i="2058" s="1"/>
  <c r="D44" i="2058"/>
  <c r="R42" i="2058"/>
  <c r="D42" i="2058"/>
  <c r="R41" i="2058"/>
  <c r="D41" i="2058"/>
  <c r="R40" i="2058"/>
  <c r="D40" i="2058"/>
  <c r="R39" i="2058"/>
  <c r="H39" i="2058"/>
  <c r="D39" i="2058"/>
  <c r="R38" i="2058"/>
  <c r="L9" i="2058" s="1"/>
  <c r="D9" i="2058" s="1"/>
  <c r="H38" i="2058"/>
  <c r="D38" i="2058"/>
  <c r="R37" i="2058"/>
  <c r="H37" i="2058"/>
  <c r="D37" i="2058"/>
  <c r="R36" i="2058"/>
  <c r="L10" i="2058" s="1"/>
  <c r="D10" i="2058" s="1"/>
  <c r="H36" i="2058"/>
  <c r="D36" i="2058"/>
  <c r="R35" i="2058"/>
  <c r="H35" i="2058"/>
  <c r="D35" i="2058"/>
  <c r="R34" i="2058"/>
  <c r="H34" i="2058"/>
  <c r="D34" i="2058"/>
  <c r="R33" i="2058"/>
  <c r="L19" i="2058" s="1"/>
  <c r="D19" i="2058" s="1"/>
  <c r="R32" i="2058"/>
  <c r="L11" i="2058" s="1"/>
  <c r="D11" i="2058" s="1"/>
  <c r="R31" i="2058"/>
  <c r="R30" i="2058"/>
  <c r="R29" i="2058"/>
  <c r="R28" i="2058"/>
  <c r="R27" i="2058"/>
  <c r="L27" i="2058"/>
  <c r="D27" i="2058"/>
  <c r="R26" i="2058"/>
  <c r="L26" i="2058"/>
  <c r="D26" i="2058"/>
  <c r="R25" i="2058"/>
  <c r="L25" i="2058"/>
  <c r="D25" i="2058" s="1"/>
  <c r="R24" i="2058"/>
  <c r="L24" i="2058"/>
  <c r="D24" i="2058"/>
  <c r="R23" i="2058"/>
  <c r="L23" i="2058"/>
  <c r="D23" i="2058" s="1"/>
  <c r="R22" i="2058"/>
  <c r="L20" i="2058" s="1"/>
  <c r="D20" i="2058" s="1"/>
  <c r="L22" i="2058"/>
  <c r="D22" i="2058" s="1"/>
  <c r="R21" i="2058"/>
  <c r="L21" i="2058"/>
  <c r="D21" i="2058" s="1"/>
  <c r="R20" i="2058"/>
  <c r="R19" i="2058"/>
  <c r="R18" i="2058"/>
  <c r="L18" i="2058"/>
  <c r="D18" i="2058"/>
  <c r="R17" i="2058"/>
  <c r="L17" i="2058"/>
  <c r="D17" i="2058" s="1"/>
  <c r="R16" i="2058"/>
  <c r="R15" i="2058"/>
  <c r="L15" i="2058"/>
  <c r="D15" i="2058"/>
  <c r="R14" i="2058"/>
  <c r="D14" i="2058"/>
  <c r="R13" i="2058"/>
  <c r="D13" i="2058"/>
  <c r="R12" i="2058"/>
  <c r="L12" i="2058"/>
  <c r="D12" i="2058" s="1"/>
  <c r="R11" i="2058"/>
  <c r="L8" i="2058"/>
  <c r="D8" i="2058"/>
  <c r="L7" i="2058"/>
  <c r="D7" i="2058"/>
  <c r="R6" i="2058"/>
  <c r="L16" i="2058" s="1"/>
  <c r="D16" i="2058" s="1"/>
  <c r="L6" i="2058"/>
  <c r="D6" i="2058" s="1"/>
  <c r="R5" i="2058"/>
  <c r="R4" i="2058"/>
  <c r="R52" i="2057"/>
  <c r="R51" i="2057"/>
  <c r="D50" i="2057"/>
  <c r="R49" i="2057"/>
  <c r="D49" i="2057"/>
  <c r="R48" i="2057"/>
  <c r="D48" i="2057"/>
  <c r="D46" i="2057"/>
  <c r="D45" i="2057"/>
  <c r="R44" i="2057"/>
  <c r="D44" i="2057"/>
  <c r="R42" i="2057"/>
  <c r="L6" i="2057" s="1"/>
  <c r="D6" i="2057" s="1"/>
  <c r="D42" i="2057"/>
  <c r="R41" i="2057"/>
  <c r="L7" i="2057" s="1"/>
  <c r="D7" i="2057" s="1"/>
  <c r="D41" i="2057"/>
  <c r="R40" i="2057"/>
  <c r="D40" i="2057"/>
  <c r="R39" i="2057"/>
  <c r="H39" i="2057"/>
  <c r="D39" i="2057"/>
  <c r="R38" i="2057"/>
  <c r="H38" i="2057"/>
  <c r="D38" i="2057"/>
  <c r="R37" i="2057"/>
  <c r="H37" i="2057"/>
  <c r="D37" i="2057"/>
  <c r="R36" i="2057"/>
  <c r="L10" i="2057" s="1"/>
  <c r="D10" i="2057" s="1"/>
  <c r="H36" i="2057"/>
  <c r="D36" i="2057"/>
  <c r="R35" i="2057"/>
  <c r="L18" i="2057" s="1"/>
  <c r="D18" i="2057" s="1"/>
  <c r="H35" i="2057"/>
  <c r="D35" i="2057"/>
  <c r="R34" i="2057"/>
  <c r="H34" i="2057"/>
  <c r="D34" i="2057"/>
  <c r="R33" i="2057"/>
  <c r="L19" i="2057" s="1"/>
  <c r="D19" i="2057" s="1"/>
  <c r="R32" i="2057"/>
  <c r="L11" i="2057" s="1"/>
  <c r="D11" i="2057" s="1"/>
  <c r="R31" i="2057"/>
  <c r="R30" i="2057"/>
  <c r="R29" i="2057"/>
  <c r="R28" i="2057"/>
  <c r="L28" i="2057"/>
  <c r="D28" i="2057"/>
  <c r="R27" i="2057"/>
  <c r="L27" i="2057"/>
  <c r="D27" i="2057" s="1"/>
  <c r="R26" i="2057"/>
  <c r="L26" i="2057"/>
  <c r="D26" i="2057"/>
  <c r="R25" i="2057"/>
  <c r="L25" i="2057"/>
  <c r="D25" i="2057" s="1"/>
  <c r="R24" i="2057"/>
  <c r="L24" i="2057"/>
  <c r="D24" i="2057"/>
  <c r="R23" i="2057"/>
  <c r="L23" i="2057"/>
  <c r="D23" i="2057"/>
  <c r="R22" i="2057"/>
  <c r="L20" i="2057" s="1"/>
  <c r="D20" i="2057" s="1"/>
  <c r="L22" i="2057"/>
  <c r="D22" i="2057" s="1"/>
  <c r="R21" i="2057"/>
  <c r="L21" i="2057"/>
  <c r="D21" i="2057" s="1"/>
  <c r="R20" i="2057"/>
  <c r="R19" i="2057"/>
  <c r="R18" i="2057"/>
  <c r="R17" i="2057"/>
  <c r="L17" i="2057"/>
  <c r="D17" i="2057"/>
  <c r="R16" i="2057"/>
  <c r="R15" i="2057"/>
  <c r="R14" i="2057"/>
  <c r="D14" i="2057"/>
  <c r="R13" i="2057"/>
  <c r="D13" i="2057"/>
  <c r="R12" i="2057"/>
  <c r="L12" i="2057"/>
  <c r="D12" i="2057"/>
  <c r="R11" i="2057"/>
  <c r="L9" i="2057"/>
  <c r="D9" i="2057"/>
  <c r="L8" i="2057"/>
  <c r="D8" i="2057" s="1"/>
  <c r="R6" i="2057"/>
  <c r="L16" i="2057" s="1"/>
  <c r="D16" i="2057" s="1"/>
  <c r="R5" i="2057"/>
  <c r="R4" i="2057"/>
  <c r="L15" i="2057" s="1"/>
  <c r="D15" i="2057" s="1"/>
  <c r="R52" i="2056"/>
  <c r="R51" i="2056"/>
  <c r="D50" i="2056"/>
  <c r="R49" i="2056"/>
  <c r="G49" i="2056"/>
  <c r="D49" i="2056"/>
  <c r="R48" i="2056"/>
  <c r="D48" i="2056"/>
  <c r="D46" i="2056"/>
  <c r="D45" i="2056"/>
  <c r="D44" i="2056"/>
  <c r="R42" i="2056"/>
  <c r="L6" i="2056" s="1"/>
  <c r="D6" i="2056" s="1"/>
  <c r="D42" i="2056"/>
  <c r="R41" i="2056"/>
  <c r="L7" i="2056" s="1"/>
  <c r="D7" i="2056" s="1"/>
  <c r="D41" i="2056"/>
  <c r="R40" i="2056"/>
  <c r="D40" i="2056"/>
  <c r="R39" i="2056"/>
  <c r="D39" i="2056"/>
  <c r="R38" i="2056"/>
  <c r="L9" i="2056" s="1"/>
  <c r="D9" i="2056" s="1"/>
  <c r="D38" i="2056"/>
  <c r="R37" i="2056"/>
  <c r="D37" i="2056"/>
  <c r="R36" i="2056"/>
  <c r="L10" i="2056" s="1"/>
  <c r="D10" i="2056" s="1"/>
  <c r="D36" i="2056"/>
  <c r="R35" i="2056"/>
  <c r="D35" i="2056"/>
  <c r="R34" i="2056"/>
  <c r="L12" i="2056" s="1"/>
  <c r="D12" i="2056" s="1"/>
  <c r="D34" i="2056"/>
  <c r="D54" i="2056" s="1"/>
  <c r="H14" i="2056" s="1"/>
  <c r="R33" i="2056"/>
  <c r="L23" i="2056" s="1"/>
  <c r="D23" i="2056" s="1"/>
  <c r="R32" i="2056"/>
  <c r="L11" i="2056" s="1"/>
  <c r="D11" i="2056" s="1"/>
  <c r="R31" i="2056"/>
  <c r="R30" i="2056"/>
  <c r="R29" i="2056"/>
  <c r="R28" i="2056"/>
  <c r="D28" i="2056"/>
  <c r="R27" i="2056"/>
  <c r="D27" i="2056"/>
  <c r="R26" i="2056"/>
  <c r="L26" i="2056"/>
  <c r="D26" i="2056"/>
  <c r="R25" i="2056"/>
  <c r="L25" i="2056"/>
  <c r="D25" i="2056"/>
  <c r="R24" i="2056"/>
  <c r="D24" i="2056"/>
  <c r="R23" i="2056"/>
  <c r="R22" i="2056"/>
  <c r="L22" i="2056"/>
  <c r="D22" i="2056"/>
  <c r="R21" i="2056"/>
  <c r="D21" i="2056"/>
  <c r="R20" i="2056"/>
  <c r="L20" i="2056"/>
  <c r="D20" i="2056"/>
  <c r="R19" i="2056"/>
  <c r="L19" i="2056"/>
  <c r="D19" i="2056"/>
  <c r="R18" i="2056"/>
  <c r="D18" i="2056"/>
  <c r="R17" i="2056"/>
  <c r="D17" i="2056"/>
  <c r="R16" i="2056"/>
  <c r="L16" i="2056"/>
  <c r="D16" i="2056" s="1"/>
  <c r="S15" i="2056"/>
  <c r="R15" i="2056"/>
  <c r="D15" i="2056"/>
  <c r="S14" i="2056"/>
  <c r="R14" i="2056"/>
  <c r="D14" i="2056"/>
  <c r="R13" i="2056"/>
  <c r="D13" i="2056"/>
  <c r="R12" i="2056"/>
  <c r="R11" i="2056"/>
  <c r="L8" i="2056"/>
  <c r="D8" i="2056"/>
  <c r="R6" i="2056"/>
  <c r="R5" i="2056"/>
  <c r="R4" i="2056"/>
  <c r="G49" i="2071" l="1"/>
  <c r="D54" i="2071"/>
  <c r="H14" i="2071" s="1"/>
  <c r="G49" i="2070"/>
  <c r="D54" i="2070"/>
  <c r="H14" i="2070" s="1"/>
  <c r="G49" i="2069"/>
  <c r="D54" i="2069"/>
  <c r="H14" i="2069" s="1"/>
  <c r="G49" i="2067"/>
  <c r="D54" i="2067"/>
  <c r="H14" i="2067" s="1"/>
  <c r="G49" i="2065"/>
  <c r="D54" i="2065"/>
  <c r="H14" i="2065" s="1"/>
  <c r="D29" i="2065"/>
  <c r="H13" i="2065" s="1"/>
  <c r="D54" i="2062"/>
  <c r="H14" i="2062" s="1"/>
  <c r="G49" i="2061"/>
  <c r="D54" i="2061"/>
  <c r="H14" i="2061" s="1"/>
  <c r="G49" i="2059"/>
  <c r="D54" i="2059"/>
  <c r="H14" i="2059" s="1"/>
  <c r="G49" i="2058"/>
  <c r="D54" i="2058"/>
  <c r="H14" i="2058" s="1"/>
  <c r="G49" i="2057"/>
  <c r="D54" i="2057"/>
  <c r="H14" i="2057" s="1"/>
  <c r="D29" i="2072"/>
  <c r="H13" i="2072" s="1"/>
  <c r="H15" i="2072" s="1"/>
  <c r="H29" i="2072" s="1"/>
  <c r="G51" i="2072" s="1"/>
  <c r="D29" i="2071"/>
  <c r="H13" i="2071" s="1"/>
  <c r="D29" i="2070"/>
  <c r="H13" i="2070" s="1"/>
  <c r="D29" i="2069"/>
  <c r="H13" i="2069" s="1"/>
  <c r="D29" i="2068"/>
  <c r="H13" i="2068" s="1"/>
  <c r="H15" i="2068" s="1"/>
  <c r="H29" i="2068" s="1"/>
  <c r="G51" i="2068" s="1"/>
  <c r="D29" i="2067"/>
  <c r="H13" i="2067" s="1"/>
  <c r="D29" i="2066"/>
  <c r="H13" i="2066" s="1"/>
  <c r="H15" i="2066" s="1"/>
  <c r="H29" i="2066" s="1"/>
  <c r="G51" i="2066" s="1"/>
  <c r="H15" i="2064"/>
  <c r="H29" i="2064" s="1"/>
  <c r="G51" i="2064"/>
  <c r="D29" i="2063"/>
  <c r="H13" i="2063" s="1"/>
  <c r="H15" i="2063" s="1"/>
  <c r="H29" i="2063" s="1"/>
  <c r="G51" i="2063"/>
  <c r="D29" i="2062"/>
  <c r="H13" i="2062" s="1"/>
  <c r="D29" i="2061"/>
  <c r="H13" i="2061" s="1"/>
  <c r="D29" i="2060"/>
  <c r="H13" i="2060" s="1"/>
  <c r="H15" i="2060" s="1"/>
  <c r="H29" i="2060" s="1"/>
  <c r="G51" i="2060" s="1"/>
  <c r="D29" i="2059"/>
  <c r="H13" i="2059" s="1"/>
  <c r="D29" i="2058"/>
  <c r="H13" i="2058" s="1"/>
  <c r="D29" i="2057"/>
  <c r="H13" i="2057" s="1"/>
  <c r="D29" i="2056"/>
  <c r="H13" i="2056" s="1"/>
  <c r="H15" i="2056" s="1"/>
  <c r="H29" i="2056" s="1"/>
  <c r="G51" i="2056" s="1"/>
  <c r="H16" i="2041"/>
  <c r="C19" i="2041"/>
  <c r="C18" i="2041"/>
  <c r="C16" i="2041"/>
  <c r="C12" i="2039"/>
  <c r="C16" i="2039"/>
  <c r="C15" i="2039"/>
  <c r="H15" i="2071" l="1"/>
  <c r="H29" i="2071" s="1"/>
  <c r="G51" i="2071" s="1"/>
  <c r="H15" i="2070"/>
  <c r="H29" i="2070" s="1"/>
  <c r="G51" i="2070" s="1"/>
  <c r="H15" i="2069"/>
  <c r="H29" i="2069" s="1"/>
  <c r="G51" i="2069" s="1"/>
  <c r="H15" i="2067"/>
  <c r="H29" i="2067" s="1"/>
  <c r="G51" i="2067" s="1"/>
  <c r="H15" i="2065"/>
  <c r="H29" i="2065" s="1"/>
  <c r="G51" i="2065" s="1"/>
  <c r="H15" i="2062"/>
  <c r="H29" i="2062" s="1"/>
  <c r="G51" i="2062" s="1"/>
  <c r="H15" i="2061"/>
  <c r="H29" i="2061" s="1"/>
  <c r="G51" i="2061" s="1"/>
  <c r="H15" i="2059"/>
  <c r="H29" i="2059" s="1"/>
  <c r="G51" i="2059" s="1"/>
  <c r="H15" i="2058"/>
  <c r="H29" i="2058" s="1"/>
  <c r="G51" i="2058" s="1"/>
  <c r="H15" i="2057"/>
  <c r="H29" i="2057" s="1"/>
  <c r="G51" i="2057" s="1"/>
  <c r="C16" i="2037"/>
  <c r="C15" i="2037"/>
  <c r="H16" i="2037"/>
  <c r="C12" i="2035"/>
  <c r="C16" i="2035"/>
  <c r="H16" i="2033" l="1"/>
  <c r="C37" i="2033" l="1"/>
  <c r="H16" i="2055" l="1"/>
  <c r="C12" i="2055"/>
  <c r="R52" i="2055"/>
  <c r="R51" i="2055"/>
  <c r="D50" i="2055"/>
  <c r="R49" i="2055"/>
  <c r="D49" i="2055"/>
  <c r="R48" i="2055"/>
  <c r="D48" i="2055"/>
  <c r="D46" i="2055"/>
  <c r="D45" i="2055"/>
  <c r="R44" i="2055"/>
  <c r="D44" i="2055"/>
  <c r="R42" i="2055"/>
  <c r="D42" i="2055"/>
  <c r="R41" i="2055"/>
  <c r="D41" i="2055"/>
  <c r="R40" i="2055"/>
  <c r="D40" i="2055"/>
  <c r="R39" i="2055"/>
  <c r="H39" i="2055"/>
  <c r="D39" i="2055"/>
  <c r="R38" i="2055"/>
  <c r="H38" i="2055"/>
  <c r="D38" i="2055"/>
  <c r="R37" i="2055"/>
  <c r="H37" i="2055"/>
  <c r="D37" i="2055"/>
  <c r="R36" i="2055"/>
  <c r="L10" i="2055" s="1"/>
  <c r="D10" i="2055" s="1"/>
  <c r="H36" i="2055"/>
  <c r="D36" i="2055"/>
  <c r="R35" i="2055"/>
  <c r="H35" i="2055"/>
  <c r="D35" i="2055"/>
  <c r="R34" i="2055"/>
  <c r="L12" i="2055" s="1"/>
  <c r="H34" i="2055"/>
  <c r="D34" i="2055"/>
  <c r="R33" i="2055"/>
  <c r="R32" i="2055"/>
  <c r="R31" i="2055"/>
  <c r="R30" i="2055"/>
  <c r="R29" i="2055"/>
  <c r="R28" i="2055"/>
  <c r="L28" i="2055"/>
  <c r="D28" i="2055"/>
  <c r="R27" i="2055"/>
  <c r="L27" i="2055"/>
  <c r="D27" i="2055"/>
  <c r="R26" i="2055"/>
  <c r="L26" i="2055"/>
  <c r="D26" i="2055"/>
  <c r="R25" i="2055"/>
  <c r="L25" i="2055"/>
  <c r="D25" i="2055"/>
  <c r="R24" i="2055"/>
  <c r="L24" i="2055"/>
  <c r="D24" i="2055"/>
  <c r="R23" i="2055"/>
  <c r="L23" i="2055"/>
  <c r="D23" i="2055" s="1"/>
  <c r="R22" i="2055"/>
  <c r="L20" i="2055" s="1"/>
  <c r="D20" i="2055" s="1"/>
  <c r="L22" i="2055"/>
  <c r="D22" i="2055"/>
  <c r="R21" i="2055"/>
  <c r="L21" i="2055"/>
  <c r="D21" i="2055"/>
  <c r="R20" i="2055"/>
  <c r="R19" i="2055"/>
  <c r="L19" i="2055"/>
  <c r="D19" i="2055"/>
  <c r="R18" i="2055"/>
  <c r="L18" i="2055"/>
  <c r="D18" i="2055"/>
  <c r="R17" i="2055"/>
  <c r="L17" i="2055"/>
  <c r="D17" i="2055" s="1"/>
  <c r="R16" i="2055"/>
  <c r="R15" i="2055"/>
  <c r="L15" i="2055"/>
  <c r="D15" i="2055"/>
  <c r="R14" i="2055"/>
  <c r="D14" i="2055"/>
  <c r="R13" i="2055"/>
  <c r="D13" i="2055"/>
  <c r="R12" i="2055"/>
  <c r="R11" i="2055"/>
  <c r="L11" i="2055"/>
  <c r="D11" i="2055"/>
  <c r="L9" i="2055"/>
  <c r="D9" i="2055"/>
  <c r="L8" i="2055"/>
  <c r="D8" i="2055"/>
  <c r="L7" i="2055"/>
  <c r="D7" i="2055"/>
  <c r="R6" i="2055"/>
  <c r="L16" i="2055" s="1"/>
  <c r="L6" i="2055"/>
  <c r="D6" i="2055" s="1"/>
  <c r="R5" i="2055"/>
  <c r="R4" i="2055"/>
  <c r="R52" i="2054"/>
  <c r="R51" i="2054"/>
  <c r="D50" i="2054"/>
  <c r="R49" i="2054"/>
  <c r="G49" i="2054"/>
  <c r="D49" i="2054"/>
  <c r="R48" i="2054"/>
  <c r="D48" i="2054"/>
  <c r="D46" i="2054"/>
  <c r="D45" i="2054"/>
  <c r="D44" i="2054"/>
  <c r="R42" i="2054"/>
  <c r="L6" i="2054" s="1"/>
  <c r="D6" i="2054" s="1"/>
  <c r="D42" i="2054"/>
  <c r="R41" i="2054"/>
  <c r="L7" i="2054" s="1"/>
  <c r="D7" i="2054" s="1"/>
  <c r="D41" i="2054"/>
  <c r="R40" i="2054"/>
  <c r="L8" i="2054" s="1"/>
  <c r="D8" i="2054" s="1"/>
  <c r="D40" i="2054"/>
  <c r="R39" i="2054"/>
  <c r="D39" i="2054"/>
  <c r="R38" i="2054"/>
  <c r="D38" i="2054"/>
  <c r="R37" i="2054"/>
  <c r="D37" i="2054"/>
  <c r="R36" i="2054"/>
  <c r="D36" i="2054"/>
  <c r="D54" i="2054" s="1"/>
  <c r="H14" i="2054" s="1"/>
  <c r="R35" i="2054"/>
  <c r="D35" i="2054"/>
  <c r="R34" i="2054"/>
  <c r="D34" i="2054"/>
  <c r="R33" i="2054"/>
  <c r="R32" i="2054"/>
  <c r="R31" i="2054"/>
  <c r="R30" i="2054"/>
  <c r="R29" i="2054"/>
  <c r="R28" i="2054"/>
  <c r="D28" i="2054"/>
  <c r="R27" i="2054"/>
  <c r="D27" i="2054"/>
  <c r="R26" i="2054"/>
  <c r="L26" i="2054"/>
  <c r="D26" i="2054"/>
  <c r="R25" i="2054"/>
  <c r="L25" i="2054"/>
  <c r="D25" i="2054"/>
  <c r="R24" i="2054"/>
  <c r="D24" i="2054"/>
  <c r="R23" i="2054"/>
  <c r="L23" i="2054"/>
  <c r="D23" i="2054"/>
  <c r="R22" i="2054"/>
  <c r="L22" i="2054"/>
  <c r="D22" i="2054"/>
  <c r="R21" i="2054"/>
  <c r="D21" i="2054"/>
  <c r="R20" i="2054"/>
  <c r="L20" i="2054"/>
  <c r="D20" i="2054"/>
  <c r="R19" i="2054"/>
  <c r="L19" i="2054"/>
  <c r="D19" i="2054"/>
  <c r="R18" i="2054"/>
  <c r="D18" i="2054"/>
  <c r="R17" i="2054"/>
  <c r="D17" i="2054"/>
  <c r="R16" i="2054"/>
  <c r="L16" i="2054"/>
  <c r="D16" i="2054" s="1"/>
  <c r="S15" i="2054"/>
  <c r="R15" i="2054"/>
  <c r="D15" i="2054"/>
  <c r="S14" i="2054"/>
  <c r="R14" i="2054"/>
  <c r="D14" i="2054"/>
  <c r="R13" i="2054"/>
  <c r="D13" i="2054"/>
  <c r="R12" i="2054"/>
  <c r="L12" i="2054"/>
  <c r="D12" i="2054"/>
  <c r="R11" i="2054"/>
  <c r="L11" i="2054"/>
  <c r="D11" i="2054"/>
  <c r="L10" i="2054"/>
  <c r="D10" i="2054" s="1"/>
  <c r="L9" i="2054"/>
  <c r="D9" i="2054" s="1"/>
  <c r="R6" i="2054"/>
  <c r="R5" i="2054"/>
  <c r="R4" i="2054"/>
  <c r="D12" i="2055" l="1"/>
  <c r="G49" i="2055"/>
  <c r="D54" i="2055"/>
  <c r="H14" i="2055" s="1"/>
  <c r="D16" i="2055"/>
  <c r="D29" i="2055" s="1"/>
  <c r="H13" i="2055" s="1"/>
  <c r="D29" i="2054"/>
  <c r="H13" i="2054" s="1"/>
  <c r="H15" i="2054" s="1"/>
  <c r="H29" i="2054" s="1"/>
  <c r="G51" i="2054"/>
  <c r="H16" i="2029"/>
  <c r="C16" i="2029"/>
  <c r="H15" i="2055" l="1"/>
  <c r="H29" i="2055" s="1"/>
  <c r="G51" i="2055" s="1"/>
  <c r="R52" i="2053"/>
  <c r="R51" i="2053"/>
  <c r="D50" i="2053"/>
  <c r="R49" i="2053"/>
  <c r="D49" i="2053"/>
  <c r="R48" i="2053"/>
  <c r="D48" i="2053"/>
  <c r="D46" i="2053"/>
  <c r="D45" i="2053"/>
  <c r="R44" i="2053"/>
  <c r="L28" i="2053" s="1"/>
  <c r="D28" i="2053" s="1"/>
  <c r="D44" i="2053"/>
  <c r="R42" i="2053"/>
  <c r="D42" i="2053"/>
  <c r="R41" i="2053"/>
  <c r="D41" i="2053"/>
  <c r="R40" i="2053"/>
  <c r="D40" i="2053"/>
  <c r="R39" i="2053"/>
  <c r="H39" i="2053"/>
  <c r="D39" i="2053"/>
  <c r="R38" i="2053"/>
  <c r="L9" i="2053" s="1"/>
  <c r="D9" i="2053" s="1"/>
  <c r="H38" i="2053"/>
  <c r="D38" i="2053"/>
  <c r="R37" i="2053"/>
  <c r="H37" i="2053"/>
  <c r="D37" i="2053"/>
  <c r="R36" i="2053"/>
  <c r="L10" i="2053" s="1"/>
  <c r="D10" i="2053" s="1"/>
  <c r="H36" i="2053"/>
  <c r="D36" i="2053"/>
  <c r="R35" i="2053"/>
  <c r="H35" i="2053"/>
  <c r="D35" i="2053"/>
  <c r="R34" i="2053"/>
  <c r="H34" i="2053"/>
  <c r="D34" i="2053"/>
  <c r="R33" i="2053"/>
  <c r="R32" i="2053"/>
  <c r="L11" i="2053" s="1"/>
  <c r="D11" i="2053" s="1"/>
  <c r="R31" i="2053"/>
  <c r="R30" i="2053"/>
  <c r="R29" i="2053"/>
  <c r="R28" i="2053"/>
  <c r="R27" i="2053"/>
  <c r="L27" i="2053"/>
  <c r="D27" i="2053" s="1"/>
  <c r="R26" i="2053"/>
  <c r="L26" i="2053"/>
  <c r="D26" i="2053"/>
  <c r="R25" i="2053"/>
  <c r="L25" i="2053"/>
  <c r="D25" i="2053" s="1"/>
  <c r="R24" i="2053"/>
  <c r="L24" i="2053"/>
  <c r="D24" i="2053"/>
  <c r="R23" i="2053"/>
  <c r="L23" i="2053"/>
  <c r="D23" i="2053" s="1"/>
  <c r="R22" i="2053"/>
  <c r="L20" i="2053" s="1"/>
  <c r="D20" i="2053" s="1"/>
  <c r="L22" i="2053"/>
  <c r="D22" i="2053" s="1"/>
  <c r="R21" i="2053"/>
  <c r="L21" i="2053"/>
  <c r="D21" i="2053"/>
  <c r="R20" i="2053"/>
  <c r="R19" i="2053"/>
  <c r="L19" i="2053"/>
  <c r="D19" i="2053" s="1"/>
  <c r="R18" i="2053"/>
  <c r="L18" i="2053"/>
  <c r="D18" i="2053"/>
  <c r="R17" i="2053"/>
  <c r="L17" i="2053"/>
  <c r="D17" i="2053" s="1"/>
  <c r="R16" i="2053"/>
  <c r="R15" i="2053"/>
  <c r="L15" i="2053"/>
  <c r="D15" i="2053" s="1"/>
  <c r="R14" i="2053"/>
  <c r="D14" i="2053"/>
  <c r="R13" i="2053"/>
  <c r="D13" i="2053"/>
  <c r="R12" i="2053"/>
  <c r="L12" i="2053"/>
  <c r="D12" i="2053" s="1"/>
  <c r="R11" i="2053"/>
  <c r="L8" i="2053"/>
  <c r="D8" i="2053"/>
  <c r="L7" i="2053"/>
  <c r="D7" i="2053"/>
  <c r="R6" i="2053"/>
  <c r="L16" i="2053" s="1"/>
  <c r="D16" i="2053" s="1"/>
  <c r="D6" i="2053"/>
  <c r="R5" i="2053"/>
  <c r="R4" i="2053"/>
  <c r="R52" i="2052"/>
  <c r="R51" i="2052"/>
  <c r="D50" i="2052"/>
  <c r="R49" i="2052"/>
  <c r="D49" i="2052"/>
  <c r="R48" i="2052"/>
  <c r="D48" i="2052"/>
  <c r="D46" i="2052"/>
  <c r="D45" i="2052"/>
  <c r="R44" i="2052"/>
  <c r="L28" i="2052" s="1"/>
  <c r="D28" i="2052" s="1"/>
  <c r="D44" i="2052"/>
  <c r="R42" i="2052"/>
  <c r="D42" i="2052"/>
  <c r="R41" i="2052"/>
  <c r="D41" i="2052"/>
  <c r="R40" i="2052"/>
  <c r="L8" i="2052" s="1"/>
  <c r="D8" i="2052" s="1"/>
  <c r="D40" i="2052"/>
  <c r="R39" i="2052"/>
  <c r="H39" i="2052"/>
  <c r="D39" i="2052"/>
  <c r="R38" i="2052"/>
  <c r="H38" i="2052"/>
  <c r="D38" i="2052"/>
  <c r="R37" i="2052"/>
  <c r="H37" i="2052"/>
  <c r="D37" i="2052"/>
  <c r="R36" i="2052"/>
  <c r="H36" i="2052"/>
  <c r="D36" i="2052"/>
  <c r="R35" i="2052"/>
  <c r="H35" i="2052"/>
  <c r="D35" i="2052"/>
  <c r="R34" i="2052"/>
  <c r="L12" i="2052" s="1"/>
  <c r="D12" i="2052" s="1"/>
  <c r="H34" i="2052"/>
  <c r="D34" i="2052"/>
  <c r="R33" i="2052"/>
  <c r="L19" i="2052" s="1"/>
  <c r="D19" i="2052" s="1"/>
  <c r="R32" i="2052"/>
  <c r="L11" i="2052" s="1"/>
  <c r="D11" i="2052" s="1"/>
  <c r="R31" i="2052"/>
  <c r="R30" i="2052"/>
  <c r="R29" i="2052"/>
  <c r="R28" i="2052"/>
  <c r="R27" i="2052"/>
  <c r="L27" i="2052"/>
  <c r="D27" i="2052"/>
  <c r="R26" i="2052"/>
  <c r="L26" i="2052"/>
  <c r="D26" i="2052"/>
  <c r="R25" i="2052"/>
  <c r="L25" i="2052"/>
  <c r="D25" i="2052" s="1"/>
  <c r="R24" i="2052"/>
  <c r="L24" i="2052"/>
  <c r="D24" i="2052"/>
  <c r="R23" i="2052"/>
  <c r="L23" i="2052"/>
  <c r="D23" i="2052" s="1"/>
  <c r="R22" i="2052"/>
  <c r="L20" i="2052" s="1"/>
  <c r="D20" i="2052" s="1"/>
  <c r="L22" i="2052"/>
  <c r="D22" i="2052" s="1"/>
  <c r="R21" i="2052"/>
  <c r="L21" i="2052"/>
  <c r="D21" i="2052"/>
  <c r="R20" i="2052"/>
  <c r="R19" i="2052"/>
  <c r="R18" i="2052"/>
  <c r="L18" i="2052"/>
  <c r="D18" i="2052" s="1"/>
  <c r="R17" i="2052"/>
  <c r="L17" i="2052"/>
  <c r="D17" i="2052" s="1"/>
  <c r="R16" i="2052"/>
  <c r="R15" i="2052"/>
  <c r="L15" i="2052"/>
  <c r="D15" i="2052" s="1"/>
  <c r="R14" i="2052"/>
  <c r="D14" i="2052"/>
  <c r="R13" i="2052"/>
  <c r="D13" i="2052"/>
  <c r="R12" i="2052"/>
  <c r="R11" i="2052"/>
  <c r="L10" i="2052"/>
  <c r="D10" i="2052"/>
  <c r="L9" i="2052"/>
  <c r="D9" i="2052"/>
  <c r="L7" i="2052"/>
  <c r="D7" i="2052"/>
  <c r="R6" i="2052"/>
  <c r="L16" i="2052" s="1"/>
  <c r="D16" i="2052" s="1"/>
  <c r="L6" i="2052"/>
  <c r="D6" i="2052" s="1"/>
  <c r="R5" i="2052"/>
  <c r="R4" i="2052"/>
  <c r="R52" i="2051"/>
  <c r="R51" i="2051"/>
  <c r="D50" i="2051"/>
  <c r="R49" i="2051"/>
  <c r="D49" i="2051"/>
  <c r="R48" i="2051"/>
  <c r="D48" i="2051"/>
  <c r="D46" i="2051"/>
  <c r="D45" i="2051"/>
  <c r="R44" i="2051"/>
  <c r="L28" i="2051" s="1"/>
  <c r="D28" i="2051" s="1"/>
  <c r="D44" i="2051"/>
  <c r="R42" i="2051"/>
  <c r="D42" i="2051"/>
  <c r="R41" i="2051"/>
  <c r="D41" i="2051"/>
  <c r="R40" i="2051"/>
  <c r="D40" i="2051"/>
  <c r="R39" i="2051"/>
  <c r="H39" i="2051"/>
  <c r="D39" i="2051"/>
  <c r="R38" i="2051"/>
  <c r="H38" i="2051"/>
  <c r="D38" i="2051"/>
  <c r="R37" i="2051"/>
  <c r="H37" i="2051"/>
  <c r="D37" i="2051"/>
  <c r="R36" i="2051"/>
  <c r="H36" i="2051"/>
  <c r="D36" i="2051"/>
  <c r="R35" i="2051"/>
  <c r="L18" i="2051" s="1"/>
  <c r="D18" i="2051" s="1"/>
  <c r="H35" i="2051"/>
  <c r="D35" i="2051"/>
  <c r="R34" i="2051"/>
  <c r="H34" i="2051"/>
  <c r="G49" i="2051" s="1"/>
  <c r="D34" i="2051"/>
  <c r="R33" i="2051"/>
  <c r="R32" i="2051"/>
  <c r="R31" i="2051"/>
  <c r="R30" i="2051"/>
  <c r="R29" i="2051"/>
  <c r="R28" i="2051"/>
  <c r="R27" i="2051"/>
  <c r="L27" i="2051"/>
  <c r="D27" i="2051"/>
  <c r="R26" i="2051"/>
  <c r="L26" i="2051"/>
  <c r="D26" i="2051"/>
  <c r="R25" i="2051"/>
  <c r="L25" i="2051"/>
  <c r="D25" i="2051"/>
  <c r="R24" i="2051"/>
  <c r="L24" i="2051"/>
  <c r="D24" i="2051" s="1"/>
  <c r="R23" i="2051"/>
  <c r="L23" i="2051"/>
  <c r="D23" i="2051" s="1"/>
  <c r="R22" i="2051"/>
  <c r="L20" i="2051" s="1"/>
  <c r="D20" i="2051" s="1"/>
  <c r="L22" i="2051"/>
  <c r="D22" i="2051" s="1"/>
  <c r="R21" i="2051"/>
  <c r="D21" i="2051"/>
  <c r="R20" i="2051"/>
  <c r="R19" i="2051"/>
  <c r="L19" i="2051"/>
  <c r="D19" i="2051"/>
  <c r="R18" i="2051"/>
  <c r="R17" i="2051"/>
  <c r="L17" i="2051"/>
  <c r="D17" i="2051" s="1"/>
  <c r="R16" i="2051"/>
  <c r="L16" i="2051"/>
  <c r="D16" i="2051" s="1"/>
  <c r="R15" i="2051"/>
  <c r="R14" i="2051"/>
  <c r="D14" i="2051"/>
  <c r="R13" i="2051"/>
  <c r="D13" i="2051"/>
  <c r="R12" i="2051"/>
  <c r="L12" i="2051"/>
  <c r="D12" i="2051" s="1"/>
  <c r="R11" i="2051"/>
  <c r="L11" i="2051"/>
  <c r="D11" i="2051" s="1"/>
  <c r="L10" i="2051"/>
  <c r="D10" i="2051"/>
  <c r="L9" i="2051"/>
  <c r="D9" i="2051"/>
  <c r="L8" i="2051"/>
  <c r="D8" i="2051" s="1"/>
  <c r="L7" i="2051"/>
  <c r="D7" i="2051" s="1"/>
  <c r="R6" i="2051"/>
  <c r="L6" i="2051"/>
  <c r="D6" i="2051" s="1"/>
  <c r="R5" i="2051"/>
  <c r="R4" i="2051"/>
  <c r="L15" i="2051" s="1"/>
  <c r="D15" i="2051" s="1"/>
  <c r="R52" i="2050"/>
  <c r="R51" i="2050"/>
  <c r="D50" i="2050"/>
  <c r="R49" i="2050"/>
  <c r="G49" i="2050"/>
  <c r="D49" i="2050"/>
  <c r="R48" i="2050"/>
  <c r="D48" i="2050"/>
  <c r="D46" i="2050"/>
  <c r="D45" i="2050"/>
  <c r="D44" i="2050"/>
  <c r="R42" i="2050"/>
  <c r="D42" i="2050"/>
  <c r="R41" i="2050"/>
  <c r="L7" i="2050" s="1"/>
  <c r="D7" i="2050" s="1"/>
  <c r="D41" i="2050"/>
  <c r="R40" i="2050"/>
  <c r="D40" i="2050"/>
  <c r="R39" i="2050"/>
  <c r="D39" i="2050"/>
  <c r="R38" i="2050"/>
  <c r="D38" i="2050"/>
  <c r="D54" i="2050" s="1"/>
  <c r="H14" i="2050" s="1"/>
  <c r="R37" i="2050"/>
  <c r="D37" i="2050"/>
  <c r="R36" i="2050"/>
  <c r="L10" i="2050" s="1"/>
  <c r="D10" i="2050" s="1"/>
  <c r="D36" i="2050"/>
  <c r="R35" i="2050"/>
  <c r="L19" i="2050" s="1"/>
  <c r="D19" i="2050" s="1"/>
  <c r="D35" i="2050"/>
  <c r="R34" i="2050"/>
  <c r="D34" i="2050"/>
  <c r="R33" i="2050"/>
  <c r="R32" i="2050"/>
  <c r="R31" i="2050"/>
  <c r="R30" i="2050"/>
  <c r="R29" i="2050"/>
  <c r="R28" i="2050"/>
  <c r="L16" i="2050" s="1"/>
  <c r="D16" i="2050" s="1"/>
  <c r="D28" i="2050"/>
  <c r="R27" i="2050"/>
  <c r="D27" i="2050"/>
  <c r="R26" i="2050"/>
  <c r="L26" i="2050"/>
  <c r="D26" i="2050" s="1"/>
  <c r="R25" i="2050"/>
  <c r="L25" i="2050"/>
  <c r="D25" i="2050"/>
  <c r="R24" i="2050"/>
  <c r="D24" i="2050"/>
  <c r="R23" i="2050"/>
  <c r="L23" i="2050"/>
  <c r="D23" i="2050" s="1"/>
  <c r="R22" i="2050"/>
  <c r="L22" i="2050"/>
  <c r="D22" i="2050" s="1"/>
  <c r="R21" i="2050"/>
  <c r="D21" i="2050"/>
  <c r="R20" i="2050"/>
  <c r="L20" i="2050"/>
  <c r="D20" i="2050" s="1"/>
  <c r="R19" i="2050"/>
  <c r="R18" i="2050"/>
  <c r="D18" i="2050"/>
  <c r="R17" i="2050"/>
  <c r="D17" i="2050"/>
  <c r="R16" i="2050"/>
  <c r="S15" i="2050"/>
  <c r="R15" i="2050"/>
  <c r="D15" i="2050"/>
  <c r="S14" i="2050"/>
  <c r="R14" i="2050"/>
  <c r="D14" i="2050"/>
  <c r="R13" i="2050"/>
  <c r="D13" i="2050"/>
  <c r="R12" i="2050"/>
  <c r="L12" i="2050"/>
  <c r="D12" i="2050"/>
  <c r="R11" i="2050"/>
  <c r="L11" i="2050"/>
  <c r="D11" i="2050" s="1"/>
  <c r="L9" i="2050"/>
  <c r="D9" i="2050"/>
  <c r="L8" i="2050"/>
  <c r="D8" i="2050" s="1"/>
  <c r="R6" i="2050"/>
  <c r="L6" i="2050"/>
  <c r="D6" i="2050" s="1"/>
  <c r="R5" i="2050"/>
  <c r="R4" i="2050"/>
  <c r="R52" i="2049"/>
  <c r="R51" i="2049"/>
  <c r="D50" i="2049"/>
  <c r="R49" i="2049"/>
  <c r="D49" i="2049"/>
  <c r="R48" i="2049"/>
  <c r="D48" i="2049"/>
  <c r="D46" i="2049"/>
  <c r="D45" i="2049"/>
  <c r="R44" i="2049"/>
  <c r="D44" i="2049"/>
  <c r="R42" i="2049"/>
  <c r="L6" i="2049" s="1"/>
  <c r="D6" i="2049" s="1"/>
  <c r="D42" i="2049"/>
  <c r="R41" i="2049"/>
  <c r="D41" i="2049"/>
  <c r="R40" i="2049"/>
  <c r="D40" i="2049"/>
  <c r="R39" i="2049"/>
  <c r="H39" i="2049"/>
  <c r="D39" i="2049"/>
  <c r="R38" i="2049"/>
  <c r="L9" i="2049" s="1"/>
  <c r="D9" i="2049" s="1"/>
  <c r="H38" i="2049"/>
  <c r="D38" i="2049"/>
  <c r="R37" i="2049"/>
  <c r="H37" i="2049"/>
  <c r="D37" i="2049"/>
  <c r="R36" i="2049"/>
  <c r="L10" i="2049" s="1"/>
  <c r="D10" i="2049" s="1"/>
  <c r="H36" i="2049"/>
  <c r="D36" i="2049"/>
  <c r="R35" i="2049"/>
  <c r="H35" i="2049"/>
  <c r="D35" i="2049"/>
  <c r="R34" i="2049"/>
  <c r="H34" i="2049"/>
  <c r="D34" i="2049"/>
  <c r="R33" i="2049"/>
  <c r="R32" i="2049"/>
  <c r="L11" i="2049" s="1"/>
  <c r="D11" i="2049" s="1"/>
  <c r="R31" i="2049"/>
  <c r="R30" i="2049"/>
  <c r="R29" i="2049"/>
  <c r="R28" i="2049"/>
  <c r="L28" i="2049"/>
  <c r="D28" i="2049"/>
  <c r="R27" i="2049"/>
  <c r="L27" i="2049"/>
  <c r="D27" i="2049" s="1"/>
  <c r="R26" i="2049"/>
  <c r="L26" i="2049"/>
  <c r="D26" i="2049" s="1"/>
  <c r="R25" i="2049"/>
  <c r="L25" i="2049"/>
  <c r="D25" i="2049"/>
  <c r="R24" i="2049"/>
  <c r="L24" i="2049"/>
  <c r="D24" i="2049"/>
  <c r="R23" i="2049"/>
  <c r="L23" i="2049"/>
  <c r="D23" i="2049"/>
  <c r="R22" i="2049"/>
  <c r="L20" i="2049" s="1"/>
  <c r="D20" i="2049" s="1"/>
  <c r="L22" i="2049"/>
  <c r="D22" i="2049"/>
  <c r="R21" i="2049"/>
  <c r="L21" i="2049"/>
  <c r="D21" i="2049"/>
  <c r="R20" i="2049"/>
  <c r="R19" i="2049"/>
  <c r="L19" i="2049"/>
  <c r="D19" i="2049"/>
  <c r="R18" i="2049"/>
  <c r="L18" i="2049"/>
  <c r="D18" i="2049" s="1"/>
  <c r="R17" i="2049"/>
  <c r="L17" i="2049"/>
  <c r="D17" i="2049" s="1"/>
  <c r="R16" i="2049"/>
  <c r="R15" i="2049"/>
  <c r="L15" i="2049"/>
  <c r="D15" i="2049"/>
  <c r="R14" i="2049"/>
  <c r="D14" i="2049"/>
  <c r="R13" i="2049"/>
  <c r="D13" i="2049"/>
  <c r="R12" i="2049"/>
  <c r="L12" i="2049"/>
  <c r="D12" i="2049" s="1"/>
  <c r="R11" i="2049"/>
  <c r="L8" i="2049"/>
  <c r="D8" i="2049" s="1"/>
  <c r="L7" i="2049"/>
  <c r="D7" i="2049"/>
  <c r="R6" i="2049"/>
  <c r="L16" i="2049" s="1"/>
  <c r="D16" i="2049" s="1"/>
  <c r="R5" i="2049"/>
  <c r="R4" i="2049"/>
  <c r="R52" i="2048"/>
  <c r="R51" i="2048"/>
  <c r="D50" i="2048"/>
  <c r="R49" i="2048"/>
  <c r="D49" i="2048"/>
  <c r="R48" i="2048"/>
  <c r="D48" i="2048"/>
  <c r="D46" i="2048"/>
  <c r="D45" i="2048"/>
  <c r="R44" i="2048"/>
  <c r="D44" i="2048"/>
  <c r="R42" i="2048"/>
  <c r="L6" i="2048" s="1"/>
  <c r="D6" i="2048" s="1"/>
  <c r="D42" i="2048"/>
  <c r="R41" i="2048"/>
  <c r="D41" i="2048"/>
  <c r="R40" i="2048"/>
  <c r="L8" i="2048" s="1"/>
  <c r="D8" i="2048" s="1"/>
  <c r="D40" i="2048"/>
  <c r="R39" i="2048"/>
  <c r="H39" i="2048"/>
  <c r="D39" i="2048"/>
  <c r="R38" i="2048"/>
  <c r="H38" i="2048"/>
  <c r="D38" i="2048"/>
  <c r="R37" i="2048"/>
  <c r="H37" i="2048"/>
  <c r="D37" i="2048"/>
  <c r="R36" i="2048"/>
  <c r="L10" i="2048" s="1"/>
  <c r="D10" i="2048" s="1"/>
  <c r="H36" i="2048"/>
  <c r="D36" i="2048"/>
  <c r="R35" i="2048"/>
  <c r="H35" i="2048"/>
  <c r="D35" i="2048"/>
  <c r="R34" i="2048"/>
  <c r="H34" i="2048"/>
  <c r="D34" i="2048"/>
  <c r="R33" i="2048"/>
  <c r="L19" i="2048" s="1"/>
  <c r="D19" i="2048" s="1"/>
  <c r="R32" i="2048"/>
  <c r="R31" i="2048"/>
  <c r="R30" i="2048"/>
  <c r="R29" i="2048"/>
  <c r="R28" i="2048"/>
  <c r="L28" i="2048"/>
  <c r="D28" i="2048"/>
  <c r="R27" i="2048"/>
  <c r="L27" i="2048"/>
  <c r="D27" i="2048"/>
  <c r="R26" i="2048"/>
  <c r="L26" i="2048"/>
  <c r="D26" i="2048"/>
  <c r="R25" i="2048"/>
  <c r="L25" i="2048"/>
  <c r="D25" i="2048" s="1"/>
  <c r="R24" i="2048"/>
  <c r="L24" i="2048"/>
  <c r="D24" i="2048"/>
  <c r="R23" i="2048"/>
  <c r="L23" i="2048"/>
  <c r="D23" i="2048"/>
  <c r="R22" i="2048"/>
  <c r="L20" i="2048" s="1"/>
  <c r="D20" i="2048" s="1"/>
  <c r="L22" i="2048"/>
  <c r="D22" i="2048" s="1"/>
  <c r="R21" i="2048"/>
  <c r="L21" i="2048"/>
  <c r="D21" i="2048"/>
  <c r="R20" i="2048"/>
  <c r="R19" i="2048"/>
  <c r="R18" i="2048"/>
  <c r="L18" i="2048"/>
  <c r="D18" i="2048"/>
  <c r="R17" i="2048"/>
  <c r="L17" i="2048"/>
  <c r="D17" i="2048" s="1"/>
  <c r="R16" i="2048"/>
  <c r="L16" i="2048"/>
  <c r="D16" i="2048" s="1"/>
  <c r="R15" i="2048"/>
  <c r="L15" i="2048"/>
  <c r="D15" i="2048"/>
  <c r="R14" i="2048"/>
  <c r="D14" i="2048"/>
  <c r="R13" i="2048"/>
  <c r="D13" i="2048"/>
  <c r="R12" i="2048"/>
  <c r="L12" i="2048"/>
  <c r="D12" i="2048" s="1"/>
  <c r="R11" i="2048"/>
  <c r="L11" i="2048"/>
  <c r="D11" i="2048" s="1"/>
  <c r="L9" i="2048"/>
  <c r="D9" i="2048" s="1"/>
  <c r="L7" i="2048"/>
  <c r="D7" i="2048"/>
  <c r="R6" i="2048"/>
  <c r="R5" i="2048"/>
  <c r="R4" i="2048"/>
  <c r="R52" i="2047"/>
  <c r="R51" i="2047"/>
  <c r="D50" i="2047"/>
  <c r="R49" i="2047"/>
  <c r="D49" i="2047"/>
  <c r="R48" i="2047"/>
  <c r="D48" i="2047"/>
  <c r="D46" i="2047"/>
  <c r="D45" i="2047"/>
  <c r="R44" i="2047"/>
  <c r="D44" i="2047"/>
  <c r="R42" i="2047"/>
  <c r="D42" i="2047"/>
  <c r="R41" i="2047"/>
  <c r="L7" i="2047" s="1"/>
  <c r="D7" i="2047" s="1"/>
  <c r="D41" i="2047"/>
  <c r="R40" i="2047"/>
  <c r="D40" i="2047"/>
  <c r="R39" i="2047"/>
  <c r="H39" i="2047"/>
  <c r="D39" i="2047"/>
  <c r="R38" i="2047"/>
  <c r="H38" i="2047"/>
  <c r="D38" i="2047"/>
  <c r="R37" i="2047"/>
  <c r="H37" i="2047"/>
  <c r="D37" i="2047"/>
  <c r="R36" i="2047"/>
  <c r="L10" i="2047" s="1"/>
  <c r="D10" i="2047" s="1"/>
  <c r="H36" i="2047"/>
  <c r="G49" i="2047" s="1"/>
  <c r="D36" i="2047"/>
  <c r="R35" i="2047"/>
  <c r="L18" i="2047" s="1"/>
  <c r="D18" i="2047" s="1"/>
  <c r="H35" i="2047"/>
  <c r="D35" i="2047"/>
  <c r="R34" i="2047"/>
  <c r="H34" i="2047"/>
  <c r="D34" i="2047"/>
  <c r="R33" i="2047"/>
  <c r="R32" i="2047"/>
  <c r="L11" i="2047" s="1"/>
  <c r="D11" i="2047" s="1"/>
  <c r="R31" i="2047"/>
  <c r="R30" i="2047"/>
  <c r="R29" i="2047"/>
  <c r="R28" i="2047"/>
  <c r="L28" i="2047"/>
  <c r="D28" i="2047"/>
  <c r="R27" i="2047"/>
  <c r="L27" i="2047"/>
  <c r="D27" i="2047"/>
  <c r="R26" i="2047"/>
  <c r="L26" i="2047"/>
  <c r="D26" i="2047"/>
  <c r="R25" i="2047"/>
  <c r="L25" i="2047"/>
  <c r="D25" i="2047"/>
  <c r="R24" i="2047"/>
  <c r="L24" i="2047"/>
  <c r="D24" i="2047"/>
  <c r="R23" i="2047"/>
  <c r="L23" i="2047"/>
  <c r="D23" i="2047"/>
  <c r="R22" i="2047"/>
  <c r="L20" i="2047" s="1"/>
  <c r="D20" i="2047" s="1"/>
  <c r="L22" i="2047"/>
  <c r="D22" i="2047" s="1"/>
  <c r="R21" i="2047"/>
  <c r="L21" i="2047"/>
  <c r="D21" i="2047"/>
  <c r="R20" i="2047"/>
  <c r="R19" i="2047"/>
  <c r="L19" i="2047"/>
  <c r="D19" i="2047" s="1"/>
  <c r="R18" i="2047"/>
  <c r="R17" i="2047"/>
  <c r="L17" i="2047"/>
  <c r="D17" i="2047" s="1"/>
  <c r="R16" i="2047"/>
  <c r="R15" i="2047"/>
  <c r="R14" i="2047"/>
  <c r="D14" i="2047"/>
  <c r="R13" i="2047"/>
  <c r="D13" i="2047"/>
  <c r="R12" i="2047"/>
  <c r="L12" i="2047"/>
  <c r="D12" i="2047" s="1"/>
  <c r="R11" i="2047"/>
  <c r="L9" i="2047"/>
  <c r="D9" i="2047" s="1"/>
  <c r="L8" i="2047"/>
  <c r="D8" i="2047"/>
  <c r="R6" i="2047"/>
  <c r="L16" i="2047" s="1"/>
  <c r="D16" i="2047" s="1"/>
  <c r="L6" i="2047"/>
  <c r="D6" i="2047"/>
  <c r="R5" i="2047"/>
  <c r="R4" i="2047"/>
  <c r="L15" i="2047" s="1"/>
  <c r="D15" i="2047" s="1"/>
  <c r="R52" i="2046"/>
  <c r="R51" i="2046"/>
  <c r="D50" i="2046"/>
  <c r="R49" i="2046"/>
  <c r="G49" i="2046"/>
  <c r="D49" i="2046"/>
  <c r="R48" i="2046"/>
  <c r="D48" i="2046"/>
  <c r="D46" i="2046"/>
  <c r="D45" i="2046"/>
  <c r="D44" i="2046"/>
  <c r="R42" i="2046"/>
  <c r="D42" i="2046"/>
  <c r="R41" i="2046"/>
  <c r="L7" i="2046" s="1"/>
  <c r="D7" i="2046" s="1"/>
  <c r="D41" i="2046"/>
  <c r="R40" i="2046"/>
  <c r="D40" i="2046"/>
  <c r="R39" i="2046"/>
  <c r="D39" i="2046"/>
  <c r="R38" i="2046"/>
  <c r="D38" i="2046"/>
  <c r="R37" i="2046"/>
  <c r="D37" i="2046"/>
  <c r="R36" i="2046"/>
  <c r="D36" i="2046"/>
  <c r="R35" i="2046"/>
  <c r="L19" i="2046" s="1"/>
  <c r="D19" i="2046" s="1"/>
  <c r="D35" i="2046"/>
  <c r="D54" i="2046" s="1"/>
  <c r="H14" i="2046" s="1"/>
  <c r="R34" i="2046"/>
  <c r="D34" i="2046"/>
  <c r="R33" i="2046"/>
  <c r="L23" i="2046" s="1"/>
  <c r="D23" i="2046" s="1"/>
  <c r="R32" i="2046"/>
  <c r="R31" i="2046"/>
  <c r="R30" i="2046"/>
  <c r="R29" i="2046"/>
  <c r="R28" i="2046"/>
  <c r="D28" i="2046"/>
  <c r="R27" i="2046"/>
  <c r="D27" i="2046"/>
  <c r="R26" i="2046"/>
  <c r="L26" i="2046"/>
  <c r="D26" i="2046" s="1"/>
  <c r="R25" i="2046"/>
  <c r="L25" i="2046"/>
  <c r="D25" i="2046"/>
  <c r="R24" i="2046"/>
  <c r="D24" i="2046"/>
  <c r="R23" i="2046"/>
  <c r="R22" i="2046"/>
  <c r="L22" i="2046"/>
  <c r="D22" i="2046" s="1"/>
  <c r="R21" i="2046"/>
  <c r="D21" i="2046"/>
  <c r="R20" i="2046"/>
  <c r="L20" i="2046"/>
  <c r="D20" i="2046" s="1"/>
  <c r="R19" i="2046"/>
  <c r="R18" i="2046"/>
  <c r="D18" i="2046"/>
  <c r="R17" i="2046"/>
  <c r="D17" i="2046"/>
  <c r="R16" i="2046"/>
  <c r="L16" i="2046"/>
  <c r="D16" i="2046" s="1"/>
  <c r="S15" i="2046"/>
  <c r="R15" i="2046"/>
  <c r="D15" i="2046"/>
  <c r="S14" i="2046"/>
  <c r="R14" i="2046"/>
  <c r="D14" i="2046"/>
  <c r="R13" i="2046"/>
  <c r="D13" i="2046"/>
  <c r="R12" i="2046"/>
  <c r="L12" i="2046"/>
  <c r="D12" i="2046" s="1"/>
  <c r="R11" i="2046"/>
  <c r="L11" i="2046"/>
  <c r="D11" i="2046" s="1"/>
  <c r="L10" i="2046"/>
  <c r="D10" i="2046"/>
  <c r="L9" i="2046"/>
  <c r="D9" i="2046"/>
  <c r="L8" i="2046"/>
  <c r="D8" i="2046" s="1"/>
  <c r="R6" i="2046"/>
  <c r="L6" i="2046"/>
  <c r="D6" i="2046" s="1"/>
  <c r="R5" i="2046"/>
  <c r="R4" i="2046"/>
  <c r="R52" i="2045"/>
  <c r="R51" i="2045"/>
  <c r="D50" i="2045"/>
  <c r="R49" i="2045"/>
  <c r="D49" i="2045"/>
  <c r="R48" i="2045"/>
  <c r="D48" i="2045"/>
  <c r="D46" i="2045"/>
  <c r="D45" i="2045"/>
  <c r="R44" i="2045"/>
  <c r="D44" i="2045"/>
  <c r="R42" i="2045"/>
  <c r="L6" i="2045" s="1"/>
  <c r="D6" i="2045" s="1"/>
  <c r="D42" i="2045"/>
  <c r="R41" i="2045"/>
  <c r="D41" i="2045"/>
  <c r="R40" i="2045"/>
  <c r="L8" i="2045" s="1"/>
  <c r="D8" i="2045" s="1"/>
  <c r="D40" i="2045"/>
  <c r="R39" i="2045"/>
  <c r="H39" i="2045"/>
  <c r="D39" i="2045"/>
  <c r="R38" i="2045"/>
  <c r="L9" i="2045" s="1"/>
  <c r="D9" i="2045" s="1"/>
  <c r="H38" i="2045"/>
  <c r="D38" i="2045"/>
  <c r="R37" i="2045"/>
  <c r="H37" i="2045"/>
  <c r="D37" i="2045"/>
  <c r="R36" i="2045"/>
  <c r="L10" i="2045" s="1"/>
  <c r="D10" i="2045" s="1"/>
  <c r="H36" i="2045"/>
  <c r="D36" i="2045"/>
  <c r="R35" i="2045"/>
  <c r="H35" i="2045"/>
  <c r="D35" i="2045"/>
  <c r="R34" i="2045"/>
  <c r="H34" i="2045"/>
  <c r="D34" i="2045"/>
  <c r="R33" i="2045"/>
  <c r="R32" i="2045"/>
  <c r="R31" i="2045"/>
  <c r="R30" i="2045"/>
  <c r="R29" i="2045"/>
  <c r="R28" i="2045"/>
  <c r="L28" i="2045"/>
  <c r="D28" i="2045"/>
  <c r="R27" i="2045"/>
  <c r="L27" i="2045"/>
  <c r="D27" i="2045"/>
  <c r="R26" i="2045"/>
  <c r="L26" i="2045"/>
  <c r="D26" i="2045"/>
  <c r="R25" i="2045"/>
  <c r="L25" i="2045"/>
  <c r="D25" i="2045" s="1"/>
  <c r="R24" i="2045"/>
  <c r="L24" i="2045"/>
  <c r="D24" i="2045"/>
  <c r="R23" i="2045"/>
  <c r="L23" i="2045"/>
  <c r="D23" i="2045"/>
  <c r="R22" i="2045"/>
  <c r="L20" i="2045" s="1"/>
  <c r="D20" i="2045" s="1"/>
  <c r="L22" i="2045"/>
  <c r="D22" i="2045" s="1"/>
  <c r="R21" i="2045"/>
  <c r="L21" i="2045"/>
  <c r="D21" i="2045" s="1"/>
  <c r="R20" i="2045"/>
  <c r="R19" i="2045"/>
  <c r="L19" i="2045"/>
  <c r="D19" i="2045" s="1"/>
  <c r="R18" i="2045"/>
  <c r="L18" i="2045"/>
  <c r="D18" i="2045" s="1"/>
  <c r="R17" i="2045"/>
  <c r="L17" i="2045"/>
  <c r="D17" i="2045" s="1"/>
  <c r="R16" i="2045"/>
  <c r="L16" i="2045"/>
  <c r="D16" i="2045" s="1"/>
  <c r="R15" i="2045"/>
  <c r="L15" i="2045"/>
  <c r="D15" i="2045"/>
  <c r="R14" i="2045"/>
  <c r="D14" i="2045"/>
  <c r="R13" i="2045"/>
  <c r="D13" i="2045"/>
  <c r="R12" i="2045"/>
  <c r="L12" i="2045"/>
  <c r="D12" i="2045" s="1"/>
  <c r="R11" i="2045"/>
  <c r="L11" i="2045"/>
  <c r="D11" i="2045" s="1"/>
  <c r="L7" i="2045"/>
  <c r="D7" i="2045"/>
  <c r="R6" i="2045"/>
  <c r="R5" i="2045"/>
  <c r="R4" i="2045"/>
  <c r="R52" i="2044"/>
  <c r="R51" i="2044"/>
  <c r="D50" i="2044"/>
  <c r="R49" i="2044"/>
  <c r="D49" i="2044"/>
  <c r="R48" i="2044"/>
  <c r="D48" i="2044"/>
  <c r="D46" i="2044"/>
  <c r="D45" i="2044"/>
  <c r="R44" i="2044"/>
  <c r="D44" i="2044"/>
  <c r="R42" i="2044"/>
  <c r="D42" i="2044"/>
  <c r="R41" i="2044"/>
  <c r="D41" i="2044"/>
  <c r="R40" i="2044"/>
  <c r="L8" i="2044" s="1"/>
  <c r="D8" i="2044" s="1"/>
  <c r="D40" i="2044"/>
  <c r="R39" i="2044"/>
  <c r="H39" i="2044"/>
  <c r="D39" i="2044"/>
  <c r="R38" i="2044"/>
  <c r="H38" i="2044"/>
  <c r="D38" i="2044"/>
  <c r="R37" i="2044"/>
  <c r="H37" i="2044"/>
  <c r="D37" i="2044"/>
  <c r="R36" i="2044"/>
  <c r="H36" i="2044"/>
  <c r="D36" i="2044"/>
  <c r="R35" i="2044"/>
  <c r="L18" i="2044" s="1"/>
  <c r="D18" i="2044" s="1"/>
  <c r="H35" i="2044"/>
  <c r="D35" i="2044"/>
  <c r="R34" i="2044"/>
  <c r="L12" i="2044" s="1"/>
  <c r="D12" i="2044" s="1"/>
  <c r="H34" i="2044"/>
  <c r="D34" i="2044"/>
  <c r="R33" i="2044"/>
  <c r="L19" i="2044" s="1"/>
  <c r="D19" i="2044" s="1"/>
  <c r="R32" i="2044"/>
  <c r="R31" i="2044"/>
  <c r="R30" i="2044"/>
  <c r="R29" i="2044"/>
  <c r="R28" i="2044"/>
  <c r="L28" i="2044"/>
  <c r="D28" i="2044"/>
  <c r="R27" i="2044"/>
  <c r="L27" i="2044"/>
  <c r="D27" i="2044"/>
  <c r="R26" i="2044"/>
  <c r="L26" i="2044"/>
  <c r="D26" i="2044"/>
  <c r="R25" i="2044"/>
  <c r="L25" i="2044"/>
  <c r="D25" i="2044"/>
  <c r="R24" i="2044"/>
  <c r="L24" i="2044"/>
  <c r="D24" i="2044"/>
  <c r="R23" i="2044"/>
  <c r="L23" i="2044"/>
  <c r="D23" i="2044" s="1"/>
  <c r="R22" i="2044"/>
  <c r="L22" i="2044"/>
  <c r="D22" i="2044"/>
  <c r="R21" i="2044"/>
  <c r="L17" i="2044" s="1"/>
  <c r="D17" i="2044" s="1"/>
  <c r="L21" i="2044"/>
  <c r="D21" i="2044" s="1"/>
  <c r="R20" i="2044"/>
  <c r="L20" i="2044"/>
  <c r="D20" i="2044" s="1"/>
  <c r="R19" i="2044"/>
  <c r="R18" i="2044"/>
  <c r="R17" i="2044"/>
  <c r="R16" i="2044"/>
  <c r="L16" i="2044"/>
  <c r="D16" i="2044"/>
  <c r="R15" i="2044"/>
  <c r="L15" i="2044"/>
  <c r="D15" i="2044" s="1"/>
  <c r="R14" i="2044"/>
  <c r="D14" i="2044"/>
  <c r="R13" i="2044"/>
  <c r="D13" i="2044"/>
  <c r="R12" i="2044"/>
  <c r="R11" i="2044"/>
  <c r="L11" i="2044"/>
  <c r="D11" i="2044"/>
  <c r="L10" i="2044"/>
  <c r="D10" i="2044"/>
  <c r="L9" i="2044"/>
  <c r="D9" i="2044" s="1"/>
  <c r="L7" i="2044"/>
  <c r="D7" i="2044"/>
  <c r="R6" i="2044"/>
  <c r="L6" i="2044"/>
  <c r="D6" i="2044" s="1"/>
  <c r="R5" i="2044"/>
  <c r="R4" i="2044"/>
  <c r="R52" i="2043"/>
  <c r="R51" i="2043"/>
  <c r="D50" i="2043"/>
  <c r="R49" i="2043"/>
  <c r="D49" i="2043"/>
  <c r="R48" i="2043"/>
  <c r="D48" i="2043"/>
  <c r="D46" i="2043"/>
  <c r="D45" i="2043"/>
  <c r="R44" i="2043"/>
  <c r="D44" i="2043"/>
  <c r="R42" i="2043"/>
  <c r="L6" i="2043" s="1"/>
  <c r="D6" i="2043" s="1"/>
  <c r="D42" i="2043"/>
  <c r="R41" i="2043"/>
  <c r="D41" i="2043"/>
  <c r="R40" i="2043"/>
  <c r="L8" i="2043" s="1"/>
  <c r="D8" i="2043" s="1"/>
  <c r="D40" i="2043"/>
  <c r="R39" i="2043"/>
  <c r="H39" i="2043"/>
  <c r="D39" i="2043"/>
  <c r="R38" i="2043"/>
  <c r="H38" i="2043"/>
  <c r="D38" i="2043"/>
  <c r="R37" i="2043"/>
  <c r="H37" i="2043"/>
  <c r="D37" i="2043"/>
  <c r="R36" i="2043"/>
  <c r="H36" i="2043"/>
  <c r="D36" i="2043"/>
  <c r="R35" i="2043"/>
  <c r="H35" i="2043"/>
  <c r="D35" i="2043"/>
  <c r="R34" i="2043"/>
  <c r="L12" i="2043" s="1"/>
  <c r="D12" i="2043" s="1"/>
  <c r="D34" i="2043"/>
  <c r="R33" i="2043"/>
  <c r="L19" i="2043" s="1"/>
  <c r="D19" i="2043" s="1"/>
  <c r="R32" i="2043"/>
  <c r="R31" i="2043"/>
  <c r="R30" i="2043"/>
  <c r="R29" i="2043"/>
  <c r="R28" i="2043"/>
  <c r="L28" i="2043"/>
  <c r="D28" i="2043"/>
  <c r="R27" i="2043"/>
  <c r="L27" i="2043"/>
  <c r="D27" i="2043"/>
  <c r="R26" i="2043"/>
  <c r="L26" i="2043"/>
  <c r="D26" i="2043" s="1"/>
  <c r="R25" i="2043"/>
  <c r="L25" i="2043"/>
  <c r="D25" i="2043" s="1"/>
  <c r="R24" i="2043"/>
  <c r="L24" i="2043"/>
  <c r="D24" i="2043" s="1"/>
  <c r="R23" i="2043"/>
  <c r="L23" i="2043"/>
  <c r="D23" i="2043"/>
  <c r="R22" i="2043"/>
  <c r="L22" i="2043"/>
  <c r="D22" i="2043"/>
  <c r="R21" i="2043"/>
  <c r="L17" i="2043" s="1"/>
  <c r="D17" i="2043" s="1"/>
  <c r="L21" i="2043"/>
  <c r="D21" i="2043" s="1"/>
  <c r="R20" i="2043"/>
  <c r="L20" i="2043"/>
  <c r="D20" i="2043" s="1"/>
  <c r="R19" i="2043"/>
  <c r="R18" i="2043"/>
  <c r="L18" i="2043"/>
  <c r="D18" i="2043" s="1"/>
  <c r="R17" i="2043"/>
  <c r="R16" i="2043"/>
  <c r="L16" i="2043"/>
  <c r="D16" i="2043"/>
  <c r="R15" i="2043"/>
  <c r="L15" i="2043"/>
  <c r="D15" i="2043" s="1"/>
  <c r="R14" i="2043"/>
  <c r="R13" i="2043"/>
  <c r="D13" i="2043"/>
  <c r="R12" i="2043"/>
  <c r="R11" i="2043"/>
  <c r="L11" i="2043"/>
  <c r="D11" i="2043"/>
  <c r="L10" i="2043"/>
  <c r="D10" i="2043"/>
  <c r="L9" i="2043"/>
  <c r="D9" i="2043" s="1"/>
  <c r="L7" i="2043"/>
  <c r="D7" i="2043" s="1"/>
  <c r="R6" i="2043"/>
  <c r="R5" i="2043"/>
  <c r="R4" i="2043"/>
  <c r="R52" i="2042"/>
  <c r="R51" i="2042"/>
  <c r="D50" i="2042"/>
  <c r="R49" i="2042"/>
  <c r="G49" i="2042"/>
  <c r="D49" i="2042"/>
  <c r="R48" i="2042"/>
  <c r="D48" i="2042"/>
  <c r="D46" i="2042"/>
  <c r="D45" i="2042"/>
  <c r="D44" i="2042"/>
  <c r="R42" i="2042"/>
  <c r="L6" i="2042" s="1"/>
  <c r="D6" i="2042" s="1"/>
  <c r="D42" i="2042"/>
  <c r="R41" i="2042"/>
  <c r="L7" i="2042" s="1"/>
  <c r="D7" i="2042" s="1"/>
  <c r="D41" i="2042"/>
  <c r="R40" i="2042"/>
  <c r="D40" i="2042"/>
  <c r="R39" i="2042"/>
  <c r="D39" i="2042"/>
  <c r="R38" i="2042"/>
  <c r="D38" i="2042"/>
  <c r="R37" i="2042"/>
  <c r="D37" i="2042"/>
  <c r="R36" i="2042"/>
  <c r="D36" i="2042"/>
  <c r="R35" i="2042"/>
  <c r="D35" i="2042"/>
  <c r="R34" i="2042"/>
  <c r="D34" i="2042"/>
  <c r="D54" i="2042" s="1"/>
  <c r="H14" i="2042" s="1"/>
  <c r="R33" i="2042"/>
  <c r="L23" i="2042" s="1"/>
  <c r="D23" i="2042" s="1"/>
  <c r="R32" i="2042"/>
  <c r="R31" i="2042"/>
  <c r="R30" i="2042"/>
  <c r="R29" i="2042"/>
  <c r="R28" i="2042"/>
  <c r="L16" i="2042" s="1"/>
  <c r="D16" i="2042" s="1"/>
  <c r="D28" i="2042"/>
  <c r="R27" i="2042"/>
  <c r="D27" i="2042"/>
  <c r="R26" i="2042"/>
  <c r="L26" i="2042"/>
  <c r="D26" i="2042" s="1"/>
  <c r="R25" i="2042"/>
  <c r="L25" i="2042"/>
  <c r="D25" i="2042"/>
  <c r="R24" i="2042"/>
  <c r="D24" i="2042"/>
  <c r="R23" i="2042"/>
  <c r="R22" i="2042"/>
  <c r="L22" i="2042"/>
  <c r="D22" i="2042"/>
  <c r="R21" i="2042"/>
  <c r="D21" i="2042"/>
  <c r="R20" i="2042"/>
  <c r="L20" i="2042"/>
  <c r="D20" i="2042" s="1"/>
  <c r="R19" i="2042"/>
  <c r="L19" i="2042"/>
  <c r="D19" i="2042"/>
  <c r="R18" i="2042"/>
  <c r="D18" i="2042"/>
  <c r="R17" i="2042"/>
  <c r="D17" i="2042"/>
  <c r="R16" i="2042"/>
  <c r="S15" i="2042"/>
  <c r="R15" i="2042"/>
  <c r="D15" i="2042"/>
  <c r="S14" i="2042"/>
  <c r="R14" i="2042"/>
  <c r="D14" i="2042"/>
  <c r="R13" i="2042"/>
  <c r="D13" i="2042"/>
  <c r="R12" i="2042"/>
  <c r="L12" i="2042"/>
  <c r="D12" i="2042" s="1"/>
  <c r="R11" i="2042"/>
  <c r="L11" i="2042"/>
  <c r="D11" i="2042"/>
  <c r="L10" i="2042"/>
  <c r="D10" i="2042" s="1"/>
  <c r="L9" i="2042"/>
  <c r="D9" i="2042"/>
  <c r="L8" i="2042"/>
  <c r="D8" i="2042"/>
  <c r="R6" i="2042"/>
  <c r="R5" i="2042"/>
  <c r="R4" i="2042"/>
  <c r="R52" i="2041"/>
  <c r="R51" i="2041"/>
  <c r="D50" i="2041"/>
  <c r="R49" i="2041"/>
  <c r="D49" i="2041"/>
  <c r="R48" i="2041"/>
  <c r="D48" i="2041"/>
  <c r="D46" i="2041"/>
  <c r="D45" i="2041"/>
  <c r="R44" i="2041"/>
  <c r="L28" i="2041" s="1"/>
  <c r="D28" i="2041" s="1"/>
  <c r="D44" i="2041"/>
  <c r="R42" i="2041"/>
  <c r="D42" i="2041"/>
  <c r="R41" i="2041"/>
  <c r="D41" i="2041"/>
  <c r="R40" i="2041"/>
  <c r="L8" i="2041" s="1"/>
  <c r="D8" i="2041" s="1"/>
  <c r="D40" i="2041"/>
  <c r="R39" i="2041"/>
  <c r="H39" i="2041"/>
  <c r="D39" i="2041"/>
  <c r="R38" i="2041"/>
  <c r="H38" i="2041"/>
  <c r="D38" i="2041"/>
  <c r="R37" i="2041"/>
  <c r="H37" i="2041"/>
  <c r="D37" i="2041"/>
  <c r="R36" i="2041"/>
  <c r="H36" i="2041"/>
  <c r="D36" i="2041"/>
  <c r="R35" i="2041"/>
  <c r="H35" i="2041"/>
  <c r="D35" i="2041"/>
  <c r="R34" i="2041"/>
  <c r="H34" i="2041"/>
  <c r="D34" i="2041"/>
  <c r="R33" i="2041"/>
  <c r="R32" i="2041"/>
  <c r="R31" i="2041"/>
  <c r="R30" i="2041"/>
  <c r="R29" i="2041"/>
  <c r="R28" i="2041"/>
  <c r="R27" i="2041"/>
  <c r="L27" i="2041"/>
  <c r="D27" i="2041"/>
  <c r="R26" i="2041"/>
  <c r="L26" i="2041"/>
  <c r="D26" i="2041" s="1"/>
  <c r="R25" i="2041"/>
  <c r="L25" i="2041"/>
  <c r="D25" i="2041"/>
  <c r="R24" i="2041"/>
  <c r="L24" i="2041"/>
  <c r="D24" i="2041" s="1"/>
  <c r="R23" i="2041"/>
  <c r="L23" i="2041"/>
  <c r="D23" i="2041" s="1"/>
  <c r="R22" i="2041"/>
  <c r="L20" i="2041" s="1"/>
  <c r="D20" i="2041" s="1"/>
  <c r="L22" i="2041"/>
  <c r="D22" i="2041"/>
  <c r="R21" i="2041"/>
  <c r="L21" i="2041"/>
  <c r="D21" i="2041"/>
  <c r="R20" i="2041"/>
  <c r="R19" i="2041"/>
  <c r="L19" i="2041"/>
  <c r="D19" i="2041"/>
  <c r="R18" i="2041"/>
  <c r="L18" i="2041"/>
  <c r="D18" i="2041" s="1"/>
  <c r="R17" i="2041"/>
  <c r="L17" i="2041"/>
  <c r="D17" i="2041" s="1"/>
  <c r="R16" i="2041"/>
  <c r="R15" i="2041"/>
  <c r="L15" i="2041"/>
  <c r="D15" i="2041" s="1"/>
  <c r="R14" i="2041"/>
  <c r="D14" i="2041"/>
  <c r="R13" i="2041"/>
  <c r="D13" i="2041"/>
  <c r="R12" i="2041"/>
  <c r="L12" i="2041"/>
  <c r="D12" i="2041" s="1"/>
  <c r="R11" i="2041"/>
  <c r="L11" i="2041"/>
  <c r="D11" i="2041" s="1"/>
  <c r="L10" i="2041"/>
  <c r="D10" i="2041"/>
  <c r="L9" i="2041"/>
  <c r="D9" i="2041" s="1"/>
  <c r="L7" i="2041"/>
  <c r="D7" i="2041" s="1"/>
  <c r="R6" i="2041"/>
  <c r="L16" i="2041" s="1"/>
  <c r="D16" i="2041" s="1"/>
  <c r="L6" i="2041"/>
  <c r="D6" i="2041" s="1"/>
  <c r="R5" i="2041"/>
  <c r="R4" i="2041"/>
  <c r="R52" i="2040"/>
  <c r="R51" i="2040"/>
  <c r="D50" i="2040"/>
  <c r="R49" i="2040"/>
  <c r="D49" i="2040"/>
  <c r="R48" i="2040"/>
  <c r="D48" i="2040"/>
  <c r="D46" i="2040"/>
  <c r="D45" i="2040"/>
  <c r="R44" i="2040"/>
  <c r="L28" i="2040" s="1"/>
  <c r="D28" i="2040" s="1"/>
  <c r="D44" i="2040"/>
  <c r="R42" i="2040"/>
  <c r="D42" i="2040"/>
  <c r="R41" i="2040"/>
  <c r="D41" i="2040"/>
  <c r="R40" i="2040"/>
  <c r="L8" i="2040" s="1"/>
  <c r="D8" i="2040" s="1"/>
  <c r="D40" i="2040"/>
  <c r="R39" i="2040"/>
  <c r="H39" i="2040"/>
  <c r="D39" i="2040"/>
  <c r="R38" i="2040"/>
  <c r="H38" i="2040"/>
  <c r="D38" i="2040"/>
  <c r="R37" i="2040"/>
  <c r="H37" i="2040"/>
  <c r="D37" i="2040"/>
  <c r="R36" i="2040"/>
  <c r="H36" i="2040"/>
  <c r="D36" i="2040"/>
  <c r="R35" i="2040"/>
  <c r="H35" i="2040"/>
  <c r="D35" i="2040"/>
  <c r="R34" i="2040"/>
  <c r="L12" i="2040" s="1"/>
  <c r="D12" i="2040" s="1"/>
  <c r="H34" i="2040"/>
  <c r="D34" i="2040"/>
  <c r="R33" i="2040"/>
  <c r="L19" i="2040" s="1"/>
  <c r="D19" i="2040" s="1"/>
  <c r="R32" i="2040"/>
  <c r="R31" i="2040"/>
  <c r="R30" i="2040"/>
  <c r="R29" i="2040"/>
  <c r="R28" i="2040"/>
  <c r="R27" i="2040"/>
  <c r="L27" i="2040"/>
  <c r="D27" i="2040"/>
  <c r="R26" i="2040"/>
  <c r="L26" i="2040"/>
  <c r="D26" i="2040" s="1"/>
  <c r="R25" i="2040"/>
  <c r="L25" i="2040"/>
  <c r="D25" i="2040" s="1"/>
  <c r="R24" i="2040"/>
  <c r="L24" i="2040"/>
  <c r="D24" i="2040"/>
  <c r="R23" i="2040"/>
  <c r="L23" i="2040"/>
  <c r="D23" i="2040"/>
  <c r="R22" i="2040"/>
  <c r="L20" i="2040" s="1"/>
  <c r="D20" i="2040" s="1"/>
  <c r="L22" i="2040"/>
  <c r="D22" i="2040" s="1"/>
  <c r="R21" i="2040"/>
  <c r="L21" i="2040"/>
  <c r="D21" i="2040"/>
  <c r="R20" i="2040"/>
  <c r="R19" i="2040"/>
  <c r="R18" i="2040"/>
  <c r="L18" i="2040"/>
  <c r="D18" i="2040" s="1"/>
  <c r="R17" i="2040"/>
  <c r="L17" i="2040"/>
  <c r="D17" i="2040" s="1"/>
  <c r="R16" i="2040"/>
  <c r="R15" i="2040"/>
  <c r="L15" i="2040"/>
  <c r="D15" i="2040"/>
  <c r="R14" i="2040"/>
  <c r="D14" i="2040"/>
  <c r="R13" i="2040"/>
  <c r="D13" i="2040"/>
  <c r="R12" i="2040"/>
  <c r="R11" i="2040"/>
  <c r="L11" i="2040"/>
  <c r="D11" i="2040"/>
  <c r="L10" i="2040"/>
  <c r="D10" i="2040" s="1"/>
  <c r="L9" i="2040"/>
  <c r="D9" i="2040" s="1"/>
  <c r="L7" i="2040"/>
  <c r="D7" i="2040"/>
  <c r="R6" i="2040"/>
  <c r="L16" i="2040" s="1"/>
  <c r="D16" i="2040" s="1"/>
  <c r="L6" i="2040"/>
  <c r="D6" i="2040"/>
  <c r="R5" i="2040"/>
  <c r="R4" i="2040"/>
  <c r="R52" i="2039"/>
  <c r="R51" i="2039"/>
  <c r="D50" i="2039"/>
  <c r="R49" i="2039"/>
  <c r="D49" i="2039"/>
  <c r="R48" i="2039"/>
  <c r="D48" i="2039"/>
  <c r="D46" i="2039"/>
  <c r="D45" i="2039"/>
  <c r="R44" i="2039"/>
  <c r="L28" i="2039" s="1"/>
  <c r="D28" i="2039" s="1"/>
  <c r="D44" i="2039"/>
  <c r="R42" i="2039"/>
  <c r="D42" i="2039"/>
  <c r="R41" i="2039"/>
  <c r="L7" i="2039" s="1"/>
  <c r="D7" i="2039" s="1"/>
  <c r="D41" i="2039"/>
  <c r="R40" i="2039"/>
  <c r="D40" i="2039"/>
  <c r="R39" i="2039"/>
  <c r="H39" i="2039"/>
  <c r="D39" i="2039"/>
  <c r="R38" i="2039"/>
  <c r="H38" i="2039"/>
  <c r="D38" i="2039"/>
  <c r="R37" i="2039"/>
  <c r="H37" i="2039"/>
  <c r="D37" i="2039"/>
  <c r="R36" i="2039"/>
  <c r="L10" i="2039" s="1"/>
  <c r="D10" i="2039" s="1"/>
  <c r="H36" i="2039"/>
  <c r="D36" i="2039"/>
  <c r="R35" i="2039"/>
  <c r="L18" i="2039" s="1"/>
  <c r="D18" i="2039" s="1"/>
  <c r="H35" i="2039"/>
  <c r="D35" i="2039"/>
  <c r="R34" i="2039"/>
  <c r="H34" i="2039"/>
  <c r="D34" i="2039"/>
  <c r="R33" i="2039"/>
  <c r="L19" i="2039" s="1"/>
  <c r="D19" i="2039" s="1"/>
  <c r="R32" i="2039"/>
  <c r="L11" i="2039" s="1"/>
  <c r="D11" i="2039" s="1"/>
  <c r="R31" i="2039"/>
  <c r="R30" i="2039"/>
  <c r="R29" i="2039"/>
  <c r="R28" i="2039"/>
  <c r="R27" i="2039"/>
  <c r="L27" i="2039"/>
  <c r="D27" i="2039" s="1"/>
  <c r="R26" i="2039"/>
  <c r="R25" i="2039"/>
  <c r="D25" i="2039"/>
  <c r="R24" i="2039"/>
  <c r="D24" i="2039"/>
  <c r="R23" i="2039"/>
  <c r="L23" i="2039"/>
  <c r="D23" i="2039" s="1"/>
  <c r="R22" i="2039"/>
  <c r="L22" i="2039"/>
  <c r="D22" i="2039" s="1"/>
  <c r="R21" i="2039"/>
  <c r="L21" i="2039"/>
  <c r="D21" i="2039"/>
  <c r="R20" i="2039"/>
  <c r="L20" i="2039"/>
  <c r="D20" i="2039" s="1"/>
  <c r="R19" i="2039"/>
  <c r="R18" i="2039"/>
  <c r="R17" i="2039"/>
  <c r="L17" i="2039"/>
  <c r="D17" i="2039"/>
  <c r="R16" i="2039"/>
  <c r="R15" i="2039"/>
  <c r="L15" i="2039"/>
  <c r="D15" i="2039" s="1"/>
  <c r="R14" i="2039"/>
  <c r="D14" i="2039"/>
  <c r="R13" i="2039"/>
  <c r="D13" i="2039"/>
  <c r="R12" i="2039"/>
  <c r="L12" i="2039"/>
  <c r="D12" i="2039"/>
  <c r="R11" i="2039"/>
  <c r="L9" i="2039"/>
  <c r="D9" i="2039" s="1"/>
  <c r="L8" i="2039"/>
  <c r="D8" i="2039" s="1"/>
  <c r="R6" i="2039"/>
  <c r="L16" i="2039" s="1"/>
  <c r="D16" i="2039" s="1"/>
  <c r="L6" i="2039"/>
  <c r="D6" i="2039" s="1"/>
  <c r="R5" i="2039"/>
  <c r="R4" i="2039"/>
  <c r="D54" i="2038"/>
  <c r="H14" i="2038" s="1"/>
  <c r="R52" i="2038"/>
  <c r="R51" i="2038"/>
  <c r="D50" i="2038"/>
  <c r="R49" i="2038"/>
  <c r="G49" i="2038"/>
  <c r="D49" i="2038"/>
  <c r="R48" i="2038"/>
  <c r="D48" i="2038"/>
  <c r="D46" i="2038"/>
  <c r="D45" i="2038"/>
  <c r="D44" i="2038"/>
  <c r="R42" i="2038"/>
  <c r="L6" i="2038" s="1"/>
  <c r="D6" i="2038" s="1"/>
  <c r="D42" i="2038"/>
  <c r="R41" i="2038"/>
  <c r="L7" i="2038" s="1"/>
  <c r="D7" i="2038" s="1"/>
  <c r="D41" i="2038"/>
  <c r="R40" i="2038"/>
  <c r="D40" i="2038"/>
  <c r="R39" i="2038"/>
  <c r="D39" i="2038"/>
  <c r="R38" i="2038"/>
  <c r="D38" i="2038"/>
  <c r="R37" i="2038"/>
  <c r="D37" i="2038"/>
  <c r="R36" i="2038"/>
  <c r="L10" i="2038" s="1"/>
  <c r="D10" i="2038" s="1"/>
  <c r="D36" i="2038"/>
  <c r="R35" i="2038"/>
  <c r="D35" i="2038"/>
  <c r="R34" i="2038"/>
  <c r="L12" i="2038" s="1"/>
  <c r="D12" i="2038" s="1"/>
  <c r="D34" i="2038"/>
  <c r="R33" i="2038"/>
  <c r="L23" i="2038" s="1"/>
  <c r="D23" i="2038" s="1"/>
  <c r="R32" i="2038"/>
  <c r="L11" i="2038" s="1"/>
  <c r="D11" i="2038" s="1"/>
  <c r="R31" i="2038"/>
  <c r="R30" i="2038"/>
  <c r="R29" i="2038"/>
  <c r="R28" i="2038"/>
  <c r="D28" i="2038"/>
  <c r="R27" i="2038"/>
  <c r="D27" i="2038"/>
  <c r="R26" i="2038"/>
  <c r="L26" i="2038"/>
  <c r="D26" i="2038"/>
  <c r="R25" i="2038"/>
  <c r="L25" i="2038"/>
  <c r="D25" i="2038"/>
  <c r="R24" i="2038"/>
  <c r="D24" i="2038"/>
  <c r="R23" i="2038"/>
  <c r="R22" i="2038"/>
  <c r="L22" i="2038"/>
  <c r="D22" i="2038" s="1"/>
  <c r="R21" i="2038"/>
  <c r="D21" i="2038"/>
  <c r="R20" i="2038"/>
  <c r="L20" i="2038"/>
  <c r="D20" i="2038"/>
  <c r="R19" i="2038"/>
  <c r="L19" i="2038"/>
  <c r="D19" i="2038"/>
  <c r="R18" i="2038"/>
  <c r="D18" i="2038"/>
  <c r="R17" i="2038"/>
  <c r="D17" i="2038"/>
  <c r="R16" i="2038"/>
  <c r="L16" i="2038"/>
  <c r="D16" i="2038"/>
  <c r="S15" i="2038"/>
  <c r="R15" i="2038"/>
  <c r="D15" i="2038"/>
  <c r="S14" i="2038"/>
  <c r="R14" i="2038"/>
  <c r="D14" i="2038"/>
  <c r="R13" i="2038"/>
  <c r="D13" i="2038"/>
  <c r="R12" i="2038"/>
  <c r="R11" i="2038"/>
  <c r="L9" i="2038"/>
  <c r="D9" i="2038"/>
  <c r="L8" i="2038"/>
  <c r="D8" i="2038"/>
  <c r="R6" i="2038"/>
  <c r="R5" i="2038"/>
  <c r="R4" i="2038"/>
  <c r="R52" i="2037"/>
  <c r="R51" i="2037"/>
  <c r="D50" i="2037"/>
  <c r="R49" i="2037"/>
  <c r="D49" i="2037"/>
  <c r="R48" i="2037"/>
  <c r="D48" i="2037"/>
  <c r="D46" i="2037"/>
  <c r="D45" i="2037"/>
  <c r="R44" i="2037"/>
  <c r="L28" i="2037" s="1"/>
  <c r="D28" i="2037" s="1"/>
  <c r="D44" i="2037"/>
  <c r="R42" i="2037"/>
  <c r="D42" i="2037"/>
  <c r="R41" i="2037"/>
  <c r="L7" i="2037" s="1"/>
  <c r="D7" i="2037" s="1"/>
  <c r="D41" i="2037"/>
  <c r="R40" i="2037"/>
  <c r="D40" i="2037"/>
  <c r="R39" i="2037"/>
  <c r="H39" i="2037"/>
  <c r="D39" i="2037"/>
  <c r="R38" i="2037"/>
  <c r="H38" i="2037"/>
  <c r="D38" i="2037"/>
  <c r="R37" i="2037"/>
  <c r="H37" i="2037"/>
  <c r="D37" i="2037"/>
  <c r="R36" i="2037"/>
  <c r="L10" i="2037" s="1"/>
  <c r="D10" i="2037" s="1"/>
  <c r="H36" i="2037"/>
  <c r="D36" i="2037"/>
  <c r="R35" i="2037"/>
  <c r="H35" i="2037"/>
  <c r="D35" i="2037"/>
  <c r="R34" i="2037"/>
  <c r="H34" i="2037"/>
  <c r="D34" i="2037"/>
  <c r="R33" i="2037"/>
  <c r="L19" i="2037" s="1"/>
  <c r="D19" i="2037" s="1"/>
  <c r="R32" i="2037"/>
  <c r="R31" i="2037"/>
  <c r="R30" i="2037"/>
  <c r="R29" i="2037"/>
  <c r="R28" i="2037"/>
  <c r="R27" i="2037"/>
  <c r="L27" i="2037"/>
  <c r="D27" i="2037"/>
  <c r="R26" i="2037"/>
  <c r="L26" i="2037"/>
  <c r="D26" i="2037"/>
  <c r="R25" i="2037"/>
  <c r="L25" i="2037"/>
  <c r="D25" i="2037"/>
  <c r="R24" i="2037"/>
  <c r="L24" i="2037"/>
  <c r="D24" i="2037"/>
  <c r="R23" i="2037"/>
  <c r="L23" i="2037"/>
  <c r="D23" i="2037" s="1"/>
  <c r="R22" i="2037"/>
  <c r="L20" i="2037" s="1"/>
  <c r="D20" i="2037" s="1"/>
  <c r="L22" i="2037"/>
  <c r="D22" i="2037" s="1"/>
  <c r="R21" i="2037"/>
  <c r="L17" i="2037" s="1"/>
  <c r="D17" i="2037" s="1"/>
  <c r="L21" i="2037"/>
  <c r="D21" i="2037"/>
  <c r="R20" i="2037"/>
  <c r="R19" i="2037"/>
  <c r="R18" i="2037"/>
  <c r="L18" i="2037"/>
  <c r="D18" i="2037" s="1"/>
  <c r="R17" i="2037"/>
  <c r="R16" i="2037"/>
  <c r="R15" i="2037"/>
  <c r="R14" i="2037"/>
  <c r="D14" i="2037"/>
  <c r="R13" i="2037"/>
  <c r="D13" i="2037"/>
  <c r="R12" i="2037"/>
  <c r="L12" i="2037"/>
  <c r="D12" i="2037"/>
  <c r="R11" i="2037"/>
  <c r="L11" i="2037"/>
  <c r="D11" i="2037" s="1"/>
  <c r="L9" i="2037"/>
  <c r="D9" i="2037" s="1"/>
  <c r="L8" i="2037"/>
  <c r="D8" i="2037" s="1"/>
  <c r="R6" i="2037"/>
  <c r="L16" i="2037" s="1"/>
  <c r="D16" i="2037" s="1"/>
  <c r="L6" i="2037"/>
  <c r="D6" i="2037" s="1"/>
  <c r="R5" i="2037"/>
  <c r="R4" i="2037"/>
  <c r="L15" i="2037" s="1"/>
  <c r="D15" i="2037" s="1"/>
  <c r="R52" i="2036"/>
  <c r="R51" i="2036"/>
  <c r="D50" i="2036"/>
  <c r="R49" i="2036"/>
  <c r="D49" i="2036"/>
  <c r="R48" i="2036"/>
  <c r="D48" i="2036"/>
  <c r="D46" i="2036"/>
  <c r="D45" i="2036"/>
  <c r="R44" i="2036"/>
  <c r="L28" i="2036" s="1"/>
  <c r="D28" i="2036" s="1"/>
  <c r="D44" i="2036"/>
  <c r="R42" i="2036"/>
  <c r="D42" i="2036"/>
  <c r="R41" i="2036"/>
  <c r="D41" i="2036"/>
  <c r="R40" i="2036"/>
  <c r="L8" i="2036" s="1"/>
  <c r="D8" i="2036" s="1"/>
  <c r="D40" i="2036"/>
  <c r="R39" i="2036"/>
  <c r="H39" i="2036"/>
  <c r="D39" i="2036"/>
  <c r="R38" i="2036"/>
  <c r="H38" i="2036"/>
  <c r="D38" i="2036"/>
  <c r="R37" i="2036"/>
  <c r="H37" i="2036"/>
  <c r="D37" i="2036"/>
  <c r="R36" i="2036"/>
  <c r="L10" i="2036" s="1"/>
  <c r="D10" i="2036" s="1"/>
  <c r="H36" i="2036"/>
  <c r="D36" i="2036"/>
  <c r="R35" i="2036"/>
  <c r="H35" i="2036"/>
  <c r="D35" i="2036"/>
  <c r="R34" i="2036"/>
  <c r="H34" i="2036"/>
  <c r="G49" i="2036" s="1"/>
  <c r="D34" i="2036"/>
  <c r="R33" i="2036"/>
  <c r="L19" i="2036" s="1"/>
  <c r="D19" i="2036" s="1"/>
  <c r="R32" i="2036"/>
  <c r="R31" i="2036"/>
  <c r="R30" i="2036"/>
  <c r="R29" i="2036"/>
  <c r="R28" i="2036"/>
  <c r="R27" i="2036"/>
  <c r="L27" i="2036"/>
  <c r="D27" i="2036"/>
  <c r="R26" i="2036"/>
  <c r="L26" i="2036"/>
  <c r="D26" i="2036"/>
  <c r="R25" i="2036"/>
  <c r="L25" i="2036"/>
  <c r="D25" i="2036" s="1"/>
  <c r="R24" i="2036"/>
  <c r="L24" i="2036"/>
  <c r="D24" i="2036"/>
  <c r="R23" i="2036"/>
  <c r="L23" i="2036"/>
  <c r="D23" i="2036" s="1"/>
  <c r="R22" i="2036"/>
  <c r="L22" i="2036"/>
  <c r="D22" i="2036" s="1"/>
  <c r="R21" i="2036"/>
  <c r="L21" i="2036"/>
  <c r="D21" i="2036"/>
  <c r="R20" i="2036"/>
  <c r="L20" i="2036"/>
  <c r="D20" i="2036" s="1"/>
  <c r="R19" i="2036"/>
  <c r="R18" i="2036"/>
  <c r="L18" i="2036"/>
  <c r="D18" i="2036"/>
  <c r="R17" i="2036"/>
  <c r="L17" i="2036"/>
  <c r="D17" i="2036" s="1"/>
  <c r="R16" i="2036"/>
  <c r="R15" i="2036"/>
  <c r="L15" i="2036"/>
  <c r="D15" i="2036" s="1"/>
  <c r="R14" i="2036"/>
  <c r="D14" i="2036"/>
  <c r="R13" i="2036"/>
  <c r="D13" i="2036"/>
  <c r="R12" i="2036"/>
  <c r="L12" i="2036"/>
  <c r="D12" i="2036" s="1"/>
  <c r="R11" i="2036"/>
  <c r="L11" i="2036"/>
  <c r="D11" i="2036"/>
  <c r="L9" i="2036"/>
  <c r="D9" i="2036" s="1"/>
  <c r="L7" i="2036"/>
  <c r="D7" i="2036"/>
  <c r="R6" i="2036"/>
  <c r="L16" i="2036" s="1"/>
  <c r="D16" i="2036" s="1"/>
  <c r="L6" i="2036"/>
  <c r="D6" i="2036" s="1"/>
  <c r="R5" i="2036"/>
  <c r="R4" i="2036"/>
  <c r="R52" i="2035"/>
  <c r="R51" i="2035"/>
  <c r="D50" i="2035"/>
  <c r="R49" i="2035"/>
  <c r="D49" i="2035"/>
  <c r="R48" i="2035"/>
  <c r="D48" i="2035"/>
  <c r="D46" i="2035"/>
  <c r="D45" i="2035"/>
  <c r="R44" i="2035"/>
  <c r="D44" i="2035"/>
  <c r="R42" i="2035"/>
  <c r="D42" i="2035"/>
  <c r="R41" i="2035"/>
  <c r="L7" i="2035" s="1"/>
  <c r="D7" i="2035" s="1"/>
  <c r="D41" i="2035"/>
  <c r="R40" i="2035"/>
  <c r="D40" i="2035"/>
  <c r="R39" i="2035"/>
  <c r="H39" i="2035"/>
  <c r="D39" i="2035"/>
  <c r="R38" i="2035"/>
  <c r="L9" i="2035" s="1"/>
  <c r="D9" i="2035" s="1"/>
  <c r="H38" i="2035"/>
  <c r="D38" i="2035"/>
  <c r="R37" i="2035"/>
  <c r="H37" i="2035"/>
  <c r="D37" i="2035"/>
  <c r="R36" i="2035"/>
  <c r="L10" i="2035" s="1"/>
  <c r="D10" i="2035" s="1"/>
  <c r="H36" i="2035"/>
  <c r="D36" i="2035"/>
  <c r="R35" i="2035"/>
  <c r="L18" i="2035" s="1"/>
  <c r="D18" i="2035" s="1"/>
  <c r="H35" i="2035"/>
  <c r="D35" i="2035"/>
  <c r="R34" i="2035"/>
  <c r="H34" i="2035"/>
  <c r="D34" i="2035"/>
  <c r="R33" i="2035"/>
  <c r="R32" i="2035"/>
  <c r="L11" i="2035" s="1"/>
  <c r="D11" i="2035" s="1"/>
  <c r="R31" i="2035"/>
  <c r="R30" i="2035"/>
  <c r="R29" i="2035"/>
  <c r="R28" i="2035"/>
  <c r="L28" i="2035"/>
  <c r="D28" i="2035"/>
  <c r="R27" i="2035"/>
  <c r="L27" i="2035"/>
  <c r="D27" i="2035" s="1"/>
  <c r="R26" i="2035"/>
  <c r="L26" i="2035"/>
  <c r="D26" i="2035"/>
  <c r="R25" i="2035"/>
  <c r="L25" i="2035"/>
  <c r="D25" i="2035"/>
  <c r="R24" i="2035"/>
  <c r="L24" i="2035"/>
  <c r="D24" i="2035"/>
  <c r="R23" i="2035"/>
  <c r="L23" i="2035"/>
  <c r="D23" i="2035" s="1"/>
  <c r="R22" i="2035"/>
  <c r="L20" i="2035" s="1"/>
  <c r="D20" i="2035" s="1"/>
  <c r="L22" i="2035"/>
  <c r="D22" i="2035" s="1"/>
  <c r="R21" i="2035"/>
  <c r="L21" i="2035"/>
  <c r="D21" i="2035"/>
  <c r="R20" i="2035"/>
  <c r="R19" i="2035"/>
  <c r="L19" i="2035"/>
  <c r="D19" i="2035"/>
  <c r="R18" i="2035"/>
  <c r="R17" i="2035"/>
  <c r="L17" i="2035"/>
  <c r="D17" i="2035"/>
  <c r="R16" i="2035"/>
  <c r="R15" i="2035"/>
  <c r="R14" i="2035"/>
  <c r="D14" i="2035"/>
  <c r="R13" i="2035"/>
  <c r="D13" i="2035"/>
  <c r="R12" i="2035"/>
  <c r="L12" i="2035"/>
  <c r="D12" i="2035"/>
  <c r="R11" i="2035"/>
  <c r="L8" i="2035"/>
  <c r="D8" i="2035" s="1"/>
  <c r="R6" i="2035"/>
  <c r="L16" i="2035" s="1"/>
  <c r="D16" i="2035" s="1"/>
  <c r="L6" i="2035"/>
  <c r="D6" i="2035" s="1"/>
  <c r="R5" i="2035"/>
  <c r="R4" i="2035"/>
  <c r="L15" i="2035" s="1"/>
  <c r="D15" i="2035" s="1"/>
  <c r="R52" i="2034"/>
  <c r="R51" i="2034"/>
  <c r="D50" i="2034"/>
  <c r="R49" i="2034"/>
  <c r="G49" i="2034"/>
  <c r="D49" i="2034"/>
  <c r="R48" i="2034"/>
  <c r="D48" i="2034"/>
  <c r="D46" i="2034"/>
  <c r="D45" i="2034"/>
  <c r="D44" i="2034"/>
  <c r="R42" i="2034"/>
  <c r="L6" i="2034" s="1"/>
  <c r="D6" i="2034" s="1"/>
  <c r="D42" i="2034"/>
  <c r="R41" i="2034"/>
  <c r="L7" i="2034" s="1"/>
  <c r="D7" i="2034" s="1"/>
  <c r="D41" i="2034"/>
  <c r="R40" i="2034"/>
  <c r="D40" i="2034"/>
  <c r="R39" i="2034"/>
  <c r="D39" i="2034"/>
  <c r="R38" i="2034"/>
  <c r="D38" i="2034"/>
  <c r="R37" i="2034"/>
  <c r="D37" i="2034"/>
  <c r="R36" i="2034"/>
  <c r="D36" i="2034"/>
  <c r="R35" i="2034"/>
  <c r="D35" i="2034"/>
  <c r="R34" i="2034"/>
  <c r="L12" i="2034" s="1"/>
  <c r="D12" i="2034" s="1"/>
  <c r="D34" i="2034"/>
  <c r="D54" i="2034" s="1"/>
  <c r="H14" i="2034" s="1"/>
  <c r="R33" i="2034"/>
  <c r="L23" i="2034" s="1"/>
  <c r="D23" i="2034" s="1"/>
  <c r="R32" i="2034"/>
  <c r="L11" i="2034" s="1"/>
  <c r="D11" i="2034" s="1"/>
  <c r="R31" i="2034"/>
  <c r="R30" i="2034"/>
  <c r="R29" i="2034"/>
  <c r="R28" i="2034"/>
  <c r="L16" i="2034" s="1"/>
  <c r="D16" i="2034" s="1"/>
  <c r="D28" i="2034"/>
  <c r="R27" i="2034"/>
  <c r="D27" i="2034"/>
  <c r="R26" i="2034"/>
  <c r="L26" i="2034"/>
  <c r="D26" i="2034"/>
  <c r="R25" i="2034"/>
  <c r="L25" i="2034"/>
  <c r="D25" i="2034"/>
  <c r="R24" i="2034"/>
  <c r="D24" i="2034"/>
  <c r="R23" i="2034"/>
  <c r="R22" i="2034"/>
  <c r="L22" i="2034"/>
  <c r="D22" i="2034" s="1"/>
  <c r="R21" i="2034"/>
  <c r="D21" i="2034"/>
  <c r="R20" i="2034"/>
  <c r="L20" i="2034"/>
  <c r="D20" i="2034"/>
  <c r="R19" i="2034"/>
  <c r="L19" i="2034"/>
  <c r="D19" i="2034"/>
  <c r="R18" i="2034"/>
  <c r="D18" i="2034"/>
  <c r="R17" i="2034"/>
  <c r="D17" i="2034"/>
  <c r="R16" i="2034"/>
  <c r="S15" i="2034"/>
  <c r="R15" i="2034"/>
  <c r="D15" i="2034"/>
  <c r="S14" i="2034"/>
  <c r="R14" i="2034"/>
  <c r="D14" i="2034"/>
  <c r="R13" i="2034"/>
  <c r="D13" i="2034"/>
  <c r="R12" i="2034"/>
  <c r="R11" i="2034"/>
  <c r="L10" i="2034"/>
  <c r="D10" i="2034" s="1"/>
  <c r="L9" i="2034"/>
  <c r="D9" i="2034" s="1"/>
  <c r="L8" i="2034"/>
  <c r="D8" i="2034"/>
  <c r="R6" i="2034"/>
  <c r="R5" i="2034"/>
  <c r="R4" i="2034"/>
  <c r="R52" i="2033"/>
  <c r="R51" i="2033"/>
  <c r="D50" i="2033"/>
  <c r="R49" i="2033"/>
  <c r="D49" i="2033"/>
  <c r="R48" i="2033"/>
  <c r="D48" i="2033"/>
  <c r="D46" i="2033"/>
  <c r="D45" i="2033"/>
  <c r="R44" i="2033"/>
  <c r="D44" i="2033"/>
  <c r="R42" i="2033"/>
  <c r="L6" i="2033" s="1"/>
  <c r="D6" i="2033" s="1"/>
  <c r="D42" i="2033"/>
  <c r="R41" i="2033"/>
  <c r="D41" i="2033"/>
  <c r="R40" i="2033"/>
  <c r="L8" i="2033" s="1"/>
  <c r="D8" i="2033" s="1"/>
  <c r="D40" i="2033"/>
  <c r="R39" i="2033"/>
  <c r="H39" i="2033"/>
  <c r="D39" i="2033"/>
  <c r="R38" i="2033"/>
  <c r="H38" i="2033"/>
  <c r="D38" i="2033"/>
  <c r="R37" i="2033"/>
  <c r="H37" i="2033"/>
  <c r="D37" i="2033"/>
  <c r="R36" i="2033"/>
  <c r="H36" i="2033"/>
  <c r="D36" i="2033"/>
  <c r="R35" i="2033"/>
  <c r="H35" i="2033"/>
  <c r="D35" i="2033"/>
  <c r="R34" i="2033"/>
  <c r="H34" i="2033"/>
  <c r="D34" i="2033"/>
  <c r="R33" i="2033"/>
  <c r="L19" i="2033" s="1"/>
  <c r="D19" i="2033" s="1"/>
  <c r="R32" i="2033"/>
  <c r="R31" i="2033"/>
  <c r="R30" i="2033"/>
  <c r="R29" i="2033"/>
  <c r="R28" i="2033"/>
  <c r="L28" i="2033"/>
  <c r="D28" i="2033"/>
  <c r="R27" i="2033"/>
  <c r="L27" i="2033"/>
  <c r="D27" i="2033"/>
  <c r="R26" i="2033"/>
  <c r="L26" i="2033"/>
  <c r="D26" i="2033" s="1"/>
  <c r="R25" i="2033"/>
  <c r="L25" i="2033"/>
  <c r="D25" i="2033" s="1"/>
  <c r="R24" i="2033"/>
  <c r="L24" i="2033"/>
  <c r="D24" i="2033"/>
  <c r="R23" i="2033"/>
  <c r="L23" i="2033"/>
  <c r="D23" i="2033"/>
  <c r="R22" i="2033"/>
  <c r="L20" i="2033" s="1"/>
  <c r="D20" i="2033" s="1"/>
  <c r="L22" i="2033"/>
  <c r="D22" i="2033" s="1"/>
  <c r="R21" i="2033"/>
  <c r="L21" i="2033"/>
  <c r="D21" i="2033"/>
  <c r="R20" i="2033"/>
  <c r="R19" i="2033"/>
  <c r="R18" i="2033"/>
  <c r="L18" i="2033"/>
  <c r="D18" i="2033" s="1"/>
  <c r="R17" i="2033"/>
  <c r="L17" i="2033"/>
  <c r="D17" i="2033" s="1"/>
  <c r="R16" i="2033"/>
  <c r="R15" i="2033"/>
  <c r="R14" i="2033"/>
  <c r="D14" i="2033"/>
  <c r="R13" i="2033"/>
  <c r="D13" i="2033"/>
  <c r="R12" i="2033"/>
  <c r="L12" i="2033"/>
  <c r="D12" i="2033" s="1"/>
  <c r="R11" i="2033"/>
  <c r="L11" i="2033"/>
  <c r="D11" i="2033"/>
  <c r="L10" i="2033"/>
  <c r="D10" i="2033" s="1"/>
  <c r="L9" i="2033"/>
  <c r="D9" i="2033" s="1"/>
  <c r="L7" i="2033"/>
  <c r="D7" i="2033"/>
  <c r="R6" i="2033"/>
  <c r="L16" i="2033" s="1"/>
  <c r="D16" i="2033" s="1"/>
  <c r="R5" i="2033"/>
  <c r="R4" i="2033"/>
  <c r="L15" i="2033" s="1"/>
  <c r="D15" i="2033" s="1"/>
  <c r="R52" i="2032"/>
  <c r="R51" i="2032"/>
  <c r="D50" i="2032"/>
  <c r="R49" i="2032"/>
  <c r="D49" i="2032"/>
  <c r="R48" i="2032"/>
  <c r="D48" i="2032"/>
  <c r="D46" i="2032"/>
  <c r="D45" i="2032"/>
  <c r="R44" i="2032"/>
  <c r="L28" i="2032" s="1"/>
  <c r="D28" i="2032" s="1"/>
  <c r="D44" i="2032"/>
  <c r="R42" i="2032"/>
  <c r="D42" i="2032"/>
  <c r="R41" i="2032"/>
  <c r="D41" i="2032"/>
  <c r="R40" i="2032"/>
  <c r="L8" i="2032" s="1"/>
  <c r="D8" i="2032" s="1"/>
  <c r="D40" i="2032"/>
  <c r="R39" i="2032"/>
  <c r="H39" i="2032"/>
  <c r="D39" i="2032"/>
  <c r="R38" i="2032"/>
  <c r="H38" i="2032"/>
  <c r="D38" i="2032"/>
  <c r="R37" i="2032"/>
  <c r="H37" i="2032"/>
  <c r="D37" i="2032"/>
  <c r="R36" i="2032"/>
  <c r="H36" i="2032"/>
  <c r="D36" i="2032"/>
  <c r="R35" i="2032"/>
  <c r="L18" i="2032" s="1"/>
  <c r="D18" i="2032" s="1"/>
  <c r="H35" i="2032"/>
  <c r="D35" i="2032"/>
  <c r="R34" i="2032"/>
  <c r="L12" i="2032" s="1"/>
  <c r="D12" i="2032" s="1"/>
  <c r="H34" i="2032"/>
  <c r="D34" i="2032"/>
  <c r="R33" i="2032"/>
  <c r="L19" i="2032" s="1"/>
  <c r="D19" i="2032" s="1"/>
  <c r="R32" i="2032"/>
  <c r="R31" i="2032"/>
  <c r="R30" i="2032"/>
  <c r="R29" i="2032"/>
  <c r="R28" i="2032"/>
  <c r="R27" i="2032"/>
  <c r="L27" i="2032"/>
  <c r="D27" i="2032"/>
  <c r="R26" i="2032"/>
  <c r="L26" i="2032"/>
  <c r="D26" i="2032"/>
  <c r="R25" i="2032"/>
  <c r="L25" i="2032"/>
  <c r="D25" i="2032"/>
  <c r="R24" i="2032"/>
  <c r="L24" i="2032"/>
  <c r="D24" i="2032" s="1"/>
  <c r="R23" i="2032"/>
  <c r="L23" i="2032"/>
  <c r="D23" i="2032" s="1"/>
  <c r="R22" i="2032"/>
  <c r="L22" i="2032"/>
  <c r="D22" i="2032"/>
  <c r="R21" i="2032"/>
  <c r="L17" i="2032" s="1"/>
  <c r="D17" i="2032" s="1"/>
  <c r="L21" i="2032"/>
  <c r="D21" i="2032"/>
  <c r="R20" i="2032"/>
  <c r="L20" i="2032"/>
  <c r="D20" i="2032" s="1"/>
  <c r="R19" i="2032"/>
  <c r="R18" i="2032"/>
  <c r="R17" i="2032"/>
  <c r="R16" i="2032"/>
  <c r="L16" i="2032"/>
  <c r="D16" i="2032"/>
  <c r="R15" i="2032"/>
  <c r="L15" i="2032"/>
  <c r="D15" i="2032" s="1"/>
  <c r="R14" i="2032"/>
  <c r="D14" i="2032"/>
  <c r="R13" i="2032"/>
  <c r="D13" i="2032"/>
  <c r="R12" i="2032"/>
  <c r="R11" i="2032"/>
  <c r="L11" i="2032"/>
  <c r="D11" i="2032"/>
  <c r="L10" i="2032"/>
  <c r="D10" i="2032"/>
  <c r="L9" i="2032"/>
  <c r="D9" i="2032" s="1"/>
  <c r="L7" i="2032"/>
  <c r="D7" i="2032" s="1"/>
  <c r="R6" i="2032"/>
  <c r="L6" i="2032"/>
  <c r="D6" i="2032" s="1"/>
  <c r="R5" i="2032"/>
  <c r="R4" i="2032"/>
  <c r="R52" i="2031"/>
  <c r="R51" i="2031"/>
  <c r="D50" i="2031"/>
  <c r="R49" i="2031"/>
  <c r="D49" i="2031"/>
  <c r="R48" i="2031"/>
  <c r="D48" i="2031"/>
  <c r="D46" i="2031"/>
  <c r="D45" i="2031"/>
  <c r="R44" i="2031"/>
  <c r="D44" i="2031"/>
  <c r="R42" i="2031"/>
  <c r="L6" i="2031" s="1"/>
  <c r="D6" i="2031" s="1"/>
  <c r="D42" i="2031"/>
  <c r="R41" i="2031"/>
  <c r="L7" i="2031" s="1"/>
  <c r="D7" i="2031" s="1"/>
  <c r="D41" i="2031"/>
  <c r="R40" i="2031"/>
  <c r="D40" i="2031"/>
  <c r="R39" i="2031"/>
  <c r="H39" i="2031"/>
  <c r="D39" i="2031"/>
  <c r="R38" i="2031"/>
  <c r="L9" i="2031" s="1"/>
  <c r="D9" i="2031" s="1"/>
  <c r="H38" i="2031"/>
  <c r="D38" i="2031"/>
  <c r="R37" i="2031"/>
  <c r="H37" i="2031"/>
  <c r="D37" i="2031"/>
  <c r="R36" i="2031"/>
  <c r="L10" i="2031" s="1"/>
  <c r="D10" i="2031" s="1"/>
  <c r="H36" i="2031"/>
  <c r="D36" i="2031"/>
  <c r="R35" i="2031"/>
  <c r="L18" i="2031" s="1"/>
  <c r="D18" i="2031" s="1"/>
  <c r="H35" i="2031"/>
  <c r="D35" i="2031"/>
  <c r="R34" i="2031"/>
  <c r="H34" i="2031"/>
  <c r="D34" i="2031"/>
  <c r="R33" i="2031"/>
  <c r="R32" i="2031"/>
  <c r="L11" i="2031" s="1"/>
  <c r="D11" i="2031" s="1"/>
  <c r="R31" i="2031"/>
  <c r="R30" i="2031"/>
  <c r="R29" i="2031"/>
  <c r="R28" i="2031"/>
  <c r="L28" i="2031"/>
  <c r="D28" i="2031"/>
  <c r="R27" i="2031"/>
  <c r="L27" i="2031"/>
  <c r="D27" i="2031" s="1"/>
  <c r="R26" i="2031"/>
  <c r="L26" i="2031"/>
  <c r="D26" i="2031"/>
  <c r="R25" i="2031"/>
  <c r="L25" i="2031"/>
  <c r="D25" i="2031"/>
  <c r="R24" i="2031"/>
  <c r="L24" i="2031"/>
  <c r="D24" i="2031"/>
  <c r="R23" i="2031"/>
  <c r="L23" i="2031"/>
  <c r="D23" i="2031"/>
  <c r="R22" i="2031"/>
  <c r="L20" i="2031" s="1"/>
  <c r="D20" i="2031" s="1"/>
  <c r="L22" i="2031"/>
  <c r="D22" i="2031" s="1"/>
  <c r="R21" i="2031"/>
  <c r="L21" i="2031"/>
  <c r="D21" i="2031"/>
  <c r="R20" i="2031"/>
  <c r="R19" i="2031"/>
  <c r="L19" i="2031"/>
  <c r="D19" i="2031"/>
  <c r="R18" i="2031"/>
  <c r="R17" i="2031"/>
  <c r="L17" i="2031"/>
  <c r="D17" i="2031"/>
  <c r="R16" i="2031"/>
  <c r="R15" i="2031"/>
  <c r="R14" i="2031"/>
  <c r="D14" i="2031"/>
  <c r="R13" i="2031"/>
  <c r="D13" i="2031"/>
  <c r="R12" i="2031"/>
  <c r="L12" i="2031"/>
  <c r="D12" i="2031"/>
  <c r="R11" i="2031"/>
  <c r="L8" i="2031"/>
  <c r="D8" i="2031"/>
  <c r="R6" i="2031"/>
  <c r="L16" i="2031" s="1"/>
  <c r="D16" i="2031" s="1"/>
  <c r="R5" i="2031"/>
  <c r="R4" i="2031"/>
  <c r="L15" i="2031" s="1"/>
  <c r="D15" i="2031" s="1"/>
  <c r="R52" i="2030"/>
  <c r="R51" i="2030"/>
  <c r="D50" i="2030"/>
  <c r="R49" i="2030"/>
  <c r="G49" i="2030"/>
  <c r="D49" i="2030"/>
  <c r="R48" i="2030"/>
  <c r="D48" i="2030"/>
  <c r="D46" i="2030"/>
  <c r="D45" i="2030"/>
  <c r="D44" i="2030"/>
  <c r="R42" i="2030"/>
  <c r="L6" i="2030" s="1"/>
  <c r="D6" i="2030" s="1"/>
  <c r="D42" i="2030"/>
  <c r="R41" i="2030"/>
  <c r="L7" i="2030" s="1"/>
  <c r="D7" i="2030" s="1"/>
  <c r="D41" i="2030"/>
  <c r="R40" i="2030"/>
  <c r="D40" i="2030"/>
  <c r="R39" i="2030"/>
  <c r="D39" i="2030"/>
  <c r="R38" i="2030"/>
  <c r="D38" i="2030"/>
  <c r="R37" i="2030"/>
  <c r="D37" i="2030"/>
  <c r="R36" i="2030"/>
  <c r="L10" i="2030" s="1"/>
  <c r="D10" i="2030" s="1"/>
  <c r="D36" i="2030"/>
  <c r="R35" i="2030"/>
  <c r="D35" i="2030"/>
  <c r="R34" i="2030"/>
  <c r="L12" i="2030" s="1"/>
  <c r="D12" i="2030" s="1"/>
  <c r="D34" i="2030"/>
  <c r="D54" i="2030" s="1"/>
  <c r="H14" i="2030" s="1"/>
  <c r="R33" i="2030"/>
  <c r="L23" i="2030" s="1"/>
  <c r="D23" i="2030" s="1"/>
  <c r="R32" i="2030"/>
  <c r="R31" i="2030"/>
  <c r="R30" i="2030"/>
  <c r="R29" i="2030"/>
  <c r="R28" i="2030"/>
  <c r="L16" i="2030" s="1"/>
  <c r="D16" i="2030" s="1"/>
  <c r="D28" i="2030"/>
  <c r="R27" i="2030"/>
  <c r="D27" i="2030"/>
  <c r="R26" i="2030"/>
  <c r="L26" i="2030"/>
  <c r="D26" i="2030"/>
  <c r="R25" i="2030"/>
  <c r="L25" i="2030"/>
  <c r="D25" i="2030"/>
  <c r="R24" i="2030"/>
  <c r="D24" i="2030"/>
  <c r="R23" i="2030"/>
  <c r="R22" i="2030"/>
  <c r="L22" i="2030"/>
  <c r="D22" i="2030" s="1"/>
  <c r="R21" i="2030"/>
  <c r="D21" i="2030"/>
  <c r="R20" i="2030"/>
  <c r="L20" i="2030"/>
  <c r="D20" i="2030"/>
  <c r="R19" i="2030"/>
  <c r="L19" i="2030"/>
  <c r="D19" i="2030"/>
  <c r="R18" i="2030"/>
  <c r="D18" i="2030"/>
  <c r="R17" i="2030"/>
  <c r="D17" i="2030"/>
  <c r="R16" i="2030"/>
  <c r="S15" i="2030"/>
  <c r="R15" i="2030"/>
  <c r="D15" i="2030"/>
  <c r="S14" i="2030"/>
  <c r="R14" i="2030"/>
  <c r="D14" i="2030"/>
  <c r="R13" i="2030"/>
  <c r="D13" i="2030"/>
  <c r="R12" i="2030"/>
  <c r="R11" i="2030"/>
  <c r="L11" i="2030"/>
  <c r="D11" i="2030" s="1"/>
  <c r="L9" i="2030"/>
  <c r="D9" i="2030"/>
  <c r="L8" i="2030"/>
  <c r="D8" i="2030"/>
  <c r="R6" i="2030"/>
  <c r="R5" i="2030"/>
  <c r="R4" i="2030"/>
  <c r="G49" i="2053" l="1"/>
  <c r="D54" i="2053"/>
  <c r="H14" i="2053" s="1"/>
  <c r="G49" i="2052"/>
  <c r="D54" i="2052"/>
  <c r="H14" i="2052" s="1"/>
  <c r="D54" i="2051"/>
  <c r="H14" i="2051" s="1"/>
  <c r="D29" i="2051"/>
  <c r="H13" i="2051" s="1"/>
  <c r="G49" i="2049"/>
  <c r="G49" i="2048"/>
  <c r="D54" i="2049"/>
  <c r="H14" i="2049" s="1"/>
  <c r="D54" i="2048"/>
  <c r="H14" i="2048" s="1"/>
  <c r="D54" i="2047"/>
  <c r="H14" i="2047" s="1"/>
  <c r="G49" i="2045"/>
  <c r="G49" i="2044"/>
  <c r="G49" i="2043"/>
  <c r="D54" i="2045"/>
  <c r="H14" i="2045" s="1"/>
  <c r="D54" i="2044"/>
  <c r="H14" i="2044" s="1"/>
  <c r="D54" i="2043"/>
  <c r="H14" i="2043" s="1"/>
  <c r="G49" i="2041"/>
  <c r="G49" i="2040"/>
  <c r="G49" i="2039"/>
  <c r="D54" i="2041"/>
  <c r="H14" i="2041" s="1"/>
  <c r="D54" i="2040"/>
  <c r="H14" i="2040" s="1"/>
  <c r="D54" i="2039"/>
  <c r="H14" i="2039" s="1"/>
  <c r="G49" i="2037"/>
  <c r="D54" i="2037"/>
  <c r="H14" i="2037" s="1"/>
  <c r="D54" i="2036"/>
  <c r="H14" i="2036" s="1"/>
  <c r="G49" i="2035"/>
  <c r="D54" i="2035"/>
  <c r="H14" i="2035" s="1"/>
  <c r="G49" i="2033"/>
  <c r="G49" i="2032"/>
  <c r="G49" i="2031"/>
  <c r="D54" i="2033"/>
  <c r="H14" i="2033" s="1"/>
  <c r="D54" i="2032"/>
  <c r="H14" i="2032" s="1"/>
  <c r="D54" i="2031"/>
  <c r="H14" i="2031" s="1"/>
  <c r="D29" i="2053"/>
  <c r="H13" i="2053" s="1"/>
  <c r="D29" i="2052"/>
  <c r="H13" i="2052" s="1"/>
  <c r="D29" i="2050"/>
  <c r="H13" i="2050" s="1"/>
  <c r="H15" i="2050" s="1"/>
  <c r="H29" i="2050" s="1"/>
  <c r="G51" i="2050" s="1"/>
  <c r="D29" i="2049"/>
  <c r="H13" i="2049" s="1"/>
  <c r="D29" i="2048"/>
  <c r="H13" i="2048" s="1"/>
  <c r="H15" i="2048" s="1"/>
  <c r="H29" i="2048" s="1"/>
  <c r="G51" i="2048" s="1"/>
  <c r="D29" i="2047"/>
  <c r="H13" i="2047" s="1"/>
  <c r="D29" i="2046"/>
  <c r="H13" i="2046" s="1"/>
  <c r="H15" i="2046" s="1"/>
  <c r="H29" i="2046" s="1"/>
  <c r="G51" i="2046" s="1"/>
  <c r="D29" i="2045"/>
  <c r="H13" i="2045" s="1"/>
  <c r="D29" i="2044"/>
  <c r="H13" i="2044" s="1"/>
  <c r="D29" i="2043"/>
  <c r="H13" i="2043" s="1"/>
  <c r="D29" i="2042"/>
  <c r="H13" i="2042" s="1"/>
  <c r="H15" i="2042" s="1"/>
  <c r="H29" i="2042" s="1"/>
  <c r="G51" i="2042" s="1"/>
  <c r="D29" i="2041"/>
  <c r="H13" i="2041" s="1"/>
  <c r="H15" i="2041" s="1"/>
  <c r="H29" i="2041" s="1"/>
  <c r="D29" i="2040"/>
  <c r="H13" i="2040" s="1"/>
  <c r="D29" i="2039"/>
  <c r="H13" i="2039" s="1"/>
  <c r="D29" i="2038"/>
  <c r="H13" i="2038" s="1"/>
  <c r="H15" i="2038" s="1"/>
  <c r="H29" i="2038" s="1"/>
  <c r="G51" i="2038" s="1"/>
  <c r="D29" i="2037"/>
  <c r="H13" i="2037" s="1"/>
  <c r="H15" i="2037" s="1"/>
  <c r="H29" i="2037" s="1"/>
  <c r="D29" i="2036"/>
  <c r="H13" i="2036" s="1"/>
  <c r="D29" i="2035"/>
  <c r="H13" i="2035" s="1"/>
  <c r="D29" i="2034"/>
  <c r="H13" i="2034" s="1"/>
  <c r="H15" i="2034" s="1"/>
  <c r="H29" i="2034" s="1"/>
  <c r="G51" i="2034" s="1"/>
  <c r="D29" i="2033"/>
  <c r="H13" i="2033" s="1"/>
  <c r="D29" i="2032"/>
  <c r="H13" i="2032" s="1"/>
  <c r="D29" i="2031"/>
  <c r="H13" i="2031" s="1"/>
  <c r="D29" i="2030"/>
  <c r="H13" i="2030" s="1"/>
  <c r="H15" i="2030" s="1"/>
  <c r="H29" i="2030" s="1"/>
  <c r="G51" i="2030" s="1"/>
  <c r="R52" i="2029"/>
  <c r="R51" i="2029"/>
  <c r="D50" i="2029"/>
  <c r="R49" i="2029"/>
  <c r="D49" i="2029"/>
  <c r="R48" i="2029"/>
  <c r="D48" i="2029"/>
  <c r="D46" i="2029"/>
  <c r="D45" i="2029"/>
  <c r="R44" i="2029"/>
  <c r="L28" i="2029" s="1"/>
  <c r="D28" i="2029" s="1"/>
  <c r="D44" i="2029"/>
  <c r="R42" i="2029"/>
  <c r="D42" i="2029"/>
  <c r="R41" i="2029"/>
  <c r="L7" i="2029" s="1"/>
  <c r="D7" i="2029" s="1"/>
  <c r="D41" i="2029"/>
  <c r="R40" i="2029"/>
  <c r="L8" i="2029" s="1"/>
  <c r="D8" i="2029" s="1"/>
  <c r="D40" i="2029"/>
  <c r="R39" i="2029"/>
  <c r="H39" i="2029"/>
  <c r="D39" i="2029"/>
  <c r="R38" i="2029"/>
  <c r="L9" i="2029" s="1"/>
  <c r="D9" i="2029" s="1"/>
  <c r="H38" i="2029"/>
  <c r="D38" i="2029"/>
  <c r="R37" i="2029"/>
  <c r="H37" i="2029"/>
  <c r="D37" i="2029"/>
  <c r="R36" i="2029"/>
  <c r="L10" i="2029" s="1"/>
  <c r="D10" i="2029" s="1"/>
  <c r="H36" i="2029"/>
  <c r="D36" i="2029"/>
  <c r="R35" i="2029"/>
  <c r="L18" i="2029" s="1"/>
  <c r="D18" i="2029" s="1"/>
  <c r="H35" i="2029"/>
  <c r="D35" i="2029"/>
  <c r="R34" i="2029"/>
  <c r="H34" i="2029"/>
  <c r="D34" i="2029"/>
  <c r="R33" i="2029"/>
  <c r="R32" i="2029"/>
  <c r="R31" i="2029"/>
  <c r="R30" i="2029"/>
  <c r="R29" i="2029"/>
  <c r="R28" i="2029"/>
  <c r="R27" i="2029"/>
  <c r="L27" i="2029"/>
  <c r="D27" i="2029"/>
  <c r="R26" i="2029"/>
  <c r="L26" i="2029"/>
  <c r="D26" i="2029"/>
  <c r="R25" i="2029"/>
  <c r="L25" i="2029"/>
  <c r="D25" i="2029"/>
  <c r="R24" i="2029"/>
  <c r="L24" i="2029"/>
  <c r="D24" i="2029"/>
  <c r="R23" i="2029"/>
  <c r="L23" i="2029"/>
  <c r="D23" i="2029" s="1"/>
  <c r="R22" i="2029"/>
  <c r="L20" i="2029" s="1"/>
  <c r="D20" i="2029" s="1"/>
  <c r="L22" i="2029"/>
  <c r="D22" i="2029"/>
  <c r="R21" i="2029"/>
  <c r="L17" i="2029" s="1"/>
  <c r="D17" i="2029" s="1"/>
  <c r="L21" i="2029"/>
  <c r="D21" i="2029"/>
  <c r="R20" i="2029"/>
  <c r="R19" i="2029"/>
  <c r="L19" i="2029"/>
  <c r="D19" i="2029" s="1"/>
  <c r="R18" i="2029"/>
  <c r="R17" i="2029"/>
  <c r="R16" i="2029"/>
  <c r="L16" i="2029"/>
  <c r="D16" i="2029" s="1"/>
  <c r="R15" i="2029"/>
  <c r="R14" i="2029"/>
  <c r="D14" i="2029"/>
  <c r="R13" i="2029"/>
  <c r="D13" i="2029"/>
  <c r="R12" i="2029"/>
  <c r="L12" i="2029"/>
  <c r="D12" i="2029"/>
  <c r="R11" i="2029"/>
  <c r="L11" i="2029"/>
  <c r="D11" i="2029" s="1"/>
  <c r="R6" i="2029"/>
  <c r="L6" i="2029"/>
  <c r="D6" i="2029" s="1"/>
  <c r="R5" i="2029"/>
  <c r="R4" i="2029"/>
  <c r="L15" i="2029" s="1"/>
  <c r="D15" i="2029" s="1"/>
  <c r="R52" i="2028"/>
  <c r="R51" i="2028"/>
  <c r="D50" i="2028"/>
  <c r="R49" i="2028"/>
  <c r="D49" i="2028"/>
  <c r="R48" i="2028"/>
  <c r="D48" i="2028"/>
  <c r="D46" i="2028"/>
  <c r="D45" i="2028"/>
  <c r="R44" i="2028"/>
  <c r="D44" i="2028"/>
  <c r="R42" i="2028"/>
  <c r="L6" i="2028" s="1"/>
  <c r="D6" i="2028" s="1"/>
  <c r="D42" i="2028"/>
  <c r="R41" i="2028"/>
  <c r="L7" i="2028" s="1"/>
  <c r="D7" i="2028" s="1"/>
  <c r="D41" i="2028"/>
  <c r="R40" i="2028"/>
  <c r="D40" i="2028"/>
  <c r="R39" i="2028"/>
  <c r="H39" i="2028"/>
  <c r="D39" i="2028"/>
  <c r="R38" i="2028"/>
  <c r="H38" i="2028"/>
  <c r="D38" i="2028"/>
  <c r="R37" i="2028"/>
  <c r="H37" i="2028"/>
  <c r="D37" i="2028"/>
  <c r="R36" i="2028"/>
  <c r="L10" i="2028" s="1"/>
  <c r="D10" i="2028" s="1"/>
  <c r="H36" i="2028"/>
  <c r="D36" i="2028"/>
  <c r="R35" i="2028"/>
  <c r="L18" i="2028" s="1"/>
  <c r="D18" i="2028" s="1"/>
  <c r="H35" i="2028"/>
  <c r="D35" i="2028"/>
  <c r="R34" i="2028"/>
  <c r="L12" i="2028" s="1"/>
  <c r="D12" i="2028" s="1"/>
  <c r="H34" i="2028"/>
  <c r="D34" i="2028"/>
  <c r="R33" i="2028"/>
  <c r="L19" i="2028" s="1"/>
  <c r="D19" i="2028" s="1"/>
  <c r="R32" i="2028"/>
  <c r="R31" i="2028"/>
  <c r="R30" i="2028"/>
  <c r="R29" i="2028"/>
  <c r="R28" i="2028"/>
  <c r="L28" i="2028"/>
  <c r="D28" i="2028"/>
  <c r="R27" i="2028"/>
  <c r="L27" i="2028"/>
  <c r="D27" i="2028" s="1"/>
  <c r="R26" i="2028"/>
  <c r="L26" i="2028"/>
  <c r="D26" i="2028"/>
  <c r="R25" i="2028"/>
  <c r="L25" i="2028"/>
  <c r="D25" i="2028"/>
  <c r="R24" i="2028"/>
  <c r="L24" i="2028"/>
  <c r="D24" i="2028"/>
  <c r="R23" i="2028"/>
  <c r="L23" i="2028"/>
  <c r="D23" i="2028"/>
  <c r="R22" i="2028"/>
  <c r="L20" i="2028" s="1"/>
  <c r="D20" i="2028" s="1"/>
  <c r="L22" i="2028"/>
  <c r="D22" i="2028"/>
  <c r="R21" i="2028"/>
  <c r="L21" i="2028"/>
  <c r="D21" i="2028" s="1"/>
  <c r="R20" i="2028"/>
  <c r="R19" i="2028"/>
  <c r="R18" i="2028"/>
  <c r="R17" i="2028"/>
  <c r="L17" i="2028"/>
  <c r="D17" i="2028"/>
  <c r="R16" i="2028"/>
  <c r="L16" i="2028"/>
  <c r="D16" i="2028"/>
  <c r="R15" i="2028"/>
  <c r="R14" i="2028"/>
  <c r="D14" i="2028"/>
  <c r="R13" i="2028"/>
  <c r="D13" i="2028"/>
  <c r="R12" i="2028"/>
  <c r="R11" i="2028"/>
  <c r="L11" i="2028"/>
  <c r="D11" i="2028"/>
  <c r="L9" i="2028"/>
  <c r="D9" i="2028" s="1"/>
  <c r="L8" i="2028"/>
  <c r="D8" i="2028" s="1"/>
  <c r="R6" i="2028"/>
  <c r="R5" i="2028"/>
  <c r="R4" i="2028"/>
  <c r="L15" i="2028" s="1"/>
  <c r="D15" i="2028" s="1"/>
  <c r="R52" i="2027"/>
  <c r="R51" i="2027"/>
  <c r="D50" i="2027"/>
  <c r="R49" i="2027"/>
  <c r="D49" i="2027"/>
  <c r="R48" i="2027"/>
  <c r="D48" i="2027"/>
  <c r="D46" i="2027"/>
  <c r="D45" i="2027"/>
  <c r="R44" i="2027"/>
  <c r="L28" i="2027" s="1"/>
  <c r="D28" i="2027" s="1"/>
  <c r="D44" i="2027"/>
  <c r="R42" i="2027"/>
  <c r="D42" i="2027"/>
  <c r="R41" i="2027"/>
  <c r="D41" i="2027"/>
  <c r="R40" i="2027"/>
  <c r="D40" i="2027"/>
  <c r="R39" i="2027"/>
  <c r="H39" i="2027"/>
  <c r="D39" i="2027"/>
  <c r="R38" i="2027"/>
  <c r="L9" i="2027" s="1"/>
  <c r="D9" i="2027" s="1"/>
  <c r="H38" i="2027"/>
  <c r="D38" i="2027"/>
  <c r="R37" i="2027"/>
  <c r="H37" i="2027"/>
  <c r="D37" i="2027"/>
  <c r="R36" i="2027"/>
  <c r="L10" i="2027" s="1"/>
  <c r="D10" i="2027" s="1"/>
  <c r="H36" i="2027"/>
  <c r="D36" i="2027"/>
  <c r="R35" i="2027"/>
  <c r="H35" i="2027"/>
  <c r="D35" i="2027"/>
  <c r="R34" i="2027"/>
  <c r="H34" i="2027"/>
  <c r="D34" i="2027"/>
  <c r="R33" i="2027"/>
  <c r="R32" i="2027"/>
  <c r="L11" i="2027" s="1"/>
  <c r="D11" i="2027" s="1"/>
  <c r="R31" i="2027"/>
  <c r="R30" i="2027"/>
  <c r="R29" i="2027"/>
  <c r="R28" i="2027"/>
  <c r="R27" i="2027"/>
  <c r="L27" i="2027"/>
  <c r="D27" i="2027"/>
  <c r="R26" i="2027"/>
  <c r="L26" i="2027"/>
  <c r="D26" i="2027"/>
  <c r="R25" i="2027"/>
  <c r="L25" i="2027"/>
  <c r="D25" i="2027" s="1"/>
  <c r="R24" i="2027"/>
  <c r="L24" i="2027"/>
  <c r="D24" i="2027"/>
  <c r="R23" i="2027"/>
  <c r="L23" i="2027"/>
  <c r="D23" i="2027" s="1"/>
  <c r="R22" i="2027"/>
  <c r="L20" i="2027" s="1"/>
  <c r="D20" i="2027" s="1"/>
  <c r="L22" i="2027"/>
  <c r="D22" i="2027"/>
  <c r="R21" i="2027"/>
  <c r="L21" i="2027"/>
  <c r="D21" i="2027"/>
  <c r="R20" i="2027"/>
  <c r="R19" i="2027"/>
  <c r="L19" i="2027"/>
  <c r="D19" i="2027"/>
  <c r="R18" i="2027"/>
  <c r="L18" i="2027"/>
  <c r="D18" i="2027"/>
  <c r="R17" i="2027"/>
  <c r="L17" i="2027"/>
  <c r="D17" i="2027" s="1"/>
  <c r="R16" i="2027"/>
  <c r="R15" i="2027"/>
  <c r="L15" i="2027"/>
  <c r="D15" i="2027" s="1"/>
  <c r="R14" i="2027"/>
  <c r="D14" i="2027"/>
  <c r="R13" i="2027"/>
  <c r="D13" i="2027"/>
  <c r="R12" i="2027"/>
  <c r="L12" i="2027"/>
  <c r="D12" i="2027" s="1"/>
  <c r="R11" i="2027"/>
  <c r="L8" i="2027"/>
  <c r="D8" i="2027"/>
  <c r="L7" i="2027"/>
  <c r="D7" i="2027"/>
  <c r="R6" i="2027"/>
  <c r="L16" i="2027" s="1"/>
  <c r="D16" i="2027" s="1"/>
  <c r="L6" i="2027"/>
  <c r="D6" i="2027" s="1"/>
  <c r="R5" i="2027"/>
  <c r="R4" i="2027"/>
  <c r="R52" i="2026"/>
  <c r="R51" i="2026"/>
  <c r="D50" i="2026"/>
  <c r="R49" i="2026"/>
  <c r="G49" i="2026"/>
  <c r="D49" i="2026"/>
  <c r="R48" i="2026"/>
  <c r="D48" i="2026"/>
  <c r="D46" i="2026"/>
  <c r="D45" i="2026"/>
  <c r="D44" i="2026"/>
  <c r="R42" i="2026"/>
  <c r="L6" i="2026" s="1"/>
  <c r="D6" i="2026" s="1"/>
  <c r="D42" i="2026"/>
  <c r="R41" i="2026"/>
  <c r="L7" i="2026" s="1"/>
  <c r="D7" i="2026" s="1"/>
  <c r="D41" i="2026"/>
  <c r="R40" i="2026"/>
  <c r="D40" i="2026"/>
  <c r="R39" i="2026"/>
  <c r="D39" i="2026"/>
  <c r="R38" i="2026"/>
  <c r="L9" i="2026" s="1"/>
  <c r="D9" i="2026" s="1"/>
  <c r="D38" i="2026"/>
  <c r="R37" i="2026"/>
  <c r="D37" i="2026"/>
  <c r="R36" i="2026"/>
  <c r="L10" i="2026" s="1"/>
  <c r="D10" i="2026" s="1"/>
  <c r="D36" i="2026"/>
  <c r="R35" i="2026"/>
  <c r="D35" i="2026"/>
  <c r="R34" i="2026"/>
  <c r="D34" i="2026"/>
  <c r="D54" i="2026" s="1"/>
  <c r="H14" i="2026" s="1"/>
  <c r="R33" i="2026"/>
  <c r="R32" i="2026"/>
  <c r="R31" i="2026"/>
  <c r="R30" i="2026"/>
  <c r="R29" i="2026"/>
  <c r="R28" i="2026"/>
  <c r="D28" i="2026"/>
  <c r="R27" i="2026"/>
  <c r="D27" i="2026"/>
  <c r="R26" i="2026"/>
  <c r="L26" i="2026"/>
  <c r="D26" i="2026"/>
  <c r="R25" i="2026"/>
  <c r="L25" i="2026"/>
  <c r="D25" i="2026"/>
  <c r="R24" i="2026"/>
  <c r="D24" i="2026"/>
  <c r="R23" i="2026"/>
  <c r="L23" i="2026"/>
  <c r="D23" i="2026"/>
  <c r="R22" i="2026"/>
  <c r="L22" i="2026"/>
  <c r="D22" i="2026"/>
  <c r="R21" i="2026"/>
  <c r="D21" i="2026"/>
  <c r="R20" i="2026"/>
  <c r="L20" i="2026"/>
  <c r="D20" i="2026"/>
  <c r="R19" i="2026"/>
  <c r="L19" i="2026"/>
  <c r="D19" i="2026"/>
  <c r="R18" i="2026"/>
  <c r="D18" i="2026"/>
  <c r="R17" i="2026"/>
  <c r="D17" i="2026"/>
  <c r="R16" i="2026"/>
  <c r="L16" i="2026"/>
  <c r="D16" i="2026" s="1"/>
  <c r="S15" i="2026"/>
  <c r="R15" i="2026"/>
  <c r="D15" i="2026"/>
  <c r="S14" i="2026"/>
  <c r="R14" i="2026"/>
  <c r="D14" i="2026"/>
  <c r="R13" i="2026"/>
  <c r="D13" i="2026"/>
  <c r="R12" i="2026"/>
  <c r="L12" i="2026"/>
  <c r="D12" i="2026"/>
  <c r="R11" i="2026"/>
  <c r="L11" i="2026"/>
  <c r="D11" i="2026"/>
  <c r="L8" i="2026"/>
  <c r="D8" i="2026"/>
  <c r="R6" i="2026"/>
  <c r="R5" i="2026"/>
  <c r="R4" i="2026"/>
  <c r="H15" i="2053" l="1"/>
  <c r="H29" i="2053" s="1"/>
  <c r="G51" i="2053" s="1"/>
  <c r="H15" i="2052"/>
  <c r="H29" i="2052" s="1"/>
  <c r="G51" i="2052" s="1"/>
  <c r="H15" i="2051"/>
  <c r="H29" i="2051" s="1"/>
  <c r="G51" i="2051" s="1"/>
  <c r="H15" i="2049"/>
  <c r="H29" i="2049" s="1"/>
  <c r="G51" i="2049" s="1"/>
  <c r="H15" i="2047"/>
  <c r="H29" i="2047" s="1"/>
  <c r="G51" i="2047" s="1"/>
  <c r="H15" i="2045"/>
  <c r="H29" i="2045" s="1"/>
  <c r="G51" i="2045" s="1"/>
  <c r="H15" i="2044"/>
  <c r="H29" i="2044" s="1"/>
  <c r="G51" i="2044" s="1"/>
  <c r="H15" i="2043"/>
  <c r="H29" i="2043" s="1"/>
  <c r="G51" i="2043" s="1"/>
  <c r="G51" i="2041"/>
  <c r="H15" i="2040"/>
  <c r="H29" i="2040" s="1"/>
  <c r="G51" i="2040" s="1"/>
  <c r="H15" i="2039"/>
  <c r="H29" i="2039" s="1"/>
  <c r="G51" i="2039" s="1"/>
  <c r="G51" i="2037"/>
  <c r="H15" i="2036"/>
  <c r="H29" i="2036" s="1"/>
  <c r="G51" i="2036" s="1"/>
  <c r="H15" i="2035"/>
  <c r="H29" i="2035" s="1"/>
  <c r="G51" i="2035" s="1"/>
  <c r="H15" i="2033"/>
  <c r="H29" i="2033" s="1"/>
  <c r="G51" i="2033" s="1"/>
  <c r="H15" i="2032"/>
  <c r="H29" i="2032" s="1"/>
  <c r="G51" i="2032" s="1"/>
  <c r="H15" i="2031"/>
  <c r="H29" i="2031" s="1"/>
  <c r="G51" i="2031" s="1"/>
  <c r="G49" i="2029"/>
  <c r="G49" i="2028"/>
  <c r="G49" i="2027"/>
  <c r="D54" i="2029"/>
  <c r="H14" i="2029" s="1"/>
  <c r="D54" i="2028"/>
  <c r="H14" i="2028" s="1"/>
  <c r="D54" i="2027"/>
  <c r="H14" i="2027" s="1"/>
  <c r="D29" i="2029"/>
  <c r="H13" i="2029" s="1"/>
  <c r="D29" i="2028"/>
  <c r="H13" i="2028" s="1"/>
  <c r="H15" i="2028" s="1"/>
  <c r="H29" i="2028" s="1"/>
  <c r="D29" i="2027"/>
  <c r="H13" i="2027" s="1"/>
  <c r="D29" i="2026"/>
  <c r="H13" i="2026" s="1"/>
  <c r="H15" i="2026" s="1"/>
  <c r="H29" i="2026" s="1"/>
  <c r="G51" i="2026" s="1"/>
  <c r="G51" i="2028" l="1"/>
  <c r="H15" i="2029"/>
  <c r="H29" i="2029" s="1"/>
  <c r="G51" i="2029" s="1"/>
  <c r="H15" i="2027"/>
  <c r="H29" i="2027" s="1"/>
  <c r="G51" i="2027" s="1"/>
</calcChain>
</file>

<file path=xl/sharedStrings.xml><?xml version="1.0" encoding="utf-8"?>
<sst xmlns="http://schemas.openxmlformats.org/spreadsheetml/2006/main" count="10830" uniqueCount="200">
  <si>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</si>
  <si>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</si>
  <si>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</si>
  <si>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</si>
  <si>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</si>
  <si>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</si>
  <si>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</si>
  <si>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</si>
  <si>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</si>
  <si>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</si>
  <si>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</si>
  <si>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</si>
  <si>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</si>
  <si>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</si>
  <si>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</si>
  <si>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</si>
  <si>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</si>
  <si>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</si>
  <si>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</si>
  <si>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</si>
  <si>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</si>
  <si>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</si>
  <si>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</si>
  <si>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</si>
  <si>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</si>
  <si>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</si>
  <si>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</si>
  <si>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</si>
  <si>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</si>
  <si>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</si>
  <si>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</si>
  <si>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</si>
  <si>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</si>
  <si>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</si>
  <si>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</si>
  <si>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</si>
  <si>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</si>
  <si>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</si>
  <si>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</si>
  <si>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</si>
  <si>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</si>
  <si>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</si>
  <si>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</si>
  <si>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</si>
  <si>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</si>
  <si>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</si>
  <si>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</si>
  <si>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</si>
  <si>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</si>
  <si>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</si>
  <si>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</si>
  <si>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</si>
  <si>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</si>
  <si>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</si>
  <si>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</si>
  <si>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</si>
  <si>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</si>
  <si>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</si>
  <si>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</si>
  <si>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</si>
  <si>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</si>
  <si>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</si>
  <si>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</si>
  <si>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</si>
  <si>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</si>
  <si>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</si>
  <si>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</si>
  <si>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</si>
  <si>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</si>
  <si>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</si>
  <si>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</si>
  <si>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</si>
  <si>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</si>
  <si>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</si>
  <si>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</si>
  <si>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</si>
  <si>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</si>
  <si>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</si>
  <si>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</si>
  <si>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</si>
  <si>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</si>
  <si>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</si>
  <si>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</si>
  <si>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</si>
  <si>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</si>
  <si>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</si>
  <si>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</si>
  <si>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</si>
  <si>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</si>
  <si>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</si>
  <si>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</si>
  <si>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</si>
  <si>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</si>
  <si>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</si>
  <si>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</si>
  <si>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</si>
  <si>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</si>
  <si>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</si>
  <si>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</si>
  <si>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</si>
  <si>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</si>
  <si>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</si>
  <si>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</si>
  <si>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</si>
  <si>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</si>
  <si>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</si>
  <si>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</si>
  <si>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</si>
  <si>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</si>
  <si>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</si>
  <si>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GOMORA, JURLAN</t>
  </si>
  <si>
    <t>CC/CIC/C10C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</si>
  <si>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</si>
  <si>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</si>
  <si>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</si>
  <si>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</si>
  <si>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</si>
  <si>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</si>
  <si>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</si>
  <si>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</si>
  <si>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</si>
  <si>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</si>
  <si>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</si>
  <si>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</si>
  <si>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</si>
  <si>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</si>
  <si>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</si>
  <si>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</si>
  <si>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</si>
  <si>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</si>
  <si>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</si>
  <si>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</si>
  <si>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BDO</t>
  </si>
  <si>
    <t>43052</t>
  </si>
  <si>
    <t>56758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</si>
  <si>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</si>
  <si>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PNB</t>
  </si>
  <si>
    <t>G-CASH</t>
  </si>
  <si>
    <t>2000002824</t>
  </si>
  <si>
    <t>2000008518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</si>
  <si>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</si>
  <si>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BANK TRANSFER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</si>
  <si>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</si>
  <si>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43053</t>
  </si>
  <si>
    <t>MGYZ</t>
  </si>
  <si>
    <t>147923</t>
  </si>
  <si>
    <t>BALWARTE</t>
  </si>
  <si>
    <t>PSBC</t>
  </si>
  <si>
    <t>2130020891</t>
  </si>
  <si>
    <t>149830</t>
  </si>
  <si>
    <t>2000005999</t>
  </si>
  <si>
    <t>2000002829</t>
  </si>
  <si>
    <t>2000008519</t>
  </si>
  <si>
    <t>SOUND CHECK</t>
  </si>
  <si>
    <t>43055</t>
  </si>
  <si>
    <t>56765</t>
  </si>
  <si>
    <t>2000008528</t>
  </si>
  <si>
    <t>2000002837</t>
  </si>
  <si>
    <t>149141</t>
  </si>
  <si>
    <t>149850</t>
  </si>
  <si>
    <t>43060</t>
  </si>
  <si>
    <t>GEK</t>
  </si>
  <si>
    <t>GEK BOTT.</t>
  </si>
  <si>
    <t xml:space="preserve">C10C 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</si>
  <si>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>/ OVER</t>
    </r>
  </si>
  <si>
    <t>43062</t>
  </si>
  <si>
    <t>56778</t>
  </si>
  <si>
    <t>150096</t>
  </si>
  <si>
    <t>230020901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</si>
  <si>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  <r>
      <rPr>
        <u/>
        <sz val="11"/>
        <rFont val="Calibri"/>
        <family val="2"/>
        <scheme val="minor"/>
      </rPr>
      <t xml:space="preserve"> </t>
    </r>
  </si>
  <si>
    <t>2000006019</t>
  </si>
  <si>
    <t>2000002852</t>
  </si>
  <si>
    <r>
      <rPr>
        <u/>
        <sz val="11"/>
        <color rgb="FFFF0000"/>
        <rFont val="Calibri"/>
        <family val="2"/>
        <scheme val="minor"/>
      </rPr>
      <t>SHORT</t>
    </r>
    <r>
      <rPr>
        <sz val="11"/>
        <rFont val="Calibri"/>
        <family val="2"/>
        <scheme val="minor"/>
      </rPr>
      <t xml:space="preserve"> / OVER</t>
    </r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</si>
  <si>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</si>
  <si>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43067</t>
  </si>
  <si>
    <t>METRO BANK</t>
  </si>
  <si>
    <t>3593293</t>
  </si>
  <si>
    <t>149168</t>
  </si>
  <si>
    <t>RICKY GARGOLES</t>
  </si>
  <si>
    <t>149873</t>
  </si>
  <si>
    <t>2000008557</t>
  </si>
  <si>
    <t>2000002861</t>
  </si>
  <si>
    <t xml:space="preserve">G-CASH </t>
  </si>
  <si>
    <t>RH500C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</si>
  <si>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</si>
  <si>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132762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</si>
  <si>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</si>
  <si>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t>2000002864</t>
  </si>
  <si>
    <t>43069</t>
  </si>
  <si>
    <t>1ST VB</t>
  </si>
  <si>
    <t>5089419</t>
  </si>
  <si>
    <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</si>
  <si>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150126</t>
  </si>
  <si>
    <t>2130020907</t>
  </si>
  <si>
    <t>2000002866</t>
  </si>
  <si>
    <r>
      <rPr>
        <sz val="11"/>
        <color theme="1"/>
        <rFont val="Calibri"/>
        <family val="2"/>
        <scheme val="minor"/>
      </rPr>
      <t>SHORT</t>
    </r>
    <r>
      <rPr>
        <sz val="11"/>
        <rFont val="Calibri"/>
        <family val="2"/>
        <scheme val="minor"/>
      </rPr>
      <t xml:space="preserve"> / </t>
    </r>
    <r>
      <rPr>
        <u/>
        <sz val="11"/>
        <rFont val="Calibri"/>
        <family val="2"/>
        <scheme val="minor"/>
      </rPr>
      <t>OVER</t>
    </r>
  </si>
  <si>
    <t>2120013049</t>
  </si>
  <si>
    <t>LOPEZ, GINA GRACE</t>
  </si>
  <si>
    <t xml:space="preserve">                           GINA GRACE LOPEZ</t>
  </si>
  <si>
    <t>56801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</si>
</sst>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82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4" fillId="0" borderId="16" xfId="0" applyFont="1" applyBorder="1"/>
    <xf numFmtId="0" fontId="23" fillId="0" borderId="21" xfId="0" applyFont="1" applyBorder="1"/>
    <xf numFmtId="0" fontId="23" fillId="0" borderId="0" xfId="0" applyFont="1"/>
    <xf numFmtId="0" fontId="23" fillId="0" borderId="10" xfId="0" applyFont="1" applyBorder="1"/>
    <xf numFmtId="0" fontId="23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49" fontId="23" fillId="0" borderId="16" xfId="0" applyNumberFormat="1" applyFont="1" applyBorder="1" applyAlignment="1">
      <alignment horizontal="right"/>
    </xf>
    <xf numFmtId="0" fontId="0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9" fillId="0" borderId="16" xfId="0" applyNumberFormat="1" applyFont="1" applyBorder="1" applyAlignment="1">
      <alignment horizontal="right"/>
    </xf>
    <xf numFmtId="43" fontId="0" fillId="0" borderId="0" xfId="0" applyNumberFormat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61" Type="http://schemas.openxmlformats.org/officeDocument/2006/relationships/worksheet" Target="worksheets/sheet61.xml"/><Relationship Id="rId8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DCF182-B056-433E-9699-A947CA18FC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2988FA-1846-4B4E-89F3-861534A46E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BE2227-E914-4014-BADD-DFE7C8C16F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A90CF2-FC10-4F5A-8640-E531FB2DC3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454F9A-C6C8-4986-BBC3-126FFE320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30CAA5-10D3-492D-A947-094FED72F8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3A810-AD30-4021-9FC0-EAADB51564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7DDB22-041D-4AB3-A35E-5DC1ED4920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DD512E-A587-44CB-8027-9DD24AF7CB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2AE930-848F-40C2-B71F-DD9465B25D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0A1FB1-5720-4CEE-87BC-80878C5C8E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8DC10-F125-41A7-B1CE-DBDC505CA6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D74EE4-ABD6-437C-97CD-65E64AC773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D4CE0C-44A4-466C-9D45-3BD0C27205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09CD6F-5E27-4D5E-AC37-1EEA9CEF89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5ED97C-E41F-4A5A-BA37-F5D565BAB5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FE5394-6D87-4905-A9EB-BFBFE3D68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2C7CE7-B386-4CB4-A1CB-B1171AC88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716825-A574-4D7E-99BF-1C57B16267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ED990E-557B-4BF5-A536-232AC69A5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3DD6D-AF2B-401C-9875-734B2F654B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1DAB7C-F2A1-4694-8FA3-14E9EB0E0E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2B7494-5C78-476E-9029-C76F3418D2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E6B3E6-CB02-47F9-8E0B-25230D0B03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AD28F6-BC20-4C86-BDBC-0E336E4696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4ABAC8-6C8F-492E-AE9B-D43C9070DD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8DE3A1-F3DD-46B2-A5A2-D89B2C57FB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B09B3D-DCF3-4261-8433-EE6B23CD4C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CF0777-9F1C-423B-8E86-BC04E5F11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9806D9-60C2-4214-B2B4-8285A0FE0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D97D1F1-3478-4E1D-A24D-B51DB3161C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F417CE-5CE6-42AF-A494-FBC30D90C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7BF91B-E38F-43B5-B447-6D90A656D8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C174FB-EE7A-4879-BDEA-D2607E0330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A3D85E-55FB-4DB2-8376-2561ED304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B9661C-2BC5-44A7-9D82-2443A579C9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3D1798-5809-4513-810B-010AE65997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8120D3-91F2-446D-A6AB-FB950F7205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A594DA-7C4C-4C19-9CC6-1466403382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3873CE-3FD5-4B99-A445-79F77A7648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AFAC1F-C015-432C-947E-5DF5EBD80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C0BB47-287D-4709-910C-D2BB46952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CA383B-0A5A-44D6-99C3-0CB70DFCC7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CD908-E5B4-4668-A210-8818823698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257415-E017-475C-A12A-96151594C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4F9DD3-4E98-4D93-AA00-F405F6252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B5BA2B-D119-4A1C-BCD1-6B71395E8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26AD487-2B8F-4B11-ADA5-9DD49A3B39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3017EB-DFAB-403C-A221-516B4DC6EF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209551</xdr:colOff>
      <xdr:row>46</xdr:row>
      <xdr:rowOff>116412</xdr:rowOff>
    </xdr:from>
    <xdr:to>
      <xdr:col>4</xdr:col>
      <xdr:colOff>9526</xdr:colOff>
      <xdr:row>65</xdr:row>
      <xdr:rowOff>104775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478063A-3C56-4C4D-8FB2-49A7670DC5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1" y="9098487"/>
          <a:ext cx="2743200" cy="3655488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9FE0C2-A6C1-49E6-BB0A-1DC7CF3BF5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8DFD09-69EF-4400-9D2A-2901D4379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2D5964-1433-42A6-A73F-5DD0F630C3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ED2B28-8880-4E0E-8F12-48E4C010CD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098A11-3702-4E60-A25C-6708FFCB8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31A65E-2E50-4ED1-B681-E245EDE1C5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93E1E2-F9A6-4917-8D99-F38758E7A4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E556B3-44D1-4B20-80EB-8A6BE4FF9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20BC2C-B09D-4F66-AB22-83476A817C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3BE133-15A2-4CDB-BCA6-8E6A0FDD9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5C9F51-92B1-4D81-89A5-79AB9722C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972696-EF49-4A69-A96D-48B11D9C4C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9AFE48-B9F0-40D4-A3A3-993CFFDF5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53</xdr:row>
      <xdr:rowOff>53677</xdr:rowOff>
    </xdr:from>
    <xdr:to>
      <xdr:col>3</xdr:col>
      <xdr:colOff>419100</xdr:colOff>
      <xdr:row>59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69B98BE-CADF-4733-BF1D-B5932C16FD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416877"/>
          <a:ext cx="1381125" cy="1155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702189-6293-4C7F-AADE-2C4C180667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70C19E-AC2A-4706-93DD-3AA4D885E7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1CDD1E-0B7F-4915-B35B-A703022FEF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234498-8B37-41D9-8C2D-376CCD3713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F82F41-7B8A-4926-9193-9816ABDBE3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7727D8-86D9-45C7-8C58-9BC3365B5D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5EF716-E126-42FA-B852-84AC584F5E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461FC5-7FA6-4C9C-A089-F25603757E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5AF9AB-EDD6-4F6B-8D52-3D68C59861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1933C3-8E56-49FC-A91E-ED33145684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A143A9-9F96-489B-95DD-C79E3C6C3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4762AE-EA6E-4D8A-81E4-F1EFB830A2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E2EE81-3EA9-4916-B8D2-5779297515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B2929A-12BA-43E8-A062-1B040F4D51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5D1EB5-DB53-4721-BF57-8389048E37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6BC8DF-E29D-40FA-BC9F-CCD260F981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CC33A-3394-4189-86DC-5D3AEFBB4E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8" t="s">
        <v>1</v>
      </c>
      <c r="O1" s="228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9" t="s">
        <v>7</v>
      </c>
      <c r="B4" s="180"/>
      <c r="C4" s="180"/>
      <c r="D4" s="181"/>
      <c r="F4" s="229" t="s">
        <v>8</v>
      </c>
      <c r="G4" s="231"/>
      <c r="H4" s="233" t="s">
        <v>9</v>
      </c>
      <c r="I4" s="235"/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4"/>
      <c r="B6" s="16"/>
      <c r="C6" s="10"/>
      <c r="D6" s="13">
        <f t="shared" ref="D6:D28" si="1">C6*L6</f>
        <v>0</v>
      </c>
      <c r="F6" s="239" t="s">
        <v>16</v>
      </c>
      <c r="G6" s="241"/>
      <c r="H6" s="242"/>
      <c r="I6" s="242"/>
      <c r="J6" s="2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4"/>
      <c r="B7" s="16"/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4"/>
      <c r="B8" s="16"/>
      <c r="C8" s="10"/>
      <c r="D8" s="13">
        <f t="shared" si="1"/>
        <v>0</v>
      </c>
      <c r="F8" s="247" t="s">
        <v>21</v>
      </c>
      <c r="G8" s="248"/>
      <c r="H8" s="249"/>
      <c r="I8" s="249"/>
      <c r="J8" s="2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4"/>
      <c r="B9" s="16"/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4"/>
      <c r="C10" s="10"/>
      <c r="D10" s="13">
        <f t="shared" si="1"/>
        <v>0</v>
      </c>
      <c r="F10" s="239" t="s">
        <v>26</v>
      </c>
      <c r="G10" s="254"/>
      <c r="H10" s="255"/>
      <c r="I10" s="255"/>
      <c r="J10" s="256"/>
      <c r="K10" s="8"/>
      <c r="L10" s="6">
        <f>R36</f>
        <v>972</v>
      </c>
      <c r="P10" s="4"/>
      <c r="Q10" s="4"/>
      <c r="R10" s="5"/>
    </row>
    <row r="11" spans="1:19" ht="15.75" x14ac:dyDescent="0.25">
      <c r="A11" s="174"/>
      <c r="B11" s="17"/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4"/>
      <c r="B12" s="17"/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4"/>
      <c r="B13" s="17"/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4"/>
      <c r="B14" s="14"/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4"/>
      <c r="B15" s="14"/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14"/>
      <c r="C19" s="10"/>
      <c r="D19" s="48">
        <f t="shared" si="1"/>
        <v>0</v>
      </c>
      <c r="F19" s="56"/>
      <c r="G19" s="68" t="s">
        <v>49</v>
      </c>
      <c r="H19" s="197"/>
      <c r="I19" s="197"/>
      <c r="J19" s="19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4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4"/>
      <c r="B22" s="46"/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/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/>
      <c r="C24" s="10"/>
      <c r="D24" s="48">
        <f t="shared" si="1"/>
        <v>0</v>
      </c>
      <c r="F24" s="38"/>
      <c r="G24" s="37"/>
      <c r="H24" s="202"/>
      <c r="I24" s="171"/>
      <c r="J24" s="17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4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/>
      <c r="C28" s="10"/>
      <c r="D28" s="48">
        <f t="shared" si="1"/>
        <v>0</v>
      </c>
      <c r="F28" s="91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/>
      <c r="I34" s="177"/>
      <c r="J34" s="17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/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/>
      <c r="I36" s="177"/>
      <c r="J36" s="17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/>
      <c r="I37" s="177"/>
      <c r="J37" s="17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/>
      <c r="I38" s="177"/>
      <c r="J38" s="17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/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88" t="s">
        <v>82</v>
      </c>
      <c r="H43" s="168" t="s">
        <v>13</v>
      </c>
      <c r="I43" s="169"/>
      <c r="J43" s="170"/>
      <c r="K43" s="21"/>
      <c r="P43" s="4"/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P44" s="4"/>
      <c r="Q44" s="4"/>
      <c r="R44" s="5"/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P50" s="4"/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106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C395-3269-4908-B3E7-2B57213355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1</v>
      </c>
      <c r="H4" s="233" t="s">
        <v>9</v>
      </c>
      <c r="I4" s="235">
        <v>46143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704</v>
      </c>
      <c r="D6" s="13">
        <f t="shared" ref="D6:D28" si="1">C6*L6</f>
        <v>535744</v>
      </c>
      <c r="F6" s="239" t="s">
        <v>16</v>
      </c>
      <c r="G6" s="241" t="s">
        <v>99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120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3</v>
      </c>
      <c r="D9" s="13">
        <f t="shared" si="1"/>
        <v>2199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108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25</v>
      </c>
      <c r="D13" s="48">
        <f t="shared" si="1"/>
        <v>7675</v>
      </c>
      <c r="F13" s="260" t="s">
        <v>36</v>
      </c>
      <c r="G13" s="224"/>
      <c r="H13" s="215">
        <f>D29</f>
        <v>545651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3</v>
      </c>
      <c r="D14" s="31">
        <f t="shared" si="1"/>
        <v>33</v>
      </c>
      <c r="F14" s="218" t="s">
        <v>38</v>
      </c>
      <c r="G14" s="219"/>
      <c r="H14" s="220">
        <f>D54</f>
        <v>100678.5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444972.5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3240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7"/>
      <c r="G23" s="79"/>
      <c r="H23" s="269"/>
      <c r="I23" s="270"/>
      <c r="J23" s="2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77"/>
      <c r="G24" s="79"/>
      <c r="H24" s="269"/>
      <c r="I24" s="270"/>
      <c r="J24" s="27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75"/>
      <c r="G26" s="65"/>
      <c r="H26" s="171"/>
      <c r="I26" s="171"/>
      <c r="J26" s="17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71"/>
      <c r="G27" s="88"/>
      <c r="H27" s="271"/>
      <c r="I27" s="272"/>
      <c r="J27" s="27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91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545651</v>
      </c>
      <c r="F29" s="132" t="s">
        <v>54</v>
      </c>
      <c r="G29" s="194"/>
      <c r="H29" s="154">
        <f>H15-H16-H17-H18-H19-H20-H22-H23-H24+H26+H27+H28</f>
        <v>441732.5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315</v>
      </c>
      <c r="H34" s="176">
        <f t="shared" ref="H34:H39" si="2">F34*G34</f>
        <v>315000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252</v>
      </c>
      <c r="H35" s="176">
        <f t="shared" si="2"/>
        <v>126000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si="2"/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890</v>
      </c>
      <c r="D37" s="12">
        <f>C37*111</f>
        <v>98790</v>
      </c>
      <c r="F37" s="12">
        <v>100</v>
      </c>
      <c r="G37" s="39">
        <v>5</v>
      </c>
      <c r="H37" s="176">
        <f t="shared" si="2"/>
        <v>500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</v>
      </c>
      <c r="H38" s="176">
        <f t="shared" si="2"/>
        <v>150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176">
        <f t="shared" si="2"/>
        <v>20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>
        <v>86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88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62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>
        <v>4</v>
      </c>
      <c r="D46" s="12">
        <f>C46*1.5</f>
        <v>6</v>
      </c>
      <c r="F46" s="37"/>
      <c r="G46" s="62"/>
      <c r="H46" s="171"/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11</v>
      </c>
      <c r="D49" s="12">
        <f>C49*42</f>
        <v>462</v>
      </c>
      <c r="F49" s="152" t="s">
        <v>85</v>
      </c>
      <c r="G49" s="154">
        <f>H34+H35+H36+H37+H38+H39+H40+H41+G42+H44+H45+H46</f>
        <v>441756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22</v>
      </c>
      <c r="D50" s="12">
        <f>C50*1.5</f>
        <v>33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261" t="s">
        <v>135</v>
      </c>
      <c r="G51" s="263">
        <f>G49-H29</f>
        <v>23.5</v>
      </c>
      <c r="H51" s="264"/>
      <c r="I51" s="264"/>
      <c r="J51" s="26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262"/>
      <c r="G52" s="266"/>
      <c r="H52" s="267"/>
      <c r="I52" s="267"/>
      <c r="J52" s="26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100678.5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AA40C-3B26-4993-85BE-2A4CA0209C2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2</v>
      </c>
      <c r="H4" s="233" t="s">
        <v>9</v>
      </c>
      <c r="I4" s="235">
        <v>46143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292</v>
      </c>
      <c r="D6" s="13">
        <f t="shared" ref="D6:D28" si="1">C6*L6</f>
        <v>222212</v>
      </c>
      <c r="F6" s="239" t="s">
        <v>16</v>
      </c>
      <c r="G6" s="241" t="s">
        <v>107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6</v>
      </c>
      <c r="D7" s="13">
        <f t="shared" si="1"/>
        <v>4686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100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7</v>
      </c>
      <c r="D9" s="13">
        <f t="shared" si="1"/>
        <v>5131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101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7</v>
      </c>
      <c r="D13" s="48">
        <f t="shared" si="1"/>
        <v>2149</v>
      </c>
      <c r="F13" s="260" t="s">
        <v>36</v>
      </c>
      <c r="G13" s="224"/>
      <c r="H13" s="215">
        <f>D29</f>
        <v>236796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5</v>
      </c>
      <c r="D14" s="31">
        <f t="shared" si="1"/>
        <v>55</v>
      </c>
      <c r="F14" s="218" t="s">
        <v>38</v>
      </c>
      <c r="G14" s="219"/>
      <c r="H14" s="220">
        <f>D54</f>
        <v>38545.5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198250.5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5">
        <v>1518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9"/>
      <c r="I19" s="279"/>
      <c r="J19" s="2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2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25"/>
      <c r="G23" s="37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>
        <v>1</v>
      </c>
      <c r="D28" s="48">
        <f t="shared" si="1"/>
        <v>811</v>
      </c>
      <c r="F28" s="91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236796</v>
      </c>
      <c r="F29" s="132" t="s">
        <v>54</v>
      </c>
      <c r="G29" s="194"/>
      <c r="H29" s="154">
        <f>H15-H16-H17-H18-H19-H20-H22-H23-H24+H26+H27</f>
        <v>196732.5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166</v>
      </c>
      <c r="H34" s="176">
        <f>F34*G34</f>
        <v>166000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60</v>
      </c>
      <c r="H35" s="176">
        <f t="shared" ref="H35:H39" si="2">F35*G35</f>
        <v>30000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>
        <v>5</v>
      </c>
      <c r="H37" s="176">
        <f t="shared" si="2"/>
        <v>500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4</v>
      </c>
      <c r="D42" s="12">
        <f>C42*2.25</f>
        <v>9</v>
      </c>
      <c r="F42" s="39" t="s">
        <v>78</v>
      </c>
      <c r="G42" s="176">
        <v>50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88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62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89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12</v>
      </c>
      <c r="D49" s="12">
        <f>C49*42</f>
        <v>504</v>
      </c>
      <c r="F49" s="152" t="s">
        <v>85</v>
      </c>
      <c r="G49" s="154">
        <f>H34+H35+H36+H37+H38+H39+H40+H41+G42+H44+H45+H46</f>
        <v>196550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16</v>
      </c>
      <c r="D50" s="12">
        <f>C50*1.5</f>
        <v>24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131</v>
      </c>
      <c r="G51" s="273">
        <f>G49-H29</f>
        <v>-182.5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38545.5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4AF2C-0A3E-4F26-9048-518DA5A77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3</v>
      </c>
      <c r="H4" s="233" t="s">
        <v>9</v>
      </c>
      <c r="I4" s="235">
        <v>46143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530</v>
      </c>
      <c r="D6" s="13">
        <f t="shared" ref="D6:D28" si="1">C6*L6</f>
        <v>403330</v>
      </c>
      <c r="F6" s="239" t="s">
        <v>16</v>
      </c>
      <c r="G6" s="241" t="s">
        <v>117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7</v>
      </c>
      <c r="D7" s="13">
        <f t="shared" si="1"/>
        <v>5467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110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56</v>
      </c>
      <c r="D9" s="13">
        <f t="shared" si="1"/>
        <v>41048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124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19</v>
      </c>
      <c r="D13" s="48">
        <f t="shared" si="1"/>
        <v>5833</v>
      </c>
      <c r="F13" s="260" t="s">
        <v>36</v>
      </c>
      <c r="G13" s="224"/>
      <c r="H13" s="215">
        <f>D29</f>
        <v>456978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68901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388077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85">
        <f>978+1080+708</f>
        <v>2766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91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456978</v>
      </c>
      <c r="F29" s="132" t="s">
        <v>54</v>
      </c>
      <c r="G29" s="194"/>
      <c r="H29" s="154">
        <f>H15-H16-H17-H18-H19-H20-H22-H23-H24+H26+H27</f>
        <v>385311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126</v>
      </c>
      <c r="H34" s="176">
        <f>F34*G34</f>
        <v>126000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63</v>
      </c>
      <c r="H35" s="176">
        <f>F35*G35</f>
        <v>31500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601</v>
      </c>
      <c r="D37" s="12">
        <f>C37*111</f>
        <v>66711</v>
      </c>
      <c r="F37" s="12">
        <v>100</v>
      </c>
      <c r="G37" s="39">
        <v>46</v>
      </c>
      <c r="H37" s="176">
        <f t="shared" si="2"/>
        <v>4600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176">
        <f t="shared" si="2"/>
        <v>150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>
        <v>94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88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 t="s">
        <v>132</v>
      </c>
      <c r="G44" s="62" t="s">
        <v>133</v>
      </c>
      <c r="H44" s="171">
        <v>105524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171">
        <v>118301</v>
      </c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2</v>
      </c>
      <c r="D49" s="12">
        <f>C49*42</f>
        <v>84</v>
      </c>
      <c r="F49" s="152" t="s">
        <v>85</v>
      </c>
      <c r="G49" s="154">
        <f>H34+H35+H36+H37+H38+H39+H40+H41+G42+H44+H45+H46</f>
        <v>386169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115</v>
      </c>
      <c r="G51" s="162">
        <f>G49-H29</f>
        <v>858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68901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441EA-BFEB-4297-B836-658118DAD3B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8" t="s">
        <v>1</v>
      </c>
      <c r="O1" s="228"/>
      <c r="P1" s="98" t="s">
        <v>2</v>
      </c>
      <c r="Q1" s="9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9" t="s">
        <v>7</v>
      </c>
      <c r="B4" s="180"/>
      <c r="C4" s="180"/>
      <c r="D4" s="181"/>
      <c r="F4" s="229" t="s">
        <v>8</v>
      </c>
      <c r="G4" s="231"/>
      <c r="H4" s="233" t="s">
        <v>9</v>
      </c>
      <c r="I4" s="235"/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4"/>
      <c r="B6" s="16"/>
      <c r="C6" s="10"/>
      <c r="D6" s="13">
        <f t="shared" ref="D6:D28" si="1">C6*L6</f>
        <v>0</v>
      </c>
      <c r="F6" s="239" t="s">
        <v>16</v>
      </c>
      <c r="G6" s="241"/>
      <c r="H6" s="242"/>
      <c r="I6" s="242"/>
      <c r="J6" s="2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4"/>
      <c r="B7" s="16"/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4"/>
      <c r="B8" s="16"/>
      <c r="C8" s="10"/>
      <c r="D8" s="13">
        <f t="shared" si="1"/>
        <v>0</v>
      </c>
      <c r="F8" s="247" t="s">
        <v>21</v>
      </c>
      <c r="G8" s="248"/>
      <c r="H8" s="249"/>
      <c r="I8" s="249"/>
      <c r="J8" s="2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4"/>
      <c r="B9" s="16"/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4"/>
      <c r="C10" s="10"/>
      <c r="D10" s="13">
        <f t="shared" si="1"/>
        <v>0</v>
      </c>
      <c r="F10" s="239" t="s">
        <v>26</v>
      </c>
      <c r="G10" s="254"/>
      <c r="H10" s="255"/>
      <c r="I10" s="255"/>
      <c r="J10" s="256"/>
      <c r="K10" s="8"/>
      <c r="L10" s="6">
        <f>R36</f>
        <v>972</v>
      </c>
      <c r="P10" s="4"/>
      <c r="Q10" s="4"/>
      <c r="R10" s="5"/>
    </row>
    <row r="11" spans="1:19" ht="15.75" x14ac:dyDescent="0.25">
      <c r="A11" s="174"/>
      <c r="B11" s="17"/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4"/>
      <c r="B12" s="17"/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4"/>
      <c r="B13" s="17"/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4"/>
      <c r="B14" s="14"/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4"/>
      <c r="B15" s="14"/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14"/>
      <c r="C19" s="10"/>
      <c r="D19" s="48">
        <f t="shared" si="1"/>
        <v>0</v>
      </c>
      <c r="F19" s="56"/>
      <c r="G19" s="68" t="s">
        <v>49</v>
      </c>
      <c r="H19" s="197"/>
      <c r="I19" s="197"/>
      <c r="J19" s="19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4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4"/>
      <c r="B22" s="46"/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/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/>
      <c r="C24" s="10"/>
      <c r="D24" s="48">
        <f t="shared" si="1"/>
        <v>0</v>
      </c>
      <c r="F24" s="38"/>
      <c r="G24" s="37"/>
      <c r="H24" s="202"/>
      <c r="I24" s="171"/>
      <c r="J24" s="17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4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/>
      <c r="C28" s="10"/>
      <c r="D28" s="48">
        <f t="shared" si="1"/>
        <v>0</v>
      </c>
      <c r="F28" s="99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0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/>
      <c r="I34" s="177"/>
      <c r="J34" s="17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/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/>
      <c r="I36" s="177"/>
      <c r="J36" s="17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/>
      <c r="I37" s="177"/>
      <c r="J37" s="17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/>
      <c r="I38" s="177"/>
      <c r="J38" s="17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/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01" t="s">
        <v>82</v>
      </c>
      <c r="H43" s="168" t="s">
        <v>13</v>
      </c>
      <c r="I43" s="169"/>
      <c r="J43" s="170"/>
      <c r="K43" s="21"/>
      <c r="P43" s="4"/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P44" s="4"/>
      <c r="Q44" s="4"/>
      <c r="R44" s="5"/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P50" s="4"/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106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3FC3-EDF4-4980-97CC-739A248BF1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98" t="s">
        <v>2</v>
      </c>
      <c r="Q1" s="9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3</v>
      </c>
      <c r="H4" s="233" t="s">
        <v>9</v>
      </c>
      <c r="I4" s="235">
        <v>46144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786</v>
      </c>
      <c r="D6" s="13">
        <f t="shared" ref="D6:D28" si="1">C6*L6</f>
        <v>598146</v>
      </c>
      <c r="F6" s="239" t="s">
        <v>16</v>
      </c>
      <c r="G6" s="241" t="s">
        <v>117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2</v>
      </c>
      <c r="D7" s="13">
        <f t="shared" si="1"/>
        <v>1562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110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7</v>
      </c>
      <c r="D9" s="13">
        <f t="shared" si="1"/>
        <v>5131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>
        <v>2</v>
      </c>
      <c r="D10" s="13">
        <f t="shared" si="1"/>
        <v>2064</v>
      </c>
      <c r="F10" s="239" t="s">
        <v>26</v>
      </c>
      <c r="G10" s="254" t="s">
        <v>124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f>15+2</f>
        <v>17</v>
      </c>
      <c r="D12" s="48">
        <f t="shared" si="1"/>
        <v>16864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22</v>
      </c>
      <c r="D13" s="48">
        <f t="shared" si="1"/>
        <v>6754</v>
      </c>
      <c r="F13" s="260" t="s">
        <v>36</v>
      </c>
      <c r="G13" s="224"/>
      <c r="H13" s="215">
        <f>D29</f>
        <v>635011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84996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>
        <v>2</v>
      </c>
      <c r="D15" s="31">
        <f t="shared" si="1"/>
        <v>1240</v>
      </c>
      <c r="F15" s="223" t="s">
        <v>39</v>
      </c>
      <c r="G15" s="224"/>
      <c r="H15" s="225">
        <f>H13-H14</f>
        <v>550015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85">
        <f>2694+300+522</f>
        <v>3516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99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635011</v>
      </c>
      <c r="F29" s="132" t="s">
        <v>54</v>
      </c>
      <c r="G29" s="194"/>
      <c r="H29" s="154">
        <f>H15-H16-H17-H18-H19-H20-H22-H23-H24+H26+H27</f>
        <v>546499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0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182</v>
      </c>
      <c r="H34" s="176">
        <f>F34*G34</f>
        <v>182000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176">
        <f>F35*G35</f>
        <v>29500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>
        <v>21</v>
      </c>
      <c r="D36" s="12">
        <f>C36*1.5</f>
        <v>31.5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677</v>
      </c>
      <c r="D37" s="12">
        <f>C37*111</f>
        <v>75147</v>
      </c>
      <c r="F37" s="12">
        <v>100</v>
      </c>
      <c r="G37" s="39">
        <v>14</v>
      </c>
      <c r="H37" s="176">
        <f t="shared" si="2"/>
        <v>1400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23</v>
      </c>
      <c r="D38" s="12">
        <f>C38*84</f>
        <v>1932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28</v>
      </c>
      <c r="D40" s="12">
        <f>C40*111</f>
        <v>3108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>
        <v>1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01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15</v>
      </c>
      <c r="D44" s="12">
        <f>C44*120</f>
        <v>1800</v>
      </c>
      <c r="F44" s="37" t="s">
        <v>136</v>
      </c>
      <c r="G44" s="102" t="s">
        <v>138</v>
      </c>
      <c r="H44" s="171">
        <v>296674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>
        <v>11</v>
      </c>
      <c r="D45" s="12">
        <f>C45*84</f>
        <v>924</v>
      </c>
      <c r="F45" s="37" t="s">
        <v>136</v>
      </c>
      <c r="G45" s="102" t="s">
        <v>139</v>
      </c>
      <c r="H45" s="171">
        <v>32658</v>
      </c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>
        <v>21</v>
      </c>
      <c r="D46" s="12">
        <f>C46*1.5</f>
        <v>31.5</v>
      </c>
      <c r="F46" s="37" t="s">
        <v>137</v>
      </c>
      <c r="G46" s="62"/>
      <c r="H46" s="171">
        <v>4250</v>
      </c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14</v>
      </c>
      <c r="D49" s="12">
        <f>C49*42</f>
        <v>588</v>
      </c>
      <c r="F49" s="152" t="s">
        <v>85</v>
      </c>
      <c r="G49" s="154">
        <f>H34+H35+H36+H37+H38+H39+H40+H41+G42+H44+H45+H46</f>
        <v>546483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140</v>
      </c>
      <c r="G51" s="273">
        <f>G49-H29</f>
        <v>-16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84996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FA120-1D1E-4EA9-9568-A1410D5DF8C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8" t="s">
        <v>1</v>
      </c>
      <c r="O1" s="228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9" t="s">
        <v>7</v>
      </c>
      <c r="B4" s="180"/>
      <c r="C4" s="180"/>
      <c r="D4" s="181"/>
      <c r="F4" s="229" t="s">
        <v>8</v>
      </c>
      <c r="G4" s="231"/>
      <c r="H4" s="233" t="s">
        <v>9</v>
      </c>
      <c r="I4" s="235"/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4"/>
      <c r="B6" s="16"/>
      <c r="C6" s="10"/>
      <c r="D6" s="13">
        <f t="shared" ref="D6:D28" si="1">C6*L6</f>
        <v>0</v>
      </c>
      <c r="F6" s="239" t="s">
        <v>16</v>
      </c>
      <c r="G6" s="241"/>
      <c r="H6" s="242"/>
      <c r="I6" s="242"/>
      <c r="J6" s="2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4"/>
      <c r="B7" s="16"/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4"/>
      <c r="B8" s="16"/>
      <c r="C8" s="10"/>
      <c r="D8" s="13">
        <f t="shared" si="1"/>
        <v>0</v>
      </c>
      <c r="F8" s="247" t="s">
        <v>21</v>
      </c>
      <c r="G8" s="248"/>
      <c r="H8" s="249"/>
      <c r="I8" s="249"/>
      <c r="J8" s="2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4"/>
      <c r="B9" s="16"/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4"/>
      <c r="C10" s="10"/>
      <c r="D10" s="13">
        <f t="shared" si="1"/>
        <v>0</v>
      </c>
      <c r="F10" s="239" t="s">
        <v>26</v>
      </c>
      <c r="G10" s="254"/>
      <c r="H10" s="255"/>
      <c r="I10" s="255"/>
      <c r="J10" s="256"/>
      <c r="K10" s="8"/>
      <c r="L10" s="6">
        <f>R36</f>
        <v>972</v>
      </c>
      <c r="P10" s="4"/>
      <c r="Q10" s="4"/>
      <c r="R10" s="5"/>
    </row>
    <row r="11" spans="1:19" ht="15.75" x14ac:dyDescent="0.25">
      <c r="A11" s="174"/>
      <c r="B11" s="17"/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4"/>
      <c r="B12" s="17"/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4"/>
      <c r="B13" s="17"/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4"/>
      <c r="B14" s="14"/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4"/>
      <c r="B15" s="14"/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14"/>
      <c r="C19" s="10"/>
      <c r="D19" s="48">
        <f t="shared" si="1"/>
        <v>0</v>
      </c>
      <c r="F19" s="56"/>
      <c r="G19" s="68" t="s">
        <v>49</v>
      </c>
      <c r="H19" s="197"/>
      <c r="I19" s="197"/>
      <c r="J19" s="19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4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4"/>
      <c r="B22" s="46"/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/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/>
      <c r="C24" s="10"/>
      <c r="D24" s="48">
        <f t="shared" si="1"/>
        <v>0</v>
      </c>
      <c r="F24" s="38"/>
      <c r="G24" s="37"/>
      <c r="H24" s="202"/>
      <c r="I24" s="171"/>
      <c r="J24" s="17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4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/>
      <c r="C28" s="10"/>
      <c r="D28" s="48">
        <f t="shared" si="1"/>
        <v>0</v>
      </c>
      <c r="F28" s="96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/>
      <c r="I34" s="177"/>
      <c r="J34" s="17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/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/>
      <c r="I36" s="177"/>
      <c r="J36" s="17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/>
      <c r="I37" s="177"/>
      <c r="J37" s="17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/>
      <c r="I38" s="177"/>
      <c r="J38" s="17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/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93" t="s">
        <v>82</v>
      </c>
      <c r="H43" s="168" t="s">
        <v>13</v>
      </c>
      <c r="I43" s="169"/>
      <c r="J43" s="170"/>
      <c r="K43" s="21"/>
      <c r="P43" s="4"/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P44" s="4"/>
      <c r="Q44" s="4"/>
      <c r="R44" s="5"/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P50" s="4"/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106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BC8DC-9C35-494E-924A-55B35D5980D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1</v>
      </c>
      <c r="H4" s="233" t="s">
        <v>9</v>
      </c>
      <c r="I4" s="235">
        <v>46146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344</v>
      </c>
      <c r="D6" s="13">
        <f t="shared" ref="D6:D28" si="1">C6*L6</f>
        <v>261784</v>
      </c>
      <c r="F6" s="239" t="s">
        <v>16</v>
      </c>
      <c r="G6" s="241" t="s">
        <v>99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9</v>
      </c>
      <c r="D7" s="13">
        <f t="shared" si="1"/>
        <v>7029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120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25</v>
      </c>
      <c r="D9" s="13">
        <f t="shared" si="1"/>
        <v>18325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108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v>2</v>
      </c>
      <c r="D12" s="48">
        <f t="shared" si="1"/>
        <v>1984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3</v>
      </c>
      <c r="D13" s="48">
        <f t="shared" si="1"/>
        <v>921</v>
      </c>
      <c r="F13" s="260" t="s">
        <v>36</v>
      </c>
      <c r="G13" s="224"/>
      <c r="H13" s="215">
        <f>D29</f>
        <v>290296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23</v>
      </c>
      <c r="D14" s="31">
        <f t="shared" si="1"/>
        <v>253</v>
      </c>
      <c r="F14" s="218" t="s">
        <v>38</v>
      </c>
      <c r="G14" s="219"/>
      <c r="H14" s="220">
        <f>D54</f>
        <v>42017.25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248278.75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>
        <v>200</v>
      </c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7"/>
      <c r="G23" s="79"/>
      <c r="H23" s="269"/>
      <c r="I23" s="270"/>
      <c r="J23" s="2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77"/>
      <c r="G24" s="79"/>
      <c r="H24" s="269"/>
      <c r="I24" s="270"/>
      <c r="J24" s="27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75"/>
      <c r="G26" s="65"/>
      <c r="H26" s="171"/>
      <c r="I26" s="171"/>
      <c r="J26" s="17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71"/>
      <c r="G27" s="93"/>
      <c r="H27" s="271"/>
      <c r="I27" s="272"/>
      <c r="J27" s="27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96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290296</v>
      </c>
      <c r="F29" s="132" t="s">
        <v>54</v>
      </c>
      <c r="G29" s="194"/>
      <c r="H29" s="154">
        <f>H15-H16-H17-H18-H19-H20-H22-H23-H24+H26+H27+H28</f>
        <v>248078.75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131</v>
      </c>
      <c r="H34" s="176">
        <f t="shared" ref="H34:H39" si="2">F34*G34</f>
        <v>131000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74</v>
      </c>
      <c r="H35" s="176">
        <f t="shared" si="2"/>
        <v>37000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76">
        <f t="shared" si="2"/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358</v>
      </c>
      <c r="D37" s="12">
        <f>C37*111</f>
        <v>39738</v>
      </c>
      <c r="F37" s="12">
        <v>100</v>
      </c>
      <c r="G37" s="39">
        <v>47</v>
      </c>
      <c r="H37" s="176">
        <f t="shared" si="2"/>
        <v>4700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</v>
      </c>
      <c r="H38" s="176">
        <f t="shared" si="2"/>
        <v>50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9</v>
      </c>
      <c r="D42" s="12">
        <f>C42*2.25</f>
        <v>20.25</v>
      </c>
      <c r="F42" s="39" t="s">
        <v>78</v>
      </c>
      <c r="G42" s="176">
        <v>45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93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1</v>
      </c>
      <c r="D44" s="12">
        <f>C44*120</f>
        <v>120</v>
      </c>
      <c r="F44" s="37" t="s">
        <v>136</v>
      </c>
      <c r="G44" s="103" t="s">
        <v>141</v>
      </c>
      <c r="H44" s="171">
        <v>65000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>
        <v>1</v>
      </c>
      <c r="D45" s="12">
        <f>C45*84</f>
        <v>84</v>
      </c>
      <c r="F45" s="37" t="s">
        <v>137</v>
      </c>
      <c r="G45" s="62"/>
      <c r="H45" s="171">
        <v>2600</v>
      </c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>
        <v>8</v>
      </c>
      <c r="D46" s="12">
        <f>C46*1.5</f>
        <v>12</v>
      </c>
      <c r="F46" s="37" t="s">
        <v>137</v>
      </c>
      <c r="G46" s="62"/>
      <c r="H46" s="171">
        <v>9750</v>
      </c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1</v>
      </c>
      <c r="D49" s="12">
        <f>C49*42</f>
        <v>42</v>
      </c>
      <c r="F49" s="152" t="s">
        <v>85</v>
      </c>
      <c r="G49" s="154">
        <f>H34+H35+H36+H37+H38+H39+H40+H41+G42+H44+H45+H46</f>
        <v>250145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22</v>
      </c>
      <c r="D50" s="12">
        <f>C50*1.5</f>
        <v>33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261" t="s">
        <v>142</v>
      </c>
      <c r="G51" s="263">
        <f>G49-H29</f>
        <v>2066.25</v>
      </c>
      <c r="H51" s="264"/>
      <c r="I51" s="264"/>
      <c r="J51" s="26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262"/>
      <c r="G52" s="266"/>
      <c r="H52" s="267"/>
      <c r="I52" s="267"/>
      <c r="J52" s="26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42017.25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DE12C-97E5-4DE5-BDD4-7748303F42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2</v>
      </c>
      <c r="H4" s="233" t="s">
        <v>9</v>
      </c>
      <c r="I4" s="235">
        <v>46146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344</v>
      </c>
      <c r="D6" s="13">
        <f t="shared" ref="D6:D28" si="1">C6*L6</f>
        <v>261784</v>
      </c>
      <c r="F6" s="239" t="s">
        <v>16</v>
      </c>
      <c r="G6" s="241" t="s">
        <v>107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5</v>
      </c>
      <c r="D7" s="13">
        <f t="shared" si="1"/>
        <v>3905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100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21</v>
      </c>
      <c r="D9" s="13">
        <f t="shared" si="1"/>
        <v>15393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101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12</v>
      </c>
      <c r="D13" s="48">
        <f t="shared" si="1"/>
        <v>3684</v>
      </c>
      <c r="F13" s="260" t="s">
        <v>36</v>
      </c>
      <c r="G13" s="224"/>
      <c r="H13" s="215">
        <f>D29</f>
        <v>285008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22</v>
      </c>
      <c r="D14" s="31">
        <f t="shared" si="1"/>
        <v>242</v>
      </c>
      <c r="F14" s="218" t="s">
        <v>38</v>
      </c>
      <c r="G14" s="219"/>
      <c r="H14" s="220">
        <f>D54</f>
        <v>42628.5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242379.5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1296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9"/>
      <c r="I19" s="279"/>
      <c r="J19" s="2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2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25"/>
      <c r="G23" s="37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96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285008</v>
      </c>
      <c r="F29" s="132" t="s">
        <v>54</v>
      </c>
      <c r="G29" s="194"/>
      <c r="H29" s="154">
        <f>H15-H16-H17-H18-H19-H20-H22-H23-H24+H26+H27</f>
        <v>241083.5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221</v>
      </c>
      <c r="H34" s="176">
        <f>F34*G34</f>
        <v>221000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37</v>
      </c>
      <c r="H35" s="176">
        <f t="shared" ref="H35:H39" si="2">F35*G35</f>
        <v>18500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>
        <v>2</v>
      </c>
      <c r="H37" s="176">
        <f t="shared" si="2"/>
        <v>200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76">
        <f t="shared" si="2"/>
        <v>50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2</v>
      </c>
      <c r="H39" s="176">
        <f t="shared" si="2"/>
        <v>40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>
        <v>67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93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62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94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11</v>
      </c>
      <c r="D49" s="12">
        <f>C49*42</f>
        <v>462</v>
      </c>
      <c r="F49" s="152" t="s">
        <v>85</v>
      </c>
      <c r="G49" s="154">
        <f>H34+H35+H36+H37+H38+H39+H40+H41+G42+H44+H45+H46</f>
        <v>239857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3</v>
      </c>
      <c r="D50" s="12">
        <f>C50*1.5</f>
        <v>4.5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131</v>
      </c>
      <c r="G51" s="273">
        <f>G49-H29</f>
        <v>-1226.5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42628.5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75459-EBEB-44EA-BD15-F3772CC98A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3</v>
      </c>
      <c r="H4" s="233" t="s">
        <v>9</v>
      </c>
      <c r="I4" s="235">
        <v>46146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484</v>
      </c>
      <c r="D6" s="13">
        <f t="shared" ref="D6:D28" si="1">C6*L6</f>
        <v>368324</v>
      </c>
      <c r="F6" s="239" t="s">
        <v>16</v>
      </c>
      <c r="G6" s="241" t="s">
        <v>117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11</v>
      </c>
      <c r="D7" s="13">
        <f t="shared" si="1"/>
        <v>8591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110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58</v>
      </c>
      <c r="D9" s="13">
        <f t="shared" si="1"/>
        <v>42514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>
        <v>2</v>
      </c>
      <c r="D10" s="13">
        <f t="shared" si="1"/>
        <v>2064</v>
      </c>
      <c r="F10" s="239" t="s">
        <v>26</v>
      </c>
      <c r="G10" s="254" t="s">
        <v>124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16</v>
      </c>
      <c r="D13" s="48">
        <f t="shared" si="1"/>
        <v>4912</v>
      </c>
      <c r="F13" s="260" t="s">
        <v>36</v>
      </c>
      <c r="G13" s="224"/>
      <c r="H13" s="215">
        <f>D29</f>
        <v>426537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12</v>
      </c>
      <c r="D14" s="31">
        <f t="shared" si="1"/>
        <v>132</v>
      </c>
      <c r="F14" s="218" t="s">
        <v>38</v>
      </c>
      <c r="G14" s="219"/>
      <c r="H14" s="220">
        <f>D54</f>
        <v>63285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363252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f>1296+300+732</f>
        <v>2328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>
        <v>50</v>
      </c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96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426537</v>
      </c>
      <c r="F29" s="132" t="s">
        <v>54</v>
      </c>
      <c r="G29" s="194"/>
      <c r="H29" s="154">
        <f>H15-H16-H17-H18-H19-H20-H22-H23-H24+H26+H27</f>
        <v>360874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177</v>
      </c>
      <c r="H34" s="176">
        <f>F34*G34</f>
        <v>177000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201</v>
      </c>
      <c r="H35" s="176">
        <f>F35*G35</f>
        <v>100500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f>432+97</f>
        <v>529</v>
      </c>
      <c r="D37" s="12">
        <f>C37*111</f>
        <v>58719</v>
      </c>
      <c r="F37" s="12">
        <v>100</v>
      </c>
      <c r="G37" s="39">
        <v>51</v>
      </c>
      <c r="H37" s="176">
        <f t="shared" si="2"/>
        <v>5100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22</v>
      </c>
      <c r="D38" s="12">
        <f>C38*84</f>
        <v>1848</v>
      </c>
      <c r="F38" s="30">
        <v>50</v>
      </c>
      <c r="G38" s="39">
        <v>12</v>
      </c>
      <c r="H38" s="176">
        <f t="shared" si="2"/>
        <v>600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8</v>
      </c>
      <c r="D42" s="12">
        <f>C42*2.25</f>
        <v>18</v>
      </c>
      <c r="F42" s="39" t="s">
        <v>78</v>
      </c>
      <c r="G42" s="176">
        <v>101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93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143</v>
      </c>
      <c r="H44" s="171">
        <v>79565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1</v>
      </c>
      <c r="D49" s="12">
        <f>C49*42</f>
        <v>42</v>
      </c>
      <c r="F49" s="152" t="s">
        <v>85</v>
      </c>
      <c r="G49" s="154">
        <f>H34+H35+H36+H37+H38+H39+H40+H41+G42+H44+H45+H46</f>
        <v>362866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13</v>
      </c>
      <c r="D50" s="12">
        <f>C50*1.5</f>
        <v>19.5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115</v>
      </c>
      <c r="G51" s="162">
        <f>G49-H29</f>
        <v>1992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63285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B753A-9F26-44C6-A6ED-0043AF28A94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8" t="s">
        <v>1</v>
      </c>
      <c r="O1" s="228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9" t="s">
        <v>7</v>
      </c>
      <c r="B4" s="180"/>
      <c r="C4" s="180"/>
      <c r="D4" s="181"/>
      <c r="F4" s="229" t="s">
        <v>8</v>
      </c>
      <c r="G4" s="231"/>
      <c r="H4" s="233" t="s">
        <v>9</v>
      </c>
      <c r="I4" s="235"/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4"/>
      <c r="B6" s="16"/>
      <c r="C6" s="10"/>
      <c r="D6" s="13">
        <f t="shared" ref="D6:D28" si="1">C6*L6</f>
        <v>0</v>
      </c>
      <c r="F6" s="239" t="s">
        <v>16</v>
      </c>
      <c r="G6" s="241"/>
      <c r="H6" s="242"/>
      <c r="I6" s="242"/>
      <c r="J6" s="2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4"/>
      <c r="B7" s="16"/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4"/>
      <c r="B8" s="16"/>
      <c r="C8" s="10"/>
      <c r="D8" s="13">
        <f t="shared" si="1"/>
        <v>0</v>
      </c>
      <c r="F8" s="247" t="s">
        <v>21</v>
      </c>
      <c r="G8" s="248"/>
      <c r="H8" s="249"/>
      <c r="I8" s="249"/>
      <c r="J8" s="2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4"/>
      <c r="B9" s="16"/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4"/>
      <c r="C10" s="10"/>
      <c r="D10" s="13">
        <f t="shared" si="1"/>
        <v>0</v>
      </c>
      <c r="F10" s="239" t="s">
        <v>26</v>
      </c>
      <c r="G10" s="254"/>
      <c r="H10" s="255"/>
      <c r="I10" s="255"/>
      <c r="J10" s="256"/>
      <c r="K10" s="8"/>
      <c r="L10" s="6">
        <f>R36</f>
        <v>972</v>
      </c>
      <c r="P10" s="4"/>
      <c r="Q10" s="4"/>
      <c r="R10" s="5"/>
    </row>
    <row r="11" spans="1:19" ht="15.75" x14ac:dyDescent="0.25">
      <c r="A11" s="174"/>
      <c r="B11" s="17"/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4"/>
      <c r="B12" s="17"/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4"/>
      <c r="B13" s="17"/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4"/>
      <c r="B14" s="14"/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4"/>
      <c r="B15" s="14"/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14"/>
      <c r="C19" s="10"/>
      <c r="D19" s="48">
        <f t="shared" si="1"/>
        <v>0</v>
      </c>
      <c r="F19" s="56"/>
      <c r="G19" s="68" t="s">
        <v>49</v>
      </c>
      <c r="H19" s="197"/>
      <c r="I19" s="197"/>
      <c r="J19" s="19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4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4"/>
      <c r="B22" s="46"/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/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/>
      <c r="C24" s="10"/>
      <c r="D24" s="48">
        <f t="shared" si="1"/>
        <v>0</v>
      </c>
      <c r="F24" s="38"/>
      <c r="G24" s="37"/>
      <c r="H24" s="202"/>
      <c r="I24" s="171"/>
      <c r="J24" s="17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4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/>
      <c r="C28" s="10"/>
      <c r="D28" s="48">
        <f t="shared" si="1"/>
        <v>0</v>
      </c>
      <c r="F28" s="96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/>
      <c r="I34" s="177"/>
      <c r="J34" s="17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/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/>
      <c r="I36" s="177"/>
      <c r="J36" s="17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/>
      <c r="I37" s="177"/>
      <c r="J37" s="17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/>
      <c r="I38" s="177"/>
      <c r="J38" s="17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/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93" t="s">
        <v>82</v>
      </c>
      <c r="H43" s="168" t="s">
        <v>13</v>
      </c>
      <c r="I43" s="169"/>
      <c r="J43" s="170"/>
      <c r="K43" s="21"/>
      <c r="P43" s="4"/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P44" s="4"/>
      <c r="Q44" s="4"/>
      <c r="R44" s="5"/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P50" s="4"/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106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81491-97FD-42F4-B570-A89C1B48DB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1</v>
      </c>
      <c r="H4" s="233" t="s">
        <v>9</v>
      </c>
      <c r="I4" s="235">
        <v>46147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458</v>
      </c>
      <c r="D6" s="13">
        <f t="shared" ref="D6:D28" si="1">C6*L6</f>
        <v>348538</v>
      </c>
      <c r="F6" s="239" t="s">
        <v>16</v>
      </c>
      <c r="G6" s="241" t="s">
        <v>99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12</v>
      </c>
      <c r="D7" s="13">
        <f t="shared" si="1"/>
        <v>9372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120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108</v>
      </c>
      <c r="D9" s="13">
        <f t="shared" si="1"/>
        <v>79164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>
        <v>7</v>
      </c>
      <c r="D10" s="13">
        <f t="shared" si="1"/>
        <v>7224</v>
      </c>
      <c r="F10" s="239" t="s">
        <v>26</v>
      </c>
      <c r="G10" s="254" t="s">
        <v>108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f>6+5+2</f>
        <v>13</v>
      </c>
      <c r="D12" s="48">
        <f t="shared" si="1"/>
        <v>12896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5</v>
      </c>
      <c r="D13" s="48">
        <f t="shared" si="1"/>
        <v>1535</v>
      </c>
      <c r="F13" s="260" t="s">
        <v>36</v>
      </c>
      <c r="G13" s="224"/>
      <c r="H13" s="215">
        <f>D29</f>
        <v>470610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6</v>
      </c>
      <c r="D14" s="31">
        <f t="shared" si="1"/>
        <v>66</v>
      </c>
      <c r="F14" s="218" t="s">
        <v>38</v>
      </c>
      <c r="G14" s="219"/>
      <c r="H14" s="220">
        <f>D54</f>
        <v>69966.75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>
        <v>1</v>
      </c>
      <c r="D15" s="31">
        <f t="shared" si="1"/>
        <v>620</v>
      </c>
      <c r="F15" s="223" t="s">
        <v>39</v>
      </c>
      <c r="G15" s="224"/>
      <c r="H15" s="225">
        <f>H13-H14</f>
        <v>400643.25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85">
        <v>2682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3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104" t="s">
        <v>144</v>
      </c>
      <c r="C20" s="10">
        <v>1</v>
      </c>
      <c r="D20" s="13">
        <f t="shared" si="1"/>
        <v>1582</v>
      </c>
      <c r="F20" s="57"/>
      <c r="G20" s="70" t="s">
        <v>102</v>
      </c>
      <c r="H20" s="185">
        <v>200</v>
      </c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 t="s">
        <v>146</v>
      </c>
      <c r="G22" s="73">
        <v>10342</v>
      </c>
      <c r="H22" s="201">
        <v>92804</v>
      </c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7"/>
      <c r="G23" s="79"/>
      <c r="H23" s="269"/>
      <c r="I23" s="270"/>
      <c r="J23" s="2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77"/>
      <c r="G24" s="79"/>
      <c r="H24" s="269"/>
      <c r="I24" s="270"/>
      <c r="J24" s="27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75" t="s">
        <v>146</v>
      </c>
      <c r="G26" s="65">
        <v>10315</v>
      </c>
      <c r="H26" s="171">
        <v>83980</v>
      </c>
      <c r="I26" s="171"/>
      <c r="J26" s="17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71"/>
      <c r="G27" s="93"/>
      <c r="H27" s="271"/>
      <c r="I27" s="272"/>
      <c r="J27" s="27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>
        <v>8</v>
      </c>
      <c r="D28" s="48">
        <f t="shared" si="1"/>
        <v>6488</v>
      </c>
      <c r="F28" s="96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470610</v>
      </c>
      <c r="F29" s="132" t="s">
        <v>54</v>
      </c>
      <c r="G29" s="194"/>
      <c r="H29" s="154">
        <f>H15-H16-H17-H18-H19-H20-H22-H23-H24+H26+H27+H28</f>
        <v>388937.25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6</v>
      </c>
      <c r="H34" s="176">
        <f t="shared" ref="H34:H39" si="2">F34*G34</f>
        <v>6000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</v>
      </c>
      <c r="H35" s="176">
        <f t="shared" si="2"/>
        <v>1000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176">
        <f t="shared" si="2"/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585</v>
      </c>
      <c r="D37" s="12">
        <f>C37*111</f>
        <v>64935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12</v>
      </c>
      <c r="D38" s="12">
        <f>C38*84</f>
        <v>1008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93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8</v>
      </c>
      <c r="D44" s="12">
        <f>C44*120</f>
        <v>960</v>
      </c>
      <c r="F44" s="37" t="s">
        <v>132</v>
      </c>
      <c r="G44" s="62" t="s">
        <v>145</v>
      </c>
      <c r="H44" s="171">
        <v>294438.25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>
        <v>5</v>
      </c>
      <c r="D45" s="12">
        <f>C45*84</f>
        <v>420</v>
      </c>
      <c r="F45" s="37" t="s">
        <v>136</v>
      </c>
      <c r="G45" s="103" t="s">
        <v>141</v>
      </c>
      <c r="H45" s="171">
        <v>83980</v>
      </c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>
        <v>17</v>
      </c>
      <c r="D46" s="12">
        <f>C46*1.5</f>
        <v>25.5</v>
      </c>
      <c r="F46" s="37"/>
      <c r="G46" s="62"/>
      <c r="H46" s="171"/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385418.25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6</v>
      </c>
      <c r="D50" s="12">
        <f>C50*1.5</f>
        <v>9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109</v>
      </c>
      <c r="G51" s="273">
        <f>G49-H29</f>
        <v>-3519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69966.75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339C5-1B85-45D5-83F6-A2EED0AC82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2</v>
      </c>
      <c r="H4" s="233" t="s">
        <v>9</v>
      </c>
      <c r="I4" s="235">
        <v>46147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414</v>
      </c>
      <c r="D6" s="13">
        <f t="shared" ref="D6:D28" si="1">C6*L6</f>
        <v>315054</v>
      </c>
      <c r="F6" s="239" t="s">
        <v>16</v>
      </c>
      <c r="G6" s="241" t="s">
        <v>107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11</v>
      </c>
      <c r="D7" s="13">
        <f t="shared" si="1"/>
        <v>8591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100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59</v>
      </c>
      <c r="D9" s="13">
        <f t="shared" si="1"/>
        <v>43247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101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12</v>
      </c>
      <c r="D13" s="48">
        <f t="shared" si="1"/>
        <v>3684</v>
      </c>
      <c r="F13" s="260" t="s">
        <v>36</v>
      </c>
      <c r="G13" s="224"/>
      <c r="H13" s="215">
        <f>D29</f>
        <v>371226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57882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313344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5">
        <v>2676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9"/>
      <c r="I19" s="279"/>
      <c r="J19" s="2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2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25"/>
      <c r="G23" s="37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96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371226</v>
      </c>
      <c r="F29" s="132" t="s">
        <v>54</v>
      </c>
      <c r="G29" s="194"/>
      <c r="H29" s="154">
        <f>H15-H16-H17-H18-H19-H20-H22-H23-H24+H26+H27</f>
        <v>310668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21</v>
      </c>
      <c r="H34" s="176">
        <f>F34*G34</f>
        <v>21000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4</v>
      </c>
      <c r="H35" s="176">
        <f t="shared" ref="H35:H39" si="2">F35*G35</f>
        <v>2000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487</v>
      </c>
      <c r="D37" s="12">
        <f>C37*111</f>
        <v>54057</v>
      </c>
      <c r="F37" s="12">
        <v>100</v>
      </c>
      <c r="G37" s="39">
        <v>3</v>
      </c>
      <c r="H37" s="176">
        <f t="shared" si="2"/>
        <v>300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14</v>
      </c>
      <c r="D38" s="12">
        <f>C38*84</f>
        <v>1176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4</v>
      </c>
      <c r="D42" s="12">
        <f>C42*2.25</f>
        <v>9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93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 t="s">
        <v>147</v>
      </c>
      <c r="G44" s="102" t="s">
        <v>148</v>
      </c>
      <c r="H44" s="171">
        <v>159300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 t="s">
        <v>132</v>
      </c>
      <c r="G45" s="62" t="s">
        <v>149</v>
      </c>
      <c r="H45" s="171">
        <v>128857</v>
      </c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94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4</v>
      </c>
      <c r="D49" s="12">
        <f>C49*42</f>
        <v>168</v>
      </c>
      <c r="F49" s="152" t="s">
        <v>85</v>
      </c>
      <c r="G49" s="154">
        <f>H34+H35+H36+H37+H38+H39+H40+H41+G42+H44+H45+H46</f>
        <v>311457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11</v>
      </c>
      <c r="D50" s="12">
        <f>C50*1.5</f>
        <v>16.5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112</v>
      </c>
      <c r="G51" s="162">
        <f>G49-H29</f>
        <v>789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57882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CD118-A87B-4CDB-9891-BD41483C16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3</v>
      </c>
      <c r="H4" s="233" t="s">
        <v>9</v>
      </c>
      <c r="I4" s="235">
        <v>46147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542</v>
      </c>
      <c r="D6" s="13">
        <f t="shared" ref="D6:D28" si="1">C6*L6</f>
        <v>412462</v>
      </c>
      <c r="F6" s="239" t="s">
        <v>16</v>
      </c>
      <c r="G6" s="241" t="s">
        <v>117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12</v>
      </c>
      <c r="D7" s="13">
        <f t="shared" si="1"/>
        <v>9372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110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72</v>
      </c>
      <c r="D9" s="13">
        <f t="shared" si="1"/>
        <v>52776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>
        <v>2</v>
      </c>
      <c r="D10" s="13">
        <f t="shared" si="1"/>
        <v>2064</v>
      </c>
      <c r="F10" s="239" t="s">
        <v>26</v>
      </c>
      <c r="G10" s="254" t="s">
        <v>124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21</v>
      </c>
      <c r="D13" s="48">
        <f t="shared" si="1"/>
        <v>6447</v>
      </c>
      <c r="F13" s="260" t="s">
        <v>36</v>
      </c>
      <c r="G13" s="224"/>
      <c r="H13" s="215">
        <f>D29</f>
        <v>518703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12</v>
      </c>
      <c r="D14" s="31">
        <f t="shared" si="1"/>
        <v>132</v>
      </c>
      <c r="F14" s="218" t="s">
        <v>38</v>
      </c>
      <c r="G14" s="219"/>
      <c r="H14" s="220">
        <f>D54</f>
        <v>77449.5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>
        <f>5+5</f>
        <v>10</v>
      </c>
      <c r="D15" s="31">
        <f t="shared" si="1"/>
        <v>6200</v>
      </c>
      <c r="F15" s="223" t="s">
        <v>39</v>
      </c>
      <c r="G15" s="224"/>
      <c r="H15" s="225">
        <f>H13-H14</f>
        <v>441253.5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>
        <f>22+23</f>
        <v>45</v>
      </c>
      <c r="D16" s="48">
        <f t="shared" si="1"/>
        <v>29250</v>
      </c>
      <c r="F16" s="67" t="s">
        <v>41</v>
      </c>
      <c r="G16" s="66" t="s">
        <v>42</v>
      </c>
      <c r="H16" s="185">
        <f>612+1656+1092</f>
        <v>3360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96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518703</v>
      </c>
      <c r="F29" s="132" t="s">
        <v>54</v>
      </c>
      <c r="G29" s="194"/>
      <c r="H29" s="154">
        <f>H15-H16-H17-H18-H19-H20-H22-H23-H24+H26+H27</f>
        <v>437893.5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61</v>
      </c>
      <c r="H34" s="176">
        <f>F34*G34</f>
        <v>61000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6</v>
      </c>
      <c r="H35" s="176">
        <f>F35*G35</f>
        <v>3000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688</v>
      </c>
      <c r="D37" s="12">
        <f>C37*111</f>
        <v>76368</v>
      </c>
      <c r="F37" s="12">
        <v>100</v>
      </c>
      <c r="G37" s="39">
        <v>7</v>
      </c>
      <c r="H37" s="176">
        <f t="shared" si="2"/>
        <v>700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>
        <v>3</v>
      </c>
      <c r="H38" s="176">
        <f t="shared" si="2"/>
        <v>150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>
        <v>58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93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 t="s">
        <v>136</v>
      </c>
      <c r="G44" s="76" t="s">
        <v>150</v>
      </c>
      <c r="H44" s="171">
        <v>61578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>
        <v>1</v>
      </c>
      <c r="D45" s="12">
        <f>C45*84</f>
        <v>84</v>
      </c>
      <c r="F45" s="37" t="s">
        <v>136</v>
      </c>
      <c r="G45" s="76" t="s">
        <v>151</v>
      </c>
      <c r="H45" s="171">
        <v>193355</v>
      </c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>
        <v>13</v>
      </c>
      <c r="D46" s="12">
        <f>C46*1.5</f>
        <v>19.5</v>
      </c>
      <c r="F46" s="37" t="s">
        <v>136</v>
      </c>
      <c r="G46" s="76" t="s">
        <v>152</v>
      </c>
      <c r="H46" s="171">
        <v>118134</v>
      </c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437975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115</v>
      </c>
      <c r="G51" s="162">
        <f>G49-H29</f>
        <v>81.5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77449.5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9932F-22C0-4BDB-8974-7752840CA41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8" t="s">
        <v>1</v>
      </c>
      <c r="O1" s="228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9" t="s">
        <v>7</v>
      </c>
      <c r="B4" s="180"/>
      <c r="C4" s="180"/>
      <c r="D4" s="181"/>
      <c r="F4" s="229" t="s">
        <v>8</v>
      </c>
      <c r="G4" s="231"/>
      <c r="H4" s="233" t="s">
        <v>9</v>
      </c>
      <c r="I4" s="235"/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4"/>
      <c r="B6" s="16"/>
      <c r="C6" s="10"/>
      <c r="D6" s="13">
        <f t="shared" ref="D6:D28" si="1">C6*L6</f>
        <v>0</v>
      </c>
      <c r="F6" s="239" t="s">
        <v>16</v>
      </c>
      <c r="G6" s="241"/>
      <c r="H6" s="242"/>
      <c r="I6" s="242"/>
      <c r="J6" s="2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4"/>
      <c r="B7" s="16"/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4"/>
      <c r="B8" s="16"/>
      <c r="C8" s="10"/>
      <c r="D8" s="13">
        <f t="shared" si="1"/>
        <v>0</v>
      </c>
      <c r="F8" s="247" t="s">
        <v>21</v>
      </c>
      <c r="G8" s="248"/>
      <c r="H8" s="249"/>
      <c r="I8" s="249"/>
      <c r="J8" s="2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4"/>
      <c r="B9" s="16"/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4"/>
      <c r="C10" s="10"/>
      <c r="D10" s="13">
        <f t="shared" si="1"/>
        <v>0</v>
      </c>
      <c r="F10" s="239" t="s">
        <v>26</v>
      </c>
      <c r="G10" s="254"/>
      <c r="H10" s="255"/>
      <c r="I10" s="255"/>
      <c r="J10" s="256"/>
      <c r="K10" s="8"/>
      <c r="L10" s="6">
        <f>R36</f>
        <v>972</v>
      </c>
      <c r="P10" s="4"/>
      <c r="Q10" s="4"/>
      <c r="R10" s="5"/>
    </row>
    <row r="11" spans="1:19" ht="15.75" x14ac:dyDescent="0.25">
      <c r="A11" s="174"/>
      <c r="B11" s="17"/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4"/>
      <c r="B12" s="17"/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4"/>
      <c r="B13" s="17"/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4"/>
      <c r="B14" s="14"/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4"/>
      <c r="B15" s="14"/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14"/>
      <c r="C19" s="10"/>
      <c r="D19" s="48">
        <f t="shared" si="1"/>
        <v>0</v>
      </c>
      <c r="F19" s="56"/>
      <c r="G19" s="68" t="s">
        <v>49</v>
      </c>
      <c r="H19" s="197"/>
      <c r="I19" s="197"/>
      <c r="J19" s="19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4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4"/>
      <c r="B22" s="46"/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/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/>
      <c r="C24" s="10"/>
      <c r="D24" s="48">
        <f t="shared" si="1"/>
        <v>0</v>
      </c>
      <c r="F24" s="38"/>
      <c r="G24" s="37"/>
      <c r="H24" s="202"/>
      <c r="I24" s="171"/>
      <c r="J24" s="17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4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/>
      <c r="C28" s="10"/>
      <c r="D28" s="48">
        <f t="shared" si="1"/>
        <v>0</v>
      </c>
      <c r="F28" s="96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/>
      <c r="I34" s="177"/>
      <c r="J34" s="17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/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/>
      <c r="I36" s="177"/>
      <c r="J36" s="17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/>
      <c r="I37" s="177"/>
      <c r="J37" s="17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/>
      <c r="I38" s="177"/>
      <c r="J38" s="17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/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93" t="s">
        <v>82</v>
      </c>
      <c r="H43" s="168" t="s">
        <v>13</v>
      </c>
      <c r="I43" s="169"/>
      <c r="J43" s="170"/>
      <c r="K43" s="21"/>
      <c r="P43" s="4"/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P44" s="4"/>
      <c r="Q44" s="4"/>
      <c r="R44" s="5"/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P50" s="4"/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106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6FC69-08B4-4FA9-ABEE-1D54664A1910}">
  <dimension ref="A1:R59"/>
  <sheetViews>
    <sheetView zoomScaleNormal="100" zoomScaleSheetLayoutView="85" workbookViewId="0">
      <selection activeCell="C26" sqref="C2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1</v>
      </c>
      <c r="H4" s="233" t="s">
        <v>9</v>
      </c>
      <c r="I4" s="235">
        <v>46148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253</v>
      </c>
      <c r="D6" s="13">
        <f t="shared" ref="D6:D28" si="1">C6*L6</f>
        <v>192533</v>
      </c>
      <c r="F6" s="239" t="s">
        <v>16</v>
      </c>
      <c r="G6" s="241" t="s">
        <v>99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10</v>
      </c>
      <c r="D7" s="13">
        <f t="shared" si="1"/>
        <v>7810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>
        <v>67</v>
      </c>
      <c r="D8" s="13">
        <f t="shared" si="1"/>
        <v>73231</v>
      </c>
      <c r="F8" s="247" t="s">
        <v>21</v>
      </c>
      <c r="G8" s="248" t="s">
        <v>120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22</v>
      </c>
      <c r="D9" s="13">
        <f t="shared" si="1"/>
        <v>16126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>
        <v>4</v>
      </c>
      <c r="D10" s="13">
        <f t="shared" si="1"/>
        <v>4128</v>
      </c>
      <c r="F10" s="239" t="s">
        <v>26</v>
      </c>
      <c r="G10" s="254" t="s">
        <v>108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f>3+1</f>
        <v>4</v>
      </c>
      <c r="D12" s="48">
        <f t="shared" si="1"/>
        <v>3968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3</v>
      </c>
      <c r="D13" s="48">
        <f t="shared" si="1"/>
        <v>921</v>
      </c>
      <c r="F13" s="260" t="s">
        <v>36</v>
      </c>
      <c r="G13" s="224"/>
      <c r="H13" s="215">
        <f>D29</f>
        <v>302093.91666666669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18</v>
      </c>
      <c r="D14" s="31">
        <f t="shared" si="1"/>
        <v>198</v>
      </c>
      <c r="F14" s="218" t="s">
        <v>38</v>
      </c>
      <c r="G14" s="219"/>
      <c r="H14" s="220">
        <f>D54</f>
        <v>40819.5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>
        <f>1+1</f>
        <v>2</v>
      </c>
      <c r="D15" s="31">
        <f t="shared" si="1"/>
        <v>1240</v>
      </c>
      <c r="F15" s="223" t="s">
        <v>39</v>
      </c>
      <c r="G15" s="224"/>
      <c r="H15" s="225">
        <f>H13-H14</f>
        <v>261274.41666666669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 t="s">
        <v>153</v>
      </c>
      <c r="G22" s="73">
        <v>10503</v>
      </c>
      <c r="H22" s="201">
        <v>70631</v>
      </c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7"/>
      <c r="G23" s="79"/>
      <c r="H23" s="269"/>
      <c r="I23" s="270"/>
      <c r="J23" s="2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161</v>
      </c>
      <c r="C24" s="10"/>
      <c r="D24" s="48">
        <f t="shared" si="1"/>
        <v>0</v>
      </c>
      <c r="F24" s="77"/>
      <c r="G24" s="79"/>
      <c r="H24" s="269"/>
      <c r="I24" s="270"/>
      <c r="J24" s="270"/>
      <c r="L24" s="47">
        <f>559+111</f>
        <v>670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162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>
        <v>11</v>
      </c>
      <c r="D26" s="48">
        <f>C26*L26</f>
        <v>638.91666666666674</v>
      </c>
      <c r="F26" s="75"/>
      <c r="G26" s="65"/>
      <c r="H26" s="171"/>
      <c r="I26" s="171"/>
      <c r="J26" s="17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71"/>
      <c r="G27" s="93"/>
      <c r="H27" s="271"/>
      <c r="I27" s="272"/>
      <c r="J27" s="27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96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302093.91666666669</v>
      </c>
      <c r="F29" s="132" t="s">
        <v>54</v>
      </c>
      <c r="G29" s="194"/>
      <c r="H29" s="154">
        <f>H15-H16-H17-H18-H19-H20-H22-H23-H24+H26+H27+H28</f>
        <v>190643.41666666669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138</v>
      </c>
      <c r="H34" s="176">
        <f t="shared" ref="H34:H39" si="2">F34*G34</f>
        <v>138000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72</v>
      </c>
      <c r="H35" s="176">
        <f t="shared" si="2"/>
        <v>36000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76">
        <f t="shared" si="2"/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273</v>
      </c>
      <c r="D37" s="12">
        <f>C37*111</f>
        <v>30303</v>
      </c>
      <c r="F37" s="12">
        <v>100</v>
      </c>
      <c r="G37" s="39">
        <v>2</v>
      </c>
      <c r="H37" s="176">
        <f t="shared" si="2"/>
        <v>200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14</v>
      </c>
      <c r="H38" s="176">
        <f t="shared" si="2"/>
        <v>700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2</v>
      </c>
      <c r="H39" s="176">
        <f t="shared" si="2"/>
        <v>40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6</v>
      </c>
      <c r="D42" s="12">
        <f>C42*2.25</f>
        <v>13.5</v>
      </c>
      <c r="F42" s="39" t="s">
        <v>78</v>
      </c>
      <c r="G42" s="176">
        <v>117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93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77</v>
      </c>
      <c r="D44" s="12">
        <f>C44*120</f>
        <v>9240</v>
      </c>
      <c r="F44" s="37" t="s">
        <v>137</v>
      </c>
      <c r="G44" s="62"/>
      <c r="H44" s="171">
        <v>10000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 t="s">
        <v>137</v>
      </c>
      <c r="G45" s="62"/>
      <c r="H45" s="171">
        <v>7230</v>
      </c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1"/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192287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6</v>
      </c>
      <c r="D50" s="12">
        <f>C50*1.5</f>
        <v>9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115</v>
      </c>
      <c r="G51" s="162">
        <f>G49-H29</f>
        <v>1643.5833333333139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40819.5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FC04-D11B-4DCF-B47D-D580C4944F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2</v>
      </c>
      <c r="H4" s="233" t="s">
        <v>9</v>
      </c>
      <c r="I4" s="235">
        <v>46148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368</v>
      </c>
      <c r="D6" s="13">
        <f t="shared" ref="D6:D28" si="1">C6*L6</f>
        <v>280048</v>
      </c>
      <c r="F6" s="239" t="s">
        <v>16</v>
      </c>
      <c r="G6" s="241" t="s">
        <v>107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10</v>
      </c>
      <c r="D7" s="13">
        <f t="shared" si="1"/>
        <v>7810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100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54</v>
      </c>
      <c r="D9" s="13">
        <f t="shared" si="1"/>
        <v>39582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101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13</v>
      </c>
      <c r="D13" s="48">
        <f t="shared" si="1"/>
        <v>3991</v>
      </c>
      <c r="F13" s="260" t="s">
        <v>36</v>
      </c>
      <c r="G13" s="224"/>
      <c r="H13" s="215">
        <f>D29</f>
        <v>331431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48594.75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282836.25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2076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9"/>
      <c r="I19" s="279"/>
      <c r="J19" s="2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2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25"/>
      <c r="G23" s="37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96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331431</v>
      </c>
      <c r="F29" s="132" t="s">
        <v>54</v>
      </c>
      <c r="G29" s="194"/>
      <c r="H29" s="154">
        <f>H15-H16-H17-H18-H19-H20-H22-H23-H24+H26+H27</f>
        <v>280760.25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227</v>
      </c>
      <c r="H34" s="176">
        <f>F34*G34</f>
        <v>227000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107</v>
      </c>
      <c r="H35" s="176">
        <f t="shared" ref="H35:H39" si="2">F35*G35</f>
        <v>53500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430</v>
      </c>
      <c r="D37" s="12">
        <f>C37*111</f>
        <v>47730</v>
      </c>
      <c r="F37" s="12">
        <v>100</v>
      </c>
      <c r="G37" s="39">
        <v>2</v>
      </c>
      <c r="H37" s="176">
        <f t="shared" si="2"/>
        <v>200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176">
        <f t="shared" si="2"/>
        <v>50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76">
        <v>28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93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62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94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10</v>
      </c>
      <c r="D49" s="12">
        <f>C49*42</f>
        <v>420</v>
      </c>
      <c r="F49" s="152" t="s">
        <v>85</v>
      </c>
      <c r="G49" s="154">
        <f>H34+H35+H36+H37+H38+H39+H40+H41+G42+H44+H45+H46</f>
        <v>280778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112</v>
      </c>
      <c r="G51" s="162">
        <f>G49-H29</f>
        <v>17.75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48594.75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055C0-4DE8-46DB-BCF6-479A351D9D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3</v>
      </c>
      <c r="H4" s="233" t="s">
        <v>9</v>
      </c>
      <c r="I4" s="235">
        <v>46148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331</v>
      </c>
      <c r="D6" s="13">
        <f t="shared" ref="D6:D28" si="1">C6*L6</f>
        <v>251891</v>
      </c>
      <c r="F6" s="239" t="s">
        <v>16</v>
      </c>
      <c r="G6" s="241" t="s">
        <v>117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10</v>
      </c>
      <c r="D7" s="13">
        <f t="shared" si="1"/>
        <v>7810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110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58</v>
      </c>
      <c r="D9" s="13">
        <f t="shared" si="1"/>
        <v>42514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>
        <v>6</v>
      </c>
      <c r="D10" s="13">
        <f t="shared" si="1"/>
        <v>6192</v>
      </c>
      <c r="F10" s="239" t="s">
        <v>26</v>
      </c>
      <c r="G10" s="254" t="s">
        <v>124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v>2</v>
      </c>
      <c r="D12" s="48">
        <f t="shared" si="1"/>
        <v>1984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11</v>
      </c>
      <c r="D13" s="48">
        <f t="shared" si="1"/>
        <v>3377</v>
      </c>
      <c r="F13" s="260" t="s">
        <v>36</v>
      </c>
      <c r="G13" s="224"/>
      <c r="H13" s="215">
        <f>D29</f>
        <v>324737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15</v>
      </c>
      <c r="D14" s="31">
        <f t="shared" si="1"/>
        <v>165</v>
      </c>
      <c r="F14" s="218" t="s">
        <v>38</v>
      </c>
      <c r="G14" s="219"/>
      <c r="H14" s="220">
        <f>D54</f>
        <v>48459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276278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>
        <f>3+3</f>
        <v>6</v>
      </c>
      <c r="D16" s="48">
        <f t="shared" si="1"/>
        <v>3900</v>
      </c>
      <c r="F16" s="67" t="s">
        <v>41</v>
      </c>
      <c r="G16" s="66" t="s">
        <v>42</v>
      </c>
      <c r="H16" s="185">
        <f>690+612+888</f>
        <v>2190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>
        <f>1+1</f>
        <v>2</v>
      </c>
      <c r="D18" s="48">
        <f t="shared" si="1"/>
        <v>2204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>
        <f>1+3</f>
        <v>4</v>
      </c>
      <c r="D19" s="48">
        <f t="shared" si="1"/>
        <v>4700</v>
      </c>
      <c r="F19" s="56"/>
      <c r="G19" s="68" t="s">
        <v>49</v>
      </c>
      <c r="H19" s="280">
        <v>50</v>
      </c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96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324737</v>
      </c>
      <c r="F29" s="132" t="s">
        <v>54</v>
      </c>
      <c r="G29" s="194"/>
      <c r="H29" s="154">
        <f>H15-H16-H17-H18-H19-H20-H22-H23-H24+H26+H27</f>
        <v>274038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4">
        <v>126</v>
      </c>
      <c r="H34" s="176">
        <f>F34*G34</f>
        <v>126000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76">
        <f>F35*G35</f>
        <v>500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408</v>
      </c>
      <c r="D37" s="12">
        <f>C37*111</f>
        <v>45288</v>
      </c>
      <c r="F37" s="12">
        <v>100</v>
      </c>
      <c r="G37" s="39">
        <v>1</v>
      </c>
      <c r="H37" s="176">
        <f t="shared" si="2"/>
        <v>100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>
        <v>2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93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5</v>
      </c>
      <c r="D44" s="12">
        <f>C44*120</f>
        <v>600</v>
      </c>
      <c r="F44" s="37" t="s">
        <v>132</v>
      </c>
      <c r="G44" s="76" t="s">
        <v>154</v>
      </c>
      <c r="H44" s="171">
        <v>79238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 t="s">
        <v>132</v>
      </c>
      <c r="G45" s="76" t="s">
        <v>155</v>
      </c>
      <c r="H45" s="171">
        <v>68148</v>
      </c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273988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8</v>
      </c>
      <c r="D50" s="12">
        <f>C50*1.5</f>
        <v>12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109</v>
      </c>
      <c r="G51" s="273">
        <f>G49-H29</f>
        <v>-50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48459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9F317-0097-4DFF-B9AC-43ABCF87CC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8" t="s">
        <v>1</v>
      </c>
      <c r="O1" s="228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9" t="s">
        <v>7</v>
      </c>
      <c r="B4" s="180"/>
      <c r="C4" s="180"/>
      <c r="D4" s="181"/>
      <c r="F4" s="229" t="s">
        <v>8</v>
      </c>
      <c r="G4" s="231"/>
      <c r="H4" s="233" t="s">
        <v>9</v>
      </c>
      <c r="I4" s="235"/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4"/>
      <c r="B6" s="16"/>
      <c r="C6" s="10"/>
      <c r="D6" s="13">
        <f t="shared" ref="D6:D28" si="1">C6*L6</f>
        <v>0</v>
      </c>
      <c r="F6" s="239" t="s">
        <v>16</v>
      </c>
      <c r="G6" s="241"/>
      <c r="H6" s="242"/>
      <c r="I6" s="242"/>
      <c r="J6" s="2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4"/>
      <c r="B7" s="16"/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4"/>
      <c r="B8" s="16"/>
      <c r="C8" s="10"/>
      <c r="D8" s="13">
        <f t="shared" si="1"/>
        <v>0</v>
      </c>
      <c r="F8" s="247" t="s">
        <v>21</v>
      </c>
      <c r="G8" s="248"/>
      <c r="H8" s="249"/>
      <c r="I8" s="249"/>
      <c r="J8" s="2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4"/>
      <c r="B9" s="16"/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4"/>
      <c r="C10" s="10"/>
      <c r="D10" s="13">
        <f t="shared" si="1"/>
        <v>0</v>
      </c>
      <c r="F10" s="239" t="s">
        <v>26</v>
      </c>
      <c r="G10" s="254"/>
      <c r="H10" s="255"/>
      <c r="I10" s="255"/>
      <c r="J10" s="256"/>
      <c r="K10" s="8"/>
      <c r="L10" s="6">
        <f>R36</f>
        <v>972</v>
      </c>
      <c r="P10" s="4"/>
      <c r="Q10" s="4"/>
      <c r="R10" s="5"/>
    </row>
    <row r="11" spans="1:19" ht="15.75" x14ac:dyDescent="0.25">
      <c r="A11" s="174"/>
      <c r="B11" s="17"/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4"/>
      <c r="B12" s="17"/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4"/>
      <c r="B13" s="17"/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4"/>
      <c r="B14" s="14"/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4"/>
      <c r="B15" s="14"/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14"/>
      <c r="C19" s="10"/>
      <c r="D19" s="48">
        <f t="shared" si="1"/>
        <v>0</v>
      </c>
      <c r="F19" s="56"/>
      <c r="G19" s="68" t="s">
        <v>49</v>
      </c>
      <c r="H19" s="197"/>
      <c r="I19" s="197"/>
      <c r="J19" s="19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4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4"/>
      <c r="B22" s="46"/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/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/>
      <c r="C24" s="10"/>
      <c r="D24" s="48">
        <f t="shared" si="1"/>
        <v>0</v>
      </c>
      <c r="F24" s="38"/>
      <c r="G24" s="37"/>
      <c r="H24" s="202"/>
      <c r="I24" s="171"/>
      <c r="J24" s="17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4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/>
      <c r="C28" s="10"/>
      <c r="D28" s="48">
        <f t="shared" si="1"/>
        <v>0</v>
      </c>
      <c r="F28" s="96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/>
      <c r="I34" s="177"/>
      <c r="J34" s="17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/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/>
      <c r="I36" s="177"/>
      <c r="J36" s="17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/>
      <c r="I37" s="177"/>
      <c r="J37" s="17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/>
      <c r="I38" s="177"/>
      <c r="J38" s="17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/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93" t="s">
        <v>82</v>
      </c>
      <c r="H43" s="168" t="s">
        <v>13</v>
      </c>
      <c r="I43" s="169"/>
      <c r="J43" s="170"/>
      <c r="K43" s="21"/>
      <c r="P43" s="4"/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P44" s="4"/>
      <c r="Q44" s="4"/>
      <c r="R44" s="5"/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P50" s="4"/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106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A41E9-CAA6-4673-9FF6-45CBF7A22C01}">
  <dimension ref="A1:R59"/>
  <sheetViews>
    <sheetView zoomScaleNormal="100" zoomScaleSheetLayoutView="85" workbookViewId="0">
      <selection activeCell="C6" sqref="C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1</v>
      </c>
      <c r="H4" s="233" t="s">
        <v>9</v>
      </c>
      <c r="I4" s="235">
        <v>46149</v>
      </c>
      <c r="J4" s="236"/>
      <c r="K4" s="21"/>
      <c r="L4" s="115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467</v>
      </c>
      <c r="D6" s="13">
        <f t="shared" ref="D6:D28" si="1">C6*L6</f>
        <v>355387</v>
      </c>
      <c r="F6" s="239" t="s">
        <v>16</v>
      </c>
      <c r="G6" s="241" t="s">
        <v>99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48</v>
      </c>
      <c r="D7" s="13">
        <f t="shared" si="1"/>
        <v>37488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120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15</v>
      </c>
      <c r="D9" s="13">
        <f t="shared" si="1"/>
        <v>10995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108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5</v>
      </c>
      <c r="D13" s="48">
        <f t="shared" si="1"/>
        <v>1535</v>
      </c>
      <c r="F13" s="260" t="s">
        <v>36</v>
      </c>
      <c r="G13" s="224"/>
      <c r="H13" s="215">
        <f>D29</f>
        <v>405449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4</v>
      </c>
      <c r="D14" s="31">
        <f>C14*L14</f>
        <v>44</v>
      </c>
      <c r="F14" s="218" t="s">
        <v>38</v>
      </c>
      <c r="G14" s="219"/>
      <c r="H14" s="220">
        <f>D54</f>
        <v>70817.25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334631.75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2880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7"/>
      <c r="G23" s="79"/>
      <c r="H23" s="269"/>
      <c r="I23" s="270"/>
      <c r="J23" s="2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77"/>
      <c r="G24" s="79"/>
      <c r="H24" s="269"/>
      <c r="I24" s="270"/>
      <c r="J24" s="27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75"/>
      <c r="G26" s="65"/>
      <c r="H26" s="171"/>
      <c r="I26" s="171"/>
      <c r="J26" s="17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71"/>
      <c r="G27" s="93"/>
      <c r="H27" s="271"/>
      <c r="I27" s="272"/>
      <c r="J27" s="27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96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405449</v>
      </c>
      <c r="F29" s="132" t="s">
        <v>54</v>
      </c>
      <c r="G29" s="194"/>
      <c r="H29" s="154">
        <f>H15-H16-H17-H18-H19-H20-H22-H23-H24+H26+H27+H28</f>
        <v>331751.75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11</v>
      </c>
      <c r="H34" s="176">
        <f t="shared" ref="H34:H39" si="2">F34*G34</f>
        <v>11000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</v>
      </c>
      <c r="H35" s="176">
        <f t="shared" si="2"/>
        <v>3000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si="2"/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559</v>
      </c>
      <c r="D37" s="12">
        <f>C37*111</f>
        <v>62049</v>
      </c>
      <c r="F37" s="12">
        <v>100</v>
      </c>
      <c r="G37" s="39">
        <v>7</v>
      </c>
      <c r="H37" s="176">
        <f t="shared" si="2"/>
        <v>700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20</v>
      </c>
      <c r="D38" s="12">
        <f>C38*84</f>
        <v>1680</v>
      </c>
      <c r="F38" s="30">
        <v>50</v>
      </c>
      <c r="G38" s="39">
        <v>2</v>
      </c>
      <c r="H38" s="176">
        <f t="shared" si="2"/>
        <v>100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176">
        <f t="shared" si="2"/>
        <v>20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18</v>
      </c>
      <c r="D40" s="12">
        <f>C40*111</f>
        <v>1998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76">
        <v>103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93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9</v>
      </c>
      <c r="D44" s="12">
        <f>C44*120</f>
        <v>1080</v>
      </c>
      <c r="F44" s="37" t="s">
        <v>132</v>
      </c>
      <c r="G44" s="62" t="s">
        <v>158</v>
      </c>
      <c r="H44" s="171">
        <v>306035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 t="s">
        <v>136</v>
      </c>
      <c r="G45" s="103" t="s">
        <v>141</v>
      </c>
      <c r="H45" s="171">
        <v>10505</v>
      </c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1"/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69</v>
      </c>
      <c r="D49" s="12">
        <f>C49*42</f>
        <v>2898</v>
      </c>
      <c r="F49" s="152" t="s">
        <v>85</v>
      </c>
      <c r="G49" s="154">
        <f>H34+H35+H36+H37+H38+H39+H40+H41+G42+H44+H45+H46</f>
        <v>331463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109</v>
      </c>
      <c r="G51" s="273">
        <f>G49-H29</f>
        <v>-288.75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70817.25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77E6E-7D36-4F2D-87E7-46F54FFB6B5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1</v>
      </c>
      <c r="H4" s="233" t="s">
        <v>9</v>
      </c>
      <c r="I4" s="235">
        <v>46149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/>
      <c r="D6" s="13">
        <f t="shared" ref="D6:D28" si="1">C6*L6</f>
        <v>0</v>
      </c>
      <c r="F6" s="239" t="s">
        <v>16</v>
      </c>
      <c r="G6" s="241" t="s">
        <v>99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120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108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7"/>
      <c r="G23" s="79"/>
      <c r="H23" s="269"/>
      <c r="I23" s="270"/>
      <c r="J23" s="2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77"/>
      <c r="G24" s="79"/>
      <c r="H24" s="269"/>
      <c r="I24" s="270"/>
      <c r="J24" s="27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75" t="s">
        <v>153</v>
      </c>
      <c r="G26" s="65">
        <v>10503</v>
      </c>
      <c r="H26" s="171">
        <v>70631</v>
      </c>
      <c r="I26" s="171"/>
      <c r="J26" s="17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71"/>
      <c r="G27" s="113"/>
      <c r="H27" s="271"/>
      <c r="I27" s="272"/>
      <c r="J27" s="27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11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H15-H16-H17-H18-H19-H20-H22-H23-H24+H26+H27+H28</f>
        <v>70631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70</v>
      </c>
      <c r="H34" s="176">
        <f t="shared" ref="H34:H39" si="2">F34*G34</f>
        <v>70000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76">
        <f t="shared" si="2"/>
        <v>500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si="2"/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176">
        <f t="shared" si="2"/>
        <v>100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>
        <v>31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13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62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1"/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70631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106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2F2D2-8872-4F39-A6F5-FA10156504A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2</v>
      </c>
      <c r="H4" s="233" t="s">
        <v>9</v>
      </c>
      <c r="I4" s="235">
        <v>46149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283</v>
      </c>
      <c r="D6" s="13">
        <f t="shared" ref="D6:D28" si="1">C6*L6</f>
        <v>215363</v>
      </c>
      <c r="F6" s="239" t="s">
        <v>16</v>
      </c>
      <c r="G6" s="241" t="s">
        <v>107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9</v>
      </c>
      <c r="D7" s="13">
        <f t="shared" si="1"/>
        <v>7029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100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23</v>
      </c>
      <c r="D9" s="13">
        <f t="shared" si="1"/>
        <v>16859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101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10</v>
      </c>
      <c r="D13" s="48">
        <f t="shared" si="1"/>
        <v>3070</v>
      </c>
      <c r="F13" s="260" t="s">
        <v>36</v>
      </c>
      <c r="G13" s="224"/>
      <c r="H13" s="215">
        <f>D29</f>
        <v>242941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33151.5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>
        <v>1</v>
      </c>
      <c r="D15" s="31">
        <f t="shared" si="1"/>
        <v>620</v>
      </c>
      <c r="F15" s="223" t="s">
        <v>39</v>
      </c>
      <c r="G15" s="224"/>
      <c r="H15" s="225">
        <f>H13-H14</f>
        <v>209789.5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9"/>
      <c r="I19" s="279"/>
      <c r="J19" s="2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2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25"/>
      <c r="G23" s="37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96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242941</v>
      </c>
      <c r="F29" s="132" t="s">
        <v>54</v>
      </c>
      <c r="G29" s="194"/>
      <c r="H29" s="154">
        <f>H15-H16-H17-H18-H19-H20-H22-H23-H24+H26+H27</f>
        <v>209789.5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179</v>
      </c>
      <c r="H34" s="176">
        <f>F34*G34</f>
        <v>179000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176">
        <f t="shared" ref="H35:H39" si="2">F35*G35</f>
        <v>22000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287</v>
      </c>
      <c r="D37" s="12">
        <f>C37*111</f>
        <v>31857</v>
      </c>
      <c r="F37" s="12">
        <v>100</v>
      </c>
      <c r="G37" s="39">
        <v>45</v>
      </c>
      <c r="H37" s="176">
        <f t="shared" si="2"/>
        <v>4500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15</v>
      </c>
      <c r="D38" s="12">
        <f>C38*84</f>
        <v>1260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6</v>
      </c>
      <c r="D42" s="12">
        <f>C42*2.25</f>
        <v>13.5</v>
      </c>
      <c r="F42" s="39" t="s">
        <v>78</v>
      </c>
      <c r="G42" s="176">
        <v>295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93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62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94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205795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8</v>
      </c>
      <c r="D50" s="12">
        <f>C50*1.5</f>
        <v>12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131</v>
      </c>
      <c r="G51" s="273">
        <f>G49-H29</f>
        <v>-3994.5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33151.5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FFC63-D1FB-444D-98D1-88FF8F70F8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3</v>
      </c>
      <c r="H4" s="233" t="s">
        <v>9</v>
      </c>
      <c r="I4" s="235">
        <v>46149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399</v>
      </c>
      <c r="D6" s="13">
        <f t="shared" ref="D6:D28" si="1">C6*L6</f>
        <v>303639</v>
      </c>
      <c r="F6" s="239" t="s">
        <v>16</v>
      </c>
      <c r="G6" s="241" t="s">
        <v>117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42</v>
      </c>
      <c r="D7" s="13">
        <f t="shared" si="1"/>
        <v>32802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110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10</v>
      </c>
      <c r="D9" s="13">
        <f t="shared" si="1"/>
        <v>7330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>
        <v>1</v>
      </c>
      <c r="D10" s="13">
        <f t="shared" si="1"/>
        <v>1032</v>
      </c>
      <c r="F10" s="239" t="s">
        <v>26</v>
      </c>
      <c r="G10" s="254" t="s">
        <v>124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17</v>
      </c>
      <c r="D13" s="48">
        <f t="shared" si="1"/>
        <v>5219</v>
      </c>
      <c r="F13" s="260" t="s">
        <v>36</v>
      </c>
      <c r="G13" s="224"/>
      <c r="H13" s="215">
        <f>D29</f>
        <v>355053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19</v>
      </c>
      <c r="D14" s="31">
        <f t="shared" si="1"/>
        <v>209</v>
      </c>
      <c r="F14" s="218" t="s">
        <v>38</v>
      </c>
      <c r="G14" s="219"/>
      <c r="H14" s="220">
        <f>D54</f>
        <v>51516.75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>
        <f>3+3</f>
        <v>6</v>
      </c>
      <c r="D15" s="31">
        <f t="shared" si="1"/>
        <v>3720</v>
      </c>
      <c r="F15" s="223" t="s">
        <v>39</v>
      </c>
      <c r="G15" s="224"/>
      <c r="H15" s="225">
        <f>H13-H14</f>
        <v>303536.25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f>1044+648+336</f>
        <v>2028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>
        <f>1</f>
        <v>1</v>
      </c>
      <c r="D18" s="48">
        <f t="shared" si="1"/>
        <v>1102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96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355053</v>
      </c>
      <c r="F29" s="132" t="s">
        <v>54</v>
      </c>
      <c r="G29" s="194"/>
      <c r="H29" s="154">
        <f>H15-H16-H17-H18-H19-H20-H22-H23-H24+H26+H27</f>
        <v>301508.25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90</v>
      </c>
      <c r="H34" s="176">
        <f>F34*G34</f>
        <v>90000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38</v>
      </c>
      <c r="H35" s="176">
        <f>F35*G35</f>
        <v>19000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366</v>
      </c>
      <c r="D37" s="12">
        <f>C37*111</f>
        <v>40626</v>
      </c>
      <c r="F37" s="12">
        <v>100</v>
      </c>
      <c r="G37" s="39">
        <v>49</v>
      </c>
      <c r="H37" s="176">
        <f t="shared" si="2"/>
        <v>4900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23</v>
      </c>
      <c r="D38" s="12">
        <f>C38*84</f>
        <v>1932</v>
      </c>
      <c r="F38" s="30">
        <v>50</v>
      </c>
      <c r="G38" s="39">
        <v>7</v>
      </c>
      <c r="H38" s="176">
        <f t="shared" si="2"/>
        <v>350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51</v>
      </c>
      <c r="D40" s="12">
        <f>C40*111</f>
        <v>5661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>
        <v>7</v>
      </c>
      <c r="D41" s="12">
        <f>C41*84</f>
        <v>588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5</v>
      </c>
      <c r="D42" s="12">
        <f>C42*2.25</f>
        <v>11.25</v>
      </c>
      <c r="F42" s="39" t="s">
        <v>78</v>
      </c>
      <c r="G42" s="176">
        <v>28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93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7</v>
      </c>
      <c r="D44" s="12">
        <f>C44*120</f>
        <v>840</v>
      </c>
      <c r="F44" s="37" t="s">
        <v>136</v>
      </c>
      <c r="G44" s="114" t="s">
        <v>157</v>
      </c>
      <c r="H44" s="171">
        <v>116753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 t="s">
        <v>136</v>
      </c>
      <c r="G45" s="114" t="s">
        <v>156</v>
      </c>
      <c r="H45" s="171">
        <v>70468</v>
      </c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>
        <v>9</v>
      </c>
      <c r="D46" s="12">
        <f>C46*1.5</f>
        <v>13.5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21</v>
      </c>
      <c r="D48" s="12">
        <f>C48*78</f>
        <v>1638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1</v>
      </c>
      <c r="D49" s="12">
        <f>C49*42</f>
        <v>42</v>
      </c>
      <c r="F49" s="152" t="s">
        <v>85</v>
      </c>
      <c r="G49" s="154">
        <f>H34+H35+H36+H37+H38+H39+H40+H41+G42+H44+H45+H46</f>
        <v>301499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12</v>
      </c>
      <c r="D50" s="12">
        <f>C50*1.5</f>
        <v>18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109</v>
      </c>
      <c r="G51" s="273">
        <f>G49-H29</f>
        <v>-9.25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51516.75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5203A-7A06-42A1-AB52-579A0D196CC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8" t="s">
        <v>1</v>
      </c>
      <c r="O1" s="228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9" t="s">
        <v>7</v>
      </c>
      <c r="B4" s="180"/>
      <c r="C4" s="180"/>
      <c r="D4" s="181"/>
      <c r="F4" s="229" t="s">
        <v>8</v>
      </c>
      <c r="G4" s="231"/>
      <c r="H4" s="233" t="s">
        <v>9</v>
      </c>
      <c r="I4" s="235"/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4"/>
      <c r="B6" s="16"/>
      <c r="C6" s="10"/>
      <c r="D6" s="13">
        <f t="shared" ref="D6:D28" si="1">C6*L6</f>
        <v>0</v>
      </c>
      <c r="F6" s="239" t="s">
        <v>16</v>
      </c>
      <c r="G6" s="241"/>
      <c r="H6" s="242"/>
      <c r="I6" s="242"/>
      <c r="J6" s="2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4"/>
      <c r="B7" s="16"/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4"/>
      <c r="B8" s="16"/>
      <c r="C8" s="10"/>
      <c r="D8" s="13">
        <f t="shared" si="1"/>
        <v>0</v>
      </c>
      <c r="F8" s="247" t="s">
        <v>21</v>
      </c>
      <c r="G8" s="248"/>
      <c r="H8" s="249"/>
      <c r="I8" s="249"/>
      <c r="J8" s="2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4"/>
      <c r="B9" s="16"/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4"/>
      <c r="C10" s="10"/>
      <c r="D10" s="13">
        <f t="shared" si="1"/>
        <v>0</v>
      </c>
      <c r="F10" s="239" t="s">
        <v>26</v>
      </c>
      <c r="G10" s="254"/>
      <c r="H10" s="255"/>
      <c r="I10" s="255"/>
      <c r="J10" s="256"/>
      <c r="K10" s="8"/>
      <c r="L10" s="6">
        <f>R36</f>
        <v>972</v>
      </c>
      <c r="P10" s="4"/>
      <c r="Q10" s="4"/>
      <c r="R10" s="5"/>
    </row>
    <row r="11" spans="1:19" ht="15.75" x14ac:dyDescent="0.25">
      <c r="A11" s="174"/>
      <c r="B11" s="17"/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4"/>
      <c r="B12" s="17"/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4"/>
      <c r="B13" s="17"/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4"/>
      <c r="B14" s="14"/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4"/>
      <c r="B15" s="14"/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14"/>
      <c r="C19" s="10"/>
      <c r="D19" s="48">
        <f t="shared" si="1"/>
        <v>0</v>
      </c>
      <c r="F19" s="56"/>
      <c r="G19" s="68" t="s">
        <v>49</v>
      </c>
      <c r="H19" s="197"/>
      <c r="I19" s="197"/>
      <c r="J19" s="19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4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4"/>
      <c r="B22" s="46"/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/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/>
      <c r="C24" s="10"/>
      <c r="D24" s="48">
        <f t="shared" si="1"/>
        <v>0</v>
      </c>
      <c r="F24" s="38"/>
      <c r="G24" s="37"/>
      <c r="H24" s="202"/>
      <c r="I24" s="171"/>
      <c r="J24" s="17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4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/>
      <c r="C28" s="10"/>
      <c r="D28" s="48">
        <f t="shared" si="1"/>
        <v>0</v>
      </c>
      <c r="F28" s="96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/>
      <c r="I34" s="177"/>
      <c r="J34" s="17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/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/>
      <c r="I36" s="177"/>
      <c r="J36" s="17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/>
      <c r="I37" s="177"/>
      <c r="J37" s="17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/>
      <c r="I38" s="177"/>
      <c r="J38" s="17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/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93" t="s">
        <v>82</v>
      </c>
      <c r="H43" s="168" t="s">
        <v>13</v>
      </c>
      <c r="I43" s="169"/>
      <c r="J43" s="170"/>
      <c r="K43" s="21"/>
      <c r="P43" s="4"/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P44" s="4"/>
      <c r="Q44" s="4"/>
      <c r="R44" s="5"/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P50" s="4"/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106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1A205-1CC3-4004-8D7D-AADC7C96844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1</v>
      </c>
      <c r="H4" s="233" t="s">
        <v>9</v>
      </c>
      <c r="I4" s="235">
        <v>46150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/>
      <c r="D6" s="13">
        <f t="shared" ref="D6:D28" si="1">C6*L6</f>
        <v>0</v>
      </c>
      <c r="F6" s="239" t="s">
        <v>16</v>
      </c>
      <c r="G6" s="241" t="s">
        <v>99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120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108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7"/>
      <c r="G23" s="79"/>
      <c r="H23" s="269"/>
      <c r="I23" s="270"/>
      <c r="J23" s="2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77"/>
      <c r="G24" s="79"/>
      <c r="H24" s="269"/>
      <c r="I24" s="270"/>
      <c r="J24" s="27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75"/>
      <c r="G26" s="65"/>
      <c r="H26" s="171"/>
      <c r="I26" s="171"/>
      <c r="J26" s="17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71"/>
      <c r="G27" s="93"/>
      <c r="H27" s="271"/>
      <c r="I27" s="272"/>
      <c r="J27" s="27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96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H15-H16-H17-H18-H19-H20-H22-H23-H24+H26+H27+H28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76">
        <f t="shared" ref="H34:H39" si="2">F34*G34</f>
        <v>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>
        <f t="shared" si="2"/>
        <v>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si="2"/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93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62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1"/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109</v>
      </c>
      <c r="G51" s="273">
        <f>G49-H29</f>
        <v>0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A67ED-5EE3-42FE-B708-111EF87B3F7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2</v>
      </c>
      <c r="H4" s="233" t="s">
        <v>9</v>
      </c>
      <c r="I4" s="235">
        <v>46150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298</v>
      </c>
      <c r="D6" s="13">
        <f t="shared" ref="D6:D28" si="1">C6*L6</f>
        <v>226778</v>
      </c>
      <c r="F6" s="239" t="s">
        <v>16</v>
      </c>
      <c r="G6" s="241" t="s">
        <v>107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3</v>
      </c>
      <c r="D7" s="13">
        <f t="shared" si="1"/>
        <v>2343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100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24</v>
      </c>
      <c r="D9" s="13">
        <f t="shared" si="1"/>
        <v>17592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101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v>1</v>
      </c>
      <c r="D12" s="48">
        <f t="shared" si="1"/>
        <v>992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9</v>
      </c>
      <c r="D13" s="48">
        <f t="shared" si="1"/>
        <v>2763</v>
      </c>
      <c r="F13" s="260" t="s">
        <v>36</v>
      </c>
      <c r="G13" s="224"/>
      <c r="H13" s="215">
        <f>D29</f>
        <v>257721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9</v>
      </c>
      <c r="D14" s="31">
        <f t="shared" si="1"/>
        <v>99</v>
      </c>
      <c r="F14" s="218" t="s">
        <v>38</v>
      </c>
      <c r="G14" s="219"/>
      <c r="H14" s="220">
        <f>D54</f>
        <v>24684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233037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>
        <v>4</v>
      </c>
      <c r="D16" s="48">
        <f t="shared" si="1"/>
        <v>2600</v>
      </c>
      <c r="F16" s="67" t="s">
        <v>41</v>
      </c>
      <c r="G16" s="66" t="s">
        <v>42</v>
      </c>
      <c r="H16" s="185">
        <v>1140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>
        <v>2</v>
      </c>
      <c r="D18" s="48">
        <f t="shared" si="1"/>
        <v>2204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>
        <v>2</v>
      </c>
      <c r="D19" s="48">
        <f t="shared" si="1"/>
        <v>2350</v>
      </c>
      <c r="F19" s="56"/>
      <c r="G19" s="68" t="s">
        <v>49</v>
      </c>
      <c r="H19" s="279"/>
      <c r="I19" s="279"/>
      <c r="J19" s="2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2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25"/>
      <c r="G23" s="37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96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257721</v>
      </c>
      <c r="F29" s="132" t="s">
        <v>54</v>
      </c>
      <c r="G29" s="194"/>
      <c r="H29" s="154">
        <f>H15-H16-H17-H18-H19-H20-H22-H23-H24+H26+H27</f>
        <v>231897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48</v>
      </c>
      <c r="H34" s="176">
        <f>F34*G34</f>
        <v>48000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84</v>
      </c>
      <c r="H35" s="176">
        <f t="shared" ref="H35:H39" si="2">F35*G35</f>
        <v>42000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>
        <v>20</v>
      </c>
      <c r="D36" s="12">
        <f>C36*1.5</f>
        <v>30</v>
      </c>
      <c r="F36" s="12">
        <v>200</v>
      </c>
      <c r="G36" s="37">
        <v>1</v>
      </c>
      <c r="H36" s="176">
        <f>F36*G36</f>
        <v>200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207</v>
      </c>
      <c r="D37" s="12">
        <f>C37*111</f>
        <v>22977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14</v>
      </c>
      <c r="D39" s="31">
        <f>C39*4.5</f>
        <v>63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24</v>
      </c>
      <c r="D42" s="12">
        <f>C42*2.25</f>
        <v>54</v>
      </c>
      <c r="F42" s="39" t="s">
        <v>78</v>
      </c>
      <c r="G42" s="176">
        <v>30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93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159</v>
      </c>
      <c r="H44" s="171">
        <v>144012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>
        <v>6</v>
      </c>
      <c r="D46" s="12">
        <f>C46*1.5</f>
        <v>9</v>
      </c>
      <c r="F46" s="37"/>
      <c r="G46" s="94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7</v>
      </c>
      <c r="D49" s="12">
        <f>C49*42</f>
        <v>294</v>
      </c>
      <c r="F49" s="152" t="s">
        <v>85</v>
      </c>
      <c r="G49" s="154">
        <f>H34+H35+H36+H37+H38+H39+H40+H41+G42+H44+H45+H46</f>
        <v>234242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10</v>
      </c>
      <c r="D50" s="12">
        <f>C50*1.5</f>
        <v>15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112</v>
      </c>
      <c r="G51" s="162">
        <f>G49-H29</f>
        <v>2345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24684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27F19-129E-47B5-AFBE-5E474785B41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3</v>
      </c>
      <c r="H4" s="233" t="s">
        <v>9</v>
      </c>
      <c r="I4" s="235">
        <v>46150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471</v>
      </c>
      <c r="D6" s="13">
        <f t="shared" ref="D6:D28" si="1">C6*L6</f>
        <v>358431</v>
      </c>
      <c r="F6" s="239" t="s">
        <v>16</v>
      </c>
      <c r="G6" s="241" t="s">
        <v>117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20</v>
      </c>
      <c r="D7" s="13">
        <f t="shared" si="1"/>
        <v>15620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>
        <v>1</v>
      </c>
      <c r="D8" s="13">
        <f t="shared" si="1"/>
        <v>1093</v>
      </c>
      <c r="F8" s="247" t="s">
        <v>21</v>
      </c>
      <c r="G8" s="248" t="s">
        <v>110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40</v>
      </c>
      <c r="D9" s="13">
        <f t="shared" si="1"/>
        <v>29320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>
        <v>2</v>
      </c>
      <c r="D10" s="13">
        <f t="shared" si="1"/>
        <v>2064</v>
      </c>
      <c r="F10" s="239" t="s">
        <v>26</v>
      </c>
      <c r="G10" s="254" t="s">
        <v>124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15</v>
      </c>
      <c r="D13" s="48">
        <f t="shared" si="1"/>
        <v>4605</v>
      </c>
      <c r="F13" s="260" t="s">
        <v>36</v>
      </c>
      <c r="G13" s="224"/>
      <c r="H13" s="215">
        <f>D29</f>
        <v>411243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10</v>
      </c>
      <c r="D14" s="31">
        <f t="shared" si="1"/>
        <v>110</v>
      </c>
      <c r="F14" s="218" t="s">
        <v>38</v>
      </c>
      <c r="G14" s="219"/>
      <c r="H14" s="220">
        <f>D54</f>
        <v>62579.25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348663.75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f>888+300+1356</f>
        <v>2544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96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411243</v>
      </c>
      <c r="F29" s="132" t="s">
        <v>54</v>
      </c>
      <c r="G29" s="194"/>
      <c r="H29" s="154">
        <f>H15-H16-H17-H18-H19-H20-H22-H23-H24+H26+H27</f>
        <v>346119.75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202</v>
      </c>
      <c r="H34" s="176">
        <f>F34*G34</f>
        <v>202000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60</v>
      </c>
      <c r="H35" s="176">
        <f>F35*G35</f>
        <v>30000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518</v>
      </c>
      <c r="D37" s="12">
        <f>C37*111</f>
        <v>57498</v>
      </c>
      <c r="F37" s="12">
        <v>100</v>
      </c>
      <c r="G37" s="39">
        <v>6</v>
      </c>
      <c r="H37" s="176">
        <f t="shared" si="2"/>
        <v>600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1</v>
      </c>
      <c r="H38" s="176">
        <f t="shared" si="2"/>
        <v>50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5</v>
      </c>
      <c r="D42" s="12">
        <f>C42*2.25</f>
        <v>11.25</v>
      </c>
      <c r="F42" s="39" t="s">
        <v>78</v>
      </c>
      <c r="G42" s="176">
        <v>84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93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1</v>
      </c>
      <c r="D44" s="12">
        <f>C44*120</f>
        <v>120</v>
      </c>
      <c r="F44" s="37" t="s">
        <v>132</v>
      </c>
      <c r="G44" s="62" t="s">
        <v>160</v>
      </c>
      <c r="H44" s="171">
        <v>95996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 t="s">
        <v>137</v>
      </c>
      <c r="G45" s="76"/>
      <c r="H45" s="171">
        <v>18000</v>
      </c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>
        <v>8</v>
      </c>
      <c r="D46" s="12">
        <f>C46*1.5</f>
        <v>12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34</v>
      </c>
      <c r="D49" s="12">
        <f>C49*42</f>
        <v>1428</v>
      </c>
      <c r="F49" s="152" t="s">
        <v>85</v>
      </c>
      <c r="G49" s="154">
        <f>H34+H35+H36+H37+H38+H39+H40+H41+G42+H44+H45+H46</f>
        <v>346730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7</v>
      </c>
      <c r="D50" s="12">
        <f>C50*1.5</f>
        <v>10.5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115</v>
      </c>
      <c r="G51" s="162">
        <f>G49-H29</f>
        <v>610.25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62579.25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5625F-E069-4BC5-B50C-6B25FD34001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8" t="s">
        <v>1</v>
      </c>
      <c r="O1" s="228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9" t="s">
        <v>7</v>
      </c>
      <c r="B4" s="180"/>
      <c r="C4" s="180"/>
      <c r="D4" s="181"/>
      <c r="F4" s="229" t="s">
        <v>8</v>
      </c>
      <c r="G4" s="231"/>
      <c r="H4" s="233" t="s">
        <v>9</v>
      </c>
      <c r="I4" s="235"/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4"/>
      <c r="B6" s="16"/>
      <c r="C6" s="10"/>
      <c r="D6" s="13">
        <f t="shared" ref="D6:D28" si="1">C6*L6</f>
        <v>0</v>
      </c>
      <c r="F6" s="239" t="s">
        <v>16</v>
      </c>
      <c r="G6" s="241"/>
      <c r="H6" s="242"/>
      <c r="I6" s="242"/>
      <c r="J6" s="2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4"/>
      <c r="B7" s="16"/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4"/>
      <c r="B8" s="16"/>
      <c r="C8" s="10"/>
      <c r="D8" s="13">
        <f t="shared" si="1"/>
        <v>0</v>
      </c>
      <c r="F8" s="247" t="s">
        <v>21</v>
      </c>
      <c r="G8" s="248"/>
      <c r="H8" s="249"/>
      <c r="I8" s="249"/>
      <c r="J8" s="2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4"/>
      <c r="B9" s="16"/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4"/>
      <c r="C10" s="10"/>
      <c r="D10" s="13">
        <f t="shared" si="1"/>
        <v>0</v>
      </c>
      <c r="F10" s="239" t="s">
        <v>26</v>
      </c>
      <c r="G10" s="254"/>
      <c r="H10" s="255"/>
      <c r="I10" s="255"/>
      <c r="J10" s="256"/>
      <c r="K10" s="8"/>
      <c r="L10" s="6">
        <f>R36</f>
        <v>972</v>
      </c>
      <c r="P10" s="4"/>
      <c r="Q10" s="4"/>
      <c r="R10" s="5"/>
    </row>
    <row r="11" spans="1:19" ht="15.75" x14ac:dyDescent="0.25">
      <c r="A11" s="174"/>
      <c r="B11" s="17"/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4"/>
      <c r="B12" s="17"/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4"/>
      <c r="B13" s="17"/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4"/>
      <c r="B14" s="14"/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4"/>
      <c r="B15" s="14"/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14"/>
      <c r="C19" s="10"/>
      <c r="D19" s="48">
        <f t="shared" si="1"/>
        <v>0</v>
      </c>
      <c r="F19" s="56"/>
      <c r="G19" s="68" t="s">
        <v>49</v>
      </c>
      <c r="H19" s="197"/>
      <c r="I19" s="197"/>
      <c r="J19" s="19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4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4"/>
      <c r="B22" s="46"/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/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/>
      <c r="C24" s="10"/>
      <c r="D24" s="48">
        <f t="shared" si="1"/>
        <v>0</v>
      </c>
      <c r="F24" s="38"/>
      <c r="G24" s="37"/>
      <c r="H24" s="202"/>
      <c r="I24" s="171"/>
      <c r="J24" s="17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4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/>
      <c r="C28" s="10"/>
      <c r="D28" s="48">
        <f t="shared" si="1"/>
        <v>0</v>
      </c>
      <c r="F28" s="96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/>
      <c r="I34" s="177"/>
      <c r="J34" s="17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/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/>
      <c r="I36" s="177"/>
      <c r="J36" s="17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/>
      <c r="I37" s="177"/>
      <c r="J37" s="17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/>
      <c r="I38" s="177"/>
      <c r="J38" s="17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/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93" t="s">
        <v>82</v>
      </c>
      <c r="H43" s="168" t="s">
        <v>13</v>
      </c>
      <c r="I43" s="169"/>
      <c r="J43" s="170"/>
      <c r="K43" s="21"/>
      <c r="P43" s="4"/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P44" s="4"/>
      <c r="Q44" s="4"/>
      <c r="R44" s="5"/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P50" s="4"/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106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5F04B-4B43-4BB4-94E5-312CCA41D0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1</v>
      </c>
      <c r="H4" s="233" t="s">
        <v>9</v>
      </c>
      <c r="I4" s="235">
        <v>46153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365</v>
      </c>
      <c r="D6" s="13">
        <f t="shared" ref="D6:D28" si="1">C6*L6</f>
        <v>277765</v>
      </c>
      <c r="F6" s="239" t="s">
        <v>16</v>
      </c>
      <c r="G6" s="241" t="s">
        <v>99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10</v>
      </c>
      <c r="D7" s="13">
        <f t="shared" si="1"/>
        <v>7810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>
        <v>1</v>
      </c>
      <c r="D8" s="13">
        <f t="shared" si="1"/>
        <v>1093</v>
      </c>
      <c r="F8" s="247" t="s">
        <v>21</v>
      </c>
      <c r="G8" s="248" t="s">
        <v>120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30</v>
      </c>
      <c r="D9" s="13">
        <f t="shared" si="1"/>
        <v>21990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>
        <v>1</v>
      </c>
      <c r="D10" s="13">
        <f t="shared" si="1"/>
        <v>1032</v>
      </c>
      <c r="F10" s="239" t="s">
        <v>26</v>
      </c>
      <c r="G10" s="254" t="s">
        <v>108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f>2</f>
        <v>2</v>
      </c>
      <c r="D12" s="48">
        <f t="shared" si="1"/>
        <v>1984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</v>
      </c>
      <c r="D13" s="48">
        <f t="shared" si="1"/>
        <v>307</v>
      </c>
      <c r="F13" s="260" t="s">
        <v>36</v>
      </c>
      <c r="G13" s="224"/>
      <c r="H13" s="215">
        <f>D29</f>
        <v>312686.83333333331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10</v>
      </c>
      <c r="D14" s="31">
        <f t="shared" si="1"/>
        <v>110</v>
      </c>
      <c r="F14" s="218" t="s">
        <v>38</v>
      </c>
      <c r="G14" s="219"/>
      <c r="H14" s="220">
        <f>D54</f>
        <v>42262.5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270424.33333333331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163</v>
      </c>
      <c r="C21" s="10">
        <v>22</v>
      </c>
      <c r="D21" s="48">
        <f t="shared" si="1"/>
        <v>595.83333333333326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650/24</f>
        <v>27.083333333333332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7"/>
      <c r="G23" s="79"/>
      <c r="H23" s="269"/>
      <c r="I23" s="270"/>
      <c r="J23" s="2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77"/>
      <c r="G24" s="79"/>
      <c r="H24" s="269"/>
      <c r="I24" s="270"/>
      <c r="J24" s="27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75"/>
      <c r="G26" s="65"/>
      <c r="H26" s="171"/>
      <c r="I26" s="171"/>
      <c r="J26" s="17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71"/>
      <c r="G27" s="93"/>
      <c r="H27" s="271"/>
      <c r="I27" s="272"/>
      <c r="J27" s="27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96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312686.83333333331</v>
      </c>
      <c r="F29" s="132" t="s">
        <v>54</v>
      </c>
      <c r="G29" s="194"/>
      <c r="H29" s="154">
        <f>H15-H16-H17-H18-H19-H20-H22-H23-H24+H26+H27+H28</f>
        <v>270424.33333333331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136</v>
      </c>
      <c r="H34" s="176">
        <f t="shared" ref="H34:H39" si="2">F34*G34</f>
        <v>136000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108</v>
      </c>
      <c r="H35" s="176">
        <f t="shared" si="2"/>
        <v>54000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si="2"/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356</v>
      </c>
      <c r="D37" s="12">
        <f>C37*111</f>
        <v>39516</v>
      </c>
      <c r="F37" s="12">
        <v>100</v>
      </c>
      <c r="G37" s="39">
        <v>68</v>
      </c>
      <c r="H37" s="176">
        <f t="shared" si="2"/>
        <v>6800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1</v>
      </c>
      <c r="H38" s="176">
        <f t="shared" si="2"/>
        <v>50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8</v>
      </c>
      <c r="D42" s="12">
        <f>C42*2.25</f>
        <v>18</v>
      </c>
      <c r="F42" s="39" t="s">
        <v>78</v>
      </c>
      <c r="G42" s="176">
        <v>11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93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3</v>
      </c>
      <c r="D44" s="12">
        <f>C44*120</f>
        <v>360</v>
      </c>
      <c r="F44" s="37" t="s">
        <v>136</v>
      </c>
      <c r="G44" s="103" t="s">
        <v>141</v>
      </c>
      <c r="H44" s="171">
        <v>64500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 t="s">
        <v>137</v>
      </c>
      <c r="G45" s="62"/>
      <c r="H45" s="171">
        <v>9016</v>
      </c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1"/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1</v>
      </c>
      <c r="D49" s="12">
        <f>C49*42</f>
        <v>42</v>
      </c>
      <c r="F49" s="152" t="s">
        <v>85</v>
      </c>
      <c r="G49" s="154">
        <f>H34+H35+H36+H37+H38+H39+H40+H41+G42+H44+H45+H46</f>
        <v>270377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7</v>
      </c>
      <c r="D50" s="12">
        <f>C50*1.5</f>
        <v>10.5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164</v>
      </c>
      <c r="G51" s="273">
        <f>G49-H29</f>
        <v>-47.333333333313931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42262.5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1CEF7-40EE-4266-A801-E9F322143952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2</v>
      </c>
      <c r="H4" s="233" t="s">
        <v>9</v>
      </c>
      <c r="I4" s="235">
        <v>46153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375</v>
      </c>
      <c r="D6" s="13">
        <f t="shared" ref="D6:D28" si="1">C6*L6</f>
        <v>285375</v>
      </c>
      <c r="F6" s="239" t="s">
        <v>16</v>
      </c>
      <c r="G6" s="241" t="s">
        <v>107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100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130</v>
      </c>
      <c r="D9" s="13">
        <f t="shared" si="1"/>
        <v>95290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101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15</v>
      </c>
      <c r="D13" s="48">
        <f t="shared" si="1"/>
        <v>4605</v>
      </c>
      <c r="F13" s="260" t="s">
        <v>36</v>
      </c>
      <c r="G13" s="224"/>
      <c r="H13" s="215">
        <f>D29</f>
        <v>385347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7</v>
      </c>
      <c r="D14" s="31">
        <f t="shared" si="1"/>
        <v>77</v>
      </c>
      <c r="F14" s="218" t="s">
        <v>38</v>
      </c>
      <c r="G14" s="219"/>
      <c r="H14" s="220">
        <f>D54</f>
        <v>57529.5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327817.5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2880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9"/>
      <c r="I19" s="279"/>
      <c r="J19" s="2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2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25"/>
      <c r="G23" s="37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96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385347</v>
      </c>
      <c r="F29" s="132" t="s">
        <v>54</v>
      </c>
      <c r="G29" s="194"/>
      <c r="H29" s="154">
        <f>H15-H16-H17-H18-H19-H20-H22-H23-H24+H26+H27</f>
        <v>324937.5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203</v>
      </c>
      <c r="H34" s="176">
        <f>F34*G34</f>
        <v>203000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141</v>
      </c>
      <c r="H35" s="176">
        <f t="shared" ref="H35:H39" si="2">F35*G35</f>
        <v>70500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76">
        <f>F36*G36</f>
        <v>200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507</v>
      </c>
      <c r="D37" s="12">
        <f>C37*111</f>
        <v>56277</v>
      </c>
      <c r="F37" s="12">
        <v>100</v>
      </c>
      <c r="G37" s="39">
        <v>318</v>
      </c>
      <c r="H37" s="176">
        <f t="shared" si="2"/>
        <v>31800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404</v>
      </c>
      <c r="H38" s="176">
        <f t="shared" si="2"/>
        <v>20200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93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62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94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3</v>
      </c>
      <c r="D49" s="12">
        <f>C49*42</f>
        <v>126</v>
      </c>
      <c r="F49" s="152" t="s">
        <v>85</v>
      </c>
      <c r="G49" s="154">
        <f>H34+H35+H36+H37+H38+H39+H40+H41+G42+H44+H45+H46</f>
        <v>325700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7</v>
      </c>
      <c r="D50" s="12">
        <f>C50*1.5</f>
        <v>10.5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112</v>
      </c>
      <c r="G51" s="162">
        <f>G49-H29</f>
        <v>762.5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57529.5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356DE-0757-4D68-9F36-AC6D547EC76E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3</v>
      </c>
      <c r="H4" s="233" t="s">
        <v>9</v>
      </c>
      <c r="I4" s="235">
        <v>46153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295</v>
      </c>
      <c r="D6" s="13">
        <f t="shared" ref="D6:D28" si="1">C6*L6</f>
        <v>224495</v>
      </c>
      <c r="F6" s="239" t="s">
        <v>16</v>
      </c>
      <c r="G6" s="241" t="s">
        <v>117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9</v>
      </c>
      <c r="D7" s="13">
        <f t="shared" si="1"/>
        <v>7029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110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95</v>
      </c>
      <c r="D9" s="13">
        <f t="shared" si="1"/>
        <v>69635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124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v>2</v>
      </c>
      <c r="D12" s="48">
        <f t="shared" si="1"/>
        <v>1984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4</v>
      </c>
      <c r="D13" s="48">
        <f t="shared" si="1"/>
        <v>1228</v>
      </c>
      <c r="F13" s="260" t="s">
        <v>36</v>
      </c>
      <c r="G13" s="224"/>
      <c r="H13" s="215">
        <f>D29</f>
        <v>306343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2</v>
      </c>
      <c r="D14" s="31">
        <f t="shared" si="1"/>
        <v>22</v>
      </c>
      <c r="F14" s="218" t="s">
        <v>38</v>
      </c>
      <c r="G14" s="219"/>
      <c r="H14" s="220">
        <f>D54</f>
        <v>51729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254614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185">
        <f>300+612+420+300</f>
        <v>1632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>
        <v>50</v>
      </c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96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306343</v>
      </c>
      <c r="F29" s="132" t="s">
        <v>54</v>
      </c>
      <c r="G29" s="194"/>
      <c r="H29" s="154">
        <f>H15-H16-H17-H18-H19-H20-H22-H23-H24+H26+H27</f>
        <v>252932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88</v>
      </c>
      <c r="H34" s="176">
        <f>F34*G34</f>
        <v>88000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102</v>
      </c>
      <c r="H35" s="176">
        <f>F35*G35</f>
        <v>51000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176">
        <f t="shared" ref="H36:H39" si="2">F36*G36</f>
        <v>600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451</v>
      </c>
      <c r="D37" s="12">
        <f>C37*111</f>
        <v>50061</v>
      </c>
      <c r="F37" s="12">
        <v>100</v>
      </c>
      <c r="G37" s="39">
        <v>47</v>
      </c>
      <c r="H37" s="176">
        <f t="shared" si="2"/>
        <v>4700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>
        <v>4</v>
      </c>
      <c r="H38" s="176">
        <f t="shared" si="2"/>
        <v>200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31</v>
      </c>
      <c r="D39" s="31">
        <f>C39*4.5</f>
        <v>139.5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>
        <v>131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93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2</v>
      </c>
      <c r="D44" s="12">
        <f>C44*120</f>
        <v>240</v>
      </c>
      <c r="F44" s="37" t="s">
        <v>132</v>
      </c>
      <c r="G44" s="76" t="s">
        <v>165</v>
      </c>
      <c r="H44" s="171">
        <v>65537.5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 t="s">
        <v>132</v>
      </c>
      <c r="G45" s="76" t="s">
        <v>166</v>
      </c>
      <c r="H45" s="171">
        <v>45415</v>
      </c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>
        <v>8</v>
      </c>
      <c r="D46" s="12">
        <f>C46*1.5</f>
        <v>12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1</v>
      </c>
      <c r="D49" s="12">
        <f>C49*42</f>
        <v>42</v>
      </c>
      <c r="F49" s="152" t="s">
        <v>85</v>
      </c>
      <c r="G49" s="154">
        <f>H34+H35+H36+H37+H38+H39+H40+H41+G42+H44+H45+H46</f>
        <v>255583.5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1</v>
      </c>
      <c r="D50" s="12">
        <f>C50*1.5</f>
        <v>1.5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115</v>
      </c>
      <c r="G51" s="162">
        <f>G49-H29</f>
        <v>2651.5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51729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9A070-2B26-49D3-99F7-A4706756C6B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8" t="s">
        <v>1</v>
      </c>
      <c r="O1" s="228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9" t="s">
        <v>7</v>
      </c>
      <c r="B4" s="180"/>
      <c r="C4" s="180"/>
      <c r="D4" s="181"/>
      <c r="F4" s="229" t="s">
        <v>8</v>
      </c>
      <c r="G4" s="231"/>
      <c r="H4" s="233" t="s">
        <v>9</v>
      </c>
      <c r="I4" s="235"/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4"/>
      <c r="B6" s="16"/>
      <c r="C6" s="10"/>
      <c r="D6" s="13">
        <f t="shared" ref="D6:D28" si="1">C6*L6</f>
        <v>0</v>
      </c>
      <c r="F6" s="239" t="s">
        <v>16</v>
      </c>
      <c r="G6" s="241"/>
      <c r="H6" s="242"/>
      <c r="I6" s="242"/>
      <c r="J6" s="2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4"/>
      <c r="B7" s="16"/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4"/>
      <c r="B8" s="16"/>
      <c r="C8" s="10"/>
      <c r="D8" s="13">
        <f t="shared" si="1"/>
        <v>0</v>
      </c>
      <c r="F8" s="247" t="s">
        <v>21</v>
      </c>
      <c r="G8" s="248"/>
      <c r="H8" s="249"/>
      <c r="I8" s="249"/>
      <c r="J8" s="2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4"/>
      <c r="B9" s="16"/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4"/>
      <c r="C10" s="10"/>
      <c r="D10" s="13">
        <f t="shared" si="1"/>
        <v>0</v>
      </c>
      <c r="F10" s="239" t="s">
        <v>26</v>
      </c>
      <c r="G10" s="254"/>
      <c r="H10" s="255"/>
      <c r="I10" s="255"/>
      <c r="J10" s="256"/>
      <c r="K10" s="8"/>
      <c r="L10" s="6">
        <f>R36</f>
        <v>972</v>
      </c>
      <c r="P10" s="4"/>
      <c r="Q10" s="4"/>
      <c r="R10" s="5"/>
    </row>
    <row r="11" spans="1:19" ht="15.75" x14ac:dyDescent="0.25">
      <c r="A11" s="174"/>
      <c r="B11" s="17"/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4"/>
      <c r="B12" s="17"/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4"/>
      <c r="B13" s="17"/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4"/>
      <c r="B14" s="14"/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4"/>
      <c r="B15" s="14"/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14"/>
      <c r="C19" s="10"/>
      <c r="D19" s="48">
        <f t="shared" si="1"/>
        <v>0</v>
      </c>
      <c r="F19" s="56"/>
      <c r="G19" s="68" t="s">
        <v>49</v>
      </c>
      <c r="H19" s="197"/>
      <c r="I19" s="197"/>
      <c r="J19" s="19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4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4"/>
      <c r="B22" s="46"/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/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/>
      <c r="C24" s="10"/>
      <c r="D24" s="48">
        <f t="shared" si="1"/>
        <v>0</v>
      </c>
      <c r="F24" s="38"/>
      <c r="G24" s="37"/>
      <c r="H24" s="202"/>
      <c r="I24" s="171"/>
      <c r="J24" s="17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4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/>
      <c r="C28" s="10"/>
      <c r="D28" s="48">
        <f t="shared" si="1"/>
        <v>0</v>
      </c>
      <c r="F28" s="108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/>
      <c r="I34" s="177"/>
      <c r="J34" s="17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/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/>
      <c r="I36" s="177"/>
      <c r="J36" s="17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/>
      <c r="I37" s="177"/>
      <c r="J37" s="17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/>
      <c r="I38" s="177"/>
      <c r="J38" s="17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/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05" t="s">
        <v>82</v>
      </c>
      <c r="H43" s="168" t="s">
        <v>13</v>
      </c>
      <c r="I43" s="169"/>
      <c r="J43" s="170"/>
      <c r="K43" s="21"/>
      <c r="P43" s="4"/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P44" s="4"/>
      <c r="Q44" s="4"/>
      <c r="R44" s="5"/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P50" s="4"/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106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55631-AF90-414A-8303-EF0A633D4529}">
  <dimension ref="A1:R59"/>
  <sheetViews>
    <sheetView zoomScaleNormal="100" zoomScaleSheetLayoutView="85" workbookViewId="0">
      <selection activeCell="H35" sqref="H35:J3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1</v>
      </c>
      <c r="H4" s="233" t="s">
        <v>9</v>
      </c>
      <c r="I4" s="235">
        <v>46154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352</v>
      </c>
      <c r="D6" s="13">
        <f t="shared" ref="D6:D28" si="1">C6*L6</f>
        <v>267872</v>
      </c>
      <c r="F6" s="239" t="s">
        <v>16</v>
      </c>
      <c r="G6" s="241" t="s">
        <v>99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20</v>
      </c>
      <c r="D7" s="13">
        <f t="shared" si="1"/>
        <v>15620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>
        <v>5</v>
      </c>
      <c r="D8" s="13">
        <f t="shared" si="1"/>
        <v>5465</v>
      </c>
      <c r="F8" s="247" t="s">
        <v>21</v>
      </c>
      <c r="G8" s="248" t="s">
        <v>120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14</v>
      </c>
      <c r="D9" s="13">
        <f t="shared" si="1"/>
        <v>10262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108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10</v>
      </c>
      <c r="D13" s="48">
        <f t="shared" si="1"/>
        <v>3070</v>
      </c>
      <c r="F13" s="260" t="s">
        <v>36</v>
      </c>
      <c r="G13" s="224"/>
      <c r="H13" s="215">
        <f>D29</f>
        <v>302421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12</v>
      </c>
      <c r="D14" s="31">
        <f t="shared" si="1"/>
        <v>132</v>
      </c>
      <c r="F14" s="218" t="s">
        <v>38</v>
      </c>
      <c r="G14" s="219"/>
      <c r="H14" s="220">
        <f>D54</f>
        <v>42444.75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259976.25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2094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>
        <v>102.46</v>
      </c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7"/>
      <c r="G23" s="79"/>
      <c r="H23" s="269"/>
      <c r="I23" s="270"/>
      <c r="J23" s="2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77"/>
      <c r="G24" s="79"/>
      <c r="H24" s="269"/>
      <c r="I24" s="270"/>
      <c r="J24" s="27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75"/>
      <c r="G26" s="65"/>
      <c r="H26" s="171"/>
      <c r="I26" s="171"/>
      <c r="J26" s="17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71"/>
      <c r="G27" s="105"/>
      <c r="H27" s="271"/>
      <c r="I27" s="272"/>
      <c r="J27" s="27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08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302421</v>
      </c>
      <c r="F29" s="132" t="s">
        <v>54</v>
      </c>
      <c r="G29" s="194"/>
      <c r="H29" s="154">
        <f>H15-H16-H17-H18-H19-H20-H22-H23-H24+H26+H27+H28</f>
        <v>257779.79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25</v>
      </c>
      <c r="H34" s="176">
        <f t="shared" ref="H34:H39" si="2">F34*G34</f>
        <v>25000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1</v>
      </c>
      <c r="H35" s="176">
        <f t="shared" si="2"/>
        <v>500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176">
        <f t="shared" si="2"/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362</v>
      </c>
      <c r="D37" s="12">
        <f>C37*111</f>
        <v>40182</v>
      </c>
      <c r="F37" s="12">
        <v>100</v>
      </c>
      <c r="G37" s="39">
        <v>8</v>
      </c>
      <c r="H37" s="176">
        <f t="shared" si="2"/>
        <v>800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</v>
      </c>
      <c r="H38" s="176">
        <f t="shared" si="2"/>
        <v>100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05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167</v>
      </c>
      <c r="H44" s="171">
        <v>231190.25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>
        <v>1</v>
      </c>
      <c r="D45" s="12">
        <f>C45*84</f>
        <v>84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>
        <v>20</v>
      </c>
      <c r="D46" s="12">
        <f>C46*1.5</f>
        <v>30</v>
      </c>
      <c r="F46" s="37"/>
      <c r="G46" s="62"/>
      <c r="H46" s="171"/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6</v>
      </c>
      <c r="D49" s="12">
        <f>C49*42</f>
        <v>252</v>
      </c>
      <c r="F49" s="152" t="s">
        <v>85</v>
      </c>
      <c r="G49" s="154">
        <f>H34+H35+H36+H37+H38+H39+H40+H41+G42+H44+H45+H46</f>
        <v>257590.25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22</v>
      </c>
      <c r="D50" s="12">
        <f>C50*1.5</f>
        <v>33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109</v>
      </c>
      <c r="G51" s="273">
        <f>G49-H29</f>
        <v>-189.54000000000815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42444.75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FD090-C2CE-46BD-B4A6-EF20290A1516}">
  <dimension ref="A1:R59"/>
  <sheetViews>
    <sheetView topLeftCell="A23" zoomScaleNormal="100" zoomScaleSheetLayoutView="85" workbookViewId="0">
      <selection activeCell="L57" sqref="L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2</v>
      </c>
      <c r="H4" s="233" t="s">
        <v>9</v>
      </c>
      <c r="I4" s="235">
        <v>46154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310</v>
      </c>
      <c r="D6" s="13">
        <f t="shared" ref="D6:D28" si="1">C6*L6</f>
        <v>235910</v>
      </c>
      <c r="F6" s="239" t="s">
        <v>16</v>
      </c>
      <c r="G6" s="241" t="s">
        <v>107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6</v>
      </c>
      <c r="D7" s="13">
        <f t="shared" si="1"/>
        <v>4686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100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60</v>
      </c>
      <c r="D9" s="13">
        <f t="shared" si="1"/>
        <v>43980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101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8</v>
      </c>
      <c r="D13" s="48">
        <f t="shared" si="1"/>
        <v>2456</v>
      </c>
      <c r="F13" s="260" t="s">
        <v>36</v>
      </c>
      <c r="G13" s="224"/>
      <c r="H13" s="215">
        <f>D29</f>
        <v>288065.5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5</v>
      </c>
      <c r="D14" s="31">
        <f t="shared" si="1"/>
        <v>55</v>
      </c>
      <c r="F14" s="218" t="s">
        <v>38</v>
      </c>
      <c r="G14" s="219"/>
      <c r="H14" s="220">
        <f>D54</f>
        <v>41509.5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246556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1446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9"/>
      <c r="I19" s="279"/>
      <c r="J19" s="2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>
        <v>12</v>
      </c>
      <c r="D22" s="48">
        <f t="shared" si="1"/>
        <v>504.5</v>
      </c>
      <c r="F22" s="72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>
        <v>12</v>
      </c>
      <c r="D23" s="48">
        <f t="shared" si="1"/>
        <v>474</v>
      </c>
      <c r="F23" s="25"/>
      <c r="G23" s="37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08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288065.5</v>
      </c>
      <c r="F29" s="132" t="s">
        <v>54</v>
      </c>
      <c r="G29" s="194"/>
      <c r="H29" s="154">
        <f>H15-H16-H17-H18-H19-H20-H22-H23-H24+H26+H27</f>
        <v>245110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84</v>
      </c>
      <c r="H34" s="176">
        <f>F34*G34</f>
        <v>84000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6</v>
      </c>
      <c r="H35" s="176">
        <f t="shared" ref="H35:H39" si="2">F35*G35</f>
        <v>3000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355</v>
      </c>
      <c r="D37" s="12">
        <f>C37*111</f>
        <v>39405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7</v>
      </c>
      <c r="D38" s="12">
        <f>C38*84</f>
        <v>588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10</v>
      </c>
      <c r="D42" s="12">
        <f>C42*2.25</f>
        <v>22.5</v>
      </c>
      <c r="F42" s="39" t="s">
        <v>78</v>
      </c>
      <c r="G42" s="176">
        <v>87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05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 t="s">
        <v>147</v>
      </c>
      <c r="G44" s="62" t="s">
        <v>168</v>
      </c>
      <c r="H44" s="171">
        <v>157141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106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2</v>
      </c>
      <c r="D49" s="12">
        <f>C49*42</f>
        <v>84</v>
      </c>
      <c r="F49" s="152" t="s">
        <v>85</v>
      </c>
      <c r="G49" s="154">
        <f>H34+H35+H36+H37+H38+H39+H40+H41+G42+H44+H45+H46</f>
        <v>244228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1</v>
      </c>
      <c r="D50" s="12">
        <f>C50*1.5</f>
        <v>1.5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169</v>
      </c>
      <c r="G51" s="273">
        <f>G49-H29</f>
        <v>-882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41509.5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CADB1-C1A1-49F5-943A-8AFB6D23C889}">
  <dimension ref="A1:R59"/>
  <sheetViews>
    <sheetView topLeftCell="A19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3</v>
      </c>
      <c r="H4" s="233" t="s">
        <v>9</v>
      </c>
      <c r="I4" s="235">
        <v>46154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527</v>
      </c>
      <c r="D6" s="13">
        <f t="shared" ref="D6:D28" si="1">C6*L6</f>
        <v>401047</v>
      </c>
      <c r="F6" s="239" t="s">
        <v>16</v>
      </c>
      <c r="G6" s="241" t="s">
        <v>117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19</v>
      </c>
      <c r="D7" s="13">
        <f t="shared" si="1"/>
        <v>14839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110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69</v>
      </c>
      <c r="D9" s="13">
        <f t="shared" si="1"/>
        <v>50577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>
        <v>5</v>
      </c>
      <c r="D10" s="13">
        <f t="shared" si="1"/>
        <v>5160</v>
      </c>
      <c r="F10" s="239" t="s">
        <v>26</v>
      </c>
      <c r="G10" s="254" t="s">
        <v>124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22</v>
      </c>
      <c r="D13" s="48">
        <f t="shared" si="1"/>
        <v>6754</v>
      </c>
      <c r="F13" s="260" t="s">
        <v>36</v>
      </c>
      <c r="G13" s="224"/>
      <c r="H13" s="215">
        <f>D29</f>
        <v>485304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7</v>
      </c>
      <c r="D14" s="31">
        <f t="shared" si="1"/>
        <v>77</v>
      </c>
      <c r="F14" s="218" t="s">
        <v>38</v>
      </c>
      <c r="G14" s="219"/>
      <c r="H14" s="220">
        <f>D54</f>
        <v>77406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>
        <v>10</v>
      </c>
      <c r="D15" s="31">
        <f t="shared" si="1"/>
        <v>6200</v>
      </c>
      <c r="F15" s="223" t="s">
        <v>39</v>
      </c>
      <c r="G15" s="224"/>
      <c r="H15" s="225">
        <f>H13-H14</f>
        <v>407898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5">
        <f>600+2682+384</f>
        <v>3666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08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485304</v>
      </c>
      <c r="F29" s="132" t="s">
        <v>54</v>
      </c>
      <c r="G29" s="194"/>
      <c r="H29" s="154">
        <f>H15-H16-H17-H18-H19-H20-H22-H23-H24+H26+H27</f>
        <v>404232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46</v>
      </c>
      <c r="H34" s="176">
        <f>F34*G34</f>
        <v>46000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76">
        <f>F35*G35</f>
        <v>500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639</v>
      </c>
      <c r="D37" s="12">
        <f>C37*111</f>
        <v>70929</v>
      </c>
      <c r="F37" s="12">
        <v>100</v>
      </c>
      <c r="G37" s="39">
        <v>1</v>
      </c>
      <c r="H37" s="176">
        <f t="shared" si="2"/>
        <v>100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76">
        <f t="shared" si="2"/>
        <v>50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25</v>
      </c>
      <c r="D40" s="12">
        <f>C40*111</f>
        <v>2775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>
        <v>55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05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11</v>
      </c>
      <c r="D44" s="12">
        <f>C44*120</f>
        <v>1320</v>
      </c>
      <c r="F44" s="37" t="s">
        <v>136</v>
      </c>
      <c r="G44" s="76" t="s">
        <v>170</v>
      </c>
      <c r="H44" s="171">
        <v>60416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>
        <v>1</v>
      </c>
      <c r="D45" s="12">
        <f>C45*84</f>
        <v>84</v>
      </c>
      <c r="F45" s="37" t="s">
        <v>136</v>
      </c>
      <c r="G45" s="76" t="s">
        <v>171</v>
      </c>
      <c r="H45" s="171">
        <v>295595</v>
      </c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>
        <v>19</v>
      </c>
      <c r="D46" s="12">
        <f>C46*1.5</f>
        <v>28.5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23</v>
      </c>
      <c r="D48" s="12">
        <f>C48*78</f>
        <v>1794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5</v>
      </c>
      <c r="D49" s="12">
        <f>C49*42</f>
        <v>210</v>
      </c>
      <c r="F49" s="152" t="s">
        <v>85</v>
      </c>
      <c r="G49" s="154">
        <f>H34+H35+H36+H37+H38+H39+H40+H41+G42+H44+H45+H46</f>
        <v>402716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11</v>
      </c>
      <c r="D50" s="12">
        <f>C50*1.5</f>
        <v>16.5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172</v>
      </c>
      <c r="G51" s="273">
        <f>G49-H29</f>
        <v>-1516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77406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A82DE-848E-4D18-B3B6-32FC97A7F69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8" t="s">
        <v>1</v>
      </c>
      <c r="O1" s="228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9" t="s">
        <v>7</v>
      </c>
      <c r="B4" s="180"/>
      <c r="C4" s="180"/>
      <c r="D4" s="181"/>
      <c r="F4" s="229" t="s">
        <v>8</v>
      </c>
      <c r="G4" s="231"/>
      <c r="H4" s="233" t="s">
        <v>9</v>
      </c>
      <c r="I4" s="235"/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4"/>
      <c r="B6" s="16"/>
      <c r="C6" s="10"/>
      <c r="D6" s="13">
        <f t="shared" ref="D6:D28" si="1">C6*L6</f>
        <v>0</v>
      </c>
      <c r="F6" s="239" t="s">
        <v>16</v>
      </c>
      <c r="G6" s="241"/>
      <c r="H6" s="242"/>
      <c r="I6" s="242"/>
      <c r="J6" s="2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4"/>
      <c r="B7" s="16"/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4"/>
      <c r="B8" s="16"/>
      <c r="C8" s="10"/>
      <c r="D8" s="13">
        <f t="shared" si="1"/>
        <v>0</v>
      </c>
      <c r="F8" s="247" t="s">
        <v>21</v>
      </c>
      <c r="G8" s="248"/>
      <c r="H8" s="249"/>
      <c r="I8" s="249"/>
      <c r="J8" s="2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4"/>
      <c r="B9" s="16"/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4"/>
      <c r="C10" s="10"/>
      <c r="D10" s="13">
        <f t="shared" si="1"/>
        <v>0</v>
      </c>
      <c r="F10" s="239" t="s">
        <v>26</v>
      </c>
      <c r="G10" s="254"/>
      <c r="H10" s="255"/>
      <c r="I10" s="255"/>
      <c r="J10" s="256"/>
      <c r="K10" s="8"/>
      <c r="L10" s="6">
        <f>R36</f>
        <v>972</v>
      </c>
      <c r="P10" s="4"/>
      <c r="Q10" s="4"/>
      <c r="R10" s="5"/>
    </row>
    <row r="11" spans="1:19" ht="15.75" x14ac:dyDescent="0.25">
      <c r="A11" s="174"/>
      <c r="B11" s="17"/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4"/>
      <c r="B12" s="17"/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4"/>
      <c r="B13" s="17"/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4"/>
      <c r="B14" s="14"/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4"/>
      <c r="B15" s="14"/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14"/>
      <c r="C19" s="10"/>
      <c r="D19" s="48">
        <f t="shared" si="1"/>
        <v>0</v>
      </c>
      <c r="F19" s="56"/>
      <c r="G19" s="68" t="s">
        <v>49</v>
      </c>
      <c r="H19" s="197"/>
      <c r="I19" s="197"/>
      <c r="J19" s="19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4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4"/>
      <c r="B22" s="46"/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/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/>
      <c r="C24" s="10"/>
      <c r="D24" s="48">
        <f t="shared" si="1"/>
        <v>0</v>
      </c>
      <c r="F24" s="38"/>
      <c r="G24" s="37"/>
      <c r="H24" s="202"/>
      <c r="I24" s="171"/>
      <c r="J24" s="17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4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/>
      <c r="C28" s="10"/>
      <c r="D28" s="48">
        <f t="shared" si="1"/>
        <v>0</v>
      </c>
      <c r="F28" s="108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/>
      <c r="I34" s="177"/>
      <c r="J34" s="17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/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/>
      <c r="I36" s="177"/>
      <c r="J36" s="17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/>
      <c r="I37" s="177"/>
      <c r="J37" s="17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/>
      <c r="I38" s="177"/>
      <c r="J38" s="17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/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05" t="s">
        <v>82</v>
      </c>
      <c r="H43" s="168" t="s">
        <v>13</v>
      </c>
      <c r="I43" s="169"/>
      <c r="J43" s="170"/>
      <c r="K43" s="21"/>
      <c r="P43" s="4"/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P44" s="4"/>
      <c r="Q44" s="4"/>
      <c r="R44" s="5"/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P50" s="4"/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106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000AB-57DA-4F70-BEF5-1E4FB759994C}">
  <dimension ref="A1:R59"/>
  <sheetViews>
    <sheetView topLeftCell="A28" zoomScaleNormal="100" zoomScaleSheetLayoutView="85" workbookViewId="0">
      <selection activeCell="M52" sqref="M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1</v>
      </c>
      <c r="H4" s="233" t="s">
        <v>9</v>
      </c>
      <c r="I4" s="235">
        <v>46155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321</v>
      </c>
      <c r="D6" s="13">
        <f t="shared" ref="D6:D28" si="1">C6*L6</f>
        <v>244281</v>
      </c>
      <c r="F6" s="239" t="s">
        <v>16</v>
      </c>
      <c r="G6" s="241" t="s">
        <v>99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6</v>
      </c>
      <c r="D7" s="13">
        <f t="shared" si="1"/>
        <v>4686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>
        <v>62</v>
      </c>
      <c r="D8" s="13">
        <f t="shared" si="1"/>
        <v>67766</v>
      </c>
      <c r="F8" s="247" t="s">
        <v>21</v>
      </c>
      <c r="G8" s="248" t="s">
        <v>120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24</v>
      </c>
      <c r="D9" s="13">
        <f t="shared" si="1"/>
        <v>17592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>
        <v>3</v>
      </c>
      <c r="D10" s="13">
        <f t="shared" si="1"/>
        <v>3096</v>
      </c>
      <c r="F10" s="239" t="s">
        <v>26</v>
      </c>
      <c r="G10" s="254" t="s">
        <v>108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v>4</v>
      </c>
      <c r="D12" s="48">
        <f t="shared" si="1"/>
        <v>3968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9</v>
      </c>
      <c r="D13" s="48">
        <f t="shared" si="1"/>
        <v>2763</v>
      </c>
      <c r="F13" s="260" t="s">
        <v>36</v>
      </c>
      <c r="G13" s="224"/>
      <c r="H13" s="215">
        <f>D29</f>
        <v>346170.83333333331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46051.5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300119.33333333331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 t="s">
        <v>153</v>
      </c>
      <c r="G22" s="73">
        <v>10543</v>
      </c>
      <c r="H22" s="201">
        <v>65678</v>
      </c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7"/>
      <c r="G23" s="79"/>
      <c r="H23" s="269"/>
      <c r="I23" s="270"/>
      <c r="J23" s="2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>
        <v>19</v>
      </c>
      <c r="D24" s="48">
        <f t="shared" si="1"/>
        <v>718.83333333333337</v>
      </c>
      <c r="F24" s="77"/>
      <c r="G24" s="79"/>
      <c r="H24" s="269"/>
      <c r="I24" s="270"/>
      <c r="J24" s="27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75"/>
      <c r="G26" s="65"/>
      <c r="H26" s="171"/>
      <c r="I26" s="171"/>
      <c r="J26" s="17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71"/>
      <c r="G27" s="105"/>
      <c r="H27" s="271"/>
      <c r="I27" s="272"/>
      <c r="J27" s="27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08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346170.83333333331</v>
      </c>
      <c r="F29" s="132" t="s">
        <v>54</v>
      </c>
      <c r="G29" s="194"/>
      <c r="H29" s="154">
        <f>H15-H16-H17-H18-H19-H20-H22-H23-H24+H26+H27+H28</f>
        <v>234441.33333333331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40">
        <v>181</v>
      </c>
      <c r="H34" s="176">
        <f t="shared" ref="H34:H39" si="2">F34*G34</f>
        <v>181000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106</v>
      </c>
      <c r="H35" s="176">
        <f t="shared" si="2"/>
        <v>53000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76">
        <f t="shared" si="2"/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320</v>
      </c>
      <c r="D37" s="12">
        <f>C37*111</f>
        <v>35520</v>
      </c>
      <c r="F37" s="12">
        <v>100</v>
      </c>
      <c r="G37" s="39">
        <v>3</v>
      </c>
      <c r="H37" s="176">
        <f t="shared" si="2"/>
        <v>300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2</v>
      </c>
      <c r="H38" s="176">
        <f t="shared" si="2"/>
        <v>100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>
        <v>45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05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65</v>
      </c>
      <c r="D44" s="12">
        <f>C44*120</f>
        <v>7800</v>
      </c>
      <c r="F44" s="37"/>
      <c r="G44" s="62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>
        <v>1</v>
      </c>
      <c r="D45" s="12">
        <f>C45*84</f>
        <v>84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>
        <v>13</v>
      </c>
      <c r="D46" s="12">
        <f>C46*1.5</f>
        <v>19.5</v>
      </c>
      <c r="F46" s="37"/>
      <c r="G46" s="62"/>
      <c r="H46" s="171"/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1</v>
      </c>
      <c r="D49" s="12">
        <f>C49*42</f>
        <v>42</v>
      </c>
      <c r="F49" s="152" t="s">
        <v>85</v>
      </c>
      <c r="G49" s="154">
        <f>H34+H35+H36+H37+H38+H39+H40+H41+G42+H44+H45+H46</f>
        <v>234445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9</v>
      </c>
      <c r="D50" s="12">
        <f>C50*1.5</f>
        <v>13.5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173</v>
      </c>
      <c r="G51" s="263">
        <f>G49-H29</f>
        <v>3.6666666666860692</v>
      </c>
      <c r="H51" s="264"/>
      <c r="I51" s="264"/>
      <c r="J51" s="26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66"/>
      <c r="H52" s="267"/>
      <c r="I52" s="267"/>
      <c r="J52" s="26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46051.5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91635-EC5E-4041-8C33-B85E2C196EDB}">
  <dimension ref="A1:R59"/>
  <sheetViews>
    <sheetView topLeftCell="A31" zoomScaleNormal="100" zoomScaleSheetLayoutView="85" workbookViewId="0">
      <selection activeCell="F56" sqref="F5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2</v>
      </c>
      <c r="H4" s="233" t="s">
        <v>9</v>
      </c>
      <c r="I4" s="235">
        <v>46155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343</v>
      </c>
      <c r="D6" s="13">
        <f t="shared" ref="D6:D28" si="1">C6*L6</f>
        <v>261023</v>
      </c>
      <c r="F6" s="239" t="s">
        <v>16</v>
      </c>
      <c r="G6" s="241" t="s">
        <v>107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100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10</v>
      </c>
      <c r="D9" s="13">
        <f t="shared" si="1"/>
        <v>7330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101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v>1</v>
      </c>
      <c r="D12" s="48">
        <f t="shared" si="1"/>
        <v>992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12</v>
      </c>
      <c r="D13" s="48">
        <f t="shared" si="1"/>
        <v>3684</v>
      </c>
      <c r="F13" s="260" t="s">
        <v>36</v>
      </c>
      <c r="G13" s="224"/>
      <c r="H13" s="215">
        <f>D29</f>
        <v>274505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16</v>
      </c>
      <c r="D14" s="31">
        <f t="shared" si="1"/>
        <v>176</v>
      </c>
      <c r="F14" s="218" t="s">
        <v>38</v>
      </c>
      <c r="G14" s="219"/>
      <c r="H14" s="220">
        <f>D54</f>
        <v>40630.5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233874.5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5">
        <v>1944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9"/>
      <c r="I19" s="279"/>
      <c r="J19" s="2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2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25"/>
      <c r="G23" s="37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08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274505</v>
      </c>
      <c r="F29" s="132" t="s">
        <v>54</v>
      </c>
      <c r="G29" s="194"/>
      <c r="H29" s="154">
        <f>H15-H16-H17-H18-H19-H20-H22-H23-H24+H26+H27</f>
        <v>231930.5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220</v>
      </c>
      <c r="H34" s="176">
        <f>F34*G34</f>
        <v>220000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176">
        <f t="shared" ref="H35:H39" si="2">F35*G35</f>
        <v>1000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76">
        <f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358</v>
      </c>
      <c r="D37" s="12">
        <f>C37*111</f>
        <v>39738</v>
      </c>
      <c r="F37" s="12">
        <v>100</v>
      </c>
      <c r="G37" s="39">
        <v>100</v>
      </c>
      <c r="H37" s="176">
        <f t="shared" si="2"/>
        <v>10000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7</v>
      </c>
      <c r="H38" s="176">
        <f t="shared" si="2"/>
        <v>350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8</v>
      </c>
      <c r="D39" s="31">
        <f>C39*4.5</f>
        <v>36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>
        <v>310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05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62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>
        <v>1</v>
      </c>
      <c r="D45" s="12">
        <f>C45*84</f>
        <v>84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>
        <v>15</v>
      </c>
      <c r="D46" s="12">
        <f>C46*1.5</f>
        <v>22.5</v>
      </c>
      <c r="F46" s="37"/>
      <c r="G46" s="106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2</v>
      </c>
      <c r="D49" s="12">
        <f>C49*42</f>
        <v>84</v>
      </c>
      <c r="F49" s="152" t="s">
        <v>85</v>
      </c>
      <c r="G49" s="154">
        <f>H34+H35+H36+H37+H38+H39+H40+H41+G42+H44+H45+H46</f>
        <v>231660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18</v>
      </c>
      <c r="D50" s="12">
        <f>C50*1.5</f>
        <v>27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169</v>
      </c>
      <c r="G51" s="273">
        <f>G49-H29</f>
        <v>-270.5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40630.5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56F6A-0CF6-4172-83F9-07AD0F9C08D7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3</v>
      </c>
      <c r="H4" s="233" t="s">
        <v>9</v>
      </c>
      <c r="I4" s="235">
        <v>46155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/>
      <c r="D6" s="13">
        <f t="shared" ref="D6:D28" si="1">C6*L6</f>
        <v>0</v>
      </c>
      <c r="F6" s="239" t="s">
        <v>16</v>
      </c>
      <c r="G6" s="241" t="s">
        <v>117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110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124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08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>
        <f>F34*G34</f>
        <v>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>
        <f>F35*G35</f>
        <v>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05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115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DC929-679D-4984-9828-75E8A904AD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8" t="s">
        <v>1</v>
      </c>
      <c r="O1" s="228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9" t="s">
        <v>7</v>
      </c>
      <c r="B4" s="180"/>
      <c r="C4" s="180"/>
      <c r="D4" s="181"/>
      <c r="F4" s="229" t="s">
        <v>8</v>
      </c>
      <c r="G4" s="231"/>
      <c r="H4" s="233" t="s">
        <v>9</v>
      </c>
      <c r="I4" s="235"/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4"/>
      <c r="B6" s="16"/>
      <c r="C6" s="10"/>
      <c r="D6" s="13">
        <f t="shared" ref="D6:D28" si="1">C6*L6</f>
        <v>0</v>
      </c>
      <c r="F6" s="239" t="s">
        <v>16</v>
      </c>
      <c r="G6" s="241"/>
      <c r="H6" s="242"/>
      <c r="I6" s="242"/>
      <c r="J6" s="2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4"/>
      <c r="B7" s="16"/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4"/>
      <c r="B8" s="16"/>
      <c r="C8" s="10"/>
      <c r="D8" s="13">
        <f t="shared" si="1"/>
        <v>0</v>
      </c>
      <c r="F8" s="247" t="s">
        <v>21</v>
      </c>
      <c r="G8" s="248"/>
      <c r="H8" s="249"/>
      <c r="I8" s="249"/>
      <c r="J8" s="2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4"/>
      <c r="B9" s="16"/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4"/>
      <c r="C10" s="10"/>
      <c r="D10" s="13">
        <f t="shared" si="1"/>
        <v>0</v>
      </c>
      <c r="F10" s="239" t="s">
        <v>26</v>
      </c>
      <c r="G10" s="254"/>
      <c r="H10" s="255"/>
      <c r="I10" s="255"/>
      <c r="J10" s="256"/>
      <c r="K10" s="8"/>
      <c r="L10" s="6">
        <f>R36</f>
        <v>972</v>
      </c>
      <c r="P10" s="4"/>
      <c r="Q10" s="4"/>
      <c r="R10" s="5"/>
    </row>
    <row r="11" spans="1:19" ht="15.75" x14ac:dyDescent="0.25">
      <c r="A11" s="174"/>
      <c r="B11" s="17"/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4"/>
      <c r="B12" s="17"/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4"/>
      <c r="B13" s="17"/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4"/>
      <c r="B14" s="14"/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4"/>
      <c r="B15" s="14"/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14"/>
      <c r="C19" s="10"/>
      <c r="D19" s="48">
        <f t="shared" si="1"/>
        <v>0</v>
      </c>
      <c r="F19" s="56"/>
      <c r="G19" s="68" t="s">
        <v>49</v>
      </c>
      <c r="H19" s="197"/>
      <c r="I19" s="197"/>
      <c r="J19" s="19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4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4"/>
      <c r="B22" s="46"/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/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/>
      <c r="C24" s="10"/>
      <c r="D24" s="48">
        <f t="shared" si="1"/>
        <v>0</v>
      </c>
      <c r="F24" s="38"/>
      <c r="G24" s="37"/>
      <c r="H24" s="202"/>
      <c r="I24" s="171"/>
      <c r="J24" s="17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4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/>
      <c r="C28" s="10"/>
      <c r="D28" s="48">
        <f t="shared" si="1"/>
        <v>0</v>
      </c>
      <c r="F28" s="108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/>
      <c r="I34" s="177"/>
      <c r="J34" s="17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/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/>
      <c r="I36" s="177"/>
      <c r="J36" s="17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/>
      <c r="I37" s="177"/>
      <c r="J37" s="17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/>
      <c r="I38" s="177"/>
      <c r="J38" s="17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/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05" t="s">
        <v>82</v>
      </c>
      <c r="H43" s="168" t="s">
        <v>13</v>
      </c>
      <c r="I43" s="169"/>
      <c r="J43" s="170"/>
      <c r="K43" s="21"/>
      <c r="P43" s="4"/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P44" s="4"/>
      <c r="Q44" s="4"/>
      <c r="R44" s="5"/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P50" s="4"/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106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1E40B-D58A-4F9B-82BB-82A235139286}">
  <dimension ref="A1:R59"/>
  <sheetViews>
    <sheetView topLeftCell="A27" zoomScaleNormal="100" zoomScaleSheetLayoutView="85" workbookViewId="0">
      <selection activeCell="G47" sqref="G4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1</v>
      </c>
      <c r="H4" s="233" t="s">
        <v>9</v>
      </c>
      <c r="I4" s="235">
        <v>46156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675</v>
      </c>
      <c r="D6" s="13">
        <f t="shared" ref="D6:D28" si="1">C6*L6</f>
        <v>513675</v>
      </c>
      <c r="F6" s="239" t="s">
        <v>16</v>
      </c>
      <c r="G6" s="241" t="s">
        <v>99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5</v>
      </c>
      <c r="D7" s="13">
        <f t="shared" si="1"/>
        <v>3905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>
        <v>1</v>
      </c>
      <c r="D8" s="13">
        <f t="shared" si="1"/>
        <v>1093</v>
      </c>
      <c r="F8" s="247" t="s">
        <v>21</v>
      </c>
      <c r="G8" s="248" t="s">
        <v>120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43</v>
      </c>
      <c r="D9" s="13">
        <f t="shared" si="1"/>
        <v>31519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108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25</v>
      </c>
      <c r="D13" s="48">
        <f t="shared" si="1"/>
        <v>7675</v>
      </c>
      <c r="F13" s="260" t="s">
        <v>36</v>
      </c>
      <c r="G13" s="224"/>
      <c r="H13" s="215">
        <f>D29</f>
        <v>563496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13</v>
      </c>
      <c r="D14" s="31">
        <f t="shared" si="1"/>
        <v>143</v>
      </c>
      <c r="F14" s="218" t="s">
        <v>38</v>
      </c>
      <c r="G14" s="219"/>
      <c r="H14" s="220">
        <f>D54</f>
        <v>77337.75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>
        <v>1</v>
      </c>
      <c r="D15" s="31">
        <f t="shared" si="1"/>
        <v>620</v>
      </c>
      <c r="F15" s="223" t="s">
        <v>39</v>
      </c>
      <c r="G15" s="224"/>
      <c r="H15" s="225">
        <f>H13-H14</f>
        <v>486158.25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3420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 t="s">
        <v>146</v>
      </c>
      <c r="G22" s="73">
        <v>10547</v>
      </c>
      <c r="H22" s="201">
        <v>78233</v>
      </c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7"/>
      <c r="G23" s="79"/>
      <c r="H23" s="269"/>
      <c r="I23" s="270"/>
      <c r="J23" s="2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77"/>
      <c r="G24" s="79"/>
      <c r="H24" s="269"/>
      <c r="I24" s="270"/>
      <c r="J24" s="27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75" t="s">
        <v>146</v>
      </c>
      <c r="G26" s="65">
        <v>10342</v>
      </c>
      <c r="H26" s="171">
        <v>92804</v>
      </c>
      <c r="I26" s="171"/>
      <c r="J26" s="17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71"/>
      <c r="G27" s="105"/>
      <c r="H27" s="271"/>
      <c r="I27" s="272"/>
      <c r="J27" s="27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>
        <v>6</v>
      </c>
      <c r="D28" s="48">
        <f t="shared" si="1"/>
        <v>4866</v>
      </c>
      <c r="F28" s="108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563496</v>
      </c>
      <c r="F29" s="132" t="s">
        <v>54</v>
      </c>
      <c r="G29" s="194"/>
      <c r="H29" s="154">
        <f>H15-H16-H17-H18-H19-H20-H22-H23-H24+H26+H27+H28</f>
        <v>497309.25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300</v>
      </c>
      <c r="H34" s="176">
        <f t="shared" ref="H34:H39" si="2">F34*G34</f>
        <v>300000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206</v>
      </c>
      <c r="H35" s="176">
        <f t="shared" si="2"/>
        <v>103000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76">
        <f t="shared" si="2"/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670</v>
      </c>
      <c r="D37" s="12">
        <f>C37*111</f>
        <v>74370</v>
      </c>
      <c r="F37" s="12">
        <v>100</v>
      </c>
      <c r="G37" s="39">
        <v>8</v>
      </c>
      <c r="H37" s="176">
        <f t="shared" si="2"/>
        <v>800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10</v>
      </c>
      <c r="H38" s="176">
        <f t="shared" si="2"/>
        <v>500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76">
        <v>57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05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2</v>
      </c>
      <c r="D44" s="12">
        <f>C44*120</f>
        <v>240</v>
      </c>
      <c r="F44" s="37" t="s">
        <v>136</v>
      </c>
      <c r="G44" s="103" t="s">
        <v>141</v>
      </c>
      <c r="H44" s="171">
        <v>92804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1"/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38</v>
      </c>
      <c r="D49" s="12">
        <f>C49*42</f>
        <v>1596</v>
      </c>
      <c r="F49" s="152" t="s">
        <v>85</v>
      </c>
      <c r="G49" s="154">
        <f>H34+H35+H36+H37+H38+H39+H40+H41+G42+H44+H45+H46</f>
        <v>497161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34</v>
      </c>
      <c r="D50" s="12">
        <f>C50*1.5</f>
        <v>51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109</v>
      </c>
      <c r="G51" s="273">
        <f>G49-H29</f>
        <v>-148.25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77337.75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A6604-0014-45A1-979D-2F42B5F602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2</v>
      </c>
      <c r="H4" s="233" t="s">
        <v>9</v>
      </c>
      <c r="I4" s="235">
        <v>46156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/>
      <c r="D6" s="13">
        <f t="shared" ref="D6:D28" si="1">C6*L6</f>
        <v>0</v>
      </c>
      <c r="F6" s="239" t="s">
        <v>16</v>
      </c>
      <c r="G6" s="241" t="s">
        <v>107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100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101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9"/>
      <c r="I19" s="279"/>
      <c r="J19" s="2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2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25"/>
      <c r="G23" s="37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08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>
        <f>F34*G34</f>
        <v>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>
        <f t="shared" ref="H35:H39" si="2">F35*G35</f>
        <v>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05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62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106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112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D3EF8-75F8-472F-912A-02E756786B7C}">
  <dimension ref="A1:R59"/>
  <sheetViews>
    <sheetView topLeftCell="A25" zoomScaleNormal="100" zoomScaleSheetLayoutView="85" workbookViewId="0">
      <selection activeCell="H46" sqref="H46:J4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3</v>
      </c>
      <c r="H4" s="233" t="s">
        <v>9</v>
      </c>
      <c r="I4" s="235">
        <v>46156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336</v>
      </c>
      <c r="D6" s="13">
        <f t="shared" ref="D6:D28" si="1">C6*L6</f>
        <v>255696</v>
      </c>
      <c r="F6" s="239" t="s">
        <v>16</v>
      </c>
      <c r="G6" s="241" t="s">
        <v>117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20</v>
      </c>
      <c r="D7" s="13">
        <f t="shared" si="1"/>
        <v>15620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110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92</v>
      </c>
      <c r="D9" s="13">
        <f t="shared" si="1"/>
        <v>67436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124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v>1</v>
      </c>
      <c r="D12" s="48">
        <f t="shared" si="1"/>
        <v>992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14</v>
      </c>
      <c r="D13" s="48">
        <f t="shared" si="1"/>
        <v>4298</v>
      </c>
      <c r="F13" s="260" t="s">
        <v>36</v>
      </c>
      <c r="G13" s="224"/>
      <c r="H13" s="215">
        <f>D29</f>
        <v>344042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46017.75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298024.25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1656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>
        <v>50</v>
      </c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08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344042</v>
      </c>
      <c r="F29" s="132" t="s">
        <v>54</v>
      </c>
      <c r="G29" s="194"/>
      <c r="H29" s="154">
        <f>H15-H16-H17-H18-H19-H20-H22-H23-H24+H26+H27</f>
        <v>296318.25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76</v>
      </c>
      <c r="H34" s="176">
        <f>F34*G34</f>
        <v>76000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34</v>
      </c>
      <c r="H35" s="176">
        <f>F35*G35</f>
        <v>17000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393</v>
      </c>
      <c r="D37" s="12">
        <f>C37*111</f>
        <v>43623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76">
        <f t="shared" si="2"/>
        <v>50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1</v>
      </c>
      <c r="D42" s="12">
        <f>C42*2.25</f>
        <v>2.25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05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 t="s">
        <v>132</v>
      </c>
      <c r="G44" s="76" t="s">
        <v>174</v>
      </c>
      <c r="H44" s="171">
        <v>183675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>
        <v>1</v>
      </c>
      <c r="D45" s="12">
        <f>C45*84</f>
        <v>84</v>
      </c>
      <c r="F45" s="37" t="s">
        <v>175</v>
      </c>
      <c r="G45" s="76" t="s">
        <v>176</v>
      </c>
      <c r="H45" s="171">
        <v>19904</v>
      </c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>
        <v>20</v>
      </c>
      <c r="D46" s="12">
        <f>C46*1.5</f>
        <v>30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10</v>
      </c>
      <c r="D49" s="12">
        <f>C49*42</f>
        <v>420</v>
      </c>
      <c r="F49" s="152" t="s">
        <v>85</v>
      </c>
      <c r="G49" s="154">
        <f>H34+H35+H36+H37+H38+H39+H40+H41+G42+H44+H45+H46</f>
        <v>296629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9</v>
      </c>
      <c r="D50" s="12">
        <f>C50*1.5</f>
        <v>13.5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115</v>
      </c>
      <c r="G51" s="162">
        <f>G49-H29</f>
        <v>310.75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46017.75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97033-8960-4E47-A585-BECBD678508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8" t="s">
        <v>1</v>
      </c>
      <c r="O1" s="228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9" t="s">
        <v>7</v>
      </c>
      <c r="B4" s="180"/>
      <c r="C4" s="180"/>
      <c r="D4" s="181"/>
      <c r="F4" s="229" t="s">
        <v>8</v>
      </c>
      <c r="G4" s="231"/>
      <c r="H4" s="233" t="s">
        <v>9</v>
      </c>
      <c r="I4" s="235"/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4"/>
      <c r="B6" s="16"/>
      <c r="C6" s="10"/>
      <c r="D6" s="13">
        <f t="shared" ref="D6:D28" si="1">C6*L6</f>
        <v>0</v>
      </c>
      <c r="F6" s="239" t="s">
        <v>16</v>
      </c>
      <c r="G6" s="241"/>
      <c r="H6" s="242"/>
      <c r="I6" s="242"/>
      <c r="J6" s="2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4"/>
      <c r="B7" s="16"/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4"/>
      <c r="B8" s="16"/>
      <c r="C8" s="10"/>
      <c r="D8" s="13">
        <f t="shared" si="1"/>
        <v>0</v>
      </c>
      <c r="F8" s="247" t="s">
        <v>21</v>
      </c>
      <c r="G8" s="248"/>
      <c r="H8" s="249"/>
      <c r="I8" s="249"/>
      <c r="J8" s="2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4"/>
      <c r="B9" s="16"/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4"/>
      <c r="C10" s="10"/>
      <c r="D10" s="13">
        <f t="shared" si="1"/>
        <v>0</v>
      </c>
      <c r="F10" s="239" t="s">
        <v>26</v>
      </c>
      <c r="G10" s="254"/>
      <c r="H10" s="255"/>
      <c r="I10" s="255"/>
      <c r="J10" s="256"/>
      <c r="K10" s="8"/>
      <c r="L10" s="6">
        <f>R36</f>
        <v>972</v>
      </c>
      <c r="P10" s="4"/>
      <c r="Q10" s="4"/>
      <c r="R10" s="5"/>
    </row>
    <row r="11" spans="1:19" ht="15.75" x14ac:dyDescent="0.25">
      <c r="A11" s="174"/>
      <c r="B11" s="17"/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4"/>
      <c r="B12" s="17"/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4"/>
      <c r="B13" s="17"/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4"/>
      <c r="B14" s="14"/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4"/>
      <c r="B15" s="14"/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14"/>
      <c r="C19" s="10"/>
      <c r="D19" s="48">
        <f t="shared" si="1"/>
        <v>0</v>
      </c>
      <c r="F19" s="56"/>
      <c r="G19" s="68" t="s">
        <v>49</v>
      </c>
      <c r="H19" s="197"/>
      <c r="I19" s="197"/>
      <c r="J19" s="19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4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4"/>
      <c r="B22" s="46"/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/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/>
      <c r="C24" s="10"/>
      <c r="D24" s="48">
        <f t="shared" si="1"/>
        <v>0</v>
      </c>
      <c r="F24" s="38"/>
      <c r="G24" s="37"/>
      <c r="H24" s="202"/>
      <c r="I24" s="171"/>
      <c r="J24" s="17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4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/>
      <c r="C28" s="10"/>
      <c r="D28" s="48">
        <f t="shared" si="1"/>
        <v>0</v>
      </c>
      <c r="F28" s="108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/>
      <c r="I34" s="177"/>
      <c r="J34" s="17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/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/>
      <c r="I36" s="177"/>
      <c r="J36" s="17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/>
      <c r="I37" s="177"/>
      <c r="J37" s="17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/>
      <c r="I38" s="177"/>
      <c r="J38" s="17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/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05" t="s">
        <v>82</v>
      </c>
      <c r="H43" s="168" t="s">
        <v>13</v>
      </c>
      <c r="I43" s="169"/>
      <c r="J43" s="170"/>
      <c r="K43" s="21"/>
      <c r="P43" s="4"/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P44" s="4"/>
      <c r="Q44" s="4"/>
      <c r="R44" s="5"/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P50" s="4"/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106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675C6-DB61-4E50-AB57-FFC9FFA13BA1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1</v>
      </c>
      <c r="H4" s="233" t="s">
        <v>9</v>
      </c>
      <c r="I4" s="235">
        <v>46157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432</v>
      </c>
      <c r="D6" s="13">
        <f t="shared" ref="D6:D28" si="1">C6*L6</f>
        <v>328752</v>
      </c>
      <c r="F6" s="239" t="s">
        <v>16</v>
      </c>
      <c r="G6" s="241" t="s">
        <v>99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2</v>
      </c>
      <c r="D7" s="13">
        <f t="shared" si="1"/>
        <v>1562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120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10</v>
      </c>
      <c r="D9" s="13">
        <f t="shared" si="1"/>
        <v>7330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108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5</v>
      </c>
      <c r="D13" s="48">
        <f t="shared" si="1"/>
        <v>1535</v>
      </c>
      <c r="F13" s="260" t="s">
        <v>36</v>
      </c>
      <c r="G13" s="224"/>
      <c r="H13" s="215">
        <f>D29</f>
        <v>339179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5827.5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333351.5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1944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 t="s">
        <v>178</v>
      </c>
      <c r="G22" s="73">
        <v>10654</v>
      </c>
      <c r="H22" s="201">
        <v>62135</v>
      </c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7"/>
      <c r="G23" s="79"/>
      <c r="H23" s="269"/>
      <c r="I23" s="270"/>
      <c r="J23" s="2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77"/>
      <c r="G24" s="79"/>
      <c r="H24" s="269"/>
      <c r="I24" s="270"/>
      <c r="J24" s="27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75"/>
      <c r="G26" s="65"/>
      <c r="H26" s="171"/>
      <c r="I26" s="171"/>
      <c r="J26" s="17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71"/>
      <c r="G27" s="105"/>
      <c r="H27" s="271"/>
      <c r="I27" s="272"/>
      <c r="J27" s="27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08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339179</v>
      </c>
      <c r="F29" s="132" t="s">
        <v>54</v>
      </c>
      <c r="G29" s="194"/>
      <c r="H29" s="154">
        <f>H15-H16-H17-H18-H19-H20-H22-H23-H24+H26+H27+H28</f>
        <v>269272.5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</v>
      </c>
      <c r="H34" s="176">
        <f t="shared" ref="H34:H39" si="2">F34*G34</f>
        <v>13000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27</v>
      </c>
      <c r="H35" s="176">
        <f t="shared" si="2"/>
        <v>13500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si="2"/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46</v>
      </c>
      <c r="D37" s="12">
        <f>C37*111</f>
        <v>5106</v>
      </c>
      <c r="F37" s="12">
        <v>100</v>
      </c>
      <c r="G37" s="39">
        <v>2</v>
      </c>
      <c r="H37" s="176">
        <f t="shared" si="2"/>
        <v>200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10</v>
      </c>
      <c r="D42" s="12">
        <f>C42*2.25</f>
        <v>22.5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05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 t="s">
        <v>132</v>
      </c>
      <c r="G44" s="62" t="s">
        <v>177</v>
      </c>
      <c r="H44" s="171">
        <v>244620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1"/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271320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173</v>
      </c>
      <c r="G51" s="263">
        <f>G49-H29</f>
        <v>2047.5</v>
      </c>
      <c r="H51" s="264"/>
      <c r="I51" s="264"/>
      <c r="J51" s="26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66"/>
      <c r="H52" s="267"/>
      <c r="I52" s="267"/>
      <c r="J52" s="26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5827.5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6AD7F-B4A2-4C92-9488-DF24F8497316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2</v>
      </c>
      <c r="H4" s="233" t="s">
        <v>9</v>
      </c>
      <c r="I4" s="235">
        <v>46157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347</v>
      </c>
      <c r="D6" s="13">
        <f t="shared" ref="D6:D28" si="1">C6*L6</f>
        <v>264067</v>
      </c>
      <c r="F6" s="239" t="s">
        <v>16</v>
      </c>
      <c r="G6" s="241" t="s">
        <v>107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6</v>
      </c>
      <c r="D7" s="13">
        <f t="shared" si="1"/>
        <v>4686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100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41</v>
      </c>
      <c r="D9" s="13">
        <f t="shared" si="1"/>
        <v>30053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101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10</v>
      </c>
      <c r="D13" s="48">
        <f t="shared" si="1"/>
        <v>3070</v>
      </c>
      <c r="F13" s="260" t="s">
        <v>36</v>
      </c>
      <c r="G13" s="224"/>
      <c r="H13" s="215">
        <f>D29</f>
        <v>301997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11</v>
      </c>
      <c r="D14" s="31">
        <f t="shared" si="1"/>
        <v>121</v>
      </c>
      <c r="F14" s="218" t="s">
        <v>38</v>
      </c>
      <c r="G14" s="219"/>
      <c r="H14" s="220">
        <f>D54</f>
        <v>44970.75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257026.25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1200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79"/>
      <c r="I19" s="279"/>
      <c r="J19" s="2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2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25"/>
      <c r="G23" s="37"/>
      <c r="H23" s="202"/>
      <c r="I23" s="171"/>
      <c r="J23" s="17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10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14"/>
      <c r="G27" s="14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08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301997</v>
      </c>
      <c r="F29" s="132" t="s">
        <v>54</v>
      </c>
      <c r="G29" s="194"/>
      <c r="H29" s="154">
        <f>H15-H16-H17-H18-H19-H20-H22-H23-H24+H26+H27</f>
        <v>255826.25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69</v>
      </c>
      <c r="H34" s="176">
        <f>F34*G34</f>
        <v>69000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176">
        <f t="shared" ref="H35:H39" si="2">F35*G35</f>
        <v>20000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176">
        <f>F36*G36</f>
        <v>400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387</v>
      </c>
      <c r="D37" s="12">
        <f>C37*111</f>
        <v>42957</v>
      </c>
      <c r="F37" s="12">
        <v>100</v>
      </c>
      <c r="G37" s="39">
        <v>23</v>
      </c>
      <c r="H37" s="176">
        <f t="shared" si="2"/>
        <v>2300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176">
        <f t="shared" si="2"/>
        <v>50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9</v>
      </c>
      <c r="D42" s="12">
        <f>C42*2.25</f>
        <v>20.25</v>
      </c>
      <c r="F42" s="39" t="s">
        <v>78</v>
      </c>
      <c r="G42" s="176">
        <v>4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05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 t="s">
        <v>132</v>
      </c>
      <c r="G44" s="62" t="s">
        <v>179</v>
      </c>
      <c r="H44" s="171">
        <v>130451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 t="s">
        <v>136</v>
      </c>
      <c r="G45" s="103" t="s">
        <v>141</v>
      </c>
      <c r="H45" s="171">
        <v>33800</v>
      </c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>
        <v>2</v>
      </c>
      <c r="D46" s="12">
        <f>C46*1.5</f>
        <v>3</v>
      </c>
      <c r="F46" s="37"/>
      <c r="G46" s="106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7</v>
      </c>
      <c r="D49" s="12">
        <f>C49*42</f>
        <v>294</v>
      </c>
      <c r="F49" s="152" t="s">
        <v>85</v>
      </c>
      <c r="G49" s="154">
        <f>H34+H35+H36+H37+H38+H39+H40+H41+G42+H44+H45+H46</f>
        <v>256005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4</v>
      </c>
      <c r="D50" s="12">
        <f>C50*1.5</f>
        <v>6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112</v>
      </c>
      <c r="G51" s="162">
        <f>G49-H29</f>
        <v>178.75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44970.75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0924D-26CD-480E-AFC1-350727F73FE8}">
  <dimension ref="A1:R59"/>
  <sheetViews>
    <sheetView zoomScaleNormal="100" zoomScaleSheetLayoutView="85" workbookViewId="0">
      <selection activeCell="G6" sqref="G6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3</v>
      </c>
      <c r="H4" s="233" t="s">
        <v>9</v>
      </c>
      <c r="I4" s="235">
        <v>46157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554</v>
      </c>
      <c r="D6" s="13">
        <f t="shared" ref="D6:D28" si="1">C6*L6</f>
        <v>421594</v>
      </c>
      <c r="F6" s="239" t="s">
        <v>16</v>
      </c>
      <c r="G6" s="241" t="s">
        <v>117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1</v>
      </c>
      <c r="D7" s="13">
        <f t="shared" si="1"/>
        <v>781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110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108</v>
      </c>
      <c r="D9" s="13">
        <f t="shared" si="1"/>
        <v>79164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124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v>1</v>
      </c>
      <c r="D12" s="48">
        <f t="shared" si="1"/>
        <v>992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21</v>
      </c>
      <c r="D13" s="48">
        <f t="shared" si="1"/>
        <v>6447</v>
      </c>
      <c r="F13" s="260" t="s">
        <v>36</v>
      </c>
      <c r="G13" s="224"/>
      <c r="H13" s="215">
        <f>D29</f>
        <v>509099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11</v>
      </c>
      <c r="D14" s="31">
        <f t="shared" si="1"/>
        <v>121</v>
      </c>
      <c r="F14" s="218" t="s">
        <v>38</v>
      </c>
      <c r="G14" s="219"/>
      <c r="H14" s="220">
        <f>D54</f>
        <v>71080.5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438018.5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f>1596+1296+300</f>
        <v>3192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81"/>
      <c r="I23" s="201"/>
      <c r="J23" s="20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08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509099</v>
      </c>
      <c r="F29" s="132" t="s">
        <v>54</v>
      </c>
      <c r="G29" s="194"/>
      <c r="H29" s="154">
        <f>H15-H16-H17-H18-H19-H20-H22-H23-H24+H26+H27</f>
        <v>434826.5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78</v>
      </c>
      <c r="H34" s="176">
        <f>F34*G34</f>
        <v>78000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80</v>
      </c>
      <c r="H35" s="176">
        <f>F35*G35</f>
        <v>40000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620</v>
      </c>
      <c r="D37" s="12">
        <f>C37*111</f>
        <v>68820</v>
      </c>
      <c r="F37" s="12">
        <v>100</v>
      </c>
      <c r="G37" s="39">
        <v>49</v>
      </c>
      <c r="H37" s="176">
        <f t="shared" si="2"/>
        <v>4900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>
        <v>9</v>
      </c>
      <c r="H38" s="176">
        <f t="shared" si="2"/>
        <v>450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6</v>
      </c>
      <c r="D39" s="31">
        <f>C39*4.5</f>
        <v>27</v>
      </c>
      <c r="F39" s="12">
        <v>20</v>
      </c>
      <c r="G39" s="37">
        <v>2</v>
      </c>
      <c r="H39" s="176">
        <f t="shared" si="2"/>
        <v>40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>
        <v>50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05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1</v>
      </c>
      <c r="D44" s="12">
        <f>C44*120</f>
        <v>120</v>
      </c>
      <c r="F44" s="37" t="s">
        <v>136</v>
      </c>
      <c r="G44" s="76" t="s">
        <v>180</v>
      </c>
      <c r="H44" s="171">
        <v>171049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 t="s">
        <v>136</v>
      </c>
      <c r="G45" s="76" t="s">
        <v>181</v>
      </c>
      <c r="H45" s="171">
        <v>140478</v>
      </c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>
        <v>5</v>
      </c>
      <c r="D46" s="12">
        <f>C46*1.5</f>
        <v>7.5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434967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140</v>
      </c>
      <c r="D50" s="12">
        <f>C50*1.5</f>
        <v>210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115</v>
      </c>
      <c r="G51" s="162">
        <f>G49-H29</f>
        <v>140.5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71080.5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7DCD8-3CE5-4EAB-B5F7-F28AD55F7D3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8" t="s">
        <v>1</v>
      </c>
      <c r="O1" s="228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9" t="s">
        <v>7</v>
      </c>
      <c r="B4" s="180"/>
      <c r="C4" s="180"/>
      <c r="D4" s="181"/>
      <c r="F4" s="229" t="s">
        <v>8</v>
      </c>
      <c r="G4" s="231"/>
      <c r="H4" s="233" t="s">
        <v>9</v>
      </c>
      <c r="I4" s="235"/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4"/>
      <c r="B6" s="16"/>
      <c r="C6" s="10"/>
      <c r="D6" s="13">
        <f t="shared" ref="D6:D28" si="1">C6*L6</f>
        <v>0</v>
      </c>
      <c r="F6" s="239" t="s">
        <v>16</v>
      </c>
      <c r="G6" s="241"/>
      <c r="H6" s="242"/>
      <c r="I6" s="242"/>
      <c r="J6" s="2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4"/>
      <c r="B7" s="16"/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4"/>
      <c r="B8" s="16"/>
      <c r="C8" s="10"/>
      <c r="D8" s="13">
        <f t="shared" si="1"/>
        <v>0</v>
      </c>
      <c r="F8" s="247" t="s">
        <v>21</v>
      </c>
      <c r="G8" s="248"/>
      <c r="H8" s="249"/>
      <c r="I8" s="249"/>
      <c r="J8" s="2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4"/>
      <c r="B9" s="16"/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4"/>
      <c r="C10" s="10"/>
      <c r="D10" s="13">
        <f t="shared" si="1"/>
        <v>0</v>
      </c>
      <c r="F10" s="239" t="s">
        <v>26</v>
      </c>
      <c r="G10" s="254"/>
      <c r="H10" s="255"/>
      <c r="I10" s="255"/>
      <c r="J10" s="256"/>
      <c r="K10" s="8"/>
      <c r="L10" s="6">
        <f>R36</f>
        <v>972</v>
      </c>
      <c r="P10" s="4"/>
      <c r="Q10" s="4"/>
      <c r="R10" s="5"/>
    </row>
    <row r="11" spans="1:19" ht="15.75" x14ac:dyDescent="0.25">
      <c r="A11" s="174"/>
      <c r="B11" s="17"/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4"/>
      <c r="B12" s="17"/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4"/>
      <c r="B13" s="17"/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4"/>
      <c r="B14" s="14"/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4"/>
      <c r="B15" s="14"/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14"/>
      <c r="C19" s="10"/>
      <c r="D19" s="48">
        <f t="shared" si="1"/>
        <v>0</v>
      </c>
      <c r="F19" s="56"/>
      <c r="G19" s="68" t="s">
        <v>49</v>
      </c>
      <c r="H19" s="197"/>
      <c r="I19" s="197"/>
      <c r="J19" s="19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4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4"/>
      <c r="B22" s="46"/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/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/>
      <c r="C24" s="10"/>
      <c r="D24" s="48">
        <f t="shared" si="1"/>
        <v>0</v>
      </c>
      <c r="F24" s="38"/>
      <c r="G24" s="37"/>
      <c r="H24" s="202"/>
      <c r="I24" s="171"/>
      <c r="J24" s="17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4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/>
      <c r="C28" s="10"/>
      <c r="D28" s="48">
        <f t="shared" si="1"/>
        <v>0</v>
      </c>
      <c r="F28" s="108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/>
      <c r="I34" s="177"/>
      <c r="J34" s="17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/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/>
      <c r="I36" s="177"/>
      <c r="J36" s="17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/>
      <c r="I37" s="177"/>
      <c r="J37" s="17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/>
      <c r="I38" s="177"/>
      <c r="J38" s="17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/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05" t="s">
        <v>82</v>
      </c>
      <c r="H43" s="168" t="s">
        <v>13</v>
      </c>
      <c r="I43" s="169"/>
      <c r="J43" s="170"/>
      <c r="K43" s="21"/>
      <c r="P43" s="4"/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P44" s="4"/>
      <c r="Q44" s="4"/>
      <c r="R44" s="5"/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P50" s="4"/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106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C084D-AEC5-4EDA-BC11-BFA40853115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1</v>
      </c>
      <c r="H4" s="233" t="s">
        <v>9</v>
      </c>
      <c r="I4" s="235">
        <v>46158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/>
      <c r="D6" s="13">
        <f t="shared" ref="D6:D28" si="1">C6*L6</f>
        <v>0</v>
      </c>
      <c r="F6" s="239" t="s">
        <v>16</v>
      </c>
      <c r="G6" s="241" t="s">
        <v>99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120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108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7"/>
      <c r="G23" s="79"/>
      <c r="H23" s="269"/>
      <c r="I23" s="270"/>
      <c r="J23" s="2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77"/>
      <c r="G24" s="79"/>
      <c r="H24" s="269"/>
      <c r="I24" s="270"/>
      <c r="J24" s="27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75" t="s">
        <v>153</v>
      </c>
      <c r="G26" s="65">
        <v>10543</v>
      </c>
      <c r="H26" s="171">
        <v>65678</v>
      </c>
      <c r="I26" s="171"/>
      <c r="J26" s="17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71"/>
      <c r="G27" s="120"/>
      <c r="H27" s="271"/>
      <c r="I27" s="272"/>
      <c r="J27" s="27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22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H15-H16-H17-H18-H19-H20-H22-H23-H24+H26+H27+H28</f>
        <v>65678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65</v>
      </c>
      <c r="H34" s="176">
        <f t="shared" ref="H34:H39" si="2">F34*G34</f>
        <v>65000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76">
        <f t="shared" si="2"/>
        <v>500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si="2"/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176">
        <f t="shared" si="2"/>
        <v>100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76">
        <f t="shared" si="2"/>
        <v>50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>
        <v>28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0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62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1"/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65678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184</v>
      </c>
      <c r="G51" s="263">
        <f>G49-H29</f>
        <v>0</v>
      </c>
      <c r="H51" s="264"/>
      <c r="I51" s="264"/>
      <c r="J51" s="26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66"/>
      <c r="H52" s="267"/>
      <c r="I52" s="267"/>
      <c r="J52" s="26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B4F66-68E3-4650-A39C-1B1C7CE3B61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2</v>
      </c>
      <c r="H4" s="233" t="s">
        <v>9</v>
      </c>
      <c r="I4" s="235">
        <v>46158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316</v>
      </c>
      <c r="D6" s="13">
        <f t="shared" ref="D6:D28" si="1">C6*L6</f>
        <v>240476</v>
      </c>
      <c r="F6" s="239" t="s">
        <v>16</v>
      </c>
      <c r="G6" s="241" t="s">
        <v>107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15</v>
      </c>
      <c r="D7" s="13">
        <f t="shared" si="1"/>
        <v>11715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100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20</v>
      </c>
      <c r="D9" s="13">
        <f t="shared" si="1"/>
        <v>14660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101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11</v>
      </c>
      <c r="D13" s="48">
        <f t="shared" si="1"/>
        <v>3377</v>
      </c>
      <c r="F13" s="260" t="s">
        <v>36</v>
      </c>
      <c r="G13" s="224"/>
      <c r="H13" s="215">
        <f>D29</f>
        <v>272545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41206.5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231338.5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5">
        <v>2106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183</v>
      </c>
      <c r="C21" s="10">
        <v>1</v>
      </c>
      <c r="D21" s="48">
        <f t="shared" si="1"/>
        <v>1667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81"/>
      <c r="I23" s="201"/>
      <c r="J23" s="20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272545</v>
      </c>
      <c r="F29" s="132" t="s">
        <v>54</v>
      </c>
      <c r="G29" s="194"/>
      <c r="H29" s="154">
        <f>H15-H16-H17-H18-H19-H20-H22-H23-H24+H26+H27</f>
        <v>229232.5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8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32</v>
      </c>
      <c r="H34" s="176">
        <f>F34*G34</f>
        <v>32000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211</v>
      </c>
      <c r="H35" s="176">
        <f>F35*G35</f>
        <v>105500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349</v>
      </c>
      <c r="D37" s="12">
        <f>C37*111</f>
        <v>38739</v>
      </c>
      <c r="F37" s="12">
        <v>100</v>
      </c>
      <c r="G37" s="39">
        <v>700</v>
      </c>
      <c r="H37" s="176">
        <f t="shared" si="2"/>
        <v>70000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>
        <v>388</v>
      </c>
      <c r="H38" s="176">
        <f t="shared" si="2"/>
        <v>19400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76">
        <f t="shared" si="2"/>
        <v>20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>
        <v>17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19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 t="s">
        <v>182</v>
      </c>
      <c r="G44" s="76"/>
      <c r="H44" s="171">
        <v>2317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16</v>
      </c>
      <c r="D49" s="12">
        <f>C49*42</f>
        <v>672</v>
      </c>
      <c r="F49" s="152" t="s">
        <v>85</v>
      </c>
      <c r="G49" s="154">
        <f>H34+H35+H36+H37+H38+H39+H40+H41+G42+H44+H45+H46</f>
        <v>229254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81">
        <v>1</v>
      </c>
      <c r="D50" s="12">
        <f>C50*1.5</f>
        <v>1.5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115</v>
      </c>
      <c r="G51" s="162">
        <f>G49-H29</f>
        <v>21.5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41206.5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8163C-CE78-40F4-B7FD-CF3E6CDEBE8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3</v>
      </c>
      <c r="H4" s="233" t="s">
        <v>9</v>
      </c>
      <c r="I4" s="235">
        <v>46158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/>
      <c r="D6" s="13">
        <f t="shared" ref="D6:D28" si="1">C6*L6</f>
        <v>0</v>
      </c>
      <c r="F6" s="239" t="s">
        <v>16</v>
      </c>
      <c r="G6" s="241" t="s">
        <v>117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110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124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81"/>
      <c r="I23" s="201"/>
      <c r="J23" s="20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17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8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>
        <f>F34*G34</f>
        <v>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>
        <f>F35*G35</f>
        <v>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19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115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51504-B481-4DB1-8BD9-9380F8D8324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8" t="s">
        <v>1</v>
      </c>
      <c r="O1" s="228"/>
      <c r="P1" s="121" t="s">
        <v>2</v>
      </c>
      <c r="Q1" s="12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9" t="s">
        <v>7</v>
      </c>
      <c r="B4" s="180"/>
      <c r="C4" s="180"/>
      <c r="D4" s="181"/>
      <c r="F4" s="229" t="s">
        <v>8</v>
      </c>
      <c r="G4" s="231"/>
      <c r="H4" s="233" t="s">
        <v>9</v>
      </c>
      <c r="I4" s="235"/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4"/>
      <c r="B6" s="16"/>
      <c r="C6" s="10"/>
      <c r="D6" s="13">
        <f t="shared" ref="D6:D28" si="1">C6*L6</f>
        <v>0</v>
      </c>
      <c r="F6" s="239" t="s">
        <v>16</v>
      </c>
      <c r="G6" s="241"/>
      <c r="H6" s="242"/>
      <c r="I6" s="242"/>
      <c r="J6" s="2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4"/>
      <c r="B7" s="16"/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4"/>
      <c r="B8" s="16"/>
      <c r="C8" s="10"/>
      <c r="D8" s="13">
        <f t="shared" si="1"/>
        <v>0</v>
      </c>
      <c r="F8" s="247" t="s">
        <v>21</v>
      </c>
      <c r="G8" s="248"/>
      <c r="H8" s="249"/>
      <c r="I8" s="249"/>
      <c r="J8" s="2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4"/>
      <c r="B9" s="16"/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4"/>
      <c r="C10" s="10"/>
      <c r="D10" s="13">
        <f t="shared" si="1"/>
        <v>0</v>
      </c>
      <c r="F10" s="239" t="s">
        <v>26</v>
      </c>
      <c r="G10" s="254"/>
      <c r="H10" s="255"/>
      <c r="I10" s="255"/>
      <c r="J10" s="256"/>
      <c r="K10" s="8"/>
      <c r="L10" s="6">
        <f>R36</f>
        <v>972</v>
      </c>
      <c r="P10" s="4"/>
      <c r="Q10" s="4"/>
      <c r="R10" s="5"/>
    </row>
    <row r="11" spans="1:19" ht="15.75" x14ac:dyDescent="0.25">
      <c r="A11" s="174"/>
      <c r="B11" s="17"/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4"/>
      <c r="B12" s="17"/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4"/>
      <c r="B13" s="17"/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4"/>
      <c r="B14" s="14"/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4"/>
      <c r="B15" s="14"/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14"/>
      <c r="C19" s="10"/>
      <c r="D19" s="48">
        <f t="shared" si="1"/>
        <v>0</v>
      </c>
      <c r="F19" s="56"/>
      <c r="G19" s="68" t="s">
        <v>49</v>
      </c>
      <c r="H19" s="197"/>
      <c r="I19" s="197"/>
      <c r="J19" s="19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4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4"/>
      <c r="B22" s="46"/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/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/>
      <c r="C24" s="10"/>
      <c r="D24" s="48">
        <f t="shared" si="1"/>
        <v>0</v>
      </c>
      <c r="F24" s="38"/>
      <c r="G24" s="37"/>
      <c r="H24" s="202"/>
      <c r="I24" s="171"/>
      <c r="J24" s="17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4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/>
      <c r="C28" s="10"/>
      <c r="D28" s="48">
        <f t="shared" si="1"/>
        <v>0</v>
      </c>
      <c r="F28" s="122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/>
      <c r="I34" s="177"/>
      <c r="J34" s="17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/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/>
      <c r="I36" s="177"/>
      <c r="J36" s="17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/>
      <c r="I37" s="177"/>
      <c r="J37" s="17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/>
      <c r="I38" s="177"/>
      <c r="J38" s="17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/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0" t="s">
        <v>82</v>
      </c>
      <c r="H43" s="168" t="s">
        <v>13</v>
      </c>
      <c r="I43" s="169"/>
      <c r="J43" s="170"/>
      <c r="K43" s="21"/>
      <c r="P43" s="4"/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P44" s="4"/>
      <c r="Q44" s="4"/>
      <c r="R44" s="5"/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P50" s="4"/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106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F0034-4114-44D4-ADF9-F4FE6CB9801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1</v>
      </c>
      <c r="H4" s="233" t="s">
        <v>9</v>
      </c>
      <c r="I4" s="235">
        <v>46160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/>
      <c r="D6" s="13">
        <f t="shared" ref="D6:D28" si="1">C6*L6</f>
        <v>0</v>
      </c>
      <c r="F6" s="239" t="s">
        <v>16</v>
      </c>
      <c r="G6" s="241" t="s">
        <v>99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120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108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7"/>
      <c r="G23" s="79"/>
      <c r="H23" s="269"/>
      <c r="I23" s="270"/>
      <c r="J23" s="2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77"/>
      <c r="G24" s="79"/>
      <c r="H24" s="269"/>
      <c r="I24" s="270"/>
      <c r="J24" s="27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75"/>
      <c r="G26" s="65"/>
      <c r="H26" s="171"/>
      <c r="I26" s="171"/>
      <c r="J26" s="17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71"/>
      <c r="G27" s="120"/>
      <c r="H27" s="271"/>
      <c r="I27" s="272"/>
      <c r="J27" s="27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22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H15-H16-H17-H18-H19-H20-H22-H23-H24+H26+H27+H28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76">
        <f t="shared" ref="H34:H39" si="2">F34*G34</f>
        <v>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>
        <f t="shared" si="2"/>
        <v>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si="2"/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0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62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1"/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184</v>
      </c>
      <c r="G51" s="263">
        <f>G49-H29</f>
        <v>0</v>
      </c>
      <c r="H51" s="264"/>
      <c r="I51" s="264"/>
      <c r="J51" s="26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66"/>
      <c r="H52" s="267"/>
      <c r="I52" s="267"/>
      <c r="J52" s="26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EF114-DD0F-491C-9455-3E229361525C}">
  <dimension ref="A1:R59"/>
  <sheetViews>
    <sheetView zoomScaleNormal="100" zoomScaleSheetLayoutView="85" workbookViewId="0">
      <selection activeCell="L54" sqref="L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2</v>
      </c>
      <c r="H4" s="233" t="s">
        <v>9</v>
      </c>
      <c r="I4" s="235">
        <v>46160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585</v>
      </c>
      <c r="D6" s="13">
        <f t="shared" ref="D6:D28" si="1">C6*L6</f>
        <v>445185</v>
      </c>
      <c r="F6" s="239" t="s">
        <v>16</v>
      </c>
      <c r="G6" s="241" t="s">
        <v>107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100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43</v>
      </c>
      <c r="D9" s="13">
        <f t="shared" si="1"/>
        <v>31519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>
        <v>5</v>
      </c>
      <c r="D10" s="13">
        <f t="shared" si="1"/>
        <v>5160</v>
      </c>
      <c r="F10" s="239" t="s">
        <v>26</v>
      </c>
      <c r="G10" s="254" t="s">
        <v>101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25</v>
      </c>
      <c r="D13" s="48">
        <f t="shared" si="1"/>
        <v>7675</v>
      </c>
      <c r="F13" s="260" t="s">
        <v>36</v>
      </c>
      <c r="G13" s="224"/>
      <c r="H13" s="215">
        <f>D29</f>
        <v>491364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69771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421593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85">
        <v>3666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81"/>
      <c r="I23" s="201"/>
      <c r="J23" s="20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22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491364</v>
      </c>
      <c r="F29" s="132" t="s">
        <v>54</v>
      </c>
      <c r="G29" s="194"/>
      <c r="H29" s="154">
        <f>H15-H16-H17-H18-H19-H20-H22-H23-H24+H26+H27</f>
        <v>417927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74">
        <v>53</v>
      </c>
      <c r="H34" s="176">
        <f>F34*G34</f>
        <v>53000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201</v>
      </c>
      <c r="H35" s="176">
        <f>F35*G35</f>
        <v>100500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597</v>
      </c>
      <c r="D37" s="12">
        <f>C37*111</f>
        <v>66267</v>
      </c>
      <c r="F37" s="12">
        <v>100</v>
      </c>
      <c r="G37" s="39">
        <v>1</v>
      </c>
      <c r="H37" s="176">
        <f t="shared" si="2"/>
        <v>100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76">
        <f t="shared" si="2"/>
        <v>50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>
        <v>38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0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5</v>
      </c>
      <c r="D44" s="12">
        <f>C44*120</f>
        <v>600</v>
      </c>
      <c r="F44" s="37" t="s">
        <v>132</v>
      </c>
      <c r="G44" s="76" t="s">
        <v>185</v>
      </c>
      <c r="H44" s="171">
        <v>264034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30</v>
      </c>
      <c r="D48" s="12">
        <f>C48*78</f>
        <v>2340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2</v>
      </c>
      <c r="D49" s="12">
        <f>C49*42</f>
        <v>84</v>
      </c>
      <c r="F49" s="152" t="s">
        <v>85</v>
      </c>
      <c r="G49" s="154">
        <f>H34+H35+H36+H37+H38+H39+H40+H41+G42+H44+H45+H46</f>
        <v>417722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8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186</v>
      </c>
      <c r="G51" s="273">
        <f>G49-H29</f>
        <v>-205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69771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9CC0B-4847-4671-BF83-BB6FEFC2958C}">
  <dimension ref="A1:R59"/>
  <sheetViews>
    <sheetView zoomScaleNormal="100" zoomScaleSheetLayoutView="85" workbookViewId="0">
      <selection activeCell="L63" sqref="L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3</v>
      </c>
      <c r="H4" s="233" t="s">
        <v>9</v>
      </c>
      <c r="I4" s="235">
        <v>46160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524</v>
      </c>
      <c r="D6" s="13">
        <f t="shared" ref="D6:D28" si="1">C6*L6</f>
        <v>398764</v>
      </c>
      <c r="F6" s="239" t="s">
        <v>16</v>
      </c>
      <c r="G6" s="241" t="s">
        <v>117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15</v>
      </c>
      <c r="D7" s="13">
        <f t="shared" si="1"/>
        <v>11715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110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162</v>
      </c>
      <c r="D9" s="13">
        <f t="shared" si="1"/>
        <v>118746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124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v>8</v>
      </c>
      <c r="D12" s="48">
        <f t="shared" si="1"/>
        <v>7936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16</v>
      </c>
      <c r="D13" s="48">
        <f t="shared" si="1"/>
        <v>4912</v>
      </c>
      <c r="F13" s="260" t="s">
        <v>36</v>
      </c>
      <c r="G13" s="224"/>
      <c r="H13" s="215">
        <f>D29</f>
        <v>543461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8</v>
      </c>
      <c r="D14" s="31">
        <f t="shared" si="1"/>
        <v>88</v>
      </c>
      <c r="F14" s="218" t="s">
        <v>38</v>
      </c>
      <c r="G14" s="219"/>
      <c r="H14" s="220">
        <f>D54</f>
        <v>78838.5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464622.5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5">
        <f>948+1836</f>
        <v>2784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>
        <v>50</v>
      </c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81"/>
      <c r="I23" s="201"/>
      <c r="J23" s="20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22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543461</v>
      </c>
      <c r="F29" s="132" t="s">
        <v>54</v>
      </c>
      <c r="G29" s="194"/>
      <c r="H29" s="154">
        <f>H15-H16-H17-H18-H19-H20-H22-H23-H24+H26+H27</f>
        <v>461788.5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48</v>
      </c>
      <c r="H34" s="176">
        <f>F34*G34</f>
        <v>48000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15</v>
      </c>
      <c r="H35" s="176">
        <f>F35*G35</f>
        <v>7500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693</v>
      </c>
      <c r="D37" s="12">
        <f>C37*111</f>
        <v>76923</v>
      </c>
      <c r="F37" s="12">
        <v>100</v>
      </c>
      <c r="G37" s="39">
        <v>4</v>
      </c>
      <c r="H37" s="176">
        <f t="shared" si="2"/>
        <v>400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76">
        <f t="shared" si="2"/>
        <v>50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11</v>
      </c>
      <c r="D40" s="12">
        <f>C40*111</f>
        <v>1221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>
        <v>68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0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3</v>
      </c>
      <c r="D44" s="12">
        <f>C44*120</f>
        <v>360</v>
      </c>
      <c r="F44" s="37" t="s">
        <v>136</v>
      </c>
      <c r="G44" s="76" t="s">
        <v>187</v>
      </c>
      <c r="H44" s="171">
        <v>100352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>
        <v>1</v>
      </c>
      <c r="D45" s="12">
        <f>C45*84</f>
        <v>84</v>
      </c>
      <c r="F45" s="37" t="s">
        <v>132</v>
      </c>
      <c r="G45" s="76" t="s">
        <v>188</v>
      </c>
      <c r="H45" s="171">
        <v>198087</v>
      </c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>
        <v>19</v>
      </c>
      <c r="D46" s="12">
        <f>C46*1.5</f>
        <v>28.5</v>
      </c>
      <c r="F46" s="37" t="s">
        <v>189</v>
      </c>
      <c r="G46" s="62" t="s">
        <v>190</v>
      </c>
      <c r="H46" s="171">
        <v>107346</v>
      </c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1</v>
      </c>
      <c r="D49" s="12">
        <f>C49*42</f>
        <v>42</v>
      </c>
      <c r="F49" s="152" t="s">
        <v>85</v>
      </c>
      <c r="G49" s="154">
        <f>H34+H35+H36+H37+H38+H39+H40+H41+G42+H44+H45+H46</f>
        <v>461803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8</v>
      </c>
      <c r="D50" s="12">
        <f>C50*1.5</f>
        <v>12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191</v>
      </c>
      <c r="G51" s="263">
        <f>G49-H29</f>
        <v>14.5</v>
      </c>
      <c r="H51" s="264"/>
      <c r="I51" s="264"/>
      <c r="J51" s="26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66"/>
      <c r="H52" s="267"/>
      <c r="I52" s="267"/>
      <c r="J52" s="26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78838.5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7D042-AA87-496B-BD27-9E23899CE1E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8" t="s">
        <v>1</v>
      </c>
      <c r="O1" s="228"/>
      <c r="P1" s="121" t="s">
        <v>2</v>
      </c>
      <c r="Q1" s="12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9" t="s">
        <v>7</v>
      </c>
      <c r="B4" s="180"/>
      <c r="C4" s="180"/>
      <c r="D4" s="181"/>
      <c r="F4" s="229" t="s">
        <v>8</v>
      </c>
      <c r="G4" s="231"/>
      <c r="H4" s="233" t="s">
        <v>9</v>
      </c>
      <c r="I4" s="235"/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4"/>
      <c r="B6" s="16"/>
      <c r="C6" s="10"/>
      <c r="D6" s="13">
        <f t="shared" ref="D6:D28" si="1">C6*L6</f>
        <v>0</v>
      </c>
      <c r="F6" s="239" t="s">
        <v>16</v>
      </c>
      <c r="G6" s="241"/>
      <c r="H6" s="242"/>
      <c r="I6" s="242"/>
      <c r="J6" s="2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4"/>
      <c r="B7" s="16"/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4"/>
      <c r="B8" s="16"/>
      <c r="C8" s="10"/>
      <c r="D8" s="13">
        <f t="shared" si="1"/>
        <v>0</v>
      </c>
      <c r="F8" s="247" t="s">
        <v>21</v>
      </c>
      <c r="G8" s="248"/>
      <c r="H8" s="249"/>
      <c r="I8" s="249"/>
      <c r="J8" s="2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4"/>
      <c r="B9" s="16"/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4"/>
      <c r="C10" s="10"/>
      <c r="D10" s="13">
        <f t="shared" si="1"/>
        <v>0</v>
      </c>
      <c r="F10" s="239" t="s">
        <v>26</v>
      </c>
      <c r="G10" s="254"/>
      <c r="H10" s="255"/>
      <c r="I10" s="255"/>
      <c r="J10" s="256"/>
      <c r="K10" s="8"/>
      <c r="L10" s="6">
        <f>R36</f>
        <v>972</v>
      </c>
      <c r="P10" s="4"/>
      <c r="Q10" s="4"/>
      <c r="R10" s="5"/>
    </row>
    <row r="11" spans="1:19" ht="15.75" x14ac:dyDescent="0.25">
      <c r="A11" s="174"/>
      <c r="B11" s="17"/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4"/>
      <c r="B12" s="17"/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4"/>
      <c r="B13" s="17"/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4"/>
      <c r="B14" s="14"/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4"/>
      <c r="B15" s="14"/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14"/>
      <c r="C19" s="10"/>
      <c r="D19" s="48">
        <f t="shared" si="1"/>
        <v>0</v>
      </c>
      <c r="F19" s="56"/>
      <c r="G19" s="68" t="s">
        <v>49</v>
      </c>
      <c r="H19" s="197"/>
      <c r="I19" s="197"/>
      <c r="J19" s="19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4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4"/>
      <c r="B22" s="46"/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/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/>
      <c r="C24" s="10"/>
      <c r="D24" s="48">
        <f t="shared" si="1"/>
        <v>0</v>
      </c>
      <c r="F24" s="38"/>
      <c r="G24" s="37"/>
      <c r="H24" s="202"/>
      <c r="I24" s="171"/>
      <c r="J24" s="17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4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/>
      <c r="C28" s="10"/>
      <c r="D28" s="48">
        <f t="shared" si="1"/>
        <v>0</v>
      </c>
      <c r="F28" s="122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/>
      <c r="I34" s="177"/>
      <c r="J34" s="17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/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/>
      <c r="I36" s="177"/>
      <c r="J36" s="17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/>
      <c r="I37" s="177"/>
      <c r="J37" s="17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/>
      <c r="I38" s="177"/>
      <c r="J38" s="17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/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0" t="s">
        <v>82</v>
      </c>
      <c r="H43" s="168" t="s">
        <v>13</v>
      </c>
      <c r="I43" s="169"/>
      <c r="J43" s="170"/>
      <c r="K43" s="21"/>
      <c r="P43" s="4"/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P44" s="4"/>
      <c r="Q44" s="4"/>
      <c r="R44" s="5"/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P50" s="4"/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106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A3FC7-0F6E-4AC9-A9C6-D0E38BB04098}">
  <dimension ref="A1:R59"/>
  <sheetViews>
    <sheetView zoomScaleNormal="100" zoomScaleSheetLayoutView="85" workbookViewId="0">
      <selection activeCell="C60" sqref="C6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29" t="s">
        <v>2</v>
      </c>
      <c r="Q1" s="12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1</v>
      </c>
      <c r="H4" s="233" t="s">
        <v>9</v>
      </c>
      <c r="I4" s="235">
        <v>46161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421</v>
      </c>
      <c r="D6" s="13">
        <f t="shared" ref="D6:D28" si="1">C6*L6</f>
        <v>320381</v>
      </c>
      <c r="F6" s="239" t="s">
        <v>16</v>
      </c>
      <c r="G6" s="241" t="s">
        <v>99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7</v>
      </c>
      <c r="D7" s="13">
        <f t="shared" si="1"/>
        <v>5467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120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116</v>
      </c>
      <c r="D9" s="13">
        <f t="shared" si="1"/>
        <v>85028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>
        <v>10</v>
      </c>
      <c r="D10" s="13">
        <f t="shared" si="1"/>
        <v>10320</v>
      </c>
      <c r="F10" s="239" t="s">
        <v>26</v>
      </c>
      <c r="G10" s="254" t="s">
        <v>108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>
        <v>5</v>
      </c>
      <c r="D11" s="13">
        <f t="shared" si="1"/>
        <v>5850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v>10</v>
      </c>
      <c r="D12" s="48">
        <f t="shared" si="1"/>
        <v>9920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19</v>
      </c>
      <c r="D13" s="48">
        <f t="shared" si="1"/>
        <v>5833</v>
      </c>
      <c r="F13" s="260" t="s">
        <v>36</v>
      </c>
      <c r="G13" s="224"/>
      <c r="H13" s="215">
        <f>D29</f>
        <v>442799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70551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372248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2742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7"/>
      <c r="G23" s="79"/>
      <c r="H23" s="269"/>
      <c r="I23" s="270"/>
      <c r="J23" s="2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77"/>
      <c r="G24" s="79"/>
      <c r="H24" s="269"/>
      <c r="I24" s="270"/>
      <c r="J24" s="27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75"/>
      <c r="G26" s="65"/>
      <c r="H26" s="171"/>
      <c r="I26" s="171"/>
      <c r="J26" s="17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71"/>
      <c r="G27" s="128"/>
      <c r="H27" s="271"/>
      <c r="I27" s="272"/>
      <c r="J27" s="27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30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442799</v>
      </c>
      <c r="F29" s="132" t="s">
        <v>54</v>
      </c>
      <c r="G29" s="194"/>
      <c r="H29" s="154">
        <f>H15-H16-H17-H18-H19-H20-H22-H23-H24+H26+H27+H28</f>
        <v>369506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1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>
        <v>8</v>
      </c>
      <c r="D34" s="30">
        <f>C34*120</f>
        <v>960</v>
      </c>
      <c r="F34" s="12">
        <v>1000</v>
      </c>
      <c r="G34" s="40">
        <v>68</v>
      </c>
      <c r="H34" s="176">
        <f t="shared" ref="H34:H39" si="2">F34*G34</f>
        <v>68000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176">
        <f t="shared" si="2"/>
        <v>5000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>
        <v>11</v>
      </c>
      <c r="D36" s="12">
        <f>C36*1.5</f>
        <v>16.5</v>
      </c>
      <c r="F36" s="12">
        <v>200</v>
      </c>
      <c r="G36" s="37"/>
      <c r="H36" s="176">
        <f t="shared" si="2"/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561</v>
      </c>
      <c r="D37" s="12">
        <f>C37*111</f>
        <v>62271</v>
      </c>
      <c r="F37" s="12">
        <v>100</v>
      </c>
      <c r="G37" s="39">
        <v>6</v>
      </c>
      <c r="H37" s="176">
        <f t="shared" si="2"/>
        <v>600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31</v>
      </c>
      <c r="D38" s="12">
        <f>C38*84</f>
        <v>2604</v>
      </c>
      <c r="F38" s="30">
        <v>50</v>
      </c>
      <c r="G38" s="39">
        <v>1</v>
      </c>
      <c r="H38" s="176">
        <f t="shared" si="2"/>
        <v>50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13</v>
      </c>
      <c r="D40" s="12">
        <f>C40*111</f>
        <v>1443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8</v>
      </c>
      <c r="D42" s="12">
        <f>C42*2.25</f>
        <v>18</v>
      </c>
      <c r="F42" s="39" t="s">
        <v>78</v>
      </c>
      <c r="G42" s="176">
        <v>47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8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10</v>
      </c>
      <c r="D44" s="12">
        <f>C44*120</f>
        <v>1200</v>
      </c>
      <c r="F44" s="37" t="s">
        <v>132</v>
      </c>
      <c r="G44" s="62" t="s">
        <v>192</v>
      </c>
      <c r="H44" s="171">
        <v>303821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1"/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27</v>
      </c>
      <c r="D49" s="12">
        <f>C49*42</f>
        <v>1134</v>
      </c>
      <c r="F49" s="152" t="s">
        <v>85</v>
      </c>
      <c r="G49" s="154">
        <f>H34+H35+H36+H37+H38+H39+H40+H41+G42+H44+H45+H46</f>
        <v>377518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15</v>
      </c>
      <c r="D50" s="12">
        <f>C50*1.5</f>
        <v>22.5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173</v>
      </c>
      <c r="G51" s="263">
        <f>G49-H29</f>
        <v>8012</v>
      </c>
      <c r="H51" s="264"/>
      <c r="I51" s="264"/>
      <c r="J51" s="26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66"/>
      <c r="H52" s="267"/>
      <c r="I52" s="267"/>
      <c r="J52" s="26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70551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D0686-D89B-4BB0-B0A7-DB0CF0D44C98}">
  <dimension ref="A1:R59"/>
  <sheetViews>
    <sheetView zoomScaleNormal="100" zoomScaleSheetLayoutView="85" workbookViewId="0">
      <selection activeCell="H27" sqref="H27:J2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1</v>
      </c>
      <c r="H4" s="233" t="s">
        <v>9</v>
      </c>
      <c r="I4" s="235">
        <v>46161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/>
      <c r="D6" s="13">
        <f t="shared" ref="D6:D28" si="1">C6*L6</f>
        <v>0</v>
      </c>
      <c r="F6" s="239" t="s">
        <v>16</v>
      </c>
      <c r="G6" s="241" t="s">
        <v>99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120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108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7"/>
      <c r="G23" s="79"/>
      <c r="H23" s="269"/>
      <c r="I23" s="270"/>
      <c r="J23" s="2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77"/>
      <c r="G24" s="79"/>
      <c r="H24" s="269"/>
      <c r="I24" s="270"/>
      <c r="J24" s="27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75" t="s">
        <v>178</v>
      </c>
      <c r="G26" s="65">
        <v>10654</v>
      </c>
      <c r="H26" s="171">
        <f>62135-9270</f>
        <v>52865</v>
      </c>
      <c r="I26" s="171"/>
      <c r="J26" s="17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71"/>
      <c r="G27" s="120"/>
      <c r="H27" s="271"/>
      <c r="I27" s="272"/>
      <c r="J27" s="27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22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H15-H16-H17-H18-H19-H20-H22-H23-H24+H26+H27+H28</f>
        <v>52865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16</v>
      </c>
      <c r="H34" s="176">
        <f t="shared" ref="H34:H39" si="2">F34*G34</f>
        <v>16000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68</v>
      </c>
      <c r="H35" s="176">
        <f t="shared" si="2"/>
        <v>34000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si="2"/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28</v>
      </c>
      <c r="H37" s="176">
        <f t="shared" si="2"/>
        <v>2800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76">
        <f t="shared" si="2"/>
        <v>50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>
        <v>15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0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62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1"/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52865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184</v>
      </c>
      <c r="G51" s="263">
        <f>G49-H29</f>
        <v>0</v>
      </c>
      <c r="H51" s="264"/>
      <c r="I51" s="264"/>
      <c r="J51" s="26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66"/>
      <c r="H52" s="267"/>
      <c r="I52" s="267"/>
      <c r="J52" s="26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B98A9-E789-492E-8BA6-ADF15D2C6389}">
  <dimension ref="A1:R59"/>
  <sheetViews>
    <sheetView topLeftCell="A22"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2</v>
      </c>
      <c r="H4" s="233" t="s">
        <v>9</v>
      </c>
      <c r="I4" s="235">
        <v>46161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370</v>
      </c>
      <c r="D6" s="13">
        <f t="shared" ref="D6:D28" si="1">C6*L6</f>
        <v>281570</v>
      </c>
      <c r="F6" s="239" t="s">
        <v>16</v>
      </c>
      <c r="G6" s="241" t="s">
        <v>107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5</v>
      </c>
      <c r="D7" s="13">
        <f t="shared" si="1"/>
        <v>3905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>
        <v>1</v>
      </c>
      <c r="D8" s="13">
        <f t="shared" si="1"/>
        <v>1093</v>
      </c>
      <c r="F8" s="247" t="s">
        <v>21</v>
      </c>
      <c r="G8" s="248" t="s">
        <v>100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42</v>
      </c>
      <c r="D9" s="13">
        <f t="shared" si="1"/>
        <v>30786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101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10</v>
      </c>
      <c r="D13" s="48">
        <f t="shared" si="1"/>
        <v>3070</v>
      </c>
      <c r="F13" s="260" t="s">
        <v>36</v>
      </c>
      <c r="G13" s="224"/>
      <c r="H13" s="215">
        <f>D29</f>
        <v>320424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48226.5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272197.5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2076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81"/>
      <c r="I23" s="201"/>
      <c r="J23" s="20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22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320424</v>
      </c>
      <c r="F29" s="132" t="s">
        <v>54</v>
      </c>
      <c r="G29" s="194"/>
      <c r="H29" s="154">
        <f>H15-H16-H17-H18-H19-H20-H22-H23-H24+H26+H27</f>
        <v>270121.5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116</v>
      </c>
      <c r="H34" s="176">
        <f>F34*G34</f>
        <v>116000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25</v>
      </c>
      <c r="H35" s="176">
        <f>F35*G35</f>
        <v>12500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421</v>
      </c>
      <c r="D37" s="12">
        <f>C37*111</f>
        <v>46731</v>
      </c>
      <c r="F37" s="12">
        <v>100</v>
      </c>
      <c r="G37" s="39">
        <v>1</v>
      </c>
      <c r="H37" s="176">
        <f t="shared" si="2"/>
        <v>100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76">
        <f t="shared" si="2"/>
        <v>50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>
        <v>9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0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1</v>
      </c>
      <c r="D44" s="12">
        <f>C44*120</f>
        <v>120</v>
      </c>
      <c r="F44" s="37" t="s">
        <v>147</v>
      </c>
      <c r="G44" s="76" t="s">
        <v>193</v>
      </c>
      <c r="H44" s="171">
        <v>140694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6</v>
      </c>
      <c r="D49" s="12">
        <f>C49*42</f>
        <v>252</v>
      </c>
      <c r="F49" s="152" t="s">
        <v>85</v>
      </c>
      <c r="G49" s="154">
        <f>H34+H35+H36+H37+H38+H39+H40+H41+G42+H44+H45+H46</f>
        <v>269353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81">
        <v>7</v>
      </c>
      <c r="D50" s="12">
        <f>C50*1.5</f>
        <v>10.5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186</v>
      </c>
      <c r="G51" s="273">
        <f>G49-H29</f>
        <v>-768.5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48226.5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6B429-0E64-42C1-BF6A-1B877DDED732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21" t="s">
        <v>2</v>
      </c>
      <c r="Q1" s="12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3</v>
      </c>
      <c r="H4" s="233" t="s">
        <v>9</v>
      </c>
      <c r="I4" s="235">
        <v>46161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551</v>
      </c>
      <c r="D6" s="13">
        <f t="shared" ref="D6:D28" si="1">C6*L6</f>
        <v>419311</v>
      </c>
      <c r="F6" s="239" t="s">
        <v>16</v>
      </c>
      <c r="G6" s="241" t="s">
        <v>117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10</v>
      </c>
      <c r="D7" s="13">
        <f t="shared" si="1"/>
        <v>7810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>
        <v>2</v>
      </c>
      <c r="D8" s="13">
        <f t="shared" si="1"/>
        <v>2186</v>
      </c>
      <c r="F8" s="247" t="s">
        <v>21</v>
      </c>
      <c r="G8" s="248" t="s">
        <v>110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62</v>
      </c>
      <c r="D9" s="13">
        <f t="shared" si="1"/>
        <v>45446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>
        <v>5</v>
      </c>
      <c r="D10" s="13">
        <f t="shared" si="1"/>
        <v>5160</v>
      </c>
      <c r="F10" s="239" t="s">
        <v>26</v>
      </c>
      <c r="G10" s="254" t="s">
        <v>124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>
        <v>15</v>
      </c>
      <c r="D11" s="13">
        <f t="shared" si="1"/>
        <v>17550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f>15+3</f>
        <v>18</v>
      </c>
      <c r="D12" s="48">
        <f t="shared" si="1"/>
        <v>17856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26</v>
      </c>
      <c r="D13" s="48">
        <f t="shared" si="1"/>
        <v>7982</v>
      </c>
      <c r="F13" s="260" t="s">
        <v>36</v>
      </c>
      <c r="G13" s="224"/>
      <c r="H13" s="215">
        <f>D29</f>
        <v>524541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72742.5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>
        <f>1+1</f>
        <v>2</v>
      </c>
      <c r="D15" s="31">
        <f t="shared" si="1"/>
        <v>1240</v>
      </c>
      <c r="F15" s="223" t="s">
        <v>39</v>
      </c>
      <c r="G15" s="224"/>
      <c r="H15" s="225">
        <f>H13-H14</f>
        <v>451798.5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f>2910+390+360</f>
        <v>3660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81"/>
      <c r="I23" s="201"/>
      <c r="J23" s="20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22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524541</v>
      </c>
      <c r="F29" s="132" t="s">
        <v>54</v>
      </c>
      <c r="G29" s="194"/>
      <c r="H29" s="154">
        <f>H15-H16-H17-H18-H19-H20-H22-H23-H24+H26+H27</f>
        <v>448138.5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74">
        <v>103</v>
      </c>
      <c r="H34" s="176">
        <f>F34*G34</f>
        <v>103000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15</v>
      </c>
      <c r="H35" s="176">
        <f>F35*G35</f>
        <v>7500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f>540+19</f>
        <v>559</v>
      </c>
      <c r="D37" s="12">
        <f>C37*111</f>
        <v>62049</v>
      </c>
      <c r="F37" s="12">
        <v>100</v>
      </c>
      <c r="G37" s="39">
        <v>82</v>
      </c>
      <c r="H37" s="176">
        <f t="shared" si="2"/>
        <v>8200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6</v>
      </c>
      <c r="H38" s="176">
        <f t="shared" si="2"/>
        <v>300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31</v>
      </c>
      <c r="D40" s="12">
        <f>C40*111</f>
        <v>3441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2</v>
      </c>
      <c r="D42" s="12">
        <f>C42*2.25</f>
        <v>4.5</v>
      </c>
      <c r="F42" s="39" t="s">
        <v>78</v>
      </c>
      <c r="G42" s="176">
        <v>68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0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29</v>
      </c>
      <c r="D44" s="12">
        <f>C44*120</f>
        <v>3480</v>
      </c>
      <c r="F44" s="37" t="s">
        <v>136</v>
      </c>
      <c r="G44" s="76" t="s">
        <v>194</v>
      </c>
      <c r="H44" s="171">
        <v>329457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16</v>
      </c>
      <c r="D48" s="12">
        <f>C48*78</f>
        <v>1248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22</v>
      </c>
      <c r="D49" s="12">
        <f>C49*42</f>
        <v>924</v>
      </c>
      <c r="F49" s="152" t="s">
        <v>85</v>
      </c>
      <c r="G49" s="154">
        <f>H34+H35+H36+H37+H38+H39+H40+H41+G42+H44+H45+H46</f>
        <v>448525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1</v>
      </c>
      <c r="D50" s="12">
        <f>C50*1.5</f>
        <v>1.5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195</v>
      </c>
      <c r="G51" s="263">
        <f>G49-H29</f>
        <v>386.5</v>
      </c>
      <c r="H51" s="264"/>
      <c r="I51" s="264"/>
      <c r="J51" s="26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66"/>
      <c r="H52" s="267"/>
      <c r="I52" s="267"/>
      <c r="J52" s="26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72742.5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7E892-0B5C-4E84-8213-D4BEBB407C9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8" t="s">
        <v>1</v>
      </c>
      <c r="O1" s="228"/>
      <c r="P1" s="121" t="s">
        <v>2</v>
      </c>
      <c r="Q1" s="12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9" t="s">
        <v>7</v>
      </c>
      <c r="B4" s="180"/>
      <c r="C4" s="180"/>
      <c r="D4" s="181"/>
      <c r="F4" s="229" t="s">
        <v>8</v>
      </c>
      <c r="G4" s="231"/>
      <c r="H4" s="233" t="s">
        <v>9</v>
      </c>
      <c r="I4" s="235"/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4"/>
      <c r="B6" s="16"/>
      <c r="C6" s="10"/>
      <c r="D6" s="13">
        <f t="shared" ref="D6:D28" si="1">C6*L6</f>
        <v>0</v>
      </c>
      <c r="F6" s="239" t="s">
        <v>16</v>
      </c>
      <c r="G6" s="241"/>
      <c r="H6" s="242"/>
      <c r="I6" s="242"/>
      <c r="J6" s="2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4"/>
      <c r="B7" s="16"/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4"/>
      <c r="B8" s="16"/>
      <c r="C8" s="10"/>
      <c r="D8" s="13">
        <f t="shared" si="1"/>
        <v>0</v>
      </c>
      <c r="F8" s="247" t="s">
        <v>21</v>
      </c>
      <c r="G8" s="248"/>
      <c r="H8" s="249"/>
      <c r="I8" s="249"/>
      <c r="J8" s="2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4"/>
      <c r="B9" s="16"/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4"/>
      <c r="C10" s="10"/>
      <c r="D10" s="13">
        <f t="shared" si="1"/>
        <v>0</v>
      </c>
      <c r="F10" s="239" t="s">
        <v>26</v>
      </c>
      <c r="G10" s="254"/>
      <c r="H10" s="255"/>
      <c r="I10" s="255"/>
      <c r="J10" s="256"/>
      <c r="K10" s="8"/>
      <c r="L10" s="6">
        <f>R36</f>
        <v>972</v>
      </c>
      <c r="P10" s="4"/>
      <c r="Q10" s="4"/>
      <c r="R10" s="5"/>
    </row>
    <row r="11" spans="1:19" ht="15.75" x14ac:dyDescent="0.25">
      <c r="A11" s="174"/>
      <c r="B11" s="17"/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4"/>
      <c r="B12" s="17"/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4"/>
      <c r="B13" s="17"/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4"/>
      <c r="B14" s="14"/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4"/>
      <c r="B15" s="14"/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14"/>
      <c r="C19" s="10"/>
      <c r="D19" s="48">
        <f t="shared" si="1"/>
        <v>0</v>
      </c>
      <c r="F19" s="56"/>
      <c r="G19" s="68" t="s">
        <v>49</v>
      </c>
      <c r="H19" s="197"/>
      <c r="I19" s="197"/>
      <c r="J19" s="19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4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4"/>
      <c r="B22" s="46"/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/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/>
      <c r="C24" s="10"/>
      <c r="D24" s="48">
        <f t="shared" si="1"/>
        <v>0</v>
      </c>
      <c r="F24" s="38"/>
      <c r="G24" s="37"/>
      <c r="H24" s="202"/>
      <c r="I24" s="171"/>
      <c r="J24" s="17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4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/>
      <c r="C28" s="10"/>
      <c r="D28" s="48">
        <f t="shared" si="1"/>
        <v>0</v>
      </c>
      <c r="F28" s="122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3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/>
      <c r="I34" s="177"/>
      <c r="J34" s="17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/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/>
      <c r="I36" s="177"/>
      <c r="J36" s="17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/>
      <c r="I37" s="177"/>
      <c r="J37" s="17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/>
      <c r="I38" s="177"/>
      <c r="J38" s="17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/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0" t="s">
        <v>82</v>
      </c>
      <c r="H43" s="168" t="s">
        <v>13</v>
      </c>
      <c r="I43" s="169"/>
      <c r="J43" s="170"/>
      <c r="K43" s="21"/>
      <c r="P43" s="4"/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P44" s="4"/>
      <c r="Q44" s="4"/>
      <c r="R44" s="5"/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P50" s="4"/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106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AEBBA-D316-42F4-9EC3-07F8BAADED3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1</v>
      </c>
      <c r="H4" s="233" t="s">
        <v>9</v>
      </c>
      <c r="I4" s="235">
        <v>46162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453</v>
      </c>
      <c r="D6" s="13">
        <f t="shared" ref="D6:D28" si="1">C6*L6</f>
        <v>344733</v>
      </c>
      <c r="F6" s="239" t="s">
        <v>16</v>
      </c>
      <c r="G6" s="241" t="s">
        <v>99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15</v>
      </c>
      <c r="D7" s="13">
        <f t="shared" si="1"/>
        <v>11715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120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40</v>
      </c>
      <c r="D9" s="13">
        <f t="shared" si="1"/>
        <v>29320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108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v>3</v>
      </c>
      <c r="D12" s="48">
        <f t="shared" si="1"/>
        <v>2976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5</v>
      </c>
      <c r="D13" s="48">
        <f t="shared" si="1"/>
        <v>1535</v>
      </c>
      <c r="F13" s="260" t="s">
        <v>36</v>
      </c>
      <c r="G13" s="224"/>
      <c r="H13" s="215">
        <f>D29</f>
        <v>392951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12</v>
      </c>
      <c r="D14" s="31">
        <f t="shared" si="1"/>
        <v>132</v>
      </c>
      <c r="F14" s="218" t="s">
        <v>38</v>
      </c>
      <c r="G14" s="219"/>
      <c r="H14" s="220">
        <f>D54</f>
        <v>54639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>
        <v>2</v>
      </c>
      <c r="D15" s="31">
        <f t="shared" si="1"/>
        <v>1240</v>
      </c>
      <c r="F15" s="223" t="s">
        <v>39</v>
      </c>
      <c r="G15" s="224"/>
      <c r="H15" s="225">
        <f>H13-H14</f>
        <v>338312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7"/>
      <c r="G23" s="79"/>
      <c r="H23" s="269"/>
      <c r="I23" s="270"/>
      <c r="J23" s="2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77"/>
      <c r="G24" s="79"/>
      <c r="H24" s="269"/>
      <c r="I24" s="270"/>
      <c r="J24" s="27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75"/>
      <c r="G26" s="65"/>
      <c r="H26" s="171"/>
      <c r="I26" s="171"/>
      <c r="J26" s="17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71"/>
      <c r="G27" s="127"/>
      <c r="H27" s="271"/>
      <c r="I27" s="272"/>
      <c r="J27" s="27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25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392951</v>
      </c>
      <c r="F29" s="132" t="s">
        <v>54</v>
      </c>
      <c r="G29" s="194"/>
      <c r="H29" s="154">
        <f>H15-H16-H17-H18-H19-H20-H22-H23-H24+H26+H27+H28</f>
        <v>338312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134</v>
      </c>
      <c r="H34" s="176">
        <f t="shared" ref="H34:H39" si="2">F34*G34</f>
        <v>134000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100</v>
      </c>
      <c r="H35" s="176">
        <f t="shared" si="2"/>
        <v>50000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176">
        <f t="shared" si="2"/>
        <v>400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467</v>
      </c>
      <c r="D37" s="12">
        <f>C37*111</f>
        <v>51837</v>
      </c>
      <c r="F37" s="12">
        <v>100</v>
      </c>
      <c r="G37" s="39">
        <v>83</v>
      </c>
      <c r="H37" s="176">
        <f t="shared" si="2"/>
        <v>8300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>
        <v>39</v>
      </c>
      <c r="H38" s="176">
        <f t="shared" si="2"/>
        <v>1950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>
        <v>30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7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7</v>
      </c>
      <c r="D44" s="12">
        <f>C44*120</f>
        <v>840</v>
      </c>
      <c r="F44" s="37" t="s">
        <v>147</v>
      </c>
      <c r="G44" s="102" t="s">
        <v>196</v>
      </c>
      <c r="H44" s="171">
        <v>83120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 t="s">
        <v>136</v>
      </c>
      <c r="G45" s="103" t="s">
        <v>141</v>
      </c>
      <c r="H45" s="171">
        <v>60000</v>
      </c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1"/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1</v>
      </c>
      <c r="D49" s="12">
        <f>C49*42</f>
        <v>42</v>
      </c>
      <c r="F49" s="152" t="s">
        <v>85</v>
      </c>
      <c r="G49" s="154">
        <f>H34+H35+H36+H37+H38+H39+H40+H41+G42+H44+H45+H46</f>
        <v>337800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109</v>
      </c>
      <c r="G51" s="273">
        <f>G49-H29</f>
        <v>-512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54639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D0300-D5DF-4ECC-B875-3DCA2AF990E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2</v>
      </c>
      <c r="H4" s="233" t="s">
        <v>9</v>
      </c>
      <c r="I4" s="235">
        <v>46162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360</v>
      </c>
      <c r="D6" s="13">
        <f t="shared" ref="D6:D28" si="1">C6*L6</f>
        <v>273960</v>
      </c>
      <c r="F6" s="239" t="s">
        <v>16</v>
      </c>
      <c r="G6" s="241" t="s">
        <v>107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2</v>
      </c>
      <c r="D7" s="13">
        <f t="shared" si="1"/>
        <v>1562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100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19</v>
      </c>
      <c r="D9" s="13">
        <f t="shared" si="1"/>
        <v>13927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101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v>1</v>
      </c>
      <c r="D12" s="48">
        <f t="shared" si="1"/>
        <v>992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12</v>
      </c>
      <c r="D13" s="48">
        <f t="shared" si="1"/>
        <v>3684</v>
      </c>
      <c r="F13" s="260" t="s">
        <v>36</v>
      </c>
      <c r="G13" s="224"/>
      <c r="H13" s="215">
        <f>D29</f>
        <v>294125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43978.5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250146.5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>
        <v>1296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81"/>
      <c r="I23" s="201"/>
      <c r="J23" s="20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25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294125</v>
      </c>
      <c r="F29" s="132" t="s">
        <v>54</v>
      </c>
      <c r="G29" s="194"/>
      <c r="H29" s="154">
        <f>H15-H16-H17-H18-H19-H20-H22-H23-H24+H26+H27</f>
        <v>248850.5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88</v>
      </c>
      <c r="H34" s="176">
        <f>F34*G34</f>
        <v>88000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300</v>
      </c>
      <c r="H35" s="176">
        <f>F35*G35</f>
        <v>150000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389</v>
      </c>
      <c r="D37" s="12">
        <f>C37*111</f>
        <v>43179</v>
      </c>
      <c r="F37" s="12">
        <v>100</v>
      </c>
      <c r="G37" s="39">
        <v>100</v>
      </c>
      <c r="H37" s="176">
        <f t="shared" si="2"/>
        <v>10000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31</v>
      </c>
      <c r="H38" s="176">
        <f t="shared" si="2"/>
        <v>1550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>
        <v>125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7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>
        <v>1</v>
      </c>
      <c r="D44" s="12">
        <f>C44*120</f>
        <v>120</v>
      </c>
      <c r="F44" s="37"/>
      <c r="G44" s="76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9</v>
      </c>
      <c r="D49" s="12">
        <f>C49*42</f>
        <v>378</v>
      </c>
      <c r="F49" s="152" t="s">
        <v>85</v>
      </c>
      <c r="G49" s="154">
        <f>H34+H35+H36+H37+H38+H39+H40+H41+G42+H44+H45+H46</f>
        <v>249675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81">
        <v>10</v>
      </c>
      <c r="D50" s="12">
        <f>C50*1.5</f>
        <v>15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115</v>
      </c>
      <c r="G51" s="162">
        <f>G49-H29</f>
        <v>824.5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43978.5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5910C-4766-4062-B66C-D11AF49AE199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3</v>
      </c>
      <c r="H4" s="233" t="s">
        <v>9</v>
      </c>
      <c r="I4" s="235">
        <v>46162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>
        <v>210</v>
      </c>
      <c r="D6" s="13">
        <f t="shared" ref="D6:D28" si="1">C6*L6</f>
        <v>159810</v>
      </c>
      <c r="F6" s="239" t="s">
        <v>16</v>
      </c>
      <c r="G6" s="241" t="s">
        <v>197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>
        <v>25</v>
      </c>
      <c r="D7" s="13">
        <f t="shared" si="1"/>
        <v>19525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110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>
        <v>93</v>
      </c>
      <c r="D9" s="13">
        <f t="shared" si="1"/>
        <v>68169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124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>
        <v>1</v>
      </c>
      <c r="D11" s="13">
        <f t="shared" si="1"/>
        <v>1170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>
        <f>3+1</f>
        <v>4</v>
      </c>
      <c r="D12" s="48">
        <f t="shared" si="1"/>
        <v>3968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>
        <v>11</v>
      </c>
      <c r="D13" s="48">
        <f t="shared" si="1"/>
        <v>3377</v>
      </c>
      <c r="F13" s="260" t="s">
        <v>36</v>
      </c>
      <c r="G13" s="224"/>
      <c r="H13" s="215">
        <f>D29</f>
        <v>276301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>
        <v>12</v>
      </c>
      <c r="D14" s="31">
        <f t="shared" si="1"/>
        <v>132</v>
      </c>
      <c r="F14" s="218" t="s">
        <v>38</v>
      </c>
      <c r="G14" s="219"/>
      <c r="H14" s="220">
        <f>D54</f>
        <v>37863.75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238437.25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>
        <f>15+16</f>
        <v>31</v>
      </c>
      <c r="D16" s="48">
        <f t="shared" si="1"/>
        <v>20150</v>
      </c>
      <c r="F16" s="67" t="s">
        <v>41</v>
      </c>
      <c r="G16" s="66" t="s">
        <v>42</v>
      </c>
      <c r="H16" s="185">
        <v>1314</v>
      </c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81"/>
      <c r="I23" s="201"/>
      <c r="J23" s="20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25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276301</v>
      </c>
      <c r="F29" s="132" t="s">
        <v>54</v>
      </c>
      <c r="G29" s="194"/>
      <c r="H29" s="154">
        <f>H15-H16-H17-H18-H19-H20-H22-H23-H24+H26+H27</f>
        <v>237123.25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176">
        <f>F34*G34</f>
        <v>145000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>
        <v>26</v>
      </c>
      <c r="H35" s="176">
        <f>F35*G35</f>
        <v>13000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176">
        <f t="shared" ref="H36:H39" si="2">F36*G36</f>
        <v>600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>
        <v>322</v>
      </c>
      <c r="D37" s="12">
        <f>C37*111</f>
        <v>35742</v>
      </c>
      <c r="F37" s="12">
        <v>100</v>
      </c>
      <c r="G37" s="39">
        <v>66</v>
      </c>
      <c r="H37" s="176">
        <f t="shared" si="2"/>
        <v>6600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19</v>
      </c>
      <c r="H38" s="176">
        <f t="shared" si="2"/>
        <v>950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>
        <v>3</v>
      </c>
      <c r="D42" s="12">
        <f>C42*2.25</f>
        <v>6.75</v>
      </c>
      <c r="F42" s="39" t="s">
        <v>78</v>
      </c>
      <c r="G42" s="176">
        <v>25</v>
      </c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7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 t="s">
        <v>132</v>
      </c>
      <c r="G44" s="62" t="s">
        <v>199</v>
      </c>
      <c r="H44" s="171">
        <v>70614</v>
      </c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>
        <v>4</v>
      </c>
      <c r="D45" s="12">
        <f>C45*84</f>
        <v>336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>
        <v>1</v>
      </c>
      <c r="D49" s="12">
        <f>C49*42</f>
        <v>42</v>
      </c>
      <c r="F49" s="152" t="s">
        <v>85</v>
      </c>
      <c r="G49" s="154">
        <f>H34+H35+H36+H37+H38+H39+H40+H41+G42+H44+H45+H46</f>
        <v>236789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>
        <v>19</v>
      </c>
      <c r="D50" s="12">
        <f>C50*1.5</f>
        <v>28.5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109</v>
      </c>
      <c r="G51" s="273">
        <f>G49-H29</f>
        <v>-334.25</v>
      </c>
      <c r="H51" s="274"/>
      <c r="I51" s="274"/>
      <c r="J51" s="27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76"/>
      <c r="H52" s="277"/>
      <c r="I52" s="277"/>
      <c r="J52" s="27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37863.75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FC357-3B33-4ECC-94F7-80630D2833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8" t="s">
        <v>1</v>
      </c>
      <c r="O1" s="228"/>
      <c r="P1" s="124" t="s">
        <v>2</v>
      </c>
      <c r="Q1" s="12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9" t="s">
        <v>7</v>
      </c>
      <c r="B4" s="180"/>
      <c r="C4" s="180"/>
      <c r="D4" s="181"/>
      <c r="F4" s="229" t="s">
        <v>8</v>
      </c>
      <c r="G4" s="231"/>
      <c r="H4" s="233" t="s">
        <v>9</v>
      </c>
      <c r="I4" s="235"/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4"/>
      <c r="B6" s="16"/>
      <c r="C6" s="10"/>
      <c r="D6" s="13">
        <f t="shared" ref="D6:D28" si="1">C6*L6</f>
        <v>0</v>
      </c>
      <c r="F6" s="239" t="s">
        <v>16</v>
      </c>
      <c r="G6" s="241"/>
      <c r="H6" s="242"/>
      <c r="I6" s="242"/>
      <c r="J6" s="2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4"/>
      <c r="B7" s="16"/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4"/>
      <c r="B8" s="16"/>
      <c r="C8" s="10"/>
      <c r="D8" s="13">
        <f t="shared" si="1"/>
        <v>0</v>
      </c>
      <c r="F8" s="247" t="s">
        <v>21</v>
      </c>
      <c r="G8" s="248"/>
      <c r="H8" s="249"/>
      <c r="I8" s="249"/>
      <c r="J8" s="2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4"/>
      <c r="B9" s="16"/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4"/>
      <c r="C10" s="10"/>
      <c r="D10" s="13">
        <f t="shared" si="1"/>
        <v>0</v>
      </c>
      <c r="F10" s="239" t="s">
        <v>26</v>
      </c>
      <c r="G10" s="254"/>
      <c r="H10" s="255"/>
      <c r="I10" s="255"/>
      <c r="J10" s="256"/>
      <c r="K10" s="8"/>
      <c r="L10" s="6">
        <f>R36</f>
        <v>972</v>
      </c>
      <c r="P10" s="4"/>
      <c r="Q10" s="4"/>
      <c r="R10" s="5"/>
    </row>
    <row r="11" spans="1:19" ht="15.75" x14ac:dyDescent="0.25">
      <c r="A11" s="174"/>
      <c r="B11" s="17"/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4"/>
      <c r="B12" s="17"/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4"/>
      <c r="B13" s="17"/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4"/>
      <c r="B14" s="14"/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4"/>
      <c r="B15" s="14"/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14"/>
      <c r="C19" s="10"/>
      <c r="D19" s="48">
        <f t="shared" si="1"/>
        <v>0</v>
      </c>
      <c r="F19" s="56"/>
      <c r="G19" s="68" t="s">
        <v>49</v>
      </c>
      <c r="H19" s="197"/>
      <c r="I19" s="197"/>
      <c r="J19" s="19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4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4"/>
      <c r="B22" s="46"/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/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/>
      <c r="C24" s="10"/>
      <c r="D24" s="48">
        <f t="shared" si="1"/>
        <v>0</v>
      </c>
      <c r="F24" s="38"/>
      <c r="G24" s="37"/>
      <c r="H24" s="202"/>
      <c r="I24" s="171"/>
      <c r="J24" s="17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4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/>
      <c r="C28" s="10"/>
      <c r="D28" s="48">
        <f t="shared" si="1"/>
        <v>0</v>
      </c>
      <c r="F28" s="125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/>
      <c r="I34" s="177"/>
      <c r="J34" s="17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/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/>
      <c r="I36" s="177"/>
      <c r="J36" s="17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/>
      <c r="I37" s="177"/>
      <c r="J37" s="17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/>
      <c r="I38" s="177"/>
      <c r="J38" s="17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/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7" t="s">
        <v>82</v>
      </c>
      <c r="H43" s="168" t="s">
        <v>13</v>
      </c>
      <c r="I43" s="169"/>
      <c r="J43" s="170"/>
      <c r="K43" s="21"/>
      <c r="P43" s="4"/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P44" s="4"/>
      <c r="Q44" s="4"/>
      <c r="R44" s="5"/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P50" s="4"/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106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4FCD9-476C-4B12-9844-B14CE31AF4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1</v>
      </c>
      <c r="H4" s="233" t="s">
        <v>9</v>
      </c>
      <c r="I4" s="235">
        <v>46163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/>
      <c r="D6" s="13">
        <f t="shared" ref="D6:D28" si="1">C6*L6</f>
        <v>0</v>
      </c>
      <c r="F6" s="239" t="s">
        <v>16</v>
      </c>
      <c r="G6" s="241" t="s">
        <v>99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120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108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7"/>
      <c r="G23" s="79"/>
      <c r="H23" s="269"/>
      <c r="I23" s="270"/>
      <c r="J23" s="2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77"/>
      <c r="G24" s="79"/>
      <c r="H24" s="269"/>
      <c r="I24" s="270"/>
      <c r="J24" s="27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75"/>
      <c r="G26" s="65"/>
      <c r="H26" s="171"/>
      <c r="I26" s="171"/>
      <c r="J26" s="17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71"/>
      <c r="G27" s="127"/>
      <c r="H27" s="271"/>
      <c r="I27" s="272"/>
      <c r="J27" s="27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25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H15-H16-H17-H18-H19-H20-H22-H23-H24+H26+H27+H28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76">
        <f t="shared" ref="H34:H39" si="2">F34*G34</f>
        <v>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>
        <f t="shared" si="2"/>
        <v>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si="2"/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7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62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1"/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184</v>
      </c>
      <c r="G51" s="263">
        <f>G49-H29</f>
        <v>0</v>
      </c>
      <c r="H51" s="264"/>
      <c r="I51" s="264"/>
      <c r="J51" s="26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66"/>
      <c r="H52" s="267"/>
      <c r="I52" s="267"/>
      <c r="J52" s="26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FE098-70B8-4D30-8AAA-282CDDD7A0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2</v>
      </c>
      <c r="H4" s="233" t="s">
        <v>9</v>
      </c>
      <c r="I4" s="235">
        <v>46163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/>
      <c r="D6" s="13">
        <f t="shared" ref="D6:D28" si="1">C6*L6</f>
        <v>0</v>
      </c>
      <c r="F6" s="239" t="s">
        <v>16</v>
      </c>
      <c r="G6" s="241" t="s">
        <v>107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100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101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81"/>
      <c r="I23" s="201"/>
      <c r="J23" s="20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25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>
        <f>F34*G34</f>
        <v>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>
        <f>F35*G35</f>
        <v>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7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8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115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5BAC0-A222-406C-9212-C9E78AC95F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3</v>
      </c>
      <c r="H4" s="233" t="s">
        <v>9</v>
      </c>
      <c r="I4" s="235">
        <v>46163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/>
      <c r="D6" s="13">
        <f t="shared" ref="D6:D28" si="1">C6*L6</f>
        <v>0</v>
      </c>
      <c r="F6" s="239" t="s">
        <v>16</v>
      </c>
      <c r="G6" s="241" t="s">
        <v>117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110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124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81"/>
      <c r="I23" s="201"/>
      <c r="J23" s="20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25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>
        <f>F34*G34</f>
        <v>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>
        <f>F35*G35</f>
        <v>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7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115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3F009-C0EA-461B-8886-8ED466049E9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8" t="s">
        <v>1</v>
      </c>
      <c r="O1" s="228"/>
      <c r="P1" s="124" t="s">
        <v>2</v>
      </c>
      <c r="Q1" s="12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9" t="s">
        <v>7</v>
      </c>
      <c r="B4" s="180"/>
      <c r="C4" s="180"/>
      <c r="D4" s="181"/>
      <c r="F4" s="229" t="s">
        <v>8</v>
      </c>
      <c r="G4" s="231"/>
      <c r="H4" s="233" t="s">
        <v>9</v>
      </c>
      <c r="I4" s="235"/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4"/>
      <c r="B6" s="16"/>
      <c r="C6" s="10"/>
      <c r="D6" s="13">
        <f t="shared" ref="D6:D28" si="1">C6*L6</f>
        <v>0</v>
      </c>
      <c r="F6" s="239" t="s">
        <v>16</v>
      </c>
      <c r="G6" s="241"/>
      <c r="H6" s="242"/>
      <c r="I6" s="242"/>
      <c r="J6" s="2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4"/>
      <c r="B7" s="16"/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4"/>
      <c r="B8" s="16"/>
      <c r="C8" s="10"/>
      <c r="D8" s="13">
        <f t="shared" si="1"/>
        <v>0</v>
      </c>
      <c r="F8" s="247" t="s">
        <v>21</v>
      </c>
      <c r="G8" s="248"/>
      <c r="H8" s="249"/>
      <c r="I8" s="249"/>
      <c r="J8" s="2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4"/>
      <c r="B9" s="16"/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4"/>
      <c r="C10" s="10"/>
      <c r="D10" s="13">
        <f t="shared" si="1"/>
        <v>0</v>
      </c>
      <c r="F10" s="239" t="s">
        <v>26</v>
      </c>
      <c r="G10" s="254"/>
      <c r="H10" s="255"/>
      <c r="I10" s="255"/>
      <c r="J10" s="256"/>
      <c r="K10" s="8"/>
      <c r="L10" s="6">
        <f>R36</f>
        <v>972</v>
      </c>
      <c r="P10" s="4"/>
      <c r="Q10" s="4"/>
      <c r="R10" s="5"/>
    </row>
    <row r="11" spans="1:19" ht="15.75" x14ac:dyDescent="0.25">
      <c r="A11" s="174"/>
      <c r="B11" s="17"/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4"/>
      <c r="B12" s="17"/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4"/>
      <c r="B13" s="17"/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4"/>
      <c r="B14" s="14"/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4"/>
      <c r="B15" s="14"/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14"/>
      <c r="C19" s="10"/>
      <c r="D19" s="48">
        <f t="shared" si="1"/>
        <v>0</v>
      </c>
      <c r="F19" s="56"/>
      <c r="G19" s="68" t="s">
        <v>49</v>
      </c>
      <c r="H19" s="197"/>
      <c r="I19" s="197"/>
      <c r="J19" s="19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4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4"/>
      <c r="B22" s="46"/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/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/>
      <c r="C24" s="10"/>
      <c r="D24" s="48">
        <f t="shared" si="1"/>
        <v>0</v>
      </c>
      <c r="F24" s="38"/>
      <c r="G24" s="37"/>
      <c r="H24" s="202"/>
      <c r="I24" s="171"/>
      <c r="J24" s="17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4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/>
      <c r="C28" s="10"/>
      <c r="D28" s="48">
        <f t="shared" si="1"/>
        <v>0</v>
      </c>
      <c r="F28" s="125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/>
      <c r="I34" s="177"/>
      <c r="J34" s="17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/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/>
      <c r="I36" s="177"/>
      <c r="J36" s="17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/>
      <c r="I37" s="177"/>
      <c r="J37" s="17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/>
      <c r="I38" s="177"/>
      <c r="J38" s="17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/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7" t="s">
        <v>82</v>
      </c>
      <c r="H43" s="168" t="s">
        <v>13</v>
      </c>
      <c r="I43" s="169"/>
      <c r="J43" s="170"/>
      <c r="K43" s="21"/>
      <c r="P43" s="4"/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P44" s="4"/>
      <c r="Q44" s="4"/>
      <c r="R44" s="5"/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P50" s="4"/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106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B2133-DD21-4C70-9377-33982725B1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1</v>
      </c>
      <c r="H4" s="233" t="s">
        <v>9</v>
      </c>
      <c r="I4" s="235">
        <v>46164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/>
      <c r="D6" s="13">
        <f t="shared" ref="D6:D28" si="1">C6*L6</f>
        <v>0</v>
      </c>
      <c r="F6" s="239" t="s">
        <v>16</v>
      </c>
      <c r="G6" s="241" t="s">
        <v>99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120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108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7"/>
      <c r="G23" s="79"/>
      <c r="H23" s="269"/>
      <c r="I23" s="270"/>
      <c r="J23" s="2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77"/>
      <c r="G24" s="79"/>
      <c r="H24" s="269"/>
      <c r="I24" s="270"/>
      <c r="J24" s="27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75"/>
      <c r="G26" s="65"/>
      <c r="H26" s="171"/>
      <c r="I26" s="171"/>
      <c r="J26" s="17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71"/>
      <c r="G27" s="127"/>
      <c r="H27" s="271"/>
      <c r="I27" s="272"/>
      <c r="J27" s="27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25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H15-H16-H17-H18-H19-H20-H22-H23-H24+H26+H27+H28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76">
        <f t="shared" ref="H34:H39" si="2">F34*G34</f>
        <v>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>
        <f t="shared" si="2"/>
        <v>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si="2"/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7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62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1"/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184</v>
      </c>
      <c r="G51" s="263">
        <f>G49-H29</f>
        <v>0</v>
      </c>
      <c r="H51" s="264"/>
      <c r="I51" s="264"/>
      <c r="J51" s="26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66"/>
      <c r="H52" s="267"/>
      <c r="I52" s="267"/>
      <c r="J52" s="26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5133C-332F-4ACD-93A0-D4923FE33F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2</v>
      </c>
      <c r="H4" s="233" t="s">
        <v>9</v>
      </c>
      <c r="I4" s="235">
        <v>46164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/>
      <c r="D6" s="13">
        <f t="shared" ref="D6:D28" si="1">C6*L6</f>
        <v>0</v>
      </c>
      <c r="F6" s="239" t="s">
        <v>16</v>
      </c>
      <c r="G6" s="241" t="s">
        <v>107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100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101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81"/>
      <c r="I23" s="201"/>
      <c r="J23" s="20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25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>
        <f>F34*G34</f>
        <v>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>
        <f>F35*G35</f>
        <v>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7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8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115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BA990F-2662-4728-8AD9-2EE9FC3CC26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3</v>
      </c>
      <c r="H4" s="233" t="s">
        <v>9</v>
      </c>
      <c r="I4" s="235">
        <v>46164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/>
      <c r="D6" s="13">
        <f t="shared" ref="D6:D28" si="1">C6*L6</f>
        <v>0</v>
      </c>
      <c r="F6" s="239" t="s">
        <v>16</v>
      </c>
      <c r="G6" s="241" t="s">
        <v>117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110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124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81"/>
      <c r="I23" s="201"/>
      <c r="J23" s="20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25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>
        <f>F34*G34</f>
        <v>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>
        <f>F35*G35</f>
        <v>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7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115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9C1C7-AC6A-4226-AFA1-21AC40F5BA8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8" t="s">
        <v>1</v>
      </c>
      <c r="O1" s="228"/>
      <c r="P1" s="124" t="s">
        <v>2</v>
      </c>
      <c r="Q1" s="12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9" t="s">
        <v>7</v>
      </c>
      <c r="B4" s="180"/>
      <c r="C4" s="180"/>
      <c r="D4" s="181"/>
      <c r="F4" s="229" t="s">
        <v>8</v>
      </c>
      <c r="G4" s="231"/>
      <c r="H4" s="233" t="s">
        <v>9</v>
      </c>
      <c r="I4" s="235"/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4"/>
      <c r="B6" s="16"/>
      <c r="C6" s="10"/>
      <c r="D6" s="13">
        <f t="shared" ref="D6:D28" si="1">C6*L6</f>
        <v>0</v>
      </c>
      <c r="F6" s="239" t="s">
        <v>16</v>
      </c>
      <c r="G6" s="241"/>
      <c r="H6" s="242"/>
      <c r="I6" s="242"/>
      <c r="J6" s="2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4"/>
      <c r="B7" s="16"/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4"/>
      <c r="B8" s="16"/>
      <c r="C8" s="10"/>
      <c r="D8" s="13">
        <f t="shared" si="1"/>
        <v>0</v>
      </c>
      <c r="F8" s="247" t="s">
        <v>21</v>
      </c>
      <c r="G8" s="248"/>
      <c r="H8" s="249"/>
      <c r="I8" s="249"/>
      <c r="J8" s="2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4"/>
      <c r="B9" s="16"/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4"/>
      <c r="C10" s="10"/>
      <c r="D10" s="13">
        <f t="shared" si="1"/>
        <v>0</v>
      </c>
      <c r="F10" s="239" t="s">
        <v>26</v>
      </c>
      <c r="G10" s="254"/>
      <c r="H10" s="255"/>
      <c r="I10" s="255"/>
      <c r="J10" s="256"/>
      <c r="K10" s="8"/>
      <c r="L10" s="6">
        <f>R36</f>
        <v>972</v>
      </c>
      <c r="P10" s="4"/>
      <c r="Q10" s="4"/>
      <c r="R10" s="5"/>
    </row>
    <row r="11" spans="1:19" ht="15.75" x14ac:dyDescent="0.25">
      <c r="A11" s="174"/>
      <c r="B11" s="17"/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4"/>
      <c r="B12" s="17"/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4"/>
      <c r="B13" s="17"/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4"/>
      <c r="B14" s="14"/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4"/>
      <c r="B15" s="14"/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14"/>
      <c r="C19" s="10"/>
      <c r="D19" s="48">
        <f t="shared" si="1"/>
        <v>0</v>
      </c>
      <c r="F19" s="56"/>
      <c r="G19" s="68" t="s">
        <v>49</v>
      </c>
      <c r="H19" s="197"/>
      <c r="I19" s="197"/>
      <c r="J19" s="19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4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4"/>
      <c r="B22" s="46"/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/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/>
      <c r="C24" s="10"/>
      <c r="D24" s="48">
        <f t="shared" si="1"/>
        <v>0</v>
      </c>
      <c r="F24" s="38"/>
      <c r="G24" s="37"/>
      <c r="H24" s="202"/>
      <c r="I24" s="171"/>
      <c r="J24" s="17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4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/>
      <c r="C28" s="10"/>
      <c r="D28" s="48">
        <f t="shared" si="1"/>
        <v>0</v>
      </c>
      <c r="F28" s="125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/>
      <c r="I34" s="177"/>
      <c r="J34" s="17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/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/>
      <c r="I36" s="177"/>
      <c r="J36" s="17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/>
      <c r="I37" s="177"/>
      <c r="J37" s="17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/>
      <c r="I38" s="177"/>
      <c r="J38" s="17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/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7" t="s">
        <v>82</v>
      </c>
      <c r="H43" s="168" t="s">
        <v>13</v>
      </c>
      <c r="I43" s="169"/>
      <c r="J43" s="170"/>
      <c r="K43" s="21"/>
      <c r="P43" s="4"/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P44" s="4"/>
      <c r="Q44" s="4"/>
      <c r="R44" s="5"/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P50" s="4"/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106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2AE5A-7381-4C36-98AF-66D237DB2BA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1</v>
      </c>
      <c r="H4" s="233" t="s">
        <v>9</v>
      </c>
      <c r="I4" s="235">
        <v>46165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/>
      <c r="D6" s="13">
        <f t="shared" ref="D6:D28" si="1">C6*L6</f>
        <v>0</v>
      </c>
      <c r="F6" s="239" t="s">
        <v>16</v>
      </c>
      <c r="G6" s="241" t="s">
        <v>99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120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108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7"/>
      <c r="G23" s="79"/>
      <c r="H23" s="269"/>
      <c r="I23" s="270"/>
      <c r="J23" s="2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77"/>
      <c r="G24" s="79"/>
      <c r="H24" s="269"/>
      <c r="I24" s="270"/>
      <c r="J24" s="27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75"/>
      <c r="G26" s="65"/>
      <c r="H26" s="171"/>
      <c r="I26" s="171"/>
      <c r="J26" s="17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71"/>
      <c r="G27" s="127"/>
      <c r="H27" s="271"/>
      <c r="I27" s="272"/>
      <c r="J27" s="27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25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H15-H16-H17-H18-H19-H20-H22-H23-H24+H26+H27+H28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76">
        <f t="shared" ref="H34:H39" si="2">F34*G34</f>
        <v>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>
        <f t="shared" si="2"/>
        <v>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si="2"/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7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62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1"/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184</v>
      </c>
      <c r="G51" s="263">
        <f>G49-H29</f>
        <v>0</v>
      </c>
      <c r="H51" s="264"/>
      <c r="I51" s="264"/>
      <c r="J51" s="26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66"/>
      <c r="H52" s="267"/>
      <c r="I52" s="267"/>
      <c r="J52" s="26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B6908-EA79-47A0-B22E-6DACC07CB5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2</v>
      </c>
      <c r="H4" s="233" t="s">
        <v>9</v>
      </c>
      <c r="I4" s="235">
        <v>46165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/>
      <c r="D6" s="13">
        <f t="shared" ref="D6:D28" si="1">C6*L6</f>
        <v>0</v>
      </c>
      <c r="F6" s="239" t="s">
        <v>16</v>
      </c>
      <c r="G6" s="241" t="s">
        <v>107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100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101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81"/>
      <c r="I23" s="201"/>
      <c r="J23" s="20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25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>
        <f>F34*G34</f>
        <v>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>
        <f>F35*G35</f>
        <v>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7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8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115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AA42A-A3D8-4551-9DF3-EBAB7019BAA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3</v>
      </c>
      <c r="H4" s="233" t="s">
        <v>9</v>
      </c>
      <c r="I4" s="235">
        <v>46165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/>
      <c r="D6" s="13">
        <f t="shared" ref="D6:D28" si="1">C6*L6</f>
        <v>0</v>
      </c>
      <c r="F6" s="239" t="s">
        <v>16</v>
      </c>
      <c r="G6" s="241" t="s">
        <v>117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110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124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81"/>
      <c r="I23" s="201"/>
      <c r="J23" s="20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25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>
        <f>F34*G34</f>
        <v>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>
        <f>F35*G35</f>
        <v>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7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115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D0BCB-E10F-4733-8334-3B0868B2C4A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8" t="s">
        <v>1</v>
      </c>
      <c r="O1" s="228"/>
      <c r="P1" s="124" t="s">
        <v>2</v>
      </c>
      <c r="Q1" s="12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9" t="s">
        <v>7</v>
      </c>
      <c r="B4" s="180"/>
      <c r="C4" s="180"/>
      <c r="D4" s="181"/>
      <c r="F4" s="229" t="s">
        <v>8</v>
      </c>
      <c r="G4" s="231"/>
      <c r="H4" s="233" t="s">
        <v>9</v>
      </c>
      <c r="I4" s="235"/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4"/>
      <c r="B6" s="16"/>
      <c r="C6" s="10"/>
      <c r="D6" s="13">
        <f t="shared" ref="D6:D28" si="1">C6*L6</f>
        <v>0</v>
      </c>
      <c r="F6" s="239" t="s">
        <v>16</v>
      </c>
      <c r="G6" s="241"/>
      <c r="H6" s="242"/>
      <c r="I6" s="242"/>
      <c r="J6" s="24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4"/>
      <c r="B7" s="16"/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4"/>
      <c r="B8" s="16"/>
      <c r="C8" s="10"/>
      <c r="D8" s="13">
        <f t="shared" si="1"/>
        <v>0</v>
      </c>
      <c r="F8" s="247" t="s">
        <v>21</v>
      </c>
      <c r="G8" s="248"/>
      <c r="H8" s="249"/>
      <c r="I8" s="249"/>
      <c r="J8" s="25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4"/>
      <c r="B9" s="16"/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4"/>
      <c r="C10" s="10"/>
      <c r="D10" s="13">
        <f t="shared" si="1"/>
        <v>0</v>
      </c>
      <c r="F10" s="239" t="s">
        <v>26</v>
      </c>
      <c r="G10" s="254"/>
      <c r="H10" s="255"/>
      <c r="I10" s="255"/>
      <c r="J10" s="256"/>
      <c r="K10" s="8"/>
      <c r="L10" s="6">
        <f>R36</f>
        <v>972</v>
      </c>
      <c r="P10" s="4"/>
      <c r="Q10" s="4"/>
      <c r="R10" s="5"/>
    </row>
    <row r="11" spans="1:19" ht="15.75" x14ac:dyDescent="0.25">
      <c r="A11" s="174"/>
      <c r="B11" s="17"/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4"/>
      <c r="B12" s="17"/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4"/>
      <c r="B13" s="17"/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4"/>
      <c r="B14" s="14"/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4"/>
      <c r="B15" s="14"/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19"/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14"/>
      <c r="C19" s="10"/>
      <c r="D19" s="48">
        <f t="shared" si="1"/>
        <v>0</v>
      </c>
      <c r="F19" s="56"/>
      <c r="G19" s="68" t="s">
        <v>49</v>
      </c>
      <c r="H19" s="197"/>
      <c r="I19" s="197"/>
      <c r="J19" s="19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4"/>
      <c r="B20" s="46"/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4"/>
      <c r="B22" s="46"/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/>
      <c r="C23" s="10"/>
      <c r="D23" s="48">
        <f t="shared" si="1"/>
        <v>0</v>
      </c>
      <c r="F23" s="78"/>
      <c r="G23" s="79"/>
      <c r="H23" s="202"/>
      <c r="I23" s="171"/>
      <c r="J23" s="17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/>
      <c r="C24" s="10"/>
      <c r="D24" s="48">
        <f t="shared" si="1"/>
        <v>0</v>
      </c>
      <c r="F24" s="38"/>
      <c r="G24" s="37"/>
      <c r="H24" s="202"/>
      <c r="I24" s="171"/>
      <c r="J24" s="17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/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4"/>
      <c r="B27" s="14"/>
      <c r="C27" s="10"/>
      <c r="D27" s="44">
        <f t="shared" si="1"/>
        <v>0</v>
      </c>
      <c r="F27" s="25"/>
      <c r="G27" s="80"/>
      <c r="H27" s="209"/>
      <c r="I27" s="210"/>
      <c r="J27" s="21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/>
      <c r="C28" s="10"/>
      <c r="D28" s="48">
        <f t="shared" si="1"/>
        <v>0</v>
      </c>
      <c r="F28" s="125"/>
      <c r="G28" s="61"/>
      <c r="H28" s="212"/>
      <c r="I28" s="213"/>
      <c r="J28" s="21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/>
      <c r="I34" s="177"/>
      <c r="J34" s="17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/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/>
      <c r="I36" s="177"/>
      <c r="J36" s="17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/>
      <c r="I37" s="177"/>
      <c r="J37" s="17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/>
      <c r="I38" s="177"/>
      <c r="J38" s="17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/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7" t="s">
        <v>82</v>
      </c>
      <c r="H43" s="168" t="s">
        <v>13</v>
      </c>
      <c r="I43" s="169"/>
      <c r="J43" s="170"/>
      <c r="K43" s="21"/>
      <c r="P43" s="4"/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P44" s="4"/>
      <c r="Q44" s="4"/>
      <c r="R44" s="5"/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P50" s="4"/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106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E1D35-D37F-4FD8-A108-69794375B78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1</v>
      </c>
      <c r="H4" s="233" t="s">
        <v>9</v>
      </c>
      <c r="I4" s="235">
        <v>46167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/>
      <c r="D6" s="13">
        <f t="shared" ref="D6:D28" si="1">C6*L6</f>
        <v>0</v>
      </c>
      <c r="F6" s="239" t="s">
        <v>16</v>
      </c>
      <c r="G6" s="241" t="s">
        <v>99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120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108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7"/>
      <c r="G23" s="79"/>
      <c r="H23" s="269"/>
      <c r="I23" s="270"/>
      <c r="J23" s="27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77"/>
      <c r="G24" s="79"/>
      <c r="H24" s="269"/>
      <c r="I24" s="270"/>
      <c r="J24" s="27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75"/>
      <c r="G26" s="65"/>
      <c r="H26" s="171"/>
      <c r="I26" s="171"/>
      <c r="J26" s="17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71"/>
      <c r="G27" s="127"/>
      <c r="H27" s="271"/>
      <c r="I27" s="272"/>
      <c r="J27" s="27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25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H15-H16-H17-H18-H19-H20-H22-H23-H24+H26+H27+H28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76">
        <f t="shared" ref="H34:H39" si="2">F34*G34</f>
        <v>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>
        <f t="shared" si="2"/>
        <v>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si="2"/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7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62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62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1"/>
      <c r="I46" s="171"/>
      <c r="J46" s="171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184</v>
      </c>
      <c r="G51" s="263">
        <f>G49-H29</f>
        <v>0</v>
      </c>
      <c r="H51" s="264"/>
      <c r="I51" s="264"/>
      <c r="J51" s="26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266"/>
      <c r="H52" s="267"/>
      <c r="I52" s="267"/>
      <c r="J52" s="26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F3CCC-25E1-4A7E-BFB7-1A2220AACD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2</v>
      </c>
      <c r="H4" s="233" t="s">
        <v>9</v>
      </c>
      <c r="I4" s="235">
        <v>46167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/>
      <c r="D6" s="13">
        <f t="shared" ref="D6:D28" si="1">C6*L6</f>
        <v>0</v>
      </c>
      <c r="F6" s="239" t="s">
        <v>16</v>
      </c>
      <c r="G6" s="241" t="s">
        <v>107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100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101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183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81"/>
      <c r="I23" s="201"/>
      <c r="J23" s="20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25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>
        <f>F34*G34</f>
        <v>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>
        <f>F35*G35</f>
        <v>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7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8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115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FA32B-2EE2-47EE-BBD2-26E5D18ECA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8" t="s">
        <v>1</v>
      </c>
      <c r="O1" s="228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9" t="s">
        <v>7</v>
      </c>
      <c r="B4" s="180"/>
      <c r="C4" s="180"/>
      <c r="D4" s="181"/>
      <c r="F4" s="229" t="s">
        <v>8</v>
      </c>
      <c r="G4" s="231">
        <v>3</v>
      </c>
      <c r="H4" s="233" t="s">
        <v>9</v>
      </c>
      <c r="I4" s="235">
        <v>46167</v>
      </c>
      <c r="J4" s="23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3" t="s">
        <v>7</v>
      </c>
      <c r="B5" s="15" t="s">
        <v>11</v>
      </c>
      <c r="C5" s="9" t="s">
        <v>12</v>
      </c>
      <c r="D5" s="25" t="s">
        <v>13</v>
      </c>
      <c r="F5" s="230"/>
      <c r="G5" s="232"/>
      <c r="H5" s="234"/>
      <c r="I5" s="237"/>
      <c r="J5" s="23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4"/>
      <c r="B6" s="16" t="s">
        <v>15</v>
      </c>
      <c r="C6" s="10"/>
      <c r="D6" s="13">
        <f t="shared" ref="D6:D28" si="1">C6*L6</f>
        <v>0</v>
      </c>
      <c r="F6" s="239" t="s">
        <v>16</v>
      </c>
      <c r="G6" s="241" t="s">
        <v>117</v>
      </c>
      <c r="H6" s="242"/>
      <c r="I6" s="242"/>
      <c r="J6" s="24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4"/>
      <c r="B7" s="16" t="s">
        <v>18</v>
      </c>
      <c r="C7" s="10"/>
      <c r="D7" s="13">
        <f t="shared" si="1"/>
        <v>0</v>
      </c>
      <c r="F7" s="240"/>
      <c r="G7" s="244"/>
      <c r="H7" s="245"/>
      <c r="I7" s="245"/>
      <c r="J7" s="24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4"/>
      <c r="B8" s="16" t="s">
        <v>20</v>
      </c>
      <c r="C8" s="10"/>
      <c r="D8" s="13">
        <f t="shared" si="1"/>
        <v>0</v>
      </c>
      <c r="F8" s="247" t="s">
        <v>21</v>
      </c>
      <c r="G8" s="248" t="s">
        <v>110</v>
      </c>
      <c r="H8" s="249"/>
      <c r="I8" s="249"/>
      <c r="J8" s="25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4"/>
      <c r="B9" s="16" t="s">
        <v>23</v>
      </c>
      <c r="C9" s="10"/>
      <c r="D9" s="13">
        <f t="shared" si="1"/>
        <v>0</v>
      </c>
      <c r="F9" s="240"/>
      <c r="G9" s="251"/>
      <c r="H9" s="252"/>
      <c r="I9" s="252"/>
      <c r="J9" s="25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4"/>
      <c r="B10" t="s">
        <v>25</v>
      </c>
      <c r="C10" s="10"/>
      <c r="D10" s="13">
        <f t="shared" si="1"/>
        <v>0</v>
      </c>
      <c r="F10" s="239" t="s">
        <v>26</v>
      </c>
      <c r="G10" s="254" t="s">
        <v>124</v>
      </c>
      <c r="H10" s="255"/>
      <c r="I10" s="255"/>
      <c r="J10" s="256"/>
      <c r="K10" s="8"/>
      <c r="L10" s="6">
        <f>R36</f>
        <v>1032</v>
      </c>
      <c r="P10" s="4"/>
      <c r="Q10" s="4"/>
      <c r="R10" s="5"/>
    </row>
    <row r="11" spans="1:18" ht="15.75" x14ac:dyDescent="0.25">
      <c r="A11" s="174"/>
      <c r="B11" s="17" t="s">
        <v>28</v>
      </c>
      <c r="C11" s="10"/>
      <c r="D11" s="13">
        <f t="shared" si="1"/>
        <v>0</v>
      </c>
      <c r="F11" s="240"/>
      <c r="G11" s="251"/>
      <c r="H11" s="252"/>
      <c r="I11" s="252"/>
      <c r="J11" s="25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4"/>
      <c r="B12" s="17" t="s">
        <v>30</v>
      </c>
      <c r="C12" s="10"/>
      <c r="D12" s="48">
        <f t="shared" si="1"/>
        <v>0</v>
      </c>
      <c r="F12" s="257" t="s">
        <v>33</v>
      </c>
      <c r="G12" s="258"/>
      <c r="H12" s="258"/>
      <c r="I12" s="258"/>
      <c r="J12" s="25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4"/>
      <c r="B13" s="17" t="s">
        <v>32</v>
      </c>
      <c r="C13" s="10"/>
      <c r="D13" s="48">
        <f t="shared" si="1"/>
        <v>0</v>
      </c>
      <c r="F13" s="260" t="s">
        <v>36</v>
      </c>
      <c r="G13" s="224"/>
      <c r="H13" s="215">
        <f>D29</f>
        <v>0</v>
      </c>
      <c r="I13" s="216"/>
      <c r="J13" s="21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4"/>
      <c r="B14" s="14" t="s">
        <v>35</v>
      </c>
      <c r="C14" s="10"/>
      <c r="D14" s="31">
        <f t="shared" si="1"/>
        <v>0</v>
      </c>
      <c r="F14" s="218" t="s">
        <v>38</v>
      </c>
      <c r="G14" s="219"/>
      <c r="H14" s="220">
        <f>D54</f>
        <v>0</v>
      </c>
      <c r="I14" s="221"/>
      <c r="J14" s="22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4"/>
      <c r="B15" s="14" t="s">
        <v>122</v>
      </c>
      <c r="C15" s="10"/>
      <c r="D15" s="31">
        <f t="shared" si="1"/>
        <v>0</v>
      </c>
      <c r="F15" s="223" t="s">
        <v>39</v>
      </c>
      <c r="G15" s="224"/>
      <c r="H15" s="225">
        <f>H13-H14</f>
        <v>0</v>
      </c>
      <c r="I15" s="226"/>
      <c r="J15" s="22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85"/>
      <c r="I16" s="185"/>
      <c r="J16" s="18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96"/>
      <c r="I17" s="196"/>
      <c r="J17" s="19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96"/>
      <c r="I18" s="196"/>
      <c r="J18" s="19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80"/>
      <c r="I19" s="280"/>
      <c r="J19" s="28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8" t="s">
        <v>13</v>
      </c>
      <c r="I21" s="199"/>
      <c r="J21" s="20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4"/>
      <c r="B22" s="46" t="s">
        <v>103</v>
      </c>
      <c r="C22" s="10"/>
      <c r="D22" s="48">
        <f t="shared" si="1"/>
        <v>0</v>
      </c>
      <c r="F22" s="77"/>
      <c r="G22" s="73"/>
      <c r="H22" s="201"/>
      <c r="I22" s="201"/>
      <c r="J22" s="20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4"/>
      <c r="B23" s="14" t="s">
        <v>121</v>
      </c>
      <c r="C23" s="10"/>
      <c r="D23" s="48">
        <f t="shared" si="1"/>
        <v>0</v>
      </c>
      <c r="F23" s="78"/>
      <c r="G23" s="79"/>
      <c r="H23" s="281"/>
      <c r="I23" s="201"/>
      <c r="J23" s="20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4"/>
      <c r="B24" s="14" t="s">
        <v>128</v>
      </c>
      <c r="C24" s="10"/>
      <c r="D24" s="48">
        <f t="shared" si="1"/>
        <v>0</v>
      </c>
      <c r="F24" s="38"/>
      <c r="G24" s="37"/>
      <c r="H24" s="202"/>
      <c r="I24" s="171"/>
      <c r="J24" s="17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3" t="s">
        <v>13</v>
      </c>
      <c r="I25" s="204"/>
      <c r="J25" s="20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4"/>
      <c r="B26" s="14" t="s">
        <v>129</v>
      </c>
      <c r="C26" s="10"/>
      <c r="D26" s="48">
        <f t="shared" si="1"/>
        <v>0</v>
      </c>
      <c r="F26" s="64"/>
      <c r="G26" s="59"/>
      <c r="H26" s="206"/>
      <c r="I26" s="207"/>
      <c r="J26" s="20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4"/>
      <c r="B27" s="14" t="s">
        <v>130</v>
      </c>
      <c r="C27" s="10"/>
      <c r="D27" s="44">
        <f t="shared" si="1"/>
        <v>0</v>
      </c>
      <c r="F27" s="25"/>
      <c r="G27" s="80"/>
      <c r="H27" s="209"/>
      <c r="I27" s="210"/>
      <c r="J27" s="21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5"/>
      <c r="B28" s="46" t="s">
        <v>92</v>
      </c>
      <c r="C28" s="10"/>
      <c r="D28" s="48">
        <f t="shared" si="1"/>
        <v>0</v>
      </c>
      <c r="F28" s="125"/>
      <c r="G28" s="61"/>
      <c r="H28" s="212"/>
      <c r="I28" s="213"/>
      <c r="J28" s="21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6" t="s">
        <v>36</v>
      </c>
      <c r="B29" s="187"/>
      <c r="C29" s="188"/>
      <c r="D29" s="192">
        <f>SUM(D6:D28)</f>
        <v>0</v>
      </c>
      <c r="F29" s="132" t="s">
        <v>54</v>
      </c>
      <c r="G29" s="194"/>
      <c r="H29" s="154">
        <f>H15-H16-H17-H18-H19-H20-H22-H23-H24+H26+H27</f>
        <v>0</v>
      </c>
      <c r="I29" s="155"/>
      <c r="J29" s="15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9"/>
      <c r="B30" s="190"/>
      <c r="C30" s="191"/>
      <c r="D30" s="193"/>
      <c r="F30" s="135"/>
      <c r="G30" s="195"/>
      <c r="H30" s="157"/>
      <c r="I30" s="158"/>
      <c r="J30" s="15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9" t="s">
        <v>57</v>
      </c>
      <c r="B32" s="180"/>
      <c r="C32" s="180"/>
      <c r="D32" s="181"/>
      <c r="F32" s="182" t="s">
        <v>58</v>
      </c>
      <c r="G32" s="183"/>
      <c r="H32" s="183"/>
      <c r="I32" s="183"/>
      <c r="J32" s="18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82" t="s">
        <v>13</v>
      </c>
      <c r="I33" s="183"/>
      <c r="J33" s="18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76">
        <f>F34*G34</f>
        <v>0</v>
      </c>
      <c r="I34" s="177"/>
      <c r="J34" s="17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4"/>
      <c r="B35" s="27" t="s">
        <v>67</v>
      </c>
      <c r="C35" s="52"/>
      <c r="D35" s="30">
        <f>C35*84</f>
        <v>0</v>
      </c>
      <c r="F35" s="58">
        <v>500</v>
      </c>
      <c r="G35" s="41"/>
      <c r="H35" s="176">
        <f>F35*G35</f>
        <v>0</v>
      </c>
      <c r="I35" s="177"/>
      <c r="J35" s="17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5"/>
      <c r="B36" s="26" t="s">
        <v>69</v>
      </c>
      <c r="C36" s="10"/>
      <c r="D36" s="12">
        <f>C36*1.5</f>
        <v>0</v>
      </c>
      <c r="F36" s="12">
        <v>200</v>
      </c>
      <c r="G36" s="37"/>
      <c r="H36" s="176">
        <f t="shared" ref="H36:H39" si="2">F36*G36</f>
        <v>0</v>
      </c>
      <c r="I36" s="177"/>
      <c r="J36" s="17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6">
        <f t="shared" si="2"/>
        <v>0</v>
      </c>
      <c r="I37" s="177"/>
      <c r="J37" s="17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4"/>
      <c r="B38" s="29" t="s">
        <v>67</v>
      </c>
      <c r="C38" s="54"/>
      <c r="D38" s="12">
        <f>C38*84</f>
        <v>0</v>
      </c>
      <c r="F38" s="30">
        <v>50</v>
      </c>
      <c r="G38" s="39"/>
      <c r="H38" s="176">
        <f t="shared" si="2"/>
        <v>0</v>
      </c>
      <c r="I38" s="177"/>
      <c r="J38" s="17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5"/>
      <c r="B39" s="29" t="s">
        <v>69</v>
      </c>
      <c r="C39" s="52"/>
      <c r="D39" s="31">
        <f>C39*4.5</f>
        <v>0</v>
      </c>
      <c r="F39" s="12">
        <v>20</v>
      </c>
      <c r="G39" s="37"/>
      <c r="H39" s="176">
        <f t="shared" si="2"/>
        <v>0</v>
      </c>
      <c r="I39" s="177"/>
      <c r="J39" s="17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6"/>
      <c r="I40" s="177"/>
      <c r="J40" s="17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4"/>
      <c r="B41" s="27" t="s">
        <v>67</v>
      </c>
      <c r="C41" s="10"/>
      <c r="D41" s="12">
        <f>C41*84</f>
        <v>0</v>
      </c>
      <c r="F41" s="12">
        <v>5</v>
      </c>
      <c r="G41" s="42"/>
      <c r="H41" s="176"/>
      <c r="I41" s="177"/>
      <c r="J41" s="17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5"/>
      <c r="B42" s="27" t="s">
        <v>69</v>
      </c>
      <c r="C42" s="11"/>
      <c r="D42" s="12">
        <f>C42*2.25</f>
        <v>0</v>
      </c>
      <c r="F42" s="39" t="s">
        <v>78</v>
      </c>
      <c r="G42" s="176"/>
      <c r="H42" s="177"/>
      <c r="I42" s="177"/>
      <c r="J42" s="17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6" t="s">
        <v>80</v>
      </c>
      <c r="C43" s="11"/>
      <c r="D43" s="12"/>
      <c r="F43" s="59" t="s">
        <v>81</v>
      </c>
      <c r="G43" s="127" t="s">
        <v>82</v>
      </c>
      <c r="H43" s="168" t="s">
        <v>13</v>
      </c>
      <c r="I43" s="169"/>
      <c r="J43" s="17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7"/>
      <c r="B44" s="27" t="s">
        <v>65</v>
      </c>
      <c r="C44" s="10"/>
      <c r="D44" s="12">
        <f>C44*120</f>
        <v>0</v>
      </c>
      <c r="F44" s="37"/>
      <c r="G44" s="76"/>
      <c r="H44" s="171"/>
      <c r="I44" s="171"/>
      <c r="J44" s="17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7"/>
      <c r="B45" s="27" t="s">
        <v>67</v>
      </c>
      <c r="C45" s="33"/>
      <c r="D45" s="12">
        <f>C45*84</f>
        <v>0</v>
      </c>
      <c r="F45" s="37"/>
      <c r="G45" s="76"/>
      <c r="H45" s="171"/>
      <c r="I45" s="171"/>
      <c r="J45" s="171"/>
      <c r="K45" s="21"/>
      <c r="P45" s="4"/>
      <c r="Q45" s="4"/>
      <c r="R45" s="5"/>
    </row>
    <row r="46" spans="1:18" ht="15.75" x14ac:dyDescent="0.25">
      <c r="A46" s="147"/>
      <c r="B46" s="49" t="s">
        <v>69</v>
      </c>
      <c r="C46" s="81"/>
      <c r="D46" s="12">
        <f>C46*1.5</f>
        <v>0</v>
      </c>
      <c r="F46" s="37"/>
      <c r="G46" s="62"/>
      <c r="H46" s="172"/>
      <c r="I46" s="172"/>
      <c r="J46" s="172"/>
      <c r="K46" s="21"/>
      <c r="P46" s="4"/>
      <c r="Q46" s="4"/>
      <c r="R46" s="5"/>
    </row>
    <row r="47" spans="1:18" ht="15.75" x14ac:dyDescent="0.25">
      <c r="A47" s="148"/>
      <c r="B47" s="27"/>
      <c r="C47" s="11"/>
      <c r="D47" s="12"/>
      <c r="F47" s="59"/>
      <c r="G47" s="59"/>
      <c r="H47" s="149"/>
      <c r="I47" s="150"/>
      <c r="J47" s="151"/>
      <c r="K47" s="21"/>
      <c r="P47" s="4"/>
      <c r="Q47" s="4"/>
      <c r="R47" s="5"/>
    </row>
    <row r="48" spans="1:18" ht="15" customHeight="1" x14ac:dyDescent="0.25">
      <c r="A48" s="146" t="s">
        <v>32</v>
      </c>
      <c r="B48" s="27" t="s">
        <v>65</v>
      </c>
      <c r="C48" s="10"/>
      <c r="D48" s="12">
        <f>C48*78</f>
        <v>0</v>
      </c>
      <c r="F48" s="59"/>
      <c r="G48" s="59"/>
      <c r="H48" s="149"/>
      <c r="I48" s="150"/>
      <c r="J48" s="15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7"/>
      <c r="B49" s="29" t="s">
        <v>67</v>
      </c>
      <c r="C49" s="33"/>
      <c r="D49" s="12">
        <f>C49*42</f>
        <v>0</v>
      </c>
      <c r="F49" s="152" t="s">
        <v>85</v>
      </c>
      <c r="G49" s="154">
        <f>H34+H35+H36+H37+H38+H39+H40+H41+G42+H44+H45+H46</f>
        <v>0</v>
      </c>
      <c r="H49" s="155"/>
      <c r="I49" s="155"/>
      <c r="J49" s="15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7"/>
      <c r="B50" s="32" t="s">
        <v>69</v>
      </c>
      <c r="C50" s="11"/>
      <c r="D50" s="12">
        <f>C50*1.5</f>
        <v>0</v>
      </c>
      <c r="F50" s="153"/>
      <c r="G50" s="157"/>
      <c r="H50" s="158"/>
      <c r="I50" s="158"/>
      <c r="J50" s="159"/>
      <c r="O50" t="s">
        <v>114</v>
      </c>
      <c r="P50" s="4">
        <v>1204</v>
      </c>
      <c r="Q50" s="4"/>
      <c r="R50" s="5"/>
    </row>
    <row r="51" spans="1:18" ht="15" customHeight="1" x14ac:dyDescent="0.25">
      <c r="A51" s="147"/>
      <c r="B51" s="27"/>
      <c r="C51" s="10"/>
      <c r="D51" s="31"/>
      <c r="F51" s="160" t="s">
        <v>115</v>
      </c>
      <c r="G51" s="162">
        <f>G49-H29</f>
        <v>0</v>
      </c>
      <c r="H51" s="163"/>
      <c r="I51" s="163"/>
      <c r="J51" s="16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7"/>
      <c r="B52" s="29"/>
      <c r="C52" s="33"/>
      <c r="D52" s="45"/>
      <c r="F52" s="161"/>
      <c r="G52" s="165"/>
      <c r="H52" s="166"/>
      <c r="I52" s="166"/>
      <c r="J52" s="16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2" t="s">
        <v>89</v>
      </c>
      <c r="B54" s="133"/>
      <c r="C54" s="134"/>
      <c r="D54" s="13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5"/>
      <c r="B55" s="136"/>
      <c r="C55" s="137"/>
      <c r="D55" s="13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0" t="s">
        <v>90</v>
      </c>
      <c r="B58" s="141"/>
      <c r="C58" s="141"/>
      <c r="D58" s="142"/>
      <c r="F58" s="140" t="s">
        <v>91</v>
      </c>
      <c r="G58" s="141"/>
      <c r="H58" s="141"/>
      <c r="I58" s="141"/>
      <c r="J58" s="142"/>
    </row>
    <row r="59" spans="1:18" x14ac:dyDescent="0.25">
      <c r="A59" s="143"/>
      <c r="B59" s="144"/>
      <c r="C59" s="144"/>
      <c r="D59" s="145"/>
      <c r="F59" s="143"/>
      <c r="G59" s="144"/>
      <c r="H59" s="144"/>
      <c r="I59" s="144"/>
      <c r="J59" s="14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81</vt:i4>
      </vt:variant>
      <vt:variant>
        <vt:lpstr>Named Ranges</vt:lpstr>
      </vt:variant>
      <vt:variant>
        <vt:i4>80</vt:i4>
      </vt:variant>
    </vt:vector>
  </HeadingPairs>
  <TitlesOfParts>
    <vt:vector size="161" baseType="lpstr">
      <vt:lpstr>(MAY 2026)</vt:lpstr>
      <vt:lpstr>(01)</vt:lpstr>
      <vt:lpstr>05,01 R1</vt:lpstr>
      <vt:lpstr>05,01 R2</vt:lpstr>
      <vt:lpstr>05,01 R3</vt:lpstr>
      <vt:lpstr>(2)</vt:lpstr>
      <vt:lpstr>05,02 R3</vt:lpstr>
      <vt:lpstr>(4)</vt:lpstr>
      <vt:lpstr>05,04 R1</vt:lpstr>
      <vt:lpstr>05,04 R2</vt:lpstr>
      <vt:lpstr>05,04 R3</vt:lpstr>
      <vt:lpstr>(5)</vt:lpstr>
      <vt:lpstr>05,05 R1</vt:lpstr>
      <vt:lpstr>05,05 R2</vt:lpstr>
      <vt:lpstr>05,05 R3</vt:lpstr>
      <vt:lpstr>(6)</vt:lpstr>
      <vt:lpstr>05,06 R1</vt:lpstr>
      <vt:lpstr>05,06 R2</vt:lpstr>
      <vt:lpstr>05,06 R3</vt:lpstr>
      <vt:lpstr>(7)</vt:lpstr>
      <vt:lpstr>05,07 R1</vt:lpstr>
      <vt:lpstr>05,07 R1 (2)</vt:lpstr>
      <vt:lpstr>05,07 R2</vt:lpstr>
      <vt:lpstr>05,07 R3</vt:lpstr>
      <vt:lpstr>(8)</vt:lpstr>
      <vt:lpstr>05,08 R1 NO TRIP</vt:lpstr>
      <vt:lpstr>05,08 R2</vt:lpstr>
      <vt:lpstr>05,08 R3</vt:lpstr>
      <vt:lpstr>(11)</vt:lpstr>
      <vt:lpstr>05,11 R1</vt:lpstr>
      <vt:lpstr>05,11 R2</vt:lpstr>
      <vt:lpstr>05,11 R3</vt:lpstr>
      <vt:lpstr>(12)</vt:lpstr>
      <vt:lpstr>05,12 R1</vt:lpstr>
      <vt:lpstr>05,12 R2</vt:lpstr>
      <vt:lpstr>05,12 R3</vt:lpstr>
      <vt:lpstr>(13)</vt:lpstr>
      <vt:lpstr>05,13 R1</vt:lpstr>
      <vt:lpstr>05,13 R2</vt:lpstr>
      <vt:lpstr>05,13 R3 NO TRIP</vt:lpstr>
      <vt:lpstr>(14)</vt:lpstr>
      <vt:lpstr>05,14 R1</vt:lpstr>
      <vt:lpstr>05,14 R2 NO TRIP</vt:lpstr>
      <vt:lpstr>05,14 R3</vt:lpstr>
      <vt:lpstr>(15)</vt:lpstr>
      <vt:lpstr>05,15 R1</vt:lpstr>
      <vt:lpstr>05,15 R2</vt:lpstr>
      <vt:lpstr>05,15 R3</vt:lpstr>
      <vt:lpstr>(16)</vt:lpstr>
      <vt:lpstr>05,15 R1 NO TRIP</vt:lpstr>
      <vt:lpstr>05,16 R2</vt:lpstr>
      <vt:lpstr>05,16 R3 NO TRIP</vt:lpstr>
      <vt:lpstr>(18)</vt:lpstr>
      <vt:lpstr>05,18 R1 NO TRIP</vt:lpstr>
      <vt:lpstr>05,18 R2</vt:lpstr>
      <vt:lpstr>05,18 R3</vt:lpstr>
      <vt:lpstr>(19)</vt:lpstr>
      <vt:lpstr>05,19 R1</vt:lpstr>
      <vt:lpstr>05,19 R1 COLLECTION</vt:lpstr>
      <vt:lpstr>05,19 R2</vt:lpstr>
      <vt:lpstr>05,19 R3</vt:lpstr>
      <vt:lpstr>(20)</vt:lpstr>
      <vt:lpstr>05,20 R1</vt:lpstr>
      <vt:lpstr>05,20 R2</vt:lpstr>
      <vt:lpstr>05,20 R3</vt:lpstr>
      <vt:lpstr>(21)</vt:lpstr>
      <vt:lpstr>05,21 R1</vt:lpstr>
      <vt:lpstr>05,21 R2</vt:lpstr>
      <vt:lpstr>05,21 R3</vt:lpstr>
      <vt:lpstr>(22)</vt:lpstr>
      <vt:lpstr>05,22 R1</vt:lpstr>
      <vt:lpstr>05,22 R2</vt:lpstr>
      <vt:lpstr>05,22 R3</vt:lpstr>
      <vt:lpstr>(23)</vt:lpstr>
      <vt:lpstr>05,23 R1</vt:lpstr>
      <vt:lpstr>05,23 R2</vt:lpstr>
      <vt:lpstr>05,23 R3</vt:lpstr>
      <vt:lpstr>(25)</vt:lpstr>
      <vt:lpstr>05,25 R1</vt:lpstr>
      <vt:lpstr>05,25 R2</vt:lpstr>
      <vt:lpstr>05,25 R3</vt:lpstr>
      <vt:lpstr>'(01)'!Print_Area</vt:lpstr>
      <vt:lpstr>'(11)'!Print_Area</vt:lpstr>
      <vt:lpstr>'(12)'!Print_Area</vt:lpstr>
      <vt:lpstr>'(13)'!Print_Area</vt:lpstr>
      <vt:lpstr>'(14)'!Print_Area</vt:lpstr>
      <vt:lpstr>'(15)'!Print_Area</vt:lpstr>
      <vt:lpstr>'(16)'!Print_Area</vt:lpstr>
      <vt:lpstr>'(18)'!Print_Area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'(25)'!Print_Area</vt:lpstr>
      <vt:lpstr>'(4)'!Print_Area</vt:lpstr>
      <vt:lpstr>'(5)'!Print_Area</vt:lpstr>
      <vt:lpstr>'(6)'!Print_Area</vt:lpstr>
      <vt:lpstr>'(7)'!Print_Area</vt:lpstr>
      <vt:lpstr>'(8)'!Print_Area</vt:lpstr>
      <vt:lpstr>'05,01 R1'!Print_Area</vt:lpstr>
      <vt:lpstr>'05,01 R2'!Print_Area</vt:lpstr>
      <vt:lpstr>'05,01 R3'!Print_Area</vt:lpstr>
      <vt:lpstr>'05,02 R3'!Print_Area</vt:lpstr>
      <vt:lpstr>'05,04 R1'!Print_Area</vt:lpstr>
      <vt:lpstr>'05,04 R2'!Print_Area</vt:lpstr>
      <vt:lpstr>'05,04 R3'!Print_Area</vt:lpstr>
      <vt:lpstr>'05,05 R1'!Print_Area</vt:lpstr>
      <vt:lpstr>'05,05 R2'!Print_Area</vt:lpstr>
      <vt:lpstr>'05,05 R3'!Print_Area</vt:lpstr>
      <vt:lpstr>'05,06 R1'!Print_Area</vt:lpstr>
      <vt:lpstr>'05,06 R2'!Print_Area</vt:lpstr>
      <vt:lpstr>'05,06 R3'!Print_Area</vt:lpstr>
      <vt:lpstr>'05,07 R1'!Print_Area</vt:lpstr>
      <vt:lpstr>'05,07 R1 (2)'!Print_Area</vt:lpstr>
      <vt:lpstr>'05,07 R2'!Print_Area</vt:lpstr>
      <vt:lpstr>'05,07 R3'!Print_Area</vt:lpstr>
      <vt:lpstr>'05,08 R1 NO TRIP'!Print_Area</vt:lpstr>
      <vt:lpstr>'05,08 R2'!Print_Area</vt:lpstr>
      <vt:lpstr>'05,08 R3'!Print_Area</vt:lpstr>
      <vt:lpstr>'05,11 R1'!Print_Area</vt:lpstr>
      <vt:lpstr>'05,11 R2'!Print_Area</vt:lpstr>
      <vt:lpstr>'05,11 R3'!Print_Area</vt:lpstr>
      <vt:lpstr>'05,12 R1'!Print_Area</vt:lpstr>
      <vt:lpstr>'05,12 R2'!Print_Area</vt:lpstr>
      <vt:lpstr>'05,12 R3'!Print_Area</vt:lpstr>
      <vt:lpstr>'05,13 R1'!Print_Area</vt:lpstr>
      <vt:lpstr>'05,13 R2'!Print_Area</vt:lpstr>
      <vt:lpstr>'05,13 R3 NO TRIP'!Print_Area</vt:lpstr>
      <vt:lpstr>'05,14 R1'!Print_Area</vt:lpstr>
      <vt:lpstr>'05,14 R2 NO TRIP'!Print_Area</vt:lpstr>
      <vt:lpstr>'05,14 R3'!Print_Area</vt:lpstr>
      <vt:lpstr>'05,15 R1'!Print_Area</vt:lpstr>
      <vt:lpstr>'05,15 R1 NO TRIP'!Print_Area</vt:lpstr>
      <vt:lpstr>'05,15 R2'!Print_Area</vt:lpstr>
      <vt:lpstr>'05,15 R3'!Print_Area</vt:lpstr>
      <vt:lpstr>'05,16 R2'!Print_Area</vt:lpstr>
      <vt:lpstr>'05,16 R3 NO TRIP'!Print_Area</vt:lpstr>
      <vt:lpstr>'05,18 R1 NO TRIP'!Print_Area</vt:lpstr>
      <vt:lpstr>'05,18 R2'!Print_Area</vt:lpstr>
      <vt:lpstr>'05,18 R3'!Print_Area</vt:lpstr>
      <vt:lpstr>'05,19 R1'!Print_Area</vt:lpstr>
      <vt:lpstr>'05,19 R1 COLLECTION'!Print_Area</vt:lpstr>
      <vt:lpstr>'05,19 R2'!Print_Area</vt:lpstr>
      <vt:lpstr>'05,19 R3'!Print_Area</vt:lpstr>
      <vt:lpstr>'05,20 R1'!Print_Area</vt:lpstr>
      <vt:lpstr>'05,20 R2'!Print_Area</vt:lpstr>
      <vt:lpstr>'05,20 R3'!Print_Area</vt:lpstr>
      <vt:lpstr>'05,21 R1'!Print_Area</vt:lpstr>
      <vt:lpstr>'05,21 R2'!Print_Area</vt:lpstr>
      <vt:lpstr>'05,21 R3'!Print_Area</vt:lpstr>
      <vt:lpstr>'05,22 R1'!Print_Area</vt:lpstr>
      <vt:lpstr>'05,22 R2'!Print_Area</vt:lpstr>
      <vt:lpstr>'05,22 R3'!Print_Area</vt:lpstr>
      <vt:lpstr>'05,23 R1'!Print_Area</vt:lpstr>
      <vt:lpstr>'05,23 R2'!Print_Area</vt:lpstr>
      <vt:lpstr>'05,23 R3'!Print_Area</vt:lpstr>
      <vt:lpstr>'05,25 R1'!Print_Area</vt:lpstr>
      <vt:lpstr>'05,25 R2'!Print_Area</vt:lpstr>
      <vt:lpstr>'05,25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2026-05-20T00:45:55Z</cp:lastPrinted>
  <dcterms:created xsi:type="dcterms:W3CDTF">2024-09-01T23:36:50Z</dcterms:created>
  <dcterms:modified xsi:type="dcterms:W3CDTF">2026-05-20T09:16:42Z</dcterms:modified>
</cp:coreProperties>
</file>