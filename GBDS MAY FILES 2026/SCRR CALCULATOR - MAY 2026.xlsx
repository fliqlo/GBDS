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FC36253D-A28B-4D22-962D-5F51BBE281B1}" xr6:coauthVersionLast="45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4)" sheetId="2030" r:id="rId6"/>
    <sheet name="05,04 R1" sheetId="2031" r:id="rId7"/>
    <sheet name="05,04 R2" sheetId="2032" r:id="rId8"/>
    <sheet name="05,04 R3" sheetId="2033" r:id="rId9"/>
    <sheet name="(5)" sheetId="2034" r:id="rId10"/>
    <sheet name="05,05 R1" sheetId="2035" r:id="rId11"/>
    <sheet name="05,05 R2" sheetId="2036" r:id="rId12"/>
    <sheet name="05,05 R3" sheetId="2037" r:id="rId13"/>
    <sheet name="(6)" sheetId="2038" r:id="rId14"/>
    <sheet name="05,06 R1" sheetId="2039" r:id="rId15"/>
    <sheet name="05,06 R2" sheetId="2040" r:id="rId16"/>
    <sheet name="05,06 R3" sheetId="2041" r:id="rId17"/>
    <sheet name="(7)" sheetId="2042" r:id="rId18"/>
    <sheet name="05,07 R1" sheetId="2043" r:id="rId19"/>
    <sheet name="05,07 R2" sheetId="2044" r:id="rId20"/>
    <sheet name="05,07 R3" sheetId="2045" r:id="rId21"/>
    <sheet name="(8)" sheetId="2046" r:id="rId22"/>
    <sheet name="05,08 R1" sheetId="2047" r:id="rId23"/>
    <sheet name="05,08 R2" sheetId="2048" r:id="rId24"/>
    <sheet name="05,08 R3" sheetId="2049" r:id="rId25"/>
    <sheet name="(11)" sheetId="2050" r:id="rId26"/>
    <sheet name="05,11 R1" sheetId="2051" r:id="rId27"/>
    <sheet name="05,11 R2" sheetId="2052" r:id="rId28"/>
    <sheet name="05,11 R3" sheetId="2053" r:id="rId29"/>
  </sheets>
  <definedNames>
    <definedName name="_xlnm.Print_Area" localSheetId="1">'(01)'!$A$1:$J$60</definedName>
    <definedName name="_xlnm.Print_Area" localSheetId="25">'(11)'!$A$1:$J$60</definedName>
    <definedName name="_xlnm.Print_Area" localSheetId="5">'(4)'!$A$1:$J$60</definedName>
    <definedName name="_xlnm.Print_Area" localSheetId="9">'(5)'!$A$1:$J$60</definedName>
    <definedName name="_xlnm.Print_Area" localSheetId="13">'(6)'!$A$1:$J$60</definedName>
    <definedName name="_xlnm.Print_Area" localSheetId="17">'(7)'!$A$1:$J$60</definedName>
    <definedName name="_xlnm.Print_Area" localSheetId="21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'05,04 R1'!$A$1:$J$60</definedName>
    <definedName name="_xlnm.Print_Area" localSheetId="7">'05,04 R2'!$A$1:$J$60</definedName>
    <definedName name="_xlnm.Print_Area" localSheetId="8">'05,04 R3'!$A$1:$J$60</definedName>
    <definedName name="_xlnm.Print_Area" localSheetId="10">'05,05 R1'!$A$1:$J$60</definedName>
    <definedName name="_xlnm.Print_Area" localSheetId="11">'05,05 R2'!$A$1:$J$60</definedName>
    <definedName name="_xlnm.Print_Area" localSheetId="12">'05,05 R3'!$A$1:$J$60</definedName>
    <definedName name="_xlnm.Print_Area" localSheetId="14">'05,06 R1'!$A$1:$J$60</definedName>
    <definedName name="_xlnm.Print_Area" localSheetId="15">'05,06 R2'!$A$1:$J$60</definedName>
    <definedName name="_xlnm.Print_Area" localSheetId="16">'05,06 R3'!$A$1:$J$60</definedName>
    <definedName name="_xlnm.Print_Area" localSheetId="18">'05,07 R1'!$A$1:$J$60</definedName>
    <definedName name="_xlnm.Print_Area" localSheetId="19">'05,07 R2'!$A$1:$J$60</definedName>
    <definedName name="_xlnm.Print_Area" localSheetId="20">'05,07 R3'!$A$1:$J$60</definedName>
    <definedName name="_xlnm.Print_Area" localSheetId="22">'05,08 R1'!$A$1:$J$60</definedName>
    <definedName name="_xlnm.Print_Area" localSheetId="23">'05,08 R2'!$A$1:$J$60</definedName>
    <definedName name="_xlnm.Print_Area" localSheetId="24">'05,08 R3'!$A$1:$J$60</definedName>
    <definedName name="_xlnm.Print_Area" localSheetId="26">'05,11 R1'!$A$1:$J$60</definedName>
    <definedName name="_xlnm.Print_Area" localSheetId="27">'05,11 R2'!$A$1:$J$60</definedName>
    <definedName name="_xlnm.Print_Area" localSheetId="28">'05,11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029" l="1"/>
  <c r="C16" i="2029"/>
  <c r="R52" i="2053" l="1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G49" i="2053" s="1"/>
  <c r="D34" i="2053"/>
  <c r="D54" i="2053" s="1"/>
  <c r="H14" i="2053" s="1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L6" i="2053"/>
  <c r="D6" i="2053" s="1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G49" i="2052" s="1"/>
  <c r="D34" i="2052"/>
  <c r="D54" i="2052" s="1"/>
  <c r="H14" i="2052" s="1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D54" i="2051" s="1"/>
  <c r="H14" i="2051" s="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21" i="2051"/>
  <c r="D21" i="2051" s="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D29" i="2051" s="1"/>
  <c r="H13" i="2051" s="1"/>
  <c r="H15" i="2051" s="1"/>
  <c r="H29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G49" i="2049" s="1"/>
  <c r="D34" i="2049"/>
  <c r="D54" i="2049" s="1"/>
  <c r="H14" i="2049" s="1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G49" i="2048" s="1"/>
  <c r="D36" i="2048"/>
  <c r="R35" i="2048"/>
  <c r="H35" i="2048"/>
  <c r="D35" i="2048"/>
  <c r="R34" i="2048"/>
  <c r="H34" i="2048"/>
  <c r="D34" i="2048"/>
  <c r="D54" i="2048" s="1"/>
  <c r="H14" i="2048" s="1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D54" i="2047" s="1"/>
  <c r="H14" i="2047" s="1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G49" i="2045" s="1"/>
  <c r="D36" i="2045"/>
  <c r="R35" i="2045"/>
  <c r="H35" i="2045"/>
  <c r="D35" i="2045"/>
  <c r="R34" i="2045"/>
  <c r="H34" i="2045"/>
  <c r="D34" i="2045"/>
  <c r="D54" i="2045" s="1"/>
  <c r="H14" i="2045" s="1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G49" i="2044" s="1"/>
  <c r="D34" i="2044"/>
  <c r="D54" i="2044" s="1"/>
  <c r="H14" i="2044" s="1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G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H34" i="2043"/>
  <c r="D34" i="2043"/>
  <c r="D54" i="2043" s="1"/>
  <c r="H14" i="2043" s="1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D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G49" i="2041" s="1"/>
  <c r="D34" i="2041"/>
  <c r="D54" i="2041" s="1"/>
  <c r="H14" i="2041" s="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G49" i="2040" s="1"/>
  <c r="D34" i="2040"/>
  <c r="D54" i="2040" s="1"/>
  <c r="H14" i="2040" s="1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G49" i="2039" s="1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D54" i="2039" s="1"/>
  <c r="H14" i="2039" s="1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L26" i="2039"/>
  <c r="D26" i="2039"/>
  <c r="R25" i="2039"/>
  <c r="L25" i="2039"/>
  <c r="D25" i="2039"/>
  <c r="R24" i="2039"/>
  <c r="L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G49" i="2037" s="1"/>
  <c r="D34" i="2037"/>
  <c r="D54" i="2037" s="1"/>
  <c r="H14" i="2037" s="1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G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D34" i="2036"/>
  <c r="D54" i="2036" s="1"/>
  <c r="H14" i="2036" s="1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D54" i="2035"/>
  <c r="H14" i="2035" s="1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G49" i="2035" s="1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G49" i="2033" s="1"/>
  <c r="D34" i="2033"/>
  <c r="D54" i="2033" s="1"/>
  <c r="H14" i="2033" s="1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G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D54" i="2032" s="1"/>
  <c r="H14" i="2032" s="1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D54" i="2031"/>
  <c r="H14" i="2031" s="1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G49" i="2031" s="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D29" i="2053" l="1"/>
  <c r="H13" i="2053" s="1"/>
  <c r="H15" i="2053" s="1"/>
  <c r="H29" i="2053" s="1"/>
  <c r="G51" i="2053" s="1"/>
  <c r="D29" i="2052"/>
  <c r="H13" i="2052" s="1"/>
  <c r="H15" i="2052" s="1"/>
  <c r="H29" i="2052" s="1"/>
  <c r="G51" i="2052" s="1"/>
  <c r="G51" i="2051"/>
  <c r="D29" i="2050"/>
  <c r="H13" i="2050" s="1"/>
  <c r="H15" i="2050" s="1"/>
  <c r="H29" i="2050" s="1"/>
  <c r="G51" i="2050" s="1"/>
  <c r="D29" i="2049"/>
  <c r="H13" i="2049" s="1"/>
  <c r="H15" i="2049" s="1"/>
  <c r="H29" i="2049" s="1"/>
  <c r="G51" i="2049" s="1"/>
  <c r="G51" i="2048"/>
  <c r="D29" i="2048"/>
  <c r="H13" i="2048" s="1"/>
  <c r="H15" i="2048" s="1"/>
  <c r="H29" i="2048" s="1"/>
  <c r="D29" i="2047"/>
  <c r="H13" i="2047" s="1"/>
  <c r="H15" i="2047" s="1"/>
  <c r="H29" i="2047" s="1"/>
  <c r="G51" i="2047" s="1"/>
  <c r="D29" i="2046"/>
  <c r="H13" i="2046" s="1"/>
  <c r="H15" i="2046" s="1"/>
  <c r="H29" i="2046" s="1"/>
  <c r="G51" i="2046" s="1"/>
  <c r="D29" i="2045"/>
  <c r="H13" i="2045" s="1"/>
  <c r="H15" i="2045" s="1"/>
  <c r="H29" i="2045" s="1"/>
  <c r="G51" i="2045" s="1"/>
  <c r="D29" i="2044"/>
  <c r="H13" i="2044" s="1"/>
  <c r="H15" i="2044" s="1"/>
  <c r="H29" i="2044" s="1"/>
  <c r="G51" i="2044" s="1"/>
  <c r="D29" i="2043"/>
  <c r="H13" i="2043" s="1"/>
  <c r="H15" i="2043" s="1"/>
  <c r="H29" i="2043" s="1"/>
  <c r="G51" i="2043"/>
  <c r="D29" i="2042"/>
  <c r="H13" i="2042" s="1"/>
  <c r="H15" i="2042" s="1"/>
  <c r="H29" i="2042" s="1"/>
  <c r="G51" i="2042" s="1"/>
  <c r="D29" i="2041"/>
  <c r="H13" i="2041" s="1"/>
  <c r="H15" i="2041" s="1"/>
  <c r="H29" i="2041" s="1"/>
  <c r="G51" i="2041" s="1"/>
  <c r="D29" i="2040"/>
  <c r="H13" i="2040" s="1"/>
  <c r="H15" i="2040" s="1"/>
  <c r="H29" i="2040" s="1"/>
  <c r="G51" i="2040" s="1"/>
  <c r="D29" i="2039"/>
  <c r="H13" i="2039" s="1"/>
  <c r="H15" i="2039" s="1"/>
  <c r="H29" i="2039" s="1"/>
  <c r="G51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G51" i="2037" s="1"/>
  <c r="D29" i="2036"/>
  <c r="H13" i="2036" s="1"/>
  <c r="H15" i="2036" s="1"/>
  <c r="H29" i="2036" s="1"/>
  <c r="G51" i="2036" s="1"/>
  <c r="D29" i="2035"/>
  <c r="H13" i="2035" s="1"/>
  <c r="H15" i="2035" s="1"/>
  <c r="H29" i="2035" s="1"/>
  <c r="G51" i="2035" s="1"/>
  <c r="D29" i="2034"/>
  <c r="H13" i="2034" s="1"/>
  <c r="H15" i="2034" s="1"/>
  <c r="H29" i="2034" s="1"/>
  <c r="G51" i="2034" s="1"/>
  <c r="D29" i="2033"/>
  <c r="H13" i="2033" s="1"/>
  <c r="H15" i="2033" s="1"/>
  <c r="H29" i="2033" s="1"/>
  <c r="G51" i="2033"/>
  <c r="D29" i="2032"/>
  <c r="H13" i="2032" s="1"/>
  <c r="H15" i="2032" s="1"/>
  <c r="H29" i="2032" s="1"/>
  <c r="G51" i="2032"/>
  <c r="D29" i="2031"/>
  <c r="H13" i="2031" s="1"/>
  <c r="H15" i="2031" s="1"/>
  <c r="H29" i="2031" s="1"/>
  <c r="G51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G49" i="2029" l="1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<sst xmlns="http://schemas.openxmlformats.org/spreadsheetml/2006/main" count="3756" uniqueCount="136">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</sst>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1"/>
      <c r="G28" s="61"/>
      <c r="H28" s="178"/>
      <c r="I28" s="179"/>
      <c r="J28" s="18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88" t="s">
        <v>82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106</v>
      </c>
      <c r="G51" s="128">
        <f>G49-H29</f>
        <v>0</v>
      </c>
      <c r="H51" s="129"/>
      <c r="I51" s="129"/>
      <c r="J51" s="1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46143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704</v>
      </c>
      <c r="D6" s="13">
        <f t="shared" ref="D6:D28" si="1">C6*L6</f>
        <v>535744</v>
      </c>
      <c r="F6" s="205" t="s">
        <v>16</v>
      </c>
      <c r="G6" s="207" t="s">
        <v>99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120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3</v>
      </c>
      <c r="D9" s="13">
        <f t="shared" si="1"/>
        <v>2199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108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25</v>
      </c>
      <c r="D13" s="48">
        <f t="shared" si="1"/>
        <v>7675</v>
      </c>
      <c r="F13" s="226" t="s">
        <v>36</v>
      </c>
      <c r="G13" s="190"/>
      <c r="H13" s="181">
        <f>D29</f>
        <v>545651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3</v>
      </c>
      <c r="D14" s="31">
        <f t="shared" si="1"/>
        <v>33</v>
      </c>
      <c r="F14" s="184" t="s">
        <v>38</v>
      </c>
      <c r="G14" s="185"/>
      <c r="H14" s="186">
        <f>D54</f>
        <v>102010.5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443640.5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>
        <v>3240</v>
      </c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1"/>
      <c r="I19" s="151"/>
      <c r="J19" s="1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71"/>
      <c r="G27" s="88"/>
      <c r="H27" s="235"/>
      <c r="I27" s="236"/>
      <c r="J27" s="23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1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545651</v>
      </c>
      <c r="F29" s="98" t="s">
        <v>54</v>
      </c>
      <c r="G29" s="160"/>
      <c r="H29" s="120">
        <f>H15-H16-H17-H18-H19-H20-H22-H23-H24+H26+H27+H28</f>
        <v>440400.5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42">
        <f t="shared" ref="H34:H39" si="2">F34*G34</f>
        <v>315000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42">
        <f t="shared" si="2"/>
        <v>126000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>
        <v>902</v>
      </c>
      <c r="D37" s="12">
        <f>C37*111</f>
        <v>100122</v>
      </c>
      <c r="F37" s="12">
        <v>100</v>
      </c>
      <c r="G37" s="39">
        <v>5</v>
      </c>
      <c r="H37" s="142">
        <f t="shared" si="2"/>
        <v>500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42">
        <f t="shared" si="2"/>
        <v>150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42">
        <f t="shared" si="2"/>
        <v>20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>
        <v>86</v>
      </c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88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>
        <v>4</v>
      </c>
      <c r="D46" s="12">
        <f>C46*1.5</f>
        <v>6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>
        <v>11</v>
      </c>
      <c r="D49" s="12">
        <f>C49*42</f>
        <v>462</v>
      </c>
      <c r="F49" s="118" t="s">
        <v>85</v>
      </c>
      <c r="G49" s="120">
        <f>H34+H35+H36+H37+H38+H39+H40+H41+G42+H44+H45+H46</f>
        <v>441756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>
        <v>22</v>
      </c>
      <c r="D50" s="12">
        <f>C50*1.5</f>
        <v>33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245" t="s">
        <v>135</v>
      </c>
      <c r="G51" s="239">
        <f>G49-H29</f>
        <v>1355.5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246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102010.5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46143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292</v>
      </c>
      <c r="D6" s="13">
        <f t="shared" ref="D6:D28" si="1">C6*L6</f>
        <v>222212</v>
      </c>
      <c r="F6" s="205" t="s">
        <v>16</v>
      </c>
      <c r="G6" s="207" t="s">
        <v>107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6</v>
      </c>
      <c r="D7" s="13">
        <f t="shared" si="1"/>
        <v>4686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100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7</v>
      </c>
      <c r="D9" s="13">
        <f t="shared" si="1"/>
        <v>5131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101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7</v>
      </c>
      <c r="D13" s="48">
        <f t="shared" si="1"/>
        <v>2149</v>
      </c>
      <c r="F13" s="226" t="s">
        <v>36</v>
      </c>
      <c r="G13" s="190"/>
      <c r="H13" s="181">
        <f>D29</f>
        <v>236796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5</v>
      </c>
      <c r="D14" s="31">
        <f t="shared" si="1"/>
        <v>55</v>
      </c>
      <c r="F14" s="184" t="s">
        <v>38</v>
      </c>
      <c r="G14" s="185"/>
      <c r="H14" s="186">
        <f>D54</f>
        <v>38545.5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198250.5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1">
        <v>1518</v>
      </c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7"/>
      <c r="I19" s="237"/>
      <c r="J19" s="23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>
        <v>1</v>
      </c>
      <c r="D28" s="48">
        <f t="shared" si="1"/>
        <v>811</v>
      </c>
      <c r="F28" s="91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236796</v>
      </c>
      <c r="F29" s="98" t="s">
        <v>54</v>
      </c>
      <c r="G29" s="160"/>
      <c r="H29" s="120">
        <f>H15-H16-H17-H18-H19-H20-H22-H23-H24+H26+H27</f>
        <v>196732.5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42">
        <f>F34*G34</f>
        <v>166000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42">
        <f t="shared" ref="H35:H39" si="2">F35*G35</f>
        <v>30000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42">
        <f t="shared" si="2"/>
        <v>500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42">
        <f t="shared" si="2"/>
        <v>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>
        <v>4</v>
      </c>
      <c r="D42" s="12">
        <f>C42*2.25</f>
        <v>9</v>
      </c>
      <c r="F42" s="39" t="s">
        <v>78</v>
      </c>
      <c r="G42" s="142">
        <v>50</v>
      </c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88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89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>
        <v>12</v>
      </c>
      <c r="D49" s="12">
        <f>C49*42</f>
        <v>504</v>
      </c>
      <c r="F49" s="118" t="s">
        <v>85</v>
      </c>
      <c r="G49" s="120">
        <f>H34+H35+H36+H37+H38+H39+H40+H41+G42+H44+H45+H46</f>
        <v>196550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>
        <v>16</v>
      </c>
      <c r="D50" s="12">
        <f>C50*1.5</f>
        <v>24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131</v>
      </c>
      <c r="G51" s="227">
        <f>G49-H29</f>
        <v>-182.5</v>
      </c>
      <c r="H51" s="228"/>
      <c r="I51" s="228"/>
      <c r="J51" s="22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46143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530</v>
      </c>
      <c r="D6" s="13">
        <f t="shared" ref="D6:D28" si="1">C6*L6</f>
        <v>403330</v>
      </c>
      <c r="F6" s="205" t="s">
        <v>16</v>
      </c>
      <c r="G6" s="207" t="s">
        <v>117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7</v>
      </c>
      <c r="D7" s="13">
        <f t="shared" si="1"/>
        <v>5467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56</v>
      </c>
      <c r="D9" s="13">
        <f t="shared" si="1"/>
        <v>41048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19</v>
      </c>
      <c r="D13" s="48">
        <f t="shared" si="1"/>
        <v>5833</v>
      </c>
      <c r="F13" s="226" t="s">
        <v>36</v>
      </c>
      <c r="G13" s="190"/>
      <c r="H13" s="181">
        <f>D29</f>
        <v>456978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38</v>
      </c>
      <c r="G14" s="185"/>
      <c r="H14" s="186">
        <f>D54</f>
        <v>68901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388077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1">
        <f>978+1080+708</f>
        <v>2766</v>
      </c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8"/>
      <c r="I19" s="238"/>
      <c r="J19" s="23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1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456978</v>
      </c>
      <c r="F29" s="98" t="s">
        <v>54</v>
      </c>
      <c r="G29" s="160"/>
      <c r="H29" s="120">
        <f>H15-H16-H17-H18-H19-H20-H22-H23-H24+H26+H27</f>
        <v>385311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42">
        <f>F34*G34</f>
        <v>126000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42">
        <f>F35*G35</f>
        <v>31500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42">
        <f t="shared" si="2"/>
        <v>4600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42">
        <f t="shared" si="2"/>
        <v>150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>
        <v>94</v>
      </c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88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37">
        <v>105524</v>
      </c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37">
        <v>118301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>
        <v>2</v>
      </c>
      <c r="D49" s="12">
        <f>C49*42</f>
        <v>84</v>
      </c>
      <c r="F49" s="118" t="s">
        <v>85</v>
      </c>
      <c r="G49" s="120">
        <f>H34+H35+H36+H37+H38+H39+H40+H41+G42+H44+H45+H46</f>
        <v>386169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115</v>
      </c>
      <c r="G51" s="128">
        <f>G49-H29</f>
        <v>858</v>
      </c>
      <c r="H51" s="129"/>
      <c r="I51" s="129"/>
      <c r="J51" s="1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6"/>
      <c r="G28" s="61"/>
      <c r="H28" s="178"/>
      <c r="I28" s="179"/>
      <c r="J28" s="18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106</v>
      </c>
      <c r="G51" s="128">
        <f>G49-H29</f>
        <v>0</v>
      </c>
      <c r="H51" s="129"/>
      <c r="I51" s="129"/>
      <c r="J51" s="1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46146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99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120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108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1"/>
      <c r="I19" s="151"/>
      <c r="J19" s="1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71"/>
      <c r="G27" s="93"/>
      <c r="H27" s="235"/>
      <c r="I27" s="236"/>
      <c r="J27" s="23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6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H15-H16-H17-H18-H19-H20-H22-H23-H24+H26+H27+H28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109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46146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107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100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101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7"/>
      <c r="I19" s="237"/>
      <c r="J19" s="23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6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94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112</v>
      </c>
      <c r="G51" s="128">
        <f>G49-H29</f>
        <v>0</v>
      </c>
      <c r="H51" s="129"/>
      <c r="I51" s="129"/>
      <c r="J51" s="1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46146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117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8"/>
      <c r="I19" s="238"/>
      <c r="J19" s="23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6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115</v>
      </c>
      <c r="G51" s="128">
        <f>G49-H29</f>
        <v>0</v>
      </c>
      <c r="H51" s="129"/>
      <c r="I51" s="129"/>
      <c r="J51" s="1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6"/>
      <c r="G28" s="61"/>
      <c r="H28" s="178"/>
      <c r="I28" s="179"/>
      <c r="J28" s="18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106</v>
      </c>
      <c r="G51" s="128">
        <f>G49-H29</f>
        <v>0</v>
      </c>
      <c r="H51" s="129"/>
      <c r="I51" s="129"/>
      <c r="J51" s="1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46147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99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120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108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1"/>
      <c r="I19" s="151"/>
      <c r="J19" s="1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71"/>
      <c r="G27" s="93"/>
      <c r="H27" s="235"/>
      <c r="I27" s="236"/>
      <c r="J27" s="23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6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H15-H16-H17-H18-H19-H20-H22-H23-H24+H26+H27+H28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109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46147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107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100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101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7"/>
      <c r="I19" s="237"/>
      <c r="J19" s="23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6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94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112</v>
      </c>
      <c r="G51" s="128">
        <f>G49-H29</f>
        <v>0</v>
      </c>
      <c r="H51" s="129"/>
      <c r="I51" s="129"/>
      <c r="J51" s="1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46147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117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8"/>
      <c r="I19" s="238"/>
      <c r="J19" s="23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6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115</v>
      </c>
      <c r="G51" s="128">
        <f>G49-H29</f>
        <v>0</v>
      </c>
      <c r="H51" s="129"/>
      <c r="I51" s="129"/>
      <c r="J51" s="1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6"/>
      <c r="G28" s="61"/>
      <c r="H28" s="178"/>
      <c r="I28" s="179"/>
      <c r="J28" s="18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106</v>
      </c>
      <c r="G51" s="128">
        <f>G49-H29</f>
        <v>0</v>
      </c>
      <c r="H51" s="129"/>
      <c r="I51" s="129"/>
      <c r="J51" s="1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46148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99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120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108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1"/>
      <c r="I19" s="151"/>
      <c r="J19" s="1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71"/>
      <c r="G27" s="93"/>
      <c r="H27" s="235"/>
      <c r="I27" s="236"/>
      <c r="J27" s="23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6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H15-H16-H17-H18-H19-H20-H22-H23-H24+H26+H27+H28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109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46148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107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100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101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7"/>
      <c r="I19" s="237"/>
      <c r="J19" s="23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6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94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112</v>
      </c>
      <c r="G51" s="128">
        <f>G49-H29</f>
        <v>0</v>
      </c>
      <c r="H51" s="129"/>
      <c r="I51" s="129"/>
      <c r="J51" s="1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46148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117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8"/>
      <c r="I19" s="238"/>
      <c r="J19" s="23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6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115</v>
      </c>
      <c r="G51" s="128">
        <f>G49-H29</f>
        <v>0</v>
      </c>
      <c r="H51" s="129"/>
      <c r="I51" s="129"/>
      <c r="J51" s="1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6"/>
      <c r="G28" s="61"/>
      <c r="H28" s="178"/>
      <c r="I28" s="179"/>
      <c r="J28" s="18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106</v>
      </c>
      <c r="G51" s="128">
        <f>G49-H29</f>
        <v>0</v>
      </c>
      <c r="H51" s="129"/>
      <c r="I51" s="129"/>
      <c r="J51" s="1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46149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99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120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108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1"/>
      <c r="I19" s="151"/>
      <c r="J19" s="1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71"/>
      <c r="G27" s="93"/>
      <c r="H27" s="235"/>
      <c r="I27" s="236"/>
      <c r="J27" s="23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6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H15-H16-H17-H18-H19-H20-H22-H23-H24+H26+H27+H28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109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46149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107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100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101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7"/>
      <c r="I19" s="237"/>
      <c r="J19" s="23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6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94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112</v>
      </c>
      <c r="G51" s="128">
        <f>G49-H29</f>
        <v>0</v>
      </c>
      <c r="H51" s="129"/>
      <c r="I51" s="129"/>
      <c r="J51" s="1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46149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117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8"/>
      <c r="I19" s="238"/>
      <c r="J19" s="23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6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115</v>
      </c>
      <c r="G51" s="128">
        <f>G49-H29</f>
        <v>0</v>
      </c>
      <c r="H51" s="129"/>
      <c r="I51" s="129"/>
      <c r="J51" s="1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6"/>
      <c r="G28" s="61"/>
      <c r="H28" s="178"/>
      <c r="I28" s="179"/>
      <c r="J28" s="18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106</v>
      </c>
      <c r="G51" s="128">
        <f>G49-H29</f>
        <v>0</v>
      </c>
      <c r="H51" s="129"/>
      <c r="I51" s="129"/>
      <c r="J51" s="1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46150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99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120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108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1"/>
      <c r="I19" s="151"/>
      <c r="J19" s="1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71"/>
      <c r="G27" s="93"/>
      <c r="H27" s="235"/>
      <c r="I27" s="236"/>
      <c r="J27" s="23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6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H15-H16-H17-H18-H19-H20-H22-H23-H24+H26+H27+H28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109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46150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107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100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101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7"/>
      <c r="I19" s="237"/>
      <c r="J19" s="23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6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94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112</v>
      </c>
      <c r="G51" s="128">
        <f>G49-H29</f>
        <v>0</v>
      </c>
      <c r="H51" s="129"/>
      <c r="I51" s="129"/>
      <c r="J51" s="1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46150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117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8"/>
      <c r="I19" s="238"/>
      <c r="J19" s="23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6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115</v>
      </c>
      <c r="G51" s="128">
        <f>G49-H29</f>
        <v>0</v>
      </c>
      <c r="H51" s="129"/>
      <c r="I51" s="129"/>
      <c r="J51" s="1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6"/>
      <c r="G28" s="61"/>
      <c r="H28" s="178"/>
      <c r="I28" s="179"/>
      <c r="J28" s="18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106</v>
      </c>
      <c r="G51" s="128">
        <f>G49-H29</f>
        <v>0</v>
      </c>
      <c r="H51" s="129"/>
      <c r="I51" s="129"/>
      <c r="J51" s="1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46153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99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120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108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1"/>
      <c r="I19" s="151"/>
      <c r="J19" s="1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77"/>
      <c r="G23" s="79"/>
      <c r="H23" s="233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77"/>
      <c r="G24" s="79"/>
      <c r="H24" s="233"/>
      <c r="I24" s="234"/>
      <c r="J24" s="23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75"/>
      <c r="G26" s="65"/>
      <c r="H26" s="137"/>
      <c r="I26" s="137"/>
      <c r="J26" s="13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71"/>
      <c r="G27" s="93"/>
      <c r="H27" s="235"/>
      <c r="I27" s="236"/>
      <c r="J27" s="23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6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H15-H16-H17-H18-H19-H20-H22-H23-H24+H26+H27+H28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109</v>
      </c>
      <c r="G51" s="227">
        <f>G49-H29</f>
        <v>0</v>
      </c>
      <c r="H51" s="228"/>
      <c r="I51" s="228"/>
      <c r="J51" s="22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46153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107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100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101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7"/>
      <c r="I19" s="237"/>
      <c r="J19" s="23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6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94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112</v>
      </c>
      <c r="G51" s="128">
        <f>G49-H29</f>
        <v>0</v>
      </c>
      <c r="H51" s="129"/>
      <c r="I51" s="129"/>
      <c r="J51" s="1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46153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117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38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122</v>
      </c>
      <c r="C15" s="10"/>
      <c r="D15" s="31">
        <f t="shared" si="1"/>
        <v>0</v>
      </c>
      <c r="F15" s="189" t="s">
        <v>39</v>
      </c>
      <c r="G15" s="190"/>
      <c r="H15" s="191">
        <f>H13-H14</f>
        <v>0</v>
      </c>
      <c r="I15" s="192"/>
      <c r="J15" s="19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2"/>
      <c r="I18" s="162"/>
      <c r="J18" s="16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8"/>
      <c r="I19" s="238"/>
      <c r="J19" s="23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4" t="s">
        <v>13</v>
      </c>
      <c r="I21" s="165"/>
      <c r="J21" s="16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103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121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128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9" t="s">
        <v>13</v>
      </c>
      <c r="I25" s="170"/>
      <c r="J25" s="17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129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130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92</v>
      </c>
      <c r="C28" s="10"/>
      <c r="D28" s="48">
        <f t="shared" si="1"/>
        <v>0</v>
      </c>
      <c r="F28" s="96"/>
      <c r="G28" s="61"/>
      <c r="H28" s="178"/>
      <c r="I28" s="179"/>
      <c r="J28" s="18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54</v>
      </c>
      <c r="G29" s="160"/>
      <c r="H29" s="120">
        <f>H15-H16-H17-H18-H19-H20-H22-H23-H24+H26+H27</f>
        <v>0</v>
      </c>
      <c r="I29" s="121"/>
      <c r="J29" s="1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57</v>
      </c>
      <c r="B32" s="146"/>
      <c r="C32" s="146"/>
      <c r="D32" s="147"/>
      <c r="F32" s="148" t="s">
        <v>58</v>
      </c>
      <c r="G32" s="149"/>
      <c r="H32" s="149"/>
      <c r="I32" s="149"/>
      <c r="J32" s="15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8" t="s">
        <v>13</v>
      </c>
      <c r="I33" s="149"/>
      <c r="J33" s="15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67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69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67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69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67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69</v>
      </c>
      <c r="C42" s="11"/>
      <c r="D42" s="12">
        <f>C42*2.25</f>
        <v>0</v>
      </c>
      <c r="F42" s="39" t="s">
        <v>78</v>
      </c>
      <c r="G42" s="142"/>
      <c r="H42" s="143"/>
      <c r="I42" s="143"/>
      <c r="J42" s="14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80</v>
      </c>
      <c r="C43" s="11"/>
      <c r="D43" s="12"/>
      <c r="F43" s="59" t="s">
        <v>81</v>
      </c>
      <c r="G43" s="93" t="s">
        <v>82</v>
      </c>
      <c r="H43" s="134" t="s">
        <v>13</v>
      </c>
      <c r="I43" s="135"/>
      <c r="J43" s="1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3"/>
      <c r="B44" s="27" t="s">
        <v>65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67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69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65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67</v>
      </c>
      <c r="C49" s="33"/>
      <c r="D49" s="12">
        <f>C49*42</f>
        <v>0</v>
      </c>
      <c r="F49" s="118" t="s">
        <v>85</v>
      </c>
      <c r="G49" s="120">
        <f>H34+H35+H36+H37+H38+H39+H40+H41+G42+H44+H45+H46</f>
        <v>0</v>
      </c>
      <c r="H49" s="121"/>
      <c r="I49" s="121"/>
      <c r="J49" s="1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69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114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115</v>
      </c>
      <c r="G51" s="128">
        <f>G49-H29</f>
        <v>0</v>
      </c>
      <c r="H51" s="129"/>
      <c r="I51" s="129"/>
      <c r="J51" s="1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8" t="s">
        <v>89</v>
      </c>
      <c r="B54" s="99"/>
      <c r="C54" s="100"/>
      <c r="D54" s="10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90</v>
      </c>
      <c r="B58" s="107"/>
      <c r="C58" s="107"/>
      <c r="D58" s="108"/>
      <c r="F58" s="106" t="s">
        <v>91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(MAY 2026)</vt:lpstr>
      <vt:lpstr>(01)</vt:lpstr>
      <vt:lpstr>05,01 R1</vt:lpstr>
      <vt:lpstr>05,01 R2</vt:lpstr>
      <vt:lpstr>05,01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R2</vt:lpstr>
      <vt:lpstr>05,07 R3</vt:lpstr>
      <vt:lpstr>(8)</vt:lpstr>
      <vt:lpstr>05,08 R1</vt:lpstr>
      <vt:lpstr>05,08 R2</vt:lpstr>
      <vt:lpstr>05,08 R3</vt:lpstr>
      <vt:lpstr>(11)</vt:lpstr>
      <vt:lpstr>05,11 R1</vt:lpstr>
      <vt:lpstr>05,11 R2</vt:lpstr>
      <vt:lpstr>05,11 R3</vt:lpstr>
      <vt:lpstr>'(01)'!Print_Area</vt:lpstr>
      <vt:lpstr>'(11)'!Print_Area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R2'!Print_Area</vt:lpstr>
      <vt:lpstr>'05,07 R3'!Print_Area</vt:lpstr>
      <vt:lpstr>'05,08 R1'!Print_Area</vt:lpstr>
      <vt:lpstr>'05,08 R2'!Print_Area</vt:lpstr>
      <vt:lpstr>'05,08 R3'!Print_Area</vt:lpstr>
      <vt:lpstr>'05,11 R1'!Print_Area</vt:lpstr>
      <vt:lpstr>'05,11 R2'!Print_Area</vt:lpstr>
      <vt:lpstr>'05,11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2026-05-02T00:27:27Z</cp:lastPrinted>
  <dcterms:created xsi:type="dcterms:W3CDTF">2024-09-01T23:36:50Z</dcterms:created>
  <dcterms:modified xsi:type="dcterms:W3CDTF">2026-05-02T00:28:01Z</dcterms:modified>
</cp:coreProperties>
</file>