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BED64FAE-1982-47A3-ABCC-2197D5B4B38B}" xr6:coauthVersionLast="45" xr6:coauthVersionMax="47" xr10:uidLastSave="{00000000-0000-0000-0000-000000000000}"/>
  <bookViews>
    <workbookView xWindow="-120" yWindow="-120" windowWidth="29040" windowHeight="15840" firstSheet="86" activeTab="94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" sheetId="2124" r:id="rId100"/>
    <sheet name="05,30 R1" sheetId="2125" r:id="rId101"/>
    <sheet name="05,30 R2" sheetId="2126" r:id="rId102"/>
    <sheet name="05,30 R3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R1'!$A$1:$J$60</definedName>
    <definedName name="_xlnm.Print_Area" localSheetId="101">'05,30 R2'!$A$1:$J$60</definedName>
    <definedName name="_xlnm.Print_Area" localSheetId="102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19" l="1"/>
  <c r="C37" i="2119"/>
  <c r="C16" i="2119"/>
  <c r="C12" i="2117"/>
  <c r="L25" i="2115" l="1"/>
  <c r="H16" i="2111" l="1"/>
  <c r="C37" i="2111"/>
  <c r="C16" i="2111" l="1"/>
  <c r="C16" i="2110"/>
  <c r="D37" i="2109"/>
  <c r="C16" i="2109"/>
  <c r="H16" i="2105" l="1"/>
  <c r="G42" i="2128" l="1"/>
  <c r="L42" i="2128"/>
  <c r="G38" i="2128"/>
  <c r="G37" i="2128"/>
  <c r="G35" i="2128"/>
  <c r="G34" i="2128"/>
  <c r="C37" i="2128"/>
  <c r="C48" i="2128"/>
  <c r="H34" i="2128" l="1"/>
  <c r="H35" i="2128"/>
  <c r="H37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R5" i="2128"/>
  <c r="R4" i="2128"/>
  <c r="L38" i="2106"/>
  <c r="L37" i="2106"/>
  <c r="L35" i="2106"/>
  <c r="L34" i="2106"/>
  <c r="D54" i="2128" l="1"/>
  <c r="H14" i="2128" s="1"/>
  <c r="H15" i="2128" s="1"/>
  <c r="H29" i="2128" s="1"/>
  <c r="G49" i="2128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D54" i="2123"/>
  <c r="H14" i="2123" s="1"/>
  <c r="R52" i="2123"/>
  <c r="R51" i="2123"/>
  <c r="D50" i="2123"/>
  <c r="R49" i="2123"/>
  <c r="G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D54" i="2122" s="1"/>
  <c r="H14" i="2122" s="1"/>
  <c r="R34" i="2122"/>
  <c r="H34" i="2122"/>
  <c r="G49" i="2122" s="1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D54" i="2121" s="1"/>
  <c r="H14" i="2121" s="1"/>
  <c r="R35" i="2121"/>
  <c r="H35" i="2121"/>
  <c r="G49" i="2121" s="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/>
  <c r="R23" i="2121"/>
  <c r="L23" i="2121"/>
  <c r="D23" i="2121" s="1"/>
  <c r="R22" i="2121"/>
  <c r="L20" i="2121" s="1"/>
  <c r="D20" i="2121" s="1"/>
  <c r="L22" i="2121"/>
  <c r="D22" i="2121" s="1"/>
  <c r="R21" i="2121"/>
  <c r="L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D34" i="2119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D34" i="2117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R37" i="2115"/>
  <c r="H37" i="2115"/>
  <c r="D37" i="2115"/>
  <c r="R36" i="2115"/>
  <c r="H36" i="2115"/>
  <c r="D36" i="2115"/>
  <c r="R35" i="2115"/>
  <c r="L18" i="2115" s="1"/>
  <c r="D18" i="2115" s="1"/>
  <c r="H35" i="2115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D35" i="2114"/>
  <c r="R34" i="2114"/>
  <c r="H34" i="2114"/>
  <c r="D34" i="2114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D35" i="2113"/>
  <c r="R34" i="2113"/>
  <c r="H34" i="2113"/>
  <c r="D34" i="2113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D34" i="211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R34" i="2109"/>
  <c r="H34" i="2109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G49" i="2118" l="1"/>
  <c r="G49" i="2119"/>
  <c r="D54" i="2119"/>
  <c r="H14" i="2119" s="1"/>
  <c r="D54" i="2118"/>
  <c r="H14" i="2118" s="1"/>
  <c r="D54" i="2117"/>
  <c r="H14" i="2117" s="1"/>
  <c r="G49" i="2117"/>
  <c r="G49" i="2115"/>
  <c r="D54" i="2115"/>
  <c r="H14" i="2115" s="1"/>
  <c r="G49" i="2114"/>
  <c r="D54" i="2114"/>
  <c r="H14" i="2114" s="1"/>
  <c r="G49" i="2113"/>
  <c r="D54" i="2113"/>
  <c r="H14" i="2113" s="1"/>
  <c r="G49" i="2110"/>
  <c r="G49" i="2111"/>
  <c r="G49" i="2109"/>
  <c r="D54" i="2111"/>
  <c r="H14" i="2111" s="1"/>
  <c r="D54" i="2110"/>
  <c r="H14" i="2110" s="1"/>
  <c r="D54" i="2109"/>
  <c r="H14" i="2109" s="1"/>
  <c r="G51" i="2128"/>
  <c r="D29" i="2127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G51" i="2123"/>
  <c r="D29" i="2123"/>
  <c r="H13" i="2123" s="1"/>
  <c r="H15" i="2123" s="1"/>
  <c r="H29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 s="1"/>
  <c r="D29" i="2119"/>
  <c r="H13" i="2119" s="1"/>
  <c r="D29" i="2118"/>
  <c r="H13" i="2118" s="1"/>
  <c r="D29" i="2117"/>
  <c r="H13" i="2117" s="1"/>
  <c r="D29" i="2116"/>
  <c r="H13" i="2116" s="1"/>
  <c r="H15" i="2116" s="1"/>
  <c r="H29" i="2116" s="1"/>
  <c r="G51" i="2116" s="1"/>
  <c r="D29" i="2115"/>
  <c r="H13" i="2115" s="1"/>
  <c r="D29" i="2114"/>
  <c r="H13" i="2114" s="1"/>
  <c r="H15" i="2114" s="1"/>
  <c r="H29" i="2114" s="1"/>
  <c r="D29" i="2113"/>
  <c r="H13" i="2113" s="1"/>
  <c r="D29" i="2112"/>
  <c r="H13" i="2112" s="1"/>
  <c r="H15" i="2112" s="1"/>
  <c r="H29" i="2112" s="1"/>
  <c r="G51" i="2112"/>
  <c r="D29" i="2111"/>
  <c r="H13" i="2111" s="1"/>
  <c r="D29" i="2110"/>
  <c r="H13" i="2110" s="1"/>
  <c r="D29" i="2109"/>
  <c r="H13" i="2109" s="1"/>
  <c r="H15" i="2108"/>
  <c r="H29" i="2108" s="1"/>
  <c r="G51" i="2108" s="1"/>
  <c r="G42" i="2095"/>
  <c r="G35" i="2095"/>
  <c r="G34" i="2095"/>
  <c r="H29" i="2095"/>
  <c r="H15" i="2119" l="1"/>
  <c r="H29" i="2119" s="1"/>
  <c r="G51" i="2119" s="1"/>
  <c r="H15" i="2118"/>
  <c r="H29" i="2118" s="1"/>
  <c r="G51" i="2118" s="1"/>
  <c r="H15" i="2117"/>
  <c r="H29" i="2117" s="1"/>
  <c r="G51" i="2117" s="1"/>
  <c r="H15" i="2115"/>
  <c r="H29" i="2115" s="1"/>
  <c r="G51" i="2115" s="1"/>
  <c r="G51" i="2114"/>
  <c r="H15" i="2113"/>
  <c r="H29" i="2113" s="1"/>
  <c r="G51" i="2113" s="1"/>
  <c r="H15" i="2111"/>
  <c r="H29" i="2111" s="1"/>
  <c r="G51" i="2111" s="1"/>
  <c r="H15" i="2110"/>
  <c r="H29" i="2110" s="1"/>
  <c r="G51" i="2110" s="1"/>
  <c r="H15" i="2109"/>
  <c r="H29" i="2109" s="1"/>
  <c r="G51" i="2109" s="1"/>
  <c r="H16" i="210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49" i="2104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D29" i="2103"/>
  <c r="H13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16" i="2081"/>
  <c r="H15" i="2104" l="1"/>
  <c r="H29" i="2104" s="1"/>
  <c r="G51" i="2104" s="1"/>
  <c r="H15" i="2103"/>
  <c r="H29" i="2103" s="1"/>
  <c r="G51" i="2103" s="1"/>
  <c r="H15" i="2099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83" l="1"/>
  <c r="H14" i="2083" s="1"/>
  <c r="D54" i="2078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H15" i="2083" l="1"/>
  <c r="H29" i="2083" s="1"/>
  <c r="G51" i="2083" s="1"/>
  <c r="D29" i="2076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<sst xmlns="http://schemas.openxmlformats.org/spreadsheetml/2006/main" count="13839" uniqueCount="223">
  <si>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</si>
  <si>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</si>
  <si>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</si>
  <si>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</si>
  <si>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</si>
  <si>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</si>
  <si>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</si>
  <si>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</si>
  <si>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</si>
  <si>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</si>
  <si>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</si>
  <si>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</si>
  <si>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</si>
  <si>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</si>
  <si>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</si>
  <si>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</si>
  <si>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</si>
  <si>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</si>
  <si>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</si>
  <si>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</si>
  <si>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</si>
  <si>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</si>
  <si>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</si>
  <si>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</si>
  <si>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</si>
  <si>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</si>
  <si>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</si>
  <si>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</si>
  <si>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</si>
  <si>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</si>
  <si>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</si>
  <si>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</si>
  <si>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</si>
  <si>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</si>
  <si>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</si>
  <si>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</si>
  <si>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</si>
  <si>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</si>
  <si>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</si>
  <si>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</si>
  <si>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</si>
  <si>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</si>
  <si>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</si>
  <si>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</si>
  <si>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</si>
  <si>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</si>
  <si>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</si>
  <si>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</si>
  <si>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</si>
  <si>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</si>
  <si>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</si>
  <si>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</si>
  <si>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</si>
  <si>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</si>
  <si>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</si>
  <si>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</si>
  <si>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</si>
  <si>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</si>
  <si>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</si>
  <si>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</si>
  <si>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</si>
  <si>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</si>
  <si>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</si>
  <si>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</si>
  <si>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</si>
  <si>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</si>
  <si>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</si>
  <si>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</si>
  <si>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</si>
  <si>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</si>
  <si>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</si>
  <si>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</si>
  <si>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</si>
  <si>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</si>
  <si>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</si>
  <si>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</si>
  <si>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</si>
  <si>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</si>
  <si>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</si>
  <si>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</si>
  <si>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</si>
  <si>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</si>
  <si>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</si>
  <si>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</si>
  <si>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</si>
  <si>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</si>
  <si>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</si>
  <si>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</si>
  <si>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</si>
  <si>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</si>
  <si>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</si>
  <si>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</si>
  <si>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</si>
  <si>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</si>
  <si>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</si>
  <si>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</si>
  <si>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</si>
  <si>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</si>
  <si>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</si>
  <si>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</si>
  <si>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</si>
  <si>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</si>
  <si>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</si>
  <si>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</si>
  <si>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</si>
  <si>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</si>
  <si>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</si>
  <si>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</si>
  <si>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</si>
  <si>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</si>
  <si>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</si>
  <si>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</si>
  <si>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</si>
  <si>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</si>
  <si>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</si>
  <si>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</si>
  <si>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</si>
  <si>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</si>
  <si>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</si>
  <si>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</si>
  <si>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</si>
  <si>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</si>
  <si>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</si>
  <si>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</si>
  <si>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</si>
  <si>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</si>
  <si>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</si>
  <si>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</si>
  <si>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</si>
  <si>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</si>
  <si>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</si>
  <si>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</si>
  <si>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</si>
  <si>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</si>
  <si>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</si>
  <si>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</si>
  <si>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</si>
  <si>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</si>
  <si>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</si>
  <si>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</si>
  <si>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</si>
  <si>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</si>
  <si>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</si>
  <si>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</si>
  <si>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</si>
  <si>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</si>
  <si>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</si>
  <si>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</si>
  <si>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</si>
  <si>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</si>
  <si>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</si>
  <si>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</si>
  <si>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</si>
  <si>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</si>
  <si>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</si>
  <si>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</si>
  <si>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</si>
  <si>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</si>
  <si>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</si>
  <si>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</si>
  <si>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</si>
  <si>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</si>
  <si>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</si>
  <si>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</si>
  <si>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</si>
  <si>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</si>
  <si>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</si>
  <si>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</si>
  <si>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</si>
  <si>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</si>
  <si>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</si>
  <si>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</si>
  <si>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</si>
  <si>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</si>
  <si>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</si>
  <si>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</si>
  <si>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</si>
  <si>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</si>
  <si>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</si>
  <si>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</si>
  <si>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</si>
  <si>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</si>
  <si>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</si>
  <si>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</si>
  <si>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</si>
  <si>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</si>
  <si>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</si>
  <si>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</si>
  <si>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</si>
  <si>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</si>
  <si>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</si>
  <si>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</si>
  <si>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</si>
  <si>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</si>
  <si>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</si>
  <si>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</si>
  <si>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</si>
  <si>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</si>
  <si>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</si>
  <si>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</si>
  <si>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</si>
  <si>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</si>
  <si>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</si>
  <si>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</si>
  <si>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</si>
  <si>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</si>
  <si>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</si>
  <si>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</si>
  <si>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</si>
  <si>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</si>
  <si>
    <t>143520</t>
  </si>
  <si>
    <t>43077</t>
  </si>
  <si>
    <t>5089422</t>
  </si>
  <si>
    <t>2000002886</t>
  </si>
  <si>
    <t>PODIOTAN, AIR JOHN</t>
  </si>
  <si>
    <t>149419</t>
  </si>
  <si>
    <t xml:space="preserve">                           AIR JOHN PODIOTAN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</si>
  <si>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</si>
  <si>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56825</t>
  </si>
  <si>
    <t>2120013067</t>
  </si>
  <si>
    <t>PP500C</t>
  </si>
  <si>
    <t>2000008589</t>
  </si>
  <si>
    <t>2000006065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</si>
</sst>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49</xdr:row>
      <xdr:rowOff>23780</xdr:rowOff>
    </xdr:from>
    <xdr:to>
      <xdr:col>3</xdr:col>
      <xdr:colOff>781051</xdr:colOff>
      <xdr:row>63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08DD9F-F183-4A93-AFEC-69561A763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96405"/>
          <a:ext cx="2019300" cy="269084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704</v>
      </c>
      <c r="D6" s="13">
        <f t="shared" ref="D6:D28" si="1">C6*L6</f>
        <v>535744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545651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91" t="s">
        <v>38</v>
      </c>
      <c r="G14" s="192"/>
      <c r="H14" s="193">
        <f>D54</f>
        <v>100678.5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444972.5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3240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545651</v>
      </c>
      <c r="F29" s="105" t="s">
        <v>54</v>
      </c>
      <c r="G29" s="167"/>
      <c r="H29" s="127">
        <f>H15-H16-H17-H18-H19-H20-H22-H23-H24+H26+H27+H28</f>
        <v>441732.5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49">
        <f t="shared" ref="H34:H39" si="2">F34*G34</f>
        <v>315000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49">
        <f t="shared" si="2"/>
        <v>126000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86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441756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135</v>
      </c>
      <c r="G51" s="236">
        <f>G49-H29</f>
        <v>23.5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292</v>
      </c>
      <c r="D6" s="13">
        <f t="shared" ref="D6:D28" si="1">C6*L6</f>
        <v>222212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236796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38</v>
      </c>
      <c r="G14" s="192"/>
      <c r="H14" s="193">
        <f>D54</f>
        <v>38545.5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198250.5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1518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1</v>
      </c>
      <c r="D28" s="48">
        <f t="shared" si="1"/>
        <v>811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236796</v>
      </c>
      <c r="F29" s="105" t="s">
        <v>54</v>
      </c>
      <c r="G29" s="167"/>
      <c r="H29" s="127">
        <f>H15-H16-H17-H18-H19-H20-H22-H23-H24+H26+H27</f>
        <v>196732.5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49">
        <f>F34*G34</f>
        <v>166000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49">
        <f t="shared" ref="H35:H39" si="2">F35*G35</f>
        <v>30000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>
        <v>50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12</v>
      </c>
      <c r="D49" s="12">
        <f>C49*42</f>
        <v>504</v>
      </c>
      <c r="F49" s="125" t="s">
        <v>85</v>
      </c>
      <c r="G49" s="127">
        <f>H34+H35+H36+H37+H38+H39+H40+H41+G42+H44+H45+H46</f>
        <v>196550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16</v>
      </c>
      <c r="D50" s="12">
        <f>C50*1.5</f>
        <v>24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-182.5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530</v>
      </c>
      <c r="D6" s="13">
        <f t="shared" ref="D6:D28" si="1">C6*L6</f>
        <v>403330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56</v>
      </c>
      <c r="D9" s="13">
        <f t="shared" si="1"/>
        <v>41048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456978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68901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388077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f>978+1080+708</f>
        <v>2766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456978</v>
      </c>
      <c r="F29" s="105" t="s">
        <v>54</v>
      </c>
      <c r="G29" s="167"/>
      <c r="H29" s="127">
        <f>H15-H16-H17-H18-H19-H20-H22-H23-H24+H26+H27</f>
        <v>385311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49">
        <f>F35*G35</f>
        <v>31500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49">
        <f t="shared" si="2"/>
        <v>4600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94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44">
        <v>105524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44">
        <v>118301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386169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858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786</v>
      </c>
      <c r="D6" s="13">
        <f t="shared" ref="D6:D28" si="1">C6*L6</f>
        <v>598146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15+2</f>
        <v>17</v>
      </c>
      <c r="D12" s="48">
        <f t="shared" si="1"/>
        <v>16864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233" t="s">
        <v>36</v>
      </c>
      <c r="G13" s="197"/>
      <c r="H13" s="188">
        <f>D29</f>
        <v>635011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84996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96" t="s">
        <v>39</v>
      </c>
      <c r="G15" s="197"/>
      <c r="H15" s="198">
        <f>H13-H14</f>
        <v>550015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8">
        <f>2694+300+522</f>
        <v>3516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635011</v>
      </c>
      <c r="F29" s="105" t="s">
        <v>54</v>
      </c>
      <c r="G29" s="167"/>
      <c r="H29" s="127">
        <f>H15-H16-H17-H18-H19-H20-H22-H23-H24+H26+H27</f>
        <v>546499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49">
        <f>F34*G34</f>
        <v>182000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49">
        <f>F35*G35</f>
        <v>29500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49">
        <f t="shared" si="2"/>
        <v>1400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44">
        <v>296674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44">
        <v>32658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44">
        <v>4250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14</v>
      </c>
      <c r="D49" s="12">
        <f>C49*42</f>
        <v>588</v>
      </c>
      <c r="F49" s="125" t="s">
        <v>85</v>
      </c>
      <c r="G49" s="127">
        <f>H34+H35+H36+H37+H38+H39+H40+H41+G42+H44+H45+H46</f>
        <v>546483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46">
        <f>G49-H29</f>
        <v>-16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290296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91" t="s">
        <v>38</v>
      </c>
      <c r="G14" s="192"/>
      <c r="H14" s="193">
        <f>D54</f>
        <v>42017.25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248278.75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290296</v>
      </c>
      <c r="F29" s="105" t="s">
        <v>54</v>
      </c>
      <c r="G29" s="167"/>
      <c r="H29" s="127">
        <f>H15-H16-H17-H18-H19-H20-H22-H23-H24+H26+H27+H28</f>
        <v>248078.75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49">
        <f t="shared" ref="H34:H39" si="2">F34*G34</f>
        <v>131000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49">
        <f t="shared" si="2"/>
        <v>37000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49">
        <f t="shared" si="2"/>
        <v>4700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9">
        <v>45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44">
        <v>65000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4">
        <v>2600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44">
        <v>9750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250145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142</v>
      </c>
      <c r="G51" s="236">
        <f>G49-H29</f>
        <v>2066.25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21</v>
      </c>
      <c r="D9" s="13">
        <f t="shared" si="1"/>
        <v>15393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285008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22</v>
      </c>
      <c r="D14" s="31">
        <f t="shared" si="1"/>
        <v>242</v>
      </c>
      <c r="F14" s="191" t="s">
        <v>38</v>
      </c>
      <c r="G14" s="192"/>
      <c r="H14" s="193">
        <f>D54</f>
        <v>42628.5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242379.5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285008</v>
      </c>
      <c r="F29" s="105" t="s">
        <v>54</v>
      </c>
      <c r="G29" s="167"/>
      <c r="H29" s="127">
        <f>H15-H16-H17-H18-H19-H20-H22-H23-H24+H26+H27</f>
        <v>241083.5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49">
        <f>F34*G34</f>
        <v>221000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49">
        <f t="shared" ref="H35:H39" si="2">F35*G35</f>
        <v>18500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239857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-1226.5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484</v>
      </c>
      <c r="D6" s="13">
        <f t="shared" ref="D6:D28" si="1">C6*L6</f>
        <v>368324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426537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63285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363252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1296+300+732</f>
        <v>2328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426537</v>
      </c>
      <c r="F29" s="105" t="s">
        <v>54</v>
      </c>
      <c r="G29" s="167"/>
      <c r="H29" s="127">
        <f>H15-H16-H17-H18-H19-H20-H22-H23-H24+H26+H27</f>
        <v>360874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49">
        <f>F34*G34</f>
        <v>177000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9">
        <f>F35*G35</f>
        <v>100500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49">
        <f t="shared" si="2"/>
        <v>5100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49">
        <f t="shared" si="2"/>
        <v>600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101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44">
        <v>79565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362866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13</v>
      </c>
      <c r="D50" s="12">
        <f>C50*1.5</f>
        <v>19.5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1992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458</v>
      </c>
      <c r="D6" s="13">
        <f t="shared" ref="D6:D28" si="1">C6*L6</f>
        <v>348538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7</v>
      </c>
      <c r="D10" s="13">
        <f t="shared" si="1"/>
        <v>7224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6+5+2</f>
        <v>13</v>
      </c>
      <c r="D12" s="48">
        <f t="shared" si="1"/>
        <v>12896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470610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38</v>
      </c>
      <c r="G14" s="192"/>
      <c r="H14" s="193">
        <f>D54</f>
        <v>69966.75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400643.25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8">
        <v>2682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74">
        <v>92804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44">
        <v>83980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8</v>
      </c>
      <c r="D28" s="48">
        <f t="shared" si="1"/>
        <v>6488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470610</v>
      </c>
      <c r="F29" s="105" t="s">
        <v>54</v>
      </c>
      <c r="G29" s="167"/>
      <c r="H29" s="127">
        <f>H15-H16-H17-H18-H19-H20-H22-H23-H24+H26+H27+H28</f>
        <v>388937.25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49">
        <f t="shared" ref="H34:H39" si="2">F34*G34</f>
        <v>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49">
        <f t="shared" si="2"/>
        <v>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44">
        <v>294438.25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44">
        <v>83980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17</v>
      </c>
      <c r="D46" s="12">
        <f>C46*1.5</f>
        <v>25.5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385418.25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-3519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414</v>
      </c>
      <c r="D6" s="13">
        <f t="shared" ref="D6:D28" si="1">C6*L6</f>
        <v>315054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59</v>
      </c>
      <c r="D9" s="13">
        <f t="shared" si="1"/>
        <v>43247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371226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57882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313344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2676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371226</v>
      </c>
      <c r="F29" s="105" t="s">
        <v>54</v>
      </c>
      <c r="G29" s="167"/>
      <c r="H29" s="127">
        <f>H15-H16-H17-H18-H19-H20-H22-H23-H24+H26+H27</f>
        <v>310668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49">
        <f>F34*G34</f>
        <v>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49">
        <f t="shared" ref="H35:H39" si="2">F35*G35</f>
        <v>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44">
        <v>159300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44">
        <v>128857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4</v>
      </c>
      <c r="D49" s="12">
        <f>C49*42</f>
        <v>168</v>
      </c>
      <c r="F49" s="125" t="s">
        <v>85</v>
      </c>
      <c r="G49" s="127">
        <f>H34+H35+H36+H37+H38+H39+H40+H41+G42+H44+H45+H46</f>
        <v>311457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789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542</v>
      </c>
      <c r="D6" s="13">
        <f t="shared" ref="D6:D28" si="1">C6*L6</f>
        <v>412462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72</v>
      </c>
      <c r="D9" s="13">
        <f t="shared" si="1"/>
        <v>52776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233" t="s">
        <v>36</v>
      </c>
      <c r="G13" s="197"/>
      <c r="H13" s="188">
        <f>D29</f>
        <v>518703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77449.5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5+5</f>
        <v>10</v>
      </c>
      <c r="D15" s="31">
        <f t="shared" si="1"/>
        <v>6200</v>
      </c>
      <c r="F15" s="196" t="s">
        <v>39</v>
      </c>
      <c r="G15" s="197"/>
      <c r="H15" s="198">
        <f>H13-H14</f>
        <v>441253.5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8">
        <f>612+1656+1092</f>
        <v>3360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518703</v>
      </c>
      <c r="F29" s="105" t="s">
        <v>54</v>
      </c>
      <c r="G29" s="167"/>
      <c r="H29" s="127">
        <f>H15-H16-H17-H18-H19-H20-H22-H23-H24+H26+H27</f>
        <v>437893.5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49">
        <f>F34*G34</f>
        <v>61000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9">
        <f>F35*G35</f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44">
        <v>61578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44">
        <v>193355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44">
        <v>118134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437975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253</v>
      </c>
      <c r="D6" s="13">
        <f t="shared" ref="D6:D28" si="1">C6*L6</f>
        <v>192533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67</v>
      </c>
      <c r="D8" s="13">
        <f t="shared" si="1"/>
        <v>73231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4</v>
      </c>
      <c r="D10" s="13">
        <f t="shared" si="1"/>
        <v>4128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302093.91666666669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91" t="s">
        <v>38</v>
      </c>
      <c r="G14" s="192"/>
      <c r="H14" s="193">
        <f>D54</f>
        <v>40819.5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261274.41666666669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74">
        <v>70631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161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302093.91666666669</v>
      </c>
      <c r="F29" s="105" t="s">
        <v>54</v>
      </c>
      <c r="G29" s="167"/>
      <c r="H29" s="127">
        <f>H15-H16-H17-H18-H19-H20-H22-H23-H24+H26+H27+H28</f>
        <v>190643.41666666669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49">
        <f t="shared" ref="H34:H39" si="2">F34*G34</f>
        <v>138000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49">
        <f t="shared" si="2"/>
        <v>36000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49">
        <f t="shared" si="2"/>
        <v>700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117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44">
        <v>10000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7230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192287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1643.5833333333139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368</v>
      </c>
      <c r="D6" s="13">
        <f t="shared" ref="D6:D28" si="1">C6*L6</f>
        <v>280048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54</v>
      </c>
      <c r="D9" s="13">
        <f t="shared" si="1"/>
        <v>39582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233" t="s">
        <v>36</v>
      </c>
      <c r="G13" s="197"/>
      <c r="H13" s="188">
        <f>D29</f>
        <v>331431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48594.75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282836.25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331431</v>
      </c>
      <c r="F29" s="105" t="s">
        <v>54</v>
      </c>
      <c r="G29" s="167"/>
      <c r="H29" s="127">
        <f>H15-H16-H17-H18-H19-H20-H22-H23-H24+H26+H27</f>
        <v>280760.25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49">
        <f>F34*G34</f>
        <v>227000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49">
        <f t="shared" ref="H35:H39" si="2">F35*G35</f>
        <v>53500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280778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17.75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331</v>
      </c>
      <c r="D6" s="13">
        <f t="shared" ref="D6:D28" si="1">C6*L6</f>
        <v>251891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6</v>
      </c>
      <c r="D10" s="13">
        <f t="shared" si="1"/>
        <v>6192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324737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91" t="s">
        <v>38</v>
      </c>
      <c r="G14" s="192"/>
      <c r="H14" s="193">
        <f>D54</f>
        <v>48459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276278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8">
        <f>690+612+888</f>
        <v>2190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324737</v>
      </c>
      <c r="F29" s="105" t="s">
        <v>54</v>
      </c>
      <c r="G29" s="167"/>
      <c r="H29" s="127">
        <f>H15-H16-H17-H18-H19-H20-H22-H23-H24+H26+H27</f>
        <v>274038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44">
        <v>79238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44">
        <v>68148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273988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-50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46149</v>
      </c>
      <c r="J4" s="209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467</v>
      </c>
      <c r="D6" s="13">
        <f t="shared" ref="D6:D28" si="1">C6*L6</f>
        <v>355387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48</v>
      </c>
      <c r="D7" s="13">
        <f t="shared" si="1"/>
        <v>37488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10995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405449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>C14*L14</f>
        <v>44</v>
      </c>
      <c r="F14" s="191" t="s">
        <v>38</v>
      </c>
      <c r="G14" s="192"/>
      <c r="H14" s="193">
        <f>D54</f>
        <v>70817.25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334631.75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405449</v>
      </c>
      <c r="F29" s="105" t="s">
        <v>54</v>
      </c>
      <c r="G29" s="167"/>
      <c r="H29" s="127">
        <f>H15-H16-H17-H18-H19-H20-H22-H23-H24+H26+H27+H28</f>
        <v>331751.75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49">
        <f t="shared" ref="H34:H39" si="2">F34*G34</f>
        <v>11000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49">
        <f t="shared" si="2"/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103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44">
        <v>306035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10505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69</v>
      </c>
      <c r="D49" s="12">
        <f>C49*42</f>
        <v>2898</v>
      </c>
      <c r="F49" s="125" t="s">
        <v>85</v>
      </c>
      <c r="G49" s="127">
        <f>H34+H35+H36+H37+H38+H39+H40+H41+G42+H44+H45+H46</f>
        <v>331463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-288.75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44">
        <v>70631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70631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49">
        <f t="shared" ref="H34:H39" si="2">F34*G34</f>
        <v>70000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70631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283</v>
      </c>
      <c r="D6" s="13">
        <f t="shared" ref="D6:D28" si="1">C6*L6</f>
        <v>215363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23</v>
      </c>
      <c r="D9" s="13">
        <f t="shared" si="1"/>
        <v>16859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242941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33151.5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209789.5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242941</v>
      </c>
      <c r="F29" s="105" t="s">
        <v>54</v>
      </c>
      <c r="G29" s="167"/>
      <c r="H29" s="127">
        <f>H15-H16-H17-H18-H19-H20-H22-H23-H24+H26+H27</f>
        <v>209789.5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49">
        <f>F34*G34</f>
        <v>179000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49">
        <f t="shared" ref="H35:H39" si="2">F35*G35</f>
        <v>22000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49">
        <f t="shared" si="2"/>
        <v>4500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295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205795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-3994.5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399</v>
      </c>
      <c r="D6" s="13">
        <f t="shared" ref="D6:D28" si="1">C6*L6</f>
        <v>303639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42</v>
      </c>
      <c r="D7" s="13">
        <f t="shared" si="1"/>
        <v>32802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17</v>
      </c>
      <c r="D13" s="48">
        <f t="shared" si="1"/>
        <v>5219</v>
      </c>
      <c r="F13" s="233" t="s">
        <v>36</v>
      </c>
      <c r="G13" s="197"/>
      <c r="H13" s="188">
        <f>D29</f>
        <v>355053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19</v>
      </c>
      <c r="D14" s="31">
        <f t="shared" si="1"/>
        <v>209</v>
      </c>
      <c r="F14" s="191" t="s">
        <v>38</v>
      </c>
      <c r="G14" s="192"/>
      <c r="H14" s="193">
        <f>D54</f>
        <v>51516.75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3+3</f>
        <v>6</v>
      </c>
      <c r="D15" s="31">
        <f t="shared" si="1"/>
        <v>3720</v>
      </c>
      <c r="F15" s="196" t="s">
        <v>39</v>
      </c>
      <c r="G15" s="197"/>
      <c r="H15" s="198">
        <f>H13-H14</f>
        <v>303536.25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1044+648+336</f>
        <v>2028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355053</v>
      </c>
      <c r="F29" s="105" t="s">
        <v>54</v>
      </c>
      <c r="G29" s="167"/>
      <c r="H29" s="127">
        <f>H15-H16-H17-H18-H19-H20-H22-H23-H24+H26+H27</f>
        <v>301508.25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49">
        <f>F34*G34</f>
        <v>90000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9">
        <f>F35*G35</f>
        <v>19000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49">
        <f t="shared" si="2"/>
        <v>4900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44">
        <v>116753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44">
        <v>70468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9</v>
      </c>
      <c r="D46" s="12">
        <f>C46*1.5</f>
        <v>13.5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301499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12</v>
      </c>
      <c r="D50" s="12">
        <f>C50*1.5</f>
        <v>18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-9.25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257721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9</v>
      </c>
      <c r="D14" s="31">
        <f t="shared" si="1"/>
        <v>99</v>
      </c>
      <c r="F14" s="191" t="s">
        <v>38</v>
      </c>
      <c r="G14" s="192"/>
      <c r="H14" s="193">
        <f>D54</f>
        <v>24684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233037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8">
        <v>1140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257721</v>
      </c>
      <c r="F29" s="105" t="s">
        <v>54</v>
      </c>
      <c r="G29" s="167"/>
      <c r="H29" s="127">
        <f>H15-H16-H17-H18-H19-H20-H22-H23-H24+H26+H27</f>
        <v>231897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9">
        <f>F34*G34</f>
        <v>48000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49">
        <f t="shared" ref="H35:H39" si="2">F35*G35</f>
        <v>42000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24</v>
      </c>
      <c r="D42" s="12">
        <f>C42*2.25</f>
        <v>54</v>
      </c>
      <c r="F42" s="39" t="s">
        <v>78</v>
      </c>
      <c r="G42" s="149">
        <v>30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44">
        <v>144012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6</v>
      </c>
      <c r="D46" s="12">
        <f>C46*1.5</f>
        <v>9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234242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2345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471</v>
      </c>
      <c r="D6" s="13">
        <f t="shared" ref="D6:D28" si="1">C6*L6</f>
        <v>358431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411243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91" t="s">
        <v>38</v>
      </c>
      <c r="G14" s="192"/>
      <c r="H14" s="193">
        <f>D54</f>
        <v>62579.25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348663.75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888+300+1356</f>
        <v>2544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411243</v>
      </c>
      <c r="F29" s="105" t="s">
        <v>54</v>
      </c>
      <c r="G29" s="167"/>
      <c r="H29" s="127">
        <f>H15-H16-H17-H18-H19-H20-H22-H23-H24+H26+H27</f>
        <v>346119.75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49">
        <f>F34*G34</f>
        <v>202000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49">
        <f>F35*G35</f>
        <v>30000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49">
        <f t="shared" si="2"/>
        <v>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84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44">
        <v>95996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76"/>
      <c r="H45" s="144">
        <v>18000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34</v>
      </c>
      <c r="D49" s="12">
        <f>C49*42</f>
        <v>1428</v>
      </c>
      <c r="F49" s="125" t="s">
        <v>85</v>
      </c>
      <c r="G49" s="127">
        <f>H34+H35+H36+H37+H38+H39+H40+H41+G42+H44+H45+H46</f>
        <v>346730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610.25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365</v>
      </c>
      <c r="D6" s="13">
        <f t="shared" ref="D6:D28" si="1">C6*L6</f>
        <v>277765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30</v>
      </c>
      <c r="D9" s="13">
        <f t="shared" si="1"/>
        <v>21990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</f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233" t="s">
        <v>36</v>
      </c>
      <c r="G13" s="197"/>
      <c r="H13" s="188">
        <f>D29</f>
        <v>312686.83333333331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91" t="s">
        <v>38</v>
      </c>
      <c r="G14" s="192"/>
      <c r="H14" s="193">
        <f>D54</f>
        <v>42262.5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270424.33333333331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312686.83333333331</v>
      </c>
      <c r="F29" s="105" t="s">
        <v>54</v>
      </c>
      <c r="G29" s="167"/>
      <c r="H29" s="127">
        <f>H15-H16-H17-H18-H19-H20-H22-H23-H24+H26+H27+H28</f>
        <v>270424.33333333331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49">
        <f t="shared" ref="H34:H39" si="2">F34*G34</f>
        <v>136000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49">
        <f t="shared" si="2"/>
        <v>54000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49">
        <f t="shared" si="2"/>
        <v>6800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11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44">
        <v>64500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9016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270377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164</v>
      </c>
      <c r="G51" s="246">
        <f>G49-H29</f>
        <v>-47.333333333313931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375</v>
      </c>
      <c r="D6" s="13">
        <f t="shared" ref="D6:D28" si="1">C6*L6</f>
        <v>285375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130</v>
      </c>
      <c r="D9" s="13">
        <f t="shared" si="1"/>
        <v>95290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385347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38</v>
      </c>
      <c r="G14" s="192"/>
      <c r="H14" s="193">
        <f>D54</f>
        <v>57529.5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327817.5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385347</v>
      </c>
      <c r="F29" s="105" t="s">
        <v>54</v>
      </c>
      <c r="G29" s="167"/>
      <c r="H29" s="127">
        <f>H15-H16-H17-H18-H19-H20-H22-H23-H24+H26+H27</f>
        <v>324937.5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49">
        <f>F34*G34</f>
        <v>203000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49">
        <f t="shared" ref="H35:H39" si="2">F35*G35</f>
        <v>70500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49">
        <f t="shared" si="2"/>
        <v>31800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49">
        <f t="shared" si="2"/>
        <v>20200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</v>
      </c>
      <c r="D49" s="12">
        <f>C49*42</f>
        <v>126</v>
      </c>
      <c r="F49" s="125" t="s">
        <v>85</v>
      </c>
      <c r="G49" s="127">
        <f>H34+H35+H36+H37+H38+H39+H40+H41+G42+H44+H45+H46</f>
        <v>325700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762.5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295</v>
      </c>
      <c r="D6" s="13">
        <f t="shared" ref="D6:D28" si="1">C6*L6</f>
        <v>224495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95</v>
      </c>
      <c r="D9" s="13">
        <f t="shared" si="1"/>
        <v>69635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306343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91" t="s">
        <v>38</v>
      </c>
      <c r="G14" s="192"/>
      <c r="H14" s="193">
        <f>D54</f>
        <v>51729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254614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8">
        <f>300+612+420+300</f>
        <v>1632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306343</v>
      </c>
      <c r="F29" s="105" t="s">
        <v>54</v>
      </c>
      <c r="G29" s="167"/>
      <c r="H29" s="127">
        <f>H15-H16-H17-H18-H19-H20-H22-H23-H24+H26+H27</f>
        <v>252932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9">
        <f>F34*G34</f>
        <v>88000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49">
        <f>F35*G35</f>
        <v>51000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49">
        <f t="shared" si="2"/>
        <v>4700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131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44">
        <v>65537.5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44">
        <v>45415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255583.5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2651.5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352</v>
      </c>
      <c r="D6" s="13">
        <f t="shared" ref="D6:D28" si="1">C6*L6</f>
        <v>267872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</v>
      </c>
      <c r="D8" s="13">
        <f t="shared" si="1"/>
        <v>5465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</v>
      </c>
      <c r="D9" s="13">
        <f t="shared" si="1"/>
        <v>10262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302421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42444.75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259976.25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2094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102.46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302421</v>
      </c>
      <c r="F29" s="105" t="s">
        <v>54</v>
      </c>
      <c r="G29" s="167"/>
      <c r="H29" s="127">
        <f>H15-H16-H17-H18-H19-H20-H22-H23-H24+H26+H27+H28</f>
        <v>257779.79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49">
        <f t="shared" ref="H34:H39" si="2">F34*G34</f>
        <v>25000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44">
        <v>231190.25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257590.25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-189.54000000000815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310</v>
      </c>
      <c r="D6" s="13">
        <f t="shared" ref="D6:D28" si="1">C6*L6</f>
        <v>235910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60</v>
      </c>
      <c r="D9" s="13">
        <f t="shared" si="1"/>
        <v>43980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233" t="s">
        <v>36</v>
      </c>
      <c r="G13" s="197"/>
      <c r="H13" s="188">
        <f>D29</f>
        <v>288065.5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38</v>
      </c>
      <c r="G14" s="192"/>
      <c r="H14" s="193">
        <f>D54</f>
        <v>41509.5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246556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1446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12</v>
      </c>
      <c r="D23" s="48">
        <f t="shared" si="1"/>
        <v>474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288065.5</v>
      </c>
      <c r="F29" s="105" t="s">
        <v>54</v>
      </c>
      <c r="G29" s="167"/>
      <c r="H29" s="127">
        <f>H15-H16-H17-H18-H19-H20-H22-H23-H24+H26+H27</f>
        <v>245110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49">
        <f>F34*G34</f>
        <v>84000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9">
        <f t="shared" ref="H35:H39" si="2">F35*G35</f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87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44">
        <v>157141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244228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169</v>
      </c>
      <c r="G51" s="246">
        <f>G49-H29</f>
        <v>-882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527</v>
      </c>
      <c r="D6" s="13">
        <f t="shared" ref="D6:D28" si="1">C6*L6</f>
        <v>401047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19</v>
      </c>
      <c r="D7" s="13">
        <f t="shared" si="1"/>
        <v>14839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69</v>
      </c>
      <c r="D9" s="13">
        <f t="shared" si="1"/>
        <v>50577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233" t="s">
        <v>36</v>
      </c>
      <c r="G13" s="197"/>
      <c r="H13" s="188">
        <f>D29</f>
        <v>485304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38</v>
      </c>
      <c r="G14" s="192"/>
      <c r="H14" s="193">
        <f>D54</f>
        <v>77406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10</v>
      </c>
      <c r="D15" s="31">
        <f t="shared" si="1"/>
        <v>6200</v>
      </c>
      <c r="F15" s="196" t="s">
        <v>39</v>
      </c>
      <c r="G15" s="197"/>
      <c r="H15" s="198">
        <f>H13-H14</f>
        <v>407898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f>600+2682+384</f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485304</v>
      </c>
      <c r="F29" s="105" t="s">
        <v>54</v>
      </c>
      <c r="G29" s="167"/>
      <c r="H29" s="127">
        <f>H15-H16-H17-H18-H19-H20-H22-H23-H24+H26+H27</f>
        <v>404232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49">
        <f>F34*G34</f>
        <v>46000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44">
        <v>60416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44">
        <v>295595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19</v>
      </c>
      <c r="D46" s="12">
        <f>C46*1.5</f>
        <v>28.5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402716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172</v>
      </c>
      <c r="G51" s="246">
        <f>G49-H29</f>
        <v>-1516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321</v>
      </c>
      <c r="D6" s="13">
        <f t="shared" ref="D6:D28" si="1">C6*L6</f>
        <v>244281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62</v>
      </c>
      <c r="D8" s="13">
        <f t="shared" si="1"/>
        <v>67766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346170.83333333331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46051.5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300119.33333333331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74">
        <v>65678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346170.83333333331</v>
      </c>
      <c r="F29" s="105" t="s">
        <v>54</v>
      </c>
      <c r="G29" s="167"/>
      <c r="H29" s="127">
        <f>H15-H16-H17-H18-H19-H20-H22-H23-H24+H26+H27+H28</f>
        <v>234441.33333333331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49">
        <f t="shared" ref="H34:H39" si="2">F34*G34</f>
        <v>181000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49">
        <f t="shared" si="2"/>
        <v>53000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45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65</v>
      </c>
      <c r="D44" s="12">
        <f>C44*120</f>
        <v>7800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13</v>
      </c>
      <c r="D46" s="12">
        <f>C46*1.5</f>
        <v>19.5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234445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9</v>
      </c>
      <c r="D50" s="12">
        <f>C50*1.5</f>
        <v>13.5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3.6666666666860692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343</v>
      </c>
      <c r="D6" s="13">
        <f t="shared" ref="D6:D28" si="1">C6*L6</f>
        <v>261023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274505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38</v>
      </c>
      <c r="G14" s="192"/>
      <c r="H14" s="193">
        <f>D54</f>
        <v>40630.5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233874.5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274505</v>
      </c>
      <c r="F29" s="105" t="s">
        <v>54</v>
      </c>
      <c r="G29" s="167"/>
      <c r="H29" s="127">
        <f>H15-H16-H17-H18-H19-H20-H22-H23-H24+H26+H27</f>
        <v>231930.5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49">
        <f>F34*G34</f>
        <v>220000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49">
        <f t="shared" ref="H35:H39" si="2">F35*G35</f>
        <v>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49">
        <f t="shared" si="2"/>
        <v>10000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310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15</v>
      </c>
      <c r="D46" s="12">
        <f>C46*1.5</f>
        <v>22.5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231660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18</v>
      </c>
      <c r="D50" s="12">
        <f>C50*1.5</f>
        <v>27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169</v>
      </c>
      <c r="G51" s="246">
        <f>G49-H29</f>
        <v>-270.5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675</v>
      </c>
      <c r="D6" s="13">
        <f t="shared" ref="D6:D28" si="1">C6*L6</f>
        <v>513675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563496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38</v>
      </c>
      <c r="G14" s="192"/>
      <c r="H14" s="193">
        <f>D54</f>
        <v>77337.75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486158.25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3420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74">
        <v>78233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44">
        <v>92804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6</v>
      </c>
      <c r="D28" s="48">
        <f t="shared" si="1"/>
        <v>4866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563496</v>
      </c>
      <c r="F29" s="105" t="s">
        <v>54</v>
      </c>
      <c r="G29" s="167"/>
      <c r="H29" s="127">
        <f>H15-H16-H17-H18-H19-H20-H22-H23-H24+H26+H27+H28</f>
        <v>497309.25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49">
        <f t="shared" ref="H34:H39" si="2">F34*G34</f>
        <v>300000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49">
        <f t="shared" si="2"/>
        <v>103000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49">
        <f t="shared" si="2"/>
        <v>500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57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44">
        <v>92804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38</v>
      </c>
      <c r="D49" s="12">
        <f>C49*42</f>
        <v>1596</v>
      </c>
      <c r="F49" s="125" t="s">
        <v>85</v>
      </c>
      <c r="G49" s="127">
        <f>H34+H35+H36+H37+H38+H39+H40+H41+G42+H44+H45+H46</f>
        <v>497161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34</v>
      </c>
      <c r="D50" s="12">
        <f>C50*1.5</f>
        <v>51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-148.25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336</v>
      </c>
      <c r="D6" s="13">
        <f t="shared" ref="D6:D28" si="1">C6*L6</f>
        <v>255696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92</v>
      </c>
      <c r="D9" s="13">
        <f t="shared" si="1"/>
        <v>67436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344042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46017.75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298024.25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344042</v>
      </c>
      <c r="F29" s="105" t="s">
        <v>54</v>
      </c>
      <c r="G29" s="167"/>
      <c r="H29" s="127">
        <f>H15-H16-H17-H18-H19-H20-H22-H23-H24+H26+H27</f>
        <v>296318.25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49">
        <f>F34*G34</f>
        <v>76000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49">
        <f>F35*G35</f>
        <v>17000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44">
        <v>183675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44">
        <v>19904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296629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9</v>
      </c>
      <c r="D50" s="12">
        <f>C50*1.5</f>
        <v>13.5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310.75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432</v>
      </c>
      <c r="D6" s="13">
        <f t="shared" ref="D6:D28" si="1">C6*L6</f>
        <v>328752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339179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5827.5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333351.5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74">
        <v>62135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339179</v>
      </c>
      <c r="F29" s="105" t="s">
        <v>54</v>
      </c>
      <c r="G29" s="167"/>
      <c r="H29" s="127">
        <f>H15-H16-H17-H18-H19-H20-H22-H23-H24+H26+H27+H28</f>
        <v>269272.5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49">
        <f t="shared" ref="H34:H39" si="2">F34*G34</f>
        <v>13000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49">
        <f t="shared" si="2"/>
        <v>13500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44">
        <v>244620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271320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2047.5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347</v>
      </c>
      <c r="D6" s="13">
        <f t="shared" ref="D6:D28" si="1">C6*L6</f>
        <v>264067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41</v>
      </c>
      <c r="D9" s="13">
        <f t="shared" si="1"/>
        <v>30053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301997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38</v>
      </c>
      <c r="G14" s="192"/>
      <c r="H14" s="193">
        <f>D54</f>
        <v>44970.75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257026.25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1200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301997</v>
      </c>
      <c r="F29" s="105" t="s">
        <v>54</v>
      </c>
      <c r="G29" s="167"/>
      <c r="H29" s="127">
        <f>H15-H16-H17-H18-H19-H20-H22-H23-H24+H26+H27</f>
        <v>255826.25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49">
        <f>F34*G34</f>
        <v>69000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49">
        <f t="shared" ref="H35:H39" si="2">F35*G35</f>
        <v>20000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49">
        <f t="shared" si="2"/>
        <v>2300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9">
        <v>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44">
        <v>130451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33800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256005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4</v>
      </c>
      <c r="D50" s="12">
        <f>C50*1.5</f>
        <v>6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178.75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554</v>
      </c>
      <c r="D6" s="13">
        <f t="shared" ref="D6:D28" si="1">C6*L6</f>
        <v>421594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</v>
      </c>
      <c r="D7" s="13">
        <f t="shared" si="1"/>
        <v>781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233" t="s">
        <v>36</v>
      </c>
      <c r="G13" s="197"/>
      <c r="H13" s="188">
        <f>D29</f>
        <v>509099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38</v>
      </c>
      <c r="G14" s="192"/>
      <c r="H14" s="193">
        <f>D54</f>
        <v>71080.5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438018.5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1596+1296+300</f>
        <v>3192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509099</v>
      </c>
      <c r="F29" s="105" t="s">
        <v>54</v>
      </c>
      <c r="G29" s="167"/>
      <c r="H29" s="127">
        <f>H15-H16-H17-H18-H19-H20-H22-H23-H24+H26+H27</f>
        <v>434826.5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49">
        <f>F34*G34</f>
        <v>78000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9">
        <f>F35*G35</f>
        <v>40000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49">
        <f t="shared" si="2"/>
        <v>4900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49">
        <f t="shared" si="2"/>
        <v>450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44">
        <v>171049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44">
        <v>140478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434967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140</v>
      </c>
      <c r="D50" s="12">
        <f>C50*1.5</f>
        <v>210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140.5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44">
        <v>65678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65678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49">
        <f t="shared" ref="H34:H39" si="2">F34*G34</f>
        <v>65000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65678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316</v>
      </c>
      <c r="D6" s="13">
        <f t="shared" ref="D6:D28" si="1">C6*L6</f>
        <v>240476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272545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41206.5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231338.5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2106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272545</v>
      </c>
      <c r="F29" s="105" t="s">
        <v>54</v>
      </c>
      <c r="G29" s="167"/>
      <c r="H29" s="127">
        <f>H15-H16-H17-H18-H19-H20-H22-H23-H24+H26+H27</f>
        <v>229232.5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49">
        <f>F34*G34</f>
        <v>32000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49">
        <f>F35*G35</f>
        <v>105500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49">
        <f t="shared" si="2"/>
        <v>70000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49">
        <f t="shared" si="2"/>
        <v>19400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182</v>
      </c>
      <c r="G44" s="76"/>
      <c r="H44" s="144">
        <v>2317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16</v>
      </c>
      <c r="D49" s="12">
        <f>C49*42</f>
        <v>672</v>
      </c>
      <c r="F49" s="125" t="s">
        <v>85</v>
      </c>
      <c r="G49" s="127">
        <f>H34+H35+H36+H37+H38+H39+H40+H41+G42+H44+H45+H46</f>
        <v>229254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21.5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585</v>
      </c>
      <c r="D6" s="13">
        <f t="shared" ref="D6:D28" si="1">C6*L6</f>
        <v>445185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491364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69771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421593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491364</v>
      </c>
      <c r="F29" s="105" t="s">
        <v>54</v>
      </c>
      <c r="G29" s="167"/>
      <c r="H29" s="127">
        <f>H15-H16-H17-H18-H19-H20-H22-H23-H24+H26+H27</f>
        <v>417927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49">
        <f>F34*G34</f>
        <v>53000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9">
        <f>F35*G35</f>
        <v>100500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44">
        <v>264034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417722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-205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524</v>
      </c>
      <c r="D6" s="13">
        <f t="shared" ref="D6:D28" si="1">C6*L6</f>
        <v>398764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162</v>
      </c>
      <c r="D9" s="13">
        <f t="shared" si="1"/>
        <v>118746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543461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8</v>
      </c>
      <c r="D14" s="31">
        <f t="shared" si="1"/>
        <v>88</v>
      </c>
      <c r="F14" s="191" t="s">
        <v>38</v>
      </c>
      <c r="G14" s="192"/>
      <c r="H14" s="193">
        <f>D54</f>
        <v>78838.5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464622.5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f>948+1836</f>
        <v>2784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543461</v>
      </c>
      <c r="F29" s="105" t="s">
        <v>54</v>
      </c>
      <c r="G29" s="167"/>
      <c r="H29" s="127">
        <f>H15-H16-H17-H18-H19-H20-H22-H23-H24+H26+H27</f>
        <v>461788.5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9">
        <f>F34*G34</f>
        <v>48000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9">
        <f>F35*G35</f>
        <v>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44">
        <v>100352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44">
        <v>198087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44">
        <v>107346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461803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191</v>
      </c>
      <c r="G51" s="236">
        <f>G49-H29</f>
        <v>14.5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10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442799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70551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372248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05" t="s">
        <v>54</v>
      </c>
      <c r="G29" s="167"/>
      <c r="H29" s="127">
        <f>H15-H16-H17-H18-H19-H20-H22-H23-H24+H26+H27+H28</f>
        <v>369506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49">
        <f t="shared" ref="H34:H39" si="2">F34*G34</f>
        <v>68000</v>
      </c>
      <c r="I34" s="150"/>
      <c r="J34" s="15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49">
        <f t="shared" si="2"/>
        <v>5000</v>
      </c>
      <c r="I35" s="150"/>
      <c r="J35" s="15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49">
        <f t="shared" si="2"/>
        <v>600</v>
      </c>
      <c r="I37" s="150"/>
      <c r="J37" s="15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49">
        <f t="shared" si="2"/>
        <v>50</v>
      </c>
      <c r="I38" s="150"/>
      <c r="J38" s="15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47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4">
        <v>303821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27</v>
      </c>
      <c r="D49" s="12">
        <f>C49*42</f>
        <v>1134</v>
      </c>
      <c r="F49" s="125" t="s">
        <v>85</v>
      </c>
      <c r="G49" s="127">
        <f>H34+H35+H36+H37+H38+H39+H40+H41+G42+H44+H45+H46</f>
        <v>377518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8012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442799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61281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381518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1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3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05" t="s">
        <v>54</v>
      </c>
      <c r="G29" s="167"/>
      <c r="H29" s="127">
        <f>H15-H16-H17-H18-H19-H20-H22-H23-H24+H26+H27+H28</f>
        <v>378776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</f>
        <v>68</v>
      </c>
      <c r="H34" s="149">
        <f t="shared" ref="H34:H39" si="2">F34*G34</f>
        <v>68000</v>
      </c>
      <c r="I34" s="150"/>
      <c r="J34" s="15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f>10</f>
        <v>10</v>
      </c>
      <c r="H35" s="149">
        <f t="shared" si="2"/>
        <v>5000</v>
      </c>
      <c r="I35" s="150"/>
      <c r="J35" s="15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561-80</f>
        <v>481</v>
      </c>
      <c r="D37" s="12">
        <f>C37*111</f>
        <v>53391</v>
      </c>
      <c r="F37" s="12">
        <v>100</v>
      </c>
      <c r="G37" s="39">
        <f>6</f>
        <v>6</v>
      </c>
      <c r="H37" s="149">
        <f t="shared" si="2"/>
        <v>600</v>
      </c>
      <c r="I37" s="150"/>
      <c r="J37" s="15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</f>
        <v>1</v>
      </c>
      <c r="H38" s="149">
        <f t="shared" si="2"/>
        <v>50</v>
      </c>
      <c r="I38" s="150"/>
      <c r="J38" s="15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f>47</f>
        <v>47</v>
      </c>
      <c r="H42" s="150"/>
      <c r="I42" s="150"/>
      <c r="J42" s="151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1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4">
        <v>303821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f>10-5</f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27</v>
      </c>
      <c r="D49" s="12">
        <f>C49*42</f>
        <v>1134</v>
      </c>
      <c r="F49" s="125" t="s">
        <v>85</v>
      </c>
      <c r="G49" s="127">
        <f>H34+H35+H36+H37+H38+H39+H40+H41+G42+H44+H45+H46</f>
        <v>377518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-1258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61281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9270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-9270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44">
        <v>62135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52865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49">
        <f t="shared" ref="H34:H39" si="2">F34*G34</f>
        <v>16000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49">
        <f t="shared" si="2"/>
        <v>34000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80</v>
      </c>
      <c r="D37" s="12">
        <f>C37*111</f>
        <v>8880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52865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9270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370</v>
      </c>
      <c r="D6" s="13">
        <f t="shared" ref="D6:D28" si="1">C6*L6</f>
        <v>281570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42</v>
      </c>
      <c r="D9" s="13">
        <f t="shared" si="1"/>
        <v>30786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320424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48226.5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272197.5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320424</v>
      </c>
      <c r="F29" s="105" t="s">
        <v>54</v>
      </c>
      <c r="G29" s="167"/>
      <c r="H29" s="127">
        <f>H15-H16-H17-H18-H19-H20-H22-H23-H24+H26+H27</f>
        <v>270121.5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49">
        <f>F34*G34</f>
        <v>116000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49">
        <f>F35*G35</f>
        <v>12500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44">
        <v>140694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269353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-768.5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551</v>
      </c>
      <c r="D6" s="13">
        <f t="shared" ref="D6:D28" si="1">C6*L6</f>
        <v>419311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2186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62</v>
      </c>
      <c r="D9" s="13">
        <f t="shared" si="1"/>
        <v>45446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15</v>
      </c>
      <c r="D11" s="13">
        <f t="shared" si="1"/>
        <v>17550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15+3</f>
        <v>18</v>
      </c>
      <c r="D12" s="48">
        <f t="shared" si="1"/>
        <v>17856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233" t="s">
        <v>36</v>
      </c>
      <c r="G13" s="197"/>
      <c r="H13" s="188">
        <f>D29</f>
        <v>524541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72742.5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451798.5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2910+390+360</f>
        <v>3660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524541</v>
      </c>
      <c r="F29" s="105" t="s">
        <v>54</v>
      </c>
      <c r="G29" s="167"/>
      <c r="H29" s="127">
        <f>H15-H16-H17-H18-H19-H20-H22-H23-H24+H26+H27</f>
        <v>448138.5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9">
        <f>F35*G35</f>
        <v>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49">
        <f t="shared" si="2"/>
        <v>8200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149">
        <v>68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44">
        <v>329457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22</v>
      </c>
      <c r="D49" s="12">
        <f>C49*42</f>
        <v>924</v>
      </c>
      <c r="F49" s="125" t="s">
        <v>85</v>
      </c>
      <c r="G49" s="127">
        <f>H34+H35+H36+H37+H38+H39+H40+H41+G42+H44+H45+H46</f>
        <v>448525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195</v>
      </c>
      <c r="G51" s="236">
        <f>G49-H29</f>
        <v>386.5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453</v>
      </c>
      <c r="D6" s="13">
        <f t="shared" ref="D6:D28" si="1">C6*L6</f>
        <v>344733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392951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54639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96" t="s">
        <v>39</v>
      </c>
      <c r="G15" s="197"/>
      <c r="H15" s="198">
        <f>H13-H14</f>
        <v>338312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392951</v>
      </c>
      <c r="F29" s="105" t="s">
        <v>54</v>
      </c>
      <c r="G29" s="167"/>
      <c r="H29" s="127">
        <f>H15-H16-H17-H18-H19-H20-H22-H23-H24+H26+H27+H28</f>
        <v>338312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49">
        <f t="shared" ref="H34:H39" si="2">F34*G34</f>
        <v>134000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49">
        <f t="shared" si="2"/>
        <v>50000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49">
        <f t="shared" si="2"/>
        <v>8300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49">
        <f t="shared" si="2"/>
        <v>1950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44">
        <v>83120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60000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337800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-512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360</v>
      </c>
      <c r="D6" s="13">
        <f t="shared" ref="D6:D28" si="1">C6*L6</f>
        <v>273960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19</v>
      </c>
      <c r="D9" s="13">
        <f t="shared" si="1"/>
        <v>13927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294125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43978.5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250146.5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294125</v>
      </c>
      <c r="F29" s="105" t="s">
        <v>54</v>
      </c>
      <c r="G29" s="167"/>
      <c r="H29" s="127">
        <f>H15-H16-H17-H18-H19-H20-H22-H23-H24+H26+H27</f>
        <v>248850.5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9">
        <f>F34*G34</f>
        <v>88000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49">
        <f>F35*G35</f>
        <v>150000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49">
        <f t="shared" si="2"/>
        <v>10000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49">
        <f t="shared" si="2"/>
        <v>1550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9</v>
      </c>
      <c r="D49" s="12">
        <f>C49*42</f>
        <v>378</v>
      </c>
      <c r="F49" s="125" t="s">
        <v>85</v>
      </c>
      <c r="G49" s="127">
        <f>H34+H35+H36+H37+H38+H39+H40+H41+G42+H44+H45+H46</f>
        <v>249675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824.5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210</v>
      </c>
      <c r="D6" s="13">
        <f t="shared" ref="D6:D28" si="1">C6*L6</f>
        <v>159810</v>
      </c>
      <c r="F6" s="212" t="s">
        <v>16</v>
      </c>
      <c r="G6" s="214" t="s">
        <v>197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25</v>
      </c>
      <c r="D7" s="13">
        <f t="shared" si="1"/>
        <v>19525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93</v>
      </c>
      <c r="D9" s="13">
        <f t="shared" si="1"/>
        <v>68169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276301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37863.75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238437.25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8">
        <v>1314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276301</v>
      </c>
      <c r="F29" s="105" t="s">
        <v>54</v>
      </c>
      <c r="G29" s="167"/>
      <c r="H29" s="127">
        <f>H15-H16-H17-H18-H19-H20-H22-H23-H24+H26+H27</f>
        <v>237123.25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49">
        <f>F34*G34</f>
        <v>145000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49">
        <f>F35*G35</f>
        <v>13000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49">
        <f t="shared" si="2"/>
        <v>6600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49">
        <f t="shared" si="2"/>
        <v>950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149">
        <v>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44">
        <v>70614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4</v>
      </c>
      <c r="D45" s="12">
        <f>C45*84</f>
        <v>336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236789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-334.25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143</v>
      </c>
      <c r="D6" s="13">
        <f t="shared" ref="D6:D28" si="1">C6*L6</f>
        <v>108823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52</v>
      </c>
      <c r="D8" s="13">
        <f t="shared" si="1"/>
        <v>56836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17</v>
      </c>
      <c r="D9" s="13">
        <f t="shared" si="1"/>
        <v>12461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7</v>
      </c>
      <c r="D11" s="13">
        <f t="shared" si="1"/>
        <v>8190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6+1</f>
        <v>7</v>
      </c>
      <c r="D12" s="48">
        <f t="shared" si="1"/>
        <v>6944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216025.16666666666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28238.25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2+2</f>
        <v>4</v>
      </c>
      <c r="D15" s="31">
        <f t="shared" si="1"/>
        <v>2480</v>
      </c>
      <c r="F15" s="196" t="s">
        <v>39</v>
      </c>
      <c r="G15" s="197"/>
      <c r="H15" s="198">
        <f>H13-H14</f>
        <v>187786.91666666666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74">
        <v>57556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3</v>
      </c>
      <c r="D28" s="48">
        <f t="shared" si="1"/>
        <v>2433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216025.16666666666</v>
      </c>
      <c r="F29" s="105" t="s">
        <v>54</v>
      </c>
      <c r="G29" s="167"/>
      <c r="H29" s="127">
        <f>H15-H16-H17-H18-H19-H20-H22-H23-H24+H26+H27+H28</f>
        <v>130230.91666666666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49">
        <f t="shared" ref="H34:H39" si="2">F34*G34</f>
        <v>81000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9">
        <f t="shared" si="2"/>
        <v>19000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49">
        <f t="shared" si="2"/>
        <v>1200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49">
        <f t="shared" si="2"/>
        <v>450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149">
        <v>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44">
        <v>19994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44">
        <v>7705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129445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130</v>
      </c>
      <c r="D50" s="12">
        <f>C50*1.5</f>
        <v>195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-785.91666666665697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276</v>
      </c>
      <c r="D6" s="13">
        <f t="shared" ref="D6:D28" si="1">C6*L6</f>
        <v>210036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f>2</f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238493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43047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195446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1158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74"/>
      <c r="I22" s="174"/>
      <c r="J22" s="174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238493</v>
      </c>
      <c r="F29" s="105" t="s">
        <v>54</v>
      </c>
      <c r="G29" s="167"/>
      <c r="H29" s="127">
        <f>H15-H16-H17-H18-H19-H20-H22-H23-H24+H26+H27</f>
        <v>194288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49">
        <f>F34*G34</f>
        <v>68000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49">
        <f t="shared" si="2"/>
        <v>1000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26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44">
        <v>124572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</v>
      </c>
      <c r="D46" s="12">
        <f>C46*1.5</f>
        <v>1.5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194198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-90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423</v>
      </c>
      <c r="D6" s="13">
        <f t="shared" ref="D6:D28" si="1">C6*L6</f>
        <v>321903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21</v>
      </c>
      <c r="D7" s="13">
        <f t="shared" si="1"/>
        <v>16401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83</v>
      </c>
      <c r="D9" s="13">
        <f t="shared" si="1"/>
        <v>60839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412292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66883.5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345408.5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948+858+360</f>
        <v>2166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412292</v>
      </c>
      <c r="F29" s="105" t="s">
        <v>54</v>
      </c>
      <c r="G29" s="167"/>
      <c r="H29" s="127">
        <f>H15-H16-H17-H18-H19-H20-H22-H23-H24+H26+H27</f>
        <v>343192.5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49">
        <f>F34*G34</f>
        <v>194000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49">
        <f>F35*G35</f>
        <v>25000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49">
        <f t="shared" si="2"/>
        <v>12300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49">
        <f t="shared" si="2"/>
        <v>7400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149">
        <v>219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44">
        <v>102299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2</v>
      </c>
      <c r="D45" s="12">
        <f>C45*84</f>
        <v>168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14</v>
      </c>
      <c r="D46" s="12">
        <f>C46*1.5</f>
        <v>21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341838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-1354.5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446</v>
      </c>
      <c r="D6" s="13">
        <f t="shared" ref="D6:D28" si="1">C6*L6</f>
        <v>339406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343836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51543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292293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2268</f>
        <v>2268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>
        <v>109.27</v>
      </c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4">
        <v>57556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343836</v>
      </c>
      <c r="F29" s="105" t="s">
        <v>54</v>
      </c>
      <c r="G29" s="167"/>
      <c r="H29" s="127">
        <f>H15-H16-H17-H18-H19-H20-H22-H23-H24+H26+H27+H28</f>
        <v>347471.73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49">
        <f t="shared" ref="H34:H39" si="2">F34*G34</f>
        <v>302000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49">
        <f t="shared" si="2"/>
        <v>45500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f>87+6</f>
        <v>93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13</v>
      </c>
      <c r="D49" s="12">
        <f>C49*42</f>
        <v>546</v>
      </c>
      <c r="F49" s="125" t="s">
        <v>85</v>
      </c>
      <c r="G49" s="127">
        <f>H34+H35+H36+H37+H38+H39+H40+H41+G42+H44+H45+H46</f>
        <v>347643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171.27000000001863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4">
        <v>57556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57556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49">
        <f t="shared" ref="H34:H39" si="2">F34*G34</f>
        <v>57000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57556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294</v>
      </c>
      <c r="D6" s="13">
        <f t="shared" ref="D6:D28" si="1">C6*L6</f>
        <v>223734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33</v>
      </c>
      <c r="D9" s="13">
        <f t="shared" si="1"/>
        <v>24189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254943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39281.25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215661.75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1068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254943</v>
      </c>
      <c r="F29" s="105" t="s">
        <v>54</v>
      </c>
      <c r="G29" s="167"/>
      <c r="H29" s="127">
        <f>H15-H16-H17-H18-H19-H20-H22-H23-H24+H26+H27</f>
        <v>214593.75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49">
        <f>F34*G34</f>
        <v>170000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9">
        <f>F35*G35</f>
        <v>40000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49">
        <f t="shared" si="2"/>
        <v>4100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49">
        <f t="shared" si="2"/>
        <v>250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391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8</v>
      </c>
      <c r="D49" s="12">
        <f>C49*42</f>
        <v>336</v>
      </c>
      <c r="F49" s="125" t="s">
        <v>85</v>
      </c>
      <c r="G49" s="127">
        <f>H34+H35+H36+H37+H38+H39+H40+H41+G42+H44+H45+H46</f>
        <v>214741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</v>
      </c>
      <c r="D50" s="12">
        <f>C50*1.5</f>
        <v>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147.25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364</v>
      </c>
      <c r="D6" s="13">
        <f t="shared" ref="D6:D28" si="1">C6*L6</f>
        <v>277004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20</v>
      </c>
      <c r="D10" s="13">
        <f t="shared" si="1"/>
        <v>20640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305232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89406.75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215825.25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2070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305232</v>
      </c>
      <c r="F29" s="105" t="s">
        <v>54</v>
      </c>
      <c r="G29" s="167"/>
      <c r="H29" s="127">
        <f>H15-H16-H17-H18-H19-H20-H22-H23-H24+H26+H27+H28</f>
        <v>213755.25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49">
        <f t="shared" ref="H34:H39" si="2">F34*G34</f>
        <v>17000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49">
        <f t="shared" si="2"/>
        <v>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44">
        <v>192163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21</v>
      </c>
      <c r="D46" s="12">
        <f>C46*1.5</f>
        <v>31.5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24</v>
      </c>
      <c r="D49" s="12">
        <f>C49*42</f>
        <v>1008</v>
      </c>
      <c r="F49" s="125" t="s">
        <v>85</v>
      </c>
      <c r="G49" s="127">
        <f>H34+H35+H36+H37+H38+H39+H40+H41+G42+H44+H45+H46</f>
        <v>213763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7.75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274</v>
      </c>
      <c r="D6" s="13">
        <f t="shared" ref="D6:D28" si="1">C6*L6</f>
        <v>208514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12</v>
      </c>
      <c r="D9" s="13">
        <f t="shared" si="1"/>
        <v>8796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231087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31207.5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199879.5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1356</f>
        <v>1356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231087</v>
      </c>
      <c r="F29" s="105" t="s">
        <v>54</v>
      </c>
      <c r="G29" s="167"/>
      <c r="H29" s="127">
        <f>H15-H16-H17-H18-H19-H20-H22-H23-H24+H26+H27</f>
        <v>198523.5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49">
        <f>F34*G34</f>
        <v>41000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49">
        <f>F35*G35</f>
        <v>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20</v>
      </c>
      <c r="D42" s="12">
        <f>C42*2.25</f>
        <v>45</v>
      </c>
      <c r="F42" s="39" t="s">
        <v>78</v>
      </c>
      <c r="G42" s="149">
        <v>42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44">
        <v>154005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17</v>
      </c>
      <c r="D49" s="12">
        <f>C49*42</f>
        <v>714</v>
      </c>
      <c r="F49" s="125" t="s">
        <v>85</v>
      </c>
      <c r="G49" s="127">
        <f>H34+H35+H36+H37+H38+H39+H40+H41+G42+H44+H45+H46</f>
        <v>198647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35</v>
      </c>
      <c r="D50" s="12">
        <f>C50*1.5</f>
        <v>52.5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123.5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665</v>
      </c>
      <c r="D6" s="13">
        <f t="shared" ref="D6:D28" si="1">C6*L6</f>
        <v>506065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</v>
      </c>
      <c r="D9" s="13">
        <f t="shared" si="1"/>
        <v>733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542169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85605.75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456563.25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300+648+654</f>
        <v>1602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542169</v>
      </c>
      <c r="F29" s="105" t="s">
        <v>54</v>
      </c>
      <c r="G29" s="167"/>
      <c r="H29" s="127">
        <f>H15-H16-H17-H18-H19-H20-H22-H23-H24+H26+H27</f>
        <v>454961.25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49">
        <f>F34*G34</f>
        <v>105000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49">
        <f>F35*G35</f>
        <v>12000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49">
        <f t="shared" si="2"/>
        <v>1400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22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44">
        <v>27108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44">
        <v>237647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44">
        <v>70468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453795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-1166.25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topLeftCell="A22" zoomScaleNormal="100" zoomScaleSheetLayoutView="85" workbookViewId="0">
      <selection activeCell="V39" sqref="V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84</v>
      </c>
      <c r="D6" s="13">
        <f t="shared" ref="D6:D28" si="1">C6*L6</f>
        <v>63924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</v>
      </c>
      <c r="D13" s="48">
        <f t="shared" si="1"/>
        <v>614</v>
      </c>
      <c r="F13" s="233" t="s">
        <v>36</v>
      </c>
      <c r="G13" s="197"/>
      <c r="H13" s="188">
        <f>D29</f>
        <v>88474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12474.75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75999.25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88474</v>
      </c>
      <c r="F29" s="105" t="s">
        <v>54</v>
      </c>
      <c r="G29" s="167"/>
      <c r="H29" s="127">
        <f>H15-H16-H17-H18-H19-H20-H22-H23-H24+H26+H27+H28</f>
        <v>75999.25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49">
        <f t="shared" ref="H34:H39" si="2">F34*G34</f>
        <v>57000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36</v>
      </c>
      <c r="H35" s="149">
        <f t="shared" si="2"/>
        <v>18000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13</v>
      </c>
      <c r="H37" s="149">
        <f t="shared" si="2"/>
        <v>1300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196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76696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696.75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12474.75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topLeftCell="A28" zoomScaleNormal="100" zoomScaleSheetLayoutView="85" workbookViewId="0">
      <selection activeCell="J66" sqref="J6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231</v>
      </c>
      <c r="D6" s="13">
        <f t="shared" ref="D6:D28" si="1">C6*L6</f>
        <v>175791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134</v>
      </c>
      <c r="D9" s="13">
        <f t="shared" si="1"/>
        <v>98222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278040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41770.5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236269.5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2082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278040</v>
      </c>
      <c r="F29" s="105" t="s">
        <v>54</v>
      </c>
      <c r="G29" s="167"/>
      <c r="H29" s="127">
        <f>H15-H16-H17-H18-H19-H20-H22-H23-H24+H26+H27</f>
        <v>234187.5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40</v>
      </c>
      <c r="H34" s="149">
        <f>F34*G34</f>
        <v>40000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203</v>
      </c>
      <c r="H35" s="149">
        <f>F35*G35</f>
        <v>101500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370</v>
      </c>
      <c r="D37" s="12">
        <f>C37*111</f>
        <v>41070</v>
      </c>
      <c r="F37" s="12">
        <v>100</v>
      </c>
      <c r="G37" s="39">
        <v>86</v>
      </c>
      <c r="H37" s="149">
        <f t="shared" si="2"/>
        <v>8600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83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210</v>
      </c>
      <c r="H44" s="144">
        <v>83720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234103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20</v>
      </c>
      <c r="D50" s="12">
        <f>C50*1.5</f>
        <v>30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-84.5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41770.5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topLeftCell="A28" zoomScaleNormal="100" zoomScaleSheetLayoutView="85" workbookViewId="0">
      <selection activeCell="I54" sqref="I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448</v>
      </c>
      <c r="D6" s="13">
        <f t="shared" ref="D6:D28" si="1">C6*L6</f>
        <v>340928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14</v>
      </c>
      <c r="D7" s="13">
        <f t="shared" si="1"/>
        <v>10934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100</v>
      </c>
      <c r="D9" s="13">
        <f t="shared" si="1"/>
        <v>73300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429899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41526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388373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1440+300</f>
        <v>1740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429899</v>
      </c>
      <c r="F29" s="105" t="s">
        <v>54</v>
      </c>
      <c r="G29" s="167"/>
      <c r="H29" s="127">
        <f>H15-H16-H17-H18-H19-H20-H22-H23-H24+H26+H27</f>
        <v>386583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64</v>
      </c>
      <c r="H34" s="149">
        <f>F34*G34</f>
        <v>64000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49">
        <f>F35*G35</f>
        <v>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56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211</v>
      </c>
      <c r="H44" s="144">
        <v>155617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189</v>
      </c>
      <c r="G45" s="76" t="s">
        <v>212</v>
      </c>
      <c r="H45" s="144">
        <v>172322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393845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195</v>
      </c>
      <c r="G51" s="236">
        <f>G49-H29</f>
        <v>7262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41526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250</v>
      </c>
      <c r="D6" s="13">
        <f t="shared" ref="D6:D28" si="1">C6*L6</f>
        <v>190250</v>
      </c>
      <c r="F6" s="212" t="s">
        <v>16</v>
      </c>
      <c r="G6" s="214" t="s">
        <v>214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99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27</v>
      </c>
      <c r="D9" s="13">
        <f t="shared" si="1"/>
        <v>19791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216781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32183.25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184597.75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216781</v>
      </c>
      <c r="F29" s="105" t="s">
        <v>54</v>
      </c>
      <c r="G29" s="167"/>
      <c r="H29" s="127">
        <f>H15-H16-H17-H18-H19-H20-H22-H23-H24+H26+H27+H28</f>
        <v>184597.75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112</v>
      </c>
      <c r="H34" s="149">
        <f t="shared" ref="H34:H39" si="2">F34*G34</f>
        <v>112000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67</v>
      </c>
      <c r="H35" s="149">
        <f t="shared" si="2"/>
        <v>33500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20</v>
      </c>
      <c r="H37" s="149">
        <f t="shared" si="2"/>
        <v>2000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136</v>
      </c>
      <c r="G44" s="62"/>
      <c r="H44" s="144">
        <v>31000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5850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184646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48.25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32183.25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278</v>
      </c>
      <c r="D6" s="13">
        <f t="shared" ref="D6:D28" si="1">C6*L6</f>
        <v>211558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8</v>
      </c>
      <c r="D7" s="13">
        <f t="shared" si="1"/>
        <v>6248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101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236836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30952.5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205883.5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1110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236836</v>
      </c>
      <c r="F29" s="105" t="s">
        <v>54</v>
      </c>
      <c r="G29" s="167"/>
      <c r="H29" s="127">
        <f>H15-H16-H17-H18-H19-H20-H22-H23-H24+H26+H27</f>
        <v>204773.5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66</v>
      </c>
      <c r="H34" s="149">
        <f>F34*G34</f>
        <v>66000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49">
        <f>F35*G35</f>
        <v>11500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260</v>
      </c>
      <c r="D37" s="12">
        <f>C37*111</f>
        <v>28860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215</v>
      </c>
      <c r="H44" s="144">
        <v>126587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204623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-150.5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30952.5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504</v>
      </c>
      <c r="D6" s="13">
        <f t="shared" ref="D6:D28" si="1">C6*L6</f>
        <v>383544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16</v>
      </c>
      <c r="D7" s="13">
        <f t="shared" si="1"/>
        <v>12496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18</v>
      </c>
      <c r="D9" s="13">
        <f t="shared" si="1"/>
        <v>13194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416264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59088.75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357175.25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8">
        <f>2004+348</f>
        <v>2352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416264</v>
      </c>
      <c r="F29" s="105" t="s">
        <v>54</v>
      </c>
      <c r="G29" s="167"/>
      <c r="H29" s="127">
        <f>H15-H16-H17-H18-H19-H20-H22-H23-H24+H26+H27</f>
        <v>354823.25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115</v>
      </c>
      <c r="H34" s="149">
        <f>F34*G34</f>
        <v>115000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35</v>
      </c>
      <c r="H35" s="149">
        <f>F35*G35</f>
        <v>17500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69+432</f>
        <v>501</v>
      </c>
      <c r="D37" s="12">
        <f>C37*111</f>
        <v>55611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49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136</v>
      </c>
      <c r="G44" s="76" t="s">
        <v>213</v>
      </c>
      <c r="H44" s="144">
        <v>217844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8</v>
      </c>
      <c r="D49" s="12">
        <f>C49*42</f>
        <v>336</v>
      </c>
      <c r="F49" s="125" t="s">
        <v>85</v>
      </c>
      <c r="G49" s="127">
        <f>H34+H35+H36+H37+H38+H39+H40+H41+G42+H44+H45+H46</f>
        <v>353193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-1630.25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59088.75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324</v>
      </c>
      <c r="D6" s="13">
        <f t="shared" ref="D6:D28" si="1">C6*L6</f>
        <v>246564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267784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32602.5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235181.5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2064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267784</v>
      </c>
      <c r="F29" s="105" t="s">
        <v>54</v>
      </c>
      <c r="G29" s="167"/>
      <c r="H29" s="127">
        <f>H15-H16-H17-H18-H19-H20-H22-H23-H24+H26+H27+H28</f>
        <v>233117.5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123</v>
      </c>
      <c r="H34" s="149">
        <f t="shared" ref="H34:H39" si="2">F34*G34</f>
        <v>123000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219</v>
      </c>
      <c r="H35" s="149">
        <f t="shared" si="2"/>
        <v>109500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282</v>
      </c>
      <c r="D37" s="12">
        <f>C37*111</f>
        <v>31302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232700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217</v>
      </c>
      <c r="G51" s="246">
        <f>G49-H29</f>
        <v>-417.5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32602.5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149</v>
      </c>
      <c r="D6" s="13">
        <f t="shared" ref="D6:D28" si="1">C6*L6</f>
        <v>113389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8</v>
      </c>
      <c r="D7" s="13">
        <f t="shared" si="1"/>
        <v>6248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136970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19894.5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117075.5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768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136970</v>
      </c>
      <c r="F29" s="105" t="s">
        <v>54</v>
      </c>
      <c r="G29" s="167"/>
      <c r="H29" s="127">
        <f>H15-H16-H17-H18-H19-H20-H22-H23-H24+H26+H27</f>
        <v>116307.5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100</v>
      </c>
      <c r="H34" s="149">
        <f>F34*G34</f>
        <v>100000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149">
        <f>F35*G35</f>
        <v>15500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9</v>
      </c>
      <c r="H37" s="149">
        <f t="shared" si="2"/>
        <v>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116438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130.5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19894.5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253015.5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34426.5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218589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630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>
        <v>3</v>
      </c>
      <c r="D25" s="48">
        <f t="shared" si="1"/>
        <v>363.5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253015.5</v>
      </c>
      <c r="F29" s="105" t="s">
        <v>54</v>
      </c>
      <c r="G29" s="167"/>
      <c r="H29" s="127">
        <f>H15-H16-H17-H18-H19-H20-H22-H23-H24+H26+H27</f>
        <v>217959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125</v>
      </c>
      <c r="H34" s="149">
        <f>F34*G34</f>
        <v>125000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49">
        <f>F35*G35</f>
        <v>23500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218</v>
      </c>
      <c r="H44" s="144">
        <v>69286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14</v>
      </c>
      <c r="D46" s="12">
        <f>C46*1.5</f>
        <v>21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218551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592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34426.5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291</v>
      </c>
      <c r="D6" s="13">
        <f t="shared" ref="D6:D28" si="1">C6*L6</f>
        <v>221451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68</v>
      </c>
      <c r="D8" s="13">
        <f t="shared" si="1"/>
        <v>74324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10995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1+1+1</f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314879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43999.5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270879.5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10819</v>
      </c>
      <c r="H22" s="174">
        <v>68780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314879</v>
      </c>
      <c r="F29" s="105" t="s">
        <v>54</v>
      </c>
      <c r="G29" s="167"/>
      <c r="H29" s="127">
        <f>H15-H16-H17-H18-H19-H20-H22-H23-H24+H26+H27+H28</f>
        <v>202069.5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100</v>
      </c>
      <c r="H34" s="149">
        <f t="shared" ref="H34:H39" si="2">F34*G34</f>
        <v>100000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149">
        <f t="shared" si="2"/>
        <v>15500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58</v>
      </c>
      <c r="D42" s="12">
        <f>C42*2.25</f>
        <v>130.5</v>
      </c>
      <c r="F42" s="39" t="s">
        <v>78</v>
      </c>
      <c r="G42" s="149">
        <v>401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70</v>
      </c>
      <c r="D44" s="12">
        <f>C44*120</f>
        <v>8400</v>
      </c>
      <c r="F44" s="37" t="s">
        <v>147</v>
      </c>
      <c r="G44" s="96" t="s">
        <v>219</v>
      </c>
      <c r="H44" s="144">
        <v>79439.25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4">
        <v>5200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200940.25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16</v>
      </c>
      <c r="D50" s="12">
        <f>C50*1.5</f>
        <v>24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-1129.25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43999.5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325</v>
      </c>
      <c r="D6" s="13">
        <f t="shared" ref="D6:D28" si="1">C6*L6</f>
        <v>247325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233" t="s">
        <v>36</v>
      </c>
      <c r="G13" s="197"/>
      <c r="H13" s="188">
        <f>D29</f>
        <v>271800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40047.75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231752.25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220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271800</v>
      </c>
      <c r="F29" s="105" t="s">
        <v>54</v>
      </c>
      <c r="G29" s="167"/>
      <c r="H29" s="127">
        <f>H15-H16-H17-H18-H19-H20-H22-H23-H24+H26+H27</f>
        <v>230456.25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224</v>
      </c>
      <c r="H34" s="149">
        <f>F34*G34</f>
        <v>224000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49">
        <f>F35*G35</f>
        <v>4500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19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137</v>
      </c>
      <c r="G44" s="76"/>
      <c r="H44" s="144">
        <v>1667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9</v>
      </c>
      <c r="D49" s="12">
        <f>C49*42</f>
        <v>378</v>
      </c>
      <c r="F49" s="125" t="s">
        <v>85</v>
      </c>
      <c r="G49" s="127">
        <f>H34+H35+H36+H37+H38+H39+H40+H41+G42+H44+H45+H46</f>
        <v>230536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79.75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40047.75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264</v>
      </c>
      <c r="D6" s="13">
        <f t="shared" ref="D6:D28" si="1">C6*L6</f>
        <v>200904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26</v>
      </c>
      <c r="D9" s="13">
        <f t="shared" si="1"/>
        <v>19058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236260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42237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194023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8">
        <f>300+648</f>
        <v>948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236260</v>
      </c>
      <c r="F29" s="105" t="s">
        <v>54</v>
      </c>
      <c r="G29" s="167"/>
      <c r="H29" s="127">
        <f>H15-H16-H17-H18-H19-H20-H22-H23-H24+H26+H27</f>
        <v>193075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78</v>
      </c>
      <c r="H34" s="149">
        <f>F34*G34</f>
        <v>78000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49">
        <f>F35*G35</f>
        <v>10000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22+324</f>
        <v>346</v>
      </c>
      <c r="D37" s="12">
        <f>C37*111</f>
        <v>38406</v>
      </c>
      <c r="F37" s="12">
        <v>100</v>
      </c>
      <c r="G37" s="39">
        <v>30</v>
      </c>
      <c r="H37" s="149">
        <f t="shared" si="2"/>
        <v>3000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>
        <v>47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221</v>
      </c>
      <c r="H44" s="144">
        <v>70468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76" t="s">
        <v>222</v>
      </c>
      <c r="H45" s="144">
        <v>28469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190284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-2791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42237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2026-05-28T23:47:07Z</cp:lastPrinted>
  <dcterms:created xsi:type="dcterms:W3CDTF">2024-09-01T23:36:50Z</dcterms:created>
  <dcterms:modified xsi:type="dcterms:W3CDTF">2026-05-28T23:47:52Z</dcterms:modified>
</cp:coreProperties>
</file>