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FC41FE58-D06A-48C3-A965-35872ABADF8C}" xr6:coauthVersionLast="45" xr6:coauthVersionMax="47" xr10:uidLastSave="{00000000-0000-0000-0000-000000000000}"/>
  <bookViews>
    <workbookView xWindow="-120" yWindow="-120" windowWidth="29040" windowHeight="15840" firstSheet="24" activeTab="31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1 (2)" sheetId="2073" r:id="rId22"/>
    <sheet name="05,07 R2" sheetId="2044" r:id="rId23"/>
    <sheet name="05,07 R3" sheetId="2045" r:id="rId24"/>
    <sheet name="(8)" sheetId="2046" r:id="rId25"/>
    <sheet name="05,08 R1 NO TRIP" sheetId="2047" r:id="rId26"/>
    <sheet name="05,08 R2" sheetId="2048" r:id="rId27"/>
    <sheet name="05,08 R3" sheetId="2049" r:id="rId28"/>
    <sheet name="(11)" sheetId="2050" r:id="rId29"/>
    <sheet name="05,11 R1" sheetId="2051" r:id="rId30"/>
    <sheet name="05,11 R2" sheetId="2052" r:id="rId31"/>
    <sheet name="05,11 R3" sheetId="2053" r:id="rId32"/>
    <sheet name="(12)" sheetId="2056" r:id="rId33"/>
    <sheet name="05,12 R1" sheetId="2057" r:id="rId34"/>
    <sheet name="05,12 R2" sheetId="2058" r:id="rId35"/>
    <sheet name="05,12 R3" sheetId="2059" r:id="rId36"/>
    <sheet name="(13)" sheetId="2060" r:id="rId37"/>
    <sheet name="05,13 R1" sheetId="2061" r:id="rId38"/>
    <sheet name="05,13 R2" sheetId="2062" r:id="rId39"/>
    <sheet name="05,13 R3" sheetId="2063" r:id="rId40"/>
    <sheet name="(14)" sheetId="2064" r:id="rId41"/>
    <sheet name="05,14 R1" sheetId="2065" r:id="rId42"/>
    <sheet name="05,14 R2" sheetId="2066" r:id="rId43"/>
    <sheet name="05,14 R3" sheetId="2067" r:id="rId44"/>
    <sheet name="(15)" sheetId="2068" r:id="rId45"/>
    <sheet name="05,15 R1" sheetId="2069" r:id="rId46"/>
    <sheet name="05,15 R2" sheetId="2070" r:id="rId47"/>
    <sheet name="05,15 R3" sheetId="2071" r:id="rId48"/>
    <sheet name="(16)" sheetId="2072" r:id="rId49"/>
  </sheets>
  <definedNames>
    <definedName name="_xlnm.Print_Area" localSheetId="1">'(01)'!$A$1:$J$60</definedName>
    <definedName name="_xlnm.Print_Area" localSheetId="28">'(11)'!$A$1:$J$60</definedName>
    <definedName name="_xlnm.Print_Area" localSheetId="32">'(12)'!$A$1:$J$60</definedName>
    <definedName name="_xlnm.Print_Area" localSheetId="36">'(13)'!$A$1:$J$60</definedName>
    <definedName name="_xlnm.Print_Area" localSheetId="40">'(14)'!$A$1:$J$60</definedName>
    <definedName name="_xlnm.Print_Area" localSheetId="44">'(15)'!$A$1:$J$60</definedName>
    <definedName name="_xlnm.Print_Area" localSheetId="48">'(16)'!$A$1:$J$60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4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R1 (2)'!$A$1:$J$60</definedName>
    <definedName name="_xlnm.Print_Area" localSheetId="22">'05,07 R2'!$A$1:$J$60</definedName>
    <definedName name="_xlnm.Print_Area" localSheetId="23">'05,07 R3'!$A$1:$J$60</definedName>
    <definedName name="_xlnm.Print_Area" localSheetId="25">'05,08 R1 NO TRIP'!$A$1:$J$60</definedName>
    <definedName name="_xlnm.Print_Area" localSheetId="26">'05,08 R2'!$A$1:$J$60</definedName>
    <definedName name="_xlnm.Print_Area" localSheetId="27">'05,08 R3'!$A$1:$J$60</definedName>
    <definedName name="_xlnm.Print_Area" localSheetId="29">'05,11 R1'!$A$1:$J$60</definedName>
    <definedName name="_xlnm.Print_Area" localSheetId="30">'05,11 R2'!$A$1:$J$60</definedName>
    <definedName name="_xlnm.Print_Area" localSheetId="31">'05,11 R3'!$A$1:$J$60</definedName>
    <definedName name="_xlnm.Print_Area" localSheetId="33">'05,12 R1'!$A$1:$J$60</definedName>
    <definedName name="_xlnm.Print_Area" localSheetId="34">'05,12 R2'!$A$1:$J$60</definedName>
    <definedName name="_xlnm.Print_Area" localSheetId="35">'05,12 R3'!$A$1:$J$60</definedName>
    <definedName name="_xlnm.Print_Area" localSheetId="37">'05,13 R1'!$A$1:$J$60</definedName>
    <definedName name="_xlnm.Print_Area" localSheetId="38">'05,13 R2'!$A$1:$J$60</definedName>
    <definedName name="_xlnm.Print_Area" localSheetId="39">'05,13 R3'!$A$1:$J$60</definedName>
    <definedName name="_xlnm.Print_Area" localSheetId="41">'05,14 R1'!$A$1:$J$60</definedName>
    <definedName name="_xlnm.Print_Area" localSheetId="42">'05,14 R2'!$A$1:$J$60</definedName>
    <definedName name="_xlnm.Print_Area" localSheetId="43">'05,14 R3'!$A$1:$J$60</definedName>
    <definedName name="_xlnm.Print_Area" localSheetId="45">'05,15 R1'!$A$1:$J$60</definedName>
    <definedName name="_xlnm.Print_Area" localSheetId="46">'05,15 R2'!$A$1:$J$60</definedName>
    <definedName name="_xlnm.Print_Area" localSheetId="47">'05,15 R3'!$A$1:$J$60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53" l="1"/>
  <c r="L6" i="2053"/>
  <c r="L21" i="2051" l="1"/>
  <c r="C12" i="2051"/>
  <c r="L24" i="2039" l="1"/>
  <c r="L25" i="2039"/>
  <c r="D26" i="2039"/>
  <c r="L26" i="2039"/>
  <c r="D14" i="2043"/>
  <c r="H16" i="2049" l="1"/>
  <c r="H34" i="2043" l="1"/>
  <c r="R52" i="2073"/>
  <c r="R51" i="2073"/>
  <c r="D50" i="2073"/>
  <c r="R49" i="2073"/>
  <c r="D49" i="2073"/>
  <c r="R48" i="2073"/>
  <c r="D48" i="2073"/>
  <c r="D46" i="2073"/>
  <c r="D45" i="2073"/>
  <c r="R44" i="2073"/>
  <c r="D44" i="2073"/>
  <c r="R42" i="2073"/>
  <c r="L6" i="2073" s="1"/>
  <c r="D6" i="2073" s="1"/>
  <c r="D42" i="2073"/>
  <c r="R41" i="2073"/>
  <c r="D41" i="2073"/>
  <c r="R40" i="2073"/>
  <c r="L8" i="2073" s="1"/>
  <c r="D8" i="2073" s="1"/>
  <c r="D40" i="2073"/>
  <c r="R39" i="2073"/>
  <c r="H39" i="2073"/>
  <c r="D39" i="2073"/>
  <c r="R38" i="2073"/>
  <c r="H38" i="2073"/>
  <c r="D38" i="2073"/>
  <c r="R37" i="2073"/>
  <c r="H37" i="2073"/>
  <c r="D37" i="2073"/>
  <c r="R36" i="2073"/>
  <c r="L10" i="2073" s="1"/>
  <c r="D10" i="2073" s="1"/>
  <c r="H36" i="2073"/>
  <c r="D36" i="2073"/>
  <c r="R35" i="2073"/>
  <c r="L18" i="2073" s="1"/>
  <c r="D18" i="2073" s="1"/>
  <c r="H35" i="2073"/>
  <c r="G49" i="2073" s="1"/>
  <c r="D35" i="2073"/>
  <c r="R34" i="2073"/>
  <c r="L12" i="2073" s="1"/>
  <c r="D12" i="2073" s="1"/>
  <c r="H34" i="2073"/>
  <c r="D34" i="2073"/>
  <c r="D54" i="2073" s="1"/>
  <c r="H14" i="2073" s="1"/>
  <c r="R33" i="2073"/>
  <c r="L19" i="2073" s="1"/>
  <c r="D19" i="2073" s="1"/>
  <c r="R32" i="2073"/>
  <c r="R31" i="2073"/>
  <c r="R30" i="2073"/>
  <c r="R29" i="2073"/>
  <c r="R28" i="2073"/>
  <c r="L28" i="2073"/>
  <c r="D28" i="2073"/>
  <c r="R27" i="2073"/>
  <c r="L27" i="2073"/>
  <c r="D27" i="2073"/>
  <c r="R26" i="2073"/>
  <c r="L26" i="2073"/>
  <c r="D26" i="2073"/>
  <c r="R25" i="2073"/>
  <c r="L25" i="2073"/>
  <c r="D25" i="2073" s="1"/>
  <c r="R24" i="2073"/>
  <c r="L24" i="2073"/>
  <c r="D24" i="2073"/>
  <c r="R23" i="2073"/>
  <c r="L23" i="2073"/>
  <c r="D23" i="2073"/>
  <c r="R22" i="2073"/>
  <c r="L20" i="2073" s="1"/>
  <c r="D20" i="2073" s="1"/>
  <c r="L22" i="2073"/>
  <c r="D22" i="2073"/>
  <c r="R21" i="2073"/>
  <c r="L17" i="2073" s="1"/>
  <c r="D17" i="2073" s="1"/>
  <c r="L21" i="2073"/>
  <c r="D21" i="2073" s="1"/>
  <c r="R20" i="2073"/>
  <c r="R19" i="2073"/>
  <c r="R18" i="2073"/>
  <c r="R17" i="2073"/>
  <c r="R16" i="2073"/>
  <c r="L16" i="2073"/>
  <c r="D16" i="2073"/>
  <c r="R15" i="2073"/>
  <c r="L15" i="2073"/>
  <c r="D15" i="2073" s="1"/>
  <c r="R14" i="2073"/>
  <c r="D14" i="2073"/>
  <c r="R13" i="2073"/>
  <c r="D13" i="2073"/>
  <c r="R12" i="2073"/>
  <c r="R11" i="2073"/>
  <c r="L11" i="2073"/>
  <c r="D11" i="2073"/>
  <c r="L9" i="2073"/>
  <c r="D9" i="2073" s="1"/>
  <c r="L7" i="2073"/>
  <c r="D7" i="2073"/>
  <c r="R6" i="2073"/>
  <c r="R5" i="2073"/>
  <c r="R4" i="2073"/>
  <c r="H16" i="2045"/>
  <c r="C18" i="2045"/>
  <c r="C15" i="2045"/>
  <c r="D29" i="2073" l="1"/>
  <c r="H13" i="2073" s="1"/>
  <c r="H15" i="2073" s="1"/>
  <c r="H29" i="2073" s="1"/>
  <c r="G51" i="2073" s="1"/>
  <c r="R52" i="2072"/>
  <c r="R51" i="2072"/>
  <c r="D50" i="2072"/>
  <c r="R49" i="2072"/>
  <c r="G49" i="2072"/>
  <c r="D49" i="2072"/>
  <c r="R48" i="2072"/>
  <c r="D48" i="2072"/>
  <c r="D46" i="2072"/>
  <c r="D45" i="2072"/>
  <c r="D44" i="2072"/>
  <c r="R42" i="2072"/>
  <c r="L6" i="2072" s="1"/>
  <c r="D6" i="2072" s="1"/>
  <c r="D42" i="2072"/>
  <c r="R41" i="2072"/>
  <c r="L7" i="2072" s="1"/>
  <c r="D7" i="2072" s="1"/>
  <c r="D41" i="2072"/>
  <c r="R40" i="2072"/>
  <c r="D40" i="2072"/>
  <c r="R39" i="2072"/>
  <c r="D39" i="2072"/>
  <c r="R38" i="2072"/>
  <c r="D38" i="2072"/>
  <c r="R37" i="2072"/>
  <c r="D37" i="2072"/>
  <c r="R36" i="2072"/>
  <c r="D36" i="2072"/>
  <c r="R35" i="2072"/>
  <c r="D35" i="2072"/>
  <c r="D54" i="2072" s="1"/>
  <c r="H14" i="2072" s="1"/>
  <c r="R34" i="2072"/>
  <c r="L12" i="2072" s="1"/>
  <c r="D12" i="2072" s="1"/>
  <c r="D34" i="2072"/>
  <c r="R33" i="2072"/>
  <c r="L23" i="2072" s="1"/>
  <c r="D23" i="2072" s="1"/>
  <c r="R32" i="2072"/>
  <c r="L11" i="2072" s="1"/>
  <c r="D11" i="2072" s="1"/>
  <c r="R31" i="2072"/>
  <c r="R30" i="2072"/>
  <c r="R29" i="2072"/>
  <c r="R28" i="2072"/>
  <c r="D28" i="2072"/>
  <c r="R27" i="2072"/>
  <c r="D27" i="2072"/>
  <c r="R26" i="2072"/>
  <c r="L26" i="2072"/>
  <c r="D26" i="2072"/>
  <c r="R25" i="2072"/>
  <c r="L25" i="2072"/>
  <c r="D25" i="2072"/>
  <c r="R24" i="2072"/>
  <c r="D24" i="2072"/>
  <c r="R23" i="2072"/>
  <c r="R22" i="2072"/>
  <c r="L22" i="2072"/>
  <c r="D22" i="2072"/>
  <c r="R21" i="2072"/>
  <c r="D21" i="2072"/>
  <c r="R20" i="2072"/>
  <c r="L20" i="2072"/>
  <c r="D20" i="2072"/>
  <c r="R19" i="2072"/>
  <c r="L19" i="2072"/>
  <c r="D19" i="2072"/>
  <c r="R18" i="2072"/>
  <c r="D18" i="2072"/>
  <c r="R17" i="2072"/>
  <c r="D17" i="2072"/>
  <c r="R16" i="2072"/>
  <c r="L16" i="2072"/>
  <c r="D16" i="2072" s="1"/>
  <c r="S15" i="2072"/>
  <c r="R15" i="2072"/>
  <c r="D15" i="2072"/>
  <c r="S14" i="2072"/>
  <c r="R14" i="2072"/>
  <c r="D14" i="2072"/>
  <c r="R13" i="2072"/>
  <c r="D13" i="2072"/>
  <c r="R12" i="2072"/>
  <c r="R11" i="2072"/>
  <c r="L10" i="2072"/>
  <c r="D10" i="2072" s="1"/>
  <c r="L9" i="2072"/>
  <c r="D9" i="2072" s="1"/>
  <c r="L8" i="2072"/>
  <c r="D8" i="2072"/>
  <c r="R6" i="2072"/>
  <c r="R5" i="2072"/>
  <c r="R4" i="2072"/>
  <c r="R52" i="2071"/>
  <c r="R51" i="2071"/>
  <c r="D50" i="2071"/>
  <c r="R49" i="2071"/>
  <c r="D49" i="2071"/>
  <c r="R48" i="2071"/>
  <c r="D48" i="2071"/>
  <c r="D46" i="2071"/>
  <c r="D45" i="2071"/>
  <c r="R44" i="2071"/>
  <c r="D44" i="2071"/>
  <c r="R42" i="2071"/>
  <c r="L6" i="2071" s="1"/>
  <c r="D6" i="2071" s="1"/>
  <c r="D42" i="2071"/>
  <c r="R41" i="2071"/>
  <c r="D41" i="2071"/>
  <c r="R40" i="2071"/>
  <c r="L8" i="2071" s="1"/>
  <c r="D8" i="2071" s="1"/>
  <c r="D40" i="2071"/>
  <c r="R39" i="2071"/>
  <c r="H39" i="2071"/>
  <c r="D39" i="2071"/>
  <c r="R38" i="2071"/>
  <c r="H38" i="2071"/>
  <c r="D38" i="2071"/>
  <c r="R37" i="2071"/>
  <c r="H37" i="2071"/>
  <c r="D37" i="2071"/>
  <c r="R36" i="2071"/>
  <c r="H36" i="2071"/>
  <c r="D36" i="2071"/>
  <c r="R35" i="2071"/>
  <c r="H35" i="2071"/>
  <c r="D35" i="2071"/>
  <c r="R34" i="2071"/>
  <c r="H34" i="2071"/>
  <c r="G49" i="2071" s="1"/>
  <c r="D34" i="2071"/>
  <c r="D54" i="2071" s="1"/>
  <c r="H14" i="2071" s="1"/>
  <c r="R33" i="2071"/>
  <c r="L19" i="2071" s="1"/>
  <c r="D19" i="2071" s="1"/>
  <c r="R32" i="2071"/>
  <c r="R31" i="2071"/>
  <c r="R30" i="2071"/>
  <c r="R29" i="2071"/>
  <c r="R28" i="2071"/>
  <c r="L28" i="2071"/>
  <c r="D28" i="2071"/>
  <c r="R27" i="2071"/>
  <c r="L27" i="2071"/>
  <c r="D27" i="2071" s="1"/>
  <c r="R26" i="2071"/>
  <c r="L26" i="2071"/>
  <c r="D26" i="2071" s="1"/>
  <c r="R25" i="2071"/>
  <c r="L25" i="2071"/>
  <c r="D25" i="2071" s="1"/>
  <c r="R24" i="2071"/>
  <c r="L24" i="2071"/>
  <c r="D24" i="2071" s="1"/>
  <c r="R23" i="2071"/>
  <c r="L23" i="2071"/>
  <c r="D23" i="2071"/>
  <c r="R22" i="2071"/>
  <c r="L20" i="2071" s="1"/>
  <c r="D20" i="2071" s="1"/>
  <c r="L22" i="2071"/>
  <c r="D22" i="2071"/>
  <c r="R21" i="2071"/>
  <c r="L21" i="2071"/>
  <c r="D21" i="2071"/>
  <c r="R20" i="2071"/>
  <c r="R19" i="2071"/>
  <c r="R18" i="2071"/>
  <c r="L18" i="2071"/>
  <c r="D18" i="2071"/>
  <c r="R17" i="2071"/>
  <c r="L17" i="2071"/>
  <c r="D17" i="2071" s="1"/>
  <c r="R16" i="2071"/>
  <c r="L16" i="2071"/>
  <c r="D16" i="2071"/>
  <c r="R15" i="2071"/>
  <c r="R14" i="2071"/>
  <c r="D14" i="2071"/>
  <c r="R13" i="2071"/>
  <c r="D13" i="2071"/>
  <c r="R12" i="2071"/>
  <c r="L12" i="2071"/>
  <c r="D12" i="2071" s="1"/>
  <c r="R11" i="2071"/>
  <c r="L11" i="2071"/>
  <c r="D11" i="2071"/>
  <c r="L10" i="2071"/>
  <c r="D10" i="2071" s="1"/>
  <c r="L9" i="2071"/>
  <c r="D9" i="2071"/>
  <c r="L7" i="2071"/>
  <c r="D7" i="2071"/>
  <c r="R6" i="2071"/>
  <c r="R5" i="2071"/>
  <c r="R4" i="2071"/>
  <c r="L15" i="2071" s="1"/>
  <c r="D15" i="2071" s="1"/>
  <c r="R52" i="2070"/>
  <c r="R51" i="2070"/>
  <c r="D50" i="2070"/>
  <c r="R49" i="2070"/>
  <c r="D49" i="2070"/>
  <c r="R48" i="2070"/>
  <c r="D48" i="2070"/>
  <c r="D46" i="2070"/>
  <c r="D45" i="2070"/>
  <c r="R44" i="2070"/>
  <c r="L28" i="2070" s="1"/>
  <c r="D28" i="2070" s="1"/>
  <c r="D44" i="2070"/>
  <c r="R42" i="2070"/>
  <c r="D42" i="2070"/>
  <c r="R41" i="2070"/>
  <c r="L7" i="2070" s="1"/>
  <c r="D7" i="2070" s="1"/>
  <c r="D41" i="2070"/>
  <c r="R40" i="2070"/>
  <c r="L8" i="2070" s="1"/>
  <c r="D8" i="2070" s="1"/>
  <c r="D40" i="2070"/>
  <c r="R39" i="2070"/>
  <c r="H39" i="2070"/>
  <c r="D39" i="2070"/>
  <c r="R38" i="2070"/>
  <c r="H38" i="2070"/>
  <c r="D38" i="2070"/>
  <c r="R37" i="2070"/>
  <c r="H37" i="2070"/>
  <c r="D37" i="2070"/>
  <c r="R36" i="2070"/>
  <c r="L10" i="2070" s="1"/>
  <c r="D10" i="2070" s="1"/>
  <c r="H36" i="2070"/>
  <c r="D36" i="2070"/>
  <c r="R35" i="2070"/>
  <c r="L18" i="2070" s="1"/>
  <c r="D18" i="2070" s="1"/>
  <c r="H35" i="2070"/>
  <c r="D35" i="2070"/>
  <c r="D54" i="2070" s="1"/>
  <c r="H14" i="2070" s="1"/>
  <c r="R34" i="2070"/>
  <c r="H34" i="2070"/>
  <c r="G49" i="2070" s="1"/>
  <c r="D34" i="2070"/>
  <c r="R33" i="2070"/>
  <c r="R32" i="2070"/>
  <c r="R31" i="2070"/>
  <c r="R30" i="2070"/>
  <c r="R29" i="2070"/>
  <c r="R28" i="2070"/>
  <c r="R27" i="2070"/>
  <c r="L27" i="2070"/>
  <c r="D27" i="2070"/>
  <c r="R26" i="2070"/>
  <c r="L26" i="2070"/>
  <c r="D26" i="2070"/>
  <c r="R25" i="2070"/>
  <c r="L25" i="2070"/>
  <c r="D25" i="2070"/>
  <c r="R24" i="2070"/>
  <c r="L24" i="2070"/>
  <c r="D24" i="2070"/>
  <c r="R23" i="2070"/>
  <c r="L23" i="2070"/>
  <c r="D23" i="2070" s="1"/>
  <c r="R22" i="2070"/>
  <c r="L20" i="2070" s="1"/>
  <c r="D20" i="2070" s="1"/>
  <c r="L22" i="2070"/>
  <c r="D22" i="2070"/>
  <c r="R21" i="2070"/>
  <c r="L17" i="2070" s="1"/>
  <c r="D17" i="2070" s="1"/>
  <c r="L21" i="2070"/>
  <c r="D21" i="2070"/>
  <c r="R20" i="2070"/>
  <c r="R19" i="2070"/>
  <c r="L19" i="2070"/>
  <c r="D19" i="2070" s="1"/>
  <c r="R18" i="2070"/>
  <c r="R17" i="2070"/>
  <c r="R16" i="2070"/>
  <c r="L16" i="2070"/>
  <c r="D16" i="2070" s="1"/>
  <c r="R15" i="2070"/>
  <c r="R14" i="2070"/>
  <c r="D14" i="2070"/>
  <c r="R13" i="2070"/>
  <c r="D13" i="2070"/>
  <c r="R12" i="2070"/>
  <c r="L12" i="2070"/>
  <c r="D12" i="2070"/>
  <c r="R11" i="2070"/>
  <c r="L11" i="2070"/>
  <c r="D11" i="2070" s="1"/>
  <c r="L9" i="2070"/>
  <c r="D9" i="2070" s="1"/>
  <c r="R6" i="2070"/>
  <c r="L6" i="2070"/>
  <c r="D6" i="2070" s="1"/>
  <c r="R5" i="2070"/>
  <c r="R4" i="2070"/>
  <c r="L15" i="2070" s="1"/>
  <c r="D15" i="2070" s="1"/>
  <c r="R52" i="2069"/>
  <c r="R51" i="2069"/>
  <c r="D50" i="2069"/>
  <c r="R49" i="2069"/>
  <c r="D49" i="2069"/>
  <c r="R48" i="2069"/>
  <c r="D48" i="2069"/>
  <c r="D46" i="2069"/>
  <c r="D45" i="2069"/>
  <c r="R44" i="2069"/>
  <c r="D44" i="2069"/>
  <c r="R42" i="2069"/>
  <c r="D42" i="2069"/>
  <c r="R41" i="2069"/>
  <c r="D41" i="2069"/>
  <c r="R40" i="2069"/>
  <c r="L8" i="2069" s="1"/>
  <c r="D8" i="2069" s="1"/>
  <c r="D40" i="2069"/>
  <c r="R39" i="2069"/>
  <c r="H39" i="2069"/>
  <c r="D39" i="2069"/>
  <c r="R38" i="2069"/>
  <c r="L9" i="2069" s="1"/>
  <c r="D9" i="2069" s="1"/>
  <c r="H38" i="2069"/>
  <c r="D38" i="2069"/>
  <c r="R37" i="2069"/>
  <c r="H37" i="2069"/>
  <c r="D37" i="2069"/>
  <c r="R36" i="2069"/>
  <c r="H36" i="2069"/>
  <c r="D36" i="2069"/>
  <c r="R35" i="2069"/>
  <c r="L18" i="2069" s="1"/>
  <c r="D18" i="2069" s="1"/>
  <c r="H35" i="2069"/>
  <c r="D35" i="2069"/>
  <c r="R34" i="2069"/>
  <c r="L12" i="2069" s="1"/>
  <c r="D12" i="2069" s="1"/>
  <c r="H34" i="2069"/>
  <c r="G49" i="2069" s="1"/>
  <c r="D34" i="2069"/>
  <c r="D54" i="2069" s="1"/>
  <c r="H14" i="2069" s="1"/>
  <c r="R33" i="2069"/>
  <c r="R32" i="2069"/>
  <c r="R31" i="2069"/>
  <c r="R30" i="2069"/>
  <c r="R29" i="2069"/>
  <c r="R28" i="2069"/>
  <c r="L28" i="2069"/>
  <c r="D28" i="2069"/>
  <c r="R27" i="2069"/>
  <c r="L27" i="2069"/>
  <c r="D27" i="2069" s="1"/>
  <c r="R26" i="2069"/>
  <c r="L26" i="2069"/>
  <c r="D26" i="2069" s="1"/>
  <c r="R25" i="2069"/>
  <c r="L25" i="2069"/>
  <c r="D25" i="2069" s="1"/>
  <c r="R24" i="2069"/>
  <c r="L24" i="2069"/>
  <c r="D24" i="2069"/>
  <c r="R23" i="2069"/>
  <c r="L23" i="2069"/>
  <c r="D23" i="2069" s="1"/>
  <c r="R22" i="2069"/>
  <c r="L20" i="2069" s="1"/>
  <c r="D20" i="2069" s="1"/>
  <c r="L22" i="2069"/>
  <c r="D22" i="2069" s="1"/>
  <c r="R21" i="2069"/>
  <c r="L17" i="2069" s="1"/>
  <c r="D17" i="2069" s="1"/>
  <c r="L21" i="2069"/>
  <c r="D21" i="2069"/>
  <c r="R20" i="2069"/>
  <c r="R19" i="2069"/>
  <c r="L19" i="2069"/>
  <c r="D19" i="2069"/>
  <c r="R18" i="2069"/>
  <c r="R17" i="2069"/>
  <c r="R16" i="2069"/>
  <c r="L16" i="2069"/>
  <c r="D16" i="2069"/>
  <c r="R15" i="2069"/>
  <c r="L15" i="2069"/>
  <c r="D15" i="2069" s="1"/>
  <c r="R14" i="2069"/>
  <c r="D14" i="2069"/>
  <c r="R13" i="2069"/>
  <c r="D13" i="2069"/>
  <c r="R12" i="2069"/>
  <c r="R11" i="2069"/>
  <c r="L11" i="2069"/>
  <c r="D11" i="2069"/>
  <c r="L10" i="2069"/>
  <c r="D10" i="2069" s="1"/>
  <c r="L7" i="2069"/>
  <c r="D7" i="2069" s="1"/>
  <c r="R6" i="2069"/>
  <c r="L6" i="2069"/>
  <c r="D6" i="2069" s="1"/>
  <c r="R5" i="2069"/>
  <c r="R4" i="2069"/>
  <c r="R52" i="2068"/>
  <c r="R51" i="2068"/>
  <c r="D50" i="2068"/>
  <c r="R49" i="2068"/>
  <c r="G49" i="2068"/>
  <c r="D49" i="2068"/>
  <c r="R48" i="2068"/>
  <c r="D48" i="2068"/>
  <c r="D46" i="2068"/>
  <c r="D45" i="2068"/>
  <c r="D44" i="2068"/>
  <c r="R42" i="2068"/>
  <c r="L6" i="2068" s="1"/>
  <c r="D6" i="2068" s="1"/>
  <c r="D42" i="2068"/>
  <c r="R41" i="2068"/>
  <c r="L7" i="2068" s="1"/>
  <c r="D7" i="2068" s="1"/>
  <c r="D41" i="2068"/>
  <c r="R40" i="2068"/>
  <c r="D40" i="2068"/>
  <c r="R39" i="2068"/>
  <c r="D39" i="2068"/>
  <c r="R38" i="2068"/>
  <c r="D38" i="2068"/>
  <c r="R37" i="2068"/>
  <c r="D37" i="2068"/>
  <c r="R36" i="2068"/>
  <c r="L10" i="2068" s="1"/>
  <c r="D10" i="2068" s="1"/>
  <c r="D36" i="2068"/>
  <c r="R35" i="2068"/>
  <c r="D35" i="2068"/>
  <c r="R34" i="2068"/>
  <c r="D34" i="2068"/>
  <c r="D54" i="2068" s="1"/>
  <c r="H14" i="2068" s="1"/>
  <c r="R33" i="2068"/>
  <c r="R32" i="2068"/>
  <c r="L11" i="2068" s="1"/>
  <c r="D11" i="2068" s="1"/>
  <c r="R31" i="2068"/>
  <c r="R30" i="2068"/>
  <c r="R29" i="2068"/>
  <c r="R28" i="2068"/>
  <c r="D28" i="2068"/>
  <c r="R27" i="2068"/>
  <c r="D27" i="2068"/>
  <c r="R26" i="2068"/>
  <c r="L26" i="2068"/>
  <c r="D26" i="2068"/>
  <c r="R25" i="2068"/>
  <c r="L25" i="2068"/>
  <c r="D25" i="2068"/>
  <c r="R24" i="2068"/>
  <c r="D24" i="2068"/>
  <c r="R23" i="2068"/>
  <c r="L23" i="2068"/>
  <c r="D23" i="2068" s="1"/>
  <c r="R22" i="2068"/>
  <c r="L22" i="2068"/>
  <c r="D22" i="2068"/>
  <c r="R21" i="2068"/>
  <c r="D21" i="2068"/>
  <c r="R20" i="2068"/>
  <c r="L20" i="2068"/>
  <c r="D20" i="2068"/>
  <c r="R19" i="2068"/>
  <c r="L19" i="2068"/>
  <c r="D19" i="2068"/>
  <c r="R18" i="2068"/>
  <c r="D18" i="2068"/>
  <c r="R17" i="2068"/>
  <c r="D17" i="2068"/>
  <c r="R16" i="2068"/>
  <c r="L16" i="2068"/>
  <c r="D16" i="2068" s="1"/>
  <c r="S15" i="2068"/>
  <c r="R15" i="2068"/>
  <c r="D15" i="2068"/>
  <c r="S14" i="2068"/>
  <c r="R14" i="2068"/>
  <c r="D14" i="2068"/>
  <c r="R13" i="2068"/>
  <c r="D13" i="2068"/>
  <c r="R12" i="2068"/>
  <c r="L12" i="2068"/>
  <c r="D12" i="2068" s="1"/>
  <c r="R11" i="2068"/>
  <c r="L9" i="2068"/>
  <c r="D9" i="2068" s="1"/>
  <c r="L8" i="2068"/>
  <c r="D8" i="2068"/>
  <c r="R6" i="2068"/>
  <c r="R5" i="2068"/>
  <c r="R4" i="2068"/>
  <c r="R52" i="2067"/>
  <c r="R51" i="2067"/>
  <c r="D50" i="2067"/>
  <c r="R49" i="2067"/>
  <c r="D49" i="2067"/>
  <c r="R48" i="2067"/>
  <c r="D48" i="2067"/>
  <c r="D46" i="2067"/>
  <c r="D45" i="2067"/>
  <c r="R44" i="2067"/>
  <c r="D44" i="2067"/>
  <c r="R42" i="2067"/>
  <c r="L6" i="2067" s="1"/>
  <c r="D6" i="2067" s="1"/>
  <c r="D42" i="2067"/>
  <c r="R41" i="2067"/>
  <c r="D41" i="2067"/>
  <c r="R40" i="2067"/>
  <c r="D40" i="2067"/>
  <c r="R39" i="2067"/>
  <c r="H39" i="2067"/>
  <c r="D39" i="2067"/>
  <c r="R38" i="2067"/>
  <c r="H38" i="2067"/>
  <c r="D38" i="2067"/>
  <c r="R37" i="2067"/>
  <c r="H37" i="2067"/>
  <c r="D37" i="2067"/>
  <c r="R36" i="2067"/>
  <c r="L10" i="2067" s="1"/>
  <c r="D10" i="2067" s="1"/>
  <c r="H36" i="2067"/>
  <c r="G49" i="2067" s="1"/>
  <c r="D36" i="2067"/>
  <c r="R35" i="2067"/>
  <c r="H35" i="2067"/>
  <c r="D35" i="2067"/>
  <c r="R34" i="2067"/>
  <c r="H34" i="2067"/>
  <c r="D34" i="2067"/>
  <c r="D54" i="2067" s="1"/>
  <c r="H14" i="2067" s="1"/>
  <c r="R33" i="2067"/>
  <c r="R32" i="2067"/>
  <c r="L11" i="2067" s="1"/>
  <c r="D11" i="2067" s="1"/>
  <c r="R31" i="2067"/>
  <c r="R30" i="2067"/>
  <c r="R29" i="2067"/>
  <c r="R28" i="2067"/>
  <c r="L28" i="2067"/>
  <c r="D28" i="2067"/>
  <c r="R27" i="2067"/>
  <c r="L27" i="2067"/>
  <c r="D27" i="2067"/>
  <c r="R26" i="2067"/>
  <c r="L26" i="2067"/>
  <c r="D26" i="2067" s="1"/>
  <c r="R25" i="2067"/>
  <c r="L25" i="2067"/>
  <c r="D25" i="2067"/>
  <c r="R24" i="2067"/>
  <c r="L24" i="2067"/>
  <c r="D24" i="2067"/>
  <c r="R23" i="2067"/>
  <c r="L23" i="2067"/>
  <c r="D23" i="2067"/>
  <c r="R22" i="2067"/>
  <c r="L20" i="2067" s="1"/>
  <c r="D20" i="2067" s="1"/>
  <c r="L22" i="2067"/>
  <c r="D22" i="2067" s="1"/>
  <c r="R21" i="2067"/>
  <c r="L21" i="2067"/>
  <c r="D21" i="2067"/>
  <c r="R20" i="2067"/>
  <c r="R19" i="2067"/>
  <c r="L19" i="2067"/>
  <c r="D19" i="2067" s="1"/>
  <c r="R18" i="2067"/>
  <c r="L18" i="2067"/>
  <c r="D18" i="2067" s="1"/>
  <c r="R17" i="2067"/>
  <c r="L17" i="2067"/>
  <c r="D17" i="2067" s="1"/>
  <c r="R16" i="2067"/>
  <c r="R15" i="2067"/>
  <c r="L15" i="2067"/>
  <c r="D15" i="2067"/>
  <c r="R14" i="2067"/>
  <c r="D14" i="2067"/>
  <c r="R13" i="2067"/>
  <c r="D13" i="2067"/>
  <c r="R12" i="2067"/>
  <c r="L12" i="2067"/>
  <c r="D12" i="2067" s="1"/>
  <c r="R11" i="2067"/>
  <c r="L9" i="2067"/>
  <c r="D9" i="2067" s="1"/>
  <c r="L8" i="2067"/>
  <c r="D8" i="2067"/>
  <c r="L7" i="2067"/>
  <c r="D7" i="2067"/>
  <c r="R6" i="2067"/>
  <c r="L16" i="2067" s="1"/>
  <c r="D16" i="2067" s="1"/>
  <c r="R5" i="2067"/>
  <c r="R4" i="2067"/>
  <c r="R52" i="2066"/>
  <c r="R51" i="2066"/>
  <c r="D50" i="2066"/>
  <c r="R49" i="2066"/>
  <c r="D49" i="2066"/>
  <c r="R48" i="2066"/>
  <c r="D48" i="2066"/>
  <c r="D46" i="2066"/>
  <c r="D45" i="2066"/>
  <c r="R44" i="2066"/>
  <c r="D44" i="2066"/>
  <c r="R42" i="2066"/>
  <c r="L6" i="2066" s="1"/>
  <c r="D6" i="2066" s="1"/>
  <c r="D42" i="2066"/>
  <c r="R41" i="2066"/>
  <c r="D41" i="2066"/>
  <c r="R40" i="2066"/>
  <c r="D40" i="2066"/>
  <c r="R39" i="2066"/>
  <c r="H39" i="2066"/>
  <c r="D39" i="2066"/>
  <c r="R38" i="2066"/>
  <c r="H38" i="2066"/>
  <c r="D38" i="2066"/>
  <c r="R37" i="2066"/>
  <c r="H37" i="2066"/>
  <c r="D37" i="2066"/>
  <c r="R36" i="2066"/>
  <c r="L10" i="2066" s="1"/>
  <c r="D10" i="2066" s="1"/>
  <c r="H36" i="2066"/>
  <c r="G49" i="2066" s="1"/>
  <c r="D36" i="2066"/>
  <c r="R35" i="2066"/>
  <c r="L18" i="2066" s="1"/>
  <c r="D18" i="2066" s="1"/>
  <c r="H35" i="2066"/>
  <c r="D35" i="2066"/>
  <c r="D54" i="2066" s="1"/>
  <c r="H14" i="2066" s="1"/>
  <c r="R34" i="2066"/>
  <c r="H34" i="2066"/>
  <c r="D34" i="2066"/>
  <c r="R33" i="2066"/>
  <c r="R32" i="2066"/>
  <c r="R31" i="2066"/>
  <c r="R30" i="2066"/>
  <c r="R29" i="2066"/>
  <c r="R28" i="2066"/>
  <c r="L28" i="2066"/>
  <c r="D28" i="2066"/>
  <c r="R27" i="2066"/>
  <c r="L27" i="2066"/>
  <c r="D27" i="2066"/>
  <c r="R26" i="2066"/>
  <c r="L26" i="2066"/>
  <c r="D26" i="2066" s="1"/>
  <c r="R25" i="2066"/>
  <c r="L25" i="2066"/>
  <c r="D25" i="2066"/>
  <c r="R24" i="2066"/>
  <c r="L24" i="2066"/>
  <c r="D24" i="2066" s="1"/>
  <c r="R23" i="2066"/>
  <c r="L23" i="2066"/>
  <c r="D23" i="2066"/>
  <c r="R22" i="2066"/>
  <c r="L20" i="2066" s="1"/>
  <c r="D20" i="2066" s="1"/>
  <c r="L22" i="2066"/>
  <c r="D22" i="2066" s="1"/>
  <c r="R21" i="2066"/>
  <c r="L21" i="2066"/>
  <c r="D21" i="2066" s="1"/>
  <c r="R20" i="2066"/>
  <c r="R19" i="2066"/>
  <c r="L19" i="2066"/>
  <c r="D19" i="2066" s="1"/>
  <c r="R18" i="2066"/>
  <c r="R17" i="2066"/>
  <c r="L17" i="2066"/>
  <c r="D17" i="2066" s="1"/>
  <c r="R16" i="2066"/>
  <c r="R15" i="2066"/>
  <c r="R14" i="2066"/>
  <c r="D14" i="2066"/>
  <c r="R13" i="2066"/>
  <c r="D13" i="2066"/>
  <c r="R12" i="2066"/>
  <c r="L12" i="2066"/>
  <c r="D12" i="2066" s="1"/>
  <c r="R11" i="2066"/>
  <c r="L11" i="2066"/>
  <c r="D11" i="2066"/>
  <c r="L9" i="2066"/>
  <c r="D9" i="2066" s="1"/>
  <c r="L8" i="2066"/>
  <c r="D8" i="2066"/>
  <c r="L7" i="2066"/>
  <c r="D7" i="2066" s="1"/>
  <c r="R6" i="2066"/>
  <c r="L16" i="2066" s="1"/>
  <c r="D16" i="2066" s="1"/>
  <c r="R5" i="2066"/>
  <c r="R4" i="2066"/>
  <c r="L15" i="2066" s="1"/>
  <c r="D15" i="2066" s="1"/>
  <c r="R52" i="2065"/>
  <c r="R51" i="2065"/>
  <c r="D50" i="2065"/>
  <c r="R49" i="2065"/>
  <c r="G49" i="2065"/>
  <c r="D49" i="2065"/>
  <c r="R48" i="2065"/>
  <c r="D48" i="2065"/>
  <c r="D46" i="2065"/>
  <c r="D45" i="2065"/>
  <c r="R44" i="2065"/>
  <c r="L28" i="2065" s="1"/>
  <c r="D28" i="2065" s="1"/>
  <c r="D44" i="2065"/>
  <c r="R42" i="2065"/>
  <c r="D42" i="2065"/>
  <c r="R41" i="2065"/>
  <c r="L7" i="2065" s="1"/>
  <c r="D7" i="2065" s="1"/>
  <c r="D41" i="2065"/>
  <c r="R40" i="2065"/>
  <c r="D40" i="2065"/>
  <c r="R39" i="2065"/>
  <c r="H39" i="2065"/>
  <c r="D39" i="2065"/>
  <c r="R38" i="2065"/>
  <c r="H38" i="2065"/>
  <c r="D38" i="2065"/>
  <c r="R37" i="2065"/>
  <c r="H37" i="2065"/>
  <c r="D37" i="2065"/>
  <c r="R36" i="2065"/>
  <c r="H36" i="2065"/>
  <c r="D36" i="2065"/>
  <c r="R35" i="2065"/>
  <c r="L18" i="2065" s="1"/>
  <c r="D18" i="2065" s="1"/>
  <c r="H35" i="2065"/>
  <c r="D35" i="2065"/>
  <c r="R34" i="2065"/>
  <c r="H34" i="2065"/>
  <c r="D34" i="2065"/>
  <c r="D54" i="2065" s="1"/>
  <c r="H14" i="2065" s="1"/>
  <c r="R33" i="2065"/>
  <c r="L19" i="2065" s="1"/>
  <c r="D19" i="2065" s="1"/>
  <c r="R32" i="2065"/>
  <c r="L11" i="2065" s="1"/>
  <c r="D11" i="2065" s="1"/>
  <c r="R31" i="2065"/>
  <c r="R30" i="2065"/>
  <c r="R29" i="2065"/>
  <c r="R28" i="2065"/>
  <c r="R27" i="2065"/>
  <c r="L27" i="2065"/>
  <c r="D27" i="2065" s="1"/>
  <c r="R26" i="2065"/>
  <c r="L26" i="2065"/>
  <c r="D26" i="2065"/>
  <c r="R25" i="2065"/>
  <c r="L25" i="2065"/>
  <c r="D25" i="2065"/>
  <c r="R24" i="2065"/>
  <c r="L24" i="2065"/>
  <c r="D24" i="2065"/>
  <c r="R23" i="2065"/>
  <c r="L23" i="2065"/>
  <c r="D23" i="2065" s="1"/>
  <c r="R22" i="2065"/>
  <c r="L22" i="2065"/>
  <c r="D22" i="2065"/>
  <c r="R21" i="2065"/>
  <c r="L21" i="2065"/>
  <c r="D21" i="2065"/>
  <c r="R20" i="2065"/>
  <c r="L20" i="2065"/>
  <c r="D20" i="2065" s="1"/>
  <c r="R19" i="2065"/>
  <c r="R18" i="2065"/>
  <c r="R17" i="2065"/>
  <c r="L17" i="2065"/>
  <c r="D17" i="2065"/>
  <c r="R16" i="2065"/>
  <c r="R15" i="2065"/>
  <c r="L15" i="2065"/>
  <c r="D15" i="2065" s="1"/>
  <c r="R14" i="2065"/>
  <c r="D14" i="2065"/>
  <c r="R13" i="2065"/>
  <c r="D13" i="2065"/>
  <c r="R12" i="2065"/>
  <c r="L12" i="2065"/>
  <c r="D12" i="2065"/>
  <c r="R11" i="2065"/>
  <c r="L10" i="2065"/>
  <c r="D10" i="2065"/>
  <c r="L9" i="2065"/>
  <c r="D9" i="2065" s="1"/>
  <c r="L8" i="2065"/>
  <c r="D8" i="2065"/>
  <c r="R6" i="2065"/>
  <c r="L16" i="2065" s="1"/>
  <c r="D16" i="2065" s="1"/>
  <c r="L6" i="2065"/>
  <c r="D6" i="2065" s="1"/>
  <c r="D29" i="2065" s="1"/>
  <c r="H13" i="2065" s="1"/>
  <c r="H15" i="2065" s="1"/>
  <c r="H29" i="2065" s="1"/>
  <c r="R5" i="2065"/>
  <c r="R4" i="2065"/>
  <c r="R52" i="2064"/>
  <c r="R51" i="2064"/>
  <c r="D50" i="2064"/>
  <c r="R49" i="2064"/>
  <c r="G49" i="2064"/>
  <c r="D49" i="2064"/>
  <c r="R48" i="2064"/>
  <c r="D48" i="2064"/>
  <c r="D46" i="2064"/>
  <c r="D45" i="2064"/>
  <c r="D44" i="2064"/>
  <c r="R42" i="2064"/>
  <c r="D42" i="2064"/>
  <c r="R41" i="2064"/>
  <c r="L7" i="2064" s="1"/>
  <c r="D7" i="2064" s="1"/>
  <c r="D41" i="2064"/>
  <c r="R40" i="2064"/>
  <c r="D40" i="2064"/>
  <c r="R39" i="2064"/>
  <c r="D39" i="2064"/>
  <c r="R38" i="2064"/>
  <c r="D38" i="2064"/>
  <c r="R37" i="2064"/>
  <c r="D37" i="2064"/>
  <c r="R36" i="2064"/>
  <c r="D36" i="2064"/>
  <c r="R35" i="2064"/>
  <c r="L19" i="2064" s="1"/>
  <c r="D19" i="2064" s="1"/>
  <c r="D35" i="2064"/>
  <c r="R34" i="2064"/>
  <c r="L12" i="2064" s="1"/>
  <c r="D12" i="2064" s="1"/>
  <c r="D34" i="2064"/>
  <c r="D54" i="2064" s="1"/>
  <c r="H14" i="2064" s="1"/>
  <c r="R33" i="2064"/>
  <c r="L23" i="2064" s="1"/>
  <c r="D23" i="2064" s="1"/>
  <c r="R32" i="2064"/>
  <c r="R31" i="2064"/>
  <c r="R30" i="2064"/>
  <c r="R29" i="2064"/>
  <c r="R28" i="2064"/>
  <c r="L16" i="2064" s="1"/>
  <c r="D16" i="2064" s="1"/>
  <c r="D28" i="2064"/>
  <c r="R27" i="2064"/>
  <c r="D27" i="2064"/>
  <c r="R26" i="2064"/>
  <c r="L26" i="2064"/>
  <c r="D26" i="2064"/>
  <c r="R25" i="2064"/>
  <c r="L25" i="2064"/>
  <c r="D25" i="2064"/>
  <c r="R24" i="2064"/>
  <c r="D24" i="2064"/>
  <c r="R23" i="2064"/>
  <c r="R22" i="2064"/>
  <c r="L22" i="2064"/>
  <c r="D22" i="2064" s="1"/>
  <c r="R21" i="2064"/>
  <c r="D21" i="2064"/>
  <c r="R20" i="2064"/>
  <c r="L20" i="2064"/>
  <c r="D20" i="2064"/>
  <c r="R19" i="2064"/>
  <c r="R18" i="2064"/>
  <c r="D18" i="2064"/>
  <c r="R17" i="2064"/>
  <c r="D17" i="2064"/>
  <c r="R16" i="2064"/>
  <c r="S15" i="2064"/>
  <c r="R15" i="2064"/>
  <c r="D15" i="2064"/>
  <c r="S14" i="2064"/>
  <c r="R14" i="2064"/>
  <c r="D14" i="2064"/>
  <c r="R13" i="2064"/>
  <c r="D13" i="2064"/>
  <c r="R12" i="2064"/>
  <c r="R11" i="2064"/>
  <c r="L11" i="2064"/>
  <c r="D11" i="2064" s="1"/>
  <c r="L10" i="2064"/>
  <c r="D10" i="2064" s="1"/>
  <c r="L9" i="2064"/>
  <c r="D9" i="2064" s="1"/>
  <c r="L8" i="2064"/>
  <c r="D8" i="2064" s="1"/>
  <c r="R6" i="2064"/>
  <c r="L6" i="2064"/>
  <c r="D6" i="2064"/>
  <c r="D29" i="2064" s="1"/>
  <c r="H13" i="2064" s="1"/>
  <c r="R5" i="2064"/>
  <c r="R4" i="2064"/>
  <c r="R52" i="2063"/>
  <c r="R51" i="2063"/>
  <c r="D50" i="2063"/>
  <c r="R49" i="2063"/>
  <c r="D49" i="2063"/>
  <c r="R48" i="2063"/>
  <c r="D48" i="2063"/>
  <c r="D46" i="2063"/>
  <c r="D45" i="2063"/>
  <c r="R44" i="2063"/>
  <c r="L28" i="2063" s="1"/>
  <c r="D28" i="2063" s="1"/>
  <c r="D44" i="2063"/>
  <c r="R42" i="2063"/>
  <c r="D42" i="2063"/>
  <c r="R41" i="2063"/>
  <c r="D41" i="2063"/>
  <c r="R40" i="2063"/>
  <c r="L8" i="2063" s="1"/>
  <c r="D8" i="2063" s="1"/>
  <c r="D40" i="2063"/>
  <c r="R39" i="2063"/>
  <c r="H39" i="2063"/>
  <c r="D39" i="2063"/>
  <c r="R38" i="2063"/>
  <c r="L9" i="2063" s="1"/>
  <c r="D9" i="2063" s="1"/>
  <c r="H38" i="2063"/>
  <c r="D38" i="2063"/>
  <c r="R37" i="2063"/>
  <c r="H37" i="2063"/>
  <c r="D37" i="2063"/>
  <c r="R36" i="2063"/>
  <c r="L10" i="2063" s="1"/>
  <c r="D10" i="2063" s="1"/>
  <c r="H36" i="2063"/>
  <c r="D36" i="2063"/>
  <c r="R35" i="2063"/>
  <c r="H35" i="2063"/>
  <c r="D35" i="2063"/>
  <c r="D54" i="2063" s="1"/>
  <c r="H14" i="2063" s="1"/>
  <c r="R34" i="2063"/>
  <c r="L12" i="2063" s="1"/>
  <c r="D12" i="2063" s="1"/>
  <c r="H34" i="2063"/>
  <c r="G49" i="2063" s="1"/>
  <c r="D34" i="2063"/>
  <c r="R33" i="2063"/>
  <c r="R32" i="2063"/>
  <c r="R31" i="2063"/>
  <c r="R30" i="2063"/>
  <c r="R29" i="2063"/>
  <c r="R28" i="2063"/>
  <c r="R27" i="2063"/>
  <c r="L27" i="2063"/>
  <c r="D27" i="2063"/>
  <c r="R26" i="2063"/>
  <c r="L26" i="2063"/>
  <c r="D26" i="2063"/>
  <c r="R25" i="2063"/>
  <c r="L25" i="2063"/>
  <c r="D25" i="2063"/>
  <c r="R24" i="2063"/>
  <c r="L24" i="2063"/>
  <c r="D24" i="2063"/>
  <c r="R23" i="2063"/>
  <c r="L23" i="2063"/>
  <c r="D23" i="2063"/>
  <c r="R22" i="2063"/>
  <c r="L20" i="2063" s="1"/>
  <c r="D20" i="2063" s="1"/>
  <c r="L22" i="2063"/>
  <c r="D22" i="2063"/>
  <c r="R21" i="2063"/>
  <c r="L17" i="2063" s="1"/>
  <c r="D17" i="2063" s="1"/>
  <c r="L21" i="2063"/>
  <c r="D21" i="2063" s="1"/>
  <c r="R20" i="2063"/>
  <c r="R19" i="2063"/>
  <c r="L19" i="2063"/>
  <c r="D19" i="2063"/>
  <c r="R18" i="2063"/>
  <c r="L18" i="2063"/>
  <c r="D18" i="2063" s="1"/>
  <c r="R17" i="2063"/>
  <c r="R16" i="2063"/>
  <c r="R15" i="2063"/>
  <c r="R14" i="2063"/>
  <c r="D14" i="2063"/>
  <c r="R13" i="2063"/>
  <c r="D13" i="2063"/>
  <c r="R12" i="2063"/>
  <c r="R11" i="2063"/>
  <c r="L11" i="2063"/>
  <c r="D11" i="2063"/>
  <c r="L7" i="2063"/>
  <c r="D7" i="2063"/>
  <c r="R6" i="2063"/>
  <c r="L16" i="2063" s="1"/>
  <c r="D16" i="2063" s="1"/>
  <c r="L6" i="2063"/>
  <c r="D6" i="2063"/>
  <c r="R5" i="2063"/>
  <c r="R4" i="2063"/>
  <c r="L15" i="2063" s="1"/>
  <c r="D15" i="2063" s="1"/>
  <c r="R52" i="2062"/>
  <c r="R51" i="2062"/>
  <c r="D50" i="2062"/>
  <c r="R49" i="2062"/>
  <c r="D49" i="2062"/>
  <c r="R48" i="2062"/>
  <c r="D48" i="2062"/>
  <c r="D46" i="2062"/>
  <c r="D45" i="2062"/>
  <c r="R44" i="2062"/>
  <c r="D44" i="2062"/>
  <c r="R42" i="2062"/>
  <c r="L6" i="2062" s="1"/>
  <c r="D6" i="2062" s="1"/>
  <c r="D42" i="2062"/>
  <c r="R41" i="2062"/>
  <c r="D41" i="2062"/>
  <c r="R40" i="2062"/>
  <c r="L8" i="2062" s="1"/>
  <c r="D8" i="2062" s="1"/>
  <c r="D40" i="2062"/>
  <c r="R39" i="2062"/>
  <c r="H39" i="2062"/>
  <c r="D39" i="2062"/>
  <c r="R38" i="2062"/>
  <c r="L9" i="2062" s="1"/>
  <c r="D9" i="2062" s="1"/>
  <c r="H38" i="2062"/>
  <c r="D38" i="2062"/>
  <c r="R37" i="2062"/>
  <c r="H37" i="2062"/>
  <c r="D37" i="2062"/>
  <c r="R36" i="2062"/>
  <c r="L10" i="2062" s="1"/>
  <c r="D10" i="2062" s="1"/>
  <c r="H36" i="2062"/>
  <c r="G49" i="2062" s="1"/>
  <c r="D36" i="2062"/>
  <c r="R35" i="2062"/>
  <c r="L18" i="2062" s="1"/>
  <c r="D18" i="2062" s="1"/>
  <c r="H35" i="2062"/>
  <c r="D35" i="2062"/>
  <c r="R34" i="2062"/>
  <c r="H34" i="2062"/>
  <c r="D34" i="2062"/>
  <c r="D54" i="2062" s="1"/>
  <c r="H14" i="2062" s="1"/>
  <c r="R33" i="2062"/>
  <c r="R32" i="2062"/>
  <c r="R31" i="2062"/>
  <c r="R30" i="2062"/>
  <c r="R29" i="2062"/>
  <c r="R28" i="2062"/>
  <c r="L28" i="2062"/>
  <c r="D28" i="2062"/>
  <c r="R27" i="2062"/>
  <c r="L27" i="2062"/>
  <c r="D27" i="2062"/>
  <c r="R26" i="2062"/>
  <c r="L26" i="2062"/>
  <c r="D26" i="2062"/>
  <c r="R25" i="2062"/>
  <c r="L25" i="2062"/>
  <c r="D25" i="2062" s="1"/>
  <c r="R24" i="2062"/>
  <c r="L24" i="2062"/>
  <c r="D24" i="2062" s="1"/>
  <c r="R23" i="2062"/>
  <c r="L23" i="2062"/>
  <c r="D23" i="2062"/>
  <c r="R22" i="2062"/>
  <c r="L20" i="2062" s="1"/>
  <c r="D20" i="2062" s="1"/>
  <c r="L22" i="2062"/>
  <c r="D22" i="2062" s="1"/>
  <c r="R21" i="2062"/>
  <c r="L21" i="2062"/>
  <c r="D21" i="2062" s="1"/>
  <c r="R20" i="2062"/>
  <c r="R19" i="2062"/>
  <c r="L19" i="2062"/>
  <c r="D19" i="2062"/>
  <c r="R18" i="2062"/>
  <c r="R17" i="2062"/>
  <c r="L17" i="2062"/>
  <c r="D17" i="2062" s="1"/>
  <c r="R16" i="2062"/>
  <c r="L16" i="2062"/>
  <c r="D16" i="2062"/>
  <c r="R15" i="2062"/>
  <c r="R14" i="2062"/>
  <c r="D14" i="2062"/>
  <c r="R13" i="2062"/>
  <c r="D13" i="2062"/>
  <c r="R12" i="2062"/>
  <c r="L12" i="2062"/>
  <c r="D12" i="2062" s="1"/>
  <c r="R11" i="2062"/>
  <c r="L11" i="2062"/>
  <c r="D11" i="2062"/>
  <c r="L7" i="2062"/>
  <c r="D7" i="2062" s="1"/>
  <c r="R6" i="2062"/>
  <c r="R5" i="2062"/>
  <c r="R4" i="2062"/>
  <c r="L15" i="2062" s="1"/>
  <c r="D15" i="2062" s="1"/>
  <c r="D54" i="2061"/>
  <c r="H14" i="2061" s="1"/>
  <c r="R52" i="2061"/>
  <c r="R51" i="2061"/>
  <c r="D50" i="2061"/>
  <c r="R49" i="2061"/>
  <c r="D49" i="2061"/>
  <c r="R48" i="2061"/>
  <c r="D48" i="2061"/>
  <c r="D46" i="2061"/>
  <c r="D45" i="2061"/>
  <c r="R44" i="2061"/>
  <c r="L28" i="2061" s="1"/>
  <c r="D28" i="2061" s="1"/>
  <c r="D44" i="2061"/>
  <c r="R42" i="2061"/>
  <c r="D42" i="2061"/>
  <c r="R41" i="2061"/>
  <c r="L7" i="2061" s="1"/>
  <c r="D7" i="2061" s="1"/>
  <c r="D41" i="2061"/>
  <c r="R40" i="2061"/>
  <c r="D40" i="2061"/>
  <c r="R39" i="2061"/>
  <c r="H39" i="2061"/>
  <c r="D39" i="2061"/>
  <c r="R38" i="2061"/>
  <c r="H38" i="2061"/>
  <c r="G49" i="2061" s="1"/>
  <c r="D38" i="2061"/>
  <c r="R37" i="2061"/>
  <c r="H37" i="2061"/>
  <c r="D37" i="2061"/>
  <c r="R36" i="2061"/>
  <c r="L10" i="2061" s="1"/>
  <c r="D10" i="2061" s="1"/>
  <c r="H36" i="2061"/>
  <c r="D36" i="2061"/>
  <c r="R35" i="2061"/>
  <c r="L18" i="2061" s="1"/>
  <c r="D18" i="2061" s="1"/>
  <c r="H35" i="2061"/>
  <c r="D35" i="2061"/>
  <c r="R34" i="2061"/>
  <c r="H34" i="2061"/>
  <c r="D34" i="2061"/>
  <c r="R33" i="2061"/>
  <c r="L19" i="2061" s="1"/>
  <c r="D19" i="2061" s="1"/>
  <c r="R32" i="2061"/>
  <c r="L11" i="2061" s="1"/>
  <c r="D11" i="2061" s="1"/>
  <c r="R31" i="2061"/>
  <c r="R30" i="2061"/>
  <c r="R29" i="2061"/>
  <c r="R28" i="2061"/>
  <c r="R27" i="2061"/>
  <c r="L27" i="2061"/>
  <c r="D27" i="2061"/>
  <c r="R26" i="2061"/>
  <c r="L26" i="2061"/>
  <c r="D26" i="2061"/>
  <c r="R25" i="2061"/>
  <c r="L25" i="2061"/>
  <c r="D25" i="2061"/>
  <c r="R24" i="2061"/>
  <c r="L24" i="2061"/>
  <c r="D24" i="2061" s="1"/>
  <c r="R23" i="2061"/>
  <c r="L23" i="2061"/>
  <c r="D23" i="2061" s="1"/>
  <c r="R22" i="2061"/>
  <c r="L20" i="2061" s="1"/>
  <c r="D20" i="2061" s="1"/>
  <c r="L22" i="2061"/>
  <c r="D22" i="2061" s="1"/>
  <c r="R21" i="2061"/>
  <c r="L21" i="2061"/>
  <c r="D21" i="2061"/>
  <c r="R20" i="2061"/>
  <c r="R19" i="2061"/>
  <c r="R18" i="2061"/>
  <c r="R17" i="2061"/>
  <c r="L17" i="2061"/>
  <c r="D17" i="2061"/>
  <c r="R16" i="2061"/>
  <c r="R15" i="2061"/>
  <c r="R14" i="2061"/>
  <c r="D14" i="2061"/>
  <c r="R13" i="2061"/>
  <c r="D13" i="2061"/>
  <c r="R12" i="2061"/>
  <c r="L12" i="2061"/>
  <c r="D12" i="2061"/>
  <c r="R11" i="2061"/>
  <c r="L9" i="2061"/>
  <c r="D9" i="2061"/>
  <c r="L8" i="2061"/>
  <c r="D8" i="2061" s="1"/>
  <c r="R6" i="2061"/>
  <c r="L16" i="2061" s="1"/>
  <c r="D16" i="2061" s="1"/>
  <c r="L6" i="2061"/>
  <c r="D6" i="2061" s="1"/>
  <c r="R5" i="2061"/>
  <c r="R4" i="2061"/>
  <c r="L15" i="2061" s="1"/>
  <c r="D15" i="2061" s="1"/>
  <c r="R52" i="2060"/>
  <c r="R51" i="2060"/>
  <c r="D50" i="2060"/>
  <c r="R49" i="2060"/>
  <c r="G49" i="2060"/>
  <c r="D49" i="2060"/>
  <c r="R48" i="2060"/>
  <c r="D48" i="2060"/>
  <c r="D46" i="2060"/>
  <c r="D45" i="2060"/>
  <c r="D44" i="2060"/>
  <c r="R42" i="2060"/>
  <c r="L6" i="2060" s="1"/>
  <c r="D6" i="2060" s="1"/>
  <c r="D42" i="2060"/>
  <c r="R41" i="2060"/>
  <c r="L7" i="2060" s="1"/>
  <c r="D7" i="2060" s="1"/>
  <c r="D41" i="2060"/>
  <c r="R40" i="2060"/>
  <c r="D40" i="2060"/>
  <c r="R39" i="2060"/>
  <c r="D39" i="2060"/>
  <c r="R38" i="2060"/>
  <c r="D38" i="2060"/>
  <c r="R37" i="2060"/>
  <c r="D37" i="2060"/>
  <c r="R36" i="2060"/>
  <c r="L10" i="2060" s="1"/>
  <c r="D10" i="2060" s="1"/>
  <c r="D36" i="2060"/>
  <c r="R35" i="2060"/>
  <c r="D35" i="2060"/>
  <c r="R34" i="2060"/>
  <c r="L12" i="2060" s="1"/>
  <c r="D12" i="2060" s="1"/>
  <c r="D34" i="2060"/>
  <c r="D54" i="2060" s="1"/>
  <c r="H14" i="2060" s="1"/>
  <c r="R33" i="2060"/>
  <c r="L23" i="2060" s="1"/>
  <c r="D23" i="2060" s="1"/>
  <c r="R32" i="2060"/>
  <c r="R31" i="2060"/>
  <c r="R30" i="2060"/>
  <c r="R29" i="2060"/>
  <c r="R28" i="2060"/>
  <c r="L16" i="2060" s="1"/>
  <c r="D16" i="2060" s="1"/>
  <c r="D28" i="2060"/>
  <c r="R27" i="2060"/>
  <c r="D27" i="2060"/>
  <c r="R26" i="2060"/>
  <c r="L26" i="2060"/>
  <c r="D26" i="2060"/>
  <c r="R25" i="2060"/>
  <c r="L25" i="2060"/>
  <c r="D25" i="2060"/>
  <c r="R24" i="2060"/>
  <c r="D24" i="2060"/>
  <c r="R23" i="2060"/>
  <c r="R22" i="2060"/>
  <c r="L22" i="2060"/>
  <c r="D22" i="2060"/>
  <c r="R21" i="2060"/>
  <c r="D21" i="2060"/>
  <c r="R20" i="2060"/>
  <c r="L20" i="2060"/>
  <c r="D20" i="2060"/>
  <c r="R19" i="2060"/>
  <c r="L19" i="2060"/>
  <c r="D19" i="2060"/>
  <c r="R18" i="2060"/>
  <c r="D18" i="2060"/>
  <c r="R17" i="2060"/>
  <c r="D17" i="2060"/>
  <c r="R16" i="2060"/>
  <c r="S15" i="2060"/>
  <c r="R15" i="2060"/>
  <c r="D15" i="2060"/>
  <c r="S14" i="2060"/>
  <c r="R14" i="2060"/>
  <c r="D14" i="2060"/>
  <c r="R13" i="2060"/>
  <c r="D13" i="2060"/>
  <c r="R12" i="2060"/>
  <c r="R11" i="2060"/>
  <c r="L11" i="2060"/>
  <c r="D11" i="2060"/>
  <c r="L9" i="2060"/>
  <c r="D9" i="2060"/>
  <c r="L8" i="2060"/>
  <c r="D8" i="2060"/>
  <c r="R6" i="2060"/>
  <c r="R5" i="2060"/>
  <c r="R4" i="2060"/>
  <c r="R52" i="2059"/>
  <c r="R51" i="2059"/>
  <c r="D50" i="2059"/>
  <c r="R49" i="2059"/>
  <c r="D49" i="2059"/>
  <c r="R48" i="2059"/>
  <c r="D48" i="2059"/>
  <c r="D46" i="2059"/>
  <c r="D45" i="2059"/>
  <c r="R44" i="2059"/>
  <c r="D44" i="2059"/>
  <c r="R42" i="2059"/>
  <c r="L6" i="2059" s="1"/>
  <c r="D6" i="2059" s="1"/>
  <c r="D42" i="2059"/>
  <c r="R41" i="2059"/>
  <c r="L7" i="2059" s="1"/>
  <c r="D7" i="2059" s="1"/>
  <c r="D41" i="2059"/>
  <c r="D54" i="2059" s="1"/>
  <c r="H14" i="2059" s="1"/>
  <c r="R40" i="2059"/>
  <c r="D40" i="2059"/>
  <c r="R39" i="2059"/>
  <c r="H39" i="2059"/>
  <c r="D39" i="2059"/>
  <c r="R38" i="2059"/>
  <c r="H38" i="2059"/>
  <c r="D38" i="2059"/>
  <c r="R37" i="2059"/>
  <c r="H37" i="2059"/>
  <c r="D37" i="2059"/>
  <c r="R36" i="2059"/>
  <c r="H36" i="2059"/>
  <c r="D36" i="2059"/>
  <c r="R35" i="2059"/>
  <c r="L18" i="2059" s="1"/>
  <c r="D18" i="2059" s="1"/>
  <c r="H35" i="2059"/>
  <c r="D35" i="2059"/>
  <c r="R34" i="2059"/>
  <c r="H34" i="2059"/>
  <c r="G49" i="2059" s="1"/>
  <c r="D34" i="2059"/>
  <c r="R33" i="2059"/>
  <c r="R32" i="2059"/>
  <c r="L11" i="2059" s="1"/>
  <c r="D11" i="2059" s="1"/>
  <c r="R31" i="2059"/>
  <c r="R30" i="2059"/>
  <c r="R29" i="2059"/>
  <c r="R28" i="2059"/>
  <c r="L28" i="2059"/>
  <c r="D28" i="2059"/>
  <c r="R27" i="2059"/>
  <c r="L27" i="2059"/>
  <c r="D27" i="2059" s="1"/>
  <c r="R26" i="2059"/>
  <c r="L26" i="2059"/>
  <c r="D26" i="2059"/>
  <c r="R25" i="2059"/>
  <c r="L25" i="2059"/>
  <c r="D25" i="2059"/>
  <c r="R24" i="2059"/>
  <c r="L24" i="2059"/>
  <c r="D24" i="2059"/>
  <c r="R23" i="2059"/>
  <c r="L23" i="2059"/>
  <c r="D23" i="2059"/>
  <c r="R22" i="2059"/>
  <c r="L20" i="2059" s="1"/>
  <c r="D20" i="2059" s="1"/>
  <c r="L22" i="2059"/>
  <c r="D22" i="2059"/>
  <c r="R21" i="2059"/>
  <c r="L21" i="2059"/>
  <c r="D21" i="2059"/>
  <c r="R20" i="2059"/>
  <c r="R19" i="2059"/>
  <c r="L19" i="2059"/>
  <c r="D19" i="2059"/>
  <c r="R18" i="2059"/>
  <c r="R17" i="2059"/>
  <c r="L17" i="2059"/>
  <c r="D17" i="2059"/>
  <c r="R16" i="2059"/>
  <c r="R15" i="2059"/>
  <c r="R14" i="2059"/>
  <c r="D14" i="2059"/>
  <c r="R13" i="2059"/>
  <c r="D13" i="2059"/>
  <c r="R12" i="2059"/>
  <c r="L12" i="2059"/>
  <c r="D12" i="2059"/>
  <c r="R11" i="2059"/>
  <c r="L10" i="2059"/>
  <c r="D10" i="2059"/>
  <c r="L9" i="2059"/>
  <c r="D9" i="2059"/>
  <c r="L8" i="2059"/>
  <c r="D8" i="2059" s="1"/>
  <c r="R6" i="2059"/>
  <c r="L16" i="2059" s="1"/>
  <c r="D16" i="2059" s="1"/>
  <c r="R5" i="2059"/>
  <c r="R4" i="2059"/>
  <c r="L15" i="2059" s="1"/>
  <c r="D15" i="2059" s="1"/>
  <c r="R52" i="2058"/>
  <c r="R51" i="2058"/>
  <c r="D50" i="2058"/>
  <c r="R49" i="2058"/>
  <c r="D49" i="2058"/>
  <c r="R48" i="2058"/>
  <c r="D48" i="2058"/>
  <c r="D46" i="2058"/>
  <c r="D45" i="2058"/>
  <c r="R44" i="2058"/>
  <c r="L28" i="2058" s="1"/>
  <c r="D28" i="2058" s="1"/>
  <c r="D44" i="2058"/>
  <c r="R42" i="2058"/>
  <c r="D42" i="2058"/>
  <c r="R41" i="2058"/>
  <c r="D41" i="2058"/>
  <c r="R40" i="2058"/>
  <c r="D40" i="2058"/>
  <c r="R39" i="2058"/>
  <c r="H39" i="2058"/>
  <c r="D39" i="2058"/>
  <c r="R38" i="2058"/>
  <c r="L9" i="2058" s="1"/>
  <c r="D9" i="2058" s="1"/>
  <c r="H38" i="2058"/>
  <c r="D38" i="2058"/>
  <c r="R37" i="2058"/>
  <c r="H37" i="2058"/>
  <c r="D37" i="2058"/>
  <c r="R36" i="2058"/>
  <c r="L10" i="2058" s="1"/>
  <c r="D10" i="2058" s="1"/>
  <c r="H36" i="2058"/>
  <c r="G49" i="2058" s="1"/>
  <c r="D36" i="2058"/>
  <c r="R35" i="2058"/>
  <c r="H35" i="2058"/>
  <c r="D35" i="2058"/>
  <c r="R34" i="2058"/>
  <c r="H34" i="2058"/>
  <c r="D34" i="2058"/>
  <c r="D54" i="2058" s="1"/>
  <c r="H14" i="2058" s="1"/>
  <c r="R33" i="2058"/>
  <c r="L19" i="2058" s="1"/>
  <c r="D19" i="2058" s="1"/>
  <c r="R32" i="2058"/>
  <c r="L11" i="2058" s="1"/>
  <c r="D11" i="2058" s="1"/>
  <c r="R31" i="2058"/>
  <c r="R30" i="2058"/>
  <c r="R29" i="2058"/>
  <c r="R28" i="2058"/>
  <c r="R27" i="2058"/>
  <c r="L27" i="2058"/>
  <c r="D27" i="2058"/>
  <c r="R26" i="2058"/>
  <c r="L26" i="2058"/>
  <c r="D26" i="2058"/>
  <c r="R25" i="2058"/>
  <c r="L25" i="2058"/>
  <c r="D25" i="2058" s="1"/>
  <c r="R24" i="2058"/>
  <c r="L24" i="2058"/>
  <c r="D24" i="2058"/>
  <c r="R23" i="2058"/>
  <c r="L23" i="2058"/>
  <c r="D23" i="2058" s="1"/>
  <c r="R22" i="2058"/>
  <c r="L20" i="2058" s="1"/>
  <c r="D20" i="2058" s="1"/>
  <c r="L22" i="2058"/>
  <c r="D22" i="2058" s="1"/>
  <c r="R21" i="2058"/>
  <c r="L21" i="2058"/>
  <c r="D21" i="2058" s="1"/>
  <c r="R20" i="2058"/>
  <c r="R19" i="2058"/>
  <c r="R18" i="2058"/>
  <c r="L18" i="2058"/>
  <c r="D18" i="2058"/>
  <c r="R17" i="2058"/>
  <c r="L17" i="2058"/>
  <c r="D17" i="2058" s="1"/>
  <c r="R16" i="2058"/>
  <c r="R15" i="2058"/>
  <c r="L15" i="2058"/>
  <c r="D15" i="2058"/>
  <c r="R14" i="2058"/>
  <c r="D14" i="2058"/>
  <c r="R13" i="2058"/>
  <c r="D13" i="2058"/>
  <c r="R12" i="2058"/>
  <c r="L12" i="2058"/>
  <c r="D12" i="2058" s="1"/>
  <c r="R11" i="2058"/>
  <c r="L8" i="2058"/>
  <c r="D8" i="2058"/>
  <c r="L7" i="2058"/>
  <c r="D7" i="2058"/>
  <c r="R6" i="2058"/>
  <c r="L16" i="2058" s="1"/>
  <c r="D16" i="2058" s="1"/>
  <c r="L6" i="2058"/>
  <c r="D6" i="2058" s="1"/>
  <c r="R5" i="2058"/>
  <c r="R4" i="2058"/>
  <c r="R52" i="2057"/>
  <c r="R51" i="2057"/>
  <c r="D50" i="2057"/>
  <c r="R49" i="2057"/>
  <c r="D49" i="2057"/>
  <c r="R48" i="2057"/>
  <c r="D48" i="2057"/>
  <c r="D46" i="2057"/>
  <c r="D45" i="2057"/>
  <c r="R44" i="2057"/>
  <c r="D44" i="2057"/>
  <c r="R42" i="2057"/>
  <c r="L6" i="2057" s="1"/>
  <c r="D6" i="2057" s="1"/>
  <c r="D42" i="2057"/>
  <c r="R41" i="2057"/>
  <c r="L7" i="2057" s="1"/>
  <c r="D7" i="2057" s="1"/>
  <c r="D41" i="2057"/>
  <c r="R40" i="2057"/>
  <c r="D40" i="2057"/>
  <c r="R39" i="2057"/>
  <c r="H39" i="2057"/>
  <c r="D39" i="2057"/>
  <c r="R38" i="2057"/>
  <c r="H38" i="2057"/>
  <c r="D38" i="2057"/>
  <c r="R37" i="2057"/>
  <c r="H37" i="2057"/>
  <c r="D37" i="2057"/>
  <c r="R36" i="2057"/>
  <c r="L10" i="2057" s="1"/>
  <c r="D10" i="2057" s="1"/>
  <c r="H36" i="2057"/>
  <c r="D36" i="2057"/>
  <c r="D54" i="2057" s="1"/>
  <c r="H14" i="2057" s="1"/>
  <c r="R35" i="2057"/>
  <c r="L18" i="2057" s="1"/>
  <c r="D18" i="2057" s="1"/>
  <c r="H35" i="2057"/>
  <c r="G49" i="2057" s="1"/>
  <c r="D35" i="2057"/>
  <c r="R34" i="2057"/>
  <c r="H34" i="2057"/>
  <c r="D34" i="2057"/>
  <c r="R33" i="2057"/>
  <c r="L19" i="2057" s="1"/>
  <c r="D19" i="2057" s="1"/>
  <c r="R32" i="2057"/>
  <c r="L11" i="2057" s="1"/>
  <c r="D11" i="2057" s="1"/>
  <c r="R31" i="2057"/>
  <c r="R30" i="2057"/>
  <c r="R29" i="2057"/>
  <c r="R28" i="2057"/>
  <c r="L28" i="2057"/>
  <c r="D28" i="2057"/>
  <c r="R27" i="2057"/>
  <c r="L27" i="2057"/>
  <c r="D27" i="2057" s="1"/>
  <c r="R26" i="2057"/>
  <c r="L26" i="2057"/>
  <c r="D26" i="2057"/>
  <c r="R25" i="2057"/>
  <c r="L25" i="2057"/>
  <c r="D25" i="2057" s="1"/>
  <c r="R24" i="2057"/>
  <c r="L24" i="2057"/>
  <c r="D24" i="2057"/>
  <c r="R23" i="2057"/>
  <c r="L23" i="2057"/>
  <c r="D23" i="2057"/>
  <c r="R22" i="2057"/>
  <c r="L20" i="2057" s="1"/>
  <c r="D20" i="2057" s="1"/>
  <c r="L22" i="2057"/>
  <c r="D22" i="2057" s="1"/>
  <c r="R21" i="2057"/>
  <c r="L21" i="2057"/>
  <c r="D21" i="2057" s="1"/>
  <c r="R20" i="2057"/>
  <c r="R19" i="2057"/>
  <c r="R18" i="2057"/>
  <c r="R17" i="2057"/>
  <c r="L17" i="2057"/>
  <c r="D17" i="2057"/>
  <c r="R16" i="2057"/>
  <c r="R15" i="2057"/>
  <c r="R14" i="2057"/>
  <c r="D14" i="2057"/>
  <c r="R13" i="2057"/>
  <c r="D13" i="2057"/>
  <c r="R12" i="2057"/>
  <c r="L12" i="2057"/>
  <c r="D12" i="2057"/>
  <c r="R11" i="2057"/>
  <c r="L9" i="2057"/>
  <c r="D9" i="2057"/>
  <c r="L8" i="2057"/>
  <c r="D8" i="2057" s="1"/>
  <c r="R6" i="2057"/>
  <c r="L16" i="2057" s="1"/>
  <c r="D16" i="2057" s="1"/>
  <c r="R5" i="2057"/>
  <c r="R4" i="2057"/>
  <c r="L15" i="2057" s="1"/>
  <c r="D15" i="2057" s="1"/>
  <c r="R52" i="2056"/>
  <c r="R51" i="2056"/>
  <c r="D50" i="2056"/>
  <c r="R49" i="2056"/>
  <c r="G49" i="2056"/>
  <c r="D49" i="2056"/>
  <c r="R48" i="2056"/>
  <c r="D48" i="2056"/>
  <c r="D46" i="2056"/>
  <c r="D45" i="2056"/>
  <c r="D44" i="2056"/>
  <c r="R42" i="2056"/>
  <c r="L6" i="2056" s="1"/>
  <c r="D6" i="2056" s="1"/>
  <c r="D42" i="2056"/>
  <c r="R41" i="2056"/>
  <c r="L7" i="2056" s="1"/>
  <c r="D7" i="2056" s="1"/>
  <c r="D41" i="2056"/>
  <c r="R40" i="2056"/>
  <c r="D40" i="2056"/>
  <c r="R39" i="2056"/>
  <c r="D39" i="2056"/>
  <c r="R38" i="2056"/>
  <c r="L9" i="2056" s="1"/>
  <c r="D9" i="2056" s="1"/>
  <c r="D38" i="2056"/>
  <c r="R37" i="2056"/>
  <c r="D37" i="2056"/>
  <c r="R36" i="2056"/>
  <c r="L10" i="2056" s="1"/>
  <c r="D10" i="2056" s="1"/>
  <c r="D36" i="2056"/>
  <c r="R35" i="2056"/>
  <c r="D35" i="2056"/>
  <c r="R34" i="2056"/>
  <c r="L12" i="2056" s="1"/>
  <c r="D12" i="2056" s="1"/>
  <c r="D34" i="2056"/>
  <c r="D54" i="2056" s="1"/>
  <c r="H14" i="2056" s="1"/>
  <c r="R33" i="2056"/>
  <c r="L23" i="2056" s="1"/>
  <c r="D23" i="2056" s="1"/>
  <c r="R32" i="2056"/>
  <c r="L11" i="2056" s="1"/>
  <c r="D11" i="2056" s="1"/>
  <c r="R31" i="2056"/>
  <c r="R30" i="2056"/>
  <c r="R29" i="2056"/>
  <c r="R28" i="2056"/>
  <c r="D28" i="2056"/>
  <c r="R27" i="2056"/>
  <c r="D27" i="2056"/>
  <c r="R26" i="2056"/>
  <c r="L26" i="2056"/>
  <c r="D26" i="2056"/>
  <c r="R25" i="2056"/>
  <c r="L25" i="2056"/>
  <c r="D25" i="2056"/>
  <c r="R24" i="2056"/>
  <c r="D24" i="2056"/>
  <c r="R23" i="2056"/>
  <c r="R22" i="2056"/>
  <c r="L22" i="2056"/>
  <c r="D22" i="2056"/>
  <c r="R21" i="2056"/>
  <c r="D21" i="2056"/>
  <c r="R20" i="2056"/>
  <c r="L20" i="2056"/>
  <c r="D20" i="2056"/>
  <c r="R19" i="2056"/>
  <c r="L19" i="2056"/>
  <c r="D19" i="2056"/>
  <c r="R18" i="2056"/>
  <c r="D18" i="2056"/>
  <c r="R17" i="2056"/>
  <c r="D17" i="2056"/>
  <c r="R16" i="2056"/>
  <c r="L16" i="2056"/>
  <c r="D16" i="2056" s="1"/>
  <c r="S15" i="2056"/>
  <c r="R15" i="2056"/>
  <c r="D15" i="2056"/>
  <c r="S14" i="2056"/>
  <c r="R14" i="2056"/>
  <c r="D14" i="2056"/>
  <c r="R13" i="2056"/>
  <c r="D13" i="2056"/>
  <c r="R12" i="2056"/>
  <c r="R11" i="2056"/>
  <c r="L8" i="2056"/>
  <c r="D8" i="2056"/>
  <c r="R6" i="2056"/>
  <c r="R5" i="2056"/>
  <c r="R4" i="2056"/>
  <c r="D29" i="2072" l="1"/>
  <c r="H13" i="2072" s="1"/>
  <c r="H15" i="2072" s="1"/>
  <c r="H29" i="2072" s="1"/>
  <c r="G51" i="2072" s="1"/>
  <c r="D29" i="2071"/>
  <c r="H13" i="2071" s="1"/>
  <c r="H15" i="2071" s="1"/>
  <c r="H29" i="2071" s="1"/>
  <c r="G51" i="2071"/>
  <c r="D29" i="2070"/>
  <c r="H13" i="2070" s="1"/>
  <c r="H15" i="2070" s="1"/>
  <c r="H29" i="2070" s="1"/>
  <c r="G51" i="2070" s="1"/>
  <c r="D29" i="2069"/>
  <c r="H13" i="2069" s="1"/>
  <c r="H15" i="2069" s="1"/>
  <c r="H29" i="2069" s="1"/>
  <c r="G51" i="2069" s="1"/>
  <c r="D29" i="2068"/>
  <c r="H13" i="2068" s="1"/>
  <c r="H15" i="2068" s="1"/>
  <c r="H29" i="2068" s="1"/>
  <c r="G51" i="2068" s="1"/>
  <c r="D29" i="2067"/>
  <c r="H13" i="2067" s="1"/>
  <c r="H15" i="2067" s="1"/>
  <c r="H29" i="2067" s="1"/>
  <c r="G51" i="2067" s="1"/>
  <c r="D29" i="2066"/>
  <c r="H13" i="2066" s="1"/>
  <c r="H15" i="2066" s="1"/>
  <c r="H29" i="2066" s="1"/>
  <c r="G51" i="2066" s="1"/>
  <c r="G51" i="2065"/>
  <c r="H15" i="2064"/>
  <c r="H29" i="2064" s="1"/>
  <c r="G51" i="2064"/>
  <c r="D29" i="2063"/>
  <c r="H13" i="2063" s="1"/>
  <c r="H15" i="2063" s="1"/>
  <c r="H29" i="2063" s="1"/>
  <c r="G51" i="2063"/>
  <c r="D29" i="2062"/>
  <c r="H13" i="2062" s="1"/>
  <c r="H15" i="2062" s="1"/>
  <c r="H29" i="2062" s="1"/>
  <c r="G51" i="2062" s="1"/>
  <c r="D29" i="2061"/>
  <c r="H13" i="2061" s="1"/>
  <c r="H15" i="2061" s="1"/>
  <c r="H29" i="2061" s="1"/>
  <c r="G51" i="2061" s="1"/>
  <c r="D29" i="2060"/>
  <c r="H13" i="2060" s="1"/>
  <c r="H15" i="2060" s="1"/>
  <c r="H29" i="2060" s="1"/>
  <c r="G51" i="2060" s="1"/>
  <c r="D29" i="2059"/>
  <c r="H13" i="2059" s="1"/>
  <c r="H15" i="2059" s="1"/>
  <c r="H29" i="2059" s="1"/>
  <c r="G51" i="2059" s="1"/>
  <c r="D29" i="2058"/>
  <c r="H13" i="2058" s="1"/>
  <c r="H15" i="2058" s="1"/>
  <c r="H29" i="2058" s="1"/>
  <c r="G51" i="2058" s="1"/>
  <c r="D29" i="2057"/>
  <c r="H13" i="2057" s="1"/>
  <c r="H15" i="2057" s="1"/>
  <c r="H29" i="2057" s="1"/>
  <c r="G51" i="2057" s="1"/>
  <c r="D29" i="2056"/>
  <c r="H13" i="2056" s="1"/>
  <c r="H15" i="2056" s="1"/>
  <c r="H29" i="2056" s="1"/>
  <c r="G51" i="2056" s="1"/>
  <c r="H16" i="2041"/>
  <c r="C19" i="2041"/>
  <c r="C18" i="2041"/>
  <c r="C16" i="2041"/>
  <c r="C12" i="2039"/>
  <c r="C16" i="2039"/>
  <c r="C15" i="2039"/>
  <c r="C16" i="2037" l="1"/>
  <c r="C15" i="2037"/>
  <c r="H16" i="2037"/>
  <c r="C12" i="2035"/>
  <c r="C16" i="2035"/>
  <c r="H16" i="2033" l="1"/>
  <c r="C37" i="2033" l="1"/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D34" i="2053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D6" i="2053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D34" i="2052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D21" i="205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D34" i="2049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D36" i="2048"/>
  <c r="R35" i="2048"/>
  <c r="H35" i="2048"/>
  <c r="D35" i="2048"/>
  <c r="R34" i="2048"/>
  <c r="H34" i="2048"/>
  <c r="D34" i="2048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D36" i="2045"/>
  <c r="R35" i="2045"/>
  <c r="H35" i="2045"/>
  <c r="D35" i="2045"/>
  <c r="R34" i="2045"/>
  <c r="H34" i="2045"/>
  <c r="D34" i="2045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D34" i="2044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D34" i="2043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D34" i="204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D34" i="2040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R25" i="2039"/>
  <c r="D25" i="2039"/>
  <c r="R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D34" i="2037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G49" i="2036" s="1"/>
  <c r="D34" i="2036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D34" i="2033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G49" i="2053" l="1"/>
  <c r="D54" i="2053"/>
  <c r="H14" i="2053" s="1"/>
  <c r="G49" i="2052"/>
  <c r="D54" i="2052"/>
  <c r="H14" i="2052" s="1"/>
  <c r="D54" i="2051"/>
  <c r="H14" i="2051" s="1"/>
  <c r="D29" i="2051"/>
  <c r="H13" i="2051" s="1"/>
  <c r="G49" i="2049"/>
  <c r="G49" i="2048"/>
  <c r="D54" i="2049"/>
  <c r="H14" i="2049" s="1"/>
  <c r="D54" i="2048"/>
  <c r="H14" i="2048" s="1"/>
  <c r="D54" i="2047"/>
  <c r="H14" i="2047" s="1"/>
  <c r="G49" i="2045"/>
  <c r="G49" i="2044"/>
  <c r="G49" i="2043"/>
  <c r="D54" i="2045"/>
  <c r="H14" i="2045" s="1"/>
  <c r="D54" i="2044"/>
  <c r="H14" i="2044" s="1"/>
  <c r="D54" i="2043"/>
  <c r="H14" i="2043" s="1"/>
  <c r="G49" i="2041"/>
  <c r="G49" i="2040"/>
  <c r="G49" i="2039"/>
  <c r="D54" i="2041"/>
  <c r="H14" i="2041" s="1"/>
  <c r="D54" i="2040"/>
  <c r="H14" i="2040" s="1"/>
  <c r="D54" i="2039"/>
  <c r="H14" i="2039" s="1"/>
  <c r="G49" i="2037"/>
  <c r="D54" i="2037"/>
  <c r="H14" i="2037" s="1"/>
  <c r="D54" i="2036"/>
  <c r="H14" i="2036" s="1"/>
  <c r="G49" i="2035"/>
  <c r="D54" i="2035"/>
  <c r="H14" i="2035" s="1"/>
  <c r="G49" i="2033"/>
  <c r="G49" i="2032"/>
  <c r="G49" i="2031"/>
  <c r="D54" i="2033"/>
  <c r="H14" i="2033" s="1"/>
  <c r="D54" i="2032"/>
  <c r="H14" i="2032" s="1"/>
  <c r="D54" i="2031"/>
  <c r="H14" i="2031" s="1"/>
  <c r="D29" i="2053"/>
  <c r="H13" i="2053" s="1"/>
  <c r="D29" i="2052"/>
  <c r="H13" i="2052" s="1"/>
  <c r="D29" i="2050"/>
  <c r="H13" i="2050" s="1"/>
  <c r="H15" i="2050" s="1"/>
  <c r="H29" i="2050" s="1"/>
  <c r="G51" i="2050" s="1"/>
  <c r="D29" i="2049"/>
  <c r="H13" i="2049" s="1"/>
  <c r="D29" i="2048"/>
  <c r="H13" i="2048" s="1"/>
  <c r="H15" i="2048" s="1"/>
  <c r="H29" i="2048" s="1"/>
  <c r="G51" i="2048" s="1"/>
  <c r="D29" i="2047"/>
  <c r="H13" i="2047" s="1"/>
  <c r="D29" i="2046"/>
  <c r="H13" i="2046" s="1"/>
  <c r="H15" i="2046" s="1"/>
  <c r="H29" i="2046" s="1"/>
  <c r="G51" i="2046" s="1"/>
  <c r="D29" i="2045"/>
  <c r="H13" i="2045" s="1"/>
  <c r="D29" i="2044"/>
  <c r="H13" i="2044" s="1"/>
  <c r="D29" i="2043"/>
  <c r="H13" i="2043" s="1"/>
  <c r="D29" i="2042"/>
  <c r="H13" i="2042" s="1"/>
  <c r="H15" i="2042" s="1"/>
  <c r="H29" i="2042" s="1"/>
  <c r="G51" i="2042" s="1"/>
  <c r="D29" i="2041"/>
  <c r="H13" i="2041" s="1"/>
  <c r="H15" i="2041" s="1"/>
  <c r="H29" i="2041" s="1"/>
  <c r="D29" i="2040"/>
  <c r="H13" i="2040" s="1"/>
  <c r="D29" i="2039"/>
  <c r="H13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D29" i="2036"/>
  <c r="H13" i="2036" s="1"/>
  <c r="D29" i="2035"/>
  <c r="H13" i="2035" s="1"/>
  <c r="D29" i="2034"/>
  <c r="H13" i="2034" s="1"/>
  <c r="H15" i="2034" s="1"/>
  <c r="H29" i="2034" s="1"/>
  <c r="G51" i="2034" s="1"/>
  <c r="D29" i="2033"/>
  <c r="H13" i="2033" s="1"/>
  <c r="D29" i="2032"/>
  <c r="H13" i="2032" s="1"/>
  <c r="D29" i="2031"/>
  <c r="H13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H15" i="2053" l="1"/>
  <c r="H29" i="2053" s="1"/>
  <c r="G51" i="2053" s="1"/>
  <c r="H15" i="2052"/>
  <c r="H29" i="2052" s="1"/>
  <c r="G51" i="2052" s="1"/>
  <c r="H15" i="2051"/>
  <c r="H29" i="2051" s="1"/>
  <c r="G51" i="2051" s="1"/>
  <c r="H15" i="2049"/>
  <c r="H29" i="2049" s="1"/>
  <c r="G51" i="2049" s="1"/>
  <c r="H15" i="2047"/>
  <c r="H29" i="2047" s="1"/>
  <c r="G51" i="2047" s="1"/>
  <c r="H15" i="2045"/>
  <c r="H29" i="2045" s="1"/>
  <c r="G51" i="2045" s="1"/>
  <c r="H15" i="2044"/>
  <c r="H29" i="2044" s="1"/>
  <c r="G51" i="2044" s="1"/>
  <c r="H15" i="2043"/>
  <c r="H29" i="2043" s="1"/>
  <c r="G51" i="2043" s="1"/>
  <c r="G51" i="2041"/>
  <c r="H15" i="2040"/>
  <c r="H29" i="2040" s="1"/>
  <c r="G51" i="2040" s="1"/>
  <c r="H15" i="2039"/>
  <c r="H29" i="2039" s="1"/>
  <c r="G51" i="2039" s="1"/>
  <c r="G51" i="2037"/>
  <c r="H15" i="2036"/>
  <c r="H29" i="2036" s="1"/>
  <c r="G51" i="2036" s="1"/>
  <c r="H15" i="2035"/>
  <c r="H29" i="2035" s="1"/>
  <c r="G51" i="2035" s="1"/>
  <c r="H15" i="2033"/>
  <c r="H29" i="2033" s="1"/>
  <c r="G51" i="2033" s="1"/>
  <c r="H15" i="2032"/>
  <c r="H29" i="2032" s="1"/>
  <c r="G51" i="2032" s="1"/>
  <c r="H15" i="2031"/>
  <c r="H29" i="2031" s="1"/>
  <c r="G51" i="2031" s="1"/>
  <c r="G49" i="2029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<sst xmlns="http://schemas.openxmlformats.org/spreadsheetml/2006/main" count="6459" uniqueCount="167">
  <si>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</si>
  <si>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</si>
  <si>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</si>
  <si>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</si>
  <si>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</si>
  <si>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</si>
  <si>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</si>
  <si>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</si>
  <si>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</si>
  <si>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</si>
  <si>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</si>
  <si>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</si>
  <si>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</si>
  <si>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</si>
  <si>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</si>
  <si>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</si>
  <si>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</si>
  <si>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</si>
  <si>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</si>
  <si>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</si>
  <si>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</si>
  <si>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</si>
  <si>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</si>
  <si>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</si>
  <si>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</si>
  <si>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</si>
  <si>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</si>
  <si>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</si>
  <si>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</si>
  <si>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</si>
  <si>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</si>
  <si>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</si>
  <si>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</si>
  <si>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</si>
  <si>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</si>
  <si>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</si>
  <si>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</si>
  <si>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</si>
  <si>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</si>
  <si>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</si>
  <si>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</si>
  <si>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</si>
  <si>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</si>
  <si>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</si>
  <si>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</si>
  <si>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</si>
  <si>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</si>
  <si>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</si>
  <si>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</si>
  <si>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</si>
  <si>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</si>
  <si>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</si>
  <si>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</si>
  <si>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</si>
  <si>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</si>
  <si>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</si>
  <si>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</si>
  <si>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</si>
  <si>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</si>
  <si>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</si>
  <si>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</si>
  <si>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</si>
  <si>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</si>
  <si>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</si>
  <si>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</si>
  <si>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</si>
  <si>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</si>
  <si>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</si>
  <si>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</si>
  <si>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</si>
  <si>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</si>
  <si>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</si>
  <si>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</si>
  <si>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</si>
  <si>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</si>
  <si>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</si>
  <si>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</si>
  <si>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</si>
  <si>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</si>
  <si>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</si>
  <si>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</si>
  <si>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</si>
  <si>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</si>
  <si>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</si>
  <si>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</si>
  <si>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</si>
  <si>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</si>
  <si>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</si>
  <si>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</si>
  <si>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</si>
  <si>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</si>
  <si>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</si>
  <si>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</si>
  <si>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</si>
  <si>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</si>
  <si>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</si>
  <si>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</si>
  <si>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</si>
  <si>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</si>
  <si>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</si>
  <si>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</si>
  <si>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</si>
  <si>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</si>
  <si>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</si>
  <si>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</si>
  <si>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</si>
  <si>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</si>
  <si>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</si>
  <si>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</si>
  <si>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</si>
  <si>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</si>
  <si>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</si>
  <si>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</si>
  <si>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</si>
  <si>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</si>
  <si>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</si>
  <si>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</si>
  <si>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</si>
  <si>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</si>
  <si>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</si>
  <si>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</si>
  <si>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</si>
  <si>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</si>
  <si>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</si>
  <si>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</si>
  <si>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</si>
  <si>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</si>
  <si>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</si>
  <si>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</si>
  <si>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</si>
  <si>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</si>
  <si>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</si>
  <si>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</si>
  <si>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</si>
  <si>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</si>
  <si>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</si>
  <si>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</si>
  <si>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</si>
  <si>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</si>
  <si>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</si>
  <si>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</si>
  <si>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BANK TRANSFER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</si>
  <si>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</si>
  <si>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43053</t>
  </si>
  <si>
    <t>MGYZ</t>
  </si>
  <si>
    <t>147923</t>
  </si>
  <si>
    <t>BALWARTE</t>
  </si>
  <si>
    <t>PSBC</t>
  </si>
  <si>
    <t>2130020891</t>
  </si>
  <si>
    <t>149830</t>
  </si>
  <si>
    <t>2000005999</t>
  </si>
  <si>
    <t>2000002829</t>
  </si>
  <si>
    <t>2000008519</t>
  </si>
  <si>
    <t>SOUND CHECK</t>
  </si>
  <si>
    <t>43055</t>
  </si>
  <si>
    <t>56765</t>
  </si>
  <si>
    <t>2000008528</t>
  </si>
  <si>
    <t>2000002837</t>
  </si>
  <si>
    <t>149141</t>
  </si>
  <si>
    <t>149850</t>
  </si>
  <si>
    <t>43060</t>
  </si>
  <si>
    <t>GEK</t>
  </si>
  <si>
    <t>GEK BOTT.</t>
  </si>
  <si>
    <t xml:space="preserve">C10C 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</si>
  <si>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>/ OVER</t>
    </r>
  </si>
  <si>
    <t>43062</t>
  </si>
  <si>
    <t>56778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</si>
</sst>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49" fontId="23" fillId="0" borderId="16" xfId="0" applyNumberFormat="1" applyFont="1" applyBorder="1" applyAlignment="1">
      <alignment horizontal="right"/>
    </xf>
    <xf numFmtId="0" fontId="0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9" fillId="0" borderId="16" xfId="0" applyNumberFormat="1" applyFont="1" applyBorder="1" applyAlignment="1">
      <alignment horizontal="right"/>
    </xf>
    <xf numFmtId="43" fontId="0" fillId="0" borderId="0" xfId="0" applyNumberFormat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3DD6D-AF2B-401C-9875-734B2F654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F417CE-5CE6-42AF-A494-FBC30D90C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7BF91B-E38F-43B5-B447-6D90A656D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C174FB-EE7A-4879-BDEA-D2607E0330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A3D85E-55FB-4DB2-8376-2561ED304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B9661C-2BC5-44A7-9D82-2443A579C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3D1798-5809-4513-810B-010AE6599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8120D3-91F2-446D-A6AB-FB950F720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A594DA-7C4C-4C19-9CC6-146640338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3873CE-3FD5-4B99-A445-79F77A7648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1AFAC1F-C015-432C-947E-5DF5EBD80C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C0BB47-287D-4709-910C-D2BB469528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CA383B-0A5A-44D6-99C3-0CB70DFCC7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CD908-E5B4-4668-A210-8818823698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257415-E017-475C-A12A-96151594C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4F9DD3-4E98-4D93-AA00-F405F62529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B5BA2B-D119-4A1C-BCD1-6B71395E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26AD487-2B8F-4B11-ADA5-9DD49A3B39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1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704</v>
      </c>
      <c r="D6" s="13">
        <f t="shared" ref="D6:D28" si="1">C6*L6</f>
        <v>535744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</v>
      </c>
      <c r="D9" s="13">
        <f t="shared" si="1"/>
        <v>2199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25</v>
      </c>
      <c r="D13" s="48">
        <f t="shared" si="1"/>
        <v>7675</v>
      </c>
      <c r="F13" s="155" t="s">
        <v>36</v>
      </c>
      <c r="G13" s="156"/>
      <c r="H13" s="157">
        <f>D29</f>
        <v>545651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3</v>
      </c>
      <c r="D14" s="31">
        <f t="shared" si="1"/>
        <v>33</v>
      </c>
      <c r="F14" s="160" t="s">
        <v>38</v>
      </c>
      <c r="G14" s="161"/>
      <c r="H14" s="162">
        <f>D54</f>
        <v>100678.5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444972.5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3240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88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545651</v>
      </c>
      <c r="F29" s="178" t="s">
        <v>54</v>
      </c>
      <c r="G29" s="179"/>
      <c r="H29" s="182">
        <f>H15-H16-H17-H18-H19-H20-H22-H23-H24+H26+H27+H28</f>
        <v>441732.5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210">
        <f t="shared" ref="H34:H39" si="2">F34*G34</f>
        <v>315000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210">
        <f t="shared" si="2"/>
        <v>126000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86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4</v>
      </c>
      <c r="D46" s="12">
        <f>C46*1.5</f>
        <v>6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11</v>
      </c>
      <c r="D49" s="12">
        <f>C49*42</f>
        <v>462</v>
      </c>
      <c r="F49" s="235" t="s">
        <v>85</v>
      </c>
      <c r="G49" s="182">
        <f>H34+H35+H36+H37+H38+H39+H40+H41+G42+H44+H45+H46</f>
        <v>441756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49" t="s">
        <v>135</v>
      </c>
      <c r="G51" s="251">
        <f>G49-H29</f>
        <v>23.5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50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292</v>
      </c>
      <c r="D6" s="13">
        <f t="shared" ref="D6:D28" si="1">C6*L6</f>
        <v>222212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6</v>
      </c>
      <c r="D7" s="13">
        <f t="shared" si="1"/>
        <v>4686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</v>
      </c>
      <c r="D9" s="13">
        <f t="shared" si="1"/>
        <v>5131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7</v>
      </c>
      <c r="D13" s="48">
        <f t="shared" si="1"/>
        <v>2149</v>
      </c>
      <c r="F13" s="155" t="s">
        <v>36</v>
      </c>
      <c r="G13" s="156"/>
      <c r="H13" s="157">
        <f>D29</f>
        <v>236796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5</v>
      </c>
      <c r="D14" s="31">
        <f t="shared" si="1"/>
        <v>55</v>
      </c>
      <c r="F14" s="160" t="s">
        <v>38</v>
      </c>
      <c r="G14" s="161"/>
      <c r="H14" s="162">
        <f>D54</f>
        <v>38545.5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198250.5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v>1518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1</v>
      </c>
      <c r="D28" s="48">
        <f t="shared" si="1"/>
        <v>811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236796</v>
      </c>
      <c r="F29" s="178" t="s">
        <v>54</v>
      </c>
      <c r="G29" s="179"/>
      <c r="H29" s="182">
        <f>H15-H16-H17-H18-H19-H20-H22-H23-H24+H26+H27</f>
        <v>196732.5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210">
        <f>F34*G34</f>
        <v>166000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210">
        <f t="shared" ref="H35:H39" si="2">F35*G35</f>
        <v>30000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210">
        <f t="shared" si="2"/>
        <v>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4</v>
      </c>
      <c r="D42" s="12">
        <f>C42*2.25</f>
        <v>9</v>
      </c>
      <c r="F42" s="39" t="s">
        <v>78</v>
      </c>
      <c r="G42" s="210">
        <v>50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89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12</v>
      </c>
      <c r="D49" s="12">
        <f>C49*42</f>
        <v>504</v>
      </c>
      <c r="F49" s="235" t="s">
        <v>85</v>
      </c>
      <c r="G49" s="182">
        <f>H34+H35+H36+H37+H38+H39+H40+H41+G42+H44+H45+H46</f>
        <v>196550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16</v>
      </c>
      <c r="D50" s="12">
        <f>C50*1.5</f>
        <v>24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-182.5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530</v>
      </c>
      <c r="D6" s="13">
        <f t="shared" ref="D6:D28" si="1">C6*L6</f>
        <v>403330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7</v>
      </c>
      <c r="D7" s="13">
        <f t="shared" si="1"/>
        <v>5467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56</v>
      </c>
      <c r="D9" s="13">
        <f t="shared" si="1"/>
        <v>41048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19</v>
      </c>
      <c r="D13" s="48">
        <f t="shared" si="1"/>
        <v>5833</v>
      </c>
      <c r="F13" s="155" t="s">
        <v>36</v>
      </c>
      <c r="G13" s="156"/>
      <c r="H13" s="157">
        <f>D29</f>
        <v>456978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68901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388077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>
        <f>978+1080+708</f>
        <v>2766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456978</v>
      </c>
      <c r="F29" s="178" t="s">
        <v>54</v>
      </c>
      <c r="G29" s="179"/>
      <c r="H29" s="182">
        <f>H15-H16-H17-H18-H19-H20-H22-H23-H24+H26+H27</f>
        <v>385311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210">
        <f>F34*G34</f>
        <v>126000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210">
        <f>F35*G35</f>
        <v>31500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210">
        <f t="shared" si="2"/>
        <v>4600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94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88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94">
        <v>105524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94">
        <v>118301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2</v>
      </c>
      <c r="D49" s="12">
        <f>C49*42</f>
        <v>84</v>
      </c>
      <c r="F49" s="235" t="s">
        <v>85</v>
      </c>
      <c r="G49" s="182">
        <f>H34+H35+H36+H37+H38+H39+H40+H41+G42+H44+H45+H46</f>
        <v>386169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858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9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1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786</v>
      </c>
      <c r="D6" s="13">
        <f t="shared" ref="D6:D28" si="1">C6*L6</f>
        <v>598146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</v>
      </c>
      <c r="D7" s="13">
        <f t="shared" si="1"/>
        <v>1562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</v>
      </c>
      <c r="D9" s="13">
        <f t="shared" si="1"/>
        <v>5131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15+2</f>
        <v>17</v>
      </c>
      <c r="D12" s="48">
        <f t="shared" si="1"/>
        <v>16864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22</v>
      </c>
      <c r="D13" s="48">
        <f t="shared" si="1"/>
        <v>6754</v>
      </c>
      <c r="F13" s="155" t="s">
        <v>36</v>
      </c>
      <c r="G13" s="156"/>
      <c r="H13" s="157">
        <f>D29</f>
        <v>635011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84996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2</v>
      </c>
      <c r="D15" s="31">
        <f t="shared" si="1"/>
        <v>1240</v>
      </c>
      <c r="F15" s="165" t="s">
        <v>39</v>
      </c>
      <c r="G15" s="156"/>
      <c r="H15" s="166">
        <f>H13-H14</f>
        <v>550015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69">
        <f>2694+300+522</f>
        <v>3516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9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635011</v>
      </c>
      <c r="F29" s="178" t="s">
        <v>54</v>
      </c>
      <c r="G29" s="179"/>
      <c r="H29" s="182">
        <f>H15-H16-H17-H18-H19-H20-H22-H23-H24+H26+H27</f>
        <v>546499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210">
        <f>F34*G34</f>
        <v>182000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10">
        <f>F35*G35</f>
        <v>29500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210">
        <f t="shared" si="2"/>
        <v>1400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1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15</v>
      </c>
      <c r="D44" s="12">
        <f>C44*120</f>
        <v>1800</v>
      </c>
      <c r="F44" s="37" t="s">
        <v>136</v>
      </c>
      <c r="G44" s="102" t="s">
        <v>138</v>
      </c>
      <c r="H44" s="194">
        <v>296674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11</v>
      </c>
      <c r="D45" s="12">
        <f>C45*84</f>
        <v>924</v>
      </c>
      <c r="F45" s="37" t="s">
        <v>136</v>
      </c>
      <c r="G45" s="102" t="s">
        <v>139</v>
      </c>
      <c r="H45" s="194">
        <v>32658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94">
        <v>4250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14</v>
      </c>
      <c r="D49" s="12">
        <f>C49*42</f>
        <v>588</v>
      </c>
      <c r="F49" s="235" t="s">
        <v>85</v>
      </c>
      <c r="G49" s="182">
        <f>H34+H35+H36+H37+H38+H39+H40+H41+G42+H44+H45+H46</f>
        <v>546483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140</v>
      </c>
      <c r="G51" s="258">
        <f>G49-H29</f>
        <v>-16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25</v>
      </c>
      <c r="D9" s="13">
        <f t="shared" si="1"/>
        <v>18325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3</v>
      </c>
      <c r="D13" s="48">
        <f t="shared" si="1"/>
        <v>921</v>
      </c>
      <c r="F13" s="155" t="s">
        <v>36</v>
      </c>
      <c r="G13" s="156"/>
      <c r="H13" s="157">
        <f>D29</f>
        <v>290296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23</v>
      </c>
      <c r="D14" s="31">
        <f t="shared" si="1"/>
        <v>253</v>
      </c>
      <c r="F14" s="160" t="s">
        <v>38</v>
      </c>
      <c r="G14" s="161"/>
      <c r="H14" s="162">
        <f>D54</f>
        <v>42017.25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248278.75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>
        <v>200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290296</v>
      </c>
      <c r="F29" s="178" t="s">
        <v>54</v>
      </c>
      <c r="G29" s="179"/>
      <c r="H29" s="182">
        <f>H15-H16-H17-H18-H19-H20-H22-H23-H24+H26+H27+H28</f>
        <v>248078.75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131</v>
      </c>
      <c r="H34" s="210">
        <f t="shared" ref="H34:H39" si="2">F34*G34</f>
        <v>131000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74</v>
      </c>
      <c r="H35" s="210">
        <f t="shared" si="2"/>
        <v>37000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358</v>
      </c>
      <c r="D37" s="12">
        <f>C37*111</f>
        <v>39738</v>
      </c>
      <c r="F37" s="12">
        <v>100</v>
      </c>
      <c r="G37" s="39">
        <v>47</v>
      </c>
      <c r="H37" s="210">
        <f t="shared" si="2"/>
        <v>4700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10">
        <v>45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136</v>
      </c>
      <c r="G44" s="103" t="s">
        <v>141</v>
      </c>
      <c r="H44" s="194">
        <v>65000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137</v>
      </c>
      <c r="G45" s="62"/>
      <c r="H45" s="194">
        <v>2600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 t="s">
        <v>137</v>
      </c>
      <c r="G46" s="62"/>
      <c r="H46" s="194">
        <v>9750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250145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22</v>
      </c>
      <c r="D50" s="12">
        <f>C50*1.5</f>
        <v>33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49" t="s">
        <v>142</v>
      </c>
      <c r="G51" s="251">
        <f>G49-H29</f>
        <v>2066.25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50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42017.25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344</v>
      </c>
      <c r="D6" s="13">
        <f t="shared" ref="D6:D28" si="1">C6*L6</f>
        <v>261784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5</v>
      </c>
      <c r="D7" s="13">
        <f t="shared" si="1"/>
        <v>3905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21</v>
      </c>
      <c r="D9" s="13">
        <f t="shared" si="1"/>
        <v>15393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285008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22</v>
      </c>
      <c r="D14" s="31">
        <f t="shared" si="1"/>
        <v>242</v>
      </c>
      <c r="F14" s="160" t="s">
        <v>38</v>
      </c>
      <c r="G14" s="161"/>
      <c r="H14" s="162">
        <f>D54</f>
        <v>42628.5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242379.5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1296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285008</v>
      </c>
      <c r="F29" s="178" t="s">
        <v>54</v>
      </c>
      <c r="G29" s="179"/>
      <c r="H29" s="182">
        <f>H15-H16-H17-H18-H19-H20-H22-H23-H24+H26+H27</f>
        <v>241083.5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221</v>
      </c>
      <c r="H34" s="210">
        <f>F34*G34</f>
        <v>221000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37</v>
      </c>
      <c r="H35" s="210">
        <f t="shared" ref="H35:H39" si="2">F35*G35</f>
        <v>18500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67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11</v>
      </c>
      <c r="D49" s="12">
        <f>C49*42</f>
        <v>462</v>
      </c>
      <c r="F49" s="235" t="s">
        <v>85</v>
      </c>
      <c r="G49" s="182">
        <f>H34+H35+H36+H37+H38+H39+H40+H41+G42+H44+H45+H46</f>
        <v>239857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3</v>
      </c>
      <c r="D50" s="12">
        <f>C50*1.5</f>
        <v>4.5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-1226.5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42628.5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484</v>
      </c>
      <c r="D6" s="13">
        <f t="shared" ref="D6:D28" si="1">C6*L6</f>
        <v>368324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58</v>
      </c>
      <c r="D9" s="13">
        <f t="shared" si="1"/>
        <v>42514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16</v>
      </c>
      <c r="D13" s="48">
        <f t="shared" si="1"/>
        <v>4912</v>
      </c>
      <c r="F13" s="155" t="s">
        <v>36</v>
      </c>
      <c r="G13" s="156"/>
      <c r="H13" s="157">
        <f>D29</f>
        <v>426537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63285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363252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1296+300+732</f>
        <v>2328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426537</v>
      </c>
      <c r="F29" s="178" t="s">
        <v>54</v>
      </c>
      <c r="G29" s="179"/>
      <c r="H29" s="182">
        <f>H15-H16-H17-H18-H19-H20-H22-H23-H24+H26+H27</f>
        <v>360874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177</v>
      </c>
      <c r="H34" s="210">
        <f>F34*G34</f>
        <v>177000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201</v>
      </c>
      <c r="H35" s="210">
        <f>F35*G35</f>
        <v>100500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f>432+97</f>
        <v>529</v>
      </c>
      <c r="D37" s="12">
        <f>C37*111</f>
        <v>58719</v>
      </c>
      <c r="F37" s="12">
        <v>100</v>
      </c>
      <c r="G37" s="39">
        <v>51</v>
      </c>
      <c r="H37" s="210">
        <f t="shared" si="2"/>
        <v>5100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12</v>
      </c>
      <c r="H38" s="210">
        <f t="shared" si="2"/>
        <v>600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8</v>
      </c>
      <c r="D42" s="12">
        <f>C42*2.25</f>
        <v>18</v>
      </c>
      <c r="F42" s="39" t="s">
        <v>78</v>
      </c>
      <c r="G42" s="210">
        <v>101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143</v>
      </c>
      <c r="H44" s="194">
        <v>79565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362866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13</v>
      </c>
      <c r="D50" s="12">
        <f>C50*1.5</f>
        <v>19.5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1992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63285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458</v>
      </c>
      <c r="D6" s="13">
        <f t="shared" ref="D6:D28" si="1">C6*L6</f>
        <v>348538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108</v>
      </c>
      <c r="D9" s="13">
        <f t="shared" si="1"/>
        <v>79164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7</v>
      </c>
      <c r="D10" s="13">
        <f t="shared" si="1"/>
        <v>7224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6+5+2</f>
        <v>13</v>
      </c>
      <c r="D12" s="48">
        <f t="shared" si="1"/>
        <v>12896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470610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6</v>
      </c>
      <c r="D14" s="31">
        <f t="shared" si="1"/>
        <v>66</v>
      </c>
      <c r="F14" s="160" t="s">
        <v>38</v>
      </c>
      <c r="G14" s="161"/>
      <c r="H14" s="162">
        <f>D54</f>
        <v>69966.75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400643.25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69">
        <v>2682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104" t="s">
        <v>144</v>
      </c>
      <c r="C20" s="10">
        <v>1</v>
      </c>
      <c r="D20" s="13">
        <f t="shared" si="1"/>
        <v>1582</v>
      </c>
      <c r="F20" s="57"/>
      <c r="G20" s="70" t="s">
        <v>102</v>
      </c>
      <c r="H20" s="169">
        <v>200</v>
      </c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146</v>
      </c>
      <c r="G22" s="73">
        <v>10342</v>
      </c>
      <c r="H22" s="192">
        <v>92804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146</v>
      </c>
      <c r="G26" s="65">
        <v>10315</v>
      </c>
      <c r="H26" s="194">
        <v>83980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>
        <v>8</v>
      </c>
      <c r="D28" s="48">
        <f t="shared" si="1"/>
        <v>6488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470610</v>
      </c>
      <c r="F29" s="178" t="s">
        <v>54</v>
      </c>
      <c r="G29" s="179"/>
      <c r="H29" s="182">
        <f>H15-H16-H17-H18-H19-H20-H22-H23-H24+H26+H27+H28</f>
        <v>388937.25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6</v>
      </c>
      <c r="H34" s="210">
        <f t="shared" ref="H34:H39" si="2">F34*G34</f>
        <v>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10">
        <f t="shared" si="2"/>
        <v>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585</v>
      </c>
      <c r="D37" s="12">
        <f>C37*111</f>
        <v>64935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12</v>
      </c>
      <c r="D38" s="12">
        <f>C38*84</f>
        <v>1008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7</v>
      </c>
      <c r="D39" s="31">
        <f>C39*4.5</f>
        <v>31.5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8</v>
      </c>
      <c r="D44" s="12">
        <f>C44*120</f>
        <v>960</v>
      </c>
      <c r="F44" s="37" t="s">
        <v>132</v>
      </c>
      <c r="G44" s="62" t="s">
        <v>145</v>
      </c>
      <c r="H44" s="194">
        <v>294438.25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5</v>
      </c>
      <c r="D45" s="12">
        <f>C45*84</f>
        <v>420</v>
      </c>
      <c r="F45" s="37" t="s">
        <v>136</v>
      </c>
      <c r="G45" s="103" t="s">
        <v>141</v>
      </c>
      <c r="H45" s="194">
        <v>83980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17</v>
      </c>
      <c r="D46" s="12">
        <f>C46*1.5</f>
        <v>25.5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385418.25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6</v>
      </c>
      <c r="D50" s="12">
        <f>C50*1.5</f>
        <v>9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-3519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69966.75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414</v>
      </c>
      <c r="D6" s="13">
        <f t="shared" ref="D6:D28" si="1">C6*L6</f>
        <v>315054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11</v>
      </c>
      <c r="D7" s="13">
        <f t="shared" si="1"/>
        <v>8591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59</v>
      </c>
      <c r="D9" s="13">
        <f t="shared" si="1"/>
        <v>43247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12</v>
      </c>
      <c r="D13" s="48">
        <f t="shared" si="1"/>
        <v>3684</v>
      </c>
      <c r="F13" s="155" t="s">
        <v>36</v>
      </c>
      <c r="G13" s="156"/>
      <c r="H13" s="157">
        <f>D29</f>
        <v>371226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57882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313344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9">
        <v>2676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371226</v>
      </c>
      <c r="F29" s="178" t="s">
        <v>54</v>
      </c>
      <c r="G29" s="179"/>
      <c r="H29" s="182">
        <f>H15-H16-H17-H18-H19-H20-H22-H23-H24+H26+H27</f>
        <v>310668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21</v>
      </c>
      <c r="H34" s="210">
        <f>F34*G34</f>
        <v>21000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10">
        <f t="shared" ref="H35:H39" si="2">F35*G35</f>
        <v>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487</v>
      </c>
      <c r="D37" s="12">
        <f>C37*111</f>
        <v>54057</v>
      </c>
      <c r="F37" s="12">
        <v>100</v>
      </c>
      <c r="G37" s="39">
        <v>3</v>
      </c>
      <c r="H37" s="210">
        <f t="shared" si="2"/>
        <v>300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14</v>
      </c>
      <c r="D38" s="12">
        <f>C38*84</f>
        <v>1176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4</v>
      </c>
      <c r="D42" s="12">
        <f>C42*2.25</f>
        <v>9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147</v>
      </c>
      <c r="G44" s="102" t="s">
        <v>148</v>
      </c>
      <c r="H44" s="194">
        <v>159300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62" t="s">
        <v>149</v>
      </c>
      <c r="H45" s="194">
        <v>128857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4</v>
      </c>
      <c r="D49" s="12">
        <f>C49*42</f>
        <v>168</v>
      </c>
      <c r="F49" s="235" t="s">
        <v>85</v>
      </c>
      <c r="G49" s="182">
        <f>H34+H35+H36+H37+H38+H39+H40+H41+G42+H44+H45+H46</f>
        <v>311457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11</v>
      </c>
      <c r="D50" s="12">
        <f>C50*1.5</f>
        <v>16.5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789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57882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542</v>
      </c>
      <c r="D6" s="13">
        <f t="shared" ref="D6:D28" si="1">C6*L6</f>
        <v>412462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12</v>
      </c>
      <c r="D7" s="13">
        <f t="shared" si="1"/>
        <v>9372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72</v>
      </c>
      <c r="D9" s="13">
        <f t="shared" si="1"/>
        <v>52776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21</v>
      </c>
      <c r="D13" s="48">
        <f t="shared" si="1"/>
        <v>6447</v>
      </c>
      <c r="F13" s="155" t="s">
        <v>36</v>
      </c>
      <c r="G13" s="156"/>
      <c r="H13" s="157">
        <f>D29</f>
        <v>518703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12</v>
      </c>
      <c r="D14" s="31">
        <f t="shared" si="1"/>
        <v>132</v>
      </c>
      <c r="F14" s="160" t="s">
        <v>38</v>
      </c>
      <c r="G14" s="161"/>
      <c r="H14" s="162">
        <f>D54</f>
        <v>77449.5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5+5</f>
        <v>10</v>
      </c>
      <c r="D15" s="31">
        <f t="shared" si="1"/>
        <v>6200</v>
      </c>
      <c r="F15" s="165" t="s">
        <v>39</v>
      </c>
      <c r="G15" s="156"/>
      <c r="H15" s="166">
        <f>H13-H14</f>
        <v>441253.5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22+23</f>
        <v>45</v>
      </c>
      <c r="D16" s="48">
        <f t="shared" si="1"/>
        <v>29250</v>
      </c>
      <c r="F16" s="67" t="s">
        <v>41</v>
      </c>
      <c r="G16" s="66" t="s">
        <v>42</v>
      </c>
      <c r="H16" s="169">
        <f>612+1656+1092</f>
        <v>3360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518703</v>
      </c>
      <c r="F29" s="178" t="s">
        <v>54</v>
      </c>
      <c r="G29" s="179"/>
      <c r="H29" s="182">
        <f>H15-H16-H17-H18-H19-H20-H22-H23-H24+H26+H27</f>
        <v>437893.5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61</v>
      </c>
      <c r="H34" s="210">
        <f>F34*G34</f>
        <v>61000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6</v>
      </c>
      <c r="H35" s="210">
        <f>F35*G35</f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688</v>
      </c>
      <c r="D37" s="12">
        <f>C37*111</f>
        <v>76368</v>
      </c>
      <c r="F37" s="12">
        <v>100</v>
      </c>
      <c r="G37" s="39">
        <v>7</v>
      </c>
      <c r="H37" s="210">
        <f t="shared" si="2"/>
        <v>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210">
        <f t="shared" si="2"/>
        <v>150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58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 t="s">
        <v>136</v>
      </c>
      <c r="G44" s="76" t="s">
        <v>150</v>
      </c>
      <c r="H44" s="194">
        <v>61578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>
        <v>1</v>
      </c>
      <c r="D45" s="12">
        <f>C45*84</f>
        <v>84</v>
      </c>
      <c r="F45" s="37" t="s">
        <v>136</v>
      </c>
      <c r="G45" s="76" t="s">
        <v>151</v>
      </c>
      <c r="H45" s="194">
        <v>193355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13</v>
      </c>
      <c r="D46" s="12">
        <f>C46*1.5</f>
        <v>19.5</v>
      </c>
      <c r="F46" s="37" t="s">
        <v>136</v>
      </c>
      <c r="G46" s="76" t="s">
        <v>152</v>
      </c>
      <c r="H46" s="194">
        <v>118134</v>
      </c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437975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81.5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77449.5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C26" sqref="C2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253</v>
      </c>
      <c r="D6" s="13">
        <f t="shared" ref="D6:D28" si="1">C6*L6</f>
        <v>192533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67</v>
      </c>
      <c r="D8" s="13">
        <f t="shared" si="1"/>
        <v>73231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22</v>
      </c>
      <c r="D9" s="13">
        <f t="shared" si="1"/>
        <v>16126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4</v>
      </c>
      <c r="D10" s="13">
        <f t="shared" si="1"/>
        <v>4128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3+1</f>
        <v>4</v>
      </c>
      <c r="D12" s="48">
        <f t="shared" si="1"/>
        <v>3968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3</v>
      </c>
      <c r="D13" s="48">
        <f t="shared" si="1"/>
        <v>921</v>
      </c>
      <c r="F13" s="155" t="s">
        <v>36</v>
      </c>
      <c r="G13" s="156"/>
      <c r="H13" s="157">
        <f>D29</f>
        <v>302093.91666666669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18</v>
      </c>
      <c r="D14" s="31">
        <f t="shared" si="1"/>
        <v>198</v>
      </c>
      <c r="F14" s="160" t="s">
        <v>38</v>
      </c>
      <c r="G14" s="161"/>
      <c r="H14" s="162">
        <f>D54</f>
        <v>40819.5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1+1</f>
        <v>2</v>
      </c>
      <c r="D15" s="31">
        <f t="shared" si="1"/>
        <v>1240</v>
      </c>
      <c r="F15" s="165" t="s">
        <v>39</v>
      </c>
      <c r="G15" s="156"/>
      <c r="H15" s="166">
        <f>H13-H14</f>
        <v>261274.41666666669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 t="s">
        <v>153</v>
      </c>
      <c r="G22" s="73">
        <v>10503</v>
      </c>
      <c r="H22" s="192">
        <v>70631</v>
      </c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161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559+111</f>
        <v>670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162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>
        <v>11</v>
      </c>
      <c r="D26" s="48">
        <f>C26*L26</f>
        <v>638.91666666666674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302093.91666666669</v>
      </c>
      <c r="F29" s="178" t="s">
        <v>54</v>
      </c>
      <c r="G29" s="179"/>
      <c r="H29" s="182">
        <f>H15-H16-H17-H18-H19-H20-H22-H23-H24+H26+H27+H28</f>
        <v>190643.41666666669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138</v>
      </c>
      <c r="H34" s="210">
        <f t="shared" ref="H34:H39" si="2">F34*G34</f>
        <v>138000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72</v>
      </c>
      <c r="H35" s="210">
        <f t="shared" si="2"/>
        <v>36000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273</v>
      </c>
      <c r="D37" s="12">
        <f>C37*111</f>
        <v>30303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14</v>
      </c>
      <c r="H38" s="210">
        <f t="shared" si="2"/>
        <v>700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2</v>
      </c>
      <c r="H39" s="210">
        <f t="shared" si="2"/>
        <v>40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6</v>
      </c>
      <c r="D42" s="12">
        <f>C42*2.25</f>
        <v>13.5</v>
      </c>
      <c r="F42" s="39" t="s">
        <v>78</v>
      </c>
      <c r="G42" s="210">
        <v>117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77</v>
      </c>
      <c r="D44" s="12">
        <f>C44*120</f>
        <v>9240</v>
      </c>
      <c r="F44" s="37" t="s">
        <v>137</v>
      </c>
      <c r="G44" s="62"/>
      <c r="H44" s="194">
        <v>10000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62"/>
      <c r="H45" s="194">
        <v>7230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192287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6</v>
      </c>
      <c r="D50" s="12">
        <f>C50*1.5</f>
        <v>9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1643.5833333333139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40819.5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368</v>
      </c>
      <c r="D6" s="13">
        <f t="shared" ref="D6:D28" si="1">C6*L6</f>
        <v>280048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54</v>
      </c>
      <c r="D9" s="13">
        <f t="shared" si="1"/>
        <v>39582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13</v>
      </c>
      <c r="D13" s="48">
        <f t="shared" si="1"/>
        <v>3991</v>
      </c>
      <c r="F13" s="155" t="s">
        <v>36</v>
      </c>
      <c r="G13" s="156"/>
      <c r="H13" s="157">
        <f>D29</f>
        <v>331431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48594.75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282836.25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2076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331431</v>
      </c>
      <c r="F29" s="178" t="s">
        <v>54</v>
      </c>
      <c r="G29" s="179"/>
      <c r="H29" s="182">
        <f>H15-H16-H17-H18-H19-H20-H22-H23-H24+H26+H27</f>
        <v>280760.25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227</v>
      </c>
      <c r="H34" s="210">
        <f>F34*G34</f>
        <v>227000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10">
        <f t="shared" ref="H35:H39" si="2">F35*G35</f>
        <v>53500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430</v>
      </c>
      <c r="D37" s="12">
        <f>C37*111</f>
        <v>47730</v>
      </c>
      <c r="F37" s="12">
        <v>100</v>
      </c>
      <c r="G37" s="39">
        <v>2</v>
      </c>
      <c r="H37" s="210">
        <f t="shared" si="2"/>
        <v>200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28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10</v>
      </c>
      <c r="D49" s="12">
        <f>C49*42</f>
        <v>420</v>
      </c>
      <c r="F49" s="235" t="s">
        <v>85</v>
      </c>
      <c r="G49" s="182">
        <f>H34+H35+H36+H37+H38+H39+H40+H41+G42+H44+H45+H46</f>
        <v>280778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17.75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48594.75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46148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331</v>
      </c>
      <c r="D6" s="13">
        <f t="shared" ref="D6:D28" si="1">C6*L6</f>
        <v>251891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58</v>
      </c>
      <c r="D9" s="13">
        <f t="shared" si="1"/>
        <v>42514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6</v>
      </c>
      <c r="D10" s="13">
        <f t="shared" si="1"/>
        <v>6192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11</v>
      </c>
      <c r="D13" s="48">
        <f t="shared" si="1"/>
        <v>3377</v>
      </c>
      <c r="F13" s="155" t="s">
        <v>36</v>
      </c>
      <c r="G13" s="156"/>
      <c r="H13" s="157">
        <f>D29</f>
        <v>324737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15</v>
      </c>
      <c r="D14" s="31">
        <f t="shared" si="1"/>
        <v>165</v>
      </c>
      <c r="F14" s="160" t="s">
        <v>38</v>
      </c>
      <c r="G14" s="161"/>
      <c r="H14" s="162">
        <f>D54</f>
        <v>48459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276278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f>3+3</f>
        <v>6</v>
      </c>
      <c r="D16" s="48">
        <f t="shared" si="1"/>
        <v>3900</v>
      </c>
      <c r="F16" s="67" t="s">
        <v>41</v>
      </c>
      <c r="G16" s="66" t="s">
        <v>42</v>
      </c>
      <c r="H16" s="169">
        <f>690+612+888</f>
        <v>2190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>
        <f>1+3</f>
        <v>4</v>
      </c>
      <c r="D19" s="48">
        <f t="shared" si="1"/>
        <v>4700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324737</v>
      </c>
      <c r="F29" s="178" t="s">
        <v>54</v>
      </c>
      <c r="G29" s="179"/>
      <c r="H29" s="182">
        <f>H15-H16-H17-H18-H19-H20-H22-H23-H24+H26+H27</f>
        <v>274038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126</v>
      </c>
      <c r="H34" s="210">
        <f>F34*G34</f>
        <v>126000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>F35*G35</f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408</v>
      </c>
      <c r="D37" s="12">
        <f>C37*111</f>
        <v>45288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2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5</v>
      </c>
      <c r="D44" s="12">
        <f>C44*120</f>
        <v>600</v>
      </c>
      <c r="F44" s="37" t="s">
        <v>132</v>
      </c>
      <c r="G44" s="76" t="s">
        <v>154</v>
      </c>
      <c r="H44" s="194">
        <v>79238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76" t="s">
        <v>155</v>
      </c>
      <c r="H45" s="194">
        <v>68148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273988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-50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48459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C6" sqref="C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46149</v>
      </c>
      <c r="J4" s="127"/>
      <c r="K4" s="21"/>
      <c r="L4" s="115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467</v>
      </c>
      <c r="D6" s="13">
        <f t="shared" ref="D6:D28" si="1">C6*L6</f>
        <v>355387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48</v>
      </c>
      <c r="D7" s="13">
        <f t="shared" si="1"/>
        <v>37488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15</v>
      </c>
      <c r="D9" s="13">
        <f t="shared" si="1"/>
        <v>10995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5</v>
      </c>
      <c r="D13" s="48">
        <f t="shared" si="1"/>
        <v>1535</v>
      </c>
      <c r="F13" s="155" t="s">
        <v>36</v>
      </c>
      <c r="G13" s="156"/>
      <c r="H13" s="157">
        <f>D29</f>
        <v>405449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4</v>
      </c>
      <c r="D14" s="31">
        <f>C14*L14</f>
        <v>44</v>
      </c>
      <c r="F14" s="160" t="s">
        <v>38</v>
      </c>
      <c r="G14" s="161"/>
      <c r="H14" s="162">
        <f>D54</f>
        <v>70817.25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334631.75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2880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405449</v>
      </c>
      <c r="F29" s="178" t="s">
        <v>54</v>
      </c>
      <c r="G29" s="179"/>
      <c r="H29" s="182">
        <f>H15-H16-H17-H18-H19-H20-H22-H23-H24+H26+H27+H28</f>
        <v>331751.75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11</v>
      </c>
      <c r="H34" s="210">
        <f t="shared" ref="H34:H39" si="2">F34*G34</f>
        <v>11000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</v>
      </c>
      <c r="H35" s="210">
        <f t="shared" si="2"/>
        <v>3000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559</v>
      </c>
      <c r="D37" s="12">
        <f>C37*111</f>
        <v>62049</v>
      </c>
      <c r="F37" s="12">
        <v>100</v>
      </c>
      <c r="G37" s="39">
        <v>7</v>
      </c>
      <c r="H37" s="210">
        <f t="shared" si="2"/>
        <v>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2</v>
      </c>
      <c r="H38" s="210">
        <f t="shared" si="2"/>
        <v>100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10">
        <f t="shared" si="2"/>
        <v>20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10">
        <v>103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9</v>
      </c>
      <c r="D44" s="12">
        <f>C44*120</f>
        <v>1080</v>
      </c>
      <c r="F44" s="37" t="s">
        <v>132</v>
      </c>
      <c r="G44" s="62" t="s">
        <v>158</v>
      </c>
      <c r="H44" s="194">
        <v>306035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03" t="s">
        <v>141</v>
      </c>
      <c r="H45" s="194">
        <v>10505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69</v>
      </c>
      <c r="D49" s="12">
        <f>C49*42</f>
        <v>2898</v>
      </c>
      <c r="F49" s="235" t="s">
        <v>85</v>
      </c>
      <c r="G49" s="182">
        <f>H34+H35+H36+H37+H38+H39+H40+H41+G42+H44+H45+H46</f>
        <v>331463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-288.75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70817.25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77E6E-7D36-4F2D-87E7-46F54FFB6B5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10" t="s">
        <v>2</v>
      </c>
      <c r="Q1" s="11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 t="s">
        <v>153</v>
      </c>
      <c r="G26" s="65">
        <v>10503</v>
      </c>
      <c r="H26" s="194">
        <v>70631</v>
      </c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1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11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70631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2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70</v>
      </c>
      <c r="H34" s="210">
        <f t="shared" ref="H34:H39" si="2">F34*G34</f>
        <v>70000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10">
        <f t="shared" si="2"/>
        <v>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10">
        <f t="shared" si="2"/>
        <v>100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31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1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70631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283</v>
      </c>
      <c r="D6" s="13">
        <f t="shared" ref="D6:D28" si="1">C6*L6</f>
        <v>215363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23</v>
      </c>
      <c r="D9" s="13">
        <f t="shared" si="1"/>
        <v>16859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10</v>
      </c>
      <c r="D13" s="48">
        <f t="shared" si="1"/>
        <v>3070</v>
      </c>
      <c r="F13" s="155" t="s">
        <v>36</v>
      </c>
      <c r="G13" s="156"/>
      <c r="H13" s="157">
        <f>D29</f>
        <v>242941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33151.5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v>1</v>
      </c>
      <c r="D15" s="31">
        <f t="shared" si="1"/>
        <v>620</v>
      </c>
      <c r="F15" s="165" t="s">
        <v>39</v>
      </c>
      <c r="G15" s="156"/>
      <c r="H15" s="166">
        <f>H13-H14</f>
        <v>209789.5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242941</v>
      </c>
      <c r="F29" s="178" t="s">
        <v>54</v>
      </c>
      <c r="G29" s="179"/>
      <c r="H29" s="182">
        <f>H15-H16-H17-H18-H19-H20-H22-H23-H24+H26+H27</f>
        <v>209789.5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179</v>
      </c>
      <c r="H34" s="210">
        <f>F34*G34</f>
        <v>179000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10">
        <f t="shared" ref="H35:H39" si="2">F35*G35</f>
        <v>22000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287</v>
      </c>
      <c r="D37" s="12">
        <f>C37*111</f>
        <v>31857</v>
      </c>
      <c r="F37" s="12">
        <v>100</v>
      </c>
      <c r="G37" s="39">
        <v>45</v>
      </c>
      <c r="H37" s="210">
        <f t="shared" si="2"/>
        <v>4500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6</v>
      </c>
      <c r="D42" s="12">
        <f>C42*2.25</f>
        <v>13.5</v>
      </c>
      <c r="F42" s="39" t="s">
        <v>78</v>
      </c>
      <c r="G42" s="210">
        <v>295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205795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8</v>
      </c>
      <c r="D50" s="12">
        <f>C50*1.5</f>
        <v>12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131</v>
      </c>
      <c r="G51" s="258">
        <f>G49-H29</f>
        <v>-3994.5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33151.5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46149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399</v>
      </c>
      <c r="D6" s="13">
        <f t="shared" ref="D6:D28" si="1">C6*L6</f>
        <v>303639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42</v>
      </c>
      <c r="D7" s="13">
        <f t="shared" si="1"/>
        <v>32802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10</v>
      </c>
      <c r="D9" s="13">
        <f t="shared" si="1"/>
        <v>7330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17</v>
      </c>
      <c r="D13" s="48">
        <f t="shared" si="1"/>
        <v>5219</v>
      </c>
      <c r="F13" s="155" t="s">
        <v>36</v>
      </c>
      <c r="G13" s="156"/>
      <c r="H13" s="157">
        <f>D29</f>
        <v>355053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19</v>
      </c>
      <c r="D14" s="31">
        <f t="shared" si="1"/>
        <v>209</v>
      </c>
      <c r="F14" s="160" t="s">
        <v>38</v>
      </c>
      <c r="G14" s="161"/>
      <c r="H14" s="162">
        <f>D54</f>
        <v>51516.75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>
        <f>3+3</f>
        <v>6</v>
      </c>
      <c r="D15" s="31">
        <f t="shared" si="1"/>
        <v>3720</v>
      </c>
      <c r="F15" s="165" t="s">
        <v>39</v>
      </c>
      <c r="G15" s="156"/>
      <c r="H15" s="166">
        <f>H13-H14</f>
        <v>303536.25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1044+648+336</f>
        <v>2028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f>1</f>
        <v>1</v>
      </c>
      <c r="D18" s="48">
        <f t="shared" si="1"/>
        <v>1102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355053</v>
      </c>
      <c r="F29" s="178" t="s">
        <v>54</v>
      </c>
      <c r="G29" s="179"/>
      <c r="H29" s="182">
        <f>H15-H16-H17-H18-H19-H20-H22-H23-H24+H26+H27</f>
        <v>301508.25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90</v>
      </c>
      <c r="H34" s="210">
        <f>F34*G34</f>
        <v>90000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38</v>
      </c>
      <c r="H35" s="210">
        <f>F35*G35</f>
        <v>19000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366</v>
      </c>
      <c r="D37" s="12">
        <f>C37*111</f>
        <v>40626</v>
      </c>
      <c r="F37" s="12">
        <v>100</v>
      </c>
      <c r="G37" s="39">
        <v>49</v>
      </c>
      <c r="H37" s="210">
        <f t="shared" si="2"/>
        <v>4900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23</v>
      </c>
      <c r="D38" s="12">
        <f>C38*84</f>
        <v>1932</v>
      </c>
      <c r="F38" s="30">
        <v>50</v>
      </c>
      <c r="G38" s="39">
        <v>7</v>
      </c>
      <c r="H38" s="210">
        <f t="shared" si="2"/>
        <v>350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51</v>
      </c>
      <c r="D40" s="12">
        <f>C40*111</f>
        <v>5661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0">
        <v>28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7</v>
      </c>
      <c r="D44" s="12">
        <f>C44*120</f>
        <v>840</v>
      </c>
      <c r="F44" s="37" t="s">
        <v>136</v>
      </c>
      <c r="G44" s="114" t="s">
        <v>157</v>
      </c>
      <c r="H44" s="194">
        <v>116753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136</v>
      </c>
      <c r="G45" s="114" t="s">
        <v>156</v>
      </c>
      <c r="H45" s="194">
        <v>70468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9</v>
      </c>
      <c r="D46" s="12">
        <f>C46*1.5</f>
        <v>13.5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301499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12</v>
      </c>
      <c r="D50" s="12">
        <f>C50*1.5</f>
        <v>18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-9.25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51516.75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298</v>
      </c>
      <c r="D6" s="13">
        <f t="shared" ref="D6:D28" si="1">C6*L6</f>
        <v>226778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3</v>
      </c>
      <c r="D7" s="13">
        <f t="shared" si="1"/>
        <v>2343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24</v>
      </c>
      <c r="D9" s="13">
        <f t="shared" si="1"/>
        <v>17592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1</v>
      </c>
      <c r="D12" s="48">
        <f t="shared" si="1"/>
        <v>992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9</v>
      </c>
      <c r="D13" s="48">
        <f t="shared" si="1"/>
        <v>2763</v>
      </c>
      <c r="F13" s="155" t="s">
        <v>36</v>
      </c>
      <c r="G13" s="156"/>
      <c r="H13" s="157">
        <f>D29</f>
        <v>257721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9</v>
      </c>
      <c r="D14" s="31">
        <f t="shared" si="1"/>
        <v>99</v>
      </c>
      <c r="F14" s="160" t="s">
        <v>38</v>
      </c>
      <c r="G14" s="161"/>
      <c r="H14" s="162">
        <f>D54</f>
        <v>24684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233037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169">
        <v>1140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>
        <v>2</v>
      </c>
      <c r="D18" s="48">
        <f t="shared" si="1"/>
        <v>2204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257721</v>
      </c>
      <c r="F29" s="178" t="s">
        <v>54</v>
      </c>
      <c r="G29" s="179"/>
      <c r="H29" s="182">
        <f>H15-H16-H17-H18-H19-H20-H22-H23-H24+H26+H27</f>
        <v>231897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48</v>
      </c>
      <c r="H34" s="210">
        <f>F34*G34</f>
        <v>48000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84</v>
      </c>
      <c r="H35" s="210">
        <f t="shared" ref="H35:H39" si="2">F35*G35</f>
        <v>42000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20</v>
      </c>
      <c r="D36" s="12">
        <f>C36*1.5</f>
        <v>30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207</v>
      </c>
      <c r="D37" s="12">
        <f>C37*111</f>
        <v>22977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14</v>
      </c>
      <c r="D39" s="31">
        <f>C39*4.5</f>
        <v>63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24</v>
      </c>
      <c r="D42" s="12">
        <f>C42*2.25</f>
        <v>54</v>
      </c>
      <c r="F42" s="39" t="s">
        <v>78</v>
      </c>
      <c r="G42" s="210">
        <v>30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159</v>
      </c>
      <c r="H44" s="194">
        <v>144012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6</v>
      </c>
      <c r="D46" s="12">
        <f>C46*1.5</f>
        <v>9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7</v>
      </c>
      <c r="D49" s="12">
        <f>C49*42</f>
        <v>294</v>
      </c>
      <c r="F49" s="235" t="s">
        <v>85</v>
      </c>
      <c r="G49" s="182">
        <f>H34+H35+H36+H37+H38+H39+H40+H41+G42+H44+H45+H46</f>
        <v>234242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10</v>
      </c>
      <c r="D50" s="12">
        <f>C50*1.5</f>
        <v>15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2345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24684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46150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471</v>
      </c>
      <c r="D6" s="13">
        <f t="shared" ref="D6:D28" si="1">C6*L6</f>
        <v>358431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20</v>
      </c>
      <c r="D7" s="13">
        <f t="shared" si="1"/>
        <v>15620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40</v>
      </c>
      <c r="D9" s="13">
        <f t="shared" si="1"/>
        <v>29320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2</v>
      </c>
      <c r="D10" s="13">
        <f t="shared" si="1"/>
        <v>2064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411243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38</v>
      </c>
      <c r="G14" s="161"/>
      <c r="H14" s="162">
        <f>D54</f>
        <v>62579.25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348663.75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f>888+300+1356</f>
        <v>2544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411243</v>
      </c>
      <c r="F29" s="178" t="s">
        <v>54</v>
      </c>
      <c r="G29" s="179"/>
      <c r="H29" s="182">
        <f>H15-H16-H17-H18-H19-H20-H22-H23-H24+H26+H27</f>
        <v>346119.75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202</v>
      </c>
      <c r="H34" s="210">
        <f>F34*G34</f>
        <v>202000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10">
        <f>F35*G35</f>
        <v>30000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518</v>
      </c>
      <c r="D37" s="12">
        <f>C37*111</f>
        <v>57498</v>
      </c>
      <c r="F37" s="12">
        <v>100</v>
      </c>
      <c r="G37" s="39">
        <v>6</v>
      </c>
      <c r="H37" s="210">
        <f t="shared" si="2"/>
        <v>600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10">
        <v>84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1</v>
      </c>
      <c r="D44" s="12">
        <f>C44*120</f>
        <v>120</v>
      </c>
      <c r="F44" s="37" t="s">
        <v>132</v>
      </c>
      <c r="G44" s="62" t="s">
        <v>160</v>
      </c>
      <c r="H44" s="194">
        <v>95996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76"/>
      <c r="H45" s="194">
        <v>18000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34</v>
      </c>
      <c r="D49" s="12">
        <f>C49*42</f>
        <v>1428</v>
      </c>
      <c r="F49" s="235" t="s">
        <v>85</v>
      </c>
      <c r="G49" s="182">
        <f>H34+H35+H36+H37+H38+H39+H40+H41+G42+H44+H45+H46</f>
        <v>346730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610.25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62579.25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96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365</v>
      </c>
      <c r="D6" s="13">
        <f t="shared" ref="D6:D28" si="1">C6*L6</f>
        <v>277765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10</v>
      </c>
      <c r="D7" s="13">
        <f t="shared" si="1"/>
        <v>7810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>
        <v>1</v>
      </c>
      <c r="D8" s="13">
        <f t="shared" si="1"/>
        <v>1093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30</v>
      </c>
      <c r="D9" s="13">
        <f t="shared" si="1"/>
        <v>21990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>
        <v>1</v>
      </c>
      <c r="D10" s="13">
        <f t="shared" si="1"/>
        <v>1032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f>2</f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</v>
      </c>
      <c r="D13" s="48">
        <f t="shared" si="1"/>
        <v>307</v>
      </c>
      <c r="F13" s="155" t="s">
        <v>36</v>
      </c>
      <c r="G13" s="156"/>
      <c r="H13" s="157">
        <f>D29</f>
        <v>312686.83333333331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10</v>
      </c>
      <c r="D14" s="31">
        <f t="shared" si="1"/>
        <v>110</v>
      </c>
      <c r="F14" s="160" t="s">
        <v>38</v>
      </c>
      <c r="G14" s="161"/>
      <c r="H14" s="162">
        <f>D54</f>
        <v>42262.5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270424.33333333331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163</v>
      </c>
      <c r="C21" s="10">
        <v>22</v>
      </c>
      <c r="D21" s="48">
        <f t="shared" si="1"/>
        <v>595.83333333333326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650/24</f>
        <v>27.083333333333332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93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312686.83333333331</v>
      </c>
      <c r="F29" s="178" t="s">
        <v>54</v>
      </c>
      <c r="G29" s="179"/>
      <c r="H29" s="182">
        <f>H15-H16-H17-H18-H19-H20-H22-H23-H24+H26+H27+H28</f>
        <v>270424.33333333331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136</v>
      </c>
      <c r="H34" s="210">
        <f t="shared" ref="H34:H39" si="2">F34*G34</f>
        <v>136000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108</v>
      </c>
      <c r="H35" s="210">
        <f t="shared" si="2"/>
        <v>54000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68</v>
      </c>
      <c r="H37" s="210">
        <f t="shared" si="2"/>
        <v>6800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1</v>
      </c>
      <c r="H38" s="210">
        <f t="shared" si="2"/>
        <v>50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>
        <v>8</v>
      </c>
      <c r="D42" s="12">
        <f>C42*2.25</f>
        <v>18</v>
      </c>
      <c r="F42" s="39" t="s">
        <v>78</v>
      </c>
      <c r="G42" s="210">
        <v>11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3</v>
      </c>
      <c r="D44" s="12">
        <f>C44*120</f>
        <v>360</v>
      </c>
      <c r="F44" s="37" t="s">
        <v>136</v>
      </c>
      <c r="G44" s="103" t="s">
        <v>141</v>
      </c>
      <c r="H44" s="194">
        <v>64500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137</v>
      </c>
      <c r="G45" s="62"/>
      <c r="H45" s="194">
        <v>9016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270377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164</v>
      </c>
      <c r="G51" s="258">
        <f>G49-H29</f>
        <v>-47.333333333313931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42262.5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375</v>
      </c>
      <c r="D6" s="13">
        <f t="shared" ref="D6:D28" si="1">C6*L6</f>
        <v>285375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130</v>
      </c>
      <c r="D9" s="13">
        <f t="shared" si="1"/>
        <v>95290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15</v>
      </c>
      <c r="D13" s="48">
        <f t="shared" si="1"/>
        <v>4605</v>
      </c>
      <c r="F13" s="155" t="s">
        <v>36</v>
      </c>
      <c r="G13" s="156"/>
      <c r="H13" s="157">
        <f>D29</f>
        <v>385347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7</v>
      </c>
      <c r="D14" s="31">
        <f t="shared" si="1"/>
        <v>77</v>
      </c>
      <c r="F14" s="160" t="s">
        <v>38</v>
      </c>
      <c r="G14" s="161"/>
      <c r="H14" s="162">
        <f>D54</f>
        <v>57529.5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327817.5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>
        <v>2880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385347</v>
      </c>
      <c r="F29" s="178" t="s">
        <v>54</v>
      </c>
      <c r="G29" s="179"/>
      <c r="H29" s="182">
        <f>H15-H16-H17-H18-H19-H20-H22-H23-H24+H26+H27</f>
        <v>324937.5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203</v>
      </c>
      <c r="H34" s="210">
        <f>F34*G34</f>
        <v>203000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141</v>
      </c>
      <c r="H35" s="210">
        <f t="shared" ref="H35:H39" si="2">F35*G35</f>
        <v>70500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10">
        <f>F36*G36</f>
        <v>200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>
        <v>318</v>
      </c>
      <c r="H37" s="210">
        <f t="shared" si="2"/>
        <v>31800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404</v>
      </c>
      <c r="H38" s="210">
        <f t="shared" si="2"/>
        <v>20200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94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3</v>
      </c>
      <c r="D49" s="12">
        <f>C49*42</f>
        <v>126</v>
      </c>
      <c r="F49" s="235" t="s">
        <v>85</v>
      </c>
      <c r="G49" s="182">
        <f>H34+H35+H36+H37+H38+H39+H40+H41+G42+H44+H45+H46</f>
        <v>325700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7</v>
      </c>
      <c r="D50" s="12">
        <f>C50*1.5</f>
        <v>10.5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762.5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57529.5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tabSelected="1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46153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>
        <v>295</v>
      </c>
      <c r="D6" s="13">
        <f t="shared" ref="D6:D28" si="1">C6*L6</f>
        <v>224495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>
        <v>9</v>
      </c>
      <c r="D7" s="13">
        <f t="shared" si="1"/>
        <v>7029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>
        <v>95</v>
      </c>
      <c r="D9" s="13">
        <f t="shared" si="1"/>
        <v>69635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>
        <v>2</v>
      </c>
      <c r="D12" s="48">
        <f t="shared" si="1"/>
        <v>1984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>
        <v>4</v>
      </c>
      <c r="D13" s="48">
        <f t="shared" si="1"/>
        <v>1228</v>
      </c>
      <c r="F13" s="155" t="s">
        <v>36</v>
      </c>
      <c r="G13" s="156"/>
      <c r="H13" s="157">
        <f>D29</f>
        <v>306343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>
        <v>2</v>
      </c>
      <c r="D14" s="31">
        <f t="shared" si="1"/>
        <v>22</v>
      </c>
      <c r="F14" s="160" t="s">
        <v>38</v>
      </c>
      <c r="G14" s="161"/>
      <c r="H14" s="162">
        <f>D54</f>
        <v>51729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254614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69">
        <f>300+612+420+300</f>
        <v>1632</v>
      </c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>
        <v>50</v>
      </c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96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306343</v>
      </c>
      <c r="F29" s="178" t="s">
        <v>54</v>
      </c>
      <c r="G29" s="179"/>
      <c r="H29" s="182">
        <f>H15-H16-H17-H18-H19-H20-H22-H23-H24+H26+H27</f>
        <v>252932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88</v>
      </c>
      <c r="H34" s="210">
        <f>F34*G34</f>
        <v>88000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>
        <v>102</v>
      </c>
      <c r="H35" s="210">
        <f>F35*G35</f>
        <v>51000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10">
        <f t="shared" ref="H36:H39" si="2">F36*G36</f>
        <v>600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>
        <v>451</v>
      </c>
      <c r="D37" s="12">
        <f>C37*111</f>
        <v>50061</v>
      </c>
      <c r="F37" s="12">
        <v>100</v>
      </c>
      <c r="G37" s="39">
        <v>47</v>
      </c>
      <c r="H37" s="210">
        <f t="shared" si="2"/>
        <v>4700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>
        <v>4</v>
      </c>
      <c r="H38" s="210">
        <f t="shared" si="2"/>
        <v>200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>
        <v>31</v>
      </c>
      <c r="D39" s="31">
        <f>C39*4.5</f>
        <v>139.5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>
        <v>131</v>
      </c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93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>
        <v>2</v>
      </c>
      <c r="D44" s="12">
        <f>C44*120</f>
        <v>240</v>
      </c>
      <c r="F44" s="37" t="s">
        <v>132</v>
      </c>
      <c r="G44" s="76" t="s">
        <v>165</v>
      </c>
      <c r="H44" s="194">
        <v>65537.5</v>
      </c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 t="s">
        <v>132</v>
      </c>
      <c r="G45" s="76" t="s">
        <v>166</v>
      </c>
      <c r="H45" s="194">
        <v>45415</v>
      </c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>
        <v>8</v>
      </c>
      <c r="D46" s="12">
        <f>C46*1.5</f>
        <v>12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>
        <v>1</v>
      </c>
      <c r="D49" s="12">
        <f>C49*42</f>
        <v>42</v>
      </c>
      <c r="F49" s="235" t="s">
        <v>85</v>
      </c>
      <c r="G49" s="182">
        <f>H34+H35+H36+H37+H38+H39+H40+H41+G42+H44+H45+H46</f>
        <v>255583.5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>
        <v>1</v>
      </c>
      <c r="D50" s="12">
        <f>C50*1.5</f>
        <v>1.5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2651.5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51729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9A070-2B26-49D3-99F7-A4706756C6B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55631-AF90-414A-8303-EF0A633D45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FD090-C2CE-46BD-B4A6-EF20290A15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ADB1-C1A1-49F5-943A-8AFB6D23C8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46154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A82DE-848E-4D18-B3B6-32FC97A7F6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000AB-57DA-4F70-BEF5-1E4FB75999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91635-EC5E-4041-8C33-B85E2C196E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56F6A-0CF6-4172-83F9-07AD0F9C08D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46155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DC929-679D-4984-9828-75E8A904AD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A1E40B-D58A-4F9B-82BB-82A2351392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1A6604-0014-45A1-979D-2F42B5F602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D3EF8-75F8-472F-912A-02E756786B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46156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97033-8960-4E47-A585-BECBD678508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675C6-DB61-4E50-AB57-FFC9FFA13BA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1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99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120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108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69"/>
      <c r="I19" s="169"/>
      <c r="J19" s="16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7"/>
      <c r="G23" s="79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77"/>
      <c r="G24" s="79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75"/>
      <c r="G26" s="65"/>
      <c r="H26" s="194"/>
      <c r="I26" s="194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71"/>
      <c r="G27" s="105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H15-H16-H17-H18-H19-H20-H22-H23-H24+H26+H27+H28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10">
        <f t="shared" ref="H34:H39" si="2"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si="2"/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si="2"/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109</v>
      </c>
      <c r="G51" s="258">
        <f>G49-H29</f>
        <v>0</v>
      </c>
      <c r="H51" s="259"/>
      <c r="I51" s="259"/>
      <c r="J51" s="260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61"/>
      <c r="H52" s="262"/>
      <c r="I52" s="262"/>
      <c r="J52" s="263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6AD7F-B4A2-4C92-9488-DF24F84973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2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107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100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101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7"/>
      <c r="I19" s="257"/>
      <c r="J19" s="25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42"/>
      <c r="I20" s="142"/>
      <c r="J20" s="14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2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25"/>
      <c r="G23" s="37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10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14"/>
      <c r="G27" s="14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 t="shared" ref="H35:H39" si="2"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62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62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106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112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0924D-26CD-480E-AFC1-350727F73F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7" t="s">
        <v>7</v>
      </c>
      <c r="B4" s="118"/>
      <c r="C4" s="118"/>
      <c r="D4" s="119"/>
      <c r="F4" s="120" t="s">
        <v>8</v>
      </c>
      <c r="G4" s="122">
        <v>3</v>
      </c>
      <c r="H4" s="124" t="s">
        <v>9</v>
      </c>
      <c r="I4" s="126">
        <v>46157</v>
      </c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1"/>
      <c r="B6" s="16" t="s">
        <v>15</v>
      </c>
      <c r="C6" s="10"/>
      <c r="D6" s="13">
        <f t="shared" ref="D6:D28" si="1">C6*L6</f>
        <v>0</v>
      </c>
      <c r="F6" s="133" t="s">
        <v>16</v>
      </c>
      <c r="G6" s="135" t="s">
        <v>117</v>
      </c>
      <c r="H6" s="136"/>
      <c r="I6" s="136"/>
      <c r="J6" s="13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1"/>
      <c r="B7" s="16" t="s">
        <v>18</v>
      </c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1"/>
      <c r="B8" s="16" t="s">
        <v>20</v>
      </c>
      <c r="C8" s="10"/>
      <c r="D8" s="13">
        <f t="shared" si="1"/>
        <v>0</v>
      </c>
      <c r="F8" s="141" t="s">
        <v>21</v>
      </c>
      <c r="G8" s="143" t="s">
        <v>110</v>
      </c>
      <c r="H8" s="144"/>
      <c r="I8" s="144"/>
      <c r="J8" s="14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1"/>
      <c r="B9" s="16" t="s">
        <v>23</v>
      </c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1"/>
      <c r="B10" t="s">
        <v>25</v>
      </c>
      <c r="C10" s="10"/>
      <c r="D10" s="13">
        <f t="shared" si="1"/>
        <v>0</v>
      </c>
      <c r="F10" s="133" t="s">
        <v>26</v>
      </c>
      <c r="G10" s="149" t="s">
        <v>124</v>
      </c>
      <c r="H10" s="150"/>
      <c r="I10" s="150"/>
      <c r="J10" s="151"/>
      <c r="K10" s="8"/>
      <c r="L10" s="6">
        <f>R36</f>
        <v>1032</v>
      </c>
      <c r="P10" s="4"/>
      <c r="Q10" s="4"/>
      <c r="R10" s="5"/>
    </row>
    <row r="11" spans="1:18" ht="15.75" x14ac:dyDescent="0.25">
      <c r="A11" s="131"/>
      <c r="B11" s="17" t="s">
        <v>28</v>
      </c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1"/>
      <c r="B12" s="17" t="s">
        <v>30</v>
      </c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1"/>
      <c r="B13" s="17" t="s">
        <v>32</v>
      </c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1"/>
      <c r="B14" s="14" t="s">
        <v>35</v>
      </c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1"/>
      <c r="B15" s="14" t="s">
        <v>122</v>
      </c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64"/>
      <c r="I19" s="264"/>
      <c r="J19" s="264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31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1"/>
      <c r="B22" s="46" t="s">
        <v>103</v>
      </c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 t="s">
        <v>121</v>
      </c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 t="s">
        <v>128</v>
      </c>
      <c r="C24" s="10"/>
      <c r="D24" s="48">
        <f t="shared" si="1"/>
        <v>0</v>
      </c>
      <c r="F24" s="38"/>
      <c r="G24" s="37"/>
      <c r="H24" s="193"/>
      <c r="I24" s="194"/>
      <c r="J24" s="19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 t="s">
        <v>129</v>
      </c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1"/>
      <c r="B27" s="14" t="s">
        <v>130</v>
      </c>
      <c r="C27" s="10"/>
      <c r="D27" s="44">
        <f t="shared" si="1"/>
        <v>0</v>
      </c>
      <c r="F27" s="25"/>
      <c r="G27" s="80"/>
      <c r="H27" s="201"/>
      <c r="I27" s="202"/>
      <c r="J27" s="20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 t="s">
        <v>92</v>
      </c>
      <c r="C28" s="10"/>
      <c r="D28" s="48">
        <f t="shared" si="1"/>
        <v>0</v>
      </c>
      <c r="F28" s="108"/>
      <c r="G28" s="61"/>
      <c r="H28" s="204"/>
      <c r="I28" s="205"/>
      <c r="J28" s="20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>
        <f>F34*G34</f>
        <v>0</v>
      </c>
      <c r="I34" s="211"/>
      <c r="J34" s="21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>
        <f>F35*G35</f>
        <v>0</v>
      </c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>
        <f t="shared" ref="H36:H39" si="2">F36*G36</f>
        <v>0</v>
      </c>
      <c r="I36" s="211"/>
      <c r="J36" s="21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>
        <f t="shared" si="2"/>
        <v>0</v>
      </c>
      <c r="I37" s="211"/>
      <c r="J37" s="21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>
        <f t="shared" si="2"/>
        <v>0</v>
      </c>
      <c r="I38" s="211"/>
      <c r="J38" s="21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>
        <f t="shared" si="2"/>
        <v>0</v>
      </c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O50" t="s">
        <v>114</v>
      </c>
      <c r="P50" s="4">
        <v>1204</v>
      </c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115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7DCD8-3CE5-4EAB-B5F7-F28AD55F7D3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6" t="s">
        <v>1</v>
      </c>
      <c r="O1" s="116"/>
      <c r="P1" s="107" t="s">
        <v>2</v>
      </c>
      <c r="Q1" s="10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7" t="s">
        <v>7</v>
      </c>
      <c r="B4" s="118"/>
      <c r="C4" s="118"/>
      <c r="D4" s="119"/>
      <c r="F4" s="120" t="s">
        <v>8</v>
      </c>
      <c r="G4" s="122"/>
      <c r="H4" s="124" t="s">
        <v>9</v>
      </c>
      <c r="I4" s="126"/>
      <c r="J4" s="12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0" t="s">
        <v>7</v>
      </c>
      <c r="B5" s="15" t="s">
        <v>11</v>
      </c>
      <c r="C5" s="9" t="s">
        <v>12</v>
      </c>
      <c r="D5" s="25" t="s">
        <v>13</v>
      </c>
      <c r="F5" s="121"/>
      <c r="G5" s="123"/>
      <c r="H5" s="125"/>
      <c r="I5" s="128"/>
      <c r="J5" s="12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1"/>
      <c r="B6" s="16"/>
      <c r="C6" s="10"/>
      <c r="D6" s="13">
        <f t="shared" ref="D6:D28" si="1">C6*L6</f>
        <v>0</v>
      </c>
      <c r="F6" s="133" t="s">
        <v>16</v>
      </c>
      <c r="G6" s="135"/>
      <c r="H6" s="136"/>
      <c r="I6" s="136"/>
      <c r="J6" s="13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1"/>
      <c r="B7" s="16"/>
      <c r="C7" s="10"/>
      <c r="D7" s="13">
        <f t="shared" si="1"/>
        <v>0</v>
      </c>
      <c r="F7" s="134"/>
      <c r="G7" s="138"/>
      <c r="H7" s="139"/>
      <c r="I7" s="139"/>
      <c r="J7" s="14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1"/>
      <c r="B8" s="16"/>
      <c r="C8" s="10"/>
      <c r="D8" s="13">
        <f t="shared" si="1"/>
        <v>0</v>
      </c>
      <c r="F8" s="141" t="s">
        <v>21</v>
      </c>
      <c r="G8" s="143"/>
      <c r="H8" s="144"/>
      <c r="I8" s="144"/>
      <c r="J8" s="14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1"/>
      <c r="B9" s="16"/>
      <c r="C9" s="10"/>
      <c r="D9" s="13">
        <f t="shared" si="1"/>
        <v>0</v>
      </c>
      <c r="F9" s="134"/>
      <c r="G9" s="146"/>
      <c r="H9" s="147"/>
      <c r="I9" s="147"/>
      <c r="J9" s="14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1"/>
      <c r="C10" s="10"/>
      <c r="D10" s="13">
        <f t="shared" si="1"/>
        <v>0</v>
      </c>
      <c r="F10" s="133" t="s">
        <v>26</v>
      </c>
      <c r="G10" s="149"/>
      <c r="H10" s="150"/>
      <c r="I10" s="150"/>
      <c r="J10" s="151"/>
      <c r="K10" s="8"/>
      <c r="L10" s="6">
        <f>R36</f>
        <v>972</v>
      </c>
      <c r="P10" s="4"/>
      <c r="Q10" s="4"/>
      <c r="R10" s="5"/>
    </row>
    <row r="11" spans="1:19" ht="15.75" x14ac:dyDescent="0.25">
      <c r="A11" s="131"/>
      <c r="B11" s="17"/>
      <c r="C11" s="10"/>
      <c r="D11" s="13">
        <f t="shared" si="1"/>
        <v>0</v>
      </c>
      <c r="F11" s="134"/>
      <c r="G11" s="146"/>
      <c r="H11" s="147"/>
      <c r="I11" s="147"/>
      <c r="J11" s="14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1"/>
      <c r="B12" s="17"/>
      <c r="C12" s="10"/>
      <c r="D12" s="48">
        <f t="shared" si="1"/>
        <v>0</v>
      </c>
      <c r="F12" s="152" t="s">
        <v>33</v>
      </c>
      <c r="G12" s="153"/>
      <c r="H12" s="153"/>
      <c r="I12" s="153"/>
      <c r="J12" s="15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1"/>
      <c r="B13" s="17"/>
      <c r="C13" s="10"/>
      <c r="D13" s="48">
        <f t="shared" si="1"/>
        <v>0</v>
      </c>
      <c r="F13" s="155" t="s">
        <v>36</v>
      </c>
      <c r="G13" s="156"/>
      <c r="H13" s="157">
        <f>D29</f>
        <v>0</v>
      </c>
      <c r="I13" s="158"/>
      <c r="J13" s="15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1"/>
      <c r="B14" s="14"/>
      <c r="C14" s="10"/>
      <c r="D14" s="31">
        <f t="shared" si="1"/>
        <v>0</v>
      </c>
      <c r="F14" s="160" t="s">
        <v>38</v>
      </c>
      <c r="G14" s="161"/>
      <c r="H14" s="162">
        <f>D54</f>
        <v>0</v>
      </c>
      <c r="I14" s="163"/>
      <c r="J14" s="16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1"/>
      <c r="B15" s="14"/>
      <c r="C15" s="10"/>
      <c r="D15" s="31">
        <f t="shared" si="1"/>
        <v>0</v>
      </c>
      <c r="F15" s="165" t="s">
        <v>39</v>
      </c>
      <c r="G15" s="156"/>
      <c r="H15" s="166">
        <f>H13-H14</f>
        <v>0</v>
      </c>
      <c r="I15" s="167"/>
      <c r="J15" s="16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9"/>
      <c r="I16" s="169"/>
      <c r="J16" s="16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1"/>
      <c r="C17" s="10"/>
      <c r="D17" s="48">
        <f t="shared" si="1"/>
        <v>0</v>
      </c>
      <c r="F17" s="56"/>
      <c r="G17" s="66" t="s">
        <v>44</v>
      </c>
      <c r="H17" s="142"/>
      <c r="I17" s="142"/>
      <c r="J17" s="14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1"/>
      <c r="B18" s="19"/>
      <c r="C18" s="10"/>
      <c r="D18" s="48">
        <f t="shared" si="1"/>
        <v>0</v>
      </c>
      <c r="F18" s="56"/>
      <c r="G18" s="66" t="s">
        <v>46</v>
      </c>
      <c r="H18" s="142"/>
      <c r="I18" s="142"/>
      <c r="J18" s="14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1"/>
      <c r="B19" s="14"/>
      <c r="C19" s="10"/>
      <c r="D19" s="48">
        <f t="shared" si="1"/>
        <v>0</v>
      </c>
      <c r="F19" s="56"/>
      <c r="G19" s="68" t="s">
        <v>49</v>
      </c>
      <c r="H19" s="188"/>
      <c r="I19" s="188"/>
      <c r="J19" s="18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1"/>
      <c r="B20" s="46"/>
      <c r="C20" s="10"/>
      <c r="D20" s="13">
        <f t="shared" si="1"/>
        <v>0</v>
      </c>
      <c r="F20" s="57"/>
      <c r="G20" s="70" t="s">
        <v>102</v>
      </c>
      <c r="H20" s="169"/>
      <c r="I20" s="169"/>
      <c r="J20" s="16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3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89" t="s">
        <v>13</v>
      </c>
      <c r="I21" s="190"/>
      <c r="J21" s="19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1"/>
      <c r="B22" s="46"/>
      <c r="C22" s="10"/>
      <c r="D22" s="48">
        <f t="shared" si="1"/>
        <v>0</v>
      </c>
      <c r="F22" s="77"/>
      <c r="G22" s="73"/>
      <c r="H22" s="192"/>
      <c r="I22" s="192"/>
      <c r="J22" s="19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31"/>
      <c r="B23" s="14"/>
      <c r="C23" s="10"/>
      <c r="D23" s="48">
        <f t="shared" si="1"/>
        <v>0</v>
      </c>
      <c r="F23" s="78"/>
      <c r="G23" s="79"/>
      <c r="H23" s="193"/>
      <c r="I23" s="194"/>
      <c r="J23" s="19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31"/>
      <c r="B24" s="14"/>
      <c r="C24" s="10"/>
      <c r="D24" s="48">
        <f t="shared" si="1"/>
        <v>0</v>
      </c>
      <c r="F24" s="38"/>
      <c r="G24" s="37"/>
      <c r="H24" s="193"/>
      <c r="I24" s="194"/>
      <c r="J24" s="19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3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95" t="s">
        <v>13</v>
      </c>
      <c r="I25" s="196"/>
      <c r="J25" s="19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31"/>
      <c r="B26" s="14"/>
      <c r="C26" s="10"/>
      <c r="D26" s="48">
        <f t="shared" si="1"/>
        <v>0</v>
      </c>
      <c r="F26" s="64"/>
      <c r="G26" s="59"/>
      <c r="H26" s="198"/>
      <c r="I26" s="199"/>
      <c r="J26" s="20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1"/>
      <c r="B27" s="14"/>
      <c r="C27" s="10"/>
      <c r="D27" s="44">
        <f t="shared" si="1"/>
        <v>0</v>
      </c>
      <c r="F27" s="25"/>
      <c r="G27" s="80"/>
      <c r="H27" s="201"/>
      <c r="I27" s="202"/>
      <c r="J27" s="20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32"/>
      <c r="B28" s="46"/>
      <c r="C28" s="10"/>
      <c r="D28" s="48">
        <f t="shared" si="1"/>
        <v>0</v>
      </c>
      <c r="F28" s="108"/>
      <c r="G28" s="61"/>
      <c r="H28" s="204"/>
      <c r="I28" s="205"/>
      <c r="J28" s="20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0" t="s">
        <v>36</v>
      </c>
      <c r="B29" s="171"/>
      <c r="C29" s="172"/>
      <c r="D29" s="176">
        <f>SUM(D6:D28)</f>
        <v>0</v>
      </c>
      <c r="F29" s="178" t="s">
        <v>54</v>
      </c>
      <c r="G29" s="179"/>
      <c r="H29" s="182">
        <f>H15-H16-H17-H18-H19-H20-H22-H23-H24+H26+H27</f>
        <v>0</v>
      </c>
      <c r="I29" s="183"/>
      <c r="J29" s="18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73"/>
      <c r="B30" s="174"/>
      <c r="C30" s="175"/>
      <c r="D30" s="177"/>
      <c r="F30" s="180"/>
      <c r="G30" s="181"/>
      <c r="H30" s="185"/>
      <c r="I30" s="186"/>
      <c r="J30" s="18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7" t="s">
        <v>57</v>
      </c>
      <c r="B32" s="118"/>
      <c r="C32" s="118"/>
      <c r="D32" s="119"/>
      <c r="F32" s="207" t="s">
        <v>58</v>
      </c>
      <c r="G32" s="208"/>
      <c r="H32" s="208"/>
      <c r="I32" s="208"/>
      <c r="J32" s="20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9" t="s">
        <v>62</v>
      </c>
      <c r="H33" s="207" t="s">
        <v>13</v>
      </c>
      <c r="I33" s="208"/>
      <c r="J33" s="20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10"/>
      <c r="I34" s="211"/>
      <c r="J34" s="21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1"/>
      <c r="B35" s="27" t="s">
        <v>67</v>
      </c>
      <c r="C35" s="52"/>
      <c r="D35" s="30">
        <f>C35*84</f>
        <v>0</v>
      </c>
      <c r="F35" s="58">
        <v>500</v>
      </c>
      <c r="G35" s="41"/>
      <c r="H35" s="210"/>
      <c r="I35" s="211"/>
      <c r="J35" s="21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32"/>
      <c r="B36" s="26" t="s">
        <v>69</v>
      </c>
      <c r="C36" s="10"/>
      <c r="D36" s="12">
        <f>C36*1.5</f>
        <v>0</v>
      </c>
      <c r="F36" s="12">
        <v>200</v>
      </c>
      <c r="G36" s="37"/>
      <c r="H36" s="210"/>
      <c r="I36" s="211"/>
      <c r="J36" s="21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10"/>
      <c r="I37" s="211"/>
      <c r="J37" s="21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1"/>
      <c r="B38" s="29" t="s">
        <v>67</v>
      </c>
      <c r="C38" s="54"/>
      <c r="D38" s="12">
        <f>C38*84</f>
        <v>0</v>
      </c>
      <c r="F38" s="30">
        <v>50</v>
      </c>
      <c r="G38" s="39"/>
      <c r="H38" s="210"/>
      <c r="I38" s="211"/>
      <c r="J38" s="21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2"/>
      <c r="B39" s="29" t="s">
        <v>69</v>
      </c>
      <c r="C39" s="52"/>
      <c r="D39" s="31">
        <f>C39*4.5</f>
        <v>0</v>
      </c>
      <c r="F39" s="12">
        <v>20</v>
      </c>
      <c r="G39" s="37"/>
      <c r="H39" s="210"/>
      <c r="I39" s="211"/>
      <c r="J39" s="21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3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10"/>
      <c r="I40" s="211"/>
      <c r="J40" s="21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1"/>
      <c r="B41" s="27" t="s">
        <v>67</v>
      </c>
      <c r="C41" s="10"/>
      <c r="D41" s="12">
        <f>C41*84</f>
        <v>0</v>
      </c>
      <c r="F41" s="12">
        <v>5</v>
      </c>
      <c r="G41" s="42"/>
      <c r="H41" s="210"/>
      <c r="I41" s="211"/>
      <c r="J41" s="21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2"/>
      <c r="B42" s="27" t="s">
        <v>69</v>
      </c>
      <c r="C42" s="11"/>
      <c r="D42" s="12">
        <f>C42*2.25</f>
        <v>0</v>
      </c>
      <c r="F42" s="39" t="s">
        <v>78</v>
      </c>
      <c r="G42" s="210"/>
      <c r="H42" s="211"/>
      <c r="I42" s="211"/>
      <c r="J42" s="21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3" t="s">
        <v>80</v>
      </c>
      <c r="C43" s="11"/>
      <c r="D43" s="12"/>
      <c r="F43" s="59" t="s">
        <v>81</v>
      </c>
      <c r="G43" s="105" t="s">
        <v>82</v>
      </c>
      <c r="H43" s="216" t="s">
        <v>13</v>
      </c>
      <c r="I43" s="217"/>
      <c r="J43" s="218"/>
      <c r="K43" s="21"/>
      <c r="P43" s="4"/>
      <c r="Q43" s="4"/>
      <c r="R43" s="5"/>
    </row>
    <row r="44" spans="1:18" ht="15.75" x14ac:dyDescent="0.25">
      <c r="A44" s="214"/>
      <c r="B44" s="27" t="s">
        <v>65</v>
      </c>
      <c r="C44" s="10"/>
      <c r="D44" s="12">
        <f>C44*120</f>
        <v>0</v>
      </c>
      <c r="F44" s="37"/>
      <c r="G44" s="76"/>
      <c r="H44" s="194"/>
      <c r="I44" s="194"/>
      <c r="J44" s="194"/>
      <c r="K44" s="21"/>
      <c r="P44" s="4"/>
      <c r="Q44" s="4"/>
      <c r="R44" s="5"/>
    </row>
    <row r="45" spans="1:18" ht="15.75" x14ac:dyDescent="0.25">
      <c r="A45" s="214"/>
      <c r="B45" s="27" t="s">
        <v>67</v>
      </c>
      <c r="C45" s="33"/>
      <c r="D45" s="12">
        <f>C45*84</f>
        <v>0</v>
      </c>
      <c r="F45" s="37"/>
      <c r="G45" s="76"/>
      <c r="H45" s="194"/>
      <c r="I45" s="194"/>
      <c r="J45" s="194"/>
      <c r="K45" s="21"/>
      <c r="P45" s="4"/>
      <c r="Q45" s="4"/>
      <c r="R45" s="5"/>
    </row>
    <row r="46" spans="1:18" ht="15.75" x14ac:dyDescent="0.25">
      <c r="A46" s="214"/>
      <c r="B46" s="49" t="s">
        <v>69</v>
      </c>
      <c r="C46" s="81"/>
      <c r="D46" s="12">
        <f>C46*1.5</f>
        <v>0</v>
      </c>
      <c r="F46" s="37"/>
      <c r="G46" s="62"/>
      <c r="H46" s="219"/>
      <c r="I46" s="219"/>
      <c r="J46" s="219"/>
      <c r="K46" s="21"/>
      <c r="P46" s="4"/>
      <c r="Q46" s="4"/>
      <c r="R46" s="5"/>
    </row>
    <row r="47" spans="1:18" ht="15.75" x14ac:dyDescent="0.25">
      <c r="A47" s="215"/>
      <c r="B47" s="27"/>
      <c r="C47" s="11"/>
      <c r="D47" s="12"/>
      <c r="F47" s="59"/>
      <c r="G47" s="59"/>
      <c r="H47" s="220"/>
      <c r="I47" s="221"/>
      <c r="J47" s="222"/>
      <c r="K47" s="21"/>
      <c r="P47" s="4"/>
      <c r="Q47" s="4"/>
      <c r="R47" s="5"/>
    </row>
    <row r="48" spans="1:18" ht="15" customHeight="1" x14ac:dyDescent="0.25">
      <c r="A48" s="213" t="s">
        <v>32</v>
      </c>
      <c r="B48" s="27" t="s">
        <v>65</v>
      </c>
      <c r="C48" s="10"/>
      <c r="D48" s="12">
        <f>C48*78</f>
        <v>0</v>
      </c>
      <c r="F48" s="59"/>
      <c r="G48" s="59"/>
      <c r="H48" s="220"/>
      <c r="I48" s="221"/>
      <c r="J48" s="22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14"/>
      <c r="B49" s="29" t="s">
        <v>67</v>
      </c>
      <c r="C49" s="33"/>
      <c r="D49" s="12">
        <f>C49*42</f>
        <v>0</v>
      </c>
      <c r="F49" s="235" t="s">
        <v>85</v>
      </c>
      <c r="G49" s="182">
        <f>H34+H35+H36+H37+H38+H39+H40+H41+G42+H44+H45+H46</f>
        <v>0</v>
      </c>
      <c r="H49" s="183"/>
      <c r="I49" s="183"/>
      <c r="J49" s="18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4"/>
      <c r="B50" s="32" t="s">
        <v>69</v>
      </c>
      <c r="C50" s="11"/>
      <c r="D50" s="12">
        <f>C50*1.5</f>
        <v>0</v>
      </c>
      <c r="F50" s="236"/>
      <c r="G50" s="185"/>
      <c r="H50" s="186"/>
      <c r="I50" s="186"/>
      <c r="J50" s="187"/>
      <c r="P50" s="4"/>
      <c r="Q50" s="4"/>
      <c r="R50" s="5"/>
    </row>
    <row r="51" spans="1:18" ht="15" customHeight="1" x14ac:dyDescent="0.25">
      <c r="A51" s="214"/>
      <c r="B51" s="27"/>
      <c r="C51" s="10"/>
      <c r="D51" s="31"/>
      <c r="F51" s="237" t="s">
        <v>106</v>
      </c>
      <c r="G51" s="239">
        <f>G49-H29</f>
        <v>0</v>
      </c>
      <c r="H51" s="240"/>
      <c r="I51" s="240"/>
      <c r="J51" s="24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4"/>
      <c r="B52" s="29"/>
      <c r="C52" s="33"/>
      <c r="D52" s="45"/>
      <c r="F52" s="238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8" t="s">
        <v>89</v>
      </c>
      <c r="B54" s="223"/>
      <c r="C54" s="224"/>
      <c r="D54" s="227">
        <f>SUM(D34:D53)</f>
        <v>0</v>
      </c>
      <c r="F54" s="21"/>
      <c r="J54" s="34"/>
    </row>
    <row r="55" spans="1:18" x14ac:dyDescent="0.25">
      <c r="A55" s="180"/>
      <c r="B55" s="225"/>
      <c r="C55" s="226"/>
      <c r="D55" s="22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9" t="s">
        <v>90</v>
      </c>
      <c r="B58" s="230"/>
      <c r="C58" s="230"/>
      <c r="D58" s="231"/>
      <c r="F58" s="229" t="s">
        <v>91</v>
      </c>
      <c r="G58" s="230"/>
      <c r="H58" s="230"/>
      <c r="I58" s="230"/>
      <c r="J58" s="231"/>
    </row>
    <row r="59" spans="1:18" x14ac:dyDescent="0.25">
      <c r="A59" s="232"/>
      <c r="B59" s="233"/>
      <c r="C59" s="233"/>
      <c r="D59" s="234"/>
      <c r="F59" s="232"/>
      <c r="G59" s="233"/>
      <c r="H59" s="233"/>
      <c r="I59" s="233"/>
      <c r="J59" s="23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49</vt:i4>
      </vt:variant>
      <vt:variant>
        <vt:lpstr>Named Ranges</vt:lpstr>
      </vt:variant>
      <vt:variant>
        <vt:i4>48</vt:i4>
      </vt:variant>
    </vt:vector>
  </HeadingPairs>
  <TitlesOfParts>
    <vt:vector size="97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R1 (2)</vt:lpstr>
      <vt:lpstr>05,07 R2</vt:lpstr>
      <vt:lpstr>05,07 R3</vt:lpstr>
      <vt:lpstr>(8)</vt:lpstr>
      <vt:lpstr>05,08 R1 NO TRIP</vt:lpstr>
      <vt:lpstr>05,08 R2</vt:lpstr>
      <vt:lpstr>05,08 R3</vt:lpstr>
      <vt:lpstr>(11)</vt:lpstr>
      <vt:lpstr>05,11 R1</vt:lpstr>
      <vt:lpstr>05,11 R2</vt:lpstr>
      <vt:lpstr>05,11 R3</vt:lpstr>
      <vt:lpstr>(12)</vt:lpstr>
      <vt:lpstr>05,12 R1</vt:lpstr>
      <vt:lpstr>05,12 R2</vt:lpstr>
      <vt:lpstr>05,12 R3</vt:lpstr>
      <vt:lpstr>(13)</vt:lpstr>
      <vt:lpstr>05,13 R1</vt:lpstr>
      <vt:lpstr>05,13 R2</vt:lpstr>
      <vt:lpstr>05,13 R3</vt:lpstr>
      <vt:lpstr>(14)</vt:lpstr>
      <vt:lpstr>05,14 R1</vt:lpstr>
      <vt:lpstr>05,14 R2</vt:lpstr>
      <vt:lpstr>05,14 R3</vt:lpstr>
      <vt:lpstr>(15)</vt:lpstr>
      <vt:lpstr>05,15 R1</vt:lpstr>
      <vt:lpstr>05,15 R2</vt:lpstr>
      <vt:lpstr>05,15 R3</vt:lpstr>
      <vt:lpstr>(16)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R1 (2)'!Print_Area</vt:lpstr>
      <vt:lpstr>'05,07 R2'!Print_Area</vt:lpstr>
      <vt:lpstr>'05,07 R3'!Print_Area</vt:lpstr>
      <vt:lpstr>'05,08 R1 NO TRIP'!Print_Area</vt:lpstr>
      <vt:lpstr>'05,08 R2'!Print_Area</vt:lpstr>
      <vt:lpstr>'05,08 R3'!Print_Area</vt:lpstr>
      <vt:lpstr>'05,11 R1'!Print_Area</vt:lpstr>
      <vt:lpstr>'05,11 R2'!Print_Area</vt:lpstr>
      <vt:lpstr>'05,11 R3'!Print_Area</vt:lpstr>
      <vt:lpstr>'05,12 R1'!Print_Area</vt:lpstr>
      <vt:lpstr>'05,12 R2'!Print_Area</vt:lpstr>
      <vt:lpstr>'05,12 R3'!Print_Area</vt:lpstr>
      <vt:lpstr>'05,13 R1'!Print_Area</vt:lpstr>
      <vt:lpstr>'05,13 R2'!Print_Area</vt:lpstr>
      <vt:lpstr>'05,13 R3'!Print_Area</vt:lpstr>
      <vt:lpstr>'05,14 R1'!Print_Area</vt:lpstr>
      <vt:lpstr>'05,14 R2'!Print_Area</vt:lpstr>
      <vt:lpstr>'05,14 R3'!Print_Area</vt:lpstr>
      <vt:lpstr>'05,15 R1'!Print_Area</vt:lpstr>
      <vt:lpstr>'05,15 R2'!Print_Area</vt:lpstr>
      <vt:lpstr>'05,15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2026-05-12T00:49:34Z</cp:lastPrinted>
  <dcterms:created xsi:type="dcterms:W3CDTF">2024-09-01T23:36:50Z</dcterms:created>
  <dcterms:modified xsi:type="dcterms:W3CDTF">2026-05-12T00:50:34Z</dcterms:modified>
</cp:coreProperties>
</file>