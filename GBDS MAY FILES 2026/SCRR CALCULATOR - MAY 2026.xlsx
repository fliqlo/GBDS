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119FD56-2DB2-41DC-B224-96BCBEF9E127}" xr6:coauthVersionLast="45" xr6:coauthVersionMax="47" xr10:uidLastSave="{00000000-0000-0000-0000-000000000000}"/>
  <bookViews>
    <workbookView xWindow="-120" yWindow="-120" windowWidth="29040" windowHeight="15840" activeTab="10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2" sheetId="2044" r:id="rId22"/>
    <sheet name="05,07 R3" sheetId="2045" r:id="rId23"/>
    <sheet name="(8)" sheetId="2046" r:id="rId24"/>
    <sheet name="05,08 R1" sheetId="2047" r:id="rId25"/>
    <sheet name="05,08 R2" sheetId="2048" r:id="rId26"/>
    <sheet name="05,08 R3" sheetId="2049" r:id="rId27"/>
    <sheet name="(11)" sheetId="2050" r:id="rId28"/>
    <sheet name="05,11 R1" sheetId="2051" r:id="rId29"/>
    <sheet name="05,11 R2" sheetId="2052" r:id="rId30"/>
    <sheet name="05,11 R3" sheetId="2053" r:id="rId31"/>
  </sheets>
  <definedNames>
    <definedName name="_xlnm.Print_Area" localSheetId="1">'(01)'!$A$1:$J$60</definedName>
    <definedName name="_xlnm.Print_Area" localSheetId="27">'(11)'!$A$1:$J$60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3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R2'!$A$1:$J$60</definedName>
    <definedName name="_xlnm.Print_Area" localSheetId="22">'05,07 R3'!$A$1:$J$60</definedName>
    <definedName name="_xlnm.Print_Area" localSheetId="24">'05,08 R1'!$A$1:$J$60</definedName>
    <definedName name="_xlnm.Print_Area" localSheetId="25">'05,08 R2'!$A$1:$J$60</definedName>
    <definedName name="_xlnm.Print_Area" localSheetId="26">'05,08 R3'!$A$1:$J$60</definedName>
    <definedName name="_xlnm.Print_Area" localSheetId="28">'05,11 R1'!$A$1:$J$60</definedName>
    <definedName name="_xlnm.Print_Area" localSheetId="29">'05,11 R2'!$A$1:$J$60</definedName>
    <definedName name="_xlnm.Print_Area" localSheetId="30">'05,11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G49" i="2053" s="1"/>
  <c r="D34" i="2053"/>
  <c r="D54" i="2053" s="1"/>
  <c r="H14" i="2053" s="1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L6" i="2053"/>
  <c r="D6" i="2053" s="1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G49" i="2052" s="1"/>
  <c r="D34" i="2052"/>
  <c r="D54" i="2052" s="1"/>
  <c r="H14" i="2052" s="1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D54" i="2051" s="1"/>
  <c r="H14" i="2051" s="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21" i="2051"/>
  <c r="D21" i="2051" s="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D29" i="2051" s="1"/>
  <c r="H13" i="2051" s="1"/>
  <c r="H15" i="2051" s="1"/>
  <c r="H29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G49" i="2049" s="1"/>
  <c r="D34" i="2049"/>
  <c r="D54" i="2049" s="1"/>
  <c r="H14" i="2049" s="1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G49" i="2048" s="1"/>
  <c r="D36" i="2048"/>
  <c r="R35" i="2048"/>
  <c r="H35" i="2048"/>
  <c r="D35" i="2048"/>
  <c r="R34" i="2048"/>
  <c r="H34" i="2048"/>
  <c r="D34" i="2048"/>
  <c r="D54" i="2048" s="1"/>
  <c r="H14" i="2048" s="1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D54" i="2047" s="1"/>
  <c r="H14" i="2047" s="1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G49" i="2045" s="1"/>
  <c r="D36" i="2045"/>
  <c r="R35" i="2045"/>
  <c r="H35" i="2045"/>
  <c r="D35" i="2045"/>
  <c r="R34" i="2045"/>
  <c r="H34" i="2045"/>
  <c r="D34" i="2045"/>
  <c r="D54" i="2045" s="1"/>
  <c r="H14" i="2045" s="1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G49" i="2044" s="1"/>
  <c r="D34" i="2044"/>
  <c r="D54" i="2044" s="1"/>
  <c r="H14" i="2044" s="1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G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H34" i="2043"/>
  <c r="D34" i="2043"/>
  <c r="D54" i="2043" s="1"/>
  <c r="H14" i="2043" s="1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D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G49" i="2041" s="1"/>
  <c r="D34" i="2041"/>
  <c r="D54" i="2041" s="1"/>
  <c r="H14" i="2041" s="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G49" i="2040" s="1"/>
  <c r="D34" i="2040"/>
  <c r="D54" i="2040" s="1"/>
  <c r="H14" i="2040" s="1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G49" i="2039" s="1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D54" i="2039" s="1"/>
  <c r="H14" i="2039" s="1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L26" i="2039"/>
  <c r="D26" i="2039"/>
  <c r="R25" i="2039"/>
  <c r="L25" i="2039"/>
  <c r="D25" i="2039"/>
  <c r="R24" i="2039"/>
  <c r="L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G49" i="2037" s="1"/>
  <c r="D34" i="2037"/>
  <c r="D54" i="2037" s="1"/>
  <c r="H14" i="2037" s="1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G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D34" i="2036"/>
  <c r="D54" i="2036" s="1"/>
  <c r="H14" i="2036" s="1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D54" i="2035"/>
  <c r="H14" i="2035" s="1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G49" i="2035" s="1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33" l="1"/>
  <c r="G49" i="2032"/>
  <c r="G49" i="2031"/>
  <c r="D54" i="2033"/>
  <c r="H14" i="2033" s="1"/>
  <c r="D54" i="2032"/>
  <c r="H14" i="2032" s="1"/>
  <c r="D54" i="2031"/>
  <c r="H14" i="2031" s="1"/>
  <c r="D29" i="2053"/>
  <c r="H13" i="2053" s="1"/>
  <c r="H15" i="2053" s="1"/>
  <c r="H29" i="2053" s="1"/>
  <c r="G51" i="2053" s="1"/>
  <c r="D29" i="2052"/>
  <c r="H13" i="2052" s="1"/>
  <c r="H15" i="2052" s="1"/>
  <c r="H29" i="2052" s="1"/>
  <c r="G51" i="2052" s="1"/>
  <c r="G51" i="2051"/>
  <c r="D29" i="2050"/>
  <c r="H13" i="2050" s="1"/>
  <c r="H15" i="2050" s="1"/>
  <c r="H29" i="2050" s="1"/>
  <c r="G51" i="2050" s="1"/>
  <c r="D29" i="2049"/>
  <c r="H13" i="2049" s="1"/>
  <c r="H15" i="2049" s="1"/>
  <c r="H29" i="2049" s="1"/>
  <c r="G51" i="2049" s="1"/>
  <c r="G51" i="2048"/>
  <c r="D29" i="2048"/>
  <c r="H13" i="2048" s="1"/>
  <c r="H15" i="2048" s="1"/>
  <c r="H29" i="2048" s="1"/>
  <c r="D29" i="2047"/>
  <c r="H13" i="2047" s="1"/>
  <c r="H15" i="2047" s="1"/>
  <c r="H29" i="2047" s="1"/>
  <c r="G51" i="2047" s="1"/>
  <c r="D29" i="2046"/>
  <c r="H13" i="2046" s="1"/>
  <c r="H15" i="2046" s="1"/>
  <c r="H29" i="2046" s="1"/>
  <c r="G51" i="2046" s="1"/>
  <c r="D29" i="2045"/>
  <c r="H13" i="2045" s="1"/>
  <c r="H15" i="2045" s="1"/>
  <c r="H29" i="2045" s="1"/>
  <c r="G51" i="2045" s="1"/>
  <c r="D29" i="2044"/>
  <c r="H13" i="2044" s="1"/>
  <c r="H15" i="2044" s="1"/>
  <c r="H29" i="2044" s="1"/>
  <c r="G51" i="2044" s="1"/>
  <c r="D29" i="2043"/>
  <c r="H13" i="2043" s="1"/>
  <c r="H15" i="2043" s="1"/>
  <c r="H29" i="2043" s="1"/>
  <c r="G51" i="2043"/>
  <c r="D29" i="2042"/>
  <c r="H13" i="2042" s="1"/>
  <c r="H15" i="2042" s="1"/>
  <c r="H29" i="2042" s="1"/>
  <c r="G51" i="2042" s="1"/>
  <c r="D29" i="2041"/>
  <c r="H13" i="2041" s="1"/>
  <c r="H15" i="2041" s="1"/>
  <c r="H29" i="2041" s="1"/>
  <c r="G51" i="2041" s="1"/>
  <c r="D29" i="2040"/>
  <c r="H13" i="2040" s="1"/>
  <c r="H15" i="2040" s="1"/>
  <c r="H29" i="2040" s="1"/>
  <c r="G51" i="2040" s="1"/>
  <c r="D29" i="2039"/>
  <c r="H13" i="2039" s="1"/>
  <c r="H15" i="2039" s="1"/>
  <c r="H29" i="2039" s="1"/>
  <c r="G51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G51" i="2037" s="1"/>
  <c r="D29" i="2036"/>
  <c r="H13" i="2036" s="1"/>
  <c r="H15" i="2036" s="1"/>
  <c r="H29" i="2036" s="1"/>
  <c r="G51" i="2036" s="1"/>
  <c r="D29" i="2035"/>
  <c r="H13" i="2035" s="1"/>
  <c r="H15" i="2035" s="1"/>
  <c r="H29" i="2035" s="1"/>
  <c r="G51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33" l="1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<sst xmlns="http://schemas.openxmlformats.org/spreadsheetml/2006/main" count="4019" uniqueCount="144">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</sst>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1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88" t="s">
        <v>82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106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46143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704</v>
      </c>
      <c r="D6" s="13">
        <f t="shared" ref="D6:D28" si="1">C6*L6</f>
        <v>535744</v>
      </c>
      <c r="F6" s="211" t="s">
        <v>16</v>
      </c>
      <c r="G6" s="213" t="s">
        <v>99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120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3</v>
      </c>
      <c r="D9" s="13">
        <f t="shared" si="1"/>
        <v>2199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108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25</v>
      </c>
      <c r="D13" s="48">
        <f t="shared" si="1"/>
        <v>7675</v>
      </c>
      <c r="F13" s="232" t="s">
        <v>36</v>
      </c>
      <c r="G13" s="196"/>
      <c r="H13" s="187">
        <f>D29</f>
        <v>545651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3</v>
      </c>
      <c r="D14" s="31">
        <f t="shared" si="1"/>
        <v>33</v>
      </c>
      <c r="F14" s="190" t="s">
        <v>38</v>
      </c>
      <c r="G14" s="191"/>
      <c r="H14" s="192">
        <f>D54</f>
        <v>100678.5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444972.5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>
        <v>3240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75"/>
      <c r="G26" s="65"/>
      <c r="H26" s="143"/>
      <c r="I26" s="143"/>
      <c r="J26" s="14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71"/>
      <c r="G27" s="88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1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545651</v>
      </c>
      <c r="F29" s="104" t="s">
        <v>54</v>
      </c>
      <c r="G29" s="166"/>
      <c r="H29" s="126">
        <f>H15-H16-H17-H18-H19-H20-H22-H23-H24+H26+H27+H28</f>
        <v>441732.5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8">
        <f t="shared" ref="H34:H39" si="2">F34*G34</f>
        <v>315000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8">
        <f t="shared" si="2"/>
        <v>126000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48">
        <f t="shared" si="2"/>
        <v>500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8">
        <f t="shared" si="2"/>
        <v>150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8">
        <f t="shared" si="2"/>
        <v>20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>
        <v>86</v>
      </c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88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>
        <v>4</v>
      </c>
      <c r="D46" s="12">
        <f>C46*1.5</f>
        <v>6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>
        <v>11</v>
      </c>
      <c r="D49" s="12">
        <f>C49*42</f>
        <v>462</v>
      </c>
      <c r="F49" s="124" t="s">
        <v>85</v>
      </c>
      <c r="G49" s="126">
        <f>H34+H35+H36+H37+H38+H39+H40+H41+G42+H44+H45+H46</f>
        <v>441756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>
        <v>22</v>
      </c>
      <c r="D50" s="12">
        <f>C50*1.5</f>
        <v>33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233" t="s">
        <v>135</v>
      </c>
      <c r="G51" s="235">
        <f>G49-H29</f>
        <v>23.5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234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46143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292</v>
      </c>
      <c r="D6" s="13">
        <f t="shared" ref="D6:D28" si="1">C6*L6</f>
        <v>222212</v>
      </c>
      <c r="F6" s="211" t="s">
        <v>16</v>
      </c>
      <c r="G6" s="213" t="s">
        <v>107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6</v>
      </c>
      <c r="D7" s="13">
        <f t="shared" si="1"/>
        <v>4686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100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7</v>
      </c>
      <c r="D9" s="13">
        <f t="shared" si="1"/>
        <v>5131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101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7</v>
      </c>
      <c r="D13" s="48">
        <f t="shared" si="1"/>
        <v>2149</v>
      </c>
      <c r="F13" s="232" t="s">
        <v>36</v>
      </c>
      <c r="G13" s="196"/>
      <c r="H13" s="187">
        <f>D29</f>
        <v>236796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5</v>
      </c>
      <c r="D14" s="31">
        <f t="shared" si="1"/>
        <v>55</v>
      </c>
      <c r="F14" s="190" t="s">
        <v>38</v>
      </c>
      <c r="G14" s="191"/>
      <c r="H14" s="192">
        <f>D54</f>
        <v>38545.5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198250.5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7">
        <v>1518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>
        <v>1</v>
      </c>
      <c r="D28" s="48">
        <f t="shared" si="1"/>
        <v>811</v>
      </c>
      <c r="F28" s="91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236796</v>
      </c>
      <c r="F29" s="104" t="s">
        <v>54</v>
      </c>
      <c r="G29" s="166"/>
      <c r="H29" s="126">
        <f>H15-H16-H17-H18-H19-H20-H22-H23-H24+H26+H27</f>
        <v>196732.5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8">
        <f>F34*G34</f>
        <v>166000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8">
        <f t="shared" ref="H35:H39" si="2">F35*G35</f>
        <v>30000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8">
        <f t="shared" si="2"/>
        <v>500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4</v>
      </c>
      <c r="D42" s="12">
        <f>C42*2.25</f>
        <v>9</v>
      </c>
      <c r="F42" s="39" t="s">
        <v>78</v>
      </c>
      <c r="G42" s="148">
        <v>50</v>
      </c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88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89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>
        <v>12</v>
      </c>
      <c r="D49" s="12">
        <f>C49*42</f>
        <v>504</v>
      </c>
      <c r="F49" s="124" t="s">
        <v>85</v>
      </c>
      <c r="G49" s="126">
        <f>H34+H35+H36+H37+H38+H39+H40+H41+G42+H44+H45+H46</f>
        <v>196550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>
        <v>16</v>
      </c>
      <c r="D50" s="12">
        <f>C50*1.5</f>
        <v>24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45">
        <f>G49-H29</f>
        <v>-182.5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46143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530</v>
      </c>
      <c r="D6" s="13">
        <f t="shared" ref="D6:D28" si="1">C6*L6</f>
        <v>403330</v>
      </c>
      <c r="F6" s="211" t="s">
        <v>16</v>
      </c>
      <c r="G6" s="213" t="s">
        <v>117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7</v>
      </c>
      <c r="D7" s="13">
        <f t="shared" si="1"/>
        <v>5467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56</v>
      </c>
      <c r="D9" s="13">
        <f t="shared" si="1"/>
        <v>41048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124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19</v>
      </c>
      <c r="D13" s="48">
        <f t="shared" si="1"/>
        <v>5833</v>
      </c>
      <c r="F13" s="232" t="s">
        <v>36</v>
      </c>
      <c r="G13" s="196"/>
      <c r="H13" s="187">
        <f>D29</f>
        <v>456978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68901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388077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7">
        <f>978+1080+708</f>
        <v>2766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1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456978</v>
      </c>
      <c r="F29" s="104" t="s">
        <v>54</v>
      </c>
      <c r="G29" s="166"/>
      <c r="H29" s="126">
        <f>H15-H16-H17-H18-H19-H20-H22-H23-H24+H26+H27</f>
        <v>385311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8">
        <f>F34*G34</f>
        <v>126000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8">
        <f>F35*G35</f>
        <v>31500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8">
        <f t="shared" si="2"/>
        <v>4600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8">
        <f t="shared" si="2"/>
        <v>150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>
        <v>94</v>
      </c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88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3">
        <v>105524</v>
      </c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3">
        <v>118301</v>
      </c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>
        <v>2</v>
      </c>
      <c r="D49" s="12">
        <f>C49*42</f>
        <v>84</v>
      </c>
      <c r="F49" s="124" t="s">
        <v>85</v>
      </c>
      <c r="G49" s="126">
        <f>H34+H35+H36+H37+H38+H39+H40+H41+G42+H44+H45+H46</f>
        <v>386169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115</v>
      </c>
      <c r="G51" s="134">
        <f>G49-H29</f>
        <v>858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9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101" t="s">
        <v>82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106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46144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786</v>
      </c>
      <c r="D6" s="13">
        <f t="shared" ref="D6:D28" si="1">C6*L6</f>
        <v>598146</v>
      </c>
      <c r="F6" s="211" t="s">
        <v>16</v>
      </c>
      <c r="G6" s="213" t="s">
        <v>117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</v>
      </c>
      <c r="D7" s="13">
        <f t="shared" si="1"/>
        <v>1562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7</v>
      </c>
      <c r="D9" s="13">
        <f t="shared" si="1"/>
        <v>5131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211" t="s">
        <v>26</v>
      </c>
      <c r="G10" s="226" t="s">
        <v>124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15+2</f>
        <v>17</v>
      </c>
      <c r="D12" s="48">
        <f t="shared" si="1"/>
        <v>16864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22</v>
      </c>
      <c r="D13" s="48">
        <f t="shared" si="1"/>
        <v>6754</v>
      </c>
      <c r="F13" s="232" t="s">
        <v>36</v>
      </c>
      <c r="G13" s="196"/>
      <c r="H13" s="187">
        <f>D29</f>
        <v>635011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84996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>
        <v>2</v>
      </c>
      <c r="D15" s="31">
        <f t="shared" si="1"/>
        <v>1240</v>
      </c>
      <c r="F15" s="195" t="s">
        <v>39</v>
      </c>
      <c r="G15" s="196"/>
      <c r="H15" s="197">
        <f>H13-H14</f>
        <v>550015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7">
        <f>2694+300+522</f>
        <v>3516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9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635011</v>
      </c>
      <c r="F29" s="104" t="s">
        <v>54</v>
      </c>
      <c r="G29" s="166"/>
      <c r="H29" s="126">
        <f>H15-H16-H17-H18-H19-H20-H22-H23-H24+H26+H27</f>
        <v>546499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48">
        <f>F34*G34</f>
        <v>182000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48">
        <f>F35*G35</f>
        <v>29500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48">
        <f t="shared" si="2"/>
        <v>1400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>
        <v>1</v>
      </c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101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43">
        <v>296674</v>
      </c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43">
        <v>32658</v>
      </c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3">
        <v>4250</v>
      </c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>
        <v>14</v>
      </c>
      <c r="D49" s="12">
        <f>C49*42</f>
        <v>588</v>
      </c>
      <c r="F49" s="124" t="s">
        <v>85</v>
      </c>
      <c r="G49" s="126">
        <f>H34+H35+H36+H37+H38+H39+H40+H41+G42+H44+H45+H46</f>
        <v>546483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45">
        <f>G49-H29</f>
        <v>-16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6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106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46146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344</v>
      </c>
      <c r="D6" s="13">
        <f t="shared" ref="D6:D28" si="1">C6*L6</f>
        <v>261784</v>
      </c>
      <c r="F6" s="211" t="s">
        <v>16</v>
      </c>
      <c r="G6" s="213" t="s">
        <v>99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9</v>
      </c>
      <c r="D7" s="13">
        <f t="shared" si="1"/>
        <v>7029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120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25</v>
      </c>
      <c r="D9" s="13">
        <f t="shared" si="1"/>
        <v>18325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108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1984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3</v>
      </c>
      <c r="D13" s="48">
        <f t="shared" si="1"/>
        <v>921</v>
      </c>
      <c r="F13" s="232" t="s">
        <v>36</v>
      </c>
      <c r="G13" s="196"/>
      <c r="H13" s="187">
        <f>D29</f>
        <v>290296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23</v>
      </c>
      <c r="D14" s="31">
        <f t="shared" si="1"/>
        <v>253</v>
      </c>
      <c r="F14" s="190" t="s">
        <v>38</v>
      </c>
      <c r="G14" s="191"/>
      <c r="H14" s="192">
        <f>D54</f>
        <v>42017.25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248278.75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>
        <v>200</v>
      </c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75"/>
      <c r="G26" s="65"/>
      <c r="H26" s="143"/>
      <c r="I26" s="143"/>
      <c r="J26" s="14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71"/>
      <c r="G27" s="93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290296</v>
      </c>
      <c r="F29" s="104" t="s">
        <v>54</v>
      </c>
      <c r="G29" s="166"/>
      <c r="H29" s="126">
        <f>H15-H16-H17-H18-H19-H20-H22-H23-H24+H26+H27+H28</f>
        <v>248078.75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48">
        <f t="shared" ref="H34:H39" si="2">F34*G34</f>
        <v>131000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48">
        <f t="shared" si="2"/>
        <v>37000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8">
        <f t="shared" si="2"/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48">
        <f t="shared" si="2"/>
        <v>4700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48">
        <f t="shared" si="2"/>
        <v>50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8">
        <v>45</v>
      </c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43">
        <v>65000</v>
      </c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3">
        <v>2600</v>
      </c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43">
        <v>9750</v>
      </c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>
        <v>1</v>
      </c>
      <c r="D49" s="12">
        <f>C49*42</f>
        <v>42</v>
      </c>
      <c r="F49" s="124" t="s">
        <v>85</v>
      </c>
      <c r="G49" s="126">
        <f>H34+H35+H36+H37+H38+H39+H40+H41+G42+H44+H45+H46</f>
        <v>250145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>
        <v>22</v>
      </c>
      <c r="D50" s="12">
        <f>C50*1.5</f>
        <v>33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233" t="s">
        <v>142</v>
      </c>
      <c r="G51" s="235">
        <f>G49-H29</f>
        <v>2066.25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234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46146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344</v>
      </c>
      <c r="D6" s="13">
        <f t="shared" ref="D6:D28" si="1">C6*L6</f>
        <v>261784</v>
      </c>
      <c r="F6" s="211" t="s">
        <v>16</v>
      </c>
      <c r="G6" s="213" t="s">
        <v>107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5</v>
      </c>
      <c r="D7" s="13">
        <f t="shared" si="1"/>
        <v>3905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100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21</v>
      </c>
      <c r="D9" s="13">
        <f t="shared" si="1"/>
        <v>15393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101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12</v>
      </c>
      <c r="D13" s="48">
        <f t="shared" si="1"/>
        <v>3684</v>
      </c>
      <c r="F13" s="232" t="s">
        <v>36</v>
      </c>
      <c r="G13" s="196"/>
      <c r="H13" s="187">
        <f>D29</f>
        <v>285008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22</v>
      </c>
      <c r="D14" s="31">
        <f t="shared" si="1"/>
        <v>242</v>
      </c>
      <c r="F14" s="190" t="s">
        <v>38</v>
      </c>
      <c r="G14" s="191"/>
      <c r="H14" s="192">
        <f>D54</f>
        <v>42628.5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242379.5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>
        <v>1296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285008</v>
      </c>
      <c r="F29" s="104" t="s">
        <v>54</v>
      </c>
      <c r="G29" s="166"/>
      <c r="H29" s="126">
        <f>H15-H16-H17-H18-H19-H20-H22-H23-H24+H26+H27</f>
        <v>241083.5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48">
        <f>F34*G34</f>
        <v>221000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48">
        <f t="shared" ref="H35:H39" si="2">F35*G35</f>
        <v>18500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48">
        <f t="shared" si="2"/>
        <v>200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8">
        <f t="shared" si="2"/>
        <v>50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48">
        <f t="shared" si="2"/>
        <v>40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>
        <v>67</v>
      </c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94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>
        <v>11</v>
      </c>
      <c r="D49" s="12">
        <f>C49*42</f>
        <v>462</v>
      </c>
      <c r="F49" s="124" t="s">
        <v>85</v>
      </c>
      <c r="G49" s="126">
        <f>H34+H35+H36+H37+H38+H39+H40+H41+G42+H44+H45+H46</f>
        <v>239857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>
        <v>3</v>
      </c>
      <c r="D50" s="12">
        <f>C50*1.5</f>
        <v>4.5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45">
        <f>G49-H29</f>
        <v>-1226.5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46146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484</v>
      </c>
      <c r="D6" s="13">
        <f t="shared" ref="D6:D28" si="1">C6*L6</f>
        <v>368324</v>
      </c>
      <c r="F6" s="211" t="s">
        <v>16</v>
      </c>
      <c r="G6" s="213" t="s">
        <v>117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11</v>
      </c>
      <c r="D7" s="13">
        <f t="shared" si="1"/>
        <v>8591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58</v>
      </c>
      <c r="D9" s="13">
        <f t="shared" si="1"/>
        <v>42514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2064</v>
      </c>
      <c r="F10" s="211" t="s">
        <v>26</v>
      </c>
      <c r="G10" s="226" t="s">
        <v>124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16</v>
      </c>
      <c r="D13" s="48">
        <f t="shared" si="1"/>
        <v>4912</v>
      </c>
      <c r="F13" s="232" t="s">
        <v>36</v>
      </c>
      <c r="G13" s="196"/>
      <c r="H13" s="187">
        <f>D29</f>
        <v>426537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12</v>
      </c>
      <c r="D14" s="31">
        <f t="shared" si="1"/>
        <v>132</v>
      </c>
      <c r="F14" s="190" t="s">
        <v>38</v>
      </c>
      <c r="G14" s="191"/>
      <c r="H14" s="192">
        <f>D54</f>
        <v>63285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363252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>
        <f>1296+300+732</f>
        <v>2328</v>
      </c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>
        <v>50</v>
      </c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426537</v>
      </c>
      <c r="F29" s="104" t="s">
        <v>54</v>
      </c>
      <c r="G29" s="166"/>
      <c r="H29" s="126">
        <f>H15-H16-H17-H18-H19-H20-H22-H23-H24+H26+H27</f>
        <v>360874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48">
        <f>F34*G34</f>
        <v>177000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8">
        <f>F35*G35</f>
        <v>100500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48">
        <f t="shared" si="2"/>
        <v>5100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48">
        <f t="shared" si="2"/>
        <v>600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>
        <v>8</v>
      </c>
      <c r="D42" s="12">
        <f>C42*2.25</f>
        <v>18</v>
      </c>
      <c r="F42" s="39" t="s">
        <v>78</v>
      </c>
      <c r="G42" s="148">
        <v>101</v>
      </c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43">
        <v>79565</v>
      </c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>
        <v>1</v>
      </c>
      <c r="D49" s="12">
        <f>C49*42</f>
        <v>42</v>
      </c>
      <c r="F49" s="124" t="s">
        <v>85</v>
      </c>
      <c r="G49" s="126">
        <f>H34+H35+H36+H37+H38+H39+H40+H41+G42+H44+H45+H46</f>
        <v>362866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>
        <v>13</v>
      </c>
      <c r="D50" s="12">
        <f>C50*1.5</f>
        <v>19.5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115</v>
      </c>
      <c r="G51" s="134">
        <f>G49-H29</f>
        <v>1992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6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106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46147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99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120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108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75"/>
      <c r="G26" s="65"/>
      <c r="H26" s="143"/>
      <c r="I26" s="143"/>
      <c r="J26" s="14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71"/>
      <c r="G27" s="93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H15-H16-H17-H18-H19-H20-H22-H23-H24+H26+H27+H28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109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46147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107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100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101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94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112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46147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124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115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6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106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46148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99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120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108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75"/>
      <c r="G26" s="65"/>
      <c r="H26" s="143"/>
      <c r="I26" s="143"/>
      <c r="J26" s="14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71"/>
      <c r="G27" s="93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H15-H16-H17-H18-H19-H20-H22-H23-H24+H26+H27+H28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109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46148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107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100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101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94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112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46148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124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115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6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106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46149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99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120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108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75"/>
      <c r="G26" s="65"/>
      <c r="H26" s="143"/>
      <c r="I26" s="143"/>
      <c r="J26" s="14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71"/>
      <c r="G27" s="93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H15-H16-H17-H18-H19-H20-H22-H23-H24+H26+H27+H28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109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46149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107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100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101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94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112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46149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124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115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6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106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46150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99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120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108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75"/>
      <c r="G26" s="65"/>
      <c r="H26" s="143"/>
      <c r="I26" s="143"/>
      <c r="J26" s="14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71"/>
      <c r="G27" s="93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H15-H16-H17-H18-H19-H20-H22-H23-H24+H26+H27+H28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109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46150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107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100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101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94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112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46150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124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115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6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106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46153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99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120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108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7"/>
      <c r="I19" s="157"/>
      <c r="J19" s="1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75"/>
      <c r="G26" s="65"/>
      <c r="H26" s="143"/>
      <c r="I26" s="143"/>
      <c r="J26" s="14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71"/>
      <c r="G27" s="93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H15-H16-H17-H18-H19-H20-H22-H23-H24+H26+H27+H28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109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46153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107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100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101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94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112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46153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117</v>
      </c>
      <c r="H6" s="214"/>
      <c r="I6" s="214"/>
      <c r="J6" s="21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110</v>
      </c>
      <c r="H8" s="221"/>
      <c r="I8" s="221"/>
      <c r="J8" s="22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124</v>
      </c>
      <c r="H10" s="227"/>
      <c r="I10" s="227"/>
      <c r="J10" s="228"/>
      <c r="K10" s="8"/>
      <c r="L10" s="6">
        <f>R36</f>
        <v>1032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38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122</v>
      </c>
      <c r="C15" s="10"/>
      <c r="D15" s="31">
        <f t="shared" si="1"/>
        <v>0</v>
      </c>
      <c r="F15" s="195" t="s">
        <v>39</v>
      </c>
      <c r="G15" s="196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7"/>
      <c r="I16" s="157"/>
      <c r="J16" s="15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8"/>
      <c r="I17" s="168"/>
      <c r="J17" s="16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8"/>
      <c r="I18" s="168"/>
      <c r="J18" s="16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7"/>
      <c r="I20" s="157"/>
      <c r="J20" s="15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0" t="s">
        <v>13</v>
      </c>
      <c r="I21" s="171"/>
      <c r="J21" s="17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6"/>
      <c r="B22" s="46" t="s">
        <v>103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121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128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129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6"/>
      <c r="B27" s="14" t="s">
        <v>130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92</v>
      </c>
      <c r="C28" s="10"/>
      <c r="D28" s="48">
        <f t="shared" si="1"/>
        <v>0</v>
      </c>
      <c r="F28" s="96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54</v>
      </c>
      <c r="G29" s="166"/>
      <c r="H29" s="126">
        <f>H15-H16-H17-H18-H19-H20-H22-H23-H24+H26+H27</f>
        <v>0</v>
      </c>
      <c r="I29" s="127"/>
      <c r="J29" s="12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154" t="s">
        <v>58</v>
      </c>
      <c r="G32" s="155"/>
      <c r="H32" s="155"/>
      <c r="I32" s="155"/>
      <c r="J32" s="15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4" t="s">
        <v>13</v>
      </c>
      <c r="I33" s="155"/>
      <c r="J33" s="15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6"/>
      <c r="B35" s="27" t="s">
        <v>67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69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6"/>
      <c r="B38" s="29" t="s">
        <v>67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7"/>
      <c r="B39" s="29" t="s">
        <v>69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6"/>
      <c r="B41" s="27" t="s">
        <v>67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7"/>
      <c r="B42" s="27" t="s">
        <v>69</v>
      </c>
      <c r="C42" s="11"/>
      <c r="D42" s="12">
        <f>C42*2.25</f>
        <v>0</v>
      </c>
      <c r="F42" s="39" t="s">
        <v>78</v>
      </c>
      <c r="G42" s="148"/>
      <c r="H42" s="149"/>
      <c r="I42" s="149"/>
      <c r="J42" s="1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8" t="s">
        <v>80</v>
      </c>
      <c r="C43" s="11"/>
      <c r="D43" s="12"/>
      <c r="F43" s="59" t="s">
        <v>81</v>
      </c>
      <c r="G43" s="93" t="s">
        <v>82</v>
      </c>
      <c r="H43" s="140" t="s">
        <v>13</v>
      </c>
      <c r="I43" s="141"/>
      <c r="J43" s="14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9"/>
      <c r="B44" s="27" t="s">
        <v>65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9"/>
      <c r="B45" s="27" t="s">
        <v>67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65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67</v>
      </c>
      <c r="C49" s="33"/>
      <c r="D49" s="12">
        <f>C49*42</f>
        <v>0</v>
      </c>
      <c r="F49" s="124" t="s">
        <v>85</v>
      </c>
      <c r="G49" s="126">
        <f>H34+H35+H36+H37+H38+H39+H40+H41+G42+H44+H45+H46</f>
        <v>0</v>
      </c>
      <c r="H49" s="127"/>
      <c r="I49" s="127"/>
      <c r="J49" s="12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69</v>
      </c>
      <c r="C50" s="11"/>
      <c r="D50" s="12">
        <f>C50*1.5</f>
        <v>0</v>
      </c>
      <c r="F50" s="125"/>
      <c r="G50" s="129"/>
      <c r="H50" s="130"/>
      <c r="I50" s="130"/>
      <c r="J50" s="131"/>
      <c r="O50" t="s">
        <v>114</v>
      </c>
      <c r="P50" s="4">
        <v>1204</v>
      </c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115</v>
      </c>
      <c r="G51" s="134">
        <f>G49-H29</f>
        <v>0</v>
      </c>
      <c r="H51" s="135"/>
      <c r="I51" s="135"/>
      <c r="J51" s="1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4" t="s">
        <v>89</v>
      </c>
      <c r="B54" s="105"/>
      <c r="C54" s="106"/>
      <c r="D54" s="11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90</v>
      </c>
      <c r="B58" s="113"/>
      <c r="C58" s="113"/>
      <c r="D58" s="114"/>
      <c r="F58" s="112" t="s">
        <v>91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R2</vt:lpstr>
      <vt:lpstr>05,07 R3</vt:lpstr>
      <vt:lpstr>(8)</vt:lpstr>
      <vt:lpstr>05,08 R1</vt:lpstr>
      <vt:lpstr>05,08 R2</vt:lpstr>
      <vt:lpstr>05,08 R3</vt:lpstr>
      <vt:lpstr>(11)</vt:lpstr>
      <vt:lpstr>05,11 R1</vt:lpstr>
      <vt:lpstr>05,11 R2</vt:lpstr>
      <vt:lpstr>05,11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R2'!Print_Area</vt:lpstr>
      <vt:lpstr>'05,07 R3'!Print_Area</vt:lpstr>
      <vt:lpstr>'05,08 R1'!Print_Area</vt:lpstr>
      <vt:lpstr>'05,08 R2'!Print_Area</vt:lpstr>
      <vt:lpstr>'05,08 R3'!Print_Area</vt:lpstr>
      <vt:lpstr>'05,11 R1'!Print_Area</vt:lpstr>
      <vt:lpstr>'05,11 R2'!Print_Area</vt:lpstr>
      <vt:lpstr>'05,11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2026-05-05T00:31:47Z</cp:lastPrinted>
  <dcterms:created xsi:type="dcterms:W3CDTF">2024-09-01T23:36:50Z</dcterms:created>
  <dcterms:modified xsi:type="dcterms:W3CDTF">2026-05-05T00:33:58Z</dcterms:modified>
</cp:coreProperties>
</file>