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601B529E-5826-450E-810C-B643B9EC9D9E}" xr6:coauthVersionLast="45" xr6:coauthVersionMax="47" xr10:uidLastSave="{00000000-0000-0000-0000-000000000000}"/>
  <bookViews>
    <workbookView xWindow="-120" yWindow="-120" windowWidth="29040" windowHeight="15840" firstSheet="55" activeTab="59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 NO TRIP" sheetId="2063" r:id="rId40"/>
    <sheet name="(14)" sheetId="2064" r:id="rId41"/>
    <sheet name="05,14 R1" sheetId="2065" r:id="rId42"/>
    <sheet name="05,14 R2 NO TRIP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  <sheet name="05,15 R1 NO TRIP" sheetId="2077" r:id="rId50"/>
    <sheet name="05,16 R2" sheetId="2075" r:id="rId51"/>
    <sheet name="05,16 R3 NO TRIP" sheetId="2076" r:id="rId52"/>
    <sheet name="(18)" sheetId="2078" r:id="rId53"/>
    <sheet name="05,18 R1 NO TRIP" sheetId="2079" r:id="rId54"/>
    <sheet name="05,18 R2" sheetId="2080" r:id="rId55"/>
    <sheet name="05,18 R3" sheetId="2081" r:id="rId56"/>
    <sheet name="(19)" sheetId="2082" r:id="rId57"/>
    <sheet name="05,19 R1 ORG" sheetId="2106" r:id="rId58"/>
    <sheet name="05,19 R1 NEW" sheetId="2128" r:id="rId59"/>
    <sheet name="05,19 R1 COLLECTION" sheetId="2083" r:id="rId60"/>
    <sheet name="05,19 R2" sheetId="2084" r:id="rId61"/>
    <sheet name="05,19 R3" sheetId="2085" r:id="rId62"/>
    <sheet name="(20)" sheetId="2086" r:id="rId63"/>
    <sheet name="05,20 R1" sheetId="2087" r:id="rId64"/>
    <sheet name="05,20 R2" sheetId="2088" r:id="rId65"/>
    <sheet name="05,20 R3" sheetId="2089" r:id="rId66"/>
    <sheet name="(21)" sheetId="2090" r:id="rId67"/>
    <sheet name="05,21 R1" sheetId="2091" r:id="rId68"/>
    <sheet name="05,21 R2" sheetId="2092" r:id="rId69"/>
    <sheet name="05,21 R3" sheetId="2093" r:id="rId70"/>
    <sheet name="(22)" sheetId="2094" r:id="rId71"/>
    <sheet name="05,22 R1" sheetId="2095" r:id="rId72"/>
    <sheet name="05,22 R1 Collection" sheetId="2107" r:id="rId73"/>
    <sheet name="05,22 R2" sheetId="2096" r:id="rId74"/>
    <sheet name="05,22 R3 NO TRIP" sheetId="2097" r:id="rId75"/>
    <sheet name="(23)" sheetId="2098" r:id="rId76"/>
    <sheet name="05,23 R1" sheetId="2099" r:id="rId77"/>
    <sheet name="05,23 R2" sheetId="2100" r:id="rId78"/>
    <sheet name="05,23 R3" sheetId="2101" r:id="rId79"/>
    <sheet name="(25)" sheetId="2102" r:id="rId80"/>
    <sheet name="05,25 R1" sheetId="2103" r:id="rId81"/>
    <sheet name="05,25 R2" sheetId="2104" r:id="rId82"/>
    <sheet name="05,25 R3" sheetId="2105" r:id="rId83"/>
    <sheet name="(26)" sheetId="2108" r:id="rId84"/>
    <sheet name="05,26 R1" sheetId="2109" r:id="rId85"/>
    <sheet name="05,26 R2" sheetId="2110" r:id="rId86"/>
    <sheet name="05,26 R3" sheetId="2111" r:id="rId87"/>
    <sheet name="(27)" sheetId="2112" r:id="rId88"/>
    <sheet name="05,27 R1" sheetId="2113" r:id="rId89"/>
    <sheet name="05,27 R2" sheetId="2114" r:id="rId90"/>
    <sheet name="05,27 R3" sheetId="2115" r:id="rId91"/>
    <sheet name="(28)" sheetId="2116" r:id="rId92"/>
    <sheet name="05,28 R1" sheetId="2117" r:id="rId93"/>
    <sheet name="05,28 R2" sheetId="2118" r:id="rId94"/>
    <sheet name="05,28 R3" sheetId="2119" r:id="rId95"/>
    <sheet name="(29)" sheetId="2120" r:id="rId96"/>
    <sheet name="05,29 R1" sheetId="2121" r:id="rId97"/>
    <sheet name="05,29 R2" sheetId="2122" r:id="rId98"/>
    <sheet name="05,29 R3" sheetId="2123" r:id="rId99"/>
    <sheet name="(30)" sheetId="2124" r:id="rId100"/>
    <sheet name="05,30 R1" sheetId="2125" r:id="rId101"/>
    <sheet name="05,30 R2" sheetId="2126" r:id="rId102"/>
    <sheet name="05,30 R3" sheetId="2127" r:id="rId103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2">'(18)'!$A$1:$J$60</definedName>
    <definedName name="_xlnm.Print_Area" localSheetId="56">'(19)'!$A$1:$J$60</definedName>
    <definedName name="_xlnm.Print_Area" localSheetId="5">'(2)'!$A$1:$J$60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5">'(23)'!$A$1:$J$60</definedName>
    <definedName name="_xlnm.Print_Area" localSheetId="79">'(25)'!$A$1:$J$60</definedName>
    <definedName name="_xlnm.Print_Area" localSheetId="83">'(26)'!$A$1:$J$60</definedName>
    <definedName name="_xlnm.Print_Area" localSheetId="87">'(27)'!$A$1:$J$60</definedName>
    <definedName name="_xlnm.Print_Area" localSheetId="91">'(28)'!$A$1:$J$60</definedName>
    <definedName name="_xlnm.Print_Area" localSheetId="95">'(29)'!$A$1:$J$60</definedName>
    <definedName name="_xlnm.Print_Area" localSheetId="99">'(30)'!$A$1:$J$60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 NO TRIP'!$A$1:$J$60</definedName>
    <definedName name="_xlnm.Print_Area" localSheetId="41">'05,14 R1'!$A$1:$J$60</definedName>
    <definedName name="_xlnm.Print_Area" localSheetId="42">'05,14 R2 NO TRIP'!$A$1:$J$60</definedName>
    <definedName name="_xlnm.Print_Area" localSheetId="43">'05,14 R3'!$A$1:$J$60</definedName>
    <definedName name="_xlnm.Print_Area" localSheetId="45">'05,15 R1'!$A$1:$J$60</definedName>
    <definedName name="_xlnm.Print_Area" localSheetId="49">'05,15 R1 NO TRIP'!$A$1:$J$60</definedName>
    <definedName name="_xlnm.Print_Area" localSheetId="46">'05,15 R2'!$A$1:$J$60</definedName>
    <definedName name="_xlnm.Print_Area" localSheetId="47">'05,15 R3'!$A$1:$J$60</definedName>
    <definedName name="_xlnm.Print_Area" localSheetId="50">'05,16 R2'!$A$1:$J$60</definedName>
    <definedName name="_xlnm.Print_Area" localSheetId="51">'05,16 R3 NO TRIP'!$A$1:$J$60</definedName>
    <definedName name="_xlnm.Print_Area" localSheetId="53">'05,18 R1 NO TRIP'!$A$1:$J$60</definedName>
    <definedName name="_xlnm.Print_Area" localSheetId="54">'05,18 R2'!$A$1:$J$60</definedName>
    <definedName name="_xlnm.Print_Area" localSheetId="55">'05,18 R3'!$A$1:$J$60</definedName>
    <definedName name="_xlnm.Print_Area" localSheetId="59">'05,19 R1 COLLECTION'!$A$1:$J$60</definedName>
    <definedName name="_xlnm.Print_Area" localSheetId="58">'05,19 R1 NEW'!$A$1:$J$60</definedName>
    <definedName name="_xlnm.Print_Area" localSheetId="57">'05,19 R1 ORG'!$A$1:$J$60</definedName>
    <definedName name="_xlnm.Print_Area" localSheetId="60">'05,19 R2'!$A$1:$J$60</definedName>
    <definedName name="_xlnm.Print_Area" localSheetId="61">'05,19 R3'!$A$1:$J$60</definedName>
    <definedName name="_xlnm.Print_Area" localSheetId="63">'05,20 R1'!$A$1:$J$60</definedName>
    <definedName name="_xlnm.Print_Area" localSheetId="64">'05,20 R2'!$A$1:$J$60</definedName>
    <definedName name="_xlnm.Print_Area" localSheetId="65">'05,20 R3'!$A$1:$J$60</definedName>
    <definedName name="_xlnm.Print_Area" localSheetId="67">'05,21 R1'!$A$1:$J$60</definedName>
    <definedName name="_xlnm.Print_Area" localSheetId="68">'05,21 R2'!$A$1:$J$60</definedName>
    <definedName name="_xlnm.Print_Area" localSheetId="69">'05,21 R3'!$A$1:$J$60</definedName>
    <definedName name="_xlnm.Print_Area" localSheetId="71">'05,22 R1'!$A$1:$J$60</definedName>
    <definedName name="_xlnm.Print_Area" localSheetId="72">'05,22 R1 Collection'!$A$1:$J$60</definedName>
    <definedName name="_xlnm.Print_Area" localSheetId="73">'05,22 R2'!$A$1:$J$60</definedName>
    <definedName name="_xlnm.Print_Area" localSheetId="74">'05,22 R3 NO TRIP'!$A$1:$J$60</definedName>
    <definedName name="_xlnm.Print_Area" localSheetId="76">'05,23 R1'!$A$1:$J$60</definedName>
    <definedName name="_xlnm.Print_Area" localSheetId="77">'05,23 R2'!$A$1:$J$60</definedName>
    <definedName name="_xlnm.Print_Area" localSheetId="78">'05,23 R3'!$A$1:$J$60</definedName>
    <definedName name="_xlnm.Print_Area" localSheetId="80">'05,25 R1'!$A$1:$J$60</definedName>
    <definedName name="_xlnm.Print_Area" localSheetId="81">'05,25 R2'!$A$1:$J$60</definedName>
    <definedName name="_xlnm.Print_Area" localSheetId="82">'05,25 R3'!$A$1:$J$60</definedName>
    <definedName name="_xlnm.Print_Area" localSheetId="84">'05,26 R1'!$A$1:$J$60</definedName>
    <definedName name="_xlnm.Print_Area" localSheetId="85">'05,26 R2'!$A$1:$J$60</definedName>
    <definedName name="_xlnm.Print_Area" localSheetId="86">'05,26 R3'!$A$1:$J$60</definedName>
    <definedName name="_xlnm.Print_Area" localSheetId="88">'05,27 R1'!$A$1:$J$60</definedName>
    <definedName name="_xlnm.Print_Area" localSheetId="89">'05,27 R2'!$A$1:$J$60</definedName>
    <definedName name="_xlnm.Print_Area" localSheetId="90">'05,27 R3'!$A$1:$J$60</definedName>
    <definedName name="_xlnm.Print_Area" localSheetId="92">'05,28 R1'!$A$1:$J$60</definedName>
    <definedName name="_xlnm.Print_Area" localSheetId="93">'05,28 R2'!$A$1:$J$60</definedName>
    <definedName name="_xlnm.Print_Area" localSheetId="94">'05,28 R3'!$A$1:$J$60</definedName>
    <definedName name="_xlnm.Print_Area" localSheetId="96">'05,29 R1'!$A$1:$J$60</definedName>
    <definedName name="_xlnm.Print_Area" localSheetId="97">'05,29 R2'!$A$1:$J$60</definedName>
    <definedName name="_xlnm.Print_Area" localSheetId="98">'05,29 R3'!$A$1:$J$60</definedName>
    <definedName name="_xlnm.Print_Area" localSheetId="100">'05,30 R1'!$A$1:$J$60</definedName>
    <definedName name="_xlnm.Print_Area" localSheetId="101">'05,30 R2'!$A$1:$J$60</definedName>
    <definedName name="_xlnm.Print_Area" localSheetId="102">'05,30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42" i="2128" l="1"/>
  <c r="L42" i="2128"/>
  <c r="G34" i="2128"/>
  <c r="H34" i="2128" s="1"/>
  <c r="G35" i="2128"/>
  <c r="H35" i="2128" s="1"/>
  <c r="G37" i="2128"/>
  <c r="H37" i="2128" s="1"/>
  <c r="G38" i="2128"/>
  <c r="R52" i="2128"/>
  <c r="R51" i="2128"/>
  <c r="D50" i="2128"/>
  <c r="R49" i="2128"/>
  <c r="D49" i="2128"/>
  <c r="R48" i="2128"/>
  <c r="D48" i="2128"/>
  <c r="D46" i="2128"/>
  <c r="D45" i="2128"/>
  <c r="R44" i="2128"/>
  <c r="L28" i="2128" s="1"/>
  <c r="D28" i="2128" s="1"/>
  <c r="D44" i="2128"/>
  <c r="R42" i="2128"/>
  <c r="D42" i="2128"/>
  <c r="R41" i="2128"/>
  <c r="L7" i="2128" s="1"/>
  <c r="D7" i="2128" s="1"/>
  <c r="D41" i="2128"/>
  <c r="R40" i="2128"/>
  <c r="D40" i="2128"/>
  <c r="R39" i="2128"/>
  <c r="H39" i="2128"/>
  <c r="D39" i="2128"/>
  <c r="R38" i="2128"/>
  <c r="L38" i="2128"/>
  <c r="H38" i="2128"/>
  <c r="D38" i="2128"/>
  <c r="R37" i="2128"/>
  <c r="L37" i="2128"/>
  <c r="D37" i="2128"/>
  <c r="R36" i="2128"/>
  <c r="H36" i="2128"/>
  <c r="D36" i="2128"/>
  <c r="R35" i="2128"/>
  <c r="L18" i="2128" s="1"/>
  <c r="D18" i="2128" s="1"/>
  <c r="L35" i="2128"/>
  <c r="D35" i="2128"/>
  <c r="R34" i="2128"/>
  <c r="L12" i="2128" s="1"/>
  <c r="D12" i="2128" s="1"/>
  <c r="L34" i="2128"/>
  <c r="D34" i="2128"/>
  <c r="D54" i="2128" s="1"/>
  <c r="H14" i="2128" s="1"/>
  <c r="R33" i="2128"/>
  <c r="L19" i="2128" s="1"/>
  <c r="D19" i="2128" s="1"/>
  <c r="R32" i="2128"/>
  <c r="L11" i="2128" s="1"/>
  <c r="D11" i="2128" s="1"/>
  <c r="R31" i="2128"/>
  <c r="R30" i="2128"/>
  <c r="R29" i="2128"/>
  <c r="R28" i="2128"/>
  <c r="R27" i="2128"/>
  <c r="L27" i="2128"/>
  <c r="D27" i="2128"/>
  <c r="R26" i="2128"/>
  <c r="L26" i="2128"/>
  <c r="D26" i="2128"/>
  <c r="R25" i="2128"/>
  <c r="L25" i="2128"/>
  <c r="D25" i="2128"/>
  <c r="R24" i="2128"/>
  <c r="L24" i="2128"/>
  <c r="D24" i="2128"/>
  <c r="R23" i="2128"/>
  <c r="L23" i="2128"/>
  <c r="D23" i="2128"/>
  <c r="R22" i="2128"/>
  <c r="L22" i="2128"/>
  <c r="D22" i="2128"/>
  <c r="R21" i="2128"/>
  <c r="L17" i="2128" s="1"/>
  <c r="D17" i="2128" s="1"/>
  <c r="L21" i="2128"/>
  <c r="D21" i="2128"/>
  <c r="R20" i="2128"/>
  <c r="L20" i="2128"/>
  <c r="D20" i="2128"/>
  <c r="R19" i="2128"/>
  <c r="R18" i="2128"/>
  <c r="R17" i="2128"/>
  <c r="R16" i="2128"/>
  <c r="L16" i="2128"/>
  <c r="D16" i="2128"/>
  <c r="R15" i="2128"/>
  <c r="L15" i="2128"/>
  <c r="D15" i="2128"/>
  <c r="R14" i="2128"/>
  <c r="D14" i="2128"/>
  <c r="R13" i="2128"/>
  <c r="D13" i="2128"/>
  <c r="R12" i="2128"/>
  <c r="R11" i="2128"/>
  <c r="L10" i="2128"/>
  <c r="D10" i="2128"/>
  <c r="L9" i="2128"/>
  <c r="D9" i="2128"/>
  <c r="L8" i="2128"/>
  <c r="D8" i="2128" s="1"/>
  <c r="R6" i="2128"/>
  <c r="L6" i="2128"/>
  <c r="D6" i="2128"/>
  <c r="D29" i="2128" s="1"/>
  <c r="H13" i="2128" s="1"/>
  <c r="H15" i="2128" s="1"/>
  <c r="H29" i="2128" s="1"/>
  <c r="R5" i="2128"/>
  <c r="R4" i="2128"/>
  <c r="L38" i="2106"/>
  <c r="L37" i="2106"/>
  <c r="L35" i="2106"/>
  <c r="L34" i="2106"/>
  <c r="G49" i="2128" l="1"/>
  <c r="G51" i="2128" s="1"/>
  <c r="R52" i="2127"/>
  <c r="R51" i="2127"/>
  <c r="D50" i="2127"/>
  <c r="R49" i="2127"/>
  <c r="G49" i="2127"/>
  <c r="D49" i="2127"/>
  <c r="R48" i="2127"/>
  <c r="D48" i="2127"/>
  <c r="D46" i="2127"/>
  <c r="D45" i="2127"/>
  <c r="R44" i="2127"/>
  <c r="L28" i="2127" s="1"/>
  <c r="D28" i="2127" s="1"/>
  <c r="D44" i="2127"/>
  <c r="R42" i="2127"/>
  <c r="D42" i="2127"/>
  <c r="R41" i="2127"/>
  <c r="D41" i="2127"/>
  <c r="R40" i="2127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L11" i="2127" s="1"/>
  <c r="D11" i="2127" s="1"/>
  <c r="R31" i="2127"/>
  <c r="R30" i="2127"/>
  <c r="R29" i="2127"/>
  <c r="R28" i="2127"/>
  <c r="R27" i="2127"/>
  <c r="L27" i="2127"/>
  <c r="D27" i="2127"/>
  <c r="R26" i="2127"/>
  <c r="L26" i="2127"/>
  <c r="D26" i="2127"/>
  <c r="R25" i="2127"/>
  <c r="L25" i="2127"/>
  <c r="D25" i="2127"/>
  <c r="R24" i="2127"/>
  <c r="L24" i="2127"/>
  <c r="D24" i="2127" s="1"/>
  <c r="R23" i="2127"/>
  <c r="L23" i="2127"/>
  <c r="D23" i="2127" s="1"/>
  <c r="R22" i="2127"/>
  <c r="L20" i="2127" s="1"/>
  <c r="D20" i="2127" s="1"/>
  <c r="L22" i="2127"/>
  <c r="D22" i="2127"/>
  <c r="R21" i="2127"/>
  <c r="L21" i="2127"/>
  <c r="D21" i="2127"/>
  <c r="R20" i="2127"/>
  <c r="R19" i="2127"/>
  <c r="R18" i="2127"/>
  <c r="L18" i="2127"/>
  <c r="D18" i="2127"/>
  <c r="R17" i="2127"/>
  <c r="L17" i="2127"/>
  <c r="D17" i="2127" s="1"/>
  <c r="R16" i="2127"/>
  <c r="R15" i="2127"/>
  <c r="L15" i="2127"/>
  <c r="D15" i="2127"/>
  <c r="R14" i="2127"/>
  <c r="D14" i="2127"/>
  <c r="R13" i="2127"/>
  <c r="D13" i="2127"/>
  <c r="R12" i="2127"/>
  <c r="L12" i="2127"/>
  <c r="D12" i="2127" s="1"/>
  <c r="R11" i="2127"/>
  <c r="L9" i="2127"/>
  <c r="D9" i="2127" s="1"/>
  <c r="L8" i="2127"/>
  <c r="D8" i="2127"/>
  <c r="L7" i="2127"/>
  <c r="D7" i="2127" s="1"/>
  <c r="R6" i="2127"/>
  <c r="L16" i="2127" s="1"/>
  <c r="D16" i="2127" s="1"/>
  <c r="L6" i="2127"/>
  <c r="D6" i="2127" s="1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D44" i="2126"/>
  <c r="R42" i="2126"/>
  <c r="D42" i="2126"/>
  <c r="R41" i="2126"/>
  <c r="L7" i="2126" s="1"/>
  <c r="D7" i="2126" s="1"/>
  <c r="D41" i="2126"/>
  <c r="R40" i="2126"/>
  <c r="L8" i="2126" s="1"/>
  <c r="D8" i="2126" s="1"/>
  <c r="D40" i="2126"/>
  <c r="R39" i="2126"/>
  <c r="H39" i="2126"/>
  <c r="D39" i="2126"/>
  <c r="R38" i="2126"/>
  <c r="H38" i="2126"/>
  <c r="D38" i="2126"/>
  <c r="R37" i="2126"/>
  <c r="H37" i="2126"/>
  <c r="D37" i="2126"/>
  <c r="R36" i="2126"/>
  <c r="H36" i="2126"/>
  <c r="D36" i="2126"/>
  <c r="R35" i="2126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L19" i="2126" s="1"/>
  <c r="D19" i="2126" s="1"/>
  <c r="R32" i="2126"/>
  <c r="R31" i="2126"/>
  <c r="R30" i="2126"/>
  <c r="R29" i="2126"/>
  <c r="R28" i="2126"/>
  <c r="L28" i="2126"/>
  <c r="D28" i="2126"/>
  <c r="R27" i="2126"/>
  <c r="L27" i="2126"/>
  <c r="D27" i="2126" s="1"/>
  <c r="R26" i="2126"/>
  <c r="L26" i="2126"/>
  <c r="D26" i="2126" s="1"/>
  <c r="R25" i="2126"/>
  <c r="L25" i="2126"/>
  <c r="D25" i="2126"/>
  <c r="R24" i="2126"/>
  <c r="L24" i="2126"/>
  <c r="D24" i="2126"/>
  <c r="R23" i="2126"/>
  <c r="L23" i="2126"/>
  <c r="D23" i="2126" s="1"/>
  <c r="R22" i="2126"/>
  <c r="L22" i="2126"/>
  <c r="D22" i="2126" s="1"/>
  <c r="R21" i="2126"/>
  <c r="L17" i="2126" s="1"/>
  <c r="D17" i="2126" s="1"/>
  <c r="D21" i="2126"/>
  <c r="R20" i="2126"/>
  <c r="L20" i="2126"/>
  <c r="D20" i="2126"/>
  <c r="R19" i="2126"/>
  <c r="R18" i="2126"/>
  <c r="L18" i="2126"/>
  <c r="D18" i="2126" s="1"/>
  <c r="R17" i="2126"/>
  <c r="R16" i="2126"/>
  <c r="R15" i="2126"/>
  <c r="L15" i="2126"/>
  <c r="D15" i="2126" s="1"/>
  <c r="R14" i="2126"/>
  <c r="D14" i="2126"/>
  <c r="R13" i="2126"/>
  <c r="D13" i="2126"/>
  <c r="R12" i="2126"/>
  <c r="R11" i="2126"/>
  <c r="L11" i="2126"/>
  <c r="D11" i="2126" s="1"/>
  <c r="L10" i="2126"/>
  <c r="D10" i="2126"/>
  <c r="L9" i="2126"/>
  <c r="D9" i="2126"/>
  <c r="R6" i="2126"/>
  <c r="L16" i="2126" s="1"/>
  <c r="D16" i="2126" s="1"/>
  <c r="L6" i="2126"/>
  <c r="D6" i="2126"/>
  <c r="D29" i="2126" s="1"/>
  <c r="H13" i="2126" s="1"/>
  <c r="H15" i="2126" s="1"/>
  <c r="H29" i="2126" s="1"/>
  <c r="R5" i="2126"/>
  <c r="R4" i="2126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L9" i="2125" s="1"/>
  <c r="D9" i="2125" s="1"/>
  <c r="H38" i="2125"/>
  <c r="D38" i="2125"/>
  <c r="R37" i="2125"/>
  <c r="H37" i="2125"/>
  <c r="D37" i="2125"/>
  <c r="R36" i="2125"/>
  <c r="L10" i="2125" s="1"/>
  <c r="D10" i="2125" s="1"/>
  <c r="H36" i="2125"/>
  <c r="D36" i="2125"/>
  <c r="R35" i="2125"/>
  <c r="H35" i="2125"/>
  <c r="D35" i="2125"/>
  <c r="R34" i="2125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/>
  <c r="R23" i="2125"/>
  <c r="L23" i="2125"/>
  <c r="D23" i="2125" s="1"/>
  <c r="R22" i="2125"/>
  <c r="L20" i="2125" s="1"/>
  <c r="D20" i="2125" s="1"/>
  <c r="L22" i="2125"/>
  <c r="D22" i="2125"/>
  <c r="R21" i="2125"/>
  <c r="L21" i="2125"/>
  <c r="D21" i="2125"/>
  <c r="R20" i="2125"/>
  <c r="R19" i="2125"/>
  <c r="L19" i="2125"/>
  <c r="D19" i="2125" s="1"/>
  <c r="R18" i="2125"/>
  <c r="L18" i="2125"/>
  <c r="D18" i="2125"/>
  <c r="R17" i="2125"/>
  <c r="L17" i="2125"/>
  <c r="D17" i="2125" s="1"/>
  <c r="R16" i="2125"/>
  <c r="R15" i="2125"/>
  <c r="L15" i="2125"/>
  <c r="D15" i="2125" s="1"/>
  <c r="R14" i="2125"/>
  <c r="D14" i="2125"/>
  <c r="R13" i="2125"/>
  <c r="D13" i="2125"/>
  <c r="R12" i="2125"/>
  <c r="L12" i="2125"/>
  <c r="D12" i="2125" s="1"/>
  <c r="R11" i="2125"/>
  <c r="L8" i="2125"/>
  <c r="D8" i="2125"/>
  <c r="L7" i="2125"/>
  <c r="D7" i="2125"/>
  <c r="R6" i="2125"/>
  <c r="L16" i="2125" s="1"/>
  <c r="D16" i="2125" s="1"/>
  <c r="L6" i="2125"/>
  <c r="D6" i="2125" s="1"/>
  <c r="R5" i="2125"/>
  <c r="R4" i="2125"/>
  <c r="R52" i="2124"/>
  <c r="R51" i="2124"/>
  <c r="D50" i="2124"/>
  <c r="R49" i="2124"/>
  <c r="G49" i="2124"/>
  <c r="D49" i="2124"/>
  <c r="R48" i="2124"/>
  <c r="D48" i="2124"/>
  <c r="D46" i="2124"/>
  <c r="D45" i="2124"/>
  <c r="D44" i="2124"/>
  <c r="R42" i="2124"/>
  <c r="D42" i="2124"/>
  <c r="R41" i="2124"/>
  <c r="L7" i="2124" s="1"/>
  <c r="D7" i="2124" s="1"/>
  <c r="D41" i="2124"/>
  <c r="R40" i="2124"/>
  <c r="L8" i="2124" s="1"/>
  <c r="D8" i="2124" s="1"/>
  <c r="D40" i="2124"/>
  <c r="R39" i="2124"/>
  <c r="D39" i="2124"/>
  <c r="R38" i="2124"/>
  <c r="D38" i="2124"/>
  <c r="R37" i="2124"/>
  <c r="D37" i="2124"/>
  <c r="R36" i="2124"/>
  <c r="L10" i="2124" s="1"/>
  <c r="D10" i="2124" s="1"/>
  <c r="D36" i="2124"/>
  <c r="R35" i="2124"/>
  <c r="D35" i="2124"/>
  <c r="R34" i="2124"/>
  <c r="L12" i="2124" s="1"/>
  <c r="D12" i="2124" s="1"/>
  <c r="D34" i="2124"/>
  <c r="D54" i="2124" s="1"/>
  <c r="H14" i="2124" s="1"/>
  <c r="R33" i="2124"/>
  <c r="L23" i="2124" s="1"/>
  <c r="D23" i="2124" s="1"/>
  <c r="R32" i="2124"/>
  <c r="R31" i="2124"/>
  <c r="R30" i="2124"/>
  <c r="R29" i="2124"/>
  <c r="R28" i="2124"/>
  <c r="L16" i="2124" s="1"/>
  <c r="D16" i="2124" s="1"/>
  <c r="D28" i="2124"/>
  <c r="R27" i="2124"/>
  <c r="D27" i="2124"/>
  <c r="R26" i="2124"/>
  <c r="L26" i="2124"/>
  <c r="D26" i="2124"/>
  <c r="R25" i="2124"/>
  <c r="L25" i="2124"/>
  <c r="D25" i="2124"/>
  <c r="R24" i="2124"/>
  <c r="D24" i="2124"/>
  <c r="R23" i="2124"/>
  <c r="R22" i="2124"/>
  <c r="L22" i="2124"/>
  <c r="D22" i="2124"/>
  <c r="R21" i="2124"/>
  <c r="D21" i="2124"/>
  <c r="R20" i="2124"/>
  <c r="L20" i="2124"/>
  <c r="D20" i="2124"/>
  <c r="R19" i="2124"/>
  <c r="L19" i="2124"/>
  <c r="D19" i="2124"/>
  <c r="R18" i="2124"/>
  <c r="D18" i="2124"/>
  <c r="R17" i="2124"/>
  <c r="D17" i="2124"/>
  <c r="R16" i="2124"/>
  <c r="S15" i="2124"/>
  <c r="R15" i="2124"/>
  <c r="D15" i="2124"/>
  <c r="S14" i="2124"/>
  <c r="R14" i="2124"/>
  <c r="D14" i="2124"/>
  <c r="R13" i="2124"/>
  <c r="D13" i="2124"/>
  <c r="R12" i="2124"/>
  <c r="R11" i="2124"/>
  <c r="L11" i="2124"/>
  <c r="D11" i="2124"/>
  <c r="L9" i="2124"/>
  <c r="D9" i="2124"/>
  <c r="R6" i="2124"/>
  <c r="L6" i="2124"/>
  <c r="D6" i="2124" s="1"/>
  <c r="R5" i="2124"/>
  <c r="R4" i="2124"/>
  <c r="D54" i="2123"/>
  <c r="H14" i="2123" s="1"/>
  <c r="R52" i="2123"/>
  <c r="R51" i="2123"/>
  <c r="D50" i="2123"/>
  <c r="R49" i="2123"/>
  <c r="G49" i="2123"/>
  <c r="D49" i="2123"/>
  <c r="R48" i="2123"/>
  <c r="D48" i="2123"/>
  <c r="D46" i="2123"/>
  <c r="D45" i="2123"/>
  <c r="R44" i="2123"/>
  <c r="D44" i="2123"/>
  <c r="R42" i="2123"/>
  <c r="D42" i="2123"/>
  <c r="R41" i="2123"/>
  <c r="L7" i="2123" s="1"/>
  <c r="D7" i="2123" s="1"/>
  <c r="D41" i="2123"/>
  <c r="R40" i="2123"/>
  <c r="D40" i="2123"/>
  <c r="R39" i="2123"/>
  <c r="H39" i="2123"/>
  <c r="D39" i="2123"/>
  <c r="R38" i="2123"/>
  <c r="H38" i="2123"/>
  <c r="D38" i="2123"/>
  <c r="R37" i="2123"/>
  <c r="H37" i="2123"/>
  <c r="D37" i="2123"/>
  <c r="R36" i="2123"/>
  <c r="L10" i="2123" s="1"/>
  <c r="D10" i="2123" s="1"/>
  <c r="H36" i="2123"/>
  <c r="D36" i="2123"/>
  <c r="R35" i="2123"/>
  <c r="L18" i="2123" s="1"/>
  <c r="D18" i="2123" s="1"/>
  <c r="H35" i="2123"/>
  <c r="D35" i="2123"/>
  <c r="R34" i="2123"/>
  <c r="H34" i="2123"/>
  <c r="D34" i="2123"/>
  <c r="R33" i="2123"/>
  <c r="L19" i="2123" s="1"/>
  <c r="D19" i="2123" s="1"/>
  <c r="R32" i="2123"/>
  <c r="L11" i="2123" s="1"/>
  <c r="D11" i="2123" s="1"/>
  <c r="R31" i="2123"/>
  <c r="R30" i="2123"/>
  <c r="R29" i="2123"/>
  <c r="R28" i="2123"/>
  <c r="L28" i="2123"/>
  <c r="D28" i="2123"/>
  <c r="R27" i="2123"/>
  <c r="L27" i="2123"/>
  <c r="D27" i="2123" s="1"/>
  <c r="R26" i="2123"/>
  <c r="L26" i="2123"/>
  <c r="D26" i="2123"/>
  <c r="R25" i="2123"/>
  <c r="L25" i="2123"/>
  <c r="D25" i="2123"/>
  <c r="R24" i="2123"/>
  <c r="L24" i="2123"/>
  <c r="D24" i="2123"/>
  <c r="R23" i="2123"/>
  <c r="L23" i="2123"/>
  <c r="D23" i="2123" s="1"/>
  <c r="R22" i="2123"/>
  <c r="L22" i="2123"/>
  <c r="D22" i="2123" s="1"/>
  <c r="R21" i="2123"/>
  <c r="L21" i="2123"/>
  <c r="D21" i="2123"/>
  <c r="R20" i="2123"/>
  <c r="L20" i="2123"/>
  <c r="D20" i="2123" s="1"/>
  <c r="R19" i="2123"/>
  <c r="R18" i="2123"/>
  <c r="R17" i="2123"/>
  <c r="L17" i="2123"/>
  <c r="D17" i="2123"/>
  <c r="R16" i="2123"/>
  <c r="R15" i="2123"/>
  <c r="R14" i="2123"/>
  <c r="D14" i="2123"/>
  <c r="R13" i="2123"/>
  <c r="D13" i="2123"/>
  <c r="R12" i="2123"/>
  <c r="L12" i="2123"/>
  <c r="D12" i="2123"/>
  <c r="R11" i="2123"/>
  <c r="L9" i="2123"/>
  <c r="D9" i="2123" s="1"/>
  <c r="L8" i="2123"/>
  <c r="D8" i="2123" s="1"/>
  <c r="R6" i="2123"/>
  <c r="L16" i="2123" s="1"/>
  <c r="D16" i="2123" s="1"/>
  <c r="L6" i="2123"/>
  <c r="D6" i="2123" s="1"/>
  <c r="R5" i="2123"/>
  <c r="R4" i="2123"/>
  <c r="L15" i="2123" s="1"/>
  <c r="D15" i="2123" s="1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H36" i="2122"/>
  <c r="D36" i="2122"/>
  <c r="R35" i="2122"/>
  <c r="H35" i="2122"/>
  <c r="D35" i="2122"/>
  <c r="D54" i="2122" s="1"/>
  <c r="H14" i="2122" s="1"/>
  <c r="R34" i="2122"/>
  <c r="H34" i="2122"/>
  <c r="G49" i="2122" s="1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 s="1"/>
  <c r="R25" i="2122"/>
  <c r="L25" i="2122"/>
  <c r="D25" i="2122"/>
  <c r="R24" i="2122"/>
  <c r="L24" i="2122"/>
  <c r="D24" i="2122"/>
  <c r="R23" i="2122"/>
  <c r="L23" i="2122"/>
  <c r="D23" i="2122"/>
  <c r="R22" i="2122"/>
  <c r="L20" i="2122" s="1"/>
  <c r="D20" i="2122" s="1"/>
  <c r="L22" i="2122"/>
  <c r="D22" i="2122" s="1"/>
  <c r="R21" i="2122"/>
  <c r="D21" i="2122"/>
  <c r="R20" i="2122"/>
  <c r="R19" i="2122"/>
  <c r="L19" i="2122"/>
  <c r="D19" i="2122" s="1"/>
  <c r="R18" i="2122"/>
  <c r="L18" i="2122"/>
  <c r="D18" i="2122" s="1"/>
  <c r="R17" i="2122"/>
  <c r="L17" i="2122"/>
  <c r="D17" i="2122"/>
  <c r="R16" i="2122"/>
  <c r="R15" i="2122"/>
  <c r="R14" i="2122"/>
  <c r="D14" i="2122"/>
  <c r="R13" i="2122"/>
  <c r="D13" i="2122"/>
  <c r="R12" i="2122"/>
  <c r="L12" i="2122"/>
  <c r="D12" i="2122"/>
  <c r="R11" i="2122"/>
  <c r="L11" i="2122"/>
  <c r="D11" i="2122"/>
  <c r="L10" i="2122"/>
  <c r="D10" i="2122"/>
  <c r="L9" i="2122"/>
  <c r="D9" i="2122"/>
  <c r="R6" i="2122"/>
  <c r="L16" i="2122" s="1"/>
  <c r="D16" i="2122" s="1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D54" i="2121" s="1"/>
  <c r="H14" i="2121" s="1"/>
  <c r="R35" i="2121"/>
  <c r="H35" i="2121"/>
  <c r="G49" i="2121" s="1"/>
  <c r="D35" i="2121"/>
  <c r="R34" i="2121"/>
  <c r="H34" i="2121"/>
  <c r="D34" i="2121"/>
  <c r="R33" i="212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/>
  <c r="R23" i="2121"/>
  <c r="L23" i="2121"/>
  <c r="D23" i="2121" s="1"/>
  <c r="R22" i="2121"/>
  <c r="L20" i="2121" s="1"/>
  <c r="D20" i="2121" s="1"/>
  <c r="L22" i="2121"/>
  <c r="D22" i="2121" s="1"/>
  <c r="R21" i="2121"/>
  <c r="L21" i="2121"/>
  <c r="D21" i="2121"/>
  <c r="R20" i="2121"/>
  <c r="R19" i="2121"/>
  <c r="L19" i="2121"/>
  <c r="D19" i="2121"/>
  <c r="R18" i="2121"/>
  <c r="L18" i="2121"/>
  <c r="D18" i="2121"/>
  <c r="R17" i="2121"/>
  <c r="L17" i="2121"/>
  <c r="D17" i="2121" s="1"/>
  <c r="R16" i="2121"/>
  <c r="R15" i="2121"/>
  <c r="R14" i="2121"/>
  <c r="D14" i="2121"/>
  <c r="R13" i="2121"/>
  <c r="D13" i="2121"/>
  <c r="R12" i="2121"/>
  <c r="L12" i="2121"/>
  <c r="D12" i="2121" s="1"/>
  <c r="R11" i="2121"/>
  <c r="L11" i="2121"/>
  <c r="D11" i="2121" s="1"/>
  <c r="L9" i="2121"/>
  <c r="D9" i="2121"/>
  <c r="L8" i="2121"/>
  <c r="D8" i="2121" s="1"/>
  <c r="L7" i="2121"/>
  <c r="D7" i="2121"/>
  <c r="R6" i="2121"/>
  <c r="L16" i="2121" s="1"/>
  <c r="D16" i="2121" s="1"/>
  <c r="L6" i="2121"/>
  <c r="D6" i="2121" s="1"/>
  <c r="R5" i="2121"/>
  <c r="R4" i="2121"/>
  <c r="L15" i="2121" s="1"/>
  <c r="D15" i="2121" s="1"/>
  <c r="R52" i="2120"/>
  <c r="R51" i="2120"/>
  <c r="D50" i="2120"/>
  <c r="R49" i="2120"/>
  <c r="G49" i="2120"/>
  <c r="D49" i="2120"/>
  <c r="R48" i="2120"/>
  <c r="D48" i="2120"/>
  <c r="D46" i="2120"/>
  <c r="D45" i="2120"/>
  <c r="D44" i="2120"/>
  <c r="R42" i="2120"/>
  <c r="D42" i="2120"/>
  <c r="R41" i="2120"/>
  <c r="L7" i="2120" s="1"/>
  <c r="D7" i="2120" s="1"/>
  <c r="D41" i="2120"/>
  <c r="R40" i="2120"/>
  <c r="L8" i="2120" s="1"/>
  <c r="D8" i="2120" s="1"/>
  <c r="D40" i="2120"/>
  <c r="R39" i="2120"/>
  <c r="D39" i="2120"/>
  <c r="R38" i="2120"/>
  <c r="D38" i="2120"/>
  <c r="R37" i="2120"/>
  <c r="D37" i="2120"/>
  <c r="D54" i="2120" s="1"/>
  <c r="H14" i="2120" s="1"/>
  <c r="R36" i="2120"/>
  <c r="D36" i="2120"/>
  <c r="R35" i="2120"/>
  <c r="D35" i="2120"/>
  <c r="R34" i="2120"/>
  <c r="D34" i="2120"/>
  <c r="R33" i="2120"/>
  <c r="R32" i="2120"/>
  <c r="L11" i="2120" s="1"/>
  <c r="D11" i="2120" s="1"/>
  <c r="R31" i="2120"/>
  <c r="R30" i="2120"/>
  <c r="R29" i="2120"/>
  <c r="R28" i="2120"/>
  <c r="D28" i="2120"/>
  <c r="R27" i="2120"/>
  <c r="D27" i="2120"/>
  <c r="R26" i="2120"/>
  <c r="L26" i="2120"/>
  <c r="D26" i="2120"/>
  <c r="R25" i="2120"/>
  <c r="L25" i="2120"/>
  <c r="D25" i="2120"/>
  <c r="R24" i="2120"/>
  <c r="D24" i="2120"/>
  <c r="R23" i="2120"/>
  <c r="L23" i="2120"/>
  <c r="D23" i="2120" s="1"/>
  <c r="R22" i="2120"/>
  <c r="L22" i="2120"/>
  <c r="D22" i="2120"/>
  <c r="R21" i="2120"/>
  <c r="D21" i="2120"/>
  <c r="R20" i="2120"/>
  <c r="L20" i="2120"/>
  <c r="D20" i="2120"/>
  <c r="R19" i="2120"/>
  <c r="L19" i="2120"/>
  <c r="D19" i="2120"/>
  <c r="R18" i="2120"/>
  <c r="D18" i="2120"/>
  <c r="R17" i="2120"/>
  <c r="D17" i="2120"/>
  <c r="R16" i="2120"/>
  <c r="L16" i="2120"/>
  <c r="D16" i="2120" s="1"/>
  <c r="S15" i="2120"/>
  <c r="R15" i="2120"/>
  <c r="D15" i="2120"/>
  <c r="S14" i="2120"/>
  <c r="R14" i="2120"/>
  <c r="D14" i="2120"/>
  <c r="R13" i="2120"/>
  <c r="D13" i="2120"/>
  <c r="R12" i="2120"/>
  <c r="L12" i="2120"/>
  <c r="D12" i="2120" s="1"/>
  <c r="R11" i="2120"/>
  <c r="L10" i="2120"/>
  <c r="D10" i="2120"/>
  <c r="L9" i="2120"/>
  <c r="D9" i="2120" s="1"/>
  <c r="R6" i="2120"/>
  <c r="L6" i="2120"/>
  <c r="D6" i="2120" s="1"/>
  <c r="R5" i="2120"/>
  <c r="R4" i="2120"/>
  <c r="R52" i="2119"/>
  <c r="R51" i="2119"/>
  <c r="D50" i="2119"/>
  <c r="R49" i="2119"/>
  <c r="D49" i="2119"/>
  <c r="R48" i="2119"/>
  <c r="D48" i="2119"/>
  <c r="D46" i="2119"/>
  <c r="D45" i="2119"/>
  <c r="R44" i="2119"/>
  <c r="L28" i="2119" s="1"/>
  <c r="D28" i="2119" s="1"/>
  <c r="D44" i="2119"/>
  <c r="R42" i="2119"/>
  <c r="L6" i="2119" s="1"/>
  <c r="D6" i="2119" s="1"/>
  <c r="D42" i="2119"/>
  <c r="R41" i="2119"/>
  <c r="D41" i="2119"/>
  <c r="R40" i="2119"/>
  <c r="L8" i="2119" s="1"/>
  <c r="D8" i="2119" s="1"/>
  <c r="D40" i="2119"/>
  <c r="R39" i="2119"/>
  <c r="H39" i="2119"/>
  <c r="D39" i="2119"/>
  <c r="R38" i="2119"/>
  <c r="L9" i="2119" s="1"/>
  <c r="D9" i="2119" s="1"/>
  <c r="H38" i="2119"/>
  <c r="D38" i="2119"/>
  <c r="R37" i="2119"/>
  <c r="H37" i="2119"/>
  <c r="D37" i="2119"/>
  <c r="R36" i="2119"/>
  <c r="H36" i="2119"/>
  <c r="D36" i="2119"/>
  <c r="R35" i="2119"/>
  <c r="H35" i="2119"/>
  <c r="D35" i="2119"/>
  <c r="R34" i="2119"/>
  <c r="L12" i="2119" s="1"/>
  <c r="D12" i="2119" s="1"/>
  <c r="H34" i="2119"/>
  <c r="G49" i="2119" s="1"/>
  <c r="D34" i="2119"/>
  <c r="D54" i="2119" s="1"/>
  <c r="H14" i="2119" s="1"/>
  <c r="R33" i="2119"/>
  <c r="L19" i="2119" s="1"/>
  <c r="D19" i="2119" s="1"/>
  <c r="R32" i="2119"/>
  <c r="R31" i="2119"/>
  <c r="R30" i="2119"/>
  <c r="R29" i="2119"/>
  <c r="R28" i="2119"/>
  <c r="R27" i="2119"/>
  <c r="L27" i="2119"/>
  <c r="D27" i="2119"/>
  <c r="R26" i="2119"/>
  <c r="L26" i="2119"/>
  <c r="D26" i="2119" s="1"/>
  <c r="R25" i="2119"/>
  <c r="L25" i="2119"/>
  <c r="D25" i="2119" s="1"/>
  <c r="R24" i="2119"/>
  <c r="L24" i="2119"/>
  <c r="D24" i="2119"/>
  <c r="R23" i="2119"/>
  <c r="L23" i="2119"/>
  <c r="D23" i="2119"/>
  <c r="R22" i="2119"/>
  <c r="L20" i="2119" s="1"/>
  <c r="D20" i="2119" s="1"/>
  <c r="L22" i="2119"/>
  <c r="D22" i="2119"/>
  <c r="R21" i="2119"/>
  <c r="L21" i="2119"/>
  <c r="D21" i="2119"/>
  <c r="R20" i="2119"/>
  <c r="R19" i="2119"/>
  <c r="R18" i="2119"/>
  <c r="L18" i="2119"/>
  <c r="D18" i="2119" s="1"/>
  <c r="R17" i="2119"/>
  <c r="L17" i="2119"/>
  <c r="D17" i="2119" s="1"/>
  <c r="R16" i="2119"/>
  <c r="R15" i="2119"/>
  <c r="L15" i="2119"/>
  <c r="D15" i="2119"/>
  <c r="R14" i="2119"/>
  <c r="D14" i="2119"/>
  <c r="R13" i="2119"/>
  <c r="D13" i="2119"/>
  <c r="R12" i="2119"/>
  <c r="R11" i="2119"/>
  <c r="L11" i="2119"/>
  <c r="D11" i="2119"/>
  <c r="L10" i="2119"/>
  <c r="D10" i="2119" s="1"/>
  <c r="L7" i="2119"/>
  <c r="D7" i="2119"/>
  <c r="R6" i="2119"/>
  <c r="L16" i="2119" s="1"/>
  <c r="D16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D44" i="2118"/>
  <c r="R42" i="2118"/>
  <c r="D42" i="2118"/>
  <c r="R41" i="2118"/>
  <c r="L7" i="2118" s="1"/>
  <c r="D7" i="2118" s="1"/>
  <c r="D41" i="2118"/>
  <c r="R40" i="2118"/>
  <c r="L8" i="2118" s="1"/>
  <c r="D8" i="2118" s="1"/>
  <c r="D40" i="2118"/>
  <c r="R39" i="2118"/>
  <c r="H39" i="2118"/>
  <c r="D39" i="2118"/>
  <c r="D54" i="2118" s="1"/>
  <c r="H14" i="2118" s="1"/>
  <c r="R38" i="2118"/>
  <c r="H38" i="2118"/>
  <c r="D38" i="2118"/>
  <c r="R37" i="2118"/>
  <c r="H37" i="2118"/>
  <c r="G49" i="2118" s="1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L28" i="2118"/>
  <c r="D28" i="2118"/>
  <c r="R27" i="2118"/>
  <c r="L27" i="2118"/>
  <c r="D27" i="2118"/>
  <c r="R26" i="2118"/>
  <c r="L26" i="2118"/>
  <c r="D26" i="2118"/>
  <c r="R25" i="2118"/>
  <c r="L25" i="2118"/>
  <c r="D25" i="2118"/>
  <c r="R24" i="2118"/>
  <c r="L24" i="2118"/>
  <c r="D24" i="2118"/>
  <c r="R23" i="2118"/>
  <c r="L23" i="2118"/>
  <c r="D23" i="2118" s="1"/>
  <c r="R22" i="2118"/>
  <c r="L22" i="2118"/>
  <c r="D22" i="2118" s="1"/>
  <c r="R21" i="2118"/>
  <c r="L17" i="2118" s="1"/>
  <c r="D17" i="2118" s="1"/>
  <c r="D21" i="2118"/>
  <c r="R20" i="2118"/>
  <c r="L20" i="2118"/>
  <c r="D20" i="2118"/>
  <c r="R19" i="2118"/>
  <c r="R18" i="2118"/>
  <c r="L18" i="2118"/>
  <c r="D18" i="2118" s="1"/>
  <c r="R17" i="2118"/>
  <c r="R16" i="2118"/>
  <c r="R15" i="2118"/>
  <c r="R14" i="2118"/>
  <c r="D14" i="2118"/>
  <c r="R13" i="2118"/>
  <c r="D13" i="2118"/>
  <c r="R12" i="2118"/>
  <c r="R11" i="2118"/>
  <c r="L10" i="2118"/>
  <c r="D10" i="2118" s="1"/>
  <c r="L9" i="2118"/>
  <c r="D9" i="2118"/>
  <c r="R6" i="2118"/>
  <c r="L16" i="2118" s="1"/>
  <c r="D16" i="2118" s="1"/>
  <c r="L6" i="2118"/>
  <c r="D6" i="2118"/>
  <c r="R5" i="2118"/>
  <c r="R4" i="2118"/>
  <c r="L15" i="2118" s="1"/>
  <c r="D15" i="2118" s="1"/>
  <c r="R52" i="2117"/>
  <c r="R51" i="2117"/>
  <c r="D50" i="2117"/>
  <c r="R49" i="2117"/>
  <c r="D49" i="2117"/>
  <c r="R48" i="2117"/>
  <c r="D48" i="2117"/>
  <c r="D46" i="2117"/>
  <c r="D45" i="2117"/>
  <c r="R44" i="2117"/>
  <c r="D44" i="2117"/>
  <c r="R42" i="2117"/>
  <c r="L6" i="2117" s="1"/>
  <c r="D6" i="2117" s="1"/>
  <c r="D42" i="2117"/>
  <c r="R41" i="2117"/>
  <c r="D41" i="2117"/>
  <c r="R40" i="2117"/>
  <c r="L8" i="2117" s="1"/>
  <c r="D8" i="2117" s="1"/>
  <c r="D40" i="2117"/>
  <c r="R39" i="2117"/>
  <c r="H39" i="2117"/>
  <c r="D39" i="2117"/>
  <c r="R38" i="2117"/>
  <c r="L9" i="2117" s="1"/>
  <c r="D9" i="2117" s="1"/>
  <c r="H38" i="2117"/>
  <c r="D38" i="2117"/>
  <c r="R37" i="2117"/>
  <c r="H37" i="2117"/>
  <c r="D37" i="2117"/>
  <c r="R36" i="2117"/>
  <c r="H36" i="2117"/>
  <c r="D36" i="2117"/>
  <c r="R35" i="2117"/>
  <c r="H35" i="2117"/>
  <c r="D35" i="2117"/>
  <c r="R34" i="2117"/>
  <c r="L12" i="2117" s="1"/>
  <c r="D12" i="2117" s="1"/>
  <c r="H34" i="2117"/>
  <c r="G49" i="2117" s="1"/>
  <c r="D34" i="2117"/>
  <c r="D54" i="2117" s="1"/>
  <c r="H14" i="2117" s="1"/>
  <c r="R33" i="2117"/>
  <c r="R32" i="2117"/>
  <c r="R31" i="2117"/>
  <c r="R30" i="2117"/>
  <c r="R29" i="2117"/>
  <c r="R28" i="2117"/>
  <c r="L28" i="2117"/>
  <c r="D28" i="2117"/>
  <c r="R27" i="2117"/>
  <c r="L27" i="2117"/>
  <c r="D27" i="2117"/>
  <c r="R26" i="2117"/>
  <c r="L26" i="2117"/>
  <c r="D26" i="2117" s="1"/>
  <c r="R25" i="2117"/>
  <c r="L25" i="2117"/>
  <c r="D25" i="2117" s="1"/>
  <c r="R24" i="2117"/>
  <c r="L24" i="2117"/>
  <c r="D24" i="2117"/>
  <c r="R23" i="2117"/>
  <c r="L23" i="2117"/>
  <c r="D23" i="2117"/>
  <c r="R22" i="2117"/>
  <c r="L20" i="2117" s="1"/>
  <c r="D20" i="2117" s="1"/>
  <c r="L22" i="2117"/>
  <c r="D22" i="2117"/>
  <c r="R21" i="2117"/>
  <c r="L21" i="2117"/>
  <c r="D21" i="2117" s="1"/>
  <c r="R20" i="2117"/>
  <c r="R19" i="2117"/>
  <c r="L19" i="2117"/>
  <c r="D19" i="2117" s="1"/>
  <c r="R18" i="2117"/>
  <c r="L18" i="2117"/>
  <c r="D18" i="2117"/>
  <c r="R17" i="2117"/>
  <c r="L17" i="2117"/>
  <c r="D17" i="2117" s="1"/>
  <c r="R16" i="2117"/>
  <c r="L16" i="2117"/>
  <c r="D16" i="2117"/>
  <c r="R15" i="2117"/>
  <c r="L15" i="2117"/>
  <c r="D15" i="2117" s="1"/>
  <c r="R14" i="2117"/>
  <c r="D14" i="2117"/>
  <c r="R13" i="2117"/>
  <c r="D13" i="2117"/>
  <c r="R12" i="2117"/>
  <c r="R11" i="2117"/>
  <c r="L11" i="2117"/>
  <c r="D11" i="2117"/>
  <c r="L10" i="2117"/>
  <c r="D10" i="2117" s="1"/>
  <c r="L7" i="2117"/>
  <c r="D7" i="2117"/>
  <c r="R6" i="2117"/>
  <c r="R5" i="2117"/>
  <c r="R4" i="2117"/>
  <c r="R52" i="2116"/>
  <c r="R51" i="2116"/>
  <c r="D50" i="2116"/>
  <c r="R49" i="2116"/>
  <c r="G49" i="2116"/>
  <c r="D49" i="2116"/>
  <c r="R48" i="2116"/>
  <c r="D48" i="2116"/>
  <c r="D46" i="2116"/>
  <c r="D45" i="2116"/>
  <c r="D44" i="2116"/>
  <c r="R42" i="2116"/>
  <c r="L6" i="2116" s="1"/>
  <c r="D6" i="2116" s="1"/>
  <c r="D42" i="2116"/>
  <c r="R41" i="2116"/>
  <c r="L7" i="2116" s="1"/>
  <c r="D7" i="2116" s="1"/>
  <c r="D41" i="2116"/>
  <c r="D54" i="2116" s="1"/>
  <c r="H14" i="2116" s="1"/>
  <c r="R40" i="2116"/>
  <c r="D40" i="2116"/>
  <c r="R39" i="2116"/>
  <c r="D39" i="2116"/>
  <c r="R38" i="2116"/>
  <c r="L9" i="2116" s="1"/>
  <c r="D9" i="2116" s="1"/>
  <c r="D38" i="2116"/>
  <c r="R37" i="2116"/>
  <c r="D37" i="2116"/>
  <c r="R36" i="2116"/>
  <c r="D36" i="2116"/>
  <c r="R35" i="2116"/>
  <c r="D35" i="2116"/>
  <c r="R34" i="2116"/>
  <c r="L12" i="2116" s="1"/>
  <c r="D12" i="2116" s="1"/>
  <c r="D34" i="2116"/>
  <c r="R33" i="2116"/>
  <c r="L23" i="2116" s="1"/>
  <c r="D23" i="2116" s="1"/>
  <c r="R32" i="2116"/>
  <c r="L11" i="2116" s="1"/>
  <c r="D11" i="2116" s="1"/>
  <c r="R31" i="2116"/>
  <c r="R30" i="2116"/>
  <c r="R29" i="2116"/>
  <c r="R28" i="2116"/>
  <c r="D28" i="2116"/>
  <c r="R27" i="2116"/>
  <c r="D27" i="2116"/>
  <c r="R26" i="2116"/>
  <c r="L26" i="2116"/>
  <c r="D26" i="2116"/>
  <c r="R25" i="2116"/>
  <c r="L25" i="2116"/>
  <c r="D25" i="2116"/>
  <c r="R24" i="2116"/>
  <c r="D24" i="2116"/>
  <c r="R23" i="2116"/>
  <c r="R22" i="2116"/>
  <c r="L22" i="2116"/>
  <c r="D22" i="2116" s="1"/>
  <c r="R21" i="2116"/>
  <c r="D21" i="2116"/>
  <c r="R20" i="2116"/>
  <c r="L20" i="2116"/>
  <c r="D20" i="2116"/>
  <c r="R19" i="2116"/>
  <c r="L19" i="2116"/>
  <c r="D19" i="2116"/>
  <c r="R18" i="2116"/>
  <c r="D18" i="2116"/>
  <c r="R17" i="2116"/>
  <c r="D17" i="2116"/>
  <c r="R16" i="2116"/>
  <c r="L16" i="2116"/>
  <c r="D16" i="2116" s="1"/>
  <c r="S15" i="2116"/>
  <c r="R15" i="2116"/>
  <c r="D15" i="2116"/>
  <c r="S14" i="2116"/>
  <c r="R14" i="2116"/>
  <c r="D14" i="2116"/>
  <c r="R13" i="2116"/>
  <c r="D13" i="2116"/>
  <c r="R12" i="2116"/>
  <c r="R11" i="2116"/>
  <c r="L10" i="2116"/>
  <c r="D10" i="2116" s="1"/>
  <c r="L8" i="2116"/>
  <c r="D8" i="2116"/>
  <c r="R6" i="2116"/>
  <c r="R5" i="2116"/>
  <c r="R4" i="2116"/>
  <c r="R52" i="2115"/>
  <c r="R51" i="2115"/>
  <c r="D50" i="2115"/>
  <c r="R49" i="2115"/>
  <c r="D49" i="2115"/>
  <c r="R48" i="2115"/>
  <c r="D48" i="2115"/>
  <c r="D46" i="2115"/>
  <c r="D45" i="2115"/>
  <c r="R44" i="2115"/>
  <c r="D44" i="2115"/>
  <c r="R42" i="2115"/>
  <c r="D42" i="2115"/>
  <c r="R41" i="2115"/>
  <c r="D41" i="2115"/>
  <c r="R40" i="2115"/>
  <c r="D40" i="2115"/>
  <c r="R39" i="2115"/>
  <c r="H39" i="2115"/>
  <c r="D39" i="2115"/>
  <c r="R38" i="2115"/>
  <c r="L9" i="2115" s="1"/>
  <c r="D9" i="2115" s="1"/>
  <c r="H38" i="2115"/>
  <c r="D38" i="2115"/>
  <c r="D54" i="2115" s="1"/>
  <c r="H14" i="2115" s="1"/>
  <c r="R37" i="2115"/>
  <c r="H37" i="2115"/>
  <c r="D37" i="2115"/>
  <c r="R36" i="2115"/>
  <c r="H36" i="2115"/>
  <c r="D36" i="2115"/>
  <c r="R35" i="2115"/>
  <c r="L18" i="2115" s="1"/>
  <c r="D18" i="2115" s="1"/>
  <c r="H35" i="2115"/>
  <c r="G49" i="2115" s="1"/>
  <c r="D35" i="2115"/>
  <c r="R34" i="2115"/>
  <c r="H34" i="2115"/>
  <c r="D34" i="2115"/>
  <c r="R33" i="2115"/>
  <c r="R32" i="2115"/>
  <c r="L11" i="2115" s="1"/>
  <c r="D11" i="2115" s="1"/>
  <c r="R31" i="2115"/>
  <c r="R30" i="2115"/>
  <c r="R29" i="2115"/>
  <c r="R28" i="2115"/>
  <c r="L28" i="2115"/>
  <c r="D28" i="2115"/>
  <c r="R27" i="2115"/>
  <c r="L27" i="2115"/>
  <c r="D27" i="2115" s="1"/>
  <c r="R26" i="2115"/>
  <c r="L26" i="2115"/>
  <c r="D26" i="2115"/>
  <c r="R25" i="2115"/>
  <c r="L25" i="2115"/>
  <c r="D25" i="2115"/>
  <c r="R24" i="2115"/>
  <c r="L24" i="2115"/>
  <c r="D24" i="2115" s="1"/>
  <c r="R23" i="2115"/>
  <c r="L23" i="2115"/>
  <c r="D23" i="2115" s="1"/>
  <c r="R22" i="2115"/>
  <c r="L22" i="2115"/>
  <c r="D22" i="2115"/>
  <c r="R21" i="2115"/>
  <c r="L21" i="2115"/>
  <c r="D21" i="2115"/>
  <c r="R20" i="2115"/>
  <c r="L20" i="2115"/>
  <c r="D20" i="2115"/>
  <c r="R19" i="2115"/>
  <c r="L19" i="2115"/>
  <c r="D19" i="2115" s="1"/>
  <c r="R18" i="2115"/>
  <c r="R17" i="2115"/>
  <c r="L17" i="2115"/>
  <c r="D17" i="2115"/>
  <c r="R16" i="2115"/>
  <c r="R15" i="2115"/>
  <c r="R14" i="2115"/>
  <c r="D14" i="2115"/>
  <c r="R13" i="2115"/>
  <c r="D13" i="2115"/>
  <c r="R12" i="2115"/>
  <c r="L12" i="2115"/>
  <c r="D12" i="2115"/>
  <c r="R11" i="2115"/>
  <c r="L10" i="2115"/>
  <c r="D10" i="2115"/>
  <c r="L8" i="2115"/>
  <c r="D8" i="2115"/>
  <c r="L7" i="2115"/>
  <c r="D7" i="2115" s="1"/>
  <c r="R6" i="2115"/>
  <c r="L16" i="2115" s="1"/>
  <c r="D16" i="2115" s="1"/>
  <c r="L6" i="2115"/>
  <c r="D6" i="2115" s="1"/>
  <c r="R5" i="2115"/>
  <c r="R4" i="2115"/>
  <c r="L15" i="2115" s="1"/>
  <c r="D15" i="2115" s="1"/>
  <c r="R52" i="2114"/>
  <c r="R51" i="2114"/>
  <c r="D50" i="2114"/>
  <c r="R49" i="2114"/>
  <c r="D49" i="2114"/>
  <c r="R48" i="2114"/>
  <c r="D48" i="2114"/>
  <c r="D46" i="2114"/>
  <c r="D45" i="2114"/>
  <c r="R44" i="2114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L9" i="2114" s="1"/>
  <c r="D9" i="2114" s="1"/>
  <c r="H38" i="2114"/>
  <c r="D38" i="2114"/>
  <c r="R37" i="2114"/>
  <c r="H37" i="2114"/>
  <c r="D37" i="2114"/>
  <c r="R36" i="2114"/>
  <c r="L10" i="2114" s="1"/>
  <c r="D10" i="2114" s="1"/>
  <c r="H36" i="2114"/>
  <c r="D36" i="2114"/>
  <c r="R35" i="2114"/>
  <c r="H35" i="2114"/>
  <c r="G49" i="2114" s="1"/>
  <c r="D35" i="2114"/>
  <c r="R34" i="2114"/>
  <c r="H34" i="2114"/>
  <c r="D34" i="2114"/>
  <c r="D54" i="2114" s="1"/>
  <c r="H14" i="2114" s="1"/>
  <c r="R33" i="2114"/>
  <c r="L19" i="2114" s="1"/>
  <c r="D19" i="2114" s="1"/>
  <c r="R32" i="2114"/>
  <c r="R31" i="2114"/>
  <c r="R30" i="2114"/>
  <c r="R29" i="2114"/>
  <c r="R28" i="2114"/>
  <c r="L28" i="2114"/>
  <c r="D28" i="2114"/>
  <c r="R27" i="2114"/>
  <c r="L27" i="2114"/>
  <c r="D27" i="2114"/>
  <c r="R26" i="2114"/>
  <c r="L26" i="2114"/>
  <c r="D26" i="2114"/>
  <c r="R25" i="2114"/>
  <c r="L25" i="2114"/>
  <c r="D25" i="2114" s="1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17" i="2114" s="1"/>
  <c r="D17" i="2114" s="1"/>
  <c r="D21" i="2114"/>
  <c r="R20" i="2114"/>
  <c r="R19" i="2114"/>
  <c r="R18" i="2114"/>
  <c r="L18" i="2114"/>
  <c r="D18" i="2114" s="1"/>
  <c r="R17" i="2114"/>
  <c r="R16" i="2114"/>
  <c r="L16" i="2114"/>
  <c r="D16" i="2114"/>
  <c r="R15" i="2114"/>
  <c r="R14" i="2114"/>
  <c r="D14" i="2114"/>
  <c r="R13" i="2114"/>
  <c r="D13" i="2114"/>
  <c r="R12" i="2114"/>
  <c r="L12" i="2114"/>
  <c r="D12" i="2114"/>
  <c r="R11" i="2114"/>
  <c r="L11" i="2114"/>
  <c r="D11" i="2114"/>
  <c r="L7" i="2114"/>
  <c r="D7" i="2114" s="1"/>
  <c r="R6" i="2114"/>
  <c r="R5" i="2114"/>
  <c r="R4" i="2114"/>
  <c r="L15" i="2114" s="1"/>
  <c r="D15" i="2114" s="1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L10" i="2113" s="1"/>
  <c r="D10" i="2113" s="1"/>
  <c r="H36" i="2113"/>
  <c r="D36" i="2113"/>
  <c r="R35" i="2113"/>
  <c r="H35" i="2113"/>
  <c r="G49" i="2113" s="1"/>
  <c r="D35" i="2113"/>
  <c r="R34" i="2113"/>
  <c r="H34" i="2113"/>
  <c r="D34" i="2113"/>
  <c r="D54" i="2113" s="1"/>
  <c r="H14" i="2113" s="1"/>
  <c r="R33" i="2113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 s="1"/>
  <c r="R26" i="2113"/>
  <c r="L26" i="2113"/>
  <c r="D26" i="2113"/>
  <c r="R25" i="2113"/>
  <c r="L25" i="2113"/>
  <c r="D25" i="2113"/>
  <c r="R24" i="2113"/>
  <c r="L24" i="2113"/>
  <c r="D24" i="2113"/>
  <c r="R23" i="2113"/>
  <c r="L23" i="2113"/>
  <c r="D23" i="2113" s="1"/>
  <c r="R22" i="2113"/>
  <c r="L20" i="2113" s="1"/>
  <c r="D20" i="2113" s="1"/>
  <c r="L22" i="2113"/>
  <c r="D22" i="2113"/>
  <c r="R21" i="2113"/>
  <c r="L21" i="2113"/>
  <c r="D21" i="2113"/>
  <c r="R20" i="2113"/>
  <c r="R19" i="2113"/>
  <c r="L19" i="2113"/>
  <c r="D19" i="2113"/>
  <c r="R18" i="2113"/>
  <c r="L18" i="2113"/>
  <c r="D18" i="2113"/>
  <c r="R17" i="2113"/>
  <c r="L17" i="2113"/>
  <c r="D17" i="2113" s="1"/>
  <c r="R16" i="2113"/>
  <c r="R15" i="2113"/>
  <c r="L15" i="2113"/>
  <c r="D15" i="2113"/>
  <c r="R14" i="2113"/>
  <c r="D14" i="2113"/>
  <c r="R13" i="2113"/>
  <c r="D13" i="2113"/>
  <c r="R12" i="2113"/>
  <c r="L12" i="2113"/>
  <c r="D12" i="2113" s="1"/>
  <c r="R11" i="2113"/>
  <c r="L8" i="2113"/>
  <c r="D8" i="2113" s="1"/>
  <c r="L7" i="2113"/>
  <c r="D7" i="2113"/>
  <c r="R6" i="2113"/>
  <c r="L16" i="2113" s="1"/>
  <c r="D16" i="2113" s="1"/>
  <c r="L6" i="2113"/>
  <c r="D6" i="2113" s="1"/>
  <c r="R5" i="2113"/>
  <c r="R4" i="2113"/>
  <c r="R52" i="2112"/>
  <c r="R51" i="2112"/>
  <c r="D50" i="2112"/>
  <c r="R49" i="2112"/>
  <c r="G49" i="2112"/>
  <c r="D49" i="2112"/>
  <c r="R48" i="2112"/>
  <c r="D48" i="2112"/>
  <c r="D46" i="2112"/>
  <c r="D45" i="2112"/>
  <c r="D44" i="2112"/>
  <c r="R42" i="2112"/>
  <c r="D42" i="2112"/>
  <c r="R41" i="2112"/>
  <c r="L7" i="2112" s="1"/>
  <c r="D7" i="2112" s="1"/>
  <c r="D41" i="2112"/>
  <c r="R40" i="2112"/>
  <c r="L8" i="2112" s="1"/>
  <c r="D8" i="2112" s="1"/>
  <c r="D40" i="2112"/>
  <c r="R39" i="2112"/>
  <c r="D39" i="2112"/>
  <c r="R38" i="2112"/>
  <c r="L9" i="2112" s="1"/>
  <c r="D9" i="2112" s="1"/>
  <c r="D38" i="2112"/>
  <c r="D54" i="2112" s="1"/>
  <c r="H14" i="2112" s="1"/>
  <c r="R37" i="2112"/>
  <c r="D37" i="2112"/>
  <c r="R36" i="2112"/>
  <c r="L10" i="2112" s="1"/>
  <c r="D10" i="2112" s="1"/>
  <c r="D36" i="2112"/>
  <c r="R35" i="2112"/>
  <c r="D35" i="2112"/>
  <c r="R34" i="2112"/>
  <c r="L12" i="2112" s="1"/>
  <c r="D12" i="2112" s="1"/>
  <c r="D34" i="2112"/>
  <c r="R33" i="2112"/>
  <c r="L23" i="2112" s="1"/>
  <c r="D23" i="2112" s="1"/>
  <c r="R32" i="2112"/>
  <c r="R31" i="2112"/>
  <c r="R30" i="2112"/>
  <c r="R29" i="2112"/>
  <c r="R28" i="2112"/>
  <c r="L16" i="2112" s="1"/>
  <c r="D16" i="2112" s="1"/>
  <c r="D28" i="2112"/>
  <c r="R27" i="2112"/>
  <c r="D27" i="2112"/>
  <c r="R26" i="2112"/>
  <c r="L26" i="2112"/>
  <c r="D26" i="2112"/>
  <c r="R25" i="2112"/>
  <c r="L25" i="2112"/>
  <c r="D25" i="2112"/>
  <c r="R24" i="2112"/>
  <c r="D24" i="2112"/>
  <c r="R23" i="2112"/>
  <c r="R22" i="2112"/>
  <c r="L22" i="2112"/>
  <c r="D22" i="2112" s="1"/>
  <c r="R21" i="2112"/>
  <c r="D21" i="2112"/>
  <c r="R20" i="2112"/>
  <c r="L20" i="2112"/>
  <c r="D20" i="2112"/>
  <c r="R19" i="2112"/>
  <c r="L19" i="2112"/>
  <c r="D19" i="2112"/>
  <c r="R18" i="2112"/>
  <c r="D18" i="2112"/>
  <c r="R17" i="2112"/>
  <c r="D17" i="2112"/>
  <c r="R16" i="2112"/>
  <c r="S15" i="2112"/>
  <c r="R15" i="2112"/>
  <c r="D15" i="2112"/>
  <c r="S14" i="2112"/>
  <c r="R14" i="2112"/>
  <c r="D14" i="2112"/>
  <c r="R13" i="2112"/>
  <c r="D13" i="2112"/>
  <c r="R12" i="2112"/>
  <c r="R11" i="2112"/>
  <c r="L11" i="2112"/>
  <c r="D11" i="2112" s="1"/>
  <c r="R6" i="2112"/>
  <c r="L6" i="2112"/>
  <c r="D6" i="2112" s="1"/>
  <c r="R5" i="2112"/>
  <c r="R4" i="2112"/>
  <c r="R52" i="2111"/>
  <c r="R51" i="2111"/>
  <c r="D50" i="2111"/>
  <c r="R49" i="2111"/>
  <c r="D49" i="2111"/>
  <c r="R48" i="2111"/>
  <c r="D48" i="2111"/>
  <c r="D46" i="2111"/>
  <c r="D45" i="2111"/>
  <c r="R44" i="2111"/>
  <c r="L28" i="2111" s="1"/>
  <c r="D28" i="2111" s="1"/>
  <c r="D44" i="2111"/>
  <c r="R42" i="2111"/>
  <c r="D42" i="2111"/>
  <c r="R41" i="2111"/>
  <c r="D41" i="2111"/>
  <c r="R40" i="2111"/>
  <c r="L8" i="2111" s="1"/>
  <c r="D8" i="2111" s="1"/>
  <c r="D40" i="2111"/>
  <c r="R39" i="2111"/>
  <c r="H39" i="2111"/>
  <c r="D39" i="2111"/>
  <c r="R38" i="2111"/>
  <c r="L9" i="2111" s="1"/>
  <c r="D9" i="2111" s="1"/>
  <c r="H38" i="2111"/>
  <c r="D38" i="2111"/>
  <c r="R37" i="2111"/>
  <c r="H37" i="2111"/>
  <c r="D37" i="2111"/>
  <c r="R36" i="2111"/>
  <c r="L10" i="2111" s="1"/>
  <c r="D10" i="2111" s="1"/>
  <c r="H36" i="2111"/>
  <c r="D36" i="2111"/>
  <c r="R35" i="2111"/>
  <c r="H35" i="2111"/>
  <c r="D35" i="2111"/>
  <c r="R34" i="2111"/>
  <c r="H34" i="2111"/>
  <c r="G49" i="2111" s="1"/>
  <c r="D34" i="2111"/>
  <c r="D54" i="2111" s="1"/>
  <c r="H14" i="2111" s="1"/>
  <c r="R33" i="2111"/>
  <c r="R32" i="2111"/>
  <c r="L11" i="2111" s="1"/>
  <c r="D11" i="2111" s="1"/>
  <c r="R31" i="2111"/>
  <c r="R30" i="2111"/>
  <c r="R29" i="2111"/>
  <c r="R28" i="2111"/>
  <c r="R27" i="2111"/>
  <c r="L27" i="2111"/>
  <c r="D27" i="2111"/>
  <c r="R26" i="2111"/>
  <c r="L26" i="2111"/>
  <c r="D26" i="2111"/>
  <c r="R25" i="2111"/>
  <c r="L25" i="2111"/>
  <c r="D25" i="2111" s="1"/>
  <c r="R24" i="2111"/>
  <c r="L24" i="2111"/>
  <c r="D24" i="2111"/>
  <c r="R23" i="2111"/>
  <c r="L23" i="2111"/>
  <c r="D23" i="2111" s="1"/>
  <c r="R22" i="2111"/>
  <c r="L20" i="2111" s="1"/>
  <c r="D20" i="2111" s="1"/>
  <c r="L22" i="2111"/>
  <c r="D22" i="2111"/>
  <c r="R21" i="2111"/>
  <c r="L21" i="2111"/>
  <c r="D21" i="2111"/>
  <c r="R20" i="2111"/>
  <c r="R19" i="2111"/>
  <c r="L19" i="2111"/>
  <c r="D19" i="2111"/>
  <c r="R18" i="2111"/>
  <c r="L18" i="2111"/>
  <c r="D18" i="2111"/>
  <c r="R17" i="2111"/>
  <c r="L17" i="2111"/>
  <c r="D17" i="2111" s="1"/>
  <c r="R16" i="2111"/>
  <c r="R15" i="2111"/>
  <c r="L15" i="2111"/>
  <c r="D15" i="2111" s="1"/>
  <c r="R14" i="2111"/>
  <c r="D14" i="2111"/>
  <c r="R13" i="2111"/>
  <c r="D13" i="2111"/>
  <c r="R12" i="2111"/>
  <c r="L12" i="2111"/>
  <c r="D12" i="2111" s="1"/>
  <c r="R11" i="2111"/>
  <c r="L7" i="2111"/>
  <c r="D7" i="2111"/>
  <c r="R6" i="2111"/>
  <c r="L16" i="2111" s="1"/>
  <c r="D16" i="2111" s="1"/>
  <c r="L6" i="2111"/>
  <c r="D6" i="2111" s="1"/>
  <c r="R5" i="2111"/>
  <c r="R4" i="2111"/>
  <c r="R52" i="2110"/>
  <c r="R51" i="2110"/>
  <c r="D50" i="2110"/>
  <c r="R49" i="2110"/>
  <c r="G49" i="2110"/>
  <c r="D49" i="2110"/>
  <c r="R48" i="2110"/>
  <c r="D48" i="2110"/>
  <c r="D46" i="2110"/>
  <c r="D45" i="2110"/>
  <c r="R44" i="2110"/>
  <c r="D44" i="2110"/>
  <c r="R42" i="2110"/>
  <c r="L6" i="2110" s="1"/>
  <c r="D6" i="2110" s="1"/>
  <c r="D42" i="2110"/>
  <c r="R41" i="2110"/>
  <c r="D41" i="2110"/>
  <c r="R40" i="2110"/>
  <c r="L8" i="2110" s="1"/>
  <c r="D8" i="2110" s="1"/>
  <c r="D40" i="2110"/>
  <c r="R39" i="2110"/>
  <c r="H39" i="2110"/>
  <c r="D39" i="2110"/>
  <c r="R38" i="2110"/>
  <c r="H38" i="2110"/>
  <c r="D38" i="2110"/>
  <c r="R37" i="2110"/>
  <c r="H37" i="2110"/>
  <c r="D37" i="2110"/>
  <c r="R36" i="2110"/>
  <c r="H36" i="2110"/>
  <c r="D36" i="2110"/>
  <c r="R35" i="2110"/>
  <c r="H35" i="2110"/>
  <c r="D35" i="2110"/>
  <c r="R34" i="2110"/>
  <c r="L12" i="2110" s="1"/>
  <c r="D12" i="2110" s="1"/>
  <c r="H34" i="2110"/>
  <c r="D34" i="2110"/>
  <c r="D54" i="2110" s="1"/>
  <c r="H14" i="2110" s="1"/>
  <c r="R33" i="2110"/>
  <c r="L19" i="2110" s="1"/>
  <c r="D19" i="2110" s="1"/>
  <c r="R32" i="2110"/>
  <c r="L11" i="2110" s="1"/>
  <c r="D11" i="2110" s="1"/>
  <c r="R31" i="2110"/>
  <c r="R30" i="2110"/>
  <c r="R29" i="2110"/>
  <c r="R28" i="2110"/>
  <c r="L28" i="2110"/>
  <c r="D28" i="2110"/>
  <c r="R27" i="2110"/>
  <c r="L27" i="2110"/>
  <c r="D27" i="2110"/>
  <c r="R26" i="2110"/>
  <c r="L26" i="2110"/>
  <c r="D26" i="2110"/>
  <c r="R25" i="2110"/>
  <c r="L25" i="2110"/>
  <c r="D25" i="2110" s="1"/>
  <c r="R24" i="2110"/>
  <c r="L24" i="2110"/>
  <c r="D24" i="2110"/>
  <c r="R23" i="2110"/>
  <c r="L23" i="2110"/>
  <c r="D23" i="2110"/>
  <c r="R22" i="2110"/>
  <c r="L22" i="2110"/>
  <c r="D22" i="2110"/>
  <c r="R21" i="2110"/>
  <c r="L17" i="2110" s="1"/>
  <c r="D17" i="2110" s="1"/>
  <c r="D21" i="2110"/>
  <c r="R20" i="2110"/>
  <c r="L20" i="2110"/>
  <c r="D20" i="2110"/>
  <c r="R19" i="2110"/>
  <c r="R18" i="2110"/>
  <c r="L18" i="2110"/>
  <c r="D18" i="2110"/>
  <c r="R17" i="2110"/>
  <c r="R16" i="2110"/>
  <c r="L16" i="2110"/>
  <c r="D16" i="2110"/>
  <c r="R15" i="2110"/>
  <c r="L15" i="2110"/>
  <c r="D15" i="2110"/>
  <c r="R14" i="2110"/>
  <c r="D14" i="2110"/>
  <c r="R13" i="2110"/>
  <c r="D13" i="2110"/>
  <c r="R12" i="2110"/>
  <c r="R11" i="2110"/>
  <c r="L10" i="2110"/>
  <c r="D10" i="2110"/>
  <c r="L9" i="2110"/>
  <c r="D9" i="2110"/>
  <c r="L7" i="2110"/>
  <c r="D7" i="2110"/>
  <c r="R6" i="2110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D44" i="2109"/>
  <c r="R42" i="2109"/>
  <c r="L6" i="2109" s="1"/>
  <c r="D6" i="2109" s="1"/>
  <c r="D42" i="2109"/>
  <c r="R41" i="2109"/>
  <c r="L7" i="2109" s="1"/>
  <c r="D7" i="2109" s="1"/>
  <c r="D41" i="2109"/>
  <c r="R40" i="2109"/>
  <c r="L8" i="2109" s="1"/>
  <c r="D8" i="2109" s="1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L18" i="2109" s="1"/>
  <c r="D18" i="2109" s="1"/>
  <c r="H35" i="2109"/>
  <c r="D35" i="2109"/>
  <c r="D54" i="2109" s="1"/>
  <c r="H14" i="2109" s="1"/>
  <c r="R34" i="2109"/>
  <c r="H34" i="2109"/>
  <c r="G49" i="2109" s="1"/>
  <c r="D34" i="2109"/>
  <c r="R33" i="2109"/>
  <c r="R32" i="2109"/>
  <c r="R31" i="2109"/>
  <c r="R30" i="2109"/>
  <c r="R29" i="2109"/>
  <c r="R28" i="2109"/>
  <c r="L28" i="2109"/>
  <c r="D28" i="2109"/>
  <c r="R27" i="2109"/>
  <c r="L27" i="2109"/>
  <c r="D27" i="2109"/>
  <c r="R26" i="2109"/>
  <c r="L26" i="2109"/>
  <c r="D26" i="2109"/>
  <c r="R25" i="2109"/>
  <c r="L25" i="2109"/>
  <c r="D25" i="2109"/>
  <c r="R24" i="2109"/>
  <c r="L24" i="2109"/>
  <c r="D24" i="2109"/>
  <c r="R23" i="2109"/>
  <c r="L23" i="2109"/>
  <c r="D23" i="2109"/>
  <c r="R22" i="2109"/>
  <c r="L20" i="2109" s="1"/>
  <c r="D20" i="2109" s="1"/>
  <c r="L22" i="2109"/>
  <c r="D22" i="2109"/>
  <c r="R21" i="2109"/>
  <c r="L17" i="2109" s="1"/>
  <c r="D17" i="2109" s="1"/>
  <c r="L21" i="2109"/>
  <c r="D21" i="2109" s="1"/>
  <c r="R20" i="2109"/>
  <c r="R19" i="2109"/>
  <c r="L19" i="2109"/>
  <c r="D19" i="2109"/>
  <c r="R18" i="2109"/>
  <c r="R17" i="2109"/>
  <c r="R16" i="2109"/>
  <c r="L16" i="2109"/>
  <c r="D16" i="2109" s="1"/>
  <c r="R15" i="2109"/>
  <c r="R14" i="2109"/>
  <c r="D14" i="2109"/>
  <c r="R13" i="2109"/>
  <c r="D13" i="2109"/>
  <c r="R12" i="2109"/>
  <c r="L12" i="2109"/>
  <c r="D12" i="2109"/>
  <c r="R11" i="2109"/>
  <c r="L11" i="2109"/>
  <c r="D11" i="2109" s="1"/>
  <c r="L9" i="2109"/>
  <c r="D9" i="2109" s="1"/>
  <c r="R6" i="2109"/>
  <c r="R5" i="2109"/>
  <c r="R4" i="2109"/>
  <c r="L15" i="2109" s="1"/>
  <c r="D15" i="2109" s="1"/>
  <c r="R52" i="2108"/>
  <c r="R51" i="2108"/>
  <c r="D50" i="2108"/>
  <c r="R49" i="2108"/>
  <c r="G49" i="2108"/>
  <c r="D49" i="2108"/>
  <c r="D54" i="2108" s="1"/>
  <c r="H14" i="2108" s="1"/>
  <c r="R48" i="2108"/>
  <c r="D48" i="2108"/>
  <c r="D46" i="2108"/>
  <c r="D45" i="2108"/>
  <c r="D44" i="2108"/>
  <c r="R42" i="2108"/>
  <c r="D42" i="2108"/>
  <c r="R41" i="2108"/>
  <c r="L7" i="2108" s="1"/>
  <c r="D7" i="2108" s="1"/>
  <c r="D41" i="2108"/>
  <c r="R40" i="2108"/>
  <c r="L8" i="2108" s="1"/>
  <c r="D8" i="2108" s="1"/>
  <c r="D40" i="2108"/>
  <c r="R39" i="2108"/>
  <c r="D39" i="2108"/>
  <c r="R38" i="2108"/>
  <c r="D38" i="2108"/>
  <c r="R37" i="2108"/>
  <c r="D37" i="2108"/>
  <c r="R36" i="2108"/>
  <c r="D36" i="2108"/>
  <c r="R35" i="2108"/>
  <c r="D35" i="2108"/>
  <c r="R34" i="2108"/>
  <c r="D34" i="2108"/>
  <c r="R33" i="2108"/>
  <c r="R32" i="2108"/>
  <c r="L11" i="2108" s="1"/>
  <c r="D11" i="2108" s="1"/>
  <c r="R31" i="2108"/>
  <c r="R30" i="2108"/>
  <c r="R29" i="2108"/>
  <c r="R28" i="2108"/>
  <c r="D28" i="2108"/>
  <c r="R27" i="2108"/>
  <c r="D27" i="2108"/>
  <c r="R26" i="2108"/>
  <c r="L26" i="2108"/>
  <c r="D26" i="2108"/>
  <c r="R25" i="2108"/>
  <c r="L25" i="2108"/>
  <c r="D25" i="2108"/>
  <c r="R24" i="2108"/>
  <c r="D24" i="2108"/>
  <c r="R23" i="2108"/>
  <c r="L23" i="2108"/>
  <c r="D23" i="2108" s="1"/>
  <c r="R22" i="2108"/>
  <c r="L22" i="2108"/>
  <c r="D22" i="2108"/>
  <c r="R21" i="2108"/>
  <c r="D21" i="2108"/>
  <c r="R20" i="2108"/>
  <c r="L20" i="2108"/>
  <c r="D20" i="2108"/>
  <c r="R19" i="2108"/>
  <c r="L19" i="2108"/>
  <c r="D19" i="2108"/>
  <c r="R18" i="2108"/>
  <c r="D18" i="2108"/>
  <c r="R17" i="2108"/>
  <c r="D17" i="2108"/>
  <c r="R16" i="2108"/>
  <c r="L16" i="2108"/>
  <c r="D16" i="2108" s="1"/>
  <c r="S15" i="2108"/>
  <c r="R15" i="2108"/>
  <c r="D15" i="2108"/>
  <c r="S14" i="2108"/>
  <c r="R14" i="2108"/>
  <c r="D14" i="2108"/>
  <c r="R13" i="2108"/>
  <c r="D13" i="2108"/>
  <c r="R12" i="2108"/>
  <c r="L12" i="2108"/>
  <c r="D12" i="2108" s="1"/>
  <c r="R11" i="2108"/>
  <c r="L10" i="2108"/>
  <c r="D10" i="2108" s="1"/>
  <c r="L9" i="2108"/>
  <c r="D9" i="2108"/>
  <c r="R6" i="2108"/>
  <c r="L6" i="2108"/>
  <c r="D6" i="2108"/>
  <c r="D29" i="2108" s="1"/>
  <c r="H13" i="2108" s="1"/>
  <c r="R5" i="2108"/>
  <c r="R4" i="2108"/>
  <c r="D29" i="2127" l="1"/>
  <c r="H13" i="2127" s="1"/>
  <c r="H15" i="2127" s="1"/>
  <c r="H29" i="2127" s="1"/>
  <c r="G51" i="2127"/>
  <c r="G51" i="2126"/>
  <c r="D29" i="2125"/>
  <c r="H13" i="2125" s="1"/>
  <c r="H15" i="2125" s="1"/>
  <c r="H29" i="2125" s="1"/>
  <c r="G51" i="2125" s="1"/>
  <c r="D29" i="2124"/>
  <c r="H13" i="2124" s="1"/>
  <c r="H15" i="2124" s="1"/>
  <c r="H29" i="2124" s="1"/>
  <c r="G51" i="2124"/>
  <c r="G51" i="2123"/>
  <c r="D29" i="2123"/>
  <c r="H13" i="2123" s="1"/>
  <c r="H15" i="2123" s="1"/>
  <c r="H29" i="2123" s="1"/>
  <c r="D29" i="2122"/>
  <c r="H13" i="2122" s="1"/>
  <c r="H15" i="2122" s="1"/>
  <c r="H29" i="2122" s="1"/>
  <c r="G51" i="2122" s="1"/>
  <c r="D29" i="2121"/>
  <c r="H13" i="2121" s="1"/>
  <c r="H15" i="2121" s="1"/>
  <c r="H29" i="2121" s="1"/>
  <c r="G51" i="2121" s="1"/>
  <c r="D29" i="2120"/>
  <c r="H13" i="2120" s="1"/>
  <c r="H15" i="2120" s="1"/>
  <c r="H29" i="2120" s="1"/>
  <c r="G51" i="2120" s="1"/>
  <c r="D29" i="2119"/>
  <c r="H13" i="2119" s="1"/>
  <c r="H15" i="2119" s="1"/>
  <c r="H29" i="2119" s="1"/>
  <c r="G51" i="2119"/>
  <c r="D29" i="2118"/>
  <c r="H13" i="2118" s="1"/>
  <c r="H15" i="2118" s="1"/>
  <c r="H29" i="2118" s="1"/>
  <c r="G51" i="2118" s="1"/>
  <c r="D29" i="2117"/>
  <c r="H13" i="2117" s="1"/>
  <c r="H15" i="2117" s="1"/>
  <c r="H29" i="2117" s="1"/>
  <c r="G51" i="2117" s="1"/>
  <c r="D29" i="2116"/>
  <c r="H13" i="2116" s="1"/>
  <c r="H15" i="2116" s="1"/>
  <c r="H29" i="2116" s="1"/>
  <c r="G51" i="2116" s="1"/>
  <c r="G51" i="2115"/>
  <c r="D29" i="2115"/>
  <c r="H13" i="2115" s="1"/>
  <c r="H15" i="2115" s="1"/>
  <c r="H29" i="2115" s="1"/>
  <c r="G51" i="2114"/>
  <c r="D29" i="2114"/>
  <c r="H13" i="2114" s="1"/>
  <c r="H15" i="2114" s="1"/>
  <c r="H29" i="2114" s="1"/>
  <c r="D29" i="2113"/>
  <c r="H13" i="2113" s="1"/>
  <c r="H15" i="2113" s="1"/>
  <c r="H29" i="2113" s="1"/>
  <c r="G51" i="2113" s="1"/>
  <c r="D29" i="2112"/>
  <c r="H13" i="2112" s="1"/>
  <c r="H15" i="2112" s="1"/>
  <c r="H29" i="2112" s="1"/>
  <c r="G51" i="2112"/>
  <c r="D29" i="2111"/>
  <c r="H13" i="2111" s="1"/>
  <c r="H15" i="2111" s="1"/>
  <c r="H29" i="2111" s="1"/>
  <c r="G51" i="2111"/>
  <c r="D29" i="2110"/>
  <c r="H13" i="2110" s="1"/>
  <c r="H15" i="2110" s="1"/>
  <c r="H29" i="2110" s="1"/>
  <c r="G51" i="2110" s="1"/>
  <c r="D29" i="2109"/>
  <c r="H13" i="2109" s="1"/>
  <c r="H15" i="2109" s="1"/>
  <c r="H29" i="2109" s="1"/>
  <c r="G51" i="2109" s="1"/>
  <c r="H15" i="2108"/>
  <c r="H29" i="2108" s="1"/>
  <c r="G51" i="2108" s="1"/>
  <c r="G42" i="2095"/>
  <c r="G35" i="2095"/>
  <c r="G34" i="2095"/>
  <c r="H29" i="2095"/>
  <c r="H16" i="2101" l="1"/>
  <c r="H16" i="2100"/>
  <c r="R52" i="2107"/>
  <c r="R51" i="2107"/>
  <c r="D50" i="2107"/>
  <c r="R49" i="2107"/>
  <c r="D49" i="2107"/>
  <c r="R48" i="2107"/>
  <c r="D48" i="2107"/>
  <c r="D46" i="2107"/>
  <c r="D45" i="2107"/>
  <c r="R44" i="2107"/>
  <c r="D44" i="2107"/>
  <c r="R42" i="2107"/>
  <c r="D42" i="2107"/>
  <c r="R41" i="2107"/>
  <c r="D41" i="2107"/>
  <c r="R40" i="2107"/>
  <c r="D40" i="2107"/>
  <c r="R39" i="2107"/>
  <c r="H39" i="2107"/>
  <c r="D39" i="2107"/>
  <c r="R38" i="2107"/>
  <c r="L9" i="2107" s="1"/>
  <c r="D9" i="2107" s="1"/>
  <c r="H38" i="2107"/>
  <c r="D38" i="2107"/>
  <c r="R37" i="2107"/>
  <c r="H37" i="2107"/>
  <c r="D37" i="2107"/>
  <c r="R36" i="2107"/>
  <c r="H36" i="2107"/>
  <c r="D36" i="2107"/>
  <c r="R35" i="2107"/>
  <c r="H35" i="2107"/>
  <c r="D35" i="2107"/>
  <c r="R34" i="2107"/>
  <c r="L12" i="2107" s="1"/>
  <c r="D12" i="2107" s="1"/>
  <c r="H34" i="2107"/>
  <c r="D34" i="2107"/>
  <c r="R33" i="2107"/>
  <c r="R32" i="2107"/>
  <c r="R31" i="2107"/>
  <c r="R30" i="2107"/>
  <c r="R29" i="2107"/>
  <c r="R28" i="2107"/>
  <c r="L28" i="2107"/>
  <c r="D28" i="2107"/>
  <c r="R27" i="2107"/>
  <c r="L27" i="2107"/>
  <c r="D27" i="2107"/>
  <c r="R26" i="2107"/>
  <c r="L26" i="2107"/>
  <c r="D26" i="2107" s="1"/>
  <c r="R25" i="2107"/>
  <c r="L25" i="2107"/>
  <c r="D25" i="2107"/>
  <c r="R24" i="2107"/>
  <c r="L24" i="2107"/>
  <c r="D24" i="2107"/>
  <c r="R23" i="2107"/>
  <c r="L23" i="2107"/>
  <c r="D23" i="2107"/>
  <c r="R22" i="2107"/>
  <c r="L22" i="2107"/>
  <c r="D22" i="2107" s="1"/>
  <c r="R21" i="2107"/>
  <c r="L21" i="2107"/>
  <c r="D21" i="2107"/>
  <c r="R20" i="2107"/>
  <c r="L20" i="2107"/>
  <c r="D20" i="2107"/>
  <c r="R19" i="2107"/>
  <c r="L19" i="2107"/>
  <c r="D19" i="2107"/>
  <c r="R18" i="2107"/>
  <c r="L18" i="2107"/>
  <c r="D18" i="2107"/>
  <c r="R17" i="2107"/>
  <c r="L17" i="2107"/>
  <c r="D17" i="2107"/>
  <c r="R16" i="2107"/>
  <c r="L16" i="2107"/>
  <c r="D16" i="2107" s="1"/>
  <c r="R15" i="2107"/>
  <c r="R14" i="2107"/>
  <c r="D14" i="2107"/>
  <c r="R13" i="2107"/>
  <c r="D13" i="2107"/>
  <c r="R12" i="2107"/>
  <c r="R11" i="2107"/>
  <c r="L11" i="2107"/>
  <c r="D11" i="2107" s="1"/>
  <c r="L10" i="2107"/>
  <c r="D10" i="2107"/>
  <c r="L8" i="2107"/>
  <c r="D8" i="2107"/>
  <c r="L7" i="2107"/>
  <c r="D7" i="2107" s="1"/>
  <c r="R6" i="2107"/>
  <c r="L6" i="2107"/>
  <c r="D6" i="2107" s="1"/>
  <c r="R5" i="2107"/>
  <c r="R4" i="2107"/>
  <c r="L15" i="2107" s="1"/>
  <c r="D15" i="2107" s="1"/>
  <c r="H16" i="2095"/>
  <c r="L22" i="2092"/>
  <c r="H16" i="2093"/>
  <c r="C19" i="2092"/>
  <c r="C7" i="2092"/>
  <c r="C18" i="2092"/>
  <c r="C16" i="2092"/>
  <c r="C22" i="2092"/>
  <c r="L21" i="2091"/>
  <c r="C12" i="2091"/>
  <c r="C16" i="2091"/>
  <c r="C15" i="2091"/>
  <c r="G49" i="2107" l="1"/>
  <c r="D54" i="2107"/>
  <c r="H14" i="2107" s="1"/>
  <c r="D29" i="2107"/>
  <c r="H13" i="2107" s="1"/>
  <c r="H15" i="2107" s="1"/>
  <c r="H29" i="2107" s="1"/>
  <c r="C12" i="2089"/>
  <c r="C16" i="2089"/>
  <c r="C16" i="2087"/>
  <c r="G51" i="2107" l="1"/>
  <c r="H16" i="2085"/>
  <c r="C15" i="2085" l="1"/>
  <c r="C37" i="2085"/>
  <c r="C12" i="2085"/>
  <c r="R52" i="2106" l="1"/>
  <c r="R51" i="2106"/>
  <c r="D50" i="2106"/>
  <c r="R49" i="2106"/>
  <c r="D49" i="2106"/>
  <c r="R48" i="2106"/>
  <c r="D48" i="2106"/>
  <c r="D46" i="2106"/>
  <c r="D45" i="2106"/>
  <c r="R44" i="2106"/>
  <c r="L28" i="2106" s="1"/>
  <c r="D28" i="2106" s="1"/>
  <c r="D44" i="2106"/>
  <c r="R42" i="2106"/>
  <c r="L6" i="2106" s="1"/>
  <c r="D6" i="2106" s="1"/>
  <c r="D42" i="2106"/>
  <c r="R41" i="2106"/>
  <c r="L7" i="2106" s="1"/>
  <c r="D7" i="2106" s="1"/>
  <c r="D41" i="2106"/>
  <c r="R40" i="2106"/>
  <c r="L8" i="2106" s="1"/>
  <c r="D8" i="2106" s="1"/>
  <c r="D40" i="2106"/>
  <c r="R39" i="2106"/>
  <c r="H39" i="2106"/>
  <c r="D39" i="2106"/>
  <c r="R38" i="2106"/>
  <c r="H38" i="2106"/>
  <c r="D38" i="2106"/>
  <c r="R37" i="2106"/>
  <c r="H37" i="2106"/>
  <c r="D37" i="2106"/>
  <c r="R36" i="2106"/>
  <c r="H36" i="2106"/>
  <c r="D36" i="2106"/>
  <c r="R35" i="2106"/>
  <c r="L18" i="2106" s="1"/>
  <c r="D18" i="2106" s="1"/>
  <c r="H35" i="2106"/>
  <c r="D35" i="2106"/>
  <c r="R34" i="2106"/>
  <c r="L12" i="2106" s="1"/>
  <c r="D12" i="2106" s="1"/>
  <c r="H34" i="2106"/>
  <c r="D34" i="2106"/>
  <c r="R33" i="2106"/>
  <c r="L19" i="2106" s="1"/>
  <c r="D19" i="2106" s="1"/>
  <c r="R32" i="2106"/>
  <c r="R31" i="2106"/>
  <c r="R30" i="2106"/>
  <c r="R29" i="2106"/>
  <c r="R28" i="2106"/>
  <c r="R27" i="2106"/>
  <c r="L27" i="2106"/>
  <c r="D27" i="2106"/>
  <c r="R26" i="2106"/>
  <c r="L26" i="2106"/>
  <c r="D26" i="2106" s="1"/>
  <c r="R25" i="2106"/>
  <c r="L25" i="2106"/>
  <c r="D25" i="2106" s="1"/>
  <c r="R24" i="2106"/>
  <c r="L24" i="2106"/>
  <c r="D24" i="2106"/>
  <c r="R23" i="2106"/>
  <c r="L23" i="2106"/>
  <c r="D23" i="2106"/>
  <c r="R22" i="2106"/>
  <c r="L20" i="2106" s="1"/>
  <c r="D20" i="2106" s="1"/>
  <c r="L22" i="2106"/>
  <c r="D22" i="2106"/>
  <c r="R21" i="2106"/>
  <c r="L17" i="2106" s="1"/>
  <c r="D17" i="2106" s="1"/>
  <c r="L21" i="2106"/>
  <c r="D21" i="2106"/>
  <c r="R20" i="2106"/>
  <c r="R19" i="2106"/>
  <c r="R18" i="2106"/>
  <c r="R17" i="2106"/>
  <c r="R16" i="2106"/>
  <c r="R15" i="2106"/>
  <c r="R14" i="2106"/>
  <c r="D14" i="2106"/>
  <c r="R13" i="2106"/>
  <c r="D13" i="2106"/>
  <c r="R12" i="2106"/>
  <c r="R11" i="2106"/>
  <c r="L11" i="2106"/>
  <c r="D11" i="2106"/>
  <c r="L10" i="2106"/>
  <c r="D10" i="2106" s="1"/>
  <c r="L9" i="2106"/>
  <c r="D9" i="2106"/>
  <c r="R6" i="2106"/>
  <c r="L16" i="2106" s="1"/>
  <c r="D16" i="2106" s="1"/>
  <c r="R5" i="2106"/>
  <c r="R4" i="2106"/>
  <c r="L15" i="2106" s="1"/>
  <c r="D15" i="2106" s="1"/>
  <c r="G49" i="2106" l="1"/>
  <c r="D54" i="2106"/>
  <c r="H14" i="2106" s="1"/>
  <c r="D29" i="2106"/>
  <c r="H13" i="2106" s="1"/>
  <c r="R52" i="2105"/>
  <c r="R51" i="2105"/>
  <c r="D50" i="2105"/>
  <c r="R49" i="2105"/>
  <c r="D49" i="2105"/>
  <c r="R48" i="2105"/>
  <c r="D48" i="2105"/>
  <c r="D46" i="2105"/>
  <c r="D45" i="2105"/>
  <c r="R44" i="2105"/>
  <c r="L28" i="2105" s="1"/>
  <c r="D28" i="2105" s="1"/>
  <c r="D44" i="2105"/>
  <c r="R42" i="2105"/>
  <c r="L6" i="2105" s="1"/>
  <c r="D6" i="2105" s="1"/>
  <c r="D42" i="2105"/>
  <c r="R41" i="2105"/>
  <c r="L7" i="2105" s="1"/>
  <c r="D7" i="2105" s="1"/>
  <c r="D41" i="2105"/>
  <c r="R40" i="2105"/>
  <c r="L8" i="2105" s="1"/>
  <c r="D8" i="2105" s="1"/>
  <c r="D40" i="2105"/>
  <c r="R39" i="2105"/>
  <c r="H39" i="2105"/>
  <c r="D39" i="2105"/>
  <c r="R38" i="2105"/>
  <c r="L9" i="2105" s="1"/>
  <c r="D9" i="2105" s="1"/>
  <c r="H38" i="2105"/>
  <c r="D38" i="2105"/>
  <c r="R37" i="2105"/>
  <c r="H37" i="2105"/>
  <c r="D37" i="2105"/>
  <c r="R36" i="2105"/>
  <c r="L10" i="2105" s="1"/>
  <c r="D10" i="2105" s="1"/>
  <c r="H36" i="2105"/>
  <c r="D36" i="2105"/>
  <c r="R35" i="2105"/>
  <c r="L18" i="2105" s="1"/>
  <c r="D18" i="2105" s="1"/>
  <c r="H35" i="2105"/>
  <c r="D35" i="2105"/>
  <c r="R34" i="2105"/>
  <c r="L12" i="2105" s="1"/>
  <c r="D12" i="2105" s="1"/>
  <c r="H34" i="2105"/>
  <c r="D34" i="2105"/>
  <c r="R33" i="2105"/>
  <c r="L19" i="2105" s="1"/>
  <c r="D19" i="2105" s="1"/>
  <c r="R32" i="2105"/>
  <c r="R31" i="2105"/>
  <c r="R30" i="2105"/>
  <c r="R29" i="2105"/>
  <c r="R28" i="2105"/>
  <c r="R27" i="2105"/>
  <c r="L27" i="2105"/>
  <c r="D27" i="2105" s="1"/>
  <c r="R26" i="2105"/>
  <c r="L26" i="2105"/>
  <c r="D26" i="2105"/>
  <c r="R25" i="2105"/>
  <c r="L25" i="2105"/>
  <c r="D25" i="2105"/>
  <c r="R24" i="2105"/>
  <c r="L24" i="2105"/>
  <c r="D24" i="2105" s="1"/>
  <c r="R23" i="2105"/>
  <c r="L23" i="2105"/>
  <c r="D23" i="2105" s="1"/>
  <c r="R22" i="2105"/>
  <c r="L20" i="2105" s="1"/>
  <c r="D20" i="2105" s="1"/>
  <c r="L22" i="2105"/>
  <c r="D22" i="2105" s="1"/>
  <c r="R21" i="2105"/>
  <c r="L17" i="2105" s="1"/>
  <c r="D17" i="2105" s="1"/>
  <c r="L21" i="2105"/>
  <c r="D21" i="2105"/>
  <c r="R20" i="2105"/>
  <c r="R19" i="2105"/>
  <c r="R18" i="2105"/>
  <c r="R17" i="2105"/>
  <c r="R16" i="2105"/>
  <c r="R15" i="2105"/>
  <c r="L15" i="2105"/>
  <c r="D15" i="2105" s="1"/>
  <c r="R14" i="2105"/>
  <c r="D14" i="2105"/>
  <c r="R13" i="2105"/>
  <c r="D13" i="2105"/>
  <c r="R12" i="2105"/>
  <c r="R11" i="2105"/>
  <c r="L11" i="2105"/>
  <c r="D11" i="2105"/>
  <c r="R6" i="2105"/>
  <c r="L16" i="2105" s="1"/>
  <c r="D16" i="2105" s="1"/>
  <c r="R5" i="2105"/>
  <c r="R4" i="2105"/>
  <c r="R52" i="2104"/>
  <c r="R51" i="2104"/>
  <c r="D50" i="2104"/>
  <c r="R49" i="2104"/>
  <c r="D49" i="2104"/>
  <c r="R48" i="2104"/>
  <c r="D48" i="2104"/>
  <c r="D46" i="2104"/>
  <c r="D45" i="2104"/>
  <c r="R44" i="2104"/>
  <c r="L28" i="2104" s="1"/>
  <c r="D28" i="2104" s="1"/>
  <c r="D44" i="2104"/>
  <c r="R42" i="2104"/>
  <c r="L6" i="2104" s="1"/>
  <c r="D6" i="2104" s="1"/>
  <c r="D42" i="2104"/>
  <c r="R41" i="2104"/>
  <c r="D41" i="2104"/>
  <c r="R40" i="2104"/>
  <c r="L8" i="2104" s="1"/>
  <c r="D8" i="2104" s="1"/>
  <c r="D40" i="2104"/>
  <c r="R39" i="2104"/>
  <c r="H39" i="2104"/>
  <c r="D39" i="2104"/>
  <c r="R38" i="2104"/>
  <c r="L9" i="2104" s="1"/>
  <c r="D9" i="2104" s="1"/>
  <c r="H38" i="2104"/>
  <c r="D38" i="2104"/>
  <c r="R37" i="2104"/>
  <c r="H37" i="2104"/>
  <c r="D37" i="2104"/>
  <c r="R36" i="2104"/>
  <c r="L10" i="2104" s="1"/>
  <c r="D10" i="2104" s="1"/>
  <c r="H36" i="2104"/>
  <c r="D36" i="2104"/>
  <c r="R35" i="2104"/>
  <c r="L18" i="2104" s="1"/>
  <c r="D18" i="2104" s="1"/>
  <c r="H35" i="2104"/>
  <c r="D35" i="2104"/>
  <c r="R34" i="2104"/>
  <c r="L12" i="2104" s="1"/>
  <c r="D12" i="2104" s="1"/>
  <c r="H34" i="2104"/>
  <c r="D34" i="2104"/>
  <c r="R33" i="2104"/>
  <c r="L19" i="2104" s="1"/>
  <c r="D19" i="2104" s="1"/>
  <c r="R32" i="2104"/>
  <c r="R31" i="2104"/>
  <c r="R30" i="2104"/>
  <c r="R29" i="2104"/>
  <c r="R28" i="2104"/>
  <c r="R27" i="2104"/>
  <c r="L27" i="2104"/>
  <c r="D27" i="2104" s="1"/>
  <c r="R26" i="2104"/>
  <c r="L26" i="2104"/>
  <c r="D26" i="2104" s="1"/>
  <c r="R25" i="2104"/>
  <c r="L25" i="2104"/>
  <c r="D25" i="2104" s="1"/>
  <c r="R24" i="2104"/>
  <c r="L24" i="2104"/>
  <c r="D24" i="2104" s="1"/>
  <c r="R23" i="2104"/>
  <c r="L23" i="2104"/>
  <c r="D23" i="2104" s="1"/>
  <c r="R22" i="2104"/>
  <c r="L20" i="2104" s="1"/>
  <c r="D20" i="2104" s="1"/>
  <c r="L22" i="2104"/>
  <c r="D22" i="2104" s="1"/>
  <c r="R21" i="2104"/>
  <c r="L17" i="2104" s="1"/>
  <c r="D17" i="2104" s="1"/>
  <c r="D21" i="2104"/>
  <c r="R20" i="2104"/>
  <c r="R19" i="2104"/>
  <c r="R18" i="2104"/>
  <c r="R17" i="2104"/>
  <c r="R16" i="2104"/>
  <c r="R15" i="2104"/>
  <c r="R14" i="2104"/>
  <c r="D14" i="2104"/>
  <c r="R13" i="2104"/>
  <c r="D13" i="2104"/>
  <c r="R12" i="2104"/>
  <c r="R11" i="2104"/>
  <c r="L11" i="2104"/>
  <c r="D11" i="2104" s="1"/>
  <c r="L7" i="2104"/>
  <c r="D7" i="2104"/>
  <c r="R6" i="2104"/>
  <c r="L16" i="2104" s="1"/>
  <c r="D16" i="2104" s="1"/>
  <c r="R5" i="2104"/>
  <c r="R4" i="2104"/>
  <c r="L15" i="2104" s="1"/>
  <c r="D15" i="2104" s="1"/>
  <c r="R52" i="2103"/>
  <c r="R51" i="2103"/>
  <c r="D50" i="2103"/>
  <c r="R49" i="2103"/>
  <c r="D49" i="2103"/>
  <c r="R48" i="2103"/>
  <c r="D48" i="2103"/>
  <c r="D46" i="2103"/>
  <c r="D45" i="2103"/>
  <c r="R44" i="2103"/>
  <c r="L28" i="2103" s="1"/>
  <c r="D28" i="2103" s="1"/>
  <c r="D44" i="2103"/>
  <c r="R42" i="2103"/>
  <c r="L6" i="2103" s="1"/>
  <c r="D6" i="2103" s="1"/>
  <c r="D42" i="2103"/>
  <c r="R41" i="2103"/>
  <c r="D41" i="2103"/>
  <c r="R40" i="2103"/>
  <c r="L8" i="2103" s="1"/>
  <c r="D8" i="2103" s="1"/>
  <c r="D40" i="2103"/>
  <c r="R39" i="2103"/>
  <c r="H39" i="2103"/>
  <c r="D39" i="2103"/>
  <c r="R38" i="2103"/>
  <c r="L9" i="2103" s="1"/>
  <c r="D9" i="2103" s="1"/>
  <c r="H38" i="2103"/>
  <c r="D38" i="2103"/>
  <c r="R37" i="2103"/>
  <c r="H37" i="2103"/>
  <c r="D37" i="2103"/>
  <c r="R36" i="2103"/>
  <c r="L10" i="2103" s="1"/>
  <c r="D10" i="2103" s="1"/>
  <c r="H36" i="2103"/>
  <c r="D36" i="2103"/>
  <c r="R35" i="2103"/>
  <c r="L18" i="2103" s="1"/>
  <c r="D18" i="2103" s="1"/>
  <c r="H35" i="2103"/>
  <c r="D35" i="2103"/>
  <c r="R34" i="2103"/>
  <c r="L12" i="2103" s="1"/>
  <c r="D12" i="2103" s="1"/>
  <c r="H34" i="2103"/>
  <c r="D34" i="2103"/>
  <c r="R33" i="2103"/>
  <c r="L19" i="2103" s="1"/>
  <c r="D19" i="2103" s="1"/>
  <c r="R32" i="2103"/>
  <c r="R31" i="2103"/>
  <c r="R30" i="2103"/>
  <c r="R29" i="2103"/>
  <c r="R28" i="2103"/>
  <c r="R27" i="2103"/>
  <c r="L27" i="2103"/>
  <c r="D27" i="2103"/>
  <c r="R26" i="2103"/>
  <c r="L26" i="2103"/>
  <c r="D26" i="2103"/>
  <c r="R25" i="2103"/>
  <c r="L25" i="2103"/>
  <c r="D25" i="2103" s="1"/>
  <c r="R24" i="2103"/>
  <c r="L24" i="2103"/>
  <c r="D24" i="2103" s="1"/>
  <c r="R23" i="2103"/>
  <c r="L23" i="2103"/>
  <c r="D23" i="2103" s="1"/>
  <c r="R22" i="2103"/>
  <c r="L20" i="2103" s="1"/>
  <c r="D20" i="2103" s="1"/>
  <c r="L22" i="2103"/>
  <c r="D22" i="2103"/>
  <c r="R21" i="2103"/>
  <c r="L17" i="2103" s="1"/>
  <c r="D17" i="2103" s="1"/>
  <c r="L21" i="2103"/>
  <c r="D21" i="2103"/>
  <c r="R20" i="2103"/>
  <c r="R19" i="2103"/>
  <c r="R18" i="2103"/>
  <c r="R17" i="2103"/>
  <c r="R16" i="2103"/>
  <c r="R15" i="2103"/>
  <c r="R14" i="2103"/>
  <c r="D14" i="2103"/>
  <c r="R13" i="2103"/>
  <c r="D13" i="2103"/>
  <c r="R12" i="2103"/>
  <c r="R11" i="2103"/>
  <c r="L11" i="2103"/>
  <c r="D11" i="2103" s="1"/>
  <c r="L7" i="2103"/>
  <c r="D7" i="2103" s="1"/>
  <c r="R6" i="2103"/>
  <c r="L16" i="2103" s="1"/>
  <c r="D16" i="2103" s="1"/>
  <c r="R5" i="2103"/>
  <c r="R4" i="2103"/>
  <c r="L15" i="2103" s="1"/>
  <c r="D15" i="2103" s="1"/>
  <c r="R52" i="2102"/>
  <c r="R51" i="2102"/>
  <c r="D50" i="2102"/>
  <c r="R49" i="2102"/>
  <c r="G49" i="2102"/>
  <c r="D49" i="2102"/>
  <c r="R48" i="2102"/>
  <c r="D48" i="2102"/>
  <c r="D46" i="2102"/>
  <c r="D45" i="2102"/>
  <c r="D44" i="2102"/>
  <c r="R42" i="2102"/>
  <c r="L6" i="2102" s="1"/>
  <c r="D6" i="2102" s="1"/>
  <c r="D42" i="2102"/>
  <c r="R41" i="2102"/>
  <c r="L7" i="2102" s="1"/>
  <c r="D7" i="2102" s="1"/>
  <c r="D41" i="2102"/>
  <c r="R40" i="2102"/>
  <c r="D40" i="2102"/>
  <c r="R39" i="2102"/>
  <c r="D39" i="2102"/>
  <c r="R38" i="2102"/>
  <c r="D38" i="2102"/>
  <c r="R37" i="2102"/>
  <c r="D37" i="2102"/>
  <c r="R36" i="2102"/>
  <c r="L10" i="2102" s="1"/>
  <c r="D10" i="2102" s="1"/>
  <c r="D36" i="2102"/>
  <c r="R35" i="2102"/>
  <c r="L19" i="2102" s="1"/>
  <c r="D19" i="2102" s="1"/>
  <c r="D35" i="2102"/>
  <c r="R34" i="2102"/>
  <c r="L12" i="2102" s="1"/>
  <c r="D12" i="2102" s="1"/>
  <c r="D34" i="2102"/>
  <c r="R33" i="2102"/>
  <c r="L23" i="2102" s="1"/>
  <c r="D23" i="2102" s="1"/>
  <c r="R32" i="2102"/>
  <c r="R31" i="2102"/>
  <c r="R30" i="2102"/>
  <c r="R29" i="2102"/>
  <c r="R28" i="2102"/>
  <c r="D28" i="2102"/>
  <c r="R27" i="2102"/>
  <c r="D27" i="2102"/>
  <c r="R26" i="2102"/>
  <c r="L26" i="2102"/>
  <c r="D26" i="2102" s="1"/>
  <c r="R25" i="2102"/>
  <c r="L25" i="2102"/>
  <c r="D25" i="2102" s="1"/>
  <c r="R24" i="2102"/>
  <c r="D24" i="2102"/>
  <c r="R23" i="2102"/>
  <c r="R22" i="2102"/>
  <c r="L22" i="2102"/>
  <c r="D22" i="2102" s="1"/>
  <c r="R21" i="2102"/>
  <c r="D21" i="2102"/>
  <c r="R20" i="2102"/>
  <c r="L20" i="2102"/>
  <c r="D20" i="2102" s="1"/>
  <c r="R19" i="2102"/>
  <c r="R18" i="2102"/>
  <c r="D18" i="2102"/>
  <c r="R17" i="2102"/>
  <c r="D17" i="2102"/>
  <c r="R16" i="2102"/>
  <c r="L16" i="2102"/>
  <c r="D16" i="2102" s="1"/>
  <c r="S15" i="2102"/>
  <c r="R15" i="2102"/>
  <c r="D15" i="2102"/>
  <c r="S14" i="2102"/>
  <c r="R14" i="2102"/>
  <c r="D14" i="2102"/>
  <c r="R13" i="2102"/>
  <c r="D13" i="2102"/>
  <c r="R12" i="2102"/>
  <c r="R11" i="2102"/>
  <c r="L11" i="2102"/>
  <c r="D11" i="2102" s="1"/>
  <c r="L9" i="2102"/>
  <c r="D9" i="2102"/>
  <c r="L8" i="2102"/>
  <c r="D8" i="2102" s="1"/>
  <c r="R6" i="2102"/>
  <c r="R5" i="2102"/>
  <c r="R4" i="2102"/>
  <c r="R52" i="2101"/>
  <c r="R51" i="2101"/>
  <c r="D50" i="2101"/>
  <c r="R49" i="2101"/>
  <c r="D49" i="2101"/>
  <c r="R48" i="2101"/>
  <c r="D48" i="2101"/>
  <c r="D46" i="2101"/>
  <c r="D45" i="2101"/>
  <c r="R44" i="2101"/>
  <c r="D44" i="2101"/>
  <c r="R42" i="2101"/>
  <c r="L6" i="2101" s="1"/>
  <c r="D6" i="2101" s="1"/>
  <c r="D42" i="2101"/>
  <c r="R41" i="2101"/>
  <c r="D41" i="2101"/>
  <c r="R40" i="2101"/>
  <c r="L8" i="2101" s="1"/>
  <c r="D8" i="2101" s="1"/>
  <c r="D40" i="2101"/>
  <c r="R39" i="2101"/>
  <c r="H39" i="2101"/>
  <c r="D39" i="2101"/>
  <c r="R38" i="2101"/>
  <c r="L9" i="2101" s="1"/>
  <c r="D9" i="2101" s="1"/>
  <c r="H38" i="2101"/>
  <c r="D38" i="2101"/>
  <c r="R37" i="2101"/>
  <c r="H37" i="2101"/>
  <c r="D37" i="2101"/>
  <c r="R36" i="2101"/>
  <c r="H36" i="2101"/>
  <c r="D36" i="2101"/>
  <c r="R35" i="2101"/>
  <c r="L18" i="2101" s="1"/>
  <c r="D18" i="2101" s="1"/>
  <c r="H35" i="2101"/>
  <c r="D35" i="2101"/>
  <c r="R34" i="2101"/>
  <c r="L12" i="2101" s="1"/>
  <c r="D12" i="2101" s="1"/>
  <c r="H34" i="2101"/>
  <c r="D34" i="2101"/>
  <c r="R33" i="2101"/>
  <c r="L19" i="2101" s="1"/>
  <c r="D19" i="2101" s="1"/>
  <c r="R32" i="2101"/>
  <c r="R31" i="2101"/>
  <c r="R30" i="2101"/>
  <c r="R29" i="2101"/>
  <c r="R28" i="2101"/>
  <c r="L28" i="2101"/>
  <c r="D28" i="2101" s="1"/>
  <c r="R27" i="2101"/>
  <c r="L27" i="2101"/>
  <c r="D27" i="2101" s="1"/>
  <c r="R26" i="2101"/>
  <c r="L26" i="2101"/>
  <c r="D26" i="2101" s="1"/>
  <c r="R25" i="2101"/>
  <c r="L25" i="2101"/>
  <c r="D25" i="2101" s="1"/>
  <c r="R24" i="2101"/>
  <c r="L24" i="2101"/>
  <c r="D24" i="2101" s="1"/>
  <c r="R23" i="2101"/>
  <c r="L23" i="2101"/>
  <c r="D23" i="2101" s="1"/>
  <c r="R22" i="2101"/>
  <c r="L20" i="2101" s="1"/>
  <c r="D20" i="2101" s="1"/>
  <c r="L22" i="2101"/>
  <c r="D22" i="2101" s="1"/>
  <c r="R21" i="2101"/>
  <c r="L17" i="2101" s="1"/>
  <c r="D17" i="2101" s="1"/>
  <c r="L21" i="2101"/>
  <c r="D21" i="2101"/>
  <c r="R20" i="2101"/>
  <c r="R19" i="2101"/>
  <c r="R18" i="2101"/>
  <c r="R17" i="2101"/>
  <c r="R16" i="2101"/>
  <c r="L16" i="2101"/>
  <c r="D16" i="2101" s="1"/>
  <c r="R15" i="2101"/>
  <c r="R14" i="2101"/>
  <c r="D14" i="2101"/>
  <c r="R13" i="2101"/>
  <c r="D13" i="2101"/>
  <c r="R12" i="2101"/>
  <c r="R11" i="2101"/>
  <c r="L11" i="2101"/>
  <c r="D11" i="2101" s="1"/>
  <c r="L10" i="2101"/>
  <c r="D10" i="2101" s="1"/>
  <c r="L7" i="2101"/>
  <c r="D7" i="2101" s="1"/>
  <c r="R6" i="2101"/>
  <c r="R5" i="2101"/>
  <c r="R4" i="2101"/>
  <c r="L15" i="2101" s="1"/>
  <c r="D15" i="2101" s="1"/>
  <c r="R52" i="2100"/>
  <c r="R51" i="2100"/>
  <c r="D50" i="2100"/>
  <c r="R49" i="2100"/>
  <c r="D49" i="2100"/>
  <c r="R48" i="2100"/>
  <c r="D48" i="2100"/>
  <c r="D46" i="2100"/>
  <c r="D45" i="2100"/>
  <c r="R44" i="2100"/>
  <c r="D44" i="2100"/>
  <c r="R42" i="2100"/>
  <c r="D42" i="2100"/>
  <c r="R41" i="2100"/>
  <c r="L7" i="2100" s="1"/>
  <c r="D7" i="2100" s="1"/>
  <c r="D41" i="2100"/>
  <c r="R40" i="2100"/>
  <c r="L8" i="2100" s="1"/>
  <c r="D8" i="2100" s="1"/>
  <c r="D40" i="2100"/>
  <c r="R39" i="2100"/>
  <c r="H39" i="2100"/>
  <c r="D39" i="2100"/>
  <c r="R38" i="2100"/>
  <c r="L9" i="2100" s="1"/>
  <c r="D9" i="2100" s="1"/>
  <c r="H38" i="2100"/>
  <c r="D38" i="2100"/>
  <c r="R37" i="2100"/>
  <c r="H37" i="2100"/>
  <c r="D37" i="2100"/>
  <c r="R36" i="2100"/>
  <c r="H36" i="2100"/>
  <c r="D36" i="2100"/>
  <c r="R35" i="2100"/>
  <c r="H35" i="2100"/>
  <c r="D35" i="2100"/>
  <c r="R34" i="2100"/>
  <c r="L12" i="2100" s="1"/>
  <c r="D12" i="2100" s="1"/>
  <c r="H34" i="2100"/>
  <c r="D34" i="2100"/>
  <c r="R33" i="2100"/>
  <c r="R32" i="2100"/>
  <c r="L11" i="2100" s="1"/>
  <c r="D11" i="2100" s="1"/>
  <c r="R31" i="2100"/>
  <c r="R30" i="2100"/>
  <c r="R29" i="2100"/>
  <c r="R28" i="2100"/>
  <c r="L28" i="2100"/>
  <c r="D28" i="2100" s="1"/>
  <c r="R27" i="2100"/>
  <c r="L27" i="2100"/>
  <c r="D27" i="2100" s="1"/>
  <c r="R26" i="2100"/>
  <c r="L26" i="2100"/>
  <c r="D26" i="2100" s="1"/>
  <c r="R25" i="2100"/>
  <c r="L25" i="2100"/>
  <c r="D25" i="2100" s="1"/>
  <c r="R24" i="2100"/>
  <c r="L24" i="2100"/>
  <c r="D24" i="2100"/>
  <c r="R23" i="2100"/>
  <c r="L23" i="2100"/>
  <c r="D23" i="2100" s="1"/>
  <c r="R22" i="2100"/>
  <c r="L20" i="2100" s="1"/>
  <c r="D20" i="2100" s="1"/>
  <c r="L22" i="2100"/>
  <c r="D22" i="2100" s="1"/>
  <c r="R21" i="2100"/>
  <c r="L17" i="2100" s="1"/>
  <c r="D17" i="2100" s="1"/>
  <c r="D21" i="2100"/>
  <c r="R20" i="2100"/>
  <c r="R19" i="2100"/>
  <c r="L19" i="2100"/>
  <c r="D19" i="2100" s="1"/>
  <c r="R18" i="2100"/>
  <c r="L18" i="2100"/>
  <c r="D18" i="2100" s="1"/>
  <c r="R17" i="2100"/>
  <c r="R16" i="2100"/>
  <c r="R15" i="2100"/>
  <c r="L15" i="2100"/>
  <c r="D15" i="2100" s="1"/>
  <c r="R14" i="2100"/>
  <c r="D14" i="2100"/>
  <c r="R13" i="2100"/>
  <c r="D13" i="2100"/>
  <c r="R12" i="2100"/>
  <c r="R11" i="2100"/>
  <c r="L10" i="2100"/>
  <c r="D10" i="2100" s="1"/>
  <c r="R6" i="2100"/>
  <c r="L16" i="2100" s="1"/>
  <c r="D16" i="2100" s="1"/>
  <c r="L6" i="2100"/>
  <c r="D6" i="2100"/>
  <c r="R5" i="2100"/>
  <c r="R4" i="2100"/>
  <c r="R52" i="2099"/>
  <c r="R51" i="2099"/>
  <c r="D50" i="2099"/>
  <c r="R49" i="2099"/>
  <c r="D49" i="2099"/>
  <c r="R48" i="2099"/>
  <c r="D48" i="2099"/>
  <c r="D46" i="2099"/>
  <c r="D45" i="2099"/>
  <c r="R44" i="2099"/>
  <c r="D44" i="2099"/>
  <c r="R42" i="2099"/>
  <c r="D42" i="2099"/>
  <c r="R41" i="2099"/>
  <c r="L7" i="2099" s="1"/>
  <c r="D7" i="2099" s="1"/>
  <c r="D41" i="2099"/>
  <c r="R40" i="2099"/>
  <c r="L8" i="2099" s="1"/>
  <c r="D8" i="2099" s="1"/>
  <c r="D40" i="2099"/>
  <c r="R39" i="2099"/>
  <c r="H39" i="2099"/>
  <c r="D39" i="2099"/>
  <c r="R38" i="2099"/>
  <c r="H38" i="2099"/>
  <c r="D38" i="2099"/>
  <c r="R37" i="2099"/>
  <c r="H37" i="2099"/>
  <c r="D37" i="2099"/>
  <c r="R36" i="2099"/>
  <c r="H36" i="2099"/>
  <c r="D36" i="2099"/>
  <c r="R35" i="2099"/>
  <c r="L18" i="2099" s="1"/>
  <c r="D18" i="2099" s="1"/>
  <c r="H35" i="2099"/>
  <c r="D35" i="2099"/>
  <c r="R34" i="2099"/>
  <c r="L12" i="2099" s="1"/>
  <c r="D12" i="2099" s="1"/>
  <c r="H34" i="2099"/>
  <c r="D34" i="2099"/>
  <c r="R33" i="2099"/>
  <c r="L19" i="2099" s="1"/>
  <c r="D19" i="2099" s="1"/>
  <c r="R32" i="2099"/>
  <c r="R31" i="2099"/>
  <c r="R30" i="2099"/>
  <c r="R29" i="2099"/>
  <c r="R28" i="2099"/>
  <c r="L28" i="2099"/>
  <c r="D28" i="2099" s="1"/>
  <c r="R27" i="2099"/>
  <c r="L27" i="2099"/>
  <c r="D27" i="2099" s="1"/>
  <c r="R26" i="2099"/>
  <c r="L26" i="2099"/>
  <c r="D26" i="2099" s="1"/>
  <c r="R25" i="2099"/>
  <c r="L25" i="2099"/>
  <c r="D25" i="2099" s="1"/>
  <c r="R24" i="2099"/>
  <c r="L24" i="2099"/>
  <c r="D24" i="2099" s="1"/>
  <c r="R23" i="2099"/>
  <c r="L23" i="2099"/>
  <c r="D23" i="2099" s="1"/>
  <c r="R22" i="2099"/>
  <c r="L22" i="2099"/>
  <c r="D22" i="2099" s="1"/>
  <c r="R21" i="2099"/>
  <c r="L17" i="2099" s="1"/>
  <c r="D17" i="2099" s="1"/>
  <c r="L21" i="2099"/>
  <c r="D21" i="2099" s="1"/>
  <c r="R20" i="2099"/>
  <c r="L20" i="2099"/>
  <c r="D20" i="2099" s="1"/>
  <c r="R19" i="2099"/>
  <c r="R18" i="2099"/>
  <c r="R17" i="2099"/>
  <c r="R16" i="2099"/>
  <c r="R15" i="2099"/>
  <c r="R14" i="2099"/>
  <c r="D14" i="2099"/>
  <c r="R13" i="2099"/>
  <c r="D13" i="2099"/>
  <c r="R12" i="2099"/>
  <c r="R11" i="2099"/>
  <c r="L11" i="2099"/>
  <c r="D11" i="2099" s="1"/>
  <c r="L10" i="2099"/>
  <c r="D10" i="2099" s="1"/>
  <c r="L9" i="2099"/>
  <c r="D9" i="2099" s="1"/>
  <c r="R6" i="2099"/>
  <c r="L16" i="2099" s="1"/>
  <c r="D16" i="2099" s="1"/>
  <c r="L6" i="2099"/>
  <c r="D6" i="2099" s="1"/>
  <c r="R5" i="2099"/>
  <c r="R4" i="2099"/>
  <c r="L15" i="2099" s="1"/>
  <c r="D15" i="2099" s="1"/>
  <c r="R52" i="2098"/>
  <c r="R51" i="2098"/>
  <c r="D50" i="2098"/>
  <c r="R49" i="2098"/>
  <c r="G49" i="2098"/>
  <c r="D49" i="2098"/>
  <c r="R48" i="2098"/>
  <c r="D48" i="2098"/>
  <c r="D46" i="2098"/>
  <c r="D45" i="2098"/>
  <c r="D44" i="2098"/>
  <c r="R42" i="2098"/>
  <c r="D42" i="2098"/>
  <c r="R41" i="2098"/>
  <c r="L7" i="2098" s="1"/>
  <c r="D7" i="2098" s="1"/>
  <c r="D41" i="2098"/>
  <c r="R40" i="2098"/>
  <c r="L8" i="2098" s="1"/>
  <c r="D8" i="2098" s="1"/>
  <c r="D40" i="2098"/>
  <c r="R39" i="2098"/>
  <c r="D39" i="2098"/>
  <c r="R38" i="2098"/>
  <c r="L9" i="2098" s="1"/>
  <c r="D9" i="2098" s="1"/>
  <c r="D38" i="2098"/>
  <c r="R37" i="2098"/>
  <c r="D37" i="2098"/>
  <c r="R36" i="2098"/>
  <c r="L10" i="2098" s="1"/>
  <c r="D10" i="2098" s="1"/>
  <c r="D36" i="2098"/>
  <c r="R35" i="2098"/>
  <c r="D35" i="2098"/>
  <c r="R34" i="2098"/>
  <c r="L12" i="2098" s="1"/>
  <c r="D12" i="2098" s="1"/>
  <c r="D34" i="2098"/>
  <c r="R33" i="2098"/>
  <c r="L23" i="2098" s="1"/>
  <c r="D23" i="2098" s="1"/>
  <c r="R32" i="2098"/>
  <c r="L11" i="2098" s="1"/>
  <c r="D11" i="2098" s="1"/>
  <c r="R31" i="2098"/>
  <c r="R30" i="2098"/>
  <c r="R29" i="2098"/>
  <c r="R28" i="2098"/>
  <c r="L16" i="2098" s="1"/>
  <c r="D16" i="2098" s="1"/>
  <c r="D28" i="2098"/>
  <c r="R27" i="2098"/>
  <c r="D27" i="2098"/>
  <c r="R26" i="2098"/>
  <c r="L26" i="2098"/>
  <c r="D26" i="2098" s="1"/>
  <c r="R25" i="2098"/>
  <c r="L25" i="2098"/>
  <c r="D25" i="2098" s="1"/>
  <c r="R24" i="2098"/>
  <c r="D24" i="2098"/>
  <c r="R23" i="2098"/>
  <c r="R22" i="2098"/>
  <c r="L22" i="2098"/>
  <c r="D22" i="2098" s="1"/>
  <c r="R21" i="2098"/>
  <c r="D21" i="2098"/>
  <c r="R20" i="2098"/>
  <c r="L20" i="2098"/>
  <c r="D20" i="2098" s="1"/>
  <c r="R19" i="2098"/>
  <c r="L19" i="2098"/>
  <c r="D19" i="2098"/>
  <c r="R18" i="2098"/>
  <c r="D18" i="2098"/>
  <c r="R17" i="2098"/>
  <c r="D17" i="2098"/>
  <c r="R16" i="2098"/>
  <c r="S15" i="2098"/>
  <c r="R15" i="2098"/>
  <c r="D15" i="2098"/>
  <c r="S14" i="2098"/>
  <c r="R14" i="2098"/>
  <c r="D14" i="2098"/>
  <c r="R13" i="2098"/>
  <c r="D13" i="2098"/>
  <c r="R12" i="2098"/>
  <c r="R11" i="2098"/>
  <c r="R6" i="2098"/>
  <c r="L6" i="2098"/>
  <c r="D6" i="2098"/>
  <c r="R5" i="2098"/>
  <c r="R4" i="2098"/>
  <c r="R52" i="2097"/>
  <c r="R51" i="2097"/>
  <c r="D50" i="2097"/>
  <c r="R49" i="2097"/>
  <c r="D49" i="2097"/>
  <c r="R48" i="2097"/>
  <c r="D48" i="2097"/>
  <c r="D46" i="2097"/>
  <c r="D45" i="2097"/>
  <c r="R44" i="2097"/>
  <c r="L28" i="2097" s="1"/>
  <c r="D28" i="2097" s="1"/>
  <c r="D44" i="2097"/>
  <c r="R42" i="2097"/>
  <c r="D42" i="2097"/>
  <c r="R41" i="2097"/>
  <c r="D41" i="2097"/>
  <c r="R40" i="2097"/>
  <c r="D40" i="2097"/>
  <c r="R39" i="2097"/>
  <c r="H39" i="2097"/>
  <c r="D39" i="2097"/>
  <c r="R38" i="2097"/>
  <c r="L9" i="2097" s="1"/>
  <c r="D9" i="2097" s="1"/>
  <c r="H38" i="2097"/>
  <c r="D38" i="2097"/>
  <c r="R37" i="2097"/>
  <c r="H37" i="2097"/>
  <c r="D37" i="2097"/>
  <c r="R36" i="2097"/>
  <c r="L10" i="2097" s="1"/>
  <c r="D10" i="2097" s="1"/>
  <c r="H36" i="2097"/>
  <c r="D36" i="2097"/>
  <c r="R35" i="2097"/>
  <c r="L18" i="2097" s="1"/>
  <c r="D18" i="2097" s="1"/>
  <c r="H35" i="2097"/>
  <c r="D35" i="2097"/>
  <c r="R34" i="2097"/>
  <c r="L12" i="2097" s="1"/>
  <c r="D12" i="2097" s="1"/>
  <c r="H34" i="2097"/>
  <c r="G49" i="2097" s="1"/>
  <c r="D34" i="2097"/>
  <c r="R33" i="2097"/>
  <c r="L19" i="2097" s="1"/>
  <c r="D19" i="2097" s="1"/>
  <c r="R32" i="2097"/>
  <c r="L11" i="2097" s="1"/>
  <c r="D11" i="2097" s="1"/>
  <c r="R31" i="2097"/>
  <c r="R30" i="2097"/>
  <c r="R29" i="2097"/>
  <c r="R28" i="2097"/>
  <c r="R27" i="2097"/>
  <c r="L27" i="2097"/>
  <c r="D27" i="2097" s="1"/>
  <c r="R26" i="2097"/>
  <c r="L26" i="2097"/>
  <c r="D26" i="2097" s="1"/>
  <c r="R25" i="2097"/>
  <c r="L25" i="2097"/>
  <c r="D25" i="2097" s="1"/>
  <c r="R24" i="2097"/>
  <c r="L24" i="2097"/>
  <c r="D24" i="2097"/>
  <c r="R23" i="2097"/>
  <c r="L23" i="2097"/>
  <c r="D23" i="2097" s="1"/>
  <c r="R22" i="2097"/>
  <c r="L20" i="2097" s="1"/>
  <c r="D20" i="2097" s="1"/>
  <c r="L22" i="2097"/>
  <c r="D22" i="2097"/>
  <c r="R21" i="2097"/>
  <c r="L17" i="2097" s="1"/>
  <c r="D17" i="2097" s="1"/>
  <c r="L21" i="2097"/>
  <c r="D21" i="2097" s="1"/>
  <c r="R20" i="2097"/>
  <c r="R19" i="2097"/>
  <c r="R18" i="2097"/>
  <c r="R17" i="2097"/>
  <c r="R16" i="2097"/>
  <c r="R15" i="2097"/>
  <c r="L15" i="2097"/>
  <c r="D15" i="2097" s="1"/>
  <c r="R14" i="2097"/>
  <c r="D14" i="2097"/>
  <c r="R13" i="2097"/>
  <c r="D13" i="2097"/>
  <c r="R12" i="2097"/>
  <c r="R11" i="2097"/>
  <c r="L8" i="2097"/>
  <c r="D8" i="2097"/>
  <c r="L7" i="2097"/>
  <c r="D7" i="2097" s="1"/>
  <c r="R6" i="2097"/>
  <c r="L16" i="2097" s="1"/>
  <c r="D16" i="2097" s="1"/>
  <c r="L6" i="2097"/>
  <c r="D6" i="2097" s="1"/>
  <c r="R5" i="2097"/>
  <c r="R4" i="2097"/>
  <c r="R52" i="2096"/>
  <c r="R51" i="2096"/>
  <c r="D50" i="2096"/>
  <c r="R49" i="2096"/>
  <c r="D49" i="2096"/>
  <c r="R48" i="2096"/>
  <c r="D48" i="2096"/>
  <c r="D46" i="2096"/>
  <c r="D45" i="2096"/>
  <c r="R44" i="2096"/>
  <c r="L28" i="2096" s="1"/>
  <c r="D28" i="2096" s="1"/>
  <c r="D44" i="2096"/>
  <c r="R42" i="2096"/>
  <c r="L6" i="2096" s="1"/>
  <c r="D6" i="2096" s="1"/>
  <c r="D42" i="2096"/>
  <c r="R41" i="2096"/>
  <c r="L7" i="2096" s="1"/>
  <c r="D7" i="2096" s="1"/>
  <c r="D41" i="2096"/>
  <c r="R40" i="2096"/>
  <c r="L8" i="2096" s="1"/>
  <c r="D8" i="2096" s="1"/>
  <c r="D40" i="2096"/>
  <c r="R39" i="2096"/>
  <c r="H39" i="2096"/>
  <c r="D39" i="2096"/>
  <c r="R38" i="2096"/>
  <c r="H38" i="2096"/>
  <c r="D38" i="2096"/>
  <c r="R37" i="2096"/>
  <c r="H37" i="2096"/>
  <c r="D37" i="2096"/>
  <c r="R36" i="2096"/>
  <c r="L10" i="2096" s="1"/>
  <c r="D10" i="2096" s="1"/>
  <c r="H36" i="2096"/>
  <c r="D36" i="2096"/>
  <c r="R35" i="2096"/>
  <c r="L18" i="2096" s="1"/>
  <c r="D18" i="2096" s="1"/>
  <c r="H35" i="2096"/>
  <c r="D35" i="2096"/>
  <c r="R34" i="2096"/>
  <c r="L12" i="2096" s="1"/>
  <c r="D12" i="2096" s="1"/>
  <c r="H34" i="2096"/>
  <c r="D34" i="2096"/>
  <c r="R33" i="2096"/>
  <c r="L19" i="2096" s="1"/>
  <c r="D19" i="2096" s="1"/>
  <c r="R32" i="2096"/>
  <c r="R31" i="2096"/>
  <c r="R30" i="2096"/>
  <c r="R29" i="2096"/>
  <c r="R28" i="2096"/>
  <c r="R27" i="2096"/>
  <c r="L27" i="2096"/>
  <c r="D27" i="2096" s="1"/>
  <c r="R26" i="2096"/>
  <c r="L26" i="2096"/>
  <c r="D26" i="2096"/>
  <c r="R25" i="2096"/>
  <c r="L25" i="2096"/>
  <c r="D25" i="2096" s="1"/>
  <c r="R24" i="2096"/>
  <c r="L24" i="2096"/>
  <c r="D24" i="2096" s="1"/>
  <c r="R23" i="2096"/>
  <c r="L23" i="2096"/>
  <c r="D23" i="2096" s="1"/>
  <c r="R22" i="2096"/>
  <c r="L20" i="2096" s="1"/>
  <c r="D20" i="2096" s="1"/>
  <c r="L22" i="2096"/>
  <c r="D22" i="2096" s="1"/>
  <c r="R21" i="2096"/>
  <c r="L17" i="2096" s="1"/>
  <c r="D17" i="2096" s="1"/>
  <c r="D21" i="2096"/>
  <c r="R20" i="2096"/>
  <c r="R19" i="2096"/>
  <c r="R18" i="2096"/>
  <c r="R17" i="2096"/>
  <c r="R16" i="2096"/>
  <c r="R15" i="2096"/>
  <c r="R14" i="2096"/>
  <c r="D14" i="2096"/>
  <c r="R13" i="2096"/>
  <c r="D13" i="2096"/>
  <c r="R12" i="2096"/>
  <c r="R11" i="2096"/>
  <c r="L11" i="2096"/>
  <c r="D11" i="2096" s="1"/>
  <c r="L9" i="2096"/>
  <c r="D9" i="2096" s="1"/>
  <c r="R6" i="2096"/>
  <c r="L16" i="2096" s="1"/>
  <c r="D16" i="2096" s="1"/>
  <c r="R5" i="2096"/>
  <c r="R4" i="2096"/>
  <c r="L15" i="2096" s="1"/>
  <c r="D15" i="2096" s="1"/>
  <c r="R52" i="2095"/>
  <c r="R51" i="2095"/>
  <c r="D50" i="2095"/>
  <c r="R49" i="2095"/>
  <c r="D49" i="2095"/>
  <c r="R48" i="2095"/>
  <c r="D48" i="2095"/>
  <c r="D46" i="2095"/>
  <c r="D45" i="2095"/>
  <c r="R44" i="2095"/>
  <c r="L28" i="2095" s="1"/>
  <c r="D28" i="2095" s="1"/>
  <c r="D44" i="2095"/>
  <c r="R42" i="2095"/>
  <c r="D42" i="2095"/>
  <c r="R41" i="2095"/>
  <c r="L7" i="2095" s="1"/>
  <c r="D7" i="2095" s="1"/>
  <c r="D41" i="2095"/>
  <c r="R40" i="2095"/>
  <c r="L8" i="2095" s="1"/>
  <c r="D8" i="2095" s="1"/>
  <c r="D40" i="2095"/>
  <c r="R39" i="2095"/>
  <c r="H39" i="2095"/>
  <c r="D39" i="2095"/>
  <c r="R38" i="2095"/>
  <c r="L9" i="2095" s="1"/>
  <c r="D9" i="2095" s="1"/>
  <c r="H38" i="2095"/>
  <c r="D38" i="2095"/>
  <c r="R37" i="2095"/>
  <c r="H37" i="2095"/>
  <c r="D37" i="2095"/>
  <c r="R36" i="2095"/>
  <c r="L10" i="2095" s="1"/>
  <c r="D10" i="2095" s="1"/>
  <c r="H36" i="2095"/>
  <c r="D36" i="2095"/>
  <c r="R35" i="2095"/>
  <c r="L18" i="2095" s="1"/>
  <c r="D18" i="2095" s="1"/>
  <c r="H35" i="2095"/>
  <c r="D35" i="2095"/>
  <c r="R34" i="2095"/>
  <c r="L12" i="2095" s="1"/>
  <c r="D12" i="2095" s="1"/>
  <c r="H34" i="2095"/>
  <c r="D34" i="2095"/>
  <c r="R33" i="2095"/>
  <c r="R32" i="2095"/>
  <c r="L11" i="2095" s="1"/>
  <c r="D11" i="2095" s="1"/>
  <c r="R31" i="2095"/>
  <c r="R30" i="2095"/>
  <c r="R29" i="2095"/>
  <c r="R28" i="2095"/>
  <c r="R27" i="2095"/>
  <c r="L27" i="2095"/>
  <c r="D27" i="2095"/>
  <c r="R26" i="2095"/>
  <c r="L26" i="2095"/>
  <c r="D26" i="2095"/>
  <c r="R25" i="2095"/>
  <c r="L25" i="2095"/>
  <c r="D25" i="2095" s="1"/>
  <c r="R24" i="2095"/>
  <c r="L24" i="2095"/>
  <c r="D24" i="2095" s="1"/>
  <c r="R23" i="2095"/>
  <c r="L23" i="2095"/>
  <c r="D23" i="2095" s="1"/>
  <c r="R22" i="2095"/>
  <c r="L20" i="2095" s="1"/>
  <c r="D20" i="2095" s="1"/>
  <c r="L22" i="2095"/>
  <c r="D22" i="2095" s="1"/>
  <c r="R21" i="2095"/>
  <c r="L17" i="2095" s="1"/>
  <c r="D17" i="2095" s="1"/>
  <c r="L21" i="2095"/>
  <c r="D21" i="2095" s="1"/>
  <c r="R20" i="2095"/>
  <c r="R19" i="2095"/>
  <c r="L19" i="2095"/>
  <c r="D19" i="2095" s="1"/>
  <c r="R18" i="2095"/>
  <c r="R17" i="2095"/>
  <c r="R16" i="2095"/>
  <c r="R15" i="2095"/>
  <c r="R14" i="2095"/>
  <c r="D14" i="2095"/>
  <c r="R13" i="2095"/>
  <c r="D13" i="2095"/>
  <c r="R12" i="2095"/>
  <c r="R11" i="2095"/>
  <c r="R6" i="2095"/>
  <c r="L16" i="2095" s="1"/>
  <c r="D16" i="2095" s="1"/>
  <c r="L6" i="2095"/>
  <c r="D6" i="2095" s="1"/>
  <c r="R5" i="2095"/>
  <c r="R4" i="2095"/>
  <c r="L15" i="2095" s="1"/>
  <c r="D15" i="2095" s="1"/>
  <c r="R52" i="2094"/>
  <c r="R51" i="2094"/>
  <c r="D50" i="2094"/>
  <c r="R49" i="2094"/>
  <c r="G49" i="2094"/>
  <c r="D49" i="2094"/>
  <c r="R48" i="2094"/>
  <c r="D48" i="2094"/>
  <c r="D46" i="2094"/>
  <c r="D45" i="2094"/>
  <c r="D44" i="2094"/>
  <c r="R42" i="2094"/>
  <c r="L6" i="2094" s="1"/>
  <c r="D6" i="2094" s="1"/>
  <c r="D42" i="2094"/>
  <c r="R41" i="2094"/>
  <c r="L7" i="2094" s="1"/>
  <c r="D7" i="2094" s="1"/>
  <c r="D41" i="2094"/>
  <c r="R40" i="2094"/>
  <c r="L8" i="2094" s="1"/>
  <c r="D8" i="2094" s="1"/>
  <c r="D40" i="2094"/>
  <c r="R39" i="2094"/>
  <c r="D39" i="2094"/>
  <c r="R38" i="2094"/>
  <c r="D38" i="2094"/>
  <c r="R37" i="2094"/>
  <c r="D37" i="2094"/>
  <c r="R36" i="2094"/>
  <c r="L10" i="2094" s="1"/>
  <c r="D10" i="2094" s="1"/>
  <c r="D36" i="2094"/>
  <c r="R35" i="2094"/>
  <c r="L19" i="2094" s="1"/>
  <c r="D19" i="2094" s="1"/>
  <c r="D35" i="2094"/>
  <c r="R34" i="2094"/>
  <c r="D34" i="2094"/>
  <c r="R33" i="2094"/>
  <c r="R32" i="2094"/>
  <c r="L11" i="2094" s="1"/>
  <c r="D11" i="2094" s="1"/>
  <c r="R31" i="2094"/>
  <c r="R30" i="2094"/>
  <c r="R29" i="2094"/>
  <c r="R28" i="2094"/>
  <c r="D28" i="2094"/>
  <c r="R27" i="2094"/>
  <c r="D27" i="2094"/>
  <c r="R26" i="2094"/>
  <c r="L26" i="2094"/>
  <c r="D26" i="2094"/>
  <c r="R25" i="2094"/>
  <c r="L25" i="2094"/>
  <c r="D25" i="2094" s="1"/>
  <c r="R24" i="2094"/>
  <c r="D24" i="2094"/>
  <c r="R23" i="2094"/>
  <c r="L23" i="2094"/>
  <c r="D23" i="2094" s="1"/>
  <c r="R22" i="2094"/>
  <c r="L22" i="2094"/>
  <c r="D22" i="2094"/>
  <c r="R21" i="2094"/>
  <c r="D21" i="2094"/>
  <c r="R20" i="2094"/>
  <c r="L20" i="2094"/>
  <c r="D20" i="2094" s="1"/>
  <c r="R19" i="2094"/>
  <c r="R18" i="2094"/>
  <c r="D18" i="2094"/>
  <c r="R17" i="2094"/>
  <c r="D17" i="2094"/>
  <c r="R16" i="2094"/>
  <c r="L16" i="2094"/>
  <c r="D16" i="2094" s="1"/>
  <c r="S15" i="2094"/>
  <c r="R15" i="2094"/>
  <c r="D15" i="2094"/>
  <c r="S14" i="2094"/>
  <c r="R14" i="2094"/>
  <c r="D14" i="2094"/>
  <c r="R13" i="2094"/>
  <c r="D13" i="2094"/>
  <c r="R12" i="2094"/>
  <c r="L12" i="2094"/>
  <c r="D12" i="2094" s="1"/>
  <c r="R11" i="2094"/>
  <c r="L9" i="2094"/>
  <c r="D9" i="2094" s="1"/>
  <c r="R6" i="2094"/>
  <c r="R5" i="2094"/>
  <c r="R4" i="2094"/>
  <c r="R52" i="2093"/>
  <c r="R51" i="2093"/>
  <c r="D50" i="2093"/>
  <c r="R49" i="2093"/>
  <c r="D49" i="2093"/>
  <c r="R48" i="2093"/>
  <c r="D48" i="2093"/>
  <c r="D46" i="2093"/>
  <c r="D45" i="2093"/>
  <c r="R44" i="2093"/>
  <c r="L28" i="2093" s="1"/>
  <c r="D28" i="2093" s="1"/>
  <c r="D44" i="2093"/>
  <c r="R42" i="2093"/>
  <c r="L6" i="2093" s="1"/>
  <c r="D6" i="2093" s="1"/>
  <c r="D42" i="2093"/>
  <c r="R41" i="2093"/>
  <c r="D41" i="2093"/>
  <c r="R40" i="2093"/>
  <c r="L8" i="2093" s="1"/>
  <c r="D8" i="2093" s="1"/>
  <c r="D40" i="2093"/>
  <c r="R39" i="2093"/>
  <c r="H39" i="2093"/>
  <c r="D39" i="2093"/>
  <c r="R38" i="2093"/>
  <c r="L9" i="2093" s="1"/>
  <c r="D9" i="2093" s="1"/>
  <c r="H38" i="2093"/>
  <c r="D38" i="2093"/>
  <c r="R37" i="2093"/>
  <c r="H37" i="2093"/>
  <c r="D37" i="2093"/>
  <c r="R36" i="2093"/>
  <c r="L10" i="2093" s="1"/>
  <c r="D10" i="2093" s="1"/>
  <c r="H36" i="2093"/>
  <c r="D36" i="2093"/>
  <c r="R35" i="2093"/>
  <c r="L18" i="2093" s="1"/>
  <c r="D18" i="2093" s="1"/>
  <c r="H35" i="2093"/>
  <c r="D35" i="2093"/>
  <c r="R34" i="2093"/>
  <c r="L12" i="2093" s="1"/>
  <c r="D12" i="2093" s="1"/>
  <c r="H34" i="2093"/>
  <c r="D34" i="2093"/>
  <c r="R33" i="2093"/>
  <c r="L19" i="2093" s="1"/>
  <c r="D19" i="2093" s="1"/>
  <c r="R32" i="2093"/>
  <c r="L11" i="2093" s="1"/>
  <c r="D11" i="2093" s="1"/>
  <c r="R31" i="2093"/>
  <c r="R30" i="2093"/>
  <c r="R29" i="2093"/>
  <c r="R28" i="2093"/>
  <c r="R27" i="2093"/>
  <c r="L27" i="2093"/>
  <c r="D27" i="2093"/>
  <c r="R26" i="2093"/>
  <c r="L26" i="2093"/>
  <c r="D26" i="2093" s="1"/>
  <c r="R25" i="2093"/>
  <c r="L25" i="2093"/>
  <c r="D25" i="2093" s="1"/>
  <c r="R24" i="2093"/>
  <c r="L24" i="2093"/>
  <c r="D24" i="2093" s="1"/>
  <c r="R23" i="2093"/>
  <c r="L23" i="2093"/>
  <c r="D23" i="2093" s="1"/>
  <c r="R22" i="2093"/>
  <c r="L20" i="2093" s="1"/>
  <c r="D20" i="2093" s="1"/>
  <c r="L22" i="2093"/>
  <c r="D22" i="2093"/>
  <c r="R21" i="2093"/>
  <c r="L17" i="2093" s="1"/>
  <c r="D17" i="2093" s="1"/>
  <c r="L21" i="2093"/>
  <c r="D21" i="2093" s="1"/>
  <c r="R20" i="2093"/>
  <c r="R19" i="2093"/>
  <c r="R18" i="2093"/>
  <c r="R17" i="2093"/>
  <c r="R16" i="2093"/>
  <c r="R15" i="2093"/>
  <c r="R14" i="2093"/>
  <c r="D14" i="2093"/>
  <c r="R13" i="2093"/>
  <c r="D13" i="2093"/>
  <c r="R12" i="2093"/>
  <c r="R11" i="2093"/>
  <c r="L7" i="2093"/>
  <c r="D7" i="2093"/>
  <c r="R6" i="2093"/>
  <c r="L16" i="2093" s="1"/>
  <c r="D16" i="2093" s="1"/>
  <c r="R5" i="2093"/>
  <c r="R4" i="2093"/>
  <c r="L15" i="2093" s="1"/>
  <c r="D15" i="2093" s="1"/>
  <c r="R52" i="2092"/>
  <c r="R51" i="2092"/>
  <c r="D50" i="2092"/>
  <c r="R49" i="2092"/>
  <c r="D49" i="2092"/>
  <c r="R48" i="2092"/>
  <c r="D48" i="2092"/>
  <c r="D46" i="2092"/>
  <c r="D45" i="2092"/>
  <c r="R44" i="2092"/>
  <c r="L28" i="2092" s="1"/>
  <c r="D28" i="2092" s="1"/>
  <c r="D44" i="2092"/>
  <c r="R42" i="2092"/>
  <c r="L6" i="2092" s="1"/>
  <c r="D6" i="2092" s="1"/>
  <c r="D42" i="2092"/>
  <c r="R41" i="2092"/>
  <c r="D41" i="2092"/>
  <c r="R40" i="2092"/>
  <c r="D40" i="2092"/>
  <c r="R39" i="2092"/>
  <c r="H39" i="2092"/>
  <c r="D39" i="2092"/>
  <c r="R38" i="2092"/>
  <c r="L9" i="2092" s="1"/>
  <c r="D9" i="2092" s="1"/>
  <c r="H38" i="2092"/>
  <c r="D38" i="2092"/>
  <c r="R37" i="2092"/>
  <c r="H37" i="2092"/>
  <c r="D37" i="2092"/>
  <c r="R36" i="2092"/>
  <c r="H36" i="2092"/>
  <c r="D36" i="2092"/>
  <c r="R35" i="2092"/>
  <c r="L18" i="2092" s="1"/>
  <c r="D18" i="2092" s="1"/>
  <c r="H35" i="2092"/>
  <c r="D35" i="2092"/>
  <c r="R34" i="2092"/>
  <c r="L12" i="2092" s="1"/>
  <c r="D12" i="2092" s="1"/>
  <c r="H34" i="2092"/>
  <c r="D34" i="2092"/>
  <c r="R33" i="2092"/>
  <c r="L19" i="2092" s="1"/>
  <c r="D19" i="2092" s="1"/>
  <c r="R32" i="2092"/>
  <c r="L11" i="2092" s="1"/>
  <c r="D11" i="2092" s="1"/>
  <c r="R31" i="2092"/>
  <c r="R30" i="2092"/>
  <c r="R29" i="2092"/>
  <c r="R28" i="2092"/>
  <c r="R27" i="2092"/>
  <c r="L27" i="2092"/>
  <c r="D27" i="2092"/>
  <c r="R26" i="2092"/>
  <c r="L26" i="2092"/>
  <c r="D26" i="2092"/>
  <c r="R25" i="2092"/>
  <c r="L25" i="2092"/>
  <c r="D25" i="2092" s="1"/>
  <c r="R24" i="2092"/>
  <c r="L24" i="2092"/>
  <c r="D24" i="2092" s="1"/>
  <c r="R23" i="2092"/>
  <c r="L23" i="2092"/>
  <c r="D23" i="2092" s="1"/>
  <c r="R22" i="2092"/>
  <c r="D22" i="2092"/>
  <c r="R21" i="2092"/>
  <c r="L17" i="2092" s="1"/>
  <c r="D17" i="2092" s="1"/>
  <c r="D21" i="2092"/>
  <c r="R20" i="2092"/>
  <c r="L20" i="2092"/>
  <c r="D20" i="2092" s="1"/>
  <c r="R19" i="2092"/>
  <c r="R18" i="2092"/>
  <c r="R17" i="2092"/>
  <c r="R16" i="2092"/>
  <c r="R15" i="2092"/>
  <c r="L15" i="2092"/>
  <c r="D15" i="2092" s="1"/>
  <c r="R14" i="2092"/>
  <c r="D14" i="2092"/>
  <c r="R13" i="2092"/>
  <c r="D13" i="2092"/>
  <c r="R12" i="2092"/>
  <c r="R11" i="2092"/>
  <c r="L10" i="2092"/>
  <c r="D10" i="2092" s="1"/>
  <c r="L8" i="2092"/>
  <c r="D8" i="2092" s="1"/>
  <c r="L7" i="2092"/>
  <c r="D7" i="2092"/>
  <c r="R6" i="2092"/>
  <c r="L16" i="2092" s="1"/>
  <c r="D16" i="2092" s="1"/>
  <c r="R5" i="2092"/>
  <c r="R4" i="2092"/>
  <c r="R52" i="2091"/>
  <c r="R51" i="2091"/>
  <c r="D50" i="2091"/>
  <c r="R49" i="2091"/>
  <c r="D49" i="2091"/>
  <c r="R48" i="2091"/>
  <c r="D48" i="2091"/>
  <c r="D46" i="2091"/>
  <c r="D45" i="2091"/>
  <c r="R44" i="2091"/>
  <c r="D44" i="2091"/>
  <c r="R42" i="2091"/>
  <c r="L6" i="2091" s="1"/>
  <c r="D6" i="2091" s="1"/>
  <c r="D42" i="2091"/>
  <c r="R41" i="2091"/>
  <c r="L7" i="2091" s="1"/>
  <c r="D7" i="2091" s="1"/>
  <c r="D41" i="2091"/>
  <c r="R40" i="2091"/>
  <c r="D40" i="2091"/>
  <c r="R39" i="2091"/>
  <c r="H39" i="2091"/>
  <c r="D39" i="2091"/>
  <c r="R38" i="2091"/>
  <c r="L9" i="2091" s="1"/>
  <c r="D9" i="2091" s="1"/>
  <c r="H38" i="2091"/>
  <c r="D38" i="2091"/>
  <c r="R37" i="2091"/>
  <c r="H37" i="2091"/>
  <c r="D37" i="2091"/>
  <c r="R36" i="2091"/>
  <c r="L10" i="2091" s="1"/>
  <c r="D10" i="2091" s="1"/>
  <c r="H36" i="2091"/>
  <c r="D36" i="2091"/>
  <c r="R35" i="2091"/>
  <c r="L18" i="2091" s="1"/>
  <c r="D18" i="2091" s="1"/>
  <c r="H35" i="2091"/>
  <c r="D35" i="2091"/>
  <c r="R34" i="2091"/>
  <c r="L12" i="2091" s="1"/>
  <c r="D12" i="2091" s="1"/>
  <c r="H34" i="2091"/>
  <c r="D34" i="2091"/>
  <c r="R33" i="2091"/>
  <c r="R32" i="2091"/>
  <c r="R31" i="2091"/>
  <c r="R30" i="2091"/>
  <c r="R29" i="2091"/>
  <c r="R28" i="2091"/>
  <c r="L28" i="2091"/>
  <c r="D28" i="2091" s="1"/>
  <c r="R27" i="2091"/>
  <c r="L27" i="2091"/>
  <c r="D27" i="2091" s="1"/>
  <c r="R26" i="2091"/>
  <c r="L26" i="2091"/>
  <c r="D26" i="2091" s="1"/>
  <c r="R25" i="2091"/>
  <c r="L25" i="2091"/>
  <c r="D25" i="2091"/>
  <c r="R24" i="2091"/>
  <c r="L24" i="2091"/>
  <c r="D24" i="2091" s="1"/>
  <c r="R23" i="2091"/>
  <c r="L23" i="2091"/>
  <c r="D23" i="2091" s="1"/>
  <c r="R22" i="2091"/>
  <c r="L20" i="2091" s="1"/>
  <c r="D20" i="2091" s="1"/>
  <c r="L22" i="2091"/>
  <c r="D22" i="2091" s="1"/>
  <c r="R21" i="2091"/>
  <c r="L17" i="2091" s="1"/>
  <c r="D17" i="2091" s="1"/>
  <c r="D21" i="2091"/>
  <c r="R20" i="2091"/>
  <c r="R19" i="2091"/>
  <c r="L19" i="2091"/>
  <c r="D19" i="2091" s="1"/>
  <c r="R18" i="2091"/>
  <c r="R17" i="2091"/>
  <c r="R16" i="2091"/>
  <c r="R15" i="2091"/>
  <c r="R14" i="2091"/>
  <c r="D14" i="2091"/>
  <c r="R13" i="2091"/>
  <c r="D13" i="2091"/>
  <c r="R12" i="2091"/>
  <c r="R11" i="2091"/>
  <c r="L11" i="2091"/>
  <c r="D11" i="2091" s="1"/>
  <c r="L8" i="2091"/>
  <c r="D8" i="2091" s="1"/>
  <c r="R6" i="2091"/>
  <c r="L16" i="2091" s="1"/>
  <c r="D16" i="2091" s="1"/>
  <c r="R5" i="2091"/>
  <c r="R4" i="2091"/>
  <c r="L15" i="2091" s="1"/>
  <c r="D15" i="2091" s="1"/>
  <c r="R52" i="2090"/>
  <c r="R51" i="2090"/>
  <c r="D50" i="2090"/>
  <c r="R49" i="2090"/>
  <c r="G49" i="2090"/>
  <c r="D49" i="2090"/>
  <c r="R48" i="2090"/>
  <c r="D48" i="2090"/>
  <c r="D46" i="2090"/>
  <c r="D45" i="2090"/>
  <c r="D44" i="2090"/>
  <c r="R42" i="2090"/>
  <c r="L6" i="2090" s="1"/>
  <c r="D6" i="2090" s="1"/>
  <c r="D42" i="2090"/>
  <c r="R41" i="2090"/>
  <c r="L7" i="2090" s="1"/>
  <c r="D7" i="2090" s="1"/>
  <c r="D41" i="2090"/>
  <c r="R40" i="2090"/>
  <c r="D40" i="2090"/>
  <c r="R39" i="2090"/>
  <c r="D39" i="2090"/>
  <c r="R38" i="2090"/>
  <c r="D38" i="2090"/>
  <c r="R37" i="2090"/>
  <c r="D37" i="2090"/>
  <c r="R36" i="2090"/>
  <c r="L10" i="2090" s="1"/>
  <c r="D10" i="2090" s="1"/>
  <c r="D36" i="2090"/>
  <c r="R35" i="2090"/>
  <c r="D35" i="2090"/>
  <c r="R34" i="2090"/>
  <c r="L12" i="2090" s="1"/>
  <c r="D12" i="2090" s="1"/>
  <c r="D34" i="2090"/>
  <c r="R33" i="2090"/>
  <c r="L23" i="2090" s="1"/>
  <c r="D23" i="2090" s="1"/>
  <c r="R32" i="2090"/>
  <c r="R31" i="2090"/>
  <c r="R30" i="2090"/>
  <c r="R29" i="2090"/>
  <c r="R28" i="2090"/>
  <c r="L16" i="2090" s="1"/>
  <c r="D16" i="2090" s="1"/>
  <c r="D28" i="2090"/>
  <c r="R27" i="2090"/>
  <c r="D27" i="2090"/>
  <c r="R26" i="2090"/>
  <c r="L26" i="2090"/>
  <c r="D26" i="2090" s="1"/>
  <c r="R25" i="2090"/>
  <c r="L25" i="2090"/>
  <c r="D25" i="2090" s="1"/>
  <c r="R24" i="2090"/>
  <c r="D24" i="2090"/>
  <c r="R23" i="2090"/>
  <c r="R22" i="2090"/>
  <c r="L22" i="2090"/>
  <c r="D22" i="2090" s="1"/>
  <c r="R21" i="2090"/>
  <c r="D21" i="2090"/>
  <c r="R20" i="2090"/>
  <c r="L20" i="2090"/>
  <c r="D20" i="2090" s="1"/>
  <c r="R19" i="2090"/>
  <c r="L19" i="2090"/>
  <c r="D19" i="2090" s="1"/>
  <c r="R18" i="2090"/>
  <c r="D18" i="2090"/>
  <c r="R17" i="2090"/>
  <c r="D17" i="2090"/>
  <c r="R16" i="2090"/>
  <c r="S15" i="2090"/>
  <c r="R15" i="2090"/>
  <c r="D15" i="2090"/>
  <c r="S14" i="2090"/>
  <c r="R14" i="2090"/>
  <c r="D14" i="2090"/>
  <c r="R13" i="2090"/>
  <c r="D13" i="2090"/>
  <c r="R12" i="2090"/>
  <c r="R11" i="2090"/>
  <c r="L11" i="2090"/>
  <c r="D11" i="2090" s="1"/>
  <c r="L9" i="2090"/>
  <c r="D9" i="2090"/>
  <c r="L8" i="2090"/>
  <c r="D8" i="2090"/>
  <c r="R6" i="2090"/>
  <c r="R5" i="2090"/>
  <c r="R4" i="2090"/>
  <c r="R52" i="2089"/>
  <c r="R51" i="2089"/>
  <c r="D50" i="2089"/>
  <c r="R49" i="2089"/>
  <c r="D49" i="2089"/>
  <c r="R48" i="2089"/>
  <c r="D48" i="2089"/>
  <c r="D46" i="2089"/>
  <c r="D45" i="2089"/>
  <c r="R44" i="2089"/>
  <c r="L28" i="2089" s="1"/>
  <c r="D28" i="2089" s="1"/>
  <c r="D44" i="2089"/>
  <c r="R42" i="2089"/>
  <c r="L6" i="2089" s="1"/>
  <c r="D6" i="2089" s="1"/>
  <c r="D42" i="2089"/>
  <c r="R41" i="2089"/>
  <c r="D41" i="2089"/>
  <c r="R40" i="2089"/>
  <c r="L8" i="2089" s="1"/>
  <c r="D8" i="2089" s="1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L18" i="2089" s="1"/>
  <c r="D18" i="2089" s="1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R27" i="2089"/>
  <c r="L27" i="2089"/>
  <c r="D27" i="2089" s="1"/>
  <c r="R26" i="2089"/>
  <c r="L26" i="2089"/>
  <c r="D26" i="2089" s="1"/>
  <c r="R25" i="2089"/>
  <c r="L25" i="2089"/>
  <c r="D25" i="2089" s="1"/>
  <c r="R24" i="2089"/>
  <c r="L24" i="2089"/>
  <c r="D24" i="2089" s="1"/>
  <c r="R23" i="2089"/>
  <c r="L23" i="2089"/>
  <c r="D23" i="2089" s="1"/>
  <c r="R22" i="2089"/>
  <c r="L20" i="2089" s="1"/>
  <c r="D20" i="2089" s="1"/>
  <c r="L22" i="2089"/>
  <c r="D22" i="2089" s="1"/>
  <c r="R21" i="2089"/>
  <c r="L21" i="2089"/>
  <c r="D21" i="2089" s="1"/>
  <c r="R20" i="2089"/>
  <c r="R19" i="2089"/>
  <c r="L19" i="2089"/>
  <c r="D19" i="2089"/>
  <c r="R18" i="2089"/>
  <c r="R17" i="2089"/>
  <c r="L17" i="2089"/>
  <c r="D17" i="2089" s="1"/>
  <c r="R16" i="2089"/>
  <c r="R15" i="2089"/>
  <c r="R14" i="2089"/>
  <c r="D14" i="2089"/>
  <c r="R13" i="2089"/>
  <c r="D13" i="2089"/>
  <c r="R12" i="2089"/>
  <c r="L12" i="2089"/>
  <c r="D12" i="2089" s="1"/>
  <c r="R11" i="2089"/>
  <c r="L7" i="2089"/>
  <c r="D7" i="2089" s="1"/>
  <c r="R6" i="2089"/>
  <c r="L16" i="2089" s="1"/>
  <c r="D16" i="2089" s="1"/>
  <c r="R5" i="2089"/>
  <c r="R4" i="2089"/>
  <c r="L15" i="2089" s="1"/>
  <c r="D15" i="2089" s="1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 s="1"/>
  <c r="R22" i="2088"/>
  <c r="L20" i="2088" s="1"/>
  <c r="D20" i="2088" s="1"/>
  <c r="L22" i="2088"/>
  <c r="D22" i="2088" s="1"/>
  <c r="R21" i="2088"/>
  <c r="L17" i="2088" s="1"/>
  <c r="D17" i="2088" s="1"/>
  <c r="D21" i="2088"/>
  <c r="R20" i="2088"/>
  <c r="R19" i="2088"/>
  <c r="R18" i="2088"/>
  <c r="R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L7" i="2087" s="1"/>
  <c r="D7" i="2087" s="1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G49" i="2087" s="1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L11" i="2087" s="1"/>
  <c r="D11" i="2087" s="1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 s="1"/>
  <c r="R24" i="2087"/>
  <c r="L24" i="2087"/>
  <c r="D24" i="2087"/>
  <c r="R23" i="2087"/>
  <c r="L23" i="2087"/>
  <c r="D23" i="2087"/>
  <c r="R22" i="2087"/>
  <c r="L22" i="2087"/>
  <c r="D22" i="2087"/>
  <c r="R21" i="2087"/>
  <c r="L17" i="2087" s="1"/>
  <c r="D17" i="2087" s="1"/>
  <c r="L21" i="2087"/>
  <c r="D21" i="2087" s="1"/>
  <c r="R20" i="2087"/>
  <c r="L20" i="2087"/>
  <c r="D20" i="2087"/>
  <c r="R19" i="2087"/>
  <c r="R18" i="2087"/>
  <c r="L18" i="2087"/>
  <c r="D18" i="2087" s="1"/>
  <c r="R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 s="1"/>
  <c r="R11" i="2087"/>
  <c r="L9" i="2087"/>
  <c r="D9" i="2087" s="1"/>
  <c r="R6" i="2087"/>
  <c r="L16" i="2087" s="1"/>
  <c r="D16" i="2087" s="1"/>
  <c r="L6" i="2087"/>
  <c r="D6" i="2087" s="1"/>
  <c r="R5" i="2087"/>
  <c r="R4" i="2087"/>
  <c r="G49" i="2101" l="1"/>
  <c r="D54" i="2096"/>
  <c r="H14" i="2096" s="1"/>
  <c r="D29" i="2105"/>
  <c r="H13" i="2105" s="1"/>
  <c r="D54" i="2102"/>
  <c r="H14" i="2102" s="1"/>
  <c r="G49" i="2095"/>
  <c r="D54" i="2094"/>
  <c r="H14" i="2094" s="1"/>
  <c r="D54" i="2099"/>
  <c r="H14" i="2099" s="1"/>
  <c r="D54" i="2100"/>
  <c r="H14" i="2100" s="1"/>
  <c r="G49" i="2099"/>
  <c r="G49" i="2100"/>
  <c r="D54" i="2095"/>
  <c r="H14" i="2095" s="1"/>
  <c r="D54" i="2090"/>
  <c r="H14" i="2090" s="1"/>
  <c r="D54" i="2097"/>
  <c r="H14" i="2097" s="1"/>
  <c r="D54" i="2101"/>
  <c r="H14" i="2101" s="1"/>
  <c r="D54" i="2103"/>
  <c r="H14" i="2103" s="1"/>
  <c r="D54" i="2104"/>
  <c r="H14" i="2104" s="1"/>
  <c r="D54" i="2105"/>
  <c r="H14" i="2105" s="1"/>
  <c r="G49" i="2096"/>
  <c r="D54" i="2098"/>
  <c r="H14" i="2098" s="1"/>
  <c r="G49" i="2103"/>
  <c r="G51" i="2103" s="1"/>
  <c r="G49" i="2104"/>
  <c r="G51" i="2104" s="1"/>
  <c r="G49" i="2105"/>
  <c r="G49" i="2093"/>
  <c r="G49" i="2092"/>
  <c r="G49" i="2091"/>
  <c r="D54" i="2093"/>
  <c r="H14" i="2093" s="1"/>
  <c r="D54" i="2092"/>
  <c r="H14" i="2092" s="1"/>
  <c r="D29" i="2092"/>
  <c r="H13" i="2092" s="1"/>
  <c r="D54" i="2091"/>
  <c r="H14" i="2091" s="1"/>
  <c r="G49" i="2089"/>
  <c r="D54" i="2089"/>
  <c r="H14" i="2089" s="1"/>
  <c r="D29" i="2089"/>
  <c r="H13" i="2089" s="1"/>
  <c r="G49" i="2088"/>
  <c r="D54" i="2088"/>
  <c r="H14" i="2088" s="1"/>
  <c r="D54" i="2087"/>
  <c r="H14" i="2087" s="1"/>
  <c r="D29" i="2087"/>
  <c r="H13" i="2087" s="1"/>
  <c r="H15" i="2106"/>
  <c r="H29" i="2106" s="1"/>
  <c r="G51" i="2106" s="1"/>
  <c r="D29" i="2104"/>
  <c r="H13" i="2104" s="1"/>
  <c r="H15" i="2104" s="1"/>
  <c r="H29" i="2104" s="1"/>
  <c r="D29" i="2103"/>
  <c r="H13" i="2103" s="1"/>
  <c r="H15" i="2103" s="1"/>
  <c r="H29" i="2103" s="1"/>
  <c r="D29" i="2102"/>
  <c r="H13" i="2102" s="1"/>
  <c r="H15" i="2102" s="1"/>
  <c r="H29" i="2102" s="1"/>
  <c r="G51" i="2102" s="1"/>
  <c r="D29" i="2101"/>
  <c r="H13" i="2101" s="1"/>
  <c r="D29" i="2100"/>
  <c r="H13" i="2100" s="1"/>
  <c r="D29" i="2099"/>
  <c r="H13" i="2099" s="1"/>
  <c r="D29" i="2098"/>
  <c r="H13" i="2098" s="1"/>
  <c r="H15" i="2098" s="1"/>
  <c r="H29" i="2098" s="1"/>
  <c r="G51" i="2098" s="1"/>
  <c r="D29" i="2097"/>
  <c r="H13" i="2097" s="1"/>
  <c r="D29" i="2096"/>
  <c r="H13" i="2096" s="1"/>
  <c r="D29" i="2095"/>
  <c r="H13" i="2095" s="1"/>
  <c r="D29" i="2094"/>
  <c r="H13" i="2094" s="1"/>
  <c r="H15" i="2094" s="1"/>
  <c r="H29" i="2094" s="1"/>
  <c r="G51" i="2094" s="1"/>
  <c r="D29" i="2093"/>
  <c r="H13" i="2093" s="1"/>
  <c r="D29" i="2091"/>
  <c r="H13" i="2091" s="1"/>
  <c r="D29" i="2090"/>
  <c r="H13" i="2090" s="1"/>
  <c r="H15" i="2090" s="1"/>
  <c r="H29" i="2090" s="1"/>
  <c r="G51" i="2090"/>
  <c r="D29" i="2088"/>
  <c r="H13" i="2088" s="1"/>
  <c r="H26" i="2083"/>
  <c r="H16" i="2081"/>
  <c r="H15" i="2099" l="1"/>
  <c r="H29" i="2099" s="1"/>
  <c r="G51" i="2099" s="1"/>
  <c r="H15" i="2100"/>
  <c r="H29" i="2100" s="1"/>
  <c r="G51" i="2100" s="1"/>
  <c r="H15" i="2101"/>
  <c r="H29" i="2101" s="1"/>
  <c r="G51" i="2101" s="1"/>
  <c r="H15" i="2095"/>
  <c r="G51" i="2095" s="1"/>
  <c r="H15" i="2096"/>
  <c r="H29" i="2096" s="1"/>
  <c r="G51" i="2096" s="1"/>
  <c r="H15" i="2097"/>
  <c r="H29" i="2097" s="1"/>
  <c r="G51" i="2097" s="1"/>
  <c r="H15" i="2105"/>
  <c r="H29" i="2105" s="1"/>
  <c r="G51" i="2105" s="1"/>
  <c r="H15" i="2093"/>
  <c r="H29" i="2093" s="1"/>
  <c r="G51" i="2093" s="1"/>
  <c r="H15" i="2092"/>
  <c r="H29" i="2092" s="1"/>
  <c r="G51" i="2092" s="1"/>
  <c r="H15" i="2091"/>
  <c r="H29" i="2091" s="1"/>
  <c r="G51" i="2091" s="1"/>
  <c r="H15" i="2089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R35" i="2086"/>
  <c r="L19" i="2086" s="1"/>
  <c r="D19" i="2086" s="1"/>
  <c r="D35" i="2086"/>
  <c r="R34" i="2086"/>
  <c r="D34" i="2086"/>
  <c r="R33" i="2086"/>
  <c r="L23" i="2086" s="1"/>
  <c r="D23" i="2086" s="1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R22" i="2086"/>
  <c r="L22" i="2086"/>
  <c r="D22" i="2086" s="1"/>
  <c r="R21" i="2086"/>
  <c r="D21" i="2086"/>
  <c r="R20" i="2086"/>
  <c r="L20" i="2086"/>
  <c r="D20" i="2086"/>
  <c r="R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R52" i="2085"/>
  <c r="R51" i="2085"/>
  <c r="D50" i="2085"/>
  <c r="R49" i="2085"/>
  <c r="D49" i="2085"/>
  <c r="R48" i="2085"/>
  <c r="D48" i="2085"/>
  <c r="D46" i="2085"/>
  <c r="D45" i="2085"/>
  <c r="R44" i="2085"/>
  <c r="L28" i="2085" s="1"/>
  <c r="D28" i="2085" s="1"/>
  <c r="D44" i="2085"/>
  <c r="R42" i="2085"/>
  <c r="L6" i="2085" s="1"/>
  <c r="D6" i="2085" s="1"/>
  <c r="D42" i="2085"/>
  <c r="R41" i="2085"/>
  <c r="D41" i="2085"/>
  <c r="R40" i="2085"/>
  <c r="L8" i="2085" s="1"/>
  <c r="D8" i="2085" s="1"/>
  <c r="D40" i="2085"/>
  <c r="R39" i="2085"/>
  <c r="H39" i="2085"/>
  <c r="D39" i="2085"/>
  <c r="R38" i="2085"/>
  <c r="L9" i="2085" s="1"/>
  <c r="D9" i="2085" s="1"/>
  <c r="H38" i="2085"/>
  <c r="D38" i="2085"/>
  <c r="R37" i="2085"/>
  <c r="H37" i="2085"/>
  <c r="D37" i="2085"/>
  <c r="R36" i="2085"/>
  <c r="L10" i="2085" s="1"/>
  <c r="D10" i="2085" s="1"/>
  <c r="H36" i="2085"/>
  <c r="D36" i="2085"/>
  <c r="R35" i="2085"/>
  <c r="L18" i="2085" s="1"/>
  <c r="D18" i="2085" s="1"/>
  <c r="H35" i="2085"/>
  <c r="D35" i="2085"/>
  <c r="R34" i="2085"/>
  <c r="L12" i="2085" s="1"/>
  <c r="D12" i="2085" s="1"/>
  <c r="H34" i="2085"/>
  <c r="D34" i="2085"/>
  <c r="R33" i="2085"/>
  <c r="L19" i="2085" s="1"/>
  <c r="D19" i="2085" s="1"/>
  <c r="R32" i="2085"/>
  <c r="R31" i="2085"/>
  <c r="R30" i="2085"/>
  <c r="R29" i="2085"/>
  <c r="R28" i="2085"/>
  <c r="R27" i="2085"/>
  <c r="L27" i="2085"/>
  <c r="D27" i="2085" s="1"/>
  <c r="R26" i="2085"/>
  <c r="L26" i="2085"/>
  <c r="D26" i="2085" s="1"/>
  <c r="R25" i="2085"/>
  <c r="L25" i="2085"/>
  <c r="D25" i="2085" s="1"/>
  <c r="R24" i="2085"/>
  <c r="L24" i="2085"/>
  <c r="D24" i="2085" s="1"/>
  <c r="R23" i="2085"/>
  <c r="L23" i="2085"/>
  <c r="D23" i="2085" s="1"/>
  <c r="R22" i="2085"/>
  <c r="L20" i="2085" s="1"/>
  <c r="D20" i="2085" s="1"/>
  <c r="L22" i="2085"/>
  <c r="D22" i="2085" s="1"/>
  <c r="R21" i="2085"/>
  <c r="L17" i="2085" s="1"/>
  <c r="D17" i="2085" s="1"/>
  <c r="L21" i="2085"/>
  <c r="D21" i="2085" s="1"/>
  <c r="R20" i="2085"/>
  <c r="R19" i="2085"/>
  <c r="R18" i="2085"/>
  <c r="R17" i="2085"/>
  <c r="R16" i="2085"/>
  <c r="R15" i="2085"/>
  <c r="R14" i="2085"/>
  <c r="D14" i="2085"/>
  <c r="R13" i="2085"/>
  <c r="D13" i="2085"/>
  <c r="R12" i="2085"/>
  <c r="R11" i="2085"/>
  <c r="L11" i="2085"/>
  <c r="D11" i="2085" s="1"/>
  <c r="L7" i="2085"/>
  <c r="D7" i="2085" s="1"/>
  <c r="R6" i="2085"/>
  <c r="L16" i="2085" s="1"/>
  <c r="D16" i="2085" s="1"/>
  <c r="R5" i="2085"/>
  <c r="R4" i="2085"/>
  <c r="L15" i="2085" s="1"/>
  <c r="D15" i="2085" s="1"/>
  <c r="R52" i="2084"/>
  <c r="R51" i="2084"/>
  <c r="D50" i="2084"/>
  <c r="R49" i="2084"/>
  <c r="D49" i="2084"/>
  <c r="R48" i="2084"/>
  <c r="D48" i="2084"/>
  <c r="D46" i="2084"/>
  <c r="D45" i="2084"/>
  <c r="R44" i="2084"/>
  <c r="L28" i="2084" s="1"/>
  <c r="D28" i="2084" s="1"/>
  <c r="D44" i="2084"/>
  <c r="R42" i="2084"/>
  <c r="D42" i="2084"/>
  <c r="R41" i="2084"/>
  <c r="D41" i="2084"/>
  <c r="R40" i="2084"/>
  <c r="L8" i="2084" s="1"/>
  <c r="D8" i="2084" s="1"/>
  <c r="D40" i="2084"/>
  <c r="R39" i="2084"/>
  <c r="H39" i="2084"/>
  <c r="D39" i="2084"/>
  <c r="R38" i="2084"/>
  <c r="L9" i="2084" s="1"/>
  <c r="D9" i="2084" s="1"/>
  <c r="H38" i="2084"/>
  <c r="D38" i="2084"/>
  <c r="R37" i="2084"/>
  <c r="H37" i="2084"/>
  <c r="D37" i="2084"/>
  <c r="R36" i="2084"/>
  <c r="L10" i="2084" s="1"/>
  <c r="D10" i="2084" s="1"/>
  <c r="H36" i="2084"/>
  <c r="D36" i="2084"/>
  <c r="R35" i="2084"/>
  <c r="L18" i="2084" s="1"/>
  <c r="D18" i="2084" s="1"/>
  <c r="H35" i="2084"/>
  <c r="D35" i="2084"/>
  <c r="R34" i="2084"/>
  <c r="H34" i="2084"/>
  <c r="D34" i="2084"/>
  <c r="R33" i="2084"/>
  <c r="L19" i="2084" s="1"/>
  <c r="D19" i="2084" s="1"/>
  <c r="R32" i="2084"/>
  <c r="L11" i="2084" s="1"/>
  <c r="D11" i="2084" s="1"/>
  <c r="R31" i="2084"/>
  <c r="R30" i="2084"/>
  <c r="R29" i="2084"/>
  <c r="R28" i="2084"/>
  <c r="R27" i="2084"/>
  <c r="L27" i="2084"/>
  <c r="D27" i="2084" s="1"/>
  <c r="R26" i="2084"/>
  <c r="L26" i="2084"/>
  <c r="D26" i="2084" s="1"/>
  <c r="R25" i="2084"/>
  <c r="L25" i="2084"/>
  <c r="D25" i="2084"/>
  <c r="R24" i="2084"/>
  <c r="L24" i="2084"/>
  <c r="D24" i="2084"/>
  <c r="R23" i="2084"/>
  <c r="L23" i="2084"/>
  <c r="D23" i="2084" s="1"/>
  <c r="R22" i="2084"/>
  <c r="L20" i="2084" s="1"/>
  <c r="D20" i="2084" s="1"/>
  <c r="L22" i="2084"/>
  <c r="D22" i="2084"/>
  <c r="R21" i="2084"/>
  <c r="D21" i="2084"/>
  <c r="R20" i="2084"/>
  <c r="R19" i="2084"/>
  <c r="R18" i="2084"/>
  <c r="R17" i="2084"/>
  <c r="L17" i="2084"/>
  <c r="D17" i="2084"/>
  <c r="R16" i="2084"/>
  <c r="L16" i="2084"/>
  <c r="D16" i="2084" s="1"/>
  <c r="R15" i="2084"/>
  <c r="R14" i="2084"/>
  <c r="D14" i="2084"/>
  <c r="R13" i="2084"/>
  <c r="D13" i="2084"/>
  <c r="R12" i="2084"/>
  <c r="L12" i="2084"/>
  <c r="D12" i="2084" s="1"/>
  <c r="R11" i="2084"/>
  <c r="L7" i="2084"/>
  <c r="D7" i="2084" s="1"/>
  <c r="R6" i="2084"/>
  <c r="L6" i="2084"/>
  <c r="D6" i="2084" s="1"/>
  <c r="R5" i="2084"/>
  <c r="R4" i="2084"/>
  <c r="L15" i="2084" s="1"/>
  <c r="D15" i="2084" s="1"/>
  <c r="R52" i="2083"/>
  <c r="R51" i="2083"/>
  <c r="D50" i="2083"/>
  <c r="R49" i="2083"/>
  <c r="D49" i="2083"/>
  <c r="R48" i="2083"/>
  <c r="D48" i="2083"/>
  <c r="D46" i="2083"/>
  <c r="D45" i="2083"/>
  <c r="R44" i="2083"/>
  <c r="L28" i="2083" s="1"/>
  <c r="D28" i="2083" s="1"/>
  <c r="D44" i="2083"/>
  <c r="R42" i="2083"/>
  <c r="L6" i="2083" s="1"/>
  <c r="D6" i="2083" s="1"/>
  <c r="D42" i="2083"/>
  <c r="R41" i="2083"/>
  <c r="D41" i="2083"/>
  <c r="R40" i="2083"/>
  <c r="L8" i="2083" s="1"/>
  <c r="D8" i="2083" s="1"/>
  <c r="D40" i="2083"/>
  <c r="R39" i="2083"/>
  <c r="H39" i="2083"/>
  <c r="D39" i="2083"/>
  <c r="R38" i="2083"/>
  <c r="L9" i="2083" s="1"/>
  <c r="D9" i="2083" s="1"/>
  <c r="H38" i="2083"/>
  <c r="D38" i="2083"/>
  <c r="R37" i="2083"/>
  <c r="H37" i="2083"/>
  <c r="D37" i="2083"/>
  <c r="R36" i="2083"/>
  <c r="L10" i="2083" s="1"/>
  <c r="D10" i="2083" s="1"/>
  <c r="H36" i="2083"/>
  <c r="D36" i="2083"/>
  <c r="R35" i="2083"/>
  <c r="H35" i="2083"/>
  <c r="D35" i="2083"/>
  <c r="R34" i="2083"/>
  <c r="H34" i="2083"/>
  <c r="D34" i="2083"/>
  <c r="D54" i="2083" s="1"/>
  <c r="H14" i="2083" s="1"/>
  <c r="R33" i="2083"/>
  <c r="R32" i="2083"/>
  <c r="R31" i="2083"/>
  <c r="R30" i="2083"/>
  <c r="R29" i="2083"/>
  <c r="R28" i="2083"/>
  <c r="R27" i="2083"/>
  <c r="L27" i="2083"/>
  <c r="D27" i="2083"/>
  <c r="R26" i="2083"/>
  <c r="L26" i="2083"/>
  <c r="D26" i="2083"/>
  <c r="R25" i="2083"/>
  <c r="L25" i="2083"/>
  <c r="D25" i="2083" s="1"/>
  <c r="R24" i="2083"/>
  <c r="L24" i="2083"/>
  <c r="D24" i="2083" s="1"/>
  <c r="R23" i="2083"/>
  <c r="L23" i="2083"/>
  <c r="D23" i="2083" s="1"/>
  <c r="R22" i="2083"/>
  <c r="L20" i="2083" s="1"/>
  <c r="D20" i="2083" s="1"/>
  <c r="L22" i="2083"/>
  <c r="D22" i="2083" s="1"/>
  <c r="R21" i="2083"/>
  <c r="L17" i="2083" s="1"/>
  <c r="D17" i="2083" s="1"/>
  <c r="L21" i="2083"/>
  <c r="D21" i="2083" s="1"/>
  <c r="R20" i="2083"/>
  <c r="R19" i="2083"/>
  <c r="L19" i="2083"/>
  <c r="D19" i="2083"/>
  <c r="R18" i="2083"/>
  <c r="L18" i="2083"/>
  <c r="D18" i="2083" s="1"/>
  <c r="R17" i="2083"/>
  <c r="R16" i="2083"/>
  <c r="R15" i="2083"/>
  <c r="R14" i="2083"/>
  <c r="D14" i="2083"/>
  <c r="R13" i="2083"/>
  <c r="D13" i="2083"/>
  <c r="R12" i="2083"/>
  <c r="L12" i="2083"/>
  <c r="D12" i="2083" s="1"/>
  <c r="R11" i="2083"/>
  <c r="L11" i="2083"/>
  <c r="D11" i="2083" s="1"/>
  <c r="L7" i="2083"/>
  <c r="D7" i="2083"/>
  <c r="R6" i="2083"/>
  <c r="L16" i="2083" s="1"/>
  <c r="D16" i="2083" s="1"/>
  <c r="R5" i="2083"/>
  <c r="R4" i="2083"/>
  <c r="L15" i="2083" s="1"/>
  <c r="D15" i="2083" s="1"/>
  <c r="R52" i="2082"/>
  <c r="R51" i="2082"/>
  <c r="D50" i="2082"/>
  <c r="R49" i="2082"/>
  <c r="G49" i="2082"/>
  <c r="D49" i="2082"/>
  <c r="R48" i="2082"/>
  <c r="D48" i="2082"/>
  <c r="D46" i="2082"/>
  <c r="D45" i="2082"/>
  <c r="D44" i="2082"/>
  <c r="R42" i="2082"/>
  <c r="L6" i="2082" s="1"/>
  <c r="D6" i="2082" s="1"/>
  <c r="D42" i="2082"/>
  <c r="R41" i="2082"/>
  <c r="L7" i="2082" s="1"/>
  <c r="D7" i="2082" s="1"/>
  <c r="D41" i="2082"/>
  <c r="R40" i="2082"/>
  <c r="L8" i="2082" s="1"/>
  <c r="D8" i="2082" s="1"/>
  <c r="D40" i="2082"/>
  <c r="R39" i="2082"/>
  <c r="D39" i="2082"/>
  <c r="R38" i="2082"/>
  <c r="L9" i="2082" s="1"/>
  <c r="D9" i="2082" s="1"/>
  <c r="D38" i="2082"/>
  <c r="R37" i="2082"/>
  <c r="D37" i="2082"/>
  <c r="R36" i="2082"/>
  <c r="L10" i="2082" s="1"/>
  <c r="D10" i="2082" s="1"/>
  <c r="D36" i="2082"/>
  <c r="R35" i="2082"/>
  <c r="D35" i="2082"/>
  <c r="R34" i="2082"/>
  <c r="L12" i="2082" s="1"/>
  <c r="D12" i="2082" s="1"/>
  <c r="D34" i="2082"/>
  <c r="R33" i="2082"/>
  <c r="L23" i="2082" s="1"/>
  <c r="D23" i="2082" s="1"/>
  <c r="R32" i="2082"/>
  <c r="R31" i="2082"/>
  <c r="R30" i="2082"/>
  <c r="R29" i="2082"/>
  <c r="R28" i="2082"/>
  <c r="L16" i="2082" s="1"/>
  <c r="D16" i="2082" s="1"/>
  <c r="D28" i="2082"/>
  <c r="R27" i="2082"/>
  <c r="D27" i="2082"/>
  <c r="R26" i="2082"/>
  <c r="L26" i="2082"/>
  <c r="D26" i="2082"/>
  <c r="R25" i="2082"/>
  <c r="L25" i="2082"/>
  <c r="D25" i="2082"/>
  <c r="R24" i="2082"/>
  <c r="D24" i="2082"/>
  <c r="R23" i="2082"/>
  <c r="R22" i="2082"/>
  <c r="L22" i="2082"/>
  <c r="D22" i="2082" s="1"/>
  <c r="R21" i="2082"/>
  <c r="D21" i="2082"/>
  <c r="R20" i="2082"/>
  <c r="L20" i="2082"/>
  <c r="D20" i="2082" s="1"/>
  <c r="R19" i="2082"/>
  <c r="L19" i="2082"/>
  <c r="D19" i="2082" s="1"/>
  <c r="R18" i="2082"/>
  <c r="D18" i="2082"/>
  <c r="R17" i="2082"/>
  <c r="D17" i="2082"/>
  <c r="R16" i="2082"/>
  <c r="S15" i="2082"/>
  <c r="R15" i="2082"/>
  <c r="D15" i="2082"/>
  <c r="S14" i="2082"/>
  <c r="R14" i="2082"/>
  <c r="D14" i="2082"/>
  <c r="R13" i="2082"/>
  <c r="D13" i="2082"/>
  <c r="R12" i="2082"/>
  <c r="R11" i="2082"/>
  <c r="L11" i="2082"/>
  <c r="D11" i="2082"/>
  <c r="R6" i="2082"/>
  <c r="R5" i="2082"/>
  <c r="R4" i="2082"/>
  <c r="R52" i="2081"/>
  <c r="R51" i="2081"/>
  <c r="D50" i="2081"/>
  <c r="R49" i="2081"/>
  <c r="D49" i="2081"/>
  <c r="R48" i="2081"/>
  <c r="D48" i="2081"/>
  <c r="D46" i="2081"/>
  <c r="D45" i="2081"/>
  <c r="R44" i="2081"/>
  <c r="L28" i="2081" s="1"/>
  <c r="D28" i="2081" s="1"/>
  <c r="D44" i="2081"/>
  <c r="R42" i="2081"/>
  <c r="D42" i="2081"/>
  <c r="R41" i="2081"/>
  <c r="D41" i="2081"/>
  <c r="R40" i="2081"/>
  <c r="L8" i="2081" s="1"/>
  <c r="D8" i="2081" s="1"/>
  <c r="D40" i="2081"/>
  <c r="R39" i="2081"/>
  <c r="H39" i="2081"/>
  <c r="D39" i="2081"/>
  <c r="R38" i="2081"/>
  <c r="H38" i="2081"/>
  <c r="D38" i="2081"/>
  <c r="R37" i="2081"/>
  <c r="H37" i="2081"/>
  <c r="D37" i="2081"/>
  <c r="R36" i="2081"/>
  <c r="L10" i="2081" s="1"/>
  <c r="D10" i="2081" s="1"/>
  <c r="H36" i="2081"/>
  <c r="D36" i="2081"/>
  <c r="R35" i="2081"/>
  <c r="L18" i="2081" s="1"/>
  <c r="D18" i="2081" s="1"/>
  <c r="H35" i="2081"/>
  <c r="D35" i="2081"/>
  <c r="R34" i="2081"/>
  <c r="L12" i="2081" s="1"/>
  <c r="D12" i="2081" s="1"/>
  <c r="H34" i="2081"/>
  <c r="D34" i="2081"/>
  <c r="R33" i="2081"/>
  <c r="L19" i="2081" s="1"/>
  <c r="D19" i="2081" s="1"/>
  <c r="R32" i="2081"/>
  <c r="R31" i="2081"/>
  <c r="R30" i="2081"/>
  <c r="R29" i="2081"/>
  <c r="R28" i="2081"/>
  <c r="R27" i="2081"/>
  <c r="L27" i="2081"/>
  <c r="D27" i="2081"/>
  <c r="R26" i="2081"/>
  <c r="L26" i="2081"/>
  <c r="D26" i="2081"/>
  <c r="R25" i="2081"/>
  <c r="L25" i="2081"/>
  <c r="D25" i="2081"/>
  <c r="R24" i="2081"/>
  <c r="L24" i="2081"/>
  <c r="D24" i="2081" s="1"/>
  <c r="R23" i="2081"/>
  <c r="L23" i="2081"/>
  <c r="D23" i="2081" s="1"/>
  <c r="R22" i="2081"/>
  <c r="L20" i="2081" s="1"/>
  <c r="D20" i="2081" s="1"/>
  <c r="L22" i="2081"/>
  <c r="D22" i="2081" s="1"/>
  <c r="R21" i="2081"/>
  <c r="L17" i="2081" s="1"/>
  <c r="D17" i="2081" s="1"/>
  <c r="L21" i="2081"/>
  <c r="D21" i="2081"/>
  <c r="R20" i="2081"/>
  <c r="R19" i="2081"/>
  <c r="R18" i="2081"/>
  <c r="R17" i="2081"/>
  <c r="R16" i="2081"/>
  <c r="R15" i="2081"/>
  <c r="R14" i="2081"/>
  <c r="D14" i="2081"/>
  <c r="R13" i="2081"/>
  <c r="D13" i="2081"/>
  <c r="R12" i="2081"/>
  <c r="R11" i="2081"/>
  <c r="L11" i="2081"/>
  <c r="D11" i="2081"/>
  <c r="L9" i="2081"/>
  <c r="D9" i="2081" s="1"/>
  <c r="L7" i="2081"/>
  <c r="D7" i="2081" s="1"/>
  <c r="R6" i="2081"/>
  <c r="L16" i="2081" s="1"/>
  <c r="D16" i="2081" s="1"/>
  <c r="L6" i="2081"/>
  <c r="D6" i="2081" s="1"/>
  <c r="R5" i="2081"/>
  <c r="R4" i="2081"/>
  <c r="L15" i="2081" s="1"/>
  <c r="D15" i="2081" s="1"/>
  <c r="R52" i="2080"/>
  <c r="R51" i="2080"/>
  <c r="D50" i="2080"/>
  <c r="R49" i="2080"/>
  <c r="D49" i="2080"/>
  <c r="R48" i="2080"/>
  <c r="D48" i="2080"/>
  <c r="D46" i="2080"/>
  <c r="D45" i="2080"/>
  <c r="R44" i="2080"/>
  <c r="L28" i="2080" s="1"/>
  <c r="D28" i="2080" s="1"/>
  <c r="D44" i="2080"/>
  <c r="R42" i="2080"/>
  <c r="L6" i="2080" s="1"/>
  <c r="D6" i="2080" s="1"/>
  <c r="D42" i="2080"/>
  <c r="R41" i="2080"/>
  <c r="L7" i="2080" s="1"/>
  <c r="D7" i="2080" s="1"/>
  <c r="D41" i="2080"/>
  <c r="R40" i="2080"/>
  <c r="L8" i="2080" s="1"/>
  <c r="D8" i="2080" s="1"/>
  <c r="D40" i="2080"/>
  <c r="R39" i="2080"/>
  <c r="H39" i="2080"/>
  <c r="D39" i="2080"/>
  <c r="R38" i="2080"/>
  <c r="H38" i="2080"/>
  <c r="D38" i="2080"/>
  <c r="R37" i="2080"/>
  <c r="H37" i="2080"/>
  <c r="D37" i="2080"/>
  <c r="R36" i="2080"/>
  <c r="L10" i="2080" s="1"/>
  <c r="D10" i="2080" s="1"/>
  <c r="H36" i="2080"/>
  <c r="D36" i="2080"/>
  <c r="R35" i="2080"/>
  <c r="H35" i="2080"/>
  <c r="D35" i="2080"/>
  <c r="R34" i="2080"/>
  <c r="L12" i="2080" s="1"/>
  <c r="D12" i="2080" s="1"/>
  <c r="H34" i="2080"/>
  <c r="D34" i="2080"/>
  <c r="R33" i="2080"/>
  <c r="L19" i="2080" s="1"/>
  <c r="D19" i="2080" s="1"/>
  <c r="R32" i="2080"/>
  <c r="L11" i="2080" s="1"/>
  <c r="D11" i="2080" s="1"/>
  <c r="R31" i="2080"/>
  <c r="R30" i="2080"/>
  <c r="R29" i="2080"/>
  <c r="R28" i="2080"/>
  <c r="R27" i="2080"/>
  <c r="L27" i="2080"/>
  <c r="D27" i="2080" s="1"/>
  <c r="R26" i="2080"/>
  <c r="L26" i="2080"/>
  <c r="D26" i="2080" s="1"/>
  <c r="R25" i="2080"/>
  <c r="L25" i="2080"/>
  <c r="D25" i="2080" s="1"/>
  <c r="R24" i="2080"/>
  <c r="L24" i="2080"/>
  <c r="D24" i="2080" s="1"/>
  <c r="R23" i="2080"/>
  <c r="L23" i="2080"/>
  <c r="D23" i="2080" s="1"/>
  <c r="R22" i="2080"/>
  <c r="L20" i="2080" s="1"/>
  <c r="D20" i="2080" s="1"/>
  <c r="L22" i="2080"/>
  <c r="D22" i="2080"/>
  <c r="R21" i="2080"/>
  <c r="D21" i="2080"/>
  <c r="R20" i="2080"/>
  <c r="R19" i="2080"/>
  <c r="R18" i="2080"/>
  <c r="L18" i="2080"/>
  <c r="D18" i="2080" s="1"/>
  <c r="R17" i="2080"/>
  <c r="L17" i="2080"/>
  <c r="D17" i="2080" s="1"/>
  <c r="R16" i="2080"/>
  <c r="R15" i="2080"/>
  <c r="R14" i="2080"/>
  <c r="D14" i="2080"/>
  <c r="R13" i="2080"/>
  <c r="D13" i="2080"/>
  <c r="R12" i="2080"/>
  <c r="R11" i="2080"/>
  <c r="L9" i="2080"/>
  <c r="D9" i="2080"/>
  <c r="R6" i="2080"/>
  <c r="L16" i="2080" s="1"/>
  <c r="D16" i="2080" s="1"/>
  <c r="R5" i="2080"/>
  <c r="R4" i="2080"/>
  <c r="L15" i="2080" s="1"/>
  <c r="D15" i="2080" s="1"/>
  <c r="R52" i="2079"/>
  <c r="R51" i="2079"/>
  <c r="D50" i="2079"/>
  <c r="R49" i="2079"/>
  <c r="D49" i="2079"/>
  <c r="R48" i="2079"/>
  <c r="D48" i="2079"/>
  <c r="D46" i="2079"/>
  <c r="D45" i="2079"/>
  <c r="R44" i="2079"/>
  <c r="D44" i="2079"/>
  <c r="R42" i="2079"/>
  <c r="L6" i="2079" s="1"/>
  <c r="D6" i="2079" s="1"/>
  <c r="D42" i="2079"/>
  <c r="R41" i="2079"/>
  <c r="D41" i="2079"/>
  <c r="R40" i="2079"/>
  <c r="L8" i="2079" s="1"/>
  <c r="D8" i="2079" s="1"/>
  <c r="D40" i="2079"/>
  <c r="R39" i="2079"/>
  <c r="H39" i="2079"/>
  <c r="D39" i="2079"/>
  <c r="R38" i="2079"/>
  <c r="L9" i="2079" s="1"/>
  <c r="D9" i="2079" s="1"/>
  <c r="H38" i="2079"/>
  <c r="D38" i="2079"/>
  <c r="R37" i="2079"/>
  <c r="H37" i="2079"/>
  <c r="D37" i="2079"/>
  <c r="R36" i="2079"/>
  <c r="H36" i="2079"/>
  <c r="D36" i="2079"/>
  <c r="R35" i="2079"/>
  <c r="L18" i="2079" s="1"/>
  <c r="D18" i="2079" s="1"/>
  <c r="H35" i="2079"/>
  <c r="D35" i="2079"/>
  <c r="R34" i="2079"/>
  <c r="L12" i="2079" s="1"/>
  <c r="D12" i="2079" s="1"/>
  <c r="H34" i="2079"/>
  <c r="D34" i="2079"/>
  <c r="R33" i="2079"/>
  <c r="L19" i="2079" s="1"/>
  <c r="D19" i="2079" s="1"/>
  <c r="R32" i="2079"/>
  <c r="L11" i="2079" s="1"/>
  <c r="D11" i="2079" s="1"/>
  <c r="R31" i="2079"/>
  <c r="R30" i="2079"/>
  <c r="R29" i="2079"/>
  <c r="R28" i="2079"/>
  <c r="L28" i="2079"/>
  <c r="D28" i="2079"/>
  <c r="R27" i="2079"/>
  <c r="L27" i="2079"/>
  <c r="D27" i="2079" s="1"/>
  <c r="R26" i="2079"/>
  <c r="L26" i="2079"/>
  <c r="D26" i="2079" s="1"/>
  <c r="R25" i="2079"/>
  <c r="L25" i="2079"/>
  <c r="D25" i="2079"/>
  <c r="R24" i="2079"/>
  <c r="L24" i="2079"/>
  <c r="D24" i="2079"/>
  <c r="R23" i="2079"/>
  <c r="L23" i="2079"/>
  <c r="D23" i="2079" s="1"/>
  <c r="R22" i="2079"/>
  <c r="L22" i="2079"/>
  <c r="D22" i="2079"/>
  <c r="R21" i="2079"/>
  <c r="L17" i="2079" s="1"/>
  <c r="D17" i="2079" s="1"/>
  <c r="L21" i="2079"/>
  <c r="D21" i="2079" s="1"/>
  <c r="R20" i="2079"/>
  <c r="L20" i="2079"/>
  <c r="D20" i="2079" s="1"/>
  <c r="R19" i="2079"/>
  <c r="R18" i="2079"/>
  <c r="R17" i="2079"/>
  <c r="R16" i="2079"/>
  <c r="L16" i="2079"/>
  <c r="D16" i="2079"/>
  <c r="R15" i="2079"/>
  <c r="L15" i="2079"/>
  <c r="D15" i="2079"/>
  <c r="R14" i="2079"/>
  <c r="D14" i="2079"/>
  <c r="R13" i="2079"/>
  <c r="D13" i="2079"/>
  <c r="R12" i="2079"/>
  <c r="R11" i="2079"/>
  <c r="L10" i="2079"/>
  <c r="D10" i="2079" s="1"/>
  <c r="L7" i="2079"/>
  <c r="D7" i="2079"/>
  <c r="R6" i="2079"/>
  <c r="R5" i="2079"/>
  <c r="R4" i="2079"/>
  <c r="R52" i="2078"/>
  <c r="R51" i="2078"/>
  <c r="D50" i="2078"/>
  <c r="R49" i="2078"/>
  <c r="G49" i="2078"/>
  <c r="D49" i="2078"/>
  <c r="R48" i="2078"/>
  <c r="D48" i="2078"/>
  <c r="D46" i="2078"/>
  <c r="D45" i="2078"/>
  <c r="D44" i="2078"/>
  <c r="R42" i="2078"/>
  <c r="D42" i="2078"/>
  <c r="R41" i="2078"/>
  <c r="L7" i="2078" s="1"/>
  <c r="D7" i="2078" s="1"/>
  <c r="D41" i="2078"/>
  <c r="R40" i="2078"/>
  <c r="L8" i="2078" s="1"/>
  <c r="D8" i="2078" s="1"/>
  <c r="D40" i="2078"/>
  <c r="R39" i="2078"/>
  <c r="D39" i="2078"/>
  <c r="R38" i="2078"/>
  <c r="L9" i="2078" s="1"/>
  <c r="D9" i="2078" s="1"/>
  <c r="D38" i="2078"/>
  <c r="R37" i="2078"/>
  <c r="D37" i="2078"/>
  <c r="R36" i="2078"/>
  <c r="L10" i="2078" s="1"/>
  <c r="D10" i="2078" s="1"/>
  <c r="D36" i="2078"/>
  <c r="R35" i="2078"/>
  <c r="L19" i="2078" s="1"/>
  <c r="D19" i="2078" s="1"/>
  <c r="D35" i="2078"/>
  <c r="R34" i="2078"/>
  <c r="D34" i="2078"/>
  <c r="R33" i="2078"/>
  <c r="R32" i="2078"/>
  <c r="L11" i="2078" s="1"/>
  <c r="D11" i="2078" s="1"/>
  <c r="R31" i="2078"/>
  <c r="R30" i="2078"/>
  <c r="R29" i="2078"/>
  <c r="R28" i="2078"/>
  <c r="L16" i="2078" s="1"/>
  <c r="D16" i="2078" s="1"/>
  <c r="D28" i="2078"/>
  <c r="R27" i="2078"/>
  <c r="D27" i="2078"/>
  <c r="R26" i="2078"/>
  <c r="L26" i="2078"/>
  <c r="D26" i="2078" s="1"/>
  <c r="R25" i="2078"/>
  <c r="L25" i="2078"/>
  <c r="D25" i="2078"/>
  <c r="R24" i="2078"/>
  <c r="D24" i="2078"/>
  <c r="R23" i="2078"/>
  <c r="L23" i="2078"/>
  <c r="D23" i="2078" s="1"/>
  <c r="R22" i="2078"/>
  <c r="L22" i="2078"/>
  <c r="D22" i="2078"/>
  <c r="R21" i="2078"/>
  <c r="D21" i="2078"/>
  <c r="R20" i="2078"/>
  <c r="L20" i="2078"/>
  <c r="D20" i="2078" s="1"/>
  <c r="R19" i="2078"/>
  <c r="R18" i="2078"/>
  <c r="D18" i="2078"/>
  <c r="R17" i="2078"/>
  <c r="D17" i="2078"/>
  <c r="R16" i="2078"/>
  <c r="S15" i="2078"/>
  <c r="R15" i="2078"/>
  <c r="D15" i="2078"/>
  <c r="S14" i="2078"/>
  <c r="R14" i="2078"/>
  <c r="D14" i="2078"/>
  <c r="R13" i="2078"/>
  <c r="D13" i="2078"/>
  <c r="R12" i="2078"/>
  <c r="L12" i="2078"/>
  <c r="D12" i="2078" s="1"/>
  <c r="R11" i="2078"/>
  <c r="R6" i="2078"/>
  <c r="L6" i="2078"/>
  <c r="D6" i="2078"/>
  <c r="R5" i="2078"/>
  <c r="R4" i="2078"/>
  <c r="R52" i="2077"/>
  <c r="R51" i="2077"/>
  <c r="D50" i="2077"/>
  <c r="R49" i="2077"/>
  <c r="D49" i="2077"/>
  <c r="R48" i="2077"/>
  <c r="D48" i="2077"/>
  <c r="D46" i="2077"/>
  <c r="D45" i="2077"/>
  <c r="R44" i="2077"/>
  <c r="L28" i="2077" s="1"/>
  <c r="D28" i="2077" s="1"/>
  <c r="D44" i="2077"/>
  <c r="R42" i="2077"/>
  <c r="L6" i="2077" s="1"/>
  <c r="D6" i="2077" s="1"/>
  <c r="D42" i="2077"/>
  <c r="R41" i="2077"/>
  <c r="D41" i="2077"/>
  <c r="R40" i="2077"/>
  <c r="L8" i="2077" s="1"/>
  <c r="D8" i="2077" s="1"/>
  <c r="D40" i="2077"/>
  <c r="R39" i="2077"/>
  <c r="H39" i="2077"/>
  <c r="D39" i="2077"/>
  <c r="R38" i="2077"/>
  <c r="L9" i="2077" s="1"/>
  <c r="D9" i="2077" s="1"/>
  <c r="H38" i="2077"/>
  <c r="D38" i="2077"/>
  <c r="R37" i="2077"/>
  <c r="H37" i="2077"/>
  <c r="D37" i="2077"/>
  <c r="R36" i="2077"/>
  <c r="L10" i="2077" s="1"/>
  <c r="D10" i="2077" s="1"/>
  <c r="H36" i="2077"/>
  <c r="D36" i="2077"/>
  <c r="R35" i="2077"/>
  <c r="L18" i="2077" s="1"/>
  <c r="D18" i="2077" s="1"/>
  <c r="H35" i="2077"/>
  <c r="D35" i="2077"/>
  <c r="R34" i="2077"/>
  <c r="H34" i="2077"/>
  <c r="D34" i="2077"/>
  <c r="R33" i="2077"/>
  <c r="R32" i="2077"/>
  <c r="L11" i="2077" s="1"/>
  <c r="D11" i="2077" s="1"/>
  <c r="R31" i="2077"/>
  <c r="R30" i="2077"/>
  <c r="R29" i="2077"/>
  <c r="R28" i="2077"/>
  <c r="R27" i="2077"/>
  <c r="L27" i="2077"/>
  <c r="D27" i="2077"/>
  <c r="R26" i="2077"/>
  <c r="L26" i="2077"/>
  <c r="D26" i="2077" s="1"/>
  <c r="R25" i="2077"/>
  <c r="L25" i="2077"/>
  <c r="D25" i="2077" s="1"/>
  <c r="R24" i="2077"/>
  <c r="L24" i="2077"/>
  <c r="D24" i="2077" s="1"/>
  <c r="R23" i="2077"/>
  <c r="L23" i="2077"/>
  <c r="D23" i="2077"/>
  <c r="R22" i="2077"/>
  <c r="L20" i="2077" s="1"/>
  <c r="D20" i="2077" s="1"/>
  <c r="L22" i="2077"/>
  <c r="D22" i="2077" s="1"/>
  <c r="R21" i="2077"/>
  <c r="L17" i="2077" s="1"/>
  <c r="D17" i="2077" s="1"/>
  <c r="L21" i="2077"/>
  <c r="D21" i="2077" s="1"/>
  <c r="R20" i="2077"/>
  <c r="R19" i="2077"/>
  <c r="L19" i="2077"/>
  <c r="D19" i="2077" s="1"/>
  <c r="R18" i="2077"/>
  <c r="R17" i="2077"/>
  <c r="R16" i="2077"/>
  <c r="R15" i="2077"/>
  <c r="R14" i="2077"/>
  <c r="D14" i="2077"/>
  <c r="R13" i="2077"/>
  <c r="D13" i="2077"/>
  <c r="R12" i="2077"/>
  <c r="L12" i="2077"/>
  <c r="D12" i="2077" s="1"/>
  <c r="R11" i="2077"/>
  <c r="L7" i="2077"/>
  <c r="D7" i="2077" s="1"/>
  <c r="R6" i="2077"/>
  <c r="L16" i="2077" s="1"/>
  <c r="D16" i="2077" s="1"/>
  <c r="R5" i="2077"/>
  <c r="R4" i="2077"/>
  <c r="L15" i="2077" s="1"/>
  <c r="D15" i="2077" s="1"/>
  <c r="D54" i="2078" l="1"/>
  <c r="H14" i="2078" s="1"/>
  <c r="D54" i="2086"/>
  <c r="H14" i="2086" s="1"/>
  <c r="D54" i="2079"/>
  <c r="H14" i="2079" s="1"/>
  <c r="D54" i="2082"/>
  <c r="H14" i="2082" s="1"/>
  <c r="G49" i="2085"/>
  <c r="D54" i="2085"/>
  <c r="H14" i="2085" s="1"/>
  <c r="G49" i="2084"/>
  <c r="D54" i="2084"/>
  <c r="H14" i="2084" s="1"/>
  <c r="G49" i="2081"/>
  <c r="G49" i="2080"/>
  <c r="D54" i="2081"/>
  <c r="H14" i="2081" s="1"/>
  <c r="G49" i="2079"/>
  <c r="D29" i="2086"/>
  <c r="H13" i="2086" s="1"/>
  <c r="G49" i="2083"/>
  <c r="D29" i="2085"/>
  <c r="H13" i="2085" s="1"/>
  <c r="D29" i="2084"/>
  <c r="H13" i="2084" s="1"/>
  <c r="D29" i="2083"/>
  <c r="H13" i="2083" s="1"/>
  <c r="H15" i="2083" s="1"/>
  <c r="H29" i="2083" s="1"/>
  <c r="D29" i="2082"/>
  <c r="H13" i="2082" s="1"/>
  <c r="H15" i="2082" s="1"/>
  <c r="H29" i="2082" s="1"/>
  <c r="G51" i="2082" s="1"/>
  <c r="D54" i="2080"/>
  <c r="H14" i="2080" s="1"/>
  <c r="D29" i="2081"/>
  <c r="H13" i="2081" s="1"/>
  <c r="D29" i="2080"/>
  <c r="H13" i="2080" s="1"/>
  <c r="D29" i="2079"/>
  <c r="H13" i="2079" s="1"/>
  <c r="H15" i="2079" s="1"/>
  <c r="H29" i="2079" s="1"/>
  <c r="D29" i="2078"/>
  <c r="H13" i="2078" s="1"/>
  <c r="H15" i="2078" s="1"/>
  <c r="H29" i="2078" s="1"/>
  <c r="G51" i="2078"/>
  <c r="D54" i="2077"/>
  <c r="H14" i="2077" s="1"/>
  <c r="G49" i="2077"/>
  <c r="D29" i="2077"/>
  <c r="H13" i="2077" s="1"/>
  <c r="H15" i="2077" s="1"/>
  <c r="H29" i="2077" s="1"/>
  <c r="R52" i="2076"/>
  <c r="R51" i="2076"/>
  <c r="D50" i="2076"/>
  <c r="R49" i="2076"/>
  <c r="D49" i="2076"/>
  <c r="R48" i="2076"/>
  <c r="D48" i="2076"/>
  <c r="D46" i="2076"/>
  <c r="D45" i="2076"/>
  <c r="R44" i="2076"/>
  <c r="L28" i="2076" s="1"/>
  <c r="D28" i="2076" s="1"/>
  <c r="D44" i="2076"/>
  <c r="R42" i="2076"/>
  <c r="L6" i="2076" s="1"/>
  <c r="D6" i="2076" s="1"/>
  <c r="D42" i="2076"/>
  <c r="R41" i="2076"/>
  <c r="L7" i="2076" s="1"/>
  <c r="D7" i="2076" s="1"/>
  <c r="D41" i="2076"/>
  <c r="R40" i="2076"/>
  <c r="L8" i="2076" s="1"/>
  <c r="D8" i="2076" s="1"/>
  <c r="D40" i="2076"/>
  <c r="R39" i="2076"/>
  <c r="H39" i="2076"/>
  <c r="D39" i="2076"/>
  <c r="R38" i="2076"/>
  <c r="L9" i="2076" s="1"/>
  <c r="D9" i="2076" s="1"/>
  <c r="H38" i="2076"/>
  <c r="D38" i="2076"/>
  <c r="R37" i="2076"/>
  <c r="H37" i="2076"/>
  <c r="D37" i="2076"/>
  <c r="R36" i="2076"/>
  <c r="L10" i="2076" s="1"/>
  <c r="D10" i="2076" s="1"/>
  <c r="H36" i="2076"/>
  <c r="D36" i="2076"/>
  <c r="R35" i="2076"/>
  <c r="L18" i="2076" s="1"/>
  <c r="D18" i="2076" s="1"/>
  <c r="H35" i="2076"/>
  <c r="D35" i="2076"/>
  <c r="R34" i="2076"/>
  <c r="L12" i="2076" s="1"/>
  <c r="D12" i="2076" s="1"/>
  <c r="H34" i="2076"/>
  <c r="D34" i="2076"/>
  <c r="R33" i="2076"/>
  <c r="R32" i="2076"/>
  <c r="R31" i="2076"/>
  <c r="R30" i="2076"/>
  <c r="R29" i="2076"/>
  <c r="R28" i="2076"/>
  <c r="R27" i="2076"/>
  <c r="L27" i="2076"/>
  <c r="D27" i="2076"/>
  <c r="R26" i="2076"/>
  <c r="L26" i="2076"/>
  <c r="D26" i="2076"/>
  <c r="R25" i="2076"/>
  <c r="L25" i="2076"/>
  <c r="D25" i="2076"/>
  <c r="R24" i="2076"/>
  <c r="L24" i="2076"/>
  <c r="D24" i="2076" s="1"/>
  <c r="R23" i="2076"/>
  <c r="L23" i="2076"/>
  <c r="D23" i="2076" s="1"/>
  <c r="R22" i="2076"/>
  <c r="L20" i="2076" s="1"/>
  <c r="D20" i="2076" s="1"/>
  <c r="L22" i="2076"/>
  <c r="D22" i="2076"/>
  <c r="R21" i="2076"/>
  <c r="L17" i="2076" s="1"/>
  <c r="D17" i="2076" s="1"/>
  <c r="L21" i="2076"/>
  <c r="D21" i="2076" s="1"/>
  <c r="R20" i="2076"/>
  <c r="R19" i="2076"/>
  <c r="L19" i="2076"/>
  <c r="D19" i="2076"/>
  <c r="R18" i="2076"/>
  <c r="R17" i="2076"/>
  <c r="R16" i="2076"/>
  <c r="R15" i="2076"/>
  <c r="R14" i="2076"/>
  <c r="D14" i="2076"/>
  <c r="R13" i="2076"/>
  <c r="D13" i="2076"/>
  <c r="R12" i="2076"/>
  <c r="R11" i="2076"/>
  <c r="L11" i="2076"/>
  <c r="D11" i="2076" s="1"/>
  <c r="R6" i="2076"/>
  <c r="L16" i="2076" s="1"/>
  <c r="D16" i="2076" s="1"/>
  <c r="R5" i="2076"/>
  <c r="R4" i="2076"/>
  <c r="L15" i="2076" s="1"/>
  <c r="D15" i="2076" s="1"/>
  <c r="R52" i="2075"/>
  <c r="R51" i="2075"/>
  <c r="D50" i="2075"/>
  <c r="R49" i="2075"/>
  <c r="D49" i="2075"/>
  <c r="R48" i="2075"/>
  <c r="D48" i="2075"/>
  <c r="D46" i="2075"/>
  <c r="D45" i="2075"/>
  <c r="R44" i="2075"/>
  <c r="L28" i="2075" s="1"/>
  <c r="D28" i="2075" s="1"/>
  <c r="D44" i="2075"/>
  <c r="R42" i="2075"/>
  <c r="D42" i="2075"/>
  <c r="R41" i="2075"/>
  <c r="L7" i="2075" s="1"/>
  <c r="D7" i="2075" s="1"/>
  <c r="D41" i="2075"/>
  <c r="R40" i="2075"/>
  <c r="L8" i="2075" s="1"/>
  <c r="D8" i="2075" s="1"/>
  <c r="D40" i="2075"/>
  <c r="R39" i="2075"/>
  <c r="H39" i="2075"/>
  <c r="D39" i="2075"/>
  <c r="R38" i="2075"/>
  <c r="L9" i="2075" s="1"/>
  <c r="D9" i="2075" s="1"/>
  <c r="H38" i="2075"/>
  <c r="D38" i="2075"/>
  <c r="R37" i="2075"/>
  <c r="H37" i="2075"/>
  <c r="D37" i="2075"/>
  <c r="R36" i="2075"/>
  <c r="H36" i="2075"/>
  <c r="D36" i="2075"/>
  <c r="R35" i="2075"/>
  <c r="H35" i="2075"/>
  <c r="D35" i="2075"/>
  <c r="R34" i="2075"/>
  <c r="L12" i="2075" s="1"/>
  <c r="D12" i="2075" s="1"/>
  <c r="H34" i="2075"/>
  <c r="D34" i="2075"/>
  <c r="R33" i="2075"/>
  <c r="L19" i="2075" s="1"/>
  <c r="D19" i="2075" s="1"/>
  <c r="R32" i="2075"/>
  <c r="R31" i="2075"/>
  <c r="R30" i="2075"/>
  <c r="R29" i="2075"/>
  <c r="R28" i="2075"/>
  <c r="R27" i="2075"/>
  <c r="L27" i="2075"/>
  <c r="D27" i="2075"/>
  <c r="R26" i="2075"/>
  <c r="L26" i="2075"/>
  <c r="D26" i="2075"/>
  <c r="R25" i="2075"/>
  <c r="L25" i="2075"/>
  <c r="D25" i="2075"/>
  <c r="R24" i="2075"/>
  <c r="L24" i="2075"/>
  <c r="D24" i="2075" s="1"/>
  <c r="R23" i="2075"/>
  <c r="L23" i="2075"/>
  <c r="D23" i="2075"/>
  <c r="R22" i="2075"/>
  <c r="L20" i="2075" s="1"/>
  <c r="D20" i="2075" s="1"/>
  <c r="L22" i="2075"/>
  <c r="D22" i="2075"/>
  <c r="R21" i="2075"/>
  <c r="L17" i="2075" s="1"/>
  <c r="D17" i="2075" s="1"/>
  <c r="D21" i="2075"/>
  <c r="R20" i="2075"/>
  <c r="R19" i="2075"/>
  <c r="R18" i="2075"/>
  <c r="L18" i="2075"/>
  <c r="D18" i="2075" s="1"/>
  <c r="R17" i="2075"/>
  <c r="R16" i="2075"/>
  <c r="L16" i="2075"/>
  <c r="D16" i="2075" s="1"/>
  <c r="R15" i="2075"/>
  <c r="R14" i="2075"/>
  <c r="D14" i="2075"/>
  <c r="R13" i="2075"/>
  <c r="D13" i="2075"/>
  <c r="R12" i="2075"/>
  <c r="R11" i="2075"/>
  <c r="L11" i="2075"/>
  <c r="D11" i="2075"/>
  <c r="L10" i="2075"/>
  <c r="D10" i="2075" s="1"/>
  <c r="R6" i="2075"/>
  <c r="L6" i="2075"/>
  <c r="D6" i="2075" s="1"/>
  <c r="R5" i="2075"/>
  <c r="R4" i="2075"/>
  <c r="L15" i="2075" s="1"/>
  <c r="D15" i="2075" s="1"/>
  <c r="D29" i="2076" l="1"/>
  <c r="H13" i="2076" s="1"/>
  <c r="D54" i="2076"/>
  <c r="H14" i="2076" s="1"/>
  <c r="H15" i="2081"/>
  <c r="H29" i="2081" s="1"/>
  <c r="H15" i="2084"/>
  <c r="H29" i="2084" s="1"/>
  <c r="G49" i="2076"/>
  <c r="H15" i="2086"/>
  <c r="H29" i="2086" s="1"/>
  <c r="G51" i="2086" s="1"/>
  <c r="H15" i="2085"/>
  <c r="H29" i="2085" s="1"/>
  <c r="G51" i="2085" s="1"/>
  <c r="G51" i="2084"/>
  <c r="G51" i="2081"/>
  <c r="H15" i="2080"/>
  <c r="H29" i="2080" s="1"/>
  <c r="G51" i="2080" s="1"/>
  <c r="G51" i="2079"/>
  <c r="G51" i="2083"/>
  <c r="G51" i="2077"/>
  <c r="G49" i="2075"/>
  <c r="D54" i="2075"/>
  <c r="H14" i="2075" s="1"/>
  <c r="D29" i="2075"/>
  <c r="H13" i="2075" s="1"/>
  <c r="H16" i="2071"/>
  <c r="H15" i="2076" l="1"/>
  <c r="H29" i="2076" s="1"/>
  <c r="G51" i="2076" s="1"/>
  <c r="H15" i="2075"/>
  <c r="H29" i="2075" s="1"/>
  <c r="G51" i="2075" s="1"/>
  <c r="H16" i="2059"/>
  <c r="H16" i="2053" l="1"/>
  <c r="L21" i="2051" l="1"/>
  <c r="C12" i="2051"/>
  <c r="L24" i="2039" l="1"/>
  <c r="L25" i="2039"/>
  <c r="L26" i="2039"/>
  <c r="D26" i="2039" s="1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L28" i="2073" s="1"/>
  <c r="D28" i="2073" s="1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 s="1"/>
  <c r="R21" i="2073"/>
  <c r="L17" i="2073" s="1"/>
  <c r="D17" i="2073" s="1"/>
  <c r="L21" i="2073"/>
  <c r="D21" i="2073" s="1"/>
  <c r="R20" i="2073"/>
  <c r="R19" i="2073"/>
  <c r="R18" i="2073"/>
  <c r="R17" i="2073"/>
  <c r="R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L16" i="2073" s="1"/>
  <c r="D16" i="2073" s="1"/>
  <c r="R5" i="2073"/>
  <c r="R4" i="2073"/>
  <c r="H16" i="2045"/>
  <c r="C18" i="2045"/>
  <c r="C15" i="2045"/>
  <c r="G49" i="2073" l="1"/>
  <c r="D29" i="2073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L9" i="2072" s="1"/>
  <c r="D9" i="2072" s="1"/>
  <c r="D38" i="2072"/>
  <c r="R37" i="2072"/>
  <c r="D37" i="2072"/>
  <c r="R36" i="2072"/>
  <c r="L10" i="2072" s="1"/>
  <c r="D10" i="2072" s="1"/>
  <c r="D36" i="2072"/>
  <c r="R35" i="2072"/>
  <c r="D35" i="2072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 s="1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8" i="2072"/>
  <c r="D8" i="2072" s="1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L28" i="2071" s="1"/>
  <c r="D28" i="2071" s="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L10" i="2071" s="1"/>
  <c r="D10" i="2071" s="1"/>
  <c r="H36" i="2071"/>
  <c r="D36" i="2071"/>
  <c r="R35" i="2071"/>
  <c r="L18" i="2071" s="1"/>
  <c r="D18" i="2071" s="1"/>
  <c r="H35" i="2071"/>
  <c r="D35" i="2071"/>
  <c r="R34" i="2071"/>
  <c r="L12" i="2071" s="1"/>
  <c r="D12" i="2071" s="1"/>
  <c r="H34" i="2071"/>
  <c r="D34" i="2071"/>
  <c r="R33" i="2071"/>
  <c r="L19" i="2071" s="1"/>
  <c r="D19" i="2071" s="1"/>
  <c r="R32" i="2071"/>
  <c r="L11" i="2071" s="1"/>
  <c r="D11" i="2071" s="1"/>
  <c r="R31" i="2071"/>
  <c r="R30" i="2071"/>
  <c r="R29" i="2071"/>
  <c r="R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 s="1"/>
  <c r="R21" i="2071"/>
  <c r="L17" i="2071" s="1"/>
  <c r="D17" i="2071" s="1"/>
  <c r="L21" i="2071"/>
  <c r="D21" i="2071"/>
  <c r="R20" i="2071"/>
  <c r="R19" i="2071"/>
  <c r="R18" i="2071"/>
  <c r="R17" i="2071"/>
  <c r="R16" i="2071"/>
  <c r="L16" i="2071"/>
  <c r="D16" i="2071"/>
  <c r="R15" i="2071"/>
  <c r="R14" i="2071"/>
  <c r="D14" i="2071"/>
  <c r="R13" i="2071"/>
  <c r="D13" i="2071"/>
  <c r="R12" i="2071"/>
  <c r="R11" i="2071"/>
  <c r="L9" i="2071"/>
  <c r="D9" i="2071" s="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L9" i="2070" s="1"/>
  <c r="D9" i="2070" s="1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R34" i="2070"/>
  <c r="L12" i="2070" s="1"/>
  <c r="D12" i="2070" s="1"/>
  <c r="H34" i="2070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 s="1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R15" i="2070"/>
  <c r="R14" i="2070"/>
  <c r="D14" i="2070"/>
  <c r="R13" i="2070"/>
  <c r="D13" i="2070"/>
  <c r="R12" i="2070"/>
  <c r="R11" i="2070"/>
  <c r="L11" i="2070"/>
  <c r="D11" i="2070" s="1"/>
  <c r="R6" i="2070"/>
  <c r="L16" i="2070" s="1"/>
  <c r="D16" i="2070" s="1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L28" i="2069" s="1"/>
  <c r="D28" i="2069" s="1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D34" i="2069"/>
  <c r="R33" i="2069"/>
  <c r="L19" i="2069" s="1"/>
  <c r="D19" i="2069" s="1"/>
  <c r="R32" i="2069"/>
  <c r="R31" i="2069"/>
  <c r="R30" i="2069"/>
  <c r="R29" i="2069"/>
  <c r="R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 s="1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 s="1"/>
  <c r="R20" i="2069"/>
  <c r="R19" i="2069"/>
  <c r="R18" i="2069"/>
  <c r="R17" i="2069"/>
  <c r="R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 s="1"/>
  <c r="L10" i="2069"/>
  <c r="D10" i="2069" s="1"/>
  <c r="L7" i="2069"/>
  <c r="D7" i="2069" s="1"/>
  <c r="R6" i="2069"/>
  <c r="L16" i="2069" s="1"/>
  <c r="D16" i="2069" s="1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 s="1"/>
  <c r="R24" i="2068"/>
  <c r="D24" i="2068"/>
  <c r="R23" i="2068"/>
  <c r="L23" i="2068"/>
  <c r="D23" i="2068" s="1"/>
  <c r="R22" i="2068"/>
  <c r="L22" i="2068"/>
  <c r="D22" i="2068" s="1"/>
  <c r="R21" i="2068"/>
  <c r="D21" i="2068"/>
  <c r="R20" i="2068"/>
  <c r="L20" i="2068"/>
  <c r="D20" i="2068" s="1"/>
  <c r="R19" i="2068"/>
  <c r="L19" i="2068"/>
  <c r="D19" i="2068" s="1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L28" i="2067" s="1"/>
  <c r="D28" i="2067" s="1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D36" i="2067"/>
  <c r="R35" i="2067"/>
  <c r="H35" i="2067"/>
  <c r="D35" i="2067"/>
  <c r="R34" i="2067"/>
  <c r="H34" i="2067"/>
  <c r="D34" i="2067"/>
  <c r="R33" i="2067"/>
  <c r="L19" i="2067" s="1"/>
  <c r="D19" i="2067" s="1"/>
  <c r="R32" i="2067"/>
  <c r="L11" i="2067" s="1"/>
  <c r="D11" i="2067" s="1"/>
  <c r="R31" i="2067"/>
  <c r="R30" i="2067"/>
  <c r="R29" i="2067"/>
  <c r="R28" i="2067"/>
  <c r="R27" i="2067"/>
  <c r="L27" i="2067"/>
  <c r="D27" i="2067" s="1"/>
  <c r="R26" i="2067"/>
  <c r="L26" i="2067"/>
  <c r="D26" i="2067" s="1"/>
  <c r="R25" i="2067"/>
  <c r="L25" i="2067"/>
  <c r="D25" i="2067" s="1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17" i="2067" s="1"/>
  <c r="D17" i="2067" s="1"/>
  <c r="L21" i="2067"/>
  <c r="D21" i="2067"/>
  <c r="R20" i="2067"/>
  <c r="R19" i="2067"/>
  <c r="R18" i="2067"/>
  <c r="L18" i="2067"/>
  <c r="D18" i="2067" s="1"/>
  <c r="R17" i="2067"/>
  <c r="R16" i="2067"/>
  <c r="R15" i="2067"/>
  <c r="L15" i="2067"/>
  <c r="D15" i="2067" s="1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 s="1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L28" i="2066" s="1"/>
  <c r="D28" i="2066" s="1"/>
  <c r="D44" i="2066"/>
  <c r="R42" i="2066"/>
  <c r="L6" i="2066" s="1"/>
  <c r="D6" i="2066" s="1"/>
  <c r="D42" i="2066"/>
  <c r="R41" i="2066"/>
  <c r="L7" i="2066" s="1"/>
  <c r="D7" i="2066" s="1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D36" i="2066"/>
  <c r="R35" i="2066"/>
  <c r="L18" i="2066" s="1"/>
  <c r="D18" i="2066" s="1"/>
  <c r="H35" i="2066"/>
  <c r="D35" i="2066"/>
  <c r="R34" i="2066"/>
  <c r="H34" i="2066"/>
  <c r="D34" i="2066"/>
  <c r="R33" i="2066"/>
  <c r="R32" i="2066"/>
  <c r="R31" i="2066"/>
  <c r="R30" i="2066"/>
  <c r="R29" i="2066"/>
  <c r="R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D49" i="2065"/>
  <c r="R48" i="2065"/>
  <c r="D48" i="2065"/>
  <c r="D46" i="2065"/>
  <c r="D45" i="2065"/>
  <c r="R44" i="2065"/>
  <c r="L28" i="2065" s="1"/>
  <c r="D28" i="2065" s="1"/>
  <c r="D44" i="2065"/>
  <c r="R42" i="2065"/>
  <c r="L6" i="2065" s="1"/>
  <c r="D6" i="2065" s="1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 s="1"/>
  <c r="R24" i="2065"/>
  <c r="L24" i="2065"/>
  <c r="D24" i="2065" s="1"/>
  <c r="R23" i="2065"/>
  <c r="L23" i="2065"/>
  <c r="D23" i="2065" s="1"/>
  <c r="R22" i="2065"/>
  <c r="L20" i="2065" s="1"/>
  <c r="D20" i="2065" s="1"/>
  <c r="L22" i="2065"/>
  <c r="D22" i="2065" s="1"/>
  <c r="R21" i="2065"/>
  <c r="L17" i="2065" s="1"/>
  <c r="D17" i="2065" s="1"/>
  <c r="L21" i="2065"/>
  <c r="D21" i="2065"/>
  <c r="R20" i="2065"/>
  <c r="R19" i="2065"/>
  <c r="R18" i="2065"/>
  <c r="R17" i="2065"/>
  <c r="R16" i="2065"/>
  <c r="R15" i="2065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 s="1"/>
  <c r="R6" i="2065"/>
  <c r="L16" i="2065" s="1"/>
  <c r="D16" i="2065" s="1"/>
  <c r="R5" i="2065"/>
  <c r="R4" i="2065"/>
  <c r="L15" i="2065" s="1"/>
  <c r="D15" i="2065" s="1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L8" i="2064" s="1"/>
  <c r="D8" i="2064" s="1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L11" i="2064" s="1"/>
  <c r="D11" i="2064" s="1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 s="1"/>
  <c r="R24" i="2064"/>
  <c r="D24" i="2064"/>
  <c r="R23" i="2064"/>
  <c r="R22" i="2064"/>
  <c r="L22" i="2064"/>
  <c r="D22" i="2064" s="1"/>
  <c r="R21" i="2064"/>
  <c r="D21" i="2064"/>
  <c r="R20" i="2064"/>
  <c r="L20" i="2064"/>
  <c r="D20" i="2064" s="1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0" i="2064"/>
  <c r="D10" i="2064" s="1"/>
  <c r="L9" i="2064"/>
  <c r="D9" i="2064" s="1"/>
  <c r="R6" i="2064"/>
  <c r="L6" i="2064"/>
  <c r="D6" i="2064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R34" i="2063"/>
  <c r="L12" i="2063" s="1"/>
  <c r="D12" i="2063" s="1"/>
  <c r="H34" i="2063"/>
  <c r="G49" i="2063" s="1"/>
  <c r="D34" i="2063"/>
  <c r="R33" i="2063"/>
  <c r="L19" i="2063" s="1"/>
  <c r="D19" i="2063" s="1"/>
  <c r="R32" i="2063"/>
  <c r="R31" i="2063"/>
  <c r="R30" i="2063"/>
  <c r="R29" i="2063"/>
  <c r="R28" i="2063"/>
  <c r="R27" i="2063"/>
  <c r="L27" i="2063"/>
  <c r="D27" i="2063" s="1"/>
  <c r="R26" i="2063"/>
  <c r="L26" i="2063"/>
  <c r="D26" i="2063" s="1"/>
  <c r="R25" i="2063"/>
  <c r="L25" i="2063"/>
  <c r="D25" i="2063"/>
  <c r="R24" i="2063"/>
  <c r="L24" i="2063"/>
  <c r="D24" i="2063"/>
  <c r="R23" i="2063"/>
  <c r="L23" i="2063"/>
  <c r="D23" i="2063" s="1"/>
  <c r="R22" i="2063"/>
  <c r="L20" i="2063" s="1"/>
  <c r="D20" i="2063" s="1"/>
  <c r="L22" i="2063"/>
  <c r="D22" i="2063" s="1"/>
  <c r="R21" i="2063"/>
  <c r="L17" i="2063" s="1"/>
  <c r="D17" i="2063" s="1"/>
  <c r="L21" i="2063"/>
  <c r="D21" i="2063" s="1"/>
  <c r="R20" i="2063"/>
  <c r="R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 s="1"/>
  <c r="L7" i="2063"/>
  <c r="D7" i="2063" s="1"/>
  <c r="R6" i="2063"/>
  <c r="L16" i="2063" s="1"/>
  <c r="D16" i="2063" s="1"/>
  <c r="L6" i="2063"/>
  <c r="D6" i="2063" s="1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L12" i="2062" s="1"/>
  <c r="D12" i="2062" s="1"/>
  <c r="H34" i="2062"/>
  <c r="D34" i="2062"/>
  <c r="R33" i="2062"/>
  <c r="R32" i="2062"/>
  <c r="R31" i="2062"/>
  <c r="R30" i="2062"/>
  <c r="R29" i="2062"/>
  <c r="R28" i="2062"/>
  <c r="L28" i="2062"/>
  <c r="D28" i="2062" s="1"/>
  <c r="R27" i="2062"/>
  <c r="L27" i="2062"/>
  <c r="D27" i="2062" s="1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17" i="2062" s="1"/>
  <c r="D17" i="2062" s="1"/>
  <c r="L21" i="2062"/>
  <c r="D21" i="2062" s="1"/>
  <c r="R20" i="2062"/>
  <c r="R19" i="2062"/>
  <c r="L19" i="2062"/>
  <c r="D19" i="2062"/>
  <c r="R18" i="2062"/>
  <c r="R17" i="2062"/>
  <c r="R16" i="2062"/>
  <c r="L16" i="2062"/>
  <c r="D16" i="2062" s="1"/>
  <c r="R15" i="2062"/>
  <c r="R14" i="2062"/>
  <c r="D14" i="2062"/>
  <c r="R13" i="2062"/>
  <c r="D13" i="2062"/>
  <c r="R12" i="2062"/>
  <c r="R11" i="2062"/>
  <c r="L11" i="2062"/>
  <c r="D11" i="2062"/>
  <c r="L7" i="2062"/>
  <c r="D7" i="2062" s="1"/>
  <c r="R6" i="2062"/>
  <c r="R5" i="2062"/>
  <c r="R4" i="2062"/>
  <c r="L15" i="2062" s="1"/>
  <c r="D15" i="2062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L8" i="2061" s="1"/>
  <c r="D8" i="2061" s="1"/>
  <c r="D40" i="2061"/>
  <c r="R39" i="2061"/>
  <c r="H39" i="2061"/>
  <c r="D39" i="2061"/>
  <c r="R38" i="2061"/>
  <c r="L9" i="2061" s="1"/>
  <c r="D9" i="2061" s="1"/>
  <c r="H38" i="206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L12" i="2061" s="1"/>
  <c r="D12" i="2061" s="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 s="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17" i="2061" s="1"/>
  <c r="D17" i="2061" s="1"/>
  <c r="L21" i="2061"/>
  <c r="D21" i="2061"/>
  <c r="R20" i="2061"/>
  <c r="R19" i="2061"/>
  <c r="R18" i="2061"/>
  <c r="R17" i="2061"/>
  <c r="R16" i="2061"/>
  <c r="R15" i="2061"/>
  <c r="R14" i="2061"/>
  <c r="D14" i="2061"/>
  <c r="R13" i="2061"/>
  <c r="D13" i="2061"/>
  <c r="R12" i="2061"/>
  <c r="R11" i="206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L9" i="2060" s="1"/>
  <c r="D9" i="2060" s="1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R33" i="2060"/>
  <c r="L23" i="2060" s="1"/>
  <c r="D23" i="2060" s="1"/>
  <c r="R32" i="2060"/>
  <c r="L11" i="2060" s="1"/>
  <c r="D11" i="2060" s="1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 s="1"/>
  <c r="R21" i="2060"/>
  <c r="D21" i="2060"/>
  <c r="R20" i="2060"/>
  <c r="L20" i="2060"/>
  <c r="D20" i="2060" s="1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8" i="2060"/>
  <c r="D8" i="2060" s="1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L28" i="2059" s="1"/>
  <c r="D28" i="2059" s="1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L10" i="2059" s="1"/>
  <c r="D10" i="2059" s="1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L19" i="2059" s="1"/>
  <c r="D19" i="2059" s="1"/>
  <c r="R32" i="2059"/>
  <c r="L11" i="2059" s="1"/>
  <c r="D11" i="2059" s="1"/>
  <c r="R31" i="2059"/>
  <c r="R30" i="2059"/>
  <c r="R29" i="2059"/>
  <c r="R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 s="1"/>
  <c r="R23" i="2059"/>
  <c r="L23" i="2059"/>
  <c r="D23" i="2059" s="1"/>
  <c r="R22" i="2059"/>
  <c r="L20" i="2059" s="1"/>
  <c r="D20" i="2059" s="1"/>
  <c r="L22" i="2059"/>
  <c r="D22" i="2059"/>
  <c r="R21" i="2059"/>
  <c r="L17" i="2059" s="1"/>
  <c r="D17" i="2059" s="1"/>
  <c r="L21" i="2059"/>
  <c r="D21" i="2059"/>
  <c r="R20" i="2059"/>
  <c r="R19" i="2059"/>
  <c r="R18" i="2059"/>
  <c r="R17" i="2059"/>
  <c r="R16" i="2059"/>
  <c r="R15" i="2059"/>
  <c r="R14" i="2059"/>
  <c r="D14" i="2059"/>
  <c r="R13" i="2059"/>
  <c r="D13" i="2059"/>
  <c r="R12" i="2059"/>
  <c r="L12" i="2059"/>
  <c r="D12" i="2059"/>
  <c r="R11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 s="1"/>
  <c r="R25" i="2058"/>
  <c r="L25" i="2058"/>
  <c r="D25" i="2058" s="1"/>
  <c r="R24" i="2058"/>
  <c r="L24" i="2058"/>
  <c r="D24" i="2058" s="1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 s="1"/>
  <c r="R14" i="2058"/>
  <c r="D14" i="2058"/>
  <c r="R13" i="2058"/>
  <c r="D13" i="2058"/>
  <c r="R12" i="2058"/>
  <c r="L12" i="2058"/>
  <c r="D12" i="2058" s="1"/>
  <c r="R11" i="2058"/>
  <c r="L8" i="2058"/>
  <c r="D8" i="2058" s="1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L28" i="2057" s="1"/>
  <c r="D28" i="2057" s="1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L9" i="2057" s="1"/>
  <c r="D9" i="2057" s="1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L12" i="2057" s="1"/>
  <c r="D12" i="2057" s="1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R27" i="2057"/>
  <c r="L27" i="2057"/>
  <c r="D27" i="2057" s="1"/>
  <c r="R26" i="2057"/>
  <c r="L26" i="2057"/>
  <c r="D26" i="2057" s="1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 s="1"/>
  <c r="R16" i="2057"/>
  <c r="R15" i="2057"/>
  <c r="R14" i="2057"/>
  <c r="D14" i="2057"/>
  <c r="R13" i="2057"/>
  <c r="D13" i="2057"/>
  <c r="R12" i="2057"/>
  <c r="R11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L8" i="2056" s="1"/>
  <c r="D8" i="2056" s="1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R33" i="2056"/>
  <c r="L23" i="2056" s="1"/>
  <c r="D23" i="2056" s="1"/>
  <c r="R32" i="2056"/>
  <c r="L11" i="2056" s="1"/>
  <c r="D11" i="2056" s="1"/>
  <c r="R31" i="2056"/>
  <c r="R30" i="2056"/>
  <c r="R29" i="2056"/>
  <c r="R28" i="2056"/>
  <c r="L16" i="2056" s="1"/>
  <c r="D16" i="2056" s="1"/>
  <c r="D28" i="2056"/>
  <c r="R27" i="2056"/>
  <c r="D27" i="2056"/>
  <c r="R26" i="2056"/>
  <c r="L26" i="2056"/>
  <c r="D26" i="2056"/>
  <c r="R25" i="2056"/>
  <c r="L25" i="2056"/>
  <c r="D25" i="2056" s="1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S15" i="2056"/>
  <c r="R15" i="2056"/>
  <c r="D15" i="2056"/>
  <c r="S14" i="2056"/>
  <c r="R14" i="2056"/>
  <c r="D14" i="2056"/>
  <c r="R13" i="2056"/>
  <c r="D13" i="2056"/>
  <c r="R12" i="2056"/>
  <c r="R11" i="2056"/>
  <c r="R6" i="2056"/>
  <c r="R5" i="2056"/>
  <c r="R4" i="2056"/>
  <c r="D54" i="2063" l="1"/>
  <c r="H14" i="2063" s="1"/>
  <c r="G49" i="2066"/>
  <c r="D54" i="2068"/>
  <c r="H14" i="2068" s="1"/>
  <c r="D54" i="2060"/>
  <c r="H14" i="2060" s="1"/>
  <c r="D29" i="2064"/>
  <c r="H13" i="2064" s="1"/>
  <c r="D54" i="2066"/>
  <c r="H14" i="2066" s="1"/>
  <c r="D54" i="2072"/>
  <c r="H14" i="2072" s="1"/>
  <c r="D54" i="2056"/>
  <c r="H14" i="2056" s="1"/>
  <c r="G49" i="2071"/>
  <c r="D54" i="2071"/>
  <c r="H14" i="2071" s="1"/>
  <c r="G49" i="2070"/>
  <c r="D54" i="2070"/>
  <c r="H14" i="2070" s="1"/>
  <c r="G49" i="2069"/>
  <c r="D54" i="2069"/>
  <c r="H14" i="2069" s="1"/>
  <c r="G49" i="2067"/>
  <c r="D54" i="2067"/>
  <c r="H14" i="2067" s="1"/>
  <c r="G49" i="2065"/>
  <c r="D54" i="2065"/>
  <c r="H14" i="2065" s="1"/>
  <c r="D29" i="2065"/>
  <c r="H13" i="2065" s="1"/>
  <c r="D54" i="2062"/>
  <c r="H14" i="2062" s="1"/>
  <c r="G49" i="2061"/>
  <c r="D54" i="2061"/>
  <c r="H14" i="2061" s="1"/>
  <c r="G49" i="2059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D29" i="2070"/>
  <c r="H13" i="2070" s="1"/>
  <c r="D29" i="2069"/>
  <c r="H13" i="2069" s="1"/>
  <c r="D29" i="2068"/>
  <c r="H13" i="2068" s="1"/>
  <c r="H15" i="2068" s="1"/>
  <c r="H29" i="2068" s="1"/>
  <c r="G51" i="2068" s="1"/>
  <c r="D29" i="2067"/>
  <c r="H13" i="2067" s="1"/>
  <c r="D29" i="2066"/>
  <c r="H13" i="2066" s="1"/>
  <c r="H15" i="2066" s="1"/>
  <c r="H29" i="2066" s="1"/>
  <c r="G51" i="2066" s="1"/>
  <c r="H15" i="2064"/>
  <c r="H29" i="2064" s="1"/>
  <c r="G51" i="2064" s="1"/>
  <c r="D29" i="2063"/>
  <c r="H13" i="2063" s="1"/>
  <c r="H15" i="2063" s="1"/>
  <c r="H29" i="2063" s="1"/>
  <c r="G51" i="2063"/>
  <c r="D29" i="2062"/>
  <c r="H13" i="2062" s="1"/>
  <c r="D29" i="2061"/>
  <c r="H13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71" l="1"/>
  <c r="H29" i="2071" s="1"/>
  <c r="G51" i="2071" s="1"/>
  <c r="H15" i="2070"/>
  <c r="H29" i="2070" s="1"/>
  <c r="G51" i="2070" s="1"/>
  <c r="H15" i="2069"/>
  <c r="H29" i="2069" s="1"/>
  <c r="G51" i="2069" s="1"/>
  <c r="H15" i="2067"/>
  <c r="H29" i="2067" s="1"/>
  <c r="G51" i="2067" s="1"/>
  <c r="H15" i="2065"/>
  <c r="H29" i="2065" s="1"/>
  <c r="G51" i="2065" s="1"/>
  <c r="H15" i="2062"/>
  <c r="H29" i="2062" s="1"/>
  <c r="G51" i="2062" s="1"/>
  <c r="H15" i="2061"/>
  <c r="H29" i="2061" s="1"/>
  <c r="G51" i="2061" s="1"/>
  <c r="H15" i="2059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L28" i="2055" s="1"/>
  <c r="D28" i="2055" s="1"/>
  <c r="D44" i="2055"/>
  <c r="R42" i="2055"/>
  <c r="D42" i="2055"/>
  <c r="R41" i="2055"/>
  <c r="D41" i="2055"/>
  <c r="R40" i="2055"/>
  <c r="D40" i="2055"/>
  <c r="R39" i="2055"/>
  <c r="H39" i="2055"/>
  <c r="D39" i="2055"/>
  <c r="R38" i="2055"/>
  <c r="L9" i="2055" s="1"/>
  <c r="D9" i="2055" s="1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L11" i="2055" s="1"/>
  <c r="D11" i="2055" s="1"/>
  <c r="R31" i="2055"/>
  <c r="R30" i="2055"/>
  <c r="R29" i="2055"/>
  <c r="R28" i="2055"/>
  <c r="R27" i="2055"/>
  <c r="L27" i="2055"/>
  <c r="D27" i="2055" s="1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17" i="2055" s="1"/>
  <c r="D17" i="2055" s="1"/>
  <c r="L21" i="2055"/>
  <c r="D21" i="2055"/>
  <c r="R20" i="2055"/>
  <c r="R19" i="2055"/>
  <c r="L19" i="2055"/>
  <c r="D19" i="2055"/>
  <c r="R18" i="2055"/>
  <c r="L18" i="2055"/>
  <c r="D18" i="2055" s="1"/>
  <c r="R17" i="2055"/>
  <c r="R16" i="2055"/>
  <c r="R15" i="2055"/>
  <c r="R14" i="2055"/>
  <c r="D14" i="2055"/>
  <c r="R13" i="2055"/>
  <c r="D13" i="2055"/>
  <c r="R12" i="2055"/>
  <c r="R11" i="2055"/>
  <c r="L8" i="2055"/>
  <c r="D8" i="2055"/>
  <c r="L7" i="2055"/>
  <c r="D7" i="2055" s="1"/>
  <c r="R6" i="2055"/>
  <c r="L16" i="2055" s="1"/>
  <c r="L6" i="2055"/>
  <c r="D6" i="2055" s="1"/>
  <c r="R5" i="2055"/>
  <c r="R4" i="2055"/>
  <c r="L15" i="2055" s="1"/>
  <c r="D15" i="2055" s="1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L10" i="2054" s="1"/>
  <c r="D10" i="2054" s="1"/>
  <c r="D36" i="2054"/>
  <c r="R35" i="2054"/>
  <c r="D35" i="2054"/>
  <c r="R34" i="2054"/>
  <c r="D34" i="2054"/>
  <c r="R33" i="2054"/>
  <c r="R32" i="2054"/>
  <c r="R31" i="2054"/>
  <c r="R30" i="2054"/>
  <c r="R29" i="2054"/>
  <c r="R28" i="2054"/>
  <c r="L16" i="2054" s="1"/>
  <c r="D16" i="2054" s="1"/>
  <c r="D28" i="2054"/>
  <c r="R27" i="2054"/>
  <c r="D27" i="2054"/>
  <c r="R26" i="2054"/>
  <c r="L26" i="2054"/>
  <c r="D26" i="2054"/>
  <c r="R25" i="2054"/>
  <c r="L25" i="2054"/>
  <c r="D25" i="2054" s="1"/>
  <c r="R24" i="2054"/>
  <c r="D24" i="2054"/>
  <c r="R23" i="2054"/>
  <c r="L23" i="2054"/>
  <c r="D23" i="2054" s="1"/>
  <c r="R22" i="2054"/>
  <c r="L22" i="2054"/>
  <c r="D22" i="2054" s="1"/>
  <c r="R21" i="2054"/>
  <c r="D21" i="2054"/>
  <c r="R20" i="2054"/>
  <c r="L20" i="2054"/>
  <c r="D20" i="2054"/>
  <c r="R19" i="2054"/>
  <c r="L19" i="2054"/>
  <c r="D19" i="2054" s="1"/>
  <c r="R18" i="2054"/>
  <c r="D18" i="2054"/>
  <c r="R17" i="2054"/>
  <c r="D17" i="2054"/>
  <c r="R16" i="2054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9" i="2054"/>
  <c r="D9" i="2054" s="1"/>
  <c r="R6" i="2054"/>
  <c r="R5" i="2054"/>
  <c r="R4" i="2054"/>
  <c r="D54" i="2054" l="1"/>
  <c r="H14" i="2054" s="1"/>
  <c r="D12" i="2055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 s="1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L6" i="2053" s="1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L18" i="2053" s="1"/>
  <c r="D18" i="2053" s="1"/>
  <c r="H35" i="2053"/>
  <c r="D35" i="2053"/>
  <c r="R34" i="2053"/>
  <c r="L12" i="2053" s="1"/>
  <c r="D12" i="2053" s="1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L9" i="2052" s="1"/>
  <c r="D9" i="2052" s="1"/>
  <c r="H38" i="2052"/>
  <c r="D38" i="2052"/>
  <c r="R37" i="2052"/>
  <c r="H37" i="2052"/>
  <c r="D37" i="2052"/>
  <c r="R36" i="2052"/>
  <c r="H36" i="2052"/>
  <c r="D36" i="2052"/>
  <c r="R35" i="2052"/>
  <c r="L18" i="2052" s="1"/>
  <c r="D18" i="2052" s="1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 s="1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17" i="2052" s="1"/>
  <c r="D17" i="2052" s="1"/>
  <c r="L21" i="2052"/>
  <c r="D21" i="2052" s="1"/>
  <c r="R20" i="2052"/>
  <c r="R19" i="2052"/>
  <c r="R18" i="2052"/>
  <c r="R17" i="2052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L9" i="2051" s="1"/>
  <c r="D9" i="2051" s="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L12" i="2051" s="1"/>
  <c r="D12" i="2051" s="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 s="1"/>
  <c r="R25" i="2051"/>
  <c r="L25" i="2051"/>
  <c r="D25" i="2051" s="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L17" i="2051" s="1"/>
  <c r="D17" i="2051" s="1"/>
  <c r="D21" i="2051"/>
  <c r="R20" i="2051"/>
  <c r="R19" i="2051"/>
  <c r="L19" i="2051"/>
  <c r="D19" i="2051" s="1"/>
  <c r="R18" i="2051"/>
  <c r="R17" i="2051"/>
  <c r="R16" i="2051"/>
  <c r="R15" i="2051"/>
  <c r="R14" i="2051"/>
  <c r="D14" i="2051"/>
  <c r="R13" i="2051"/>
  <c r="D13" i="2051"/>
  <c r="R12" i="2051"/>
  <c r="R11" i="2051"/>
  <c r="L11" i="2051"/>
  <c r="D11" i="2051" s="1"/>
  <c r="L10" i="2051"/>
  <c r="D10" i="2051"/>
  <c r="L8" i="2051"/>
  <c r="D8" i="2051" s="1"/>
  <c r="L7" i="2051"/>
  <c r="D7" i="2051" s="1"/>
  <c r="R6" i="2051"/>
  <c r="L16" i="2051" s="1"/>
  <c r="D16" i="2051" s="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L8" i="2050" s="1"/>
  <c r="D8" i="2050" s="1"/>
  <c r="D40" i="2050"/>
  <c r="R39" i="2050"/>
  <c r="D39" i="2050"/>
  <c r="R38" i="2050"/>
  <c r="L9" i="2050" s="1"/>
  <c r="D9" i="2050" s="1"/>
  <c r="D38" i="2050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L12" i="2050" s="1"/>
  <c r="D12" i="2050" s="1"/>
  <c r="D34" i="2050"/>
  <c r="R33" i="2050"/>
  <c r="L23" i="2050" s="1"/>
  <c r="D23" i="2050" s="1"/>
  <c r="R32" i="2050"/>
  <c r="L11" i="2050" s="1"/>
  <c r="D11" i="2050" s="1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 s="1"/>
  <c r="R24" i="2050"/>
  <c r="D24" i="2050"/>
  <c r="R23" i="2050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R11" i="2050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L28" i="2049" s="1"/>
  <c r="D28" i="2049" s="1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L12" i="2049" s="1"/>
  <c r="D12" i="2049" s="1"/>
  <c r="H34" i="2049"/>
  <c r="D34" i="2049"/>
  <c r="R33" i="2049"/>
  <c r="L19" i="2049" s="1"/>
  <c r="D19" i="2049" s="1"/>
  <c r="R32" i="2049"/>
  <c r="L11" i="2049" s="1"/>
  <c r="D11" i="2049" s="1"/>
  <c r="R31" i="2049"/>
  <c r="R30" i="2049"/>
  <c r="R29" i="2049"/>
  <c r="R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 s="1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R11" i="2049"/>
  <c r="L8" i="2049"/>
  <c r="D8" i="2049" s="1"/>
  <c r="L7" i="2049"/>
  <c r="D7" i="2049" s="1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L28" i="2048" s="1"/>
  <c r="D28" i="2048" s="1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R27" i="2048"/>
  <c r="L27" i="2048"/>
  <c r="D27" i="2048"/>
  <c r="R26" i="2048"/>
  <c r="L26" i="2048"/>
  <c r="D26" i="2048" s="1"/>
  <c r="R25" i="2048"/>
  <c r="L25" i="2048"/>
  <c r="D25" i="2048" s="1"/>
  <c r="R24" i="2048"/>
  <c r="L24" i="2048"/>
  <c r="D24" i="2048"/>
  <c r="R23" i="2048"/>
  <c r="L23" i="2048"/>
  <c r="D23" i="2048" s="1"/>
  <c r="R22" i="2048"/>
  <c r="L20" i="2048" s="1"/>
  <c r="D20" i="2048" s="1"/>
  <c r="L22" i="2048"/>
  <c r="D22" i="2048" s="1"/>
  <c r="R21" i="2048"/>
  <c r="L21" i="2048"/>
  <c r="D21" i="2048" s="1"/>
  <c r="R20" i="2048"/>
  <c r="R19" i="2048"/>
  <c r="R18" i="2048"/>
  <c r="L18" i="2048"/>
  <c r="D18" i="2048" s="1"/>
  <c r="R17" i="2048"/>
  <c r="L17" i="2048"/>
  <c r="D17" i="2048" s="1"/>
  <c r="R16" i="2048"/>
  <c r="L16" i="2048"/>
  <c r="D16" i="2048" s="1"/>
  <c r="R15" i="2048"/>
  <c r="L15" i="2048"/>
  <c r="D15" i="2048" s="1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 s="1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L8" i="2047" s="1"/>
  <c r="D8" i="2047" s="1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 s="1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 s="1"/>
  <c r="R22" i="2047"/>
  <c r="L20" i="2047" s="1"/>
  <c r="D20" i="2047" s="1"/>
  <c r="L22" i="2047"/>
  <c r="D22" i="2047" s="1"/>
  <c r="R21" i="2047"/>
  <c r="L17" i="2047" s="1"/>
  <c r="D17" i="2047" s="1"/>
  <c r="L21" i="2047"/>
  <c r="D21" i="2047" s="1"/>
  <c r="R20" i="2047"/>
  <c r="R19" i="2047"/>
  <c r="L19" i="2047"/>
  <c r="D19" i="2047" s="1"/>
  <c r="R18" i="2047"/>
  <c r="R17" i="2047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R6" i="2047"/>
  <c r="L16" i="2047" s="1"/>
  <c r="D16" i="2047" s="1"/>
  <c r="L6" i="2047"/>
  <c r="D6" i="2047" s="1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L6" i="2046" s="1"/>
  <c r="D6" i="2046" s="1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R34" i="2046"/>
  <c r="L12" i="2046" s="1"/>
  <c r="D12" i="2046" s="1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R11" i="2046"/>
  <c r="L11" i="2046"/>
  <c r="D11" i="2046" s="1"/>
  <c r="L10" i="2046"/>
  <c r="D10" i="2046" s="1"/>
  <c r="L9" i="2046"/>
  <c r="D9" i="2046" s="1"/>
  <c r="L8" i="2046"/>
  <c r="D8" i="2046" s="1"/>
  <c r="R6" i="2046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L12" i="2045" s="1"/>
  <c r="D12" i="2045" s="1"/>
  <c r="H34" i="2045"/>
  <c r="D34" i="2045"/>
  <c r="R33" i="2045"/>
  <c r="R32" i="2045"/>
  <c r="R31" i="2045"/>
  <c r="R30" i="2045"/>
  <c r="R29" i="2045"/>
  <c r="R28" i="2045"/>
  <c r="L28" i="2045"/>
  <c r="D28" i="2045" s="1"/>
  <c r="R27" i="2045"/>
  <c r="L27" i="2045"/>
  <c r="D27" i="2045" s="1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R15" i="2045"/>
  <c r="R14" i="2045"/>
  <c r="D14" i="2045"/>
  <c r="R13" i="2045"/>
  <c r="D13" i="2045"/>
  <c r="R12" i="2045"/>
  <c r="R11" i="2045"/>
  <c r="L11" i="2045"/>
  <c r="D11" i="2045" s="1"/>
  <c r="L7" i="2045"/>
  <c r="D7" i="2045"/>
  <c r="R6" i="2045"/>
  <c r="L16" i="2045" s="1"/>
  <c r="D16" i="2045" s="1"/>
  <c r="R5" i="2045"/>
  <c r="R4" i="2045"/>
  <c r="L15" i="2045" s="1"/>
  <c r="D15" i="2045" s="1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L7" i="2044" s="1"/>
  <c r="D7" i="2044" s="1"/>
  <c r="D41" i="2044"/>
  <c r="R40" i="2044"/>
  <c r="L8" i="2044" s="1"/>
  <c r="D8" i="2044" s="1"/>
  <c r="D40" i="2044"/>
  <c r="R39" i="2044"/>
  <c r="H39" i="2044"/>
  <c r="D39" i="2044"/>
  <c r="R38" i="2044"/>
  <c r="L9" i="2044" s="1"/>
  <c r="D9" i="2044" s="1"/>
  <c r="H38" i="2044"/>
  <c r="D38" i="2044"/>
  <c r="R37" i="2044"/>
  <c r="H37" i="2044"/>
  <c r="D37" i="2044"/>
  <c r="R36" i="2044"/>
  <c r="L10" i="2044" s="1"/>
  <c r="D10" i="2044" s="1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 s="1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R15" i="2044"/>
  <c r="R14" i="2044"/>
  <c r="D14" i="2044"/>
  <c r="R13" i="2044"/>
  <c r="D13" i="2044"/>
  <c r="R12" i="2044"/>
  <c r="R11" i="2044"/>
  <c r="L11" i="2044"/>
  <c r="D11" i="2044" s="1"/>
  <c r="R6" i="2044"/>
  <c r="L16" i="2044" s="1"/>
  <c r="D16" i="2044" s="1"/>
  <c r="L6" i="2044"/>
  <c r="D6" i="2044" s="1"/>
  <c r="R5" i="2044"/>
  <c r="R4" i="2044"/>
  <c r="L15" i="2044" s="1"/>
  <c r="D15" i="2044" s="1"/>
  <c r="R52" i="2043"/>
  <c r="R51" i="2043"/>
  <c r="D50" i="2043"/>
  <c r="R49" i="2043"/>
  <c r="D49" i="2043"/>
  <c r="R48" i="2043"/>
  <c r="D48" i="2043"/>
  <c r="D46" i="2043"/>
  <c r="D45" i="2043"/>
  <c r="R44" i="2043"/>
  <c r="L28" i="2043" s="1"/>
  <c r="D28" i="2043" s="1"/>
  <c r="D44" i="2043"/>
  <c r="R42" i="2043"/>
  <c r="L6" i="2043" s="1"/>
  <c r="D6" i="2043" s="1"/>
  <c r="D42" i="2043"/>
  <c r="R41" i="2043"/>
  <c r="L7" i="2043" s="1"/>
  <c r="D7" i="2043" s="1"/>
  <c r="D41" i="2043"/>
  <c r="R40" i="2043"/>
  <c r="L8" i="2043" s="1"/>
  <c r="D8" i="2043" s="1"/>
  <c r="D40" i="2043"/>
  <c r="R39" i="2043"/>
  <c r="H39" i="2043"/>
  <c r="D39" i="2043"/>
  <c r="R38" i="2043"/>
  <c r="L9" i="2043" s="1"/>
  <c r="D9" i="2043" s="1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L11" i="2043" s="1"/>
  <c r="D11" i="2043" s="1"/>
  <c r="R31" i="2043"/>
  <c r="R30" i="2043"/>
  <c r="R29" i="2043"/>
  <c r="R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R15" i="2043"/>
  <c r="R14" i="2043"/>
  <c r="R13" i="2043"/>
  <c r="D13" i="2043"/>
  <c r="R12" i="2043"/>
  <c r="R11" i="2043"/>
  <c r="L10" i="2043"/>
  <c r="D10" i="2043"/>
  <c r="R6" i="2043"/>
  <c r="L16" i="2043" s="1"/>
  <c r="D16" i="2043" s="1"/>
  <c r="R5" i="2043"/>
  <c r="R4" i="2043"/>
  <c r="L15" i="2043" s="1"/>
  <c r="D15" i="2043" s="1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L10" i="2042" s="1"/>
  <c r="D10" i="2042" s="1"/>
  <c r="D36" i="2042"/>
  <c r="R35" i="2042"/>
  <c r="L19" i="2042" s="1"/>
  <c r="D19" i="2042" s="1"/>
  <c r="D35" i="2042"/>
  <c r="R34" i="2042"/>
  <c r="D34" i="2042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L7" i="2041" s="1"/>
  <c r="D7" i="2041" s="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L10" i="2041" s="1"/>
  <c r="D10" i="2041" s="1"/>
  <c r="H36" i="2041"/>
  <c r="D36" i="2041"/>
  <c r="R35" i="2041"/>
  <c r="L18" i="2041" s="1"/>
  <c r="D18" i="2041" s="1"/>
  <c r="H35" i="2041"/>
  <c r="D35" i="2041"/>
  <c r="R34" i="2041"/>
  <c r="H34" i="2041"/>
  <c r="D34" i="2041"/>
  <c r="R33" i="2041"/>
  <c r="L19" i="2041" s="1"/>
  <c r="D19" i="2041" s="1"/>
  <c r="R32" i="2041"/>
  <c r="L11" i="2041" s="1"/>
  <c r="D11" i="2041" s="1"/>
  <c r="R31" i="2041"/>
  <c r="R30" i="2041"/>
  <c r="R29" i="2041"/>
  <c r="R28" i="2041"/>
  <c r="R27" i="2041"/>
  <c r="L27" i="2041"/>
  <c r="D27" i="2041" s="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 s="1"/>
  <c r="R21" i="2041"/>
  <c r="L21" i="2041"/>
  <c r="D21" i="2041"/>
  <c r="R20" i="2041"/>
  <c r="R19" i="2041"/>
  <c r="R18" i="2041"/>
  <c r="R17" i="2041"/>
  <c r="L17" i="2041"/>
  <c r="D17" i="2041" s="1"/>
  <c r="R16" i="2041"/>
  <c r="R15" i="2041"/>
  <c r="R14" i="2041"/>
  <c r="D14" i="2041"/>
  <c r="R13" i="2041"/>
  <c r="D13" i="2041"/>
  <c r="R12" i="2041"/>
  <c r="L12" i="2041"/>
  <c r="D12" i="2041" s="1"/>
  <c r="R11" i="2041"/>
  <c r="L9" i="2041"/>
  <c r="D9" i="2041" s="1"/>
  <c r="R6" i="2041"/>
  <c r="L16" i="2041" s="1"/>
  <c r="D16" i="2041" s="1"/>
  <c r="L6" i="2041"/>
  <c r="D6" i="2041" s="1"/>
  <c r="R5" i="2041"/>
  <c r="R4" i="2041"/>
  <c r="L15" i="2041" s="1"/>
  <c r="D15" i="2041" s="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L7" i="2040" s="1"/>
  <c r="D7" i="2040" s="1"/>
  <c r="D41" i="2040"/>
  <c r="R40" i="2040"/>
  <c r="L8" i="2040" s="1"/>
  <c r="D8" i="2040" s="1"/>
  <c r="D40" i="2040"/>
  <c r="R39" i="2040"/>
  <c r="H39" i="2040"/>
  <c r="D39" i="2040"/>
  <c r="R38" i="2040"/>
  <c r="L9" i="2040" s="1"/>
  <c r="D9" i="2040" s="1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L11" i="2040" s="1"/>
  <c r="D11" i="2040" s="1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 s="1"/>
  <c r="R23" i="2040"/>
  <c r="L23" i="2040"/>
  <c r="D23" i="2040" s="1"/>
  <c r="R22" i="2040"/>
  <c r="L20" i="2040" s="1"/>
  <c r="D20" i="2040" s="1"/>
  <c r="L22" i="2040"/>
  <c r="D22" i="2040" s="1"/>
  <c r="R21" i="2040"/>
  <c r="L17" i="2040" s="1"/>
  <c r="D17" i="2040" s="1"/>
  <c r="L21" i="2040"/>
  <c r="D21" i="2040"/>
  <c r="R20" i="2040"/>
  <c r="R19" i="2040"/>
  <c r="R18" i="2040"/>
  <c r="L18" i="2040"/>
  <c r="D18" i="2040" s="1"/>
  <c r="R17" i="2040"/>
  <c r="R16" i="2040"/>
  <c r="R15" i="2040"/>
  <c r="R14" i="2040"/>
  <c r="D14" i="2040"/>
  <c r="R13" i="2040"/>
  <c r="D13" i="2040"/>
  <c r="R12" i="2040"/>
  <c r="R11" i="2040"/>
  <c r="L10" i="2040"/>
  <c r="D10" i="2040" s="1"/>
  <c r="R6" i="2040"/>
  <c r="L16" i="2040" s="1"/>
  <c r="D16" i="2040" s="1"/>
  <c r="L6" i="2040"/>
  <c r="D6" i="2040" s="1"/>
  <c r="R5" i="2040"/>
  <c r="R4" i="2040"/>
  <c r="L15" i="2040" s="1"/>
  <c r="D15" i="2040" s="1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L6" i="2039" s="1"/>
  <c r="D6" i="2039" s="1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L9" i="2039" s="1"/>
  <c r="D9" i="2039" s="1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17" i="2039" s="1"/>
  <c r="D17" i="2039" s="1"/>
  <c r="L21" i="2039"/>
  <c r="D21" i="2039"/>
  <c r="R20" i="2039"/>
  <c r="L20" i="2039"/>
  <c r="D20" i="2039" s="1"/>
  <c r="R19" i="2039"/>
  <c r="R18" i="2039"/>
  <c r="R17" i="2039"/>
  <c r="R16" i="2039"/>
  <c r="R15" i="2039"/>
  <c r="R14" i="2039"/>
  <c r="D14" i="2039"/>
  <c r="R13" i="2039"/>
  <c r="D13" i="2039"/>
  <c r="R12" i="2039"/>
  <c r="L12" i="2039"/>
  <c r="D12" i="2039"/>
  <c r="R11" i="2039"/>
  <c r="L8" i="2039"/>
  <c r="D8" i="2039" s="1"/>
  <c r="R6" i="2039"/>
  <c r="L16" i="2039" s="1"/>
  <c r="D16" i="2039" s="1"/>
  <c r="R5" i="2039"/>
  <c r="R4" i="2039"/>
  <c r="L15" i="2039" s="1"/>
  <c r="D15" i="2039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L8" i="2038" s="1"/>
  <c r="D8" i="2038" s="1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L19" i="2038" s="1"/>
  <c r="D19" i="2038" s="1"/>
  <c r="D35" i="2038"/>
  <c r="D54" i="2038" s="1"/>
  <c r="H14" i="2038" s="1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 s="1"/>
  <c r="R25" i="2038"/>
  <c r="L25" i="2038"/>
  <c r="D25" i="2038" s="1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L18" i="2037" s="1"/>
  <c r="D18" i="2037" s="1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 s="1"/>
  <c r="R26" i="2037"/>
  <c r="L26" i="2037"/>
  <c r="D26" i="2037" s="1"/>
  <c r="R25" i="2037"/>
  <c r="L25" i="2037"/>
  <c r="D25" i="2037"/>
  <c r="R24" i="2037"/>
  <c r="L24" i="2037"/>
  <c r="D24" i="2037" s="1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L9" i="2036" s="1"/>
  <c r="D9" i="2036" s="1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L18" i="2036" s="1"/>
  <c r="D18" i="2036" s="1"/>
  <c r="H35" i="2036"/>
  <c r="D35" i="2036"/>
  <c r="R34" i="2036"/>
  <c r="L12" i="2036" s="1"/>
  <c r="D12" i="2036" s="1"/>
  <c r="H34" i="2036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 s="1"/>
  <c r="R25" i="2036"/>
  <c r="L25" i="2036"/>
  <c r="D25" i="2036" s="1"/>
  <c r="R24" i="2036"/>
  <c r="L24" i="2036"/>
  <c r="D24" i="2036"/>
  <c r="R23" i="2036"/>
  <c r="L23" i="2036"/>
  <c r="D23" i="2036" s="1"/>
  <c r="R22" i="2036"/>
  <c r="L20" i="2036" s="1"/>
  <c r="D20" i="2036" s="1"/>
  <c r="L22" i="2036"/>
  <c r="D22" i="2036" s="1"/>
  <c r="R21" i="2036"/>
  <c r="L17" i="2036" s="1"/>
  <c r="D17" i="2036" s="1"/>
  <c r="L21" i="2036"/>
  <c r="D21" i="2036" s="1"/>
  <c r="R20" i="2036"/>
  <c r="R19" i="2036"/>
  <c r="R18" i="2036"/>
  <c r="R17" i="2036"/>
  <c r="R16" i="2036"/>
  <c r="R15" i="2036"/>
  <c r="L15" i="2036"/>
  <c r="D15" i="2036" s="1"/>
  <c r="R14" i="2036"/>
  <c r="D14" i="2036"/>
  <c r="R13" i="2036"/>
  <c r="D13" i="2036"/>
  <c r="R12" i="2036"/>
  <c r="R11" i="2036"/>
  <c r="L11" i="2036"/>
  <c r="D11" i="2036" s="1"/>
  <c r="L7" i="2036"/>
  <c r="D7" i="2036" s="1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L6" i="2035" s="1"/>
  <c r="D6" i="2035" s="1"/>
  <c r="D42" i="2035"/>
  <c r="R41" i="2035"/>
  <c r="L7" i="2035" s="1"/>
  <c r="D7" i="2035" s="1"/>
  <c r="D41" i="2035"/>
  <c r="R40" i="2035"/>
  <c r="L8" i="2035" s="1"/>
  <c r="D8" i="2035" s="1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 s="1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 s="1"/>
  <c r="R20" i="2035"/>
  <c r="R19" i="2035"/>
  <c r="L19" i="2035"/>
  <c r="D19" i="2035" s="1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R6" i="2035"/>
  <c r="L16" i="2035" s="1"/>
  <c r="D1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L8" i="2034" s="1"/>
  <c r="D8" i="2034" s="1"/>
  <c r="D40" i="2034"/>
  <c r="R39" i="2034"/>
  <c r="D39" i="2034"/>
  <c r="R38" i="2034"/>
  <c r="D38" i="2034"/>
  <c r="R37" i="2034"/>
  <c r="D37" i="2034"/>
  <c r="R36" i="2034"/>
  <c r="L10" i="2034" s="1"/>
  <c r="D10" i="2034" s="1"/>
  <c r="D36" i="2034"/>
  <c r="R35" i="2034"/>
  <c r="L19" i="2034" s="1"/>
  <c r="D19" i="2034" s="1"/>
  <c r="D35" i="2034"/>
  <c r="R34" i="2034"/>
  <c r="L12" i="2034" s="1"/>
  <c r="D12" i="2034" s="1"/>
  <c r="D34" i="2034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 s="1"/>
  <c r="R25" i="2034"/>
  <c r="L25" i="2034"/>
  <c r="D25" i="2034" s="1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9" i="2034"/>
  <c r="D9" i="2034" s="1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L28" i="2033" s="1"/>
  <c r="D28" i="2033" s="1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L12" i="2033" s="1"/>
  <c r="D12" i="2033" s="1"/>
  <c r="H34" i="2033"/>
  <c r="D34" i="2033"/>
  <c r="R33" i="2033"/>
  <c r="L19" i="2033" s="1"/>
  <c r="D19" i="2033" s="1"/>
  <c r="R32" i="2033"/>
  <c r="R31" i="2033"/>
  <c r="R30" i="2033"/>
  <c r="R29" i="2033"/>
  <c r="R28" i="2033"/>
  <c r="R27" i="2033"/>
  <c r="L27" i="2033"/>
  <c r="D27" i="2033" s="1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17" i="2033" s="1"/>
  <c r="D17" i="2033" s="1"/>
  <c r="L21" i="2033"/>
  <c r="D21" i="2033" s="1"/>
  <c r="R20" i="2033"/>
  <c r="R19" i="2033"/>
  <c r="R18" i="2033"/>
  <c r="L18" i="2033"/>
  <c r="D18" i="2033" s="1"/>
  <c r="R17" i="2033"/>
  <c r="R16" i="2033"/>
  <c r="R15" i="2033"/>
  <c r="R14" i="2033"/>
  <c r="D14" i="2033"/>
  <c r="R13" i="2033"/>
  <c r="D13" i="2033"/>
  <c r="R12" i="2033"/>
  <c r="R11" i="2033"/>
  <c r="L11" i="2033"/>
  <c r="D11" i="2033" s="1"/>
  <c r="L10" i="2033"/>
  <c r="D10" i="2033" s="1"/>
  <c r="L9" i="2033"/>
  <c r="D9" i="2033" s="1"/>
  <c r="L7" i="2033"/>
  <c r="D7" i="2033" s="1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 s="1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0" i="2032" s="1"/>
  <c r="D20" i="2032" s="1"/>
  <c r="L22" i="2032"/>
  <c r="D22" i="2032" s="1"/>
  <c r="R21" i="2032"/>
  <c r="L17" i="2032" s="1"/>
  <c r="D17" i="2032" s="1"/>
  <c r="L21" i="2032"/>
  <c r="D21" i="2032" s="1"/>
  <c r="R20" i="2032"/>
  <c r="R19" i="2032"/>
  <c r="R18" i="2032"/>
  <c r="R17" i="2032"/>
  <c r="R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 s="1"/>
  <c r="L9" i="2032"/>
  <c r="D9" i="2032" s="1"/>
  <c r="L7" i="2032"/>
  <c r="D7" i="2032" s="1"/>
  <c r="R6" i="2032"/>
  <c r="L16" i="2032" s="1"/>
  <c r="D16" i="2032" s="1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L12" i="2031" s="1"/>
  <c r="D12" i="2031" s="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 s="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 s="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 s="1"/>
  <c r="R18" i="2031"/>
  <c r="R17" i="2031"/>
  <c r="L17" i="2031"/>
  <c r="D17" i="2031" s="1"/>
  <c r="R16" i="2031"/>
  <c r="R15" i="2031"/>
  <c r="R14" i="2031"/>
  <c r="D14" i="2031"/>
  <c r="R13" i="2031"/>
  <c r="D13" i="2031"/>
  <c r="R12" i="2031"/>
  <c r="R11" i="2031"/>
  <c r="L8" i="2031"/>
  <c r="D8" i="2031" s="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L9" i="2030" s="1"/>
  <c r="D9" i="2030" s="1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R33" i="2030"/>
  <c r="L23" i="2030" s="1"/>
  <c r="D23" i="2030" s="1"/>
  <c r="R32" i="2030"/>
  <c r="L11" i="2030" s="1"/>
  <c r="D11" i="2030" s="1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 s="1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 s="1"/>
  <c r="R19" i="2030"/>
  <c r="L19" i="2030"/>
  <c r="D19" i="2030" s="1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8" i="2030"/>
  <c r="D8" i="2030" s="1"/>
  <c r="R6" i="2030"/>
  <c r="R5" i="2030"/>
  <c r="R4" i="2030"/>
  <c r="D54" i="2050" l="1"/>
  <c r="H14" i="2050" s="1"/>
  <c r="D54" i="2034"/>
  <c r="H14" i="2034" s="1"/>
  <c r="D54" i="2046"/>
  <c r="H14" i="2046" s="1"/>
  <c r="D54" i="2030"/>
  <c r="H14" i="2030" s="1"/>
  <c r="G49" i="2047"/>
  <c r="D54" i="2042"/>
  <c r="H14" i="2042" s="1"/>
  <c r="G49" i="2036"/>
  <c r="G49" i="2053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L19" i="2029" s="1"/>
  <c r="D19" i="2029" s="1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 s="1"/>
  <c r="R24" i="2029"/>
  <c r="L24" i="2029"/>
  <c r="D24" i="2029" s="1"/>
  <c r="R23" i="2029"/>
  <c r="L23" i="2029"/>
  <c r="D23" i="2029" s="1"/>
  <c r="R22" i="2029"/>
  <c r="L20" i="2029" s="1"/>
  <c r="D20" i="2029" s="1"/>
  <c r="L22" i="2029"/>
  <c r="D22" i="2029" s="1"/>
  <c r="R21" i="2029"/>
  <c r="L17" i="2029" s="1"/>
  <c r="D17" i="2029" s="1"/>
  <c r="L21" i="2029"/>
  <c r="D21" i="2029"/>
  <c r="R20" i="2029"/>
  <c r="R19" i="2029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 s="1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L28" i="2028" s="1"/>
  <c r="D28" i="2028" s="1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L9" i="2028" s="1"/>
  <c r="D9" i="2028" s="1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L11" i="2028" s="1"/>
  <c r="D11" i="2028" s="1"/>
  <c r="R31" i="2028"/>
  <c r="R30" i="2028"/>
  <c r="R29" i="2028"/>
  <c r="R28" i="2028"/>
  <c r="R27" i="2028"/>
  <c r="L27" i="2028"/>
  <c r="D27" i="2028" s="1"/>
  <c r="R26" i="2028"/>
  <c r="L26" i="2028"/>
  <c r="D26" i="2028" s="1"/>
  <c r="R25" i="2028"/>
  <c r="L25" i="2028"/>
  <c r="D25" i="2028"/>
  <c r="R24" i="2028"/>
  <c r="L24" i="2028"/>
  <c r="D24" i="2028" s="1"/>
  <c r="R23" i="2028"/>
  <c r="L23" i="2028"/>
  <c r="D23" i="2028"/>
  <c r="R22" i="2028"/>
  <c r="L20" i="2028" s="1"/>
  <c r="D20" i="2028" s="1"/>
  <c r="L22" i="2028"/>
  <c r="D22" i="2028" s="1"/>
  <c r="R21" i="2028"/>
  <c r="L17" i="2028" s="1"/>
  <c r="D17" i="2028" s="1"/>
  <c r="L21" i="2028"/>
  <c r="D21" i="2028" s="1"/>
  <c r="R20" i="2028"/>
  <c r="R19" i="2028"/>
  <c r="R18" i="2028"/>
  <c r="R17" i="2028"/>
  <c r="R16" i="2028"/>
  <c r="L16" i="2028"/>
  <c r="D16" i="2028" s="1"/>
  <c r="R15" i="2028"/>
  <c r="R14" i="2028"/>
  <c r="D14" i="2028"/>
  <c r="R13" i="2028"/>
  <c r="D13" i="2028"/>
  <c r="R12" i="2028"/>
  <c r="R11" i="2028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L7" i="2027" s="1"/>
  <c r="D7" i="2027" s="1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L12" i="2027" s="1"/>
  <c r="D12" i="2027" s="1"/>
  <c r="H34" i="2027"/>
  <c r="D34" i="2027"/>
  <c r="R33" i="2027"/>
  <c r="L19" i="2027" s="1"/>
  <c r="D19" i="2027" s="1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R11" i="2027"/>
  <c r="L8" i="2027"/>
  <c r="D8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L8" i="2026" s="1"/>
  <c r="D8" i="2026" s="1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R33" i="2026"/>
  <c r="L23" i="2026" s="1"/>
  <c r="D23" i="2026" s="1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R22" i="2026"/>
  <c r="L22" i="2026"/>
  <c r="D22" i="2026"/>
  <c r="R21" i="2026"/>
  <c r="D21" i="2026"/>
  <c r="R20" i="2026"/>
  <c r="L20" i="2026"/>
  <c r="D20" i="2026"/>
  <c r="R19" i="2026"/>
  <c r="L19" i="2026"/>
  <c r="D19" i="2026" s="1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R6" i="2026"/>
  <c r="R5" i="2026"/>
  <c r="R4" i="2026"/>
  <c r="D54" i="2026" l="1"/>
  <c r="H14" i="2026" s="1"/>
  <c r="H15" i="2053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D29" i="2027"/>
  <c r="H13" i="2027" s="1"/>
  <c r="D29" i="2026"/>
  <c r="H13" i="2026" s="1"/>
  <c r="H15" i="2026" s="1"/>
  <c r="H29" i="2026" s="1"/>
  <c r="G51" i="2026" s="1"/>
  <c r="H15" i="2028" l="1"/>
  <c r="H29" i="2028" s="1"/>
  <c r="G51" i="2028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<sst xmlns="http://schemas.openxmlformats.org/spreadsheetml/2006/main" count="13817" uniqueCount="210">
  <si>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</si>
  <si>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</si>
  <si>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</si>
  <si>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</si>
  <si>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</si>
  <si>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</si>
  <si>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</si>
  <si>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</si>
  <si>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</si>
  <si>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</si>
  <si>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</si>
  <si>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</si>
  <si>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</si>
  <si>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</si>
  <si>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</si>
  <si>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</si>
  <si>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</si>
  <si>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</si>
  <si>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</si>
  <si>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</si>
  <si>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</si>
  <si>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</si>
  <si>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</si>
  <si>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</si>
  <si>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</si>
  <si>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</si>
  <si>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</si>
  <si>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</si>
  <si>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</si>
  <si>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</si>
  <si>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</si>
  <si>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</si>
  <si>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</si>
  <si>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</si>
  <si>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</si>
  <si>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</si>
  <si>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</si>
  <si>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</si>
  <si>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</si>
  <si>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</si>
  <si>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</si>
  <si>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</si>
  <si>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</si>
  <si>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</si>
  <si>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</si>
  <si>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</si>
  <si>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</si>
  <si>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</si>
  <si>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</si>
  <si>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</si>
  <si>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</si>
  <si>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</si>
  <si>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</si>
  <si>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</si>
  <si>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</si>
  <si>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</si>
  <si>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</si>
  <si>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</si>
  <si>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</si>
  <si>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</si>
  <si>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</si>
  <si>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</si>
  <si>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</si>
  <si>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</si>
  <si>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</si>
  <si>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</si>
  <si>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</si>
  <si>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</si>
  <si>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</si>
  <si>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</si>
  <si>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</si>
  <si>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</si>
  <si>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</si>
  <si>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</si>
  <si>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</si>
  <si>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</si>
  <si>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</si>
  <si>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</si>
  <si>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</si>
  <si>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</si>
  <si>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</si>
  <si>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</si>
  <si>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</si>
  <si>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</si>
  <si>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</si>
  <si>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</si>
  <si>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</si>
  <si>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</si>
  <si>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</si>
  <si>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</si>
  <si>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</si>
  <si>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</si>
  <si>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</si>
  <si>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</si>
  <si>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</si>
  <si>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</si>
  <si>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</si>
  <si>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</si>
  <si>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</si>
  <si>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</si>
  <si>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</si>
  <si>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</si>
  <si>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</si>
  <si>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</si>
  <si>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</si>
  <si>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</si>
  <si>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</si>
  <si>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</si>
  <si>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</si>
  <si>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</si>
  <si>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</si>
  <si>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</si>
  <si>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</si>
  <si>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</si>
  <si>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</si>
  <si>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</si>
  <si>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</si>
  <si>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</si>
  <si>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</si>
  <si>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</si>
  <si>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</si>
  <si>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</si>
  <si>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</si>
  <si>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</si>
  <si>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</si>
  <si>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</si>
  <si>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</si>
  <si>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</si>
  <si>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</si>
  <si>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</si>
  <si>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</si>
  <si>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</si>
  <si>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</si>
  <si>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</si>
  <si>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</si>
  <si>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</si>
  <si>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</si>
  <si>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</si>
  <si>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</si>
  <si>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</si>
  <si>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</si>
  <si>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</si>
  <si>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</si>
  <si>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</si>
  <si>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</si>
  <si>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</si>
  <si>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</si>
  <si>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</si>
  <si>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</si>
  <si>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</si>
  <si>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</si>
  <si>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</si>
  <si>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</si>
  <si>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</si>
  <si>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</si>
  <si>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</si>
  <si>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</si>
  <si>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</si>
  <si>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</si>
  <si>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</si>
  <si>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</si>
  <si>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</si>
  <si>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</si>
  <si>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</si>
  <si>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</si>
  <si>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</si>
  <si>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</si>
  <si>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</si>
  <si>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</si>
  <si>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</si>
  <si>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</si>
  <si>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</si>
  <si>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</si>
  <si>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</si>
  <si>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43067</t>
  </si>
  <si>
    <t>METRO BANK</t>
  </si>
  <si>
    <t>3593293</t>
  </si>
  <si>
    <t>149168</t>
  </si>
  <si>
    <t>RICKY GARGOLES</t>
  </si>
  <si>
    <t>149873</t>
  </si>
  <si>
    <t>2000008557</t>
  </si>
  <si>
    <t>2000002861</t>
  </si>
  <si>
    <t xml:space="preserve">G-CASH 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</si>
  <si>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</si>
  <si>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</si>
  <si>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132762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</si>
  <si>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</si>
  <si>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2000002864</t>
  </si>
  <si>
    <t>43069</t>
  </si>
  <si>
    <t>1ST VB</t>
  </si>
  <si>
    <t>5089419</t>
  </si>
  <si>
    <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</si>
  <si>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150126</t>
  </si>
  <si>
    <t>2130020907</t>
  </si>
  <si>
    <t>2000002866</t>
  </si>
  <si>
    <r>
      <rPr>
        <sz val="11"/>
        <color theme="1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</si>
  <si>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2120013049</t>
  </si>
  <si>
    <t>LOPEZ, GINA GRACE</t>
  </si>
  <si>
    <t xml:space="preserve">                           GINA GRACE LOPEZ</t>
  </si>
  <si>
    <t>56801</t>
  </si>
  <si>
    <t>SDB BOTT.</t>
  </si>
  <si>
    <t>CB BOTT.</t>
  </si>
  <si>
    <t>2000000042</t>
  </si>
  <si>
    <t>149898</t>
  </si>
  <si>
    <t>43073</t>
  </si>
  <si>
    <t>200000026</t>
  </si>
  <si>
    <t>150160</t>
  </si>
  <si>
    <t>2000006057</t>
  </si>
  <si>
    <t>2000002875</t>
  </si>
  <si>
    <t>2000008577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</si>
</sst>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calcChain" Target="calcChain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017EB-DFAB-403C-A221-516B4DC6E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46</xdr:row>
      <xdr:rowOff>116412</xdr:rowOff>
    </xdr:from>
    <xdr:to>
      <xdr:col>4</xdr:col>
      <xdr:colOff>9526</xdr:colOff>
      <xdr:row>65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78063A-3C56-4C4D-8FB2-49A7670DC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1" y="9098487"/>
          <a:ext cx="2743200" cy="3655488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FE0C2-A6C1-49E6-BB0A-1DC7CF3BF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8DFD09-69EF-4400-9D2A-2901D4379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2D5964-1433-42A6-A73F-5DD0F630C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ED2B28-8880-4E0E-8F12-48E4C010C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98A11-3702-4E60-A25C-6708FFCB8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31A65E-2E50-4ED1-B681-E245EDE1C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3E1E2-F9A6-4917-8D99-F38758E7A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F55776-E0BA-41F7-91F5-3B7EC8D4B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E556B3-44D1-4B20-80EB-8A6BE4FF9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20BC2C-B09D-4F66-AB22-83476A817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3BE133-15A2-4CDB-BCA6-8E6A0FDD9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53677</xdr:rowOff>
    </xdr:from>
    <xdr:to>
      <xdr:col>3</xdr:col>
      <xdr:colOff>419100</xdr:colOff>
      <xdr:row>59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9B98BE-CADF-4733-BF1D-B5932C16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16877"/>
          <a:ext cx="1381125" cy="1155997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702189-6293-4C7F-AADE-2C4C18066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70C19E-AC2A-4706-93DD-3AA4D885E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1CDD1E-0B7F-4915-B35B-A703022FE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234498-8B37-41D9-8C2D-376CCD371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F82F41-7B8A-4926-9193-9816ABDBE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7727D8-86D9-45C7-8C58-9BC3365B5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B65B05-476E-4130-8800-99D7A026E5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5EF716-E126-42FA-B852-84AC584F5E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461FC5-7FA6-4C9C-A089-F25603757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5AF9AB-EDD6-4F6B-8D52-3D68C5986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933C3-8E56-49FC-A91E-ED3314568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A143A9-9F96-489B-95DD-C79E3C6C3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762AE-EA6E-4D8A-81E4-F1EFB830A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E2EE81-3EA9-4916-B8D2-577929751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B2929A-12BA-43E8-A062-1B040F4D5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5D1EB5-DB53-4721-BF57-8389048E3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BC8DF-E29D-40FA-BC9F-CCD260F98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F3A50-32E1-4117-9CD1-FFECA5B225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47A92C-2024-417E-A1A1-8755D438D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CAB245-1380-4D45-B92C-302653237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38BDA-AD4A-417F-BB49-BDAE02695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EAD81-D147-4AB1-A3B5-736C3A7F58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17778C-C5BC-4358-A790-DC42897AF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710F7-E01D-488F-AC0D-69B7B2947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B8BA0E-40DF-424F-918D-EB3BA4207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313B-BB55-4B22-8611-161DA7C57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1A43F4-C716-48E2-A8C6-81ABD8071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E0E1AF-4C07-425D-A169-693145CBF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C156A0-287C-4DAB-A594-671C24F8B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E7922F-C32A-45C1-9D54-2BFA7DB76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8C9F99-3DB4-4335-BC0B-BB8D44836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75C6B8-D1E9-4646-97F1-D4611D56F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464312-D653-4D1E-845E-D3BC28E90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76D05-E5C3-4DBF-AFA2-FA4DB84BA1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D6C46B-AE34-459F-A53C-5E621C9835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CDD2C0-91A7-4DAB-8212-41B81F8CB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EA20EB-5042-4B36-9601-77678BD97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704</v>
      </c>
      <c r="D6" s="13">
        <f t="shared" ref="D6:D28" si="1">C6*L6</f>
        <v>535744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</v>
      </c>
      <c r="D9" s="13">
        <f t="shared" si="1"/>
        <v>2199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25</v>
      </c>
      <c r="D13" s="48">
        <f t="shared" si="1"/>
        <v>7675</v>
      </c>
      <c r="F13" s="144" t="s">
        <v>36</v>
      </c>
      <c r="G13" s="145"/>
      <c r="H13" s="146">
        <f>D29</f>
        <v>545651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3</v>
      </c>
      <c r="D14" s="31">
        <f t="shared" si="1"/>
        <v>33</v>
      </c>
      <c r="F14" s="149" t="s">
        <v>38</v>
      </c>
      <c r="G14" s="150"/>
      <c r="H14" s="151">
        <f>D54</f>
        <v>100678.5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444972.5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3240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545651</v>
      </c>
      <c r="F29" s="167" t="s">
        <v>54</v>
      </c>
      <c r="G29" s="168"/>
      <c r="H29" s="171">
        <f>H15-H16-H17-H18-H19-H20-H22-H23-H24+H26+H27+H28</f>
        <v>441732.5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199">
        <f t="shared" ref="H34:H39" si="2">F34*G34</f>
        <v>315000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199">
        <f t="shared" si="2"/>
        <v>126000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199">
        <f t="shared" si="2"/>
        <v>500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86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4</v>
      </c>
      <c r="D46" s="12">
        <f>C46*1.5</f>
        <v>6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11</v>
      </c>
      <c r="D49" s="12">
        <f>C49*42</f>
        <v>462</v>
      </c>
      <c r="F49" s="224" t="s">
        <v>85</v>
      </c>
      <c r="G49" s="171">
        <f>H34+H35+H36+H37+H38+H39+H40+H41+G42+H44+H45+H46</f>
        <v>441756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22</v>
      </c>
      <c r="D50" s="12">
        <f>C50*1.5</f>
        <v>33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38" t="s">
        <v>135</v>
      </c>
      <c r="G51" s="240">
        <f>G49-H29</f>
        <v>23.5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292</v>
      </c>
      <c r="D6" s="13">
        <f t="shared" ref="D6:D28" si="1">C6*L6</f>
        <v>222212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6</v>
      </c>
      <c r="D7" s="13">
        <f t="shared" si="1"/>
        <v>4686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7</v>
      </c>
      <c r="D9" s="13">
        <f t="shared" si="1"/>
        <v>5131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7</v>
      </c>
      <c r="D13" s="48">
        <f t="shared" si="1"/>
        <v>2149</v>
      </c>
      <c r="F13" s="144" t="s">
        <v>36</v>
      </c>
      <c r="G13" s="145"/>
      <c r="H13" s="146">
        <f>D29</f>
        <v>236796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5</v>
      </c>
      <c r="D14" s="31">
        <f t="shared" si="1"/>
        <v>55</v>
      </c>
      <c r="F14" s="149" t="s">
        <v>38</v>
      </c>
      <c r="G14" s="150"/>
      <c r="H14" s="151">
        <f>D54</f>
        <v>38545.5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198250.5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1518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>
        <v>1</v>
      </c>
      <c r="D28" s="48">
        <f t="shared" si="1"/>
        <v>811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236796</v>
      </c>
      <c r="F29" s="167" t="s">
        <v>54</v>
      </c>
      <c r="G29" s="168"/>
      <c r="H29" s="171">
        <f>H15-H16-H17-H18-H19-H20-H22-H23-H24+H26+H27</f>
        <v>196732.5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199">
        <f>F34*G34</f>
        <v>166000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199">
        <f t="shared" ref="H35:H39" si="2">F35*G35</f>
        <v>30000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199">
        <f t="shared" si="2"/>
        <v>500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4</v>
      </c>
      <c r="D42" s="12">
        <f>C42*2.25</f>
        <v>9</v>
      </c>
      <c r="F42" s="39" t="s">
        <v>78</v>
      </c>
      <c r="G42" s="199">
        <v>50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12</v>
      </c>
      <c r="D49" s="12">
        <f>C49*42</f>
        <v>504</v>
      </c>
      <c r="F49" s="224" t="s">
        <v>85</v>
      </c>
      <c r="G49" s="171">
        <f>H34+H35+H36+H37+H38+H39+H40+H41+G42+H44+H45+H46</f>
        <v>196550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16</v>
      </c>
      <c r="D50" s="12">
        <f>C50*1.5</f>
        <v>24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47">
        <f>G49-H29</f>
        <v>-182.5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530</v>
      </c>
      <c r="D6" s="13">
        <f t="shared" ref="D6:D28" si="1">C6*L6</f>
        <v>403330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7</v>
      </c>
      <c r="D7" s="13">
        <f t="shared" si="1"/>
        <v>5467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56</v>
      </c>
      <c r="D9" s="13">
        <f t="shared" si="1"/>
        <v>41048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19</v>
      </c>
      <c r="D13" s="48">
        <f t="shared" si="1"/>
        <v>5833</v>
      </c>
      <c r="F13" s="144" t="s">
        <v>36</v>
      </c>
      <c r="G13" s="145"/>
      <c r="H13" s="146">
        <f>D29</f>
        <v>456978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68901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388077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f>978+1080+708</f>
        <v>2766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456978</v>
      </c>
      <c r="F29" s="167" t="s">
        <v>54</v>
      </c>
      <c r="G29" s="168"/>
      <c r="H29" s="171">
        <f>H15-H16-H17-H18-H19-H20-H22-H23-H24+H26+H27</f>
        <v>385311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199">
        <f>F34*G34</f>
        <v>126000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199">
        <f>F35*G35</f>
        <v>31500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199">
        <f t="shared" si="2"/>
        <v>4600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94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83">
        <v>105524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83">
        <v>118301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</v>
      </c>
      <c r="D49" s="12">
        <f>C49*42</f>
        <v>84</v>
      </c>
      <c r="F49" s="224" t="s">
        <v>85</v>
      </c>
      <c r="G49" s="171">
        <f>H34+H35+H36+H37+H38+H39+H40+H41+G42+H44+H45+H46</f>
        <v>386169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858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786</v>
      </c>
      <c r="D6" s="13">
        <f t="shared" ref="D6:D28" si="1">C6*L6</f>
        <v>598146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7</v>
      </c>
      <c r="D9" s="13">
        <f t="shared" si="1"/>
        <v>5131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15+2</f>
        <v>17</v>
      </c>
      <c r="D12" s="48">
        <f t="shared" si="1"/>
        <v>16864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22</v>
      </c>
      <c r="D13" s="48">
        <f t="shared" si="1"/>
        <v>6754</v>
      </c>
      <c r="F13" s="144" t="s">
        <v>36</v>
      </c>
      <c r="G13" s="145"/>
      <c r="H13" s="146">
        <f>D29</f>
        <v>635011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84996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2</v>
      </c>
      <c r="D15" s="31">
        <f t="shared" si="1"/>
        <v>1240</v>
      </c>
      <c r="F15" s="154" t="s">
        <v>39</v>
      </c>
      <c r="G15" s="145"/>
      <c r="H15" s="155">
        <f>H13-H14</f>
        <v>550015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58">
        <f>2694+300+522</f>
        <v>3516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635011</v>
      </c>
      <c r="F29" s="167" t="s">
        <v>54</v>
      </c>
      <c r="G29" s="168"/>
      <c r="H29" s="171">
        <f>H15-H16-H17-H18-H19-H20-H22-H23-H24+H26+H27</f>
        <v>546499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199">
        <f>F34*G34</f>
        <v>182000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99">
        <f>F35*G35</f>
        <v>29500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199">
        <f t="shared" si="2"/>
        <v>1400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15</v>
      </c>
      <c r="D44" s="12">
        <f>C44*120</f>
        <v>1800</v>
      </c>
      <c r="F44" s="37" t="s">
        <v>136</v>
      </c>
      <c r="G44" s="76" t="s">
        <v>138</v>
      </c>
      <c r="H44" s="183">
        <v>296674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11</v>
      </c>
      <c r="D45" s="12">
        <f>C45*84</f>
        <v>924</v>
      </c>
      <c r="F45" s="37" t="s">
        <v>136</v>
      </c>
      <c r="G45" s="76" t="s">
        <v>139</v>
      </c>
      <c r="H45" s="183">
        <v>32658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83">
        <v>4250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14</v>
      </c>
      <c r="D49" s="12">
        <f>C49*42</f>
        <v>588</v>
      </c>
      <c r="F49" s="224" t="s">
        <v>85</v>
      </c>
      <c r="G49" s="171">
        <f>H34+H35+H36+H37+H38+H39+H40+H41+G42+H44+H45+H46</f>
        <v>546483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47">
        <f>G49-H29</f>
        <v>-16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344</v>
      </c>
      <c r="D6" s="13">
        <f t="shared" ref="D6:D28" si="1">C6*L6</f>
        <v>261784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9</v>
      </c>
      <c r="D7" s="13">
        <f t="shared" si="1"/>
        <v>7029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25</v>
      </c>
      <c r="D9" s="13">
        <f t="shared" si="1"/>
        <v>18325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3</v>
      </c>
      <c r="D13" s="48">
        <f t="shared" si="1"/>
        <v>921</v>
      </c>
      <c r="F13" s="144" t="s">
        <v>36</v>
      </c>
      <c r="G13" s="145"/>
      <c r="H13" s="146">
        <f>D29</f>
        <v>290296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23</v>
      </c>
      <c r="D14" s="31">
        <f t="shared" si="1"/>
        <v>253</v>
      </c>
      <c r="F14" s="149" t="s">
        <v>38</v>
      </c>
      <c r="G14" s="150"/>
      <c r="H14" s="151">
        <f>D54</f>
        <v>42017.25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248278.75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>
        <v>200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290296</v>
      </c>
      <c r="F29" s="167" t="s">
        <v>54</v>
      </c>
      <c r="G29" s="168"/>
      <c r="H29" s="171">
        <f>H15-H16-H17-H18-H19-H20-H22-H23-H24+H26+H27+H28</f>
        <v>248078.75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199">
        <f t="shared" ref="H34:H39" si="2">F34*G34</f>
        <v>131000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199">
        <f t="shared" si="2"/>
        <v>37000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199">
        <f t="shared" si="2"/>
        <v>4700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9</v>
      </c>
      <c r="D42" s="12">
        <f>C42*2.25</f>
        <v>20.25</v>
      </c>
      <c r="F42" s="39" t="s">
        <v>78</v>
      </c>
      <c r="G42" s="199">
        <v>45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 t="s">
        <v>136</v>
      </c>
      <c r="G44" s="93" t="s">
        <v>141</v>
      </c>
      <c r="H44" s="183">
        <v>65000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83">
        <v>2600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83">
        <v>9750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250145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22</v>
      </c>
      <c r="D50" s="12">
        <f>C50*1.5</f>
        <v>33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38" t="s">
        <v>142</v>
      </c>
      <c r="G51" s="240">
        <f>G49-H29</f>
        <v>2066.25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344</v>
      </c>
      <c r="D6" s="13">
        <f t="shared" ref="D6:D28" si="1">C6*L6</f>
        <v>261784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5</v>
      </c>
      <c r="D7" s="13">
        <f t="shared" si="1"/>
        <v>3905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21</v>
      </c>
      <c r="D9" s="13">
        <f t="shared" si="1"/>
        <v>15393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12</v>
      </c>
      <c r="D13" s="48">
        <f t="shared" si="1"/>
        <v>3684</v>
      </c>
      <c r="F13" s="144" t="s">
        <v>36</v>
      </c>
      <c r="G13" s="145"/>
      <c r="H13" s="146">
        <f>D29</f>
        <v>285008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22</v>
      </c>
      <c r="D14" s="31">
        <f t="shared" si="1"/>
        <v>242</v>
      </c>
      <c r="F14" s="149" t="s">
        <v>38</v>
      </c>
      <c r="G14" s="150"/>
      <c r="H14" s="151">
        <f>D54</f>
        <v>42628.5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242379.5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1296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285008</v>
      </c>
      <c r="F29" s="167" t="s">
        <v>54</v>
      </c>
      <c r="G29" s="168"/>
      <c r="H29" s="171">
        <f>H15-H16-H17-H18-H19-H20-H22-H23-H24+H26+H27</f>
        <v>241083.5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199">
        <f>F34*G34</f>
        <v>221000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99">
        <f t="shared" ref="H35:H39" si="2">F35*G35</f>
        <v>18500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199">
        <f t="shared" si="2"/>
        <v>40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67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11</v>
      </c>
      <c r="D49" s="12">
        <f>C49*42</f>
        <v>462</v>
      </c>
      <c r="F49" s="224" t="s">
        <v>85</v>
      </c>
      <c r="G49" s="171">
        <f>H34+H35+H36+H37+H38+H39+H40+H41+G42+H44+H45+H46</f>
        <v>239857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3</v>
      </c>
      <c r="D50" s="12">
        <f>C50*1.5</f>
        <v>4.5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47">
        <f>G49-H29</f>
        <v>-1226.5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484</v>
      </c>
      <c r="D6" s="13">
        <f t="shared" ref="D6:D28" si="1">C6*L6</f>
        <v>368324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11</v>
      </c>
      <c r="D7" s="13">
        <f t="shared" si="1"/>
        <v>8591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58</v>
      </c>
      <c r="D9" s="13">
        <f t="shared" si="1"/>
        <v>42514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16</v>
      </c>
      <c r="D13" s="48">
        <f t="shared" si="1"/>
        <v>4912</v>
      </c>
      <c r="F13" s="144" t="s">
        <v>36</v>
      </c>
      <c r="G13" s="145"/>
      <c r="H13" s="146">
        <f>D29</f>
        <v>426537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63285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363252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1296+300+732</f>
        <v>2328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426537</v>
      </c>
      <c r="F29" s="167" t="s">
        <v>54</v>
      </c>
      <c r="G29" s="168"/>
      <c r="H29" s="171">
        <f>H15-H16-H17-H18-H19-H20-H22-H23-H24+H26+H27</f>
        <v>360874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199">
        <f>F34*G34</f>
        <v>177000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99">
        <f>F35*G35</f>
        <v>100500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199">
        <f t="shared" si="2"/>
        <v>5100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199">
        <f t="shared" si="2"/>
        <v>600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8</v>
      </c>
      <c r="D42" s="12">
        <f>C42*2.25</f>
        <v>18</v>
      </c>
      <c r="F42" s="39" t="s">
        <v>78</v>
      </c>
      <c r="G42" s="199">
        <v>101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83">
        <v>79565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362866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13</v>
      </c>
      <c r="D50" s="12">
        <f>C50*1.5</f>
        <v>19.5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1992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458</v>
      </c>
      <c r="D6" s="13">
        <f t="shared" ref="D6:D28" si="1">C6*L6</f>
        <v>348538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12</v>
      </c>
      <c r="D7" s="13">
        <f t="shared" si="1"/>
        <v>9372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108</v>
      </c>
      <c r="D9" s="13">
        <f t="shared" si="1"/>
        <v>79164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7</v>
      </c>
      <c r="D10" s="13">
        <f t="shared" si="1"/>
        <v>7224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6+5+2</f>
        <v>13</v>
      </c>
      <c r="D12" s="48">
        <f t="shared" si="1"/>
        <v>12896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470610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6</v>
      </c>
      <c r="D14" s="31">
        <f t="shared" si="1"/>
        <v>66</v>
      </c>
      <c r="F14" s="149" t="s">
        <v>38</v>
      </c>
      <c r="G14" s="150"/>
      <c r="H14" s="151">
        <f>D54</f>
        <v>69966.75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1</v>
      </c>
      <c r="D15" s="31">
        <f t="shared" si="1"/>
        <v>620</v>
      </c>
      <c r="F15" s="154" t="s">
        <v>39</v>
      </c>
      <c r="G15" s="145"/>
      <c r="H15" s="155">
        <f>H13-H14</f>
        <v>400643.25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58">
        <v>2682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46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58">
        <v>200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81">
        <v>92804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83">
        <v>83980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>
        <v>8</v>
      </c>
      <c r="D28" s="48">
        <f t="shared" si="1"/>
        <v>6488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470610</v>
      </c>
      <c r="F29" s="167" t="s">
        <v>54</v>
      </c>
      <c r="G29" s="168"/>
      <c r="H29" s="171">
        <f>H15-H16-H17-H18-H19-H20-H22-H23-H24+H26+H27+H28</f>
        <v>388937.25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199">
        <f t="shared" ref="H34:H39" si="2">F34*G34</f>
        <v>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99">
        <f t="shared" si="2"/>
        <v>1000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83">
        <v>294438.25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5</v>
      </c>
      <c r="D45" s="12">
        <f>C45*84</f>
        <v>420</v>
      </c>
      <c r="F45" s="37" t="s">
        <v>136</v>
      </c>
      <c r="G45" s="93" t="s">
        <v>141</v>
      </c>
      <c r="H45" s="183">
        <v>83980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17</v>
      </c>
      <c r="D46" s="12">
        <f>C46*1.5</f>
        <v>25.5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385418.25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6</v>
      </c>
      <c r="D50" s="12">
        <f>C50*1.5</f>
        <v>9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-3519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414</v>
      </c>
      <c r="D6" s="13">
        <f t="shared" ref="D6:D28" si="1">C6*L6</f>
        <v>315054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11</v>
      </c>
      <c r="D7" s="13">
        <f t="shared" si="1"/>
        <v>8591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59</v>
      </c>
      <c r="D9" s="13">
        <f t="shared" si="1"/>
        <v>43247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12</v>
      </c>
      <c r="D13" s="48">
        <f t="shared" si="1"/>
        <v>3684</v>
      </c>
      <c r="F13" s="144" t="s">
        <v>36</v>
      </c>
      <c r="G13" s="145"/>
      <c r="H13" s="146">
        <f>D29</f>
        <v>371226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57882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313344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2676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371226</v>
      </c>
      <c r="F29" s="167" t="s">
        <v>54</v>
      </c>
      <c r="G29" s="168"/>
      <c r="H29" s="171">
        <f>H15-H16-H17-H18-H19-H20-H22-H23-H24+H26+H27</f>
        <v>310668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199">
        <f>F34*G34</f>
        <v>21000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99">
        <f t="shared" ref="H35:H39" si="2">F35*G35</f>
        <v>2000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199">
        <f t="shared" si="2"/>
        <v>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4</v>
      </c>
      <c r="D42" s="12">
        <f>C42*2.25</f>
        <v>9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147</v>
      </c>
      <c r="G44" s="76" t="s">
        <v>148</v>
      </c>
      <c r="H44" s="183">
        <v>159300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83">
        <v>128857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4</v>
      </c>
      <c r="D49" s="12">
        <f>C49*42</f>
        <v>168</v>
      </c>
      <c r="F49" s="224" t="s">
        <v>85</v>
      </c>
      <c r="G49" s="171">
        <f>H34+H35+H36+H37+H38+H39+H40+H41+G42+H44+H45+H46</f>
        <v>311457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11</v>
      </c>
      <c r="D50" s="12">
        <f>C50*1.5</f>
        <v>16.5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789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542</v>
      </c>
      <c r="D6" s="13">
        <f t="shared" ref="D6:D28" si="1">C6*L6</f>
        <v>412462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12</v>
      </c>
      <c r="D7" s="13">
        <f t="shared" si="1"/>
        <v>9372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72</v>
      </c>
      <c r="D9" s="13">
        <f t="shared" si="1"/>
        <v>52776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21</v>
      </c>
      <c r="D13" s="48">
        <f t="shared" si="1"/>
        <v>6447</v>
      </c>
      <c r="F13" s="144" t="s">
        <v>36</v>
      </c>
      <c r="G13" s="145"/>
      <c r="H13" s="146">
        <f>D29</f>
        <v>518703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77449.5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5+5</f>
        <v>10</v>
      </c>
      <c r="D15" s="31">
        <f t="shared" si="1"/>
        <v>6200</v>
      </c>
      <c r="F15" s="154" t="s">
        <v>39</v>
      </c>
      <c r="G15" s="145"/>
      <c r="H15" s="155">
        <f>H13-H14</f>
        <v>441253.5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58">
        <f>612+1656+1092</f>
        <v>3360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518703</v>
      </c>
      <c r="F29" s="167" t="s">
        <v>54</v>
      </c>
      <c r="G29" s="168"/>
      <c r="H29" s="171">
        <f>H15-H16-H17-H18-H19-H20-H22-H23-H24+H26+H27</f>
        <v>437893.5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199">
        <f>F34*G34</f>
        <v>61000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99">
        <f>F35*G35</f>
        <v>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199">
        <f t="shared" si="2"/>
        <v>700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58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83">
        <v>61578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83">
        <v>193355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83">
        <v>118134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437975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81.5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253</v>
      </c>
      <c r="D6" s="13">
        <f t="shared" ref="D6:D28" si="1">C6*L6</f>
        <v>192533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67</v>
      </c>
      <c r="D8" s="13">
        <f t="shared" si="1"/>
        <v>73231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22</v>
      </c>
      <c r="D9" s="13">
        <f t="shared" si="1"/>
        <v>16126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4</v>
      </c>
      <c r="D10" s="13">
        <f t="shared" si="1"/>
        <v>4128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3+1</f>
        <v>4</v>
      </c>
      <c r="D12" s="48">
        <f t="shared" si="1"/>
        <v>3968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3</v>
      </c>
      <c r="D13" s="48">
        <f t="shared" si="1"/>
        <v>921</v>
      </c>
      <c r="F13" s="144" t="s">
        <v>36</v>
      </c>
      <c r="G13" s="145"/>
      <c r="H13" s="146">
        <f>D29</f>
        <v>302093.91666666669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18</v>
      </c>
      <c r="D14" s="31">
        <f t="shared" si="1"/>
        <v>198</v>
      </c>
      <c r="F14" s="149" t="s">
        <v>38</v>
      </c>
      <c r="G14" s="150"/>
      <c r="H14" s="151">
        <f>D54</f>
        <v>40819.5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1+1</f>
        <v>2</v>
      </c>
      <c r="D15" s="31">
        <f t="shared" si="1"/>
        <v>1240</v>
      </c>
      <c r="F15" s="154" t="s">
        <v>39</v>
      </c>
      <c r="G15" s="145"/>
      <c r="H15" s="155">
        <f>H13-H14</f>
        <v>261274.41666666669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181">
        <v>70631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161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302093.91666666669</v>
      </c>
      <c r="F29" s="167" t="s">
        <v>54</v>
      </c>
      <c r="G29" s="168"/>
      <c r="H29" s="171">
        <f>H15-H16-H17-H18-H19-H20-H22-H23-H24+H26+H27+H28</f>
        <v>190643.41666666669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199">
        <f t="shared" ref="H34:H39" si="2">F34*G34</f>
        <v>138000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199">
        <f t="shared" si="2"/>
        <v>36000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199">
        <f t="shared" si="2"/>
        <v>700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199">
        <f t="shared" si="2"/>
        <v>40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6</v>
      </c>
      <c r="D42" s="12">
        <f>C42*2.25</f>
        <v>13.5</v>
      </c>
      <c r="F42" s="39" t="s">
        <v>78</v>
      </c>
      <c r="G42" s="199">
        <v>117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83">
        <v>10000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137</v>
      </c>
      <c r="G45" s="62"/>
      <c r="H45" s="183">
        <v>7230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192287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6</v>
      </c>
      <c r="D50" s="12">
        <f>C50*1.5</f>
        <v>9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1643.5833333333139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368</v>
      </c>
      <c r="D6" s="13">
        <f t="shared" ref="D6:D28" si="1">C6*L6</f>
        <v>280048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54</v>
      </c>
      <c r="D9" s="13">
        <f t="shared" si="1"/>
        <v>39582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13</v>
      </c>
      <c r="D13" s="48">
        <f t="shared" si="1"/>
        <v>3991</v>
      </c>
      <c r="F13" s="144" t="s">
        <v>36</v>
      </c>
      <c r="G13" s="145"/>
      <c r="H13" s="146">
        <f>D29</f>
        <v>331431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48594.75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282836.25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331431</v>
      </c>
      <c r="F29" s="167" t="s">
        <v>54</v>
      </c>
      <c r="G29" s="168"/>
      <c r="H29" s="171">
        <f>H15-H16-H17-H18-H19-H20-H22-H23-H24+H26+H27</f>
        <v>280760.25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199">
        <f>F34*G34</f>
        <v>227000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99">
        <f t="shared" ref="H35:H39" si="2">F35*G35</f>
        <v>53500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>
        <v>28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10</v>
      </c>
      <c r="D49" s="12">
        <f>C49*42</f>
        <v>420</v>
      </c>
      <c r="F49" s="224" t="s">
        <v>85</v>
      </c>
      <c r="G49" s="171">
        <f>H34+H35+H36+H37+H38+H39+H40+H41+G42+H44+H45+H46</f>
        <v>280778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17.75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331</v>
      </c>
      <c r="D6" s="13">
        <f t="shared" ref="D6:D28" si="1">C6*L6</f>
        <v>251891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58</v>
      </c>
      <c r="D9" s="13">
        <f t="shared" si="1"/>
        <v>42514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6</v>
      </c>
      <c r="D10" s="13">
        <f t="shared" si="1"/>
        <v>6192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324737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15</v>
      </c>
      <c r="D14" s="31">
        <f t="shared" si="1"/>
        <v>165</v>
      </c>
      <c r="F14" s="149" t="s">
        <v>38</v>
      </c>
      <c r="G14" s="150"/>
      <c r="H14" s="151">
        <f>D54</f>
        <v>48459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276278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58">
        <f>690+612+888</f>
        <v>2190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324737</v>
      </c>
      <c r="F29" s="167" t="s">
        <v>54</v>
      </c>
      <c r="G29" s="168"/>
      <c r="H29" s="171">
        <f>H15-H16-H17-H18-H19-H20-H22-H23-H24+H26+H27</f>
        <v>274038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199">
        <f>F34*G34</f>
        <v>126000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>F35*G35</f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2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83">
        <v>79238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83">
        <v>68148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273988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8</v>
      </c>
      <c r="D50" s="12">
        <f>C50*1.5</f>
        <v>12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-50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46149</v>
      </c>
      <c r="J4" s="116"/>
      <c r="K4" s="21"/>
      <c r="L4" s="9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467</v>
      </c>
      <c r="D6" s="13">
        <f t="shared" ref="D6:D28" si="1">C6*L6</f>
        <v>355387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48</v>
      </c>
      <c r="D7" s="13">
        <f t="shared" si="1"/>
        <v>37488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15</v>
      </c>
      <c r="D9" s="13">
        <f t="shared" si="1"/>
        <v>10995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405449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4</v>
      </c>
      <c r="D14" s="31">
        <f>C14*L14</f>
        <v>44</v>
      </c>
      <c r="F14" s="149" t="s">
        <v>38</v>
      </c>
      <c r="G14" s="150"/>
      <c r="H14" s="151">
        <f>D54</f>
        <v>70817.25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334631.75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2880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405449</v>
      </c>
      <c r="F29" s="167" t="s">
        <v>54</v>
      </c>
      <c r="G29" s="168"/>
      <c r="H29" s="171">
        <f>H15-H16-H17-H18-H19-H20-H22-H23-H24+H26+H27+H28</f>
        <v>331751.75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199">
        <f t="shared" ref="H34:H39" si="2">F34*G34</f>
        <v>11000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199">
        <f t="shared" si="2"/>
        <v>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199">
        <f t="shared" si="2"/>
        <v>700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>
        <v>103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183">
        <v>306035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83">
        <v>10505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69</v>
      </c>
      <c r="D49" s="12">
        <f>C49*42</f>
        <v>2898</v>
      </c>
      <c r="F49" s="224" t="s">
        <v>85</v>
      </c>
      <c r="G49" s="171">
        <f>H34+H35+H36+H37+H38+H39+H40+H41+G42+H44+H45+H46</f>
        <v>331463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-288.75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183">
        <v>70631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70631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199">
        <f t="shared" ref="H34:H39" si="2">F34*G34</f>
        <v>70000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 t="shared" si="2"/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70631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283</v>
      </c>
      <c r="D6" s="13">
        <f t="shared" ref="D6:D28" si="1">C6*L6</f>
        <v>215363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9</v>
      </c>
      <c r="D7" s="13">
        <f t="shared" si="1"/>
        <v>7029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23</v>
      </c>
      <c r="D9" s="13">
        <f t="shared" si="1"/>
        <v>16859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242941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33151.5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1</v>
      </c>
      <c r="D15" s="31">
        <f t="shared" si="1"/>
        <v>620</v>
      </c>
      <c r="F15" s="154" t="s">
        <v>39</v>
      </c>
      <c r="G15" s="145"/>
      <c r="H15" s="155">
        <f>H13-H14</f>
        <v>209789.5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242941</v>
      </c>
      <c r="F29" s="167" t="s">
        <v>54</v>
      </c>
      <c r="G29" s="168"/>
      <c r="H29" s="171">
        <f>H15-H16-H17-H18-H19-H20-H22-H23-H24+H26+H27</f>
        <v>209789.5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199">
        <f>F34*G34</f>
        <v>179000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99">
        <f t="shared" ref="H35:H39" si="2">F35*G35</f>
        <v>22000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199">
        <f t="shared" si="2"/>
        <v>4500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6</v>
      </c>
      <c r="D42" s="12">
        <f>C42*2.25</f>
        <v>13.5</v>
      </c>
      <c r="F42" s="39" t="s">
        <v>78</v>
      </c>
      <c r="G42" s="199">
        <v>295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205795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8</v>
      </c>
      <c r="D50" s="12">
        <f>C50*1.5</f>
        <v>12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47">
        <f>G49-H29</f>
        <v>-3994.5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399</v>
      </c>
      <c r="D6" s="13">
        <f t="shared" ref="D6:D28" si="1">C6*L6</f>
        <v>303639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42</v>
      </c>
      <c r="D7" s="13">
        <f t="shared" si="1"/>
        <v>32802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</v>
      </c>
      <c r="D9" s="13">
        <f t="shared" si="1"/>
        <v>7330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</v>
      </c>
      <c r="D10" s="13">
        <f t="shared" si="1"/>
        <v>1032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17</v>
      </c>
      <c r="D13" s="48">
        <f t="shared" si="1"/>
        <v>5219</v>
      </c>
      <c r="F13" s="144" t="s">
        <v>36</v>
      </c>
      <c r="G13" s="145"/>
      <c r="H13" s="146">
        <f>D29</f>
        <v>355053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19</v>
      </c>
      <c r="D14" s="31">
        <f t="shared" si="1"/>
        <v>209</v>
      </c>
      <c r="F14" s="149" t="s">
        <v>38</v>
      </c>
      <c r="G14" s="150"/>
      <c r="H14" s="151">
        <f>D54</f>
        <v>51516.75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3+3</f>
        <v>6</v>
      </c>
      <c r="D15" s="31">
        <f t="shared" si="1"/>
        <v>3720</v>
      </c>
      <c r="F15" s="154" t="s">
        <v>39</v>
      </c>
      <c r="G15" s="145"/>
      <c r="H15" s="155">
        <f>H13-H14</f>
        <v>303536.25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1044+648+336</f>
        <v>2028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355053</v>
      </c>
      <c r="F29" s="167" t="s">
        <v>54</v>
      </c>
      <c r="G29" s="168"/>
      <c r="H29" s="171">
        <f>H15-H16-H17-H18-H19-H20-H22-H23-H24+H26+H27</f>
        <v>301508.25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199">
        <f>F34*G34</f>
        <v>90000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99">
        <f>F35*G35</f>
        <v>19000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199">
        <f t="shared" si="2"/>
        <v>4900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199">
        <f t="shared" si="2"/>
        <v>350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9">
        <v>28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7</v>
      </c>
      <c r="D44" s="12">
        <f>C44*120</f>
        <v>840</v>
      </c>
      <c r="F44" s="37" t="s">
        <v>136</v>
      </c>
      <c r="G44" s="94" t="s">
        <v>157</v>
      </c>
      <c r="H44" s="183">
        <v>116753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94" t="s">
        <v>156</v>
      </c>
      <c r="H45" s="183">
        <v>70468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9</v>
      </c>
      <c r="D46" s="12">
        <f>C46*1.5</f>
        <v>13.5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301499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12</v>
      </c>
      <c r="D50" s="12">
        <f>C50*1.5</f>
        <v>18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-9.25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298</v>
      </c>
      <c r="D6" s="13">
        <f t="shared" ref="D6:D28" si="1">C6*L6</f>
        <v>226778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3</v>
      </c>
      <c r="D7" s="13">
        <f t="shared" si="1"/>
        <v>2343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24</v>
      </c>
      <c r="D9" s="13">
        <f t="shared" si="1"/>
        <v>17592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9</v>
      </c>
      <c r="D13" s="48">
        <f t="shared" si="1"/>
        <v>2763</v>
      </c>
      <c r="F13" s="144" t="s">
        <v>36</v>
      </c>
      <c r="G13" s="145"/>
      <c r="H13" s="146">
        <f>D29</f>
        <v>257721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9</v>
      </c>
      <c r="D14" s="31">
        <f t="shared" si="1"/>
        <v>99</v>
      </c>
      <c r="F14" s="149" t="s">
        <v>38</v>
      </c>
      <c r="G14" s="150"/>
      <c r="H14" s="151">
        <f>D54</f>
        <v>24684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233037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58">
        <v>1140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257721</v>
      </c>
      <c r="F29" s="167" t="s">
        <v>54</v>
      </c>
      <c r="G29" s="168"/>
      <c r="H29" s="171">
        <f>H15-H16-H17-H18-H19-H20-H22-H23-H24+H26+H27</f>
        <v>231897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99">
        <f>F34*G34</f>
        <v>48000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199">
        <f t="shared" ref="H35:H39" si="2">F35*G35</f>
        <v>42000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199">
        <f>F36*G36</f>
        <v>200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24</v>
      </c>
      <c r="D42" s="12">
        <f>C42*2.25</f>
        <v>54</v>
      </c>
      <c r="F42" s="39" t="s">
        <v>78</v>
      </c>
      <c r="G42" s="199">
        <v>30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183">
        <v>144012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6</v>
      </c>
      <c r="D46" s="12">
        <f>C46*1.5</f>
        <v>9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7</v>
      </c>
      <c r="D49" s="12">
        <f>C49*42</f>
        <v>294</v>
      </c>
      <c r="F49" s="224" t="s">
        <v>85</v>
      </c>
      <c r="G49" s="171">
        <f>H34+H35+H36+H37+H38+H39+H40+H41+G42+H44+H45+H46</f>
        <v>234242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10</v>
      </c>
      <c r="D50" s="12">
        <f>C50*1.5</f>
        <v>15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2345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471</v>
      </c>
      <c r="D6" s="13">
        <f t="shared" ref="D6:D28" si="1">C6*L6</f>
        <v>358431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20</v>
      </c>
      <c r="D7" s="13">
        <f t="shared" si="1"/>
        <v>15620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1093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40</v>
      </c>
      <c r="D9" s="13">
        <f t="shared" si="1"/>
        <v>29320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15</v>
      </c>
      <c r="D13" s="48">
        <f t="shared" si="1"/>
        <v>4605</v>
      </c>
      <c r="F13" s="144" t="s">
        <v>36</v>
      </c>
      <c r="G13" s="145"/>
      <c r="H13" s="146">
        <f>D29</f>
        <v>411243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10</v>
      </c>
      <c r="D14" s="31">
        <f t="shared" si="1"/>
        <v>110</v>
      </c>
      <c r="F14" s="149" t="s">
        <v>38</v>
      </c>
      <c r="G14" s="150"/>
      <c r="H14" s="151">
        <f>D54</f>
        <v>62579.25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348663.75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888+300+1356</f>
        <v>2544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411243</v>
      </c>
      <c r="F29" s="167" t="s">
        <v>54</v>
      </c>
      <c r="G29" s="168"/>
      <c r="H29" s="171">
        <f>H15-H16-H17-H18-H19-H20-H22-H23-H24+H26+H27</f>
        <v>346119.75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199">
        <f>F34*G34</f>
        <v>202000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99">
        <f>F35*G35</f>
        <v>30000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199">
        <f t="shared" si="2"/>
        <v>600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9">
        <v>84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183">
        <v>95996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137</v>
      </c>
      <c r="G45" s="76"/>
      <c r="H45" s="183">
        <v>18000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8</v>
      </c>
      <c r="D46" s="12">
        <f>C46*1.5</f>
        <v>12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34</v>
      </c>
      <c r="D49" s="12">
        <f>C49*42</f>
        <v>1428</v>
      </c>
      <c r="F49" s="224" t="s">
        <v>85</v>
      </c>
      <c r="G49" s="171">
        <f>H34+H35+H36+H37+H38+H39+H40+H41+G42+H44+H45+H46</f>
        <v>346730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7</v>
      </c>
      <c r="D50" s="12">
        <f>C50*1.5</f>
        <v>10.5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610.25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365</v>
      </c>
      <c r="D6" s="13">
        <f t="shared" ref="D6:D28" si="1">C6*L6</f>
        <v>277765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1093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30</v>
      </c>
      <c r="D9" s="13">
        <f t="shared" si="1"/>
        <v>21990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</v>
      </c>
      <c r="D10" s="13">
        <f t="shared" si="1"/>
        <v>1032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2</f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</v>
      </c>
      <c r="D13" s="48">
        <f t="shared" si="1"/>
        <v>307</v>
      </c>
      <c r="F13" s="144" t="s">
        <v>36</v>
      </c>
      <c r="G13" s="145"/>
      <c r="H13" s="146">
        <f>D29</f>
        <v>312686.83333333331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10</v>
      </c>
      <c r="D14" s="31">
        <f t="shared" si="1"/>
        <v>110</v>
      </c>
      <c r="F14" s="149" t="s">
        <v>38</v>
      </c>
      <c r="G14" s="150"/>
      <c r="H14" s="151">
        <f>D54</f>
        <v>42262.5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270424.33333333331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312686.83333333331</v>
      </c>
      <c r="F29" s="167" t="s">
        <v>54</v>
      </c>
      <c r="G29" s="168"/>
      <c r="H29" s="171">
        <f>H15-H16-H17-H18-H19-H20-H22-H23-H24+H26+H27+H28</f>
        <v>270424.33333333331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199">
        <f t="shared" ref="H34:H39" si="2">F34*G34</f>
        <v>136000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199">
        <f t="shared" si="2"/>
        <v>54000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199">
        <f t="shared" si="2"/>
        <v>6800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8</v>
      </c>
      <c r="D42" s="12">
        <f>C42*2.25</f>
        <v>18</v>
      </c>
      <c r="F42" s="39" t="s">
        <v>78</v>
      </c>
      <c r="G42" s="199">
        <v>11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3</v>
      </c>
      <c r="D44" s="12">
        <f>C44*120</f>
        <v>360</v>
      </c>
      <c r="F44" s="37" t="s">
        <v>136</v>
      </c>
      <c r="G44" s="93" t="s">
        <v>141</v>
      </c>
      <c r="H44" s="183">
        <v>64500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137</v>
      </c>
      <c r="G45" s="62"/>
      <c r="H45" s="183">
        <v>9016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270377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7</v>
      </c>
      <c r="D50" s="12">
        <f>C50*1.5</f>
        <v>10.5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164</v>
      </c>
      <c r="G51" s="247">
        <f>G49-H29</f>
        <v>-47.333333333313931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375</v>
      </c>
      <c r="D6" s="13">
        <f t="shared" ref="D6:D28" si="1">C6*L6</f>
        <v>285375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130</v>
      </c>
      <c r="D9" s="13">
        <f t="shared" si="1"/>
        <v>95290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15</v>
      </c>
      <c r="D13" s="48">
        <f t="shared" si="1"/>
        <v>4605</v>
      </c>
      <c r="F13" s="144" t="s">
        <v>36</v>
      </c>
      <c r="G13" s="145"/>
      <c r="H13" s="146">
        <f>D29</f>
        <v>385347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7</v>
      </c>
      <c r="D14" s="31">
        <f t="shared" si="1"/>
        <v>77</v>
      </c>
      <c r="F14" s="149" t="s">
        <v>38</v>
      </c>
      <c r="G14" s="150"/>
      <c r="H14" s="151">
        <f>D54</f>
        <v>57529.5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327817.5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2880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385347</v>
      </c>
      <c r="F29" s="167" t="s">
        <v>54</v>
      </c>
      <c r="G29" s="168"/>
      <c r="H29" s="171">
        <f>H15-H16-H17-H18-H19-H20-H22-H23-H24+H26+H27</f>
        <v>324937.5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199">
        <f>F34*G34</f>
        <v>203000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199">
        <f t="shared" ref="H35:H39" si="2">F35*G35</f>
        <v>70500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9">
        <f>F36*G36</f>
        <v>200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199">
        <f t="shared" si="2"/>
        <v>31800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199">
        <f t="shared" si="2"/>
        <v>20200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3</v>
      </c>
      <c r="D49" s="12">
        <f>C49*42</f>
        <v>126</v>
      </c>
      <c r="F49" s="224" t="s">
        <v>85</v>
      </c>
      <c r="G49" s="171">
        <f>H34+H35+H36+H37+H38+H39+H40+H41+G42+H44+H45+H46</f>
        <v>325700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7</v>
      </c>
      <c r="D50" s="12">
        <f>C50*1.5</f>
        <v>10.5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762.5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295</v>
      </c>
      <c r="D6" s="13">
        <f t="shared" ref="D6:D28" si="1">C6*L6</f>
        <v>224495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9</v>
      </c>
      <c r="D7" s="13">
        <f t="shared" si="1"/>
        <v>7029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95</v>
      </c>
      <c r="D9" s="13">
        <f t="shared" si="1"/>
        <v>69635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4</v>
      </c>
      <c r="D13" s="48">
        <f t="shared" si="1"/>
        <v>1228</v>
      </c>
      <c r="F13" s="144" t="s">
        <v>36</v>
      </c>
      <c r="G13" s="145"/>
      <c r="H13" s="146">
        <f>D29</f>
        <v>306343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2</v>
      </c>
      <c r="D14" s="31">
        <f t="shared" si="1"/>
        <v>22</v>
      </c>
      <c r="F14" s="149" t="s">
        <v>38</v>
      </c>
      <c r="G14" s="150"/>
      <c r="H14" s="151">
        <f>D54</f>
        <v>51729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254614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58">
        <f>300+612+420+300</f>
        <v>1632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306343</v>
      </c>
      <c r="F29" s="167" t="s">
        <v>54</v>
      </c>
      <c r="G29" s="168"/>
      <c r="H29" s="171">
        <f>H15-H16-H17-H18-H19-H20-H22-H23-H24+H26+H27</f>
        <v>252932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99">
        <f>F34*G34</f>
        <v>88000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199">
        <f>F35*G35</f>
        <v>51000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99">
        <f t="shared" ref="H36:H39" si="2">F36*G36</f>
        <v>600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199">
        <f t="shared" si="2"/>
        <v>4700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99">
        <f t="shared" si="2"/>
        <v>200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131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183">
        <v>65537.5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183">
        <v>45415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8</v>
      </c>
      <c r="D46" s="12">
        <f>C46*1.5</f>
        <v>12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255583.5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</v>
      </c>
      <c r="D50" s="12">
        <f>C50*1.5</f>
        <v>1.5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2651.5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352</v>
      </c>
      <c r="D6" s="13">
        <f t="shared" ref="D6:D28" si="1">C6*L6</f>
        <v>267872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20</v>
      </c>
      <c r="D7" s="13">
        <f t="shared" si="1"/>
        <v>15620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5</v>
      </c>
      <c r="D8" s="13">
        <f t="shared" si="1"/>
        <v>5465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14</v>
      </c>
      <c r="D9" s="13">
        <f t="shared" si="1"/>
        <v>10262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302421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42444.75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259976.25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2094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>
        <v>102.46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302421</v>
      </c>
      <c r="F29" s="167" t="s">
        <v>54</v>
      </c>
      <c r="G29" s="168"/>
      <c r="H29" s="171">
        <f>H15-H16-H17-H18-H19-H20-H22-H23-H24+H26+H27+H28</f>
        <v>257779.79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199">
        <f t="shared" ref="H34:H39" si="2">F34*G34</f>
        <v>25000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99">
        <f t="shared" si="2"/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199">
        <f t="shared" si="2"/>
        <v>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183">
        <v>231190.25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20</v>
      </c>
      <c r="D46" s="12">
        <f>C46*1.5</f>
        <v>30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6</v>
      </c>
      <c r="D49" s="12">
        <f>C49*42</f>
        <v>252</v>
      </c>
      <c r="F49" s="224" t="s">
        <v>85</v>
      </c>
      <c r="G49" s="171">
        <f>H34+H35+H36+H37+H38+H39+H40+H41+G42+H44+H45+H46</f>
        <v>257590.25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22</v>
      </c>
      <c r="D50" s="12">
        <f>C50*1.5</f>
        <v>33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-189.54000000000815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310</v>
      </c>
      <c r="D6" s="13">
        <f t="shared" ref="D6:D28" si="1">C6*L6</f>
        <v>235910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6</v>
      </c>
      <c r="D7" s="13">
        <f t="shared" si="1"/>
        <v>4686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60</v>
      </c>
      <c r="D9" s="13">
        <f t="shared" si="1"/>
        <v>43980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8</v>
      </c>
      <c r="D13" s="48">
        <f t="shared" si="1"/>
        <v>2456</v>
      </c>
      <c r="F13" s="144" t="s">
        <v>36</v>
      </c>
      <c r="G13" s="145"/>
      <c r="H13" s="146">
        <f>D29</f>
        <v>288065.5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5</v>
      </c>
      <c r="D14" s="31">
        <f t="shared" si="1"/>
        <v>55</v>
      </c>
      <c r="F14" s="149" t="s">
        <v>38</v>
      </c>
      <c r="G14" s="150"/>
      <c r="H14" s="151">
        <f>D54</f>
        <v>41509.5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246556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1446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>
        <v>12</v>
      </c>
      <c r="D22" s="48">
        <f t="shared" si="1"/>
        <v>504.5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>
        <v>12</v>
      </c>
      <c r="D23" s="48">
        <f t="shared" si="1"/>
        <v>474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288065.5</v>
      </c>
      <c r="F29" s="167" t="s">
        <v>54</v>
      </c>
      <c r="G29" s="168"/>
      <c r="H29" s="171">
        <f>H15-H16-H17-H18-H19-H20-H22-H23-H24+H26+H27</f>
        <v>245110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199">
        <f>F34*G34</f>
        <v>84000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99">
        <f t="shared" ref="H35:H39" si="2">F35*G35</f>
        <v>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9">
        <v>87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183">
        <v>157141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</v>
      </c>
      <c r="D49" s="12">
        <f>C49*42</f>
        <v>84</v>
      </c>
      <c r="F49" s="224" t="s">
        <v>85</v>
      </c>
      <c r="G49" s="171">
        <f>H34+H35+H36+H37+H38+H39+H40+H41+G42+H44+H45+H46</f>
        <v>244228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</v>
      </c>
      <c r="D50" s="12">
        <f>C50*1.5</f>
        <v>1.5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169</v>
      </c>
      <c r="G51" s="247">
        <f>G49-H29</f>
        <v>-882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527</v>
      </c>
      <c r="D6" s="13">
        <f t="shared" ref="D6:D28" si="1">C6*L6</f>
        <v>401047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19</v>
      </c>
      <c r="D7" s="13">
        <f t="shared" si="1"/>
        <v>14839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69</v>
      </c>
      <c r="D9" s="13">
        <f t="shared" si="1"/>
        <v>50577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5</v>
      </c>
      <c r="D10" s="13">
        <f t="shared" si="1"/>
        <v>5160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22</v>
      </c>
      <c r="D13" s="48">
        <f t="shared" si="1"/>
        <v>6754</v>
      </c>
      <c r="F13" s="144" t="s">
        <v>36</v>
      </c>
      <c r="G13" s="145"/>
      <c r="H13" s="146">
        <f>D29</f>
        <v>485304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7</v>
      </c>
      <c r="D14" s="31">
        <f t="shared" si="1"/>
        <v>77</v>
      </c>
      <c r="F14" s="149" t="s">
        <v>38</v>
      </c>
      <c r="G14" s="150"/>
      <c r="H14" s="151">
        <f>D54</f>
        <v>77406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10</v>
      </c>
      <c r="D15" s="31">
        <f t="shared" si="1"/>
        <v>6200</v>
      </c>
      <c r="F15" s="154" t="s">
        <v>39</v>
      </c>
      <c r="G15" s="145"/>
      <c r="H15" s="155">
        <f>H13-H14</f>
        <v>407898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f>600+2682+384</f>
        <v>3666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485304</v>
      </c>
      <c r="F29" s="167" t="s">
        <v>54</v>
      </c>
      <c r="G29" s="168"/>
      <c r="H29" s="171">
        <f>H15-H16-H17-H18-H19-H20-H22-H23-H24+H26+H27</f>
        <v>404232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199">
        <f>F34*G34</f>
        <v>46000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>F35*G35</f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55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183">
        <v>60416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183">
        <v>295595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19</v>
      </c>
      <c r="D46" s="12">
        <f>C46*1.5</f>
        <v>28.5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5</v>
      </c>
      <c r="D49" s="12">
        <f>C49*42</f>
        <v>210</v>
      </c>
      <c r="F49" s="224" t="s">
        <v>85</v>
      </c>
      <c r="G49" s="171">
        <f>H34+H35+H36+H37+H38+H39+H40+H41+G42+H44+H45+H46</f>
        <v>402716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11</v>
      </c>
      <c r="D50" s="12">
        <f>C50*1.5</f>
        <v>16.5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172</v>
      </c>
      <c r="G51" s="247">
        <f>G49-H29</f>
        <v>-1516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321</v>
      </c>
      <c r="D6" s="13">
        <f t="shared" ref="D6:D28" si="1">C6*L6</f>
        <v>244281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6</v>
      </c>
      <c r="D7" s="13">
        <f t="shared" si="1"/>
        <v>4686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62</v>
      </c>
      <c r="D8" s="13">
        <f t="shared" si="1"/>
        <v>67766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24</v>
      </c>
      <c r="D9" s="13">
        <f t="shared" si="1"/>
        <v>17592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3</v>
      </c>
      <c r="D10" s="13">
        <f t="shared" si="1"/>
        <v>3096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4</v>
      </c>
      <c r="D12" s="48">
        <f t="shared" si="1"/>
        <v>3968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9</v>
      </c>
      <c r="D13" s="48">
        <f t="shared" si="1"/>
        <v>2763</v>
      </c>
      <c r="F13" s="144" t="s">
        <v>36</v>
      </c>
      <c r="G13" s="145"/>
      <c r="H13" s="146">
        <f>D29</f>
        <v>346170.83333333331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46051.5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300119.33333333331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153</v>
      </c>
      <c r="G22" s="73">
        <v>10543</v>
      </c>
      <c r="H22" s="181">
        <v>65678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>
        <v>19</v>
      </c>
      <c r="D24" s="48">
        <f t="shared" si="1"/>
        <v>718.83333333333337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346170.83333333331</v>
      </c>
      <c r="F29" s="167" t="s">
        <v>54</v>
      </c>
      <c r="G29" s="168"/>
      <c r="H29" s="171">
        <f>H15-H16-H17-H18-H19-H20-H22-H23-H24+H26+H27+H28</f>
        <v>234441.33333333331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181</v>
      </c>
      <c r="H34" s="199">
        <f t="shared" ref="H34:H39" si="2">F34*G34</f>
        <v>181000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106</v>
      </c>
      <c r="H35" s="199">
        <f t="shared" si="2"/>
        <v>53000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320</v>
      </c>
      <c r="D37" s="12">
        <f>C37*111</f>
        <v>35520</v>
      </c>
      <c r="F37" s="12">
        <v>100</v>
      </c>
      <c r="G37" s="39">
        <v>3</v>
      </c>
      <c r="H37" s="199">
        <f t="shared" si="2"/>
        <v>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45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65</v>
      </c>
      <c r="D44" s="12">
        <f>C44*120</f>
        <v>7800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13</v>
      </c>
      <c r="D46" s="12">
        <f>C46*1.5</f>
        <v>19.5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234445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9</v>
      </c>
      <c r="D50" s="12">
        <f>C50*1.5</f>
        <v>13.5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3.6666666666860692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46051.5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topLeftCell="A31" zoomScaleNormal="100" zoomScaleSheetLayoutView="85" workbookViewId="0">
      <selection activeCell="F56" sqref="F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343</v>
      </c>
      <c r="D6" s="13">
        <f t="shared" ref="D6:D28" si="1">C6*L6</f>
        <v>261023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</v>
      </c>
      <c r="D9" s="13">
        <f t="shared" si="1"/>
        <v>7330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12</v>
      </c>
      <c r="D13" s="48">
        <f t="shared" si="1"/>
        <v>3684</v>
      </c>
      <c r="F13" s="144" t="s">
        <v>36</v>
      </c>
      <c r="G13" s="145"/>
      <c r="H13" s="146">
        <f>D29</f>
        <v>274505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16</v>
      </c>
      <c r="D14" s="31">
        <f t="shared" si="1"/>
        <v>176</v>
      </c>
      <c r="F14" s="149" t="s">
        <v>38</v>
      </c>
      <c r="G14" s="150"/>
      <c r="H14" s="151">
        <f>D54</f>
        <v>40630.5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233874.5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1944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274505</v>
      </c>
      <c r="F29" s="167" t="s">
        <v>54</v>
      </c>
      <c r="G29" s="168"/>
      <c r="H29" s="171">
        <f>H15-H16-H17-H18-H19-H20-H22-H23-H24+H26+H27</f>
        <v>231930.5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220</v>
      </c>
      <c r="H34" s="199">
        <f>F34*G34</f>
        <v>220000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99">
        <f t="shared" ref="H35:H39" si="2">F35*G35</f>
        <v>1000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100</v>
      </c>
      <c r="H37" s="199">
        <f t="shared" si="2"/>
        <v>10000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7</v>
      </c>
      <c r="H38" s="199">
        <f t="shared" si="2"/>
        <v>350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310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15</v>
      </c>
      <c r="D46" s="12">
        <f>C46*1.5</f>
        <v>22.5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</v>
      </c>
      <c r="D49" s="12">
        <f>C49*42</f>
        <v>84</v>
      </c>
      <c r="F49" s="224" t="s">
        <v>85</v>
      </c>
      <c r="G49" s="171">
        <f>H34+H35+H36+H37+H38+H39+H40+H41+G42+H44+H45+H46</f>
        <v>231660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18</v>
      </c>
      <c r="D50" s="12">
        <f>C50*1.5</f>
        <v>27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169</v>
      </c>
      <c r="G51" s="247">
        <f>G49-H29</f>
        <v>-270.5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40630.5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topLeftCell="A27" zoomScaleNormal="100" zoomScaleSheetLayoutView="85" workbookViewId="0">
      <selection activeCell="G47" sqref="G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675</v>
      </c>
      <c r="D6" s="13">
        <f t="shared" ref="D6:D28" si="1">C6*L6</f>
        <v>513675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5</v>
      </c>
      <c r="D7" s="13">
        <f t="shared" si="1"/>
        <v>3905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1093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43</v>
      </c>
      <c r="D9" s="13">
        <f t="shared" si="1"/>
        <v>31519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25</v>
      </c>
      <c r="D13" s="48">
        <f t="shared" si="1"/>
        <v>7675</v>
      </c>
      <c r="F13" s="144" t="s">
        <v>36</v>
      </c>
      <c r="G13" s="145"/>
      <c r="H13" s="146">
        <f>D29</f>
        <v>563496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13</v>
      </c>
      <c r="D14" s="31">
        <f t="shared" si="1"/>
        <v>143</v>
      </c>
      <c r="F14" s="149" t="s">
        <v>38</v>
      </c>
      <c r="G14" s="150"/>
      <c r="H14" s="151">
        <f>D54</f>
        <v>77337.75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1</v>
      </c>
      <c r="D15" s="31">
        <f t="shared" si="1"/>
        <v>620</v>
      </c>
      <c r="F15" s="154" t="s">
        <v>39</v>
      </c>
      <c r="G15" s="145"/>
      <c r="H15" s="155">
        <f>H13-H14</f>
        <v>486158.25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3420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146</v>
      </c>
      <c r="G22" s="73">
        <v>10547</v>
      </c>
      <c r="H22" s="181">
        <v>78233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146</v>
      </c>
      <c r="G26" s="65">
        <v>10342</v>
      </c>
      <c r="H26" s="183">
        <v>92804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>
        <v>6</v>
      </c>
      <c r="D28" s="48">
        <f t="shared" si="1"/>
        <v>4866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563496</v>
      </c>
      <c r="F29" s="167" t="s">
        <v>54</v>
      </c>
      <c r="G29" s="168"/>
      <c r="H29" s="171">
        <f>H15-H16-H17-H18-H19-H20-H22-H23-H24+H26+H27+H28</f>
        <v>497309.25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300</v>
      </c>
      <c r="H34" s="199">
        <f t="shared" ref="H34:H39" si="2">F34*G34</f>
        <v>300000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206</v>
      </c>
      <c r="H35" s="199">
        <f t="shared" si="2"/>
        <v>103000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670</v>
      </c>
      <c r="D37" s="12">
        <f>C37*111</f>
        <v>74370</v>
      </c>
      <c r="F37" s="12">
        <v>100</v>
      </c>
      <c r="G37" s="39">
        <v>8</v>
      </c>
      <c r="H37" s="199">
        <f t="shared" si="2"/>
        <v>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10</v>
      </c>
      <c r="H38" s="199">
        <f t="shared" si="2"/>
        <v>500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>
        <v>57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136</v>
      </c>
      <c r="G44" s="93" t="s">
        <v>141</v>
      </c>
      <c r="H44" s="183">
        <v>92804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38</v>
      </c>
      <c r="D49" s="12">
        <f>C49*42</f>
        <v>1596</v>
      </c>
      <c r="F49" s="224" t="s">
        <v>85</v>
      </c>
      <c r="G49" s="171">
        <f>H34+H35+H36+H37+H38+H39+H40+H41+G42+H44+H45+H46</f>
        <v>497161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34</v>
      </c>
      <c r="D50" s="12">
        <f>C50*1.5</f>
        <v>51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-148.25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77337.75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topLeftCell="A25" zoomScaleNormal="100" zoomScaleSheetLayoutView="85" workbookViewId="0">
      <selection activeCell="H46" sqref="H46:J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336</v>
      </c>
      <c r="D6" s="13">
        <f t="shared" ref="D6:D28" si="1">C6*L6</f>
        <v>255696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20</v>
      </c>
      <c r="D7" s="13">
        <f t="shared" si="1"/>
        <v>15620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92</v>
      </c>
      <c r="D9" s="13">
        <f t="shared" si="1"/>
        <v>67436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14</v>
      </c>
      <c r="D13" s="48">
        <f t="shared" si="1"/>
        <v>4298</v>
      </c>
      <c r="F13" s="144" t="s">
        <v>36</v>
      </c>
      <c r="G13" s="145"/>
      <c r="H13" s="146">
        <f>D29</f>
        <v>344042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46017.75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298024.25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1656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344042</v>
      </c>
      <c r="F29" s="167" t="s">
        <v>54</v>
      </c>
      <c r="G29" s="168"/>
      <c r="H29" s="171">
        <f>H15-H16-H17-H18-H19-H20-H22-H23-H24+H26+H27</f>
        <v>296318.25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76</v>
      </c>
      <c r="H34" s="199">
        <f>F34*G34</f>
        <v>76000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34</v>
      </c>
      <c r="H35" s="199">
        <f>F35*G35</f>
        <v>17000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393</v>
      </c>
      <c r="D37" s="12">
        <f>C37*111</f>
        <v>43623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</v>
      </c>
      <c r="D42" s="12">
        <f>C42*2.25</f>
        <v>2.25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76" t="s">
        <v>174</v>
      </c>
      <c r="H44" s="183">
        <v>183675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175</v>
      </c>
      <c r="G45" s="76" t="s">
        <v>176</v>
      </c>
      <c r="H45" s="183">
        <v>19904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20</v>
      </c>
      <c r="D46" s="12">
        <f>C46*1.5</f>
        <v>30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10</v>
      </c>
      <c r="D49" s="12">
        <f>C49*42</f>
        <v>420</v>
      </c>
      <c r="F49" s="224" t="s">
        <v>85</v>
      </c>
      <c r="G49" s="171">
        <f>H34+H35+H36+H37+H38+H39+H40+H41+G42+H44+H45+H46</f>
        <v>296629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9</v>
      </c>
      <c r="D50" s="12">
        <f>C50*1.5</f>
        <v>13.5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310.75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46017.75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432</v>
      </c>
      <c r="D6" s="13">
        <f t="shared" ref="D6:D28" si="1">C6*L6</f>
        <v>328752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</v>
      </c>
      <c r="D9" s="13">
        <f t="shared" si="1"/>
        <v>7330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339179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5827.5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333351.5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1944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178</v>
      </c>
      <c r="G22" s="73">
        <v>10654</v>
      </c>
      <c r="H22" s="181">
        <v>62135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339179</v>
      </c>
      <c r="F29" s="167" t="s">
        <v>54</v>
      </c>
      <c r="G29" s="168"/>
      <c r="H29" s="171">
        <f>H15-H16-H17-H18-H19-H20-H22-H23-H24+H26+H27+H28</f>
        <v>269272.5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</v>
      </c>
      <c r="H34" s="199">
        <f t="shared" ref="H34:H39" si="2">F34*G34</f>
        <v>13000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99">
        <f t="shared" si="2"/>
        <v>13500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46</v>
      </c>
      <c r="D37" s="12">
        <f>C37*111</f>
        <v>5106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62" t="s">
        <v>177</v>
      </c>
      <c r="H44" s="183">
        <v>244620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271320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2047.5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347</v>
      </c>
      <c r="D6" s="13">
        <f t="shared" ref="D6:D28" si="1">C6*L6</f>
        <v>264067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6</v>
      </c>
      <c r="D7" s="13">
        <f t="shared" si="1"/>
        <v>4686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41</v>
      </c>
      <c r="D9" s="13">
        <f t="shared" si="1"/>
        <v>30053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301997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11</v>
      </c>
      <c r="D14" s="31">
        <f t="shared" si="1"/>
        <v>121</v>
      </c>
      <c r="F14" s="149" t="s">
        <v>38</v>
      </c>
      <c r="G14" s="150"/>
      <c r="H14" s="151">
        <f>D54</f>
        <v>44970.75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257026.25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1200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301997</v>
      </c>
      <c r="F29" s="167" t="s">
        <v>54</v>
      </c>
      <c r="G29" s="168"/>
      <c r="H29" s="171">
        <f>H15-H16-H17-H18-H19-H20-H22-H23-H24+H26+H27</f>
        <v>255826.25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69</v>
      </c>
      <c r="H34" s="199">
        <f>F34*G34</f>
        <v>69000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99">
        <f t="shared" ref="H35:H39" si="2">F35*G35</f>
        <v>20000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99">
        <f>F36*G36</f>
        <v>400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387</v>
      </c>
      <c r="D37" s="12">
        <f>C37*111</f>
        <v>42957</v>
      </c>
      <c r="F37" s="12">
        <v>100</v>
      </c>
      <c r="G37" s="39">
        <v>23</v>
      </c>
      <c r="H37" s="199">
        <f t="shared" si="2"/>
        <v>2300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9</v>
      </c>
      <c r="D42" s="12">
        <f>C42*2.25</f>
        <v>20.25</v>
      </c>
      <c r="F42" s="39" t="s">
        <v>78</v>
      </c>
      <c r="G42" s="199">
        <v>4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62" t="s">
        <v>179</v>
      </c>
      <c r="H44" s="183">
        <v>130451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83">
        <v>33800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</v>
      </c>
      <c r="D46" s="12">
        <f>C46*1.5</f>
        <v>3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7</v>
      </c>
      <c r="D49" s="12">
        <f>C49*42</f>
        <v>294</v>
      </c>
      <c r="F49" s="224" t="s">
        <v>85</v>
      </c>
      <c r="G49" s="171">
        <f>H34+H35+H36+H37+H38+H39+H40+H41+G42+H44+H45+H46</f>
        <v>256005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4</v>
      </c>
      <c r="D50" s="12">
        <f>C50*1.5</f>
        <v>6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178.75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44970.75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554</v>
      </c>
      <c r="D6" s="13">
        <f t="shared" ref="D6:D28" si="1">C6*L6</f>
        <v>421594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</v>
      </c>
      <c r="D7" s="13">
        <f t="shared" si="1"/>
        <v>781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108</v>
      </c>
      <c r="D9" s="13">
        <f t="shared" si="1"/>
        <v>79164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21</v>
      </c>
      <c r="D13" s="48">
        <f t="shared" si="1"/>
        <v>6447</v>
      </c>
      <c r="F13" s="144" t="s">
        <v>36</v>
      </c>
      <c r="G13" s="145"/>
      <c r="H13" s="146">
        <f>D29</f>
        <v>509099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11</v>
      </c>
      <c r="D14" s="31">
        <f t="shared" si="1"/>
        <v>121</v>
      </c>
      <c r="F14" s="149" t="s">
        <v>38</v>
      </c>
      <c r="G14" s="150"/>
      <c r="H14" s="151">
        <f>D54</f>
        <v>71080.5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438018.5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1596+1296+300</f>
        <v>3192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509099</v>
      </c>
      <c r="F29" s="167" t="s">
        <v>54</v>
      </c>
      <c r="G29" s="168"/>
      <c r="H29" s="171">
        <f>H15-H16-H17-H18-H19-H20-H22-H23-H24+H26+H27</f>
        <v>434826.5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78</v>
      </c>
      <c r="H34" s="199">
        <f>F34*G34</f>
        <v>78000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99">
        <f>F35*G35</f>
        <v>40000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49</v>
      </c>
      <c r="H37" s="199">
        <f t="shared" si="2"/>
        <v>4900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99">
        <f t="shared" si="2"/>
        <v>450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2</v>
      </c>
      <c r="H39" s="199">
        <f t="shared" si="2"/>
        <v>40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50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 t="s">
        <v>136</v>
      </c>
      <c r="G44" s="76" t="s">
        <v>180</v>
      </c>
      <c r="H44" s="183">
        <v>171049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76" t="s">
        <v>181</v>
      </c>
      <c r="H45" s="183">
        <v>140478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5</v>
      </c>
      <c r="D46" s="12">
        <f>C46*1.5</f>
        <v>7.5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434967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140</v>
      </c>
      <c r="D50" s="12">
        <f>C50*1.5</f>
        <v>210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140.5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71080.5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084D-AEC5-4EDA-BC11-BFA40853115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153</v>
      </c>
      <c r="G26" s="65">
        <v>10543</v>
      </c>
      <c r="H26" s="183">
        <v>65678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65678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65</v>
      </c>
      <c r="H34" s="199">
        <f t="shared" ref="H34:H39" si="2">F34*G34</f>
        <v>65000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 t="shared" si="2"/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28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65678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B4F66-68E3-4650-A39C-1B1C7CE3B6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316</v>
      </c>
      <c r="D6" s="13">
        <f t="shared" ref="D6:D28" si="1">C6*L6</f>
        <v>240476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15</v>
      </c>
      <c r="D7" s="13">
        <f t="shared" si="1"/>
        <v>11715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20</v>
      </c>
      <c r="D9" s="13">
        <f t="shared" si="1"/>
        <v>14660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272545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41206.5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231338.5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2106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272545</v>
      </c>
      <c r="F29" s="167" t="s">
        <v>54</v>
      </c>
      <c r="G29" s="168"/>
      <c r="H29" s="171">
        <f>H15-H16-H17-H18-H19-H20-H22-H23-H24+H26+H27</f>
        <v>229232.5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32</v>
      </c>
      <c r="H34" s="199">
        <f>F34*G34</f>
        <v>32000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99">
        <f>F35*G35</f>
        <v>105500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349</v>
      </c>
      <c r="D37" s="12">
        <f>C37*111</f>
        <v>38739</v>
      </c>
      <c r="F37" s="12">
        <v>100</v>
      </c>
      <c r="G37" s="39">
        <v>700</v>
      </c>
      <c r="H37" s="199">
        <f t="shared" si="2"/>
        <v>70000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388</v>
      </c>
      <c r="H38" s="199">
        <f t="shared" si="2"/>
        <v>19400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182</v>
      </c>
      <c r="G44" s="76"/>
      <c r="H44" s="183">
        <v>2317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16</v>
      </c>
      <c r="D49" s="12">
        <f>C49*42</f>
        <v>672</v>
      </c>
      <c r="F49" s="224" t="s">
        <v>85</v>
      </c>
      <c r="G49" s="171">
        <f>H34+H35+H36+H37+H38+H39+H40+H41+G42+H44+H45+H46</f>
        <v>229254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1</v>
      </c>
      <c r="D50" s="12">
        <f>C50*1.5</f>
        <v>1.5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21.5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41206.5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8163C-CE78-40F4-B7FD-CF3E6CDEBE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1504-B481-4DB1-8BD9-9380F8D832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0034-4114-44D4-ADF9-F4FE6CB9801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F114-DD0F-491C-9455-3E229361525C}">
  <dimension ref="A1:R59"/>
  <sheetViews>
    <sheetView zoomScaleNormal="100" zoomScaleSheetLayoutView="85" workbookViewId="0">
      <selection activeCell="L54" sqref="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585</v>
      </c>
      <c r="D6" s="13">
        <f t="shared" ref="D6:D28" si="1">C6*L6</f>
        <v>445185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43</v>
      </c>
      <c r="D9" s="13">
        <f t="shared" si="1"/>
        <v>31519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5</v>
      </c>
      <c r="D10" s="13">
        <f t="shared" si="1"/>
        <v>5160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25</v>
      </c>
      <c r="D13" s="48">
        <f t="shared" si="1"/>
        <v>7675</v>
      </c>
      <c r="F13" s="144" t="s">
        <v>36</v>
      </c>
      <c r="G13" s="145"/>
      <c r="H13" s="146">
        <f>D29</f>
        <v>491364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69771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421593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3666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491364</v>
      </c>
      <c r="F29" s="167" t="s">
        <v>54</v>
      </c>
      <c r="G29" s="168"/>
      <c r="H29" s="171">
        <f>H15-H16-H17-H18-H19-H20-H22-H23-H24+H26+H27</f>
        <v>417927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53</v>
      </c>
      <c r="H34" s="199">
        <f>F34*G34</f>
        <v>53000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99">
        <f>F35*G35</f>
        <v>100500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185</v>
      </c>
      <c r="H44" s="183">
        <v>264034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30</v>
      </c>
      <c r="D48" s="12">
        <f>C48*78</f>
        <v>2340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</v>
      </c>
      <c r="D49" s="12">
        <f>C49*42</f>
        <v>84</v>
      </c>
      <c r="F49" s="224" t="s">
        <v>85</v>
      </c>
      <c r="G49" s="171">
        <f>H34+H35+H36+H37+H38+H39+H40+H41+G42+H44+H45+H46</f>
        <v>417722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186</v>
      </c>
      <c r="G51" s="247">
        <f>G49-H29</f>
        <v>-205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69771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CC0B-4847-4671-BF83-BB6FEFC2958C}">
  <dimension ref="A1:R59"/>
  <sheetViews>
    <sheetView zoomScaleNormal="100" zoomScaleSheetLayoutView="85" workbookViewId="0">
      <selection activeCell="L63" sqref="L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524</v>
      </c>
      <c r="D6" s="13">
        <f t="shared" ref="D6:D28" si="1">C6*L6</f>
        <v>398764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15</v>
      </c>
      <c r="D7" s="13">
        <f t="shared" si="1"/>
        <v>11715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162</v>
      </c>
      <c r="D9" s="13">
        <f t="shared" si="1"/>
        <v>118746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8</v>
      </c>
      <c r="D12" s="48">
        <f t="shared" si="1"/>
        <v>7936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16</v>
      </c>
      <c r="D13" s="48">
        <f t="shared" si="1"/>
        <v>4912</v>
      </c>
      <c r="F13" s="144" t="s">
        <v>36</v>
      </c>
      <c r="G13" s="145"/>
      <c r="H13" s="146">
        <f>D29</f>
        <v>543461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8</v>
      </c>
      <c r="D14" s="31">
        <f t="shared" si="1"/>
        <v>88</v>
      </c>
      <c r="F14" s="149" t="s">
        <v>38</v>
      </c>
      <c r="G14" s="150"/>
      <c r="H14" s="151">
        <f>D54</f>
        <v>78838.5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464622.5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f>948+1836</f>
        <v>2784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543461</v>
      </c>
      <c r="F29" s="167" t="s">
        <v>54</v>
      </c>
      <c r="G29" s="168"/>
      <c r="H29" s="171">
        <f>H15-H16-H17-H18-H19-H20-H22-H23-H24+H26+H27</f>
        <v>461788.5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99">
        <f>F34*G34</f>
        <v>48000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99">
        <f>F35*G35</f>
        <v>7500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693</v>
      </c>
      <c r="D37" s="12">
        <f>C37*111</f>
        <v>76923</v>
      </c>
      <c r="F37" s="12">
        <v>100</v>
      </c>
      <c r="G37" s="39">
        <v>4</v>
      </c>
      <c r="H37" s="199">
        <f t="shared" si="2"/>
        <v>400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68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3</v>
      </c>
      <c r="D44" s="12">
        <f>C44*120</f>
        <v>360</v>
      </c>
      <c r="F44" s="37" t="s">
        <v>136</v>
      </c>
      <c r="G44" s="76" t="s">
        <v>187</v>
      </c>
      <c r="H44" s="183">
        <v>100352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132</v>
      </c>
      <c r="G45" s="76" t="s">
        <v>188</v>
      </c>
      <c r="H45" s="183">
        <v>198087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19</v>
      </c>
      <c r="D46" s="12">
        <f>C46*1.5</f>
        <v>28.5</v>
      </c>
      <c r="F46" s="37" t="s">
        <v>189</v>
      </c>
      <c r="G46" s="62" t="s">
        <v>190</v>
      </c>
      <c r="H46" s="183">
        <v>107346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461803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8</v>
      </c>
      <c r="D50" s="12">
        <f>C50*1.5</f>
        <v>12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191</v>
      </c>
      <c r="G51" s="240">
        <f>G49-H29</f>
        <v>14.5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78838.5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7D042-AA87-496B-BD27-9E23899CE1E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A3FC7-0F6E-4AC9-A9C6-D0E38BB04098}">
  <dimension ref="A1:R59"/>
  <sheetViews>
    <sheetView topLeftCell="A22" zoomScaleNormal="100" zoomScaleSheetLayoutView="85" workbookViewId="0">
      <selection activeCell="K55" sqref="K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421</v>
      </c>
      <c r="D6" s="13">
        <f t="shared" ref="D6:D28" si="1">C6*L6</f>
        <v>320381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7</v>
      </c>
      <c r="D7" s="13">
        <f t="shared" si="1"/>
        <v>5467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116</v>
      </c>
      <c r="D9" s="13">
        <f t="shared" si="1"/>
        <v>85028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10</v>
      </c>
      <c r="D10" s="13">
        <f t="shared" si="1"/>
        <v>10320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5</v>
      </c>
      <c r="D11" s="13">
        <f t="shared" si="1"/>
        <v>5850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10</v>
      </c>
      <c r="D12" s="48">
        <f t="shared" si="1"/>
        <v>9920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19</v>
      </c>
      <c r="D13" s="48">
        <f t="shared" si="1"/>
        <v>5833</v>
      </c>
      <c r="F13" s="144" t="s">
        <v>36</v>
      </c>
      <c r="G13" s="145"/>
      <c r="H13" s="146">
        <f>D29</f>
        <v>442799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70551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372248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2742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442799</v>
      </c>
      <c r="F29" s="167" t="s">
        <v>54</v>
      </c>
      <c r="G29" s="168"/>
      <c r="H29" s="171">
        <f>H15-H16-H17-H18-H19-H20-H22-H23-H24+H26+H27+H28</f>
        <v>369506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v>68</v>
      </c>
      <c r="H34" s="199">
        <f t="shared" ref="H34:H39" si="2">F34*G34</f>
        <v>68000</v>
      </c>
      <c r="I34" s="200"/>
      <c r="J34" s="201"/>
      <c r="L34">
        <f>68-84</f>
        <v>-16</v>
      </c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99">
        <f t="shared" si="2"/>
        <v>5000</v>
      </c>
      <c r="I35" s="200"/>
      <c r="J35" s="201"/>
      <c r="L35">
        <f>78-10</f>
        <v>68</v>
      </c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561</v>
      </c>
      <c r="D37" s="12">
        <f>C37*111</f>
        <v>62271</v>
      </c>
      <c r="F37" s="12">
        <v>100</v>
      </c>
      <c r="G37" s="39">
        <v>6</v>
      </c>
      <c r="H37" s="199">
        <f t="shared" si="2"/>
        <v>600</v>
      </c>
      <c r="I37" s="200"/>
      <c r="J37" s="201"/>
      <c r="L37">
        <f>34-6</f>
        <v>28</v>
      </c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v>1</v>
      </c>
      <c r="H38" s="199">
        <f t="shared" si="2"/>
        <v>50</v>
      </c>
      <c r="I38" s="200"/>
      <c r="J38" s="201"/>
      <c r="L38">
        <f>2-1</f>
        <v>1</v>
      </c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8</v>
      </c>
      <c r="D42" s="12">
        <f>C42*2.25</f>
        <v>18</v>
      </c>
      <c r="F42" s="39" t="s">
        <v>78</v>
      </c>
      <c r="G42" s="199">
        <v>47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83">
        <v>303821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27</v>
      </c>
      <c r="D49" s="12">
        <f>C49*42</f>
        <v>1134</v>
      </c>
      <c r="F49" s="224" t="s">
        <v>85</v>
      </c>
      <c r="G49" s="171">
        <f>H34+H35+H36+H37+H38+H39+H40+H41+G42+H44+H45+H46</f>
        <v>377518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15</v>
      </c>
      <c r="D50" s="12">
        <f>C50*1.5</f>
        <v>22.5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8012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70551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96D4F-D3D4-45E8-8514-09CDF870DC4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421</v>
      </c>
      <c r="D6" s="13">
        <f t="shared" ref="D6:D28" si="1">C6*L6</f>
        <v>320381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7</v>
      </c>
      <c r="D7" s="13">
        <f t="shared" si="1"/>
        <v>5467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116</v>
      </c>
      <c r="D9" s="13">
        <f t="shared" si="1"/>
        <v>85028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10</v>
      </c>
      <c r="D10" s="13">
        <f t="shared" si="1"/>
        <v>10320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5</v>
      </c>
      <c r="D11" s="13">
        <f t="shared" si="1"/>
        <v>5850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10</v>
      </c>
      <c r="D12" s="48">
        <f t="shared" si="1"/>
        <v>9920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19</v>
      </c>
      <c r="D13" s="48">
        <f t="shared" si="1"/>
        <v>5833</v>
      </c>
      <c r="F13" s="144" t="s">
        <v>36</v>
      </c>
      <c r="G13" s="145"/>
      <c r="H13" s="146">
        <f>D29</f>
        <v>442799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70551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372248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2742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178</v>
      </c>
      <c r="G26" s="65">
        <v>10654</v>
      </c>
      <c r="H26" s="183">
        <v>62135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1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103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442799</v>
      </c>
      <c r="F29" s="167" t="s">
        <v>54</v>
      </c>
      <c r="G29" s="168"/>
      <c r="H29" s="171">
        <f>H15-H16-H17-H18-H19-H20-H22-H23-H24+H26+H27+H28</f>
        <v>431641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f>68+16</f>
        <v>84</v>
      </c>
      <c r="H34" s="199">
        <f t="shared" ref="H34:H39" si="2">F34*G34</f>
        <v>84000</v>
      </c>
      <c r="I34" s="200"/>
      <c r="J34" s="201"/>
      <c r="L34">
        <f>68-84</f>
        <v>-16</v>
      </c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f>10+68</f>
        <v>78</v>
      </c>
      <c r="H35" s="199">
        <f t="shared" si="2"/>
        <v>39000</v>
      </c>
      <c r="I35" s="200"/>
      <c r="J35" s="201"/>
      <c r="L35">
        <f>78-10</f>
        <v>68</v>
      </c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561</v>
      </c>
      <c r="D37" s="12">
        <f>C37*111</f>
        <v>62271</v>
      </c>
      <c r="F37" s="12">
        <v>100</v>
      </c>
      <c r="G37" s="39">
        <f>6+28</f>
        <v>34</v>
      </c>
      <c r="H37" s="199">
        <f t="shared" si="2"/>
        <v>3400</v>
      </c>
      <c r="I37" s="200"/>
      <c r="J37" s="201"/>
      <c r="L37">
        <f>34-6</f>
        <v>28</v>
      </c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f>1+1</f>
        <v>2</v>
      </c>
      <c r="H38" s="199">
        <f t="shared" si="2"/>
        <v>100</v>
      </c>
      <c r="I38" s="200"/>
      <c r="J38" s="201"/>
      <c r="L38">
        <f>2-1</f>
        <v>1</v>
      </c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8</v>
      </c>
      <c r="D42" s="12">
        <f>C42*2.25</f>
        <v>18</v>
      </c>
      <c r="F42" s="39" t="s">
        <v>78</v>
      </c>
      <c r="G42" s="199">
        <f>47+15</f>
        <v>62</v>
      </c>
      <c r="H42" s="200"/>
      <c r="I42" s="200"/>
      <c r="J42" s="201"/>
      <c r="K42" s="36"/>
      <c r="L42">
        <f>47-62</f>
        <v>-15</v>
      </c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1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83">
        <v>303821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27</v>
      </c>
      <c r="D49" s="12">
        <f>C49*42</f>
        <v>1134</v>
      </c>
      <c r="F49" s="224" t="s">
        <v>85</v>
      </c>
      <c r="G49" s="171">
        <f>H34+H35+H36+H37+H38+H39+H40+H41+G42+H44+H45+H46</f>
        <v>430383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15</v>
      </c>
      <c r="D50" s="12">
        <f>C50*1.5</f>
        <v>22.5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-1258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70551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0686-D89B-4BB0-B0A7-DB0CF0D44C98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178</v>
      </c>
      <c r="G26" s="65">
        <v>10654</v>
      </c>
      <c r="H26" s="183">
        <f>62135-9270</f>
        <v>52865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52865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16</v>
      </c>
      <c r="H34" s="199">
        <f t="shared" ref="H34:H39" si="2">F34*G34</f>
        <v>16000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99">
        <f t="shared" si="2"/>
        <v>34000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28</v>
      </c>
      <c r="H37" s="199">
        <f t="shared" si="2"/>
        <v>2800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52865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98A9-E789-492E-8BA6-ADF15D2C6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370</v>
      </c>
      <c r="D6" s="13">
        <f t="shared" ref="D6:D28" si="1">C6*L6</f>
        <v>281570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5</v>
      </c>
      <c r="D7" s="13">
        <f t="shared" si="1"/>
        <v>3905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1093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42</v>
      </c>
      <c r="D9" s="13">
        <f t="shared" si="1"/>
        <v>30786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320424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48226.5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272197.5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320424</v>
      </c>
      <c r="F29" s="167" t="s">
        <v>54</v>
      </c>
      <c r="G29" s="168"/>
      <c r="H29" s="171">
        <f>H15-H16-H17-H18-H19-H20-H22-H23-H24+H26+H27</f>
        <v>270121.5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116</v>
      </c>
      <c r="H34" s="199">
        <f>F34*G34</f>
        <v>116000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99">
        <f>F35*G35</f>
        <v>12500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9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 t="s">
        <v>147</v>
      </c>
      <c r="G44" s="76" t="s">
        <v>193</v>
      </c>
      <c r="H44" s="183">
        <v>140694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6</v>
      </c>
      <c r="D49" s="12">
        <f>C49*42</f>
        <v>252</v>
      </c>
      <c r="F49" s="224" t="s">
        <v>85</v>
      </c>
      <c r="G49" s="171">
        <f>H34+H35+H36+H37+H38+H39+H40+H41+G42+H44+H45+H46</f>
        <v>269353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7</v>
      </c>
      <c r="D50" s="12">
        <f>C50*1.5</f>
        <v>10.5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186</v>
      </c>
      <c r="G51" s="247">
        <f>G49-H29</f>
        <v>-768.5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48226.5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429-0E64-42C1-BF6A-1B877DDED7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551</v>
      </c>
      <c r="D6" s="13">
        <f t="shared" ref="D6:D28" si="1">C6*L6</f>
        <v>419311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2</v>
      </c>
      <c r="D8" s="13">
        <f t="shared" si="1"/>
        <v>2186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62</v>
      </c>
      <c r="D9" s="13">
        <f t="shared" si="1"/>
        <v>45446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5</v>
      </c>
      <c r="D10" s="13">
        <f t="shared" si="1"/>
        <v>5160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15</v>
      </c>
      <c r="D11" s="13">
        <f t="shared" si="1"/>
        <v>17550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15+3</f>
        <v>18</v>
      </c>
      <c r="D12" s="48">
        <f t="shared" si="1"/>
        <v>17856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26</v>
      </c>
      <c r="D13" s="48">
        <f t="shared" si="1"/>
        <v>7982</v>
      </c>
      <c r="F13" s="144" t="s">
        <v>36</v>
      </c>
      <c r="G13" s="145"/>
      <c r="H13" s="146">
        <f>D29</f>
        <v>524541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72742.5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1+1</f>
        <v>2</v>
      </c>
      <c r="D15" s="31">
        <f t="shared" si="1"/>
        <v>1240</v>
      </c>
      <c r="F15" s="154" t="s">
        <v>39</v>
      </c>
      <c r="G15" s="145"/>
      <c r="H15" s="155">
        <f>H13-H14</f>
        <v>451798.5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2910+390+360</f>
        <v>3660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524541</v>
      </c>
      <c r="F29" s="167" t="s">
        <v>54</v>
      </c>
      <c r="G29" s="168"/>
      <c r="H29" s="171">
        <f>H15-H16-H17-H18-H19-H20-H22-H23-H24+H26+H27</f>
        <v>448138.5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103</v>
      </c>
      <c r="H34" s="199">
        <f>F34*G34</f>
        <v>103000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99">
        <f>F35*G35</f>
        <v>7500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f>540+19</f>
        <v>559</v>
      </c>
      <c r="D37" s="12">
        <f>C37*111</f>
        <v>62049</v>
      </c>
      <c r="F37" s="12">
        <v>100</v>
      </c>
      <c r="G37" s="39">
        <v>82</v>
      </c>
      <c r="H37" s="199">
        <f t="shared" si="2"/>
        <v>8200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6</v>
      </c>
      <c r="H38" s="199">
        <f t="shared" si="2"/>
        <v>300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31</v>
      </c>
      <c r="D40" s="12">
        <f>C40*111</f>
        <v>3441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2</v>
      </c>
      <c r="D42" s="12">
        <f>C42*2.25</f>
        <v>4.5</v>
      </c>
      <c r="F42" s="39" t="s">
        <v>78</v>
      </c>
      <c r="G42" s="199">
        <v>68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29</v>
      </c>
      <c r="D44" s="12">
        <f>C44*120</f>
        <v>3480</v>
      </c>
      <c r="F44" s="37" t="s">
        <v>136</v>
      </c>
      <c r="G44" s="76" t="s">
        <v>194</v>
      </c>
      <c r="H44" s="183">
        <v>329457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22</v>
      </c>
      <c r="D49" s="12">
        <f>C49*42</f>
        <v>924</v>
      </c>
      <c r="F49" s="224" t="s">
        <v>85</v>
      </c>
      <c r="G49" s="171">
        <f>H34+H35+H36+H37+H38+H39+H40+H41+G42+H44+H45+H46</f>
        <v>448525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</v>
      </c>
      <c r="D50" s="12">
        <f>C50*1.5</f>
        <v>1.5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195</v>
      </c>
      <c r="G51" s="240">
        <f>G49-H29</f>
        <v>386.5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72742.5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453</v>
      </c>
      <c r="D6" s="13">
        <f t="shared" ref="D6:D28" si="1">C6*L6</f>
        <v>344733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15</v>
      </c>
      <c r="D7" s="13">
        <f t="shared" si="1"/>
        <v>11715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40</v>
      </c>
      <c r="D9" s="13">
        <f t="shared" si="1"/>
        <v>29320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3</v>
      </c>
      <c r="D12" s="48">
        <f t="shared" si="1"/>
        <v>2976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392951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54639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2</v>
      </c>
      <c r="D15" s="31">
        <f t="shared" si="1"/>
        <v>1240</v>
      </c>
      <c r="F15" s="154" t="s">
        <v>39</v>
      </c>
      <c r="G15" s="145"/>
      <c r="H15" s="155">
        <f>H13-H14</f>
        <v>338312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392951</v>
      </c>
      <c r="F29" s="167" t="s">
        <v>54</v>
      </c>
      <c r="G29" s="168"/>
      <c r="H29" s="171">
        <f>H15-H16-H17-H18-H19-H20-H22-H23-H24+H26+H27+H28</f>
        <v>338312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134</v>
      </c>
      <c r="H34" s="199">
        <f t="shared" ref="H34:H39" si="2">F34*G34</f>
        <v>134000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100</v>
      </c>
      <c r="H35" s="199">
        <f t="shared" si="2"/>
        <v>50000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99">
        <f t="shared" si="2"/>
        <v>400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83</v>
      </c>
      <c r="H37" s="199">
        <f t="shared" si="2"/>
        <v>8300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39</v>
      </c>
      <c r="H38" s="199">
        <f t="shared" si="2"/>
        <v>1950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7</v>
      </c>
      <c r="D44" s="12">
        <f>C44*120</f>
        <v>840</v>
      </c>
      <c r="F44" s="37" t="s">
        <v>147</v>
      </c>
      <c r="G44" s="76" t="s">
        <v>196</v>
      </c>
      <c r="H44" s="183">
        <v>83120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83">
        <v>60000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337800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-512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54639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360</v>
      </c>
      <c r="D6" s="13">
        <f t="shared" ref="D6:D28" si="1">C6*L6</f>
        <v>273960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19</v>
      </c>
      <c r="D9" s="13">
        <f t="shared" si="1"/>
        <v>13927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12</v>
      </c>
      <c r="D13" s="48">
        <f t="shared" si="1"/>
        <v>3684</v>
      </c>
      <c r="F13" s="144" t="s">
        <v>36</v>
      </c>
      <c r="G13" s="145"/>
      <c r="H13" s="146">
        <f>D29</f>
        <v>294125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43978.5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250146.5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1296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294125</v>
      </c>
      <c r="F29" s="167" t="s">
        <v>54</v>
      </c>
      <c r="G29" s="168"/>
      <c r="H29" s="171">
        <f>H15-H16-H17-H18-H19-H20-H22-H23-H24+H26+H27</f>
        <v>248850.5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99">
        <f>F34*G34</f>
        <v>88000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300</v>
      </c>
      <c r="H35" s="199">
        <f>F35*G35</f>
        <v>150000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100</v>
      </c>
      <c r="H37" s="199">
        <f t="shared" si="2"/>
        <v>10000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31</v>
      </c>
      <c r="H38" s="199">
        <f t="shared" si="2"/>
        <v>1550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125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9</v>
      </c>
      <c r="D49" s="12">
        <f>C49*42</f>
        <v>378</v>
      </c>
      <c r="F49" s="224" t="s">
        <v>85</v>
      </c>
      <c r="G49" s="171">
        <f>H34+H35+H36+H37+H38+H39+H40+H41+G42+H44+H45+H46</f>
        <v>249675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10</v>
      </c>
      <c r="D50" s="12">
        <f>C50*1.5</f>
        <v>15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824.5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43978.5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210</v>
      </c>
      <c r="D6" s="13">
        <f t="shared" ref="D6:D28" si="1">C6*L6</f>
        <v>159810</v>
      </c>
      <c r="F6" s="122" t="s">
        <v>16</v>
      </c>
      <c r="G6" s="124" t="s">
        <v>197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25</v>
      </c>
      <c r="D7" s="13">
        <f t="shared" si="1"/>
        <v>19525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93</v>
      </c>
      <c r="D9" s="13">
        <f t="shared" si="1"/>
        <v>68169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1</v>
      </c>
      <c r="D11" s="13">
        <f t="shared" si="1"/>
        <v>1170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3+1</f>
        <v>4</v>
      </c>
      <c r="D12" s="48">
        <f t="shared" si="1"/>
        <v>3968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276301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37863.75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238437.25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15+16</f>
        <v>31</v>
      </c>
      <c r="D16" s="48">
        <f t="shared" si="1"/>
        <v>20150</v>
      </c>
      <c r="F16" s="67" t="s">
        <v>41</v>
      </c>
      <c r="G16" s="66" t="s">
        <v>42</v>
      </c>
      <c r="H16" s="158">
        <v>1314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276301</v>
      </c>
      <c r="F29" s="167" t="s">
        <v>54</v>
      </c>
      <c r="G29" s="168"/>
      <c r="H29" s="171">
        <f>H15-H16-H17-H18-H19-H20-H22-H23-H24+H26+H27</f>
        <v>237123.25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99">
        <f>F34*G34</f>
        <v>145000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99">
        <f>F35*G35</f>
        <v>13000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99">
        <f t="shared" ref="H36:H39" si="2">F36*G36</f>
        <v>600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322</v>
      </c>
      <c r="D37" s="12">
        <f>C37*111</f>
        <v>35742</v>
      </c>
      <c r="F37" s="12">
        <v>100</v>
      </c>
      <c r="G37" s="39">
        <v>66</v>
      </c>
      <c r="H37" s="199">
        <f t="shared" si="2"/>
        <v>6600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19</v>
      </c>
      <c r="H38" s="199">
        <f t="shared" si="2"/>
        <v>950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3</v>
      </c>
      <c r="D42" s="12">
        <f>C42*2.25</f>
        <v>6.75</v>
      </c>
      <c r="F42" s="39" t="s">
        <v>78</v>
      </c>
      <c r="G42" s="199">
        <v>25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59" t="s">
        <v>132</v>
      </c>
      <c r="G44" s="62" t="s">
        <v>199</v>
      </c>
      <c r="H44" s="183">
        <v>70614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4</v>
      </c>
      <c r="D45" s="12">
        <f>C45*84</f>
        <v>336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236789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19</v>
      </c>
      <c r="D50" s="12">
        <f>C50*1.5</f>
        <v>28.5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-334.25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37863.75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FC357-3B33-4ECC-94F7-80630D2833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4FCD9-476C-4B12-9844-B14CE31AF4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143</v>
      </c>
      <c r="D6" s="13">
        <f t="shared" ref="D6:D28" si="1">C6*L6</f>
        <v>108823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9</v>
      </c>
      <c r="D7" s="13">
        <f t="shared" si="1"/>
        <v>7029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52</v>
      </c>
      <c r="D8" s="13">
        <f t="shared" si="1"/>
        <v>56836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17</v>
      </c>
      <c r="D9" s="13">
        <f t="shared" si="1"/>
        <v>12461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7</v>
      </c>
      <c r="D11" s="13">
        <f t="shared" si="1"/>
        <v>8190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6+1</f>
        <v>7</v>
      </c>
      <c r="D12" s="48">
        <f t="shared" si="1"/>
        <v>6944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3</v>
      </c>
      <c r="D13" s="48">
        <f t="shared" si="1"/>
        <v>921</v>
      </c>
      <c r="F13" s="144" t="s">
        <v>36</v>
      </c>
      <c r="G13" s="145"/>
      <c r="H13" s="146">
        <f>D29</f>
        <v>216025.16666666666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28238.25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2+2</f>
        <v>4</v>
      </c>
      <c r="D15" s="31">
        <f t="shared" si="1"/>
        <v>2480</v>
      </c>
      <c r="F15" s="154" t="s">
        <v>39</v>
      </c>
      <c r="G15" s="145"/>
      <c r="H15" s="155">
        <f>H13-H14</f>
        <v>187786.91666666666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4+3</f>
        <v>7</v>
      </c>
      <c r="D16" s="48">
        <f t="shared" si="1"/>
        <v>4550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200</v>
      </c>
      <c r="C21" s="10">
        <v>16</v>
      </c>
      <c r="D21" s="48">
        <f t="shared" si="1"/>
        <v>1078.6666666666667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1582/24+1.5</f>
        <v>67.416666666666671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153</v>
      </c>
      <c r="G22" s="73">
        <v>10676</v>
      </c>
      <c r="H22" s="181">
        <v>57556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>
        <v>23</v>
      </c>
      <c r="D23" s="48">
        <f t="shared" si="1"/>
        <v>908.5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>
        <v>3</v>
      </c>
      <c r="D28" s="48">
        <f t="shared" si="1"/>
        <v>2433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216025.16666666666</v>
      </c>
      <c r="F29" s="167" t="s">
        <v>54</v>
      </c>
      <c r="G29" s="168"/>
      <c r="H29" s="171">
        <f>H15-H16-H17-H18-H19-H20-H22-H23-H24+H26+H27+H28</f>
        <v>130230.91666666666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81</v>
      </c>
      <c r="H34" s="199">
        <f t="shared" ref="H34:H39" si="2">F34*G34</f>
        <v>81000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99">
        <f t="shared" si="2"/>
        <v>19000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150</v>
      </c>
      <c r="D37" s="12">
        <f>C37*111</f>
        <v>16650</v>
      </c>
      <c r="F37" s="12">
        <v>100</v>
      </c>
      <c r="G37" s="39">
        <v>12</v>
      </c>
      <c r="H37" s="199">
        <f t="shared" si="2"/>
        <v>1200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9</v>
      </c>
      <c r="H38" s="199">
        <f t="shared" si="2"/>
        <v>450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3</v>
      </c>
      <c r="D42" s="12">
        <f>C42*2.25</f>
        <v>6.75</v>
      </c>
      <c r="F42" s="39" t="s">
        <v>78</v>
      </c>
      <c r="G42" s="199">
        <v>96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67</v>
      </c>
      <c r="D44" s="12">
        <f>C44*120</f>
        <v>8040</v>
      </c>
      <c r="F44" s="37" t="s">
        <v>136</v>
      </c>
      <c r="G44" s="76" t="s">
        <v>202</v>
      </c>
      <c r="H44" s="183">
        <v>19994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9</v>
      </c>
      <c r="D45" s="12">
        <f>C45*84</f>
        <v>756</v>
      </c>
      <c r="F45" s="37" t="s">
        <v>137</v>
      </c>
      <c r="G45" s="62"/>
      <c r="H45" s="183">
        <v>7705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4</v>
      </c>
      <c r="D46" s="12">
        <f>C46*1.5</f>
        <v>6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129445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130</v>
      </c>
      <c r="D50" s="12">
        <f>C50*1.5</f>
        <v>195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-785.91666666665697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28238.25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E098-70B8-4D30-8AAA-282CDDD7A0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276</v>
      </c>
      <c r="D6" s="13">
        <f t="shared" ref="D6:D28" si="1">C6*L6</f>
        <v>210036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f>2</f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22</v>
      </c>
      <c r="D9" s="13">
        <f t="shared" si="1"/>
        <v>16126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3</v>
      </c>
      <c r="D12" s="48">
        <f t="shared" si="1"/>
        <v>2976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7</v>
      </c>
      <c r="D13" s="48">
        <f t="shared" si="1"/>
        <v>2149</v>
      </c>
      <c r="F13" s="144" t="s">
        <v>36</v>
      </c>
      <c r="G13" s="145"/>
      <c r="H13" s="146">
        <f>D29</f>
        <v>238493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43047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195446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v>1158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>
        <f>1</f>
        <v>1</v>
      </c>
      <c r="D19" s="48">
        <f t="shared" si="1"/>
        <v>1175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201</v>
      </c>
      <c r="C22" s="10">
        <f>12</f>
        <v>12</v>
      </c>
      <c r="D22" s="48">
        <f t="shared" si="1"/>
        <v>268</v>
      </c>
      <c r="F22" s="77"/>
      <c r="G22" s="73"/>
      <c r="H22" s="181"/>
      <c r="I22" s="181"/>
      <c r="J22" s="181"/>
      <c r="L22" s="7">
        <f>500/24+1.5</f>
        <v>22.333333333333332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238493</v>
      </c>
      <c r="F29" s="167" t="s">
        <v>54</v>
      </c>
      <c r="G29" s="168"/>
      <c r="H29" s="171">
        <f>H15-H16-H17-H18-H19-H20-H22-H23-H24+H26+H27</f>
        <v>194288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68</v>
      </c>
      <c r="H34" s="199">
        <f>F34*G34</f>
        <v>68000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>F35*G35</f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375</v>
      </c>
      <c r="D37" s="12">
        <f>C37*111</f>
        <v>41625</v>
      </c>
      <c r="F37" s="12">
        <v>100</v>
      </c>
      <c r="G37" s="39">
        <v>10</v>
      </c>
      <c r="H37" s="199">
        <f t="shared" si="2"/>
        <v>1000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9">
        <v>26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76" t="s">
        <v>203</v>
      </c>
      <c r="H44" s="183">
        <v>124572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</v>
      </c>
      <c r="D46" s="12">
        <f>C46*1.5</f>
        <v>1.5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7</v>
      </c>
      <c r="D49" s="12">
        <f>C49*42</f>
        <v>294</v>
      </c>
      <c r="F49" s="224" t="s">
        <v>85</v>
      </c>
      <c r="G49" s="171">
        <f>H34+H35+H36+H37+H38+H39+H40+H41+G42+H44+H45+H46</f>
        <v>194198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-90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43047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BAC0-A222-406C-9212-C9E78AC95F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423</v>
      </c>
      <c r="D6" s="13">
        <f t="shared" ref="D6:D28" si="1">C6*L6</f>
        <v>321903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21</v>
      </c>
      <c r="D7" s="13">
        <f t="shared" si="1"/>
        <v>16401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83</v>
      </c>
      <c r="D9" s="13">
        <f t="shared" si="1"/>
        <v>60839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3</v>
      </c>
      <c r="D10" s="13">
        <f t="shared" si="1"/>
        <v>3096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2</v>
      </c>
      <c r="D11" s="13">
        <f t="shared" si="1"/>
        <v>2340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3</v>
      </c>
      <c r="D12" s="48">
        <f t="shared" si="1"/>
        <v>2976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15</v>
      </c>
      <c r="D13" s="48">
        <f t="shared" si="1"/>
        <v>4605</v>
      </c>
      <c r="F13" s="144" t="s">
        <v>36</v>
      </c>
      <c r="G13" s="145"/>
      <c r="H13" s="146">
        <f>D29</f>
        <v>412292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66883.5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345408.5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948+858+360</f>
        <v>2166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412292</v>
      </c>
      <c r="F29" s="167" t="s">
        <v>54</v>
      </c>
      <c r="G29" s="168"/>
      <c r="H29" s="171">
        <f>H15-H16-H17-H18-H19-H20-H22-H23-H24+H26+H27</f>
        <v>343192.5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194</v>
      </c>
      <c r="H34" s="199">
        <f>F34*G34</f>
        <v>194000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50</v>
      </c>
      <c r="H35" s="199">
        <f>F35*G35</f>
        <v>25000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13</v>
      </c>
      <c r="D36" s="12">
        <f>C36*1.5</f>
        <v>19.5</v>
      </c>
      <c r="F36" s="12">
        <v>200</v>
      </c>
      <c r="G36" s="37">
        <v>3</v>
      </c>
      <c r="H36" s="199">
        <f t="shared" ref="H36:H39" si="2">F36*G36</f>
        <v>600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549</v>
      </c>
      <c r="D37" s="12">
        <f>C37*111</f>
        <v>60939</v>
      </c>
      <c r="F37" s="12">
        <v>100</v>
      </c>
      <c r="G37" s="39">
        <v>123</v>
      </c>
      <c r="H37" s="199">
        <f t="shared" si="2"/>
        <v>12300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148</v>
      </c>
      <c r="H38" s="199">
        <f t="shared" si="2"/>
        <v>7400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2</v>
      </c>
      <c r="D42" s="12">
        <f>C42*2.25</f>
        <v>4.5</v>
      </c>
      <c r="F42" s="39" t="s">
        <v>78</v>
      </c>
      <c r="G42" s="199">
        <v>219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204</v>
      </c>
      <c r="H44" s="183">
        <v>102299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2</v>
      </c>
      <c r="D45" s="12">
        <f>C45*84</f>
        <v>168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14</v>
      </c>
      <c r="D46" s="12">
        <f>C46*1.5</f>
        <v>21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341838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19</v>
      </c>
      <c r="D50" s="12">
        <f>C50*1.5</f>
        <v>28.5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-1354.5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66883.5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F009-C0EA-461B-8886-8ED466049E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B2133-DD21-4C70-9377-33982725B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446</v>
      </c>
      <c r="D6" s="13">
        <f t="shared" ref="D6:D28" si="1">C6*L6</f>
        <v>339406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14</v>
      </c>
      <c r="D13" s="48">
        <f t="shared" si="1"/>
        <v>4298</v>
      </c>
      <c r="F13" s="144" t="s">
        <v>36</v>
      </c>
      <c r="G13" s="145"/>
      <c r="H13" s="146">
        <f>D29</f>
        <v>343836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51543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292293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2268</f>
        <v>2268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>
        <v>109.27</v>
      </c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83">
        <v>57556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343836</v>
      </c>
      <c r="F29" s="167" t="s">
        <v>54</v>
      </c>
      <c r="G29" s="168"/>
      <c r="H29" s="171">
        <f>H15-H16-H17-H18-H19-H20-H22-H23-H24+H26+H27+H28</f>
        <v>347471.73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f>245+57</f>
        <v>302</v>
      </c>
      <c r="H34" s="199">
        <f t="shared" ref="H34:H39" si="2">F34*G34</f>
        <v>302000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f>90+1</f>
        <v>91</v>
      </c>
      <c r="H35" s="199">
        <f t="shared" si="2"/>
        <v>45500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455</v>
      </c>
      <c r="D37" s="12">
        <f>C37*111</f>
        <v>50505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f>87+6</f>
        <v>93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13</v>
      </c>
      <c r="D49" s="12">
        <f>C49*42</f>
        <v>546</v>
      </c>
      <c r="F49" s="224" t="s">
        <v>85</v>
      </c>
      <c r="G49" s="171">
        <f>H34+H35+H36+H37+H38+H39+H40+H41+G42+H44+H45+H46</f>
        <v>347643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171.27000000001863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51543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14EA4-CC24-48AB-BDB9-50686BD909E2}">
  <dimension ref="A1:R59"/>
  <sheetViews>
    <sheetView topLeftCell="A13" zoomScaleNormal="100" zoomScaleSheetLayoutView="85" workbookViewId="0">
      <selection activeCell="H26" sqref="F26:J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83">
        <v>57556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57556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57</v>
      </c>
      <c r="H34" s="199">
        <f t="shared" ref="H34:H39" si="2">F34*G34</f>
        <v>57000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 t="shared" si="2"/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57556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5133C-332F-4ACD-93A0-D4923FE33F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294</v>
      </c>
      <c r="D6" s="13">
        <f t="shared" ref="D6:D28" si="1">C6*L6</f>
        <v>223734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3</v>
      </c>
      <c r="D7" s="13">
        <f t="shared" si="1"/>
        <v>2343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33</v>
      </c>
      <c r="D9" s="13">
        <f t="shared" si="1"/>
        <v>24189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254943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39281.25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215661.75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1068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254943</v>
      </c>
      <c r="F29" s="167" t="s">
        <v>54</v>
      </c>
      <c r="G29" s="168"/>
      <c r="H29" s="171">
        <f>H15-H16-H17-H18-H19-H20-H22-H23-H24+H26+H27</f>
        <v>214593.75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170</v>
      </c>
      <c r="H34" s="199">
        <f>F34*G34</f>
        <v>170000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99">
        <f>F35*G35</f>
        <v>40000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337</v>
      </c>
      <c r="D37" s="12">
        <f>C37*111</f>
        <v>37407</v>
      </c>
      <c r="F37" s="12">
        <v>100</v>
      </c>
      <c r="G37" s="39">
        <v>41</v>
      </c>
      <c r="H37" s="199">
        <f t="shared" si="2"/>
        <v>4100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5</v>
      </c>
      <c r="H38" s="199">
        <f t="shared" si="2"/>
        <v>250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</v>
      </c>
      <c r="D42" s="12">
        <f>C42*2.25</f>
        <v>2.25</v>
      </c>
      <c r="F42" s="39" t="s">
        <v>78</v>
      </c>
      <c r="G42" s="199">
        <v>391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</v>
      </c>
      <c r="D46" s="12">
        <f>C46*1.5</f>
        <v>3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8</v>
      </c>
      <c r="D49" s="12">
        <f>C49*42</f>
        <v>336</v>
      </c>
      <c r="F49" s="224" t="s">
        <v>85</v>
      </c>
      <c r="G49" s="171">
        <f>H34+H35+H36+H37+H38+H39+H40+H41+G42+H44+H45+H46</f>
        <v>214741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2</v>
      </c>
      <c r="D50" s="12">
        <f>C50*1.5</f>
        <v>3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147.25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39281.25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990F-2662-4728-8AD9-2EE9FC3CC2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9C1C7-AC6A-4226-AFA1-21AC40F5BA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2AE5A-7381-4C36-98AF-66D237DB2BA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364</v>
      </c>
      <c r="D6" s="13">
        <f t="shared" ref="D6:D28" si="1">C6*L6</f>
        <v>277004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</v>
      </c>
      <c r="D9" s="13">
        <f t="shared" si="1"/>
        <v>2199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20</v>
      </c>
      <c r="D10" s="13">
        <f t="shared" si="1"/>
        <v>20640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305232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89406.75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215825.25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2070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305232</v>
      </c>
      <c r="F29" s="167" t="s">
        <v>54</v>
      </c>
      <c r="G29" s="168"/>
      <c r="H29" s="171">
        <f>H15-H16-H17-H18-H19-H20-H22-H23-H24+H26+H27+H28</f>
        <v>213755.25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17</v>
      </c>
      <c r="H34" s="199">
        <f t="shared" ref="H34:H39" si="2">F34*G34</f>
        <v>17000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199">
        <f t="shared" si="2"/>
        <v>4000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763</v>
      </c>
      <c r="D37" s="12">
        <f>C37*111</f>
        <v>84693</v>
      </c>
      <c r="F37" s="12">
        <v>100</v>
      </c>
      <c r="G37" s="39">
        <v>5</v>
      </c>
      <c r="H37" s="199">
        <f t="shared" si="2"/>
        <v>500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205</v>
      </c>
      <c r="H44" s="183">
        <v>192163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21</v>
      </c>
      <c r="D46" s="12">
        <f>C46*1.5</f>
        <v>31.5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24</v>
      </c>
      <c r="D49" s="12">
        <f>C49*42</f>
        <v>1008</v>
      </c>
      <c r="F49" s="224" t="s">
        <v>85</v>
      </c>
      <c r="G49" s="171">
        <f>H34+H35+H36+H37+H38+H39+H40+H41+G42+H44+H45+H46</f>
        <v>213763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7.75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89406.75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6908-EA79-47A0-B22E-6DACC07CB5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274</v>
      </c>
      <c r="D6" s="13">
        <f t="shared" ref="D6:D28" si="1">C6*L6</f>
        <v>208514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11</v>
      </c>
      <c r="D7" s="13">
        <f t="shared" si="1"/>
        <v>8591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12</v>
      </c>
      <c r="D9" s="13">
        <f t="shared" si="1"/>
        <v>8796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231087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31207.5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199879.5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1356</f>
        <v>1356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231087</v>
      </c>
      <c r="F29" s="167" t="s">
        <v>54</v>
      </c>
      <c r="G29" s="168"/>
      <c r="H29" s="171">
        <f>H15-H16-H17-H18-H19-H20-H22-H23-H24+H26+H27</f>
        <v>198523.5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41</v>
      </c>
      <c r="H34" s="199">
        <f>F34*G34</f>
        <v>41000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99">
        <f>F35*G35</f>
        <v>3500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20</v>
      </c>
      <c r="D42" s="12">
        <f>C42*2.25</f>
        <v>45</v>
      </c>
      <c r="F42" s="39" t="s">
        <v>78</v>
      </c>
      <c r="G42" s="199">
        <v>42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206</v>
      </c>
      <c r="H44" s="183">
        <v>154005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</v>
      </c>
      <c r="D46" s="12">
        <f>C46*1.5</f>
        <v>3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17</v>
      </c>
      <c r="D49" s="12">
        <f>C49*42</f>
        <v>714</v>
      </c>
      <c r="F49" s="224" t="s">
        <v>85</v>
      </c>
      <c r="G49" s="171">
        <f>H34+H35+H36+H37+H38+H39+H40+H41+G42+H44+H45+H46</f>
        <v>198647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35</v>
      </c>
      <c r="D50" s="12">
        <f>C50*1.5</f>
        <v>52.5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123.5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31207.5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A42A-A3D8-4551-9DF3-EBAB7019BA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665</v>
      </c>
      <c r="D6" s="13">
        <f t="shared" ref="D6:D28" si="1">C6*L6</f>
        <v>506065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20</v>
      </c>
      <c r="D7" s="13">
        <f t="shared" si="1"/>
        <v>15620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</v>
      </c>
      <c r="D9" s="13">
        <f t="shared" si="1"/>
        <v>733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5</v>
      </c>
      <c r="D11" s="13">
        <f t="shared" si="1"/>
        <v>5850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8</v>
      </c>
      <c r="D12" s="48">
        <f t="shared" si="1"/>
        <v>7936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19</v>
      </c>
      <c r="D13" s="48">
        <f t="shared" si="1"/>
        <v>5833</v>
      </c>
      <c r="F13" s="144" t="s">
        <v>36</v>
      </c>
      <c r="G13" s="145"/>
      <c r="H13" s="146">
        <f>D29</f>
        <v>542169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85605.75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456563.25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300+648+654</f>
        <v>1602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542169</v>
      </c>
      <c r="F29" s="167" t="s">
        <v>54</v>
      </c>
      <c r="G29" s="168"/>
      <c r="H29" s="171">
        <f>H15-H16-H17-H18-H19-H20-H22-H23-H24+H26+H27</f>
        <v>454961.25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105</v>
      </c>
      <c r="H34" s="199">
        <f>F34*G34</f>
        <v>105000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99">
        <f>F35*G35</f>
        <v>12000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735</v>
      </c>
      <c r="D37" s="12">
        <f>C37*111</f>
        <v>81585</v>
      </c>
      <c r="F37" s="12">
        <v>100</v>
      </c>
      <c r="G37" s="39">
        <v>14</v>
      </c>
      <c r="H37" s="199">
        <f t="shared" si="2"/>
        <v>1400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</v>
      </c>
      <c r="D42" s="12">
        <f>C42*2.25</f>
        <v>2.25</v>
      </c>
      <c r="F42" s="39" t="s">
        <v>78</v>
      </c>
      <c r="G42" s="199">
        <v>22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5</v>
      </c>
      <c r="D44" s="12">
        <f>C44*120</f>
        <v>600</v>
      </c>
      <c r="F44" s="37" t="s">
        <v>136</v>
      </c>
      <c r="G44" s="76" t="s">
        <v>207</v>
      </c>
      <c r="H44" s="183">
        <v>27108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2</v>
      </c>
      <c r="D45" s="12">
        <f>C45*84</f>
        <v>168</v>
      </c>
      <c r="F45" s="37" t="s">
        <v>136</v>
      </c>
      <c r="G45" s="76" t="s">
        <v>208</v>
      </c>
      <c r="H45" s="183">
        <v>237647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 t="s">
        <v>136</v>
      </c>
      <c r="G46" s="96" t="s">
        <v>209</v>
      </c>
      <c r="H46" s="183">
        <v>70468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5</v>
      </c>
      <c r="D49" s="12">
        <f>C49*42</f>
        <v>210</v>
      </c>
      <c r="F49" s="224" t="s">
        <v>85</v>
      </c>
      <c r="G49" s="171">
        <f>H34+H35+H36+H37+H38+H39+H40+H41+G42+H44+H45+H46</f>
        <v>453795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3</v>
      </c>
      <c r="D50" s="12">
        <f>C50*1.5</f>
        <v>4.5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-1166.25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85605.75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0BCB-E10F-4733-8334-3B0868B2C4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1D35-D37F-4FD8-A108-69794375B7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F3CCC-25E1-4A7E-BFB7-1A2220AACD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FA32B-2EE2-47EE-BBD2-26E5D18ECA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B449F-8887-4E15-A3DC-8C7C9B29B55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3E501-C780-4AB1-A5EA-0813D8EECC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69C8-6467-464F-81EB-939BBE6CD0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B61FD-7AD9-4BBB-A79C-F9133B92AC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5E5F1-C77E-48FF-AE6E-DCEE49D345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CB143-C922-4C41-8A62-9E308512D1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AAF28-F737-458D-A878-5CEAA06A22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AC1D4-6A60-4215-A1B4-C84F6EDFCA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D3D98-64E3-4B2B-83C0-47A40E04C7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9F749-A591-4A95-8C31-13BFDE189EA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46170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8329-3562-4B4F-95FA-353A2CB24A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46170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C9092-8ECF-4A3E-97AD-AF1276CD59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46170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267A5-F845-4B13-BA14-28029FF3F6E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3456-0AF7-4F3D-B76C-3EF7EE9BF85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46171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A5463-C915-4AB0-8841-FC00FE70B7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46171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9854-339D-41BF-8D46-5ACE743E5F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46171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54E7D-671A-43A3-846C-F8B866E0110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EC9CF-ADD9-45EA-BAD8-50C771B668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46172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F44B5-B18A-4B3C-8F21-C15D698F0A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46172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A8AAB-F56F-48D1-B945-3C4A7EC26F0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46172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 NO TRIP</vt:lpstr>
      <vt:lpstr>(14)</vt:lpstr>
      <vt:lpstr>05,14 R1</vt:lpstr>
      <vt:lpstr>05,14 R2 NO TRIP</vt:lpstr>
      <vt:lpstr>05,14 R3</vt:lpstr>
      <vt:lpstr>(15)</vt:lpstr>
      <vt:lpstr>05,15 R1</vt:lpstr>
      <vt:lpstr>05,15 R2</vt:lpstr>
      <vt:lpstr>05,15 R3</vt:lpstr>
      <vt:lpstr>(16)</vt:lpstr>
      <vt:lpstr>05,15 R1 NO TRIP</vt:lpstr>
      <vt:lpstr>05,16 R2</vt:lpstr>
      <vt:lpstr>05,16 R3 NO TRIP</vt:lpstr>
      <vt:lpstr>(18)</vt:lpstr>
      <vt:lpstr>05,18 R1 NO TRIP</vt:lpstr>
      <vt:lpstr>05,18 R2</vt:lpstr>
      <vt:lpstr>05,18 R3</vt:lpstr>
      <vt:lpstr>(19)</vt:lpstr>
      <vt:lpstr>05,19 R1 ORG</vt:lpstr>
      <vt:lpstr>05,19 R1 NEW</vt:lpstr>
      <vt:lpstr>05,19 R1 COLLECTION</vt:lpstr>
      <vt:lpstr>05,19 R2</vt:lpstr>
      <vt:lpstr>05,19 R3</vt:lpstr>
      <vt:lpstr>(20)</vt:lpstr>
      <vt:lpstr>05,20 R1</vt:lpstr>
      <vt:lpstr>05,20 R2</vt:lpstr>
      <vt:lpstr>05,20 R3</vt:lpstr>
      <vt:lpstr>(21)</vt:lpstr>
      <vt:lpstr>05,21 R1</vt:lpstr>
      <vt:lpstr>05,21 R2</vt:lpstr>
      <vt:lpstr>05,21 R3</vt:lpstr>
      <vt:lpstr>(22)</vt:lpstr>
      <vt:lpstr>05,22 R1</vt:lpstr>
      <vt:lpstr>05,22 R1 Collection</vt:lpstr>
      <vt:lpstr>05,22 R2</vt:lpstr>
      <vt:lpstr>05,22 R3 NO TRIP</vt:lpstr>
      <vt:lpstr>(23)</vt:lpstr>
      <vt:lpstr>05,23 R1</vt:lpstr>
      <vt:lpstr>05,23 R2</vt:lpstr>
      <vt:lpstr>05,23 R3</vt:lpstr>
      <vt:lpstr>(25)</vt:lpstr>
      <vt:lpstr>05,25 R1</vt:lpstr>
      <vt:lpstr>05,25 R2</vt:lpstr>
      <vt:lpstr>05,25 R3</vt:lpstr>
      <vt:lpstr>(26)</vt:lpstr>
      <vt:lpstr>05,26 R1</vt:lpstr>
      <vt:lpstr>05,26 R2</vt:lpstr>
      <vt:lpstr>05,26 R3</vt:lpstr>
      <vt:lpstr>(27)</vt:lpstr>
      <vt:lpstr>05,27 R1</vt:lpstr>
      <vt:lpstr>05,27 R2</vt:lpstr>
      <vt:lpstr>05,27 R3</vt:lpstr>
      <vt:lpstr>(28)</vt:lpstr>
      <vt:lpstr>05,28 R1</vt:lpstr>
      <vt:lpstr>05,28 R2</vt:lpstr>
      <vt:lpstr>05,28 R3</vt:lpstr>
      <vt:lpstr>(29)</vt:lpstr>
      <vt:lpstr>05,29 R1</vt:lpstr>
      <vt:lpstr>05,29 R2</vt:lpstr>
      <vt:lpstr>05,29 R3</vt:lpstr>
      <vt:lpstr>(30)</vt:lpstr>
      <vt:lpstr>05,30 R1</vt:lpstr>
      <vt:lpstr>05,30 R2</vt:lpstr>
      <vt:lpstr>05,30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 NO TRIP'!Print_Area</vt:lpstr>
      <vt:lpstr>'05,14 R1'!Print_Area</vt:lpstr>
      <vt:lpstr>'05,14 R2 NO TRIP'!Print_Area</vt:lpstr>
      <vt:lpstr>'05,14 R3'!Print_Area</vt:lpstr>
      <vt:lpstr>'05,15 R1'!Print_Area</vt:lpstr>
      <vt:lpstr>'05,15 R1 NO TRIP'!Print_Area</vt:lpstr>
      <vt:lpstr>'05,15 R2'!Print_Area</vt:lpstr>
      <vt:lpstr>'05,15 R3'!Print_Area</vt:lpstr>
      <vt:lpstr>'05,16 R2'!Print_Area</vt:lpstr>
      <vt:lpstr>'05,16 R3 NO TRIP'!Print_Area</vt:lpstr>
      <vt:lpstr>'05,18 R1 NO TRIP'!Print_Area</vt:lpstr>
      <vt:lpstr>'05,18 R2'!Print_Area</vt:lpstr>
      <vt:lpstr>'05,18 R3'!Print_Area</vt:lpstr>
      <vt:lpstr>'05,19 R1 COLLECTION'!Print_Area</vt:lpstr>
      <vt:lpstr>'05,19 R1 NEW'!Print_Area</vt:lpstr>
      <vt:lpstr>'05,19 R1 ORG'!Print_Area</vt:lpstr>
      <vt:lpstr>'05,19 R2'!Print_Area</vt:lpstr>
      <vt:lpstr>'05,19 R3'!Print_Area</vt:lpstr>
      <vt:lpstr>'05,20 R1'!Print_Area</vt:lpstr>
      <vt:lpstr>'05,20 R2'!Print_Area</vt:lpstr>
      <vt:lpstr>'05,20 R3'!Print_Area</vt:lpstr>
      <vt:lpstr>'05,21 R1'!Print_Area</vt:lpstr>
      <vt:lpstr>'05,21 R2'!Print_Area</vt:lpstr>
      <vt:lpstr>'05,21 R3'!Print_Area</vt:lpstr>
      <vt:lpstr>'05,22 R1'!Print_Area</vt:lpstr>
      <vt:lpstr>'05,22 R1 Collection'!Print_Area</vt:lpstr>
      <vt:lpstr>'05,22 R2'!Print_Area</vt:lpstr>
      <vt:lpstr>'05,22 R3 NO TRIP'!Print_Area</vt:lpstr>
      <vt:lpstr>'05,23 R1'!Print_Area</vt:lpstr>
      <vt:lpstr>'05,23 R2'!Print_Area</vt:lpstr>
      <vt:lpstr>'05,23 R3'!Print_Area</vt:lpstr>
      <vt:lpstr>'05,25 R1'!Print_Area</vt:lpstr>
      <vt:lpstr>'05,25 R2'!Print_Area</vt:lpstr>
      <vt:lpstr>'05,25 R3'!Print_Area</vt:lpstr>
      <vt:lpstr>'05,26 R1'!Print_Area</vt:lpstr>
      <vt:lpstr>'05,26 R2'!Print_Area</vt:lpstr>
      <vt:lpstr>'05,26 R3'!Print_Area</vt:lpstr>
      <vt:lpstr>'05,27 R1'!Print_Area</vt:lpstr>
      <vt:lpstr>'05,27 R2'!Print_Area</vt:lpstr>
      <vt:lpstr>'05,27 R3'!Print_Area</vt:lpstr>
      <vt:lpstr>'05,28 R1'!Print_Area</vt:lpstr>
      <vt:lpstr>'05,28 R2'!Print_Area</vt:lpstr>
      <vt:lpstr>'05,28 R3'!Print_Area</vt:lpstr>
      <vt:lpstr>'05,29 R1'!Print_Area</vt:lpstr>
      <vt:lpstr>'05,29 R2'!Print_Area</vt:lpstr>
      <vt:lpstr>'05,29 R3'!Print_Area</vt:lpstr>
      <vt:lpstr>'05,30 R1'!Print_Area</vt:lpstr>
      <vt:lpstr>'05,30 R2'!Print_Area</vt:lpstr>
      <vt:lpstr>'05,30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2026-05-25T00:35:38Z</cp:lastPrinted>
  <dcterms:created xsi:type="dcterms:W3CDTF">2024-09-01T23:36:50Z</dcterms:created>
  <dcterms:modified xsi:type="dcterms:W3CDTF">2026-05-25T02:18:39Z</dcterms:modified>
</cp:coreProperties>
</file>