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6F6242A-4C33-4917-815F-8D9B7523DFF8}" xr6:coauthVersionLast="45" xr6:coauthVersionMax="47" xr10:uidLastSave="{00000000-0000-0000-0000-000000000000}"/>
  <bookViews>
    <workbookView xWindow="-120" yWindow="-120" windowWidth="29040" windowHeight="15840" firstSheet="36" activeTab="45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6">'05,15 R2'!$A$1:$J$60</definedName>
    <definedName name="_xlnm.Print_Area" localSheetId="47">'05,15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71" l="1"/>
  <c r="H16" i="2059" l="1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<sst xmlns="http://schemas.openxmlformats.org/spreadsheetml/2006/main" count="6487" uniqueCount="182">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</sst>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1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704</v>
      </c>
      <c r="D6" s="13">
        <f t="shared" ref="D6:D28" si="1">C6*L6</f>
        <v>535744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</v>
      </c>
      <c r="D9" s="13">
        <f t="shared" si="1"/>
        <v>2199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25</v>
      </c>
      <c r="D13" s="48">
        <f t="shared" si="1"/>
        <v>7675</v>
      </c>
      <c r="F13" s="155" t="s">
        <v>36</v>
      </c>
      <c r="G13" s="156"/>
      <c r="H13" s="157">
        <f>D29</f>
        <v>545651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3</v>
      </c>
      <c r="D14" s="31">
        <f t="shared" si="1"/>
        <v>33</v>
      </c>
      <c r="F14" s="160" t="s">
        <v>38</v>
      </c>
      <c r="G14" s="161"/>
      <c r="H14" s="162">
        <f>D54</f>
        <v>100678.5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444972.5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3240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88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545651</v>
      </c>
      <c r="F29" s="178" t="s">
        <v>54</v>
      </c>
      <c r="G29" s="179"/>
      <c r="H29" s="182">
        <f>H15-H16-H17-H18-H19-H20-H22-H23-H24+H26+H27+H28</f>
        <v>441732.5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10">
        <f t="shared" ref="H34:H39" si="2">F34*G34</f>
        <v>315000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10">
        <f t="shared" si="2"/>
        <v>126000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86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4</v>
      </c>
      <c r="D46" s="12">
        <f>C46*1.5</f>
        <v>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441756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135</v>
      </c>
      <c r="G51" s="251">
        <f>G49-H29</f>
        <v>23.5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292</v>
      </c>
      <c r="D6" s="13">
        <f t="shared" ref="D6:D28" si="1">C6*L6</f>
        <v>222212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236796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38</v>
      </c>
      <c r="G14" s="161"/>
      <c r="H14" s="162">
        <f>D54</f>
        <v>38545.5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198250.5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1518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1</v>
      </c>
      <c r="D28" s="48">
        <f t="shared" si="1"/>
        <v>811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236796</v>
      </c>
      <c r="F29" s="178" t="s">
        <v>54</v>
      </c>
      <c r="G29" s="179"/>
      <c r="H29" s="182">
        <f>H15-H16-H17-H18-H19-H20-H22-H23-H24+H26+H27</f>
        <v>196732.5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10">
        <f>F34*G34</f>
        <v>166000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10">
        <f t="shared" ref="H35:H39" si="2"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>
        <v>50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8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12</v>
      </c>
      <c r="D49" s="12">
        <f>C49*42</f>
        <v>504</v>
      </c>
      <c r="F49" s="235" t="s">
        <v>85</v>
      </c>
      <c r="G49" s="182">
        <f>H34+H35+H36+H37+H38+H39+H40+H41+G42+H44+H45+H46</f>
        <v>196550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16</v>
      </c>
      <c r="D50" s="12">
        <f>C50*1.5</f>
        <v>24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-182.5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530</v>
      </c>
      <c r="D6" s="13">
        <f t="shared" ref="D6:D28" si="1">C6*L6</f>
        <v>403330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56</v>
      </c>
      <c r="D9" s="13">
        <f t="shared" si="1"/>
        <v>41048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19</v>
      </c>
      <c r="D13" s="48">
        <f t="shared" si="1"/>
        <v>5833</v>
      </c>
      <c r="F13" s="155" t="s">
        <v>36</v>
      </c>
      <c r="G13" s="156"/>
      <c r="H13" s="157">
        <f>D29</f>
        <v>456978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68901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388077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>
        <f>978+1080+708</f>
        <v>2766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456978</v>
      </c>
      <c r="F29" s="178" t="s">
        <v>54</v>
      </c>
      <c r="G29" s="179"/>
      <c r="H29" s="182">
        <f>H15-H16-H17-H18-H19-H20-H22-H23-H24+H26+H27</f>
        <v>385311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10">
        <f>F35*G35</f>
        <v>31500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10">
        <f t="shared" si="2"/>
        <v>4600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94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94">
        <v>105524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4">
        <v>118301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386169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858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9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786</v>
      </c>
      <c r="D6" s="13">
        <f t="shared" ref="D6:D28" si="1">C6*L6</f>
        <v>598146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15+2</f>
        <v>17</v>
      </c>
      <c r="D12" s="48">
        <f t="shared" si="1"/>
        <v>16864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635011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84996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2</v>
      </c>
      <c r="D15" s="31">
        <f t="shared" si="1"/>
        <v>1240</v>
      </c>
      <c r="F15" s="165" t="s">
        <v>39</v>
      </c>
      <c r="G15" s="156"/>
      <c r="H15" s="166">
        <f>H13-H14</f>
        <v>550015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9">
        <f>2694+300+522</f>
        <v>3516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9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635011</v>
      </c>
      <c r="F29" s="178" t="s">
        <v>54</v>
      </c>
      <c r="G29" s="179"/>
      <c r="H29" s="182">
        <f>H15-H16-H17-H18-H19-H20-H22-H23-H24+H26+H27</f>
        <v>546499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10">
        <f>F34*G34</f>
        <v>182000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0">
        <f>F35*G35</f>
        <v>29500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10">
        <f t="shared" si="2"/>
        <v>1400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94">
        <v>296674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94">
        <v>32658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94">
        <v>4250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14</v>
      </c>
      <c r="D49" s="12">
        <f>C49*42</f>
        <v>588</v>
      </c>
      <c r="F49" s="235" t="s">
        <v>85</v>
      </c>
      <c r="G49" s="182">
        <f>H34+H35+H36+H37+H38+H39+H40+H41+G42+H44+H45+H46</f>
        <v>546483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140</v>
      </c>
      <c r="G51" s="258">
        <f>G49-H29</f>
        <v>-16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25</v>
      </c>
      <c r="D9" s="13">
        <f t="shared" si="1"/>
        <v>18325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290296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23</v>
      </c>
      <c r="D14" s="31">
        <f t="shared" si="1"/>
        <v>253</v>
      </c>
      <c r="F14" s="160" t="s">
        <v>38</v>
      </c>
      <c r="G14" s="161"/>
      <c r="H14" s="162">
        <f>D54</f>
        <v>42017.25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248278.75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290296</v>
      </c>
      <c r="F29" s="178" t="s">
        <v>54</v>
      </c>
      <c r="G29" s="179"/>
      <c r="H29" s="182">
        <f>H15-H16-H17-H18-H19-H20-H22-H23-H24+H26+H27+H28</f>
        <v>248078.75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10">
        <f t="shared" ref="H34:H39" si="2">F34*G34</f>
        <v>131000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10">
        <f t="shared" si="2"/>
        <v>37000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0">
        <v>45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94">
        <v>65000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94">
        <v>2600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94">
        <v>9750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250145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142</v>
      </c>
      <c r="G51" s="251">
        <f>G49-H29</f>
        <v>2066.25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5</v>
      </c>
      <c r="D7" s="13">
        <f t="shared" si="1"/>
        <v>3905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21</v>
      </c>
      <c r="D9" s="13">
        <f t="shared" si="1"/>
        <v>15393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285008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38</v>
      </c>
      <c r="G14" s="161"/>
      <c r="H14" s="162">
        <f>D54</f>
        <v>42628.5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242379.5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285008</v>
      </c>
      <c r="F29" s="178" t="s">
        <v>54</v>
      </c>
      <c r="G29" s="179"/>
      <c r="H29" s="182">
        <f>H15-H16-H17-H18-H19-H20-H22-H23-H24+H26+H27</f>
        <v>241083.5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10">
        <f>F34*G34</f>
        <v>221000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10">
        <f t="shared" ref="H35:H39" si="2">F35*G35</f>
        <v>18500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67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239857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3</v>
      </c>
      <c r="D50" s="12">
        <f>C50*1.5</f>
        <v>4.5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-1226.5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484</v>
      </c>
      <c r="D6" s="13">
        <f t="shared" ref="D6:D28" si="1">C6*L6</f>
        <v>368324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16</v>
      </c>
      <c r="D13" s="48">
        <f t="shared" si="1"/>
        <v>4912</v>
      </c>
      <c r="F13" s="155" t="s">
        <v>36</v>
      </c>
      <c r="G13" s="156"/>
      <c r="H13" s="157">
        <f>D29</f>
        <v>426537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63285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363252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1296+300+732</f>
        <v>2328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426537</v>
      </c>
      <c r="F29" s="178" t="s">
        <v>54</v>
      </c>
      <c r="G29" s="179"/>
      <c r="H29" s="182">
        <f>H15-H16-H17-H18-H19-H20-H22-H23-H24+H26+H27</f>
        <v>360874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10">
        <f>F34*G34</f>
        <v>177000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10">
        <f>F35*G35</f>
        <v>100500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10">
        <f t="shared" si="2"/>
        <v>5100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10">
        <f t="shared" si="2"/>
        <v>600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101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94">
        <v>79565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362866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1992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458</v>
      </c>
      <c r="D6" s="13">
        <f t="shared" ref="D6:D28" si="1">C6*L6</f>
        <v>348538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108</v>
      </c>
      <c r="D9" s="13">
        <f t="shared" si="1"/>
        <v>79164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7</v>
      </c>
      <c r="D10" s="13">
        <f t="shared" si="1"/>
        <v>7224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6+5+2</f>
        <v>13</v>
      </c>
      <c r="D12" s="48">
        <f t="shared" si="1"/>
        <v>12896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470610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38</v>
      </c>
      <c r="G14" s="161"/>
      <c r="H14" s="162">
        <f>D54</f>
        <v>69966.75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400643.25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9">
        <v>2682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92">
        <v>92804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94">
        <v>83980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8</v>
      </c>
      <c r="D28" s="48">
        <f t="shared" si="1"/>
        <v>6488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470610</v>
      </c>
      <c r="F29" s="178" t="s">
        <v>54</v>
      </c>
      <c r="G29" s="179"/>
      <c r="H29" s="182">
        <f>H15-H16-H17-H18-H19-H20-H22-H23-H24+H26+H27+H28</f>
        <v>388937.25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10">
        <f t="shared" ref="H34:H39" si="2">F34*G34</f>
        <v>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0">
        <f t="shared" si="2"/>
        <v>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94">
        <v>294438.25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94">
        <v>83980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17</v>
      </c>
      <c r="D46" s="12">
        <f>C46*1.5</f>
        <v>25.5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385418.25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-3519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414</v>
      </c>
      <c r="D6" s="13">
        <f t="shared" ref="D6:D28" si="1">C6*L6</f>
        <v>315054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59</v>
      </c>
      <c r="D9" s="13">
        <f t="shared" si="1"/>
        <v>43247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371226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57882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313344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2676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371226</v>
      </c>
      <c r="F29" s="178" t="s">
        <v>54</v>
      </c>
      <c r="G29" s="179"/>
      <c r="H29" s="182">
        <f>H15-H16-H17-H18-H19-H20-H22-H23-H24+H26+H27</f>
        <v>310668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10">
        <f>F34*G34</f>
        <v>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0">
        <f t="shared" ref="H35:H39" si="2">F35*G35</f>
        <v>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94">
        <v>159300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94">
        <v>128857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4</v>
      </c>
      <c r="D49" s="12">
        <f>C49*42</f>
        <v>168</v>
      </c>
      <c r="F49" s="235" t="s">
        <v>85</v>
      </c>
      <c r="G49" s="182">
        <f>H34+H35+H36+H37+H38+H39+H40+H41+G42+H44+H45+H46</f>
        <v>311457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11</v>
      </c>
      <c r="D50" s="12">
        <f>C50*1.5</f>
        <v>16.5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789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542</v>
      </c>
      <c r="D6" s="13">
        <f t="shared" ref="D6:D28" si="1">C6*L6</f>
        <v>412462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72</v>
      </c>
      <c r="D9" s="13">
        <f t="shared" si="1"/>
        <v>52776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21</v>
      </c>
      <c r="D13" s="48">
        <f t="shared" si="1"/>
        <v>6447</v>
      </c>
      <c r="F13" s="155" t="s">
        <v>36</v>
      </c>
      <c r="G13" s="156"/>
      <c r="H13" s="157">
        <f>D29</f>
        <v>518703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77449.5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5+5</f>
        <v>10</v>
      </c>
      <c r="D15" s="31">
        <f t="shared" si="1"/>
        <v>6200</v>
      </c>
      <c r="F15" s="165" t="s">
        <v>39</v>
      </c>
      <c r="G15" s="156"/>
      <c r="H15" s="166">
        <f>H13-H14</f>
        <v>441253.5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69">
        <f>612+1656+1092</f>
        <v>3360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518703</v>
      </c>
      <c r="F29" s="178" t="s">
        <v>54</v>
      </c>
      <c r="G29" s="179"/>
      <c r="H29" s="182">
        <f>H15-H16-H17-H18-H19-H20-H22-H23-H24+H26+H27</f>
        <v>437893.5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10">
        <f>F34*G34</f>
        <v>61000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0">
        <f>F35*G35</f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94">
        <v>61578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94">
        <v>193355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94">
        <v>118134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437975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253</v>
      </c>
      <c r="D6" s="13">
        <f t="shared" ref="D6:D28" si="1">C6*L6</f>
        <v>192533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67</v>
      </c>
      <c r="D8" s="13">
        <f t="shared" si="1"/>
        <v>73231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22</v>
      </c>
      <c r="D9" s="13">
        <f t="shared" si="1"/>
        <v>16126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4</v>
      </c>
      <c r="D10" s="13">
        <f t="shared" si="1"/>
        <v>4128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3+1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302093.91666666669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18</v>
      </c>
      <c r="D14" s="31">
        <f t="shared" si="1"/>
        <v>198</v>
      </c>
      <c r="F14" s="160" t="s">
        <v>38</v>
      </c>
      <c r="G14" s="161"/>
      <c r="H14" s="162">
        <f>D54</f>
        <v>40819.5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1+1</f>
        <v>2</v>
      </c>
      <c r="D15" s="31">
        <f t="shared" si="1"/>
        <v>1240</v>
      </c>
      <c r="F15" s="165" t="s">
        <v>39</v>
      </c>
      <c r="G15" s="156"/>
      <c r="H15" s="166">
        <f>H13-H14</f>
        <v>261274.41666666669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92">
        <v>70631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161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302093.91666666669</v>
      </c>
      <c r="F29" s="178" t="s">
        <v>54</v>
      </c>
      <c r="G29" s="179"/>
      <c r="H29" s="182">
        <f>H15-H16-H17-H18-H19-H20-H22-H23-H24+H26+H27+H28</f>
        <v>190643.41666666669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10">
        <f t="shared" ref="H34:H39" si="2">F34*G34</f>
        <v>138000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10">
        <f t="shared" si="2"/>
        <v>36000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10">
        <f t="shared" si="2"/>
        <v>700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117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94">
        <v>10000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7230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192287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1643.5833333333139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368</v>
      </c>
      <c r="D6" s="13">
        <f t="shared" ref="D6:D28" si="1">C6*L6</f>
        <v>280048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54</v>
      </c>
      <c r="D9" s="13">
        <f t="shared" si="1"/>
        <v>39582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331431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48594.75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282836.25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2076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331431</v>
      </c>
      <c r="F29" s="178" t="s">
        <v>54</v>
      </c>
      <c r="G29" s="179"/>
      <c r="H29" s="182">
        <f>H15-H16-H17-H18-H19-H20-H22-H23-H24+H26+H27</f>
        <v>280760.25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10">
        <f>F34*G34</f>
        <v>227000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0">
        <f t="shared" ref="H35:H39" si="2">F35*G35</f>
        <v>53500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10</v>
      </c>
      <c r="D49" s="12">
        <f>C49*42</f>
        <v>420</v>
      </c>
      <c r="F49" s="235" t="s">
        <v>85</v>
      </c>
      <c r="G49" s="182">
        <f>H34+H35+H36+H37+H38+H39+H40+H41+G42+H44+H45+H46</f>
        <v>280778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17.75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331</v>
      </c>
      <c r="D6" s="13">
        <f t="shared" ref="D6:D28" si="1">C6*L6</f>
        <v>251891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6</v>
      </c>
      <c r="D10" s="13">
        <f t="shared" si="1"/>
        <v>6192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11</v>
      </c>
      <c r="D13" s="48">
        <f t="shared" si="1"/>
        <v>3377</v>
      </c>
      <c r="F13" s="155" t="s">
        <v>36</v>
      </c>
      <c r="G13" s="156"/>
      <c r="H13" s="157">
        <f>D29</f>
        <v>324737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15</v>
      </c>
      <c r="D14" s="31">
        <f t="shared" si="1"/>
        <v>165</v>
      </c>
      <c r="F14" s="160" t="s">
        <v>38</v>
      </c>
      <c r="G14" s="161"/>
      <c r="H14" s="162">
        <f>D54</f>
        <v>48459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276278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69">
        <f>690+612+888</f>
        <v>2190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324737</v>
      </c>
      <c r="F29" s="178" t="s">
        <v>54</v>
      </c>
      <c r="G29" s="179"/>
      <c r="H29" s="182">
        <f>H15-H16-H17-H18-H19-H20-H22-H23-H24+H26+H27</f>
        <v>274038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>F35*G35</f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2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94">
        <v>79238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94">
        <v>68148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273988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-50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467</v>
      </c>
      <c r="D6" s="13">
        <f t="shared" ref="D6:D28" si="1">C6*L6</f>
        <v>355387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48</v>
      </c>
      <c r="D7" s="13">
        <f t="shared" si="1"/>
        <v>37488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405449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>C14*L14</f>
        <v>44</v>
      </c>
      <c r="F14" s="160" t="s">
        <v>38</v>
      </c>
      <c r="G14" s="161"/>
      <c r="H14" s="162">
        <f>D54</f>
        <v>70817.25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334631.75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405449</v>
      </c>
      <c r="F29" s="178" t="s">
        <v>54</v>
      </c>
      <c r="G29" s="179"/>
      <c r="H29" s="182">
        <f>H15-H16-H17-H18-H19-H20-H22-H23-H24+H26+H27+H28</f>
        <v>331751.75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10">
        <f t="shared" ref="H34:H39" si="2">F34*G34</f>
        <v>11000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10">
        <f t="shared" si="2"/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103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94">
        <v>306035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94">
        <v>10505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69</v>
      </c>
      <c r="D49" s="12">
        <f>C49*42</f>
        <v>2898</v>
      </c>
      <c r="F49" s="235" t="s">
        <v>85</v>
      </c>
      <c r="G49" s="182">
        <f>H34+H35+H36+H37+H38+H39+H40+H41+G42+H44+H45+H46</f>
        <v>331463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-288.75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94">
        <v>70631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1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70631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10">
        <f t="shared" ref="H34:H39" si="2">F34*G34</f>
        <v>70000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1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70631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283</v>
      </c>
      <c r="D6" s="13">
        <f t="shared" ref="D6:D28" si="1">C6*L6</f>
        <v>215363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23</v>
      </c>
      <c r="D9" s="13">
        <f t="shared" si="1"/>
        <v>16859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242941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33151.5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209789.5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242941</v>
      </c>
      <c r="F29" s="178" t="s">
        <v>54</v>
      </c>
      <c r="G29" s="179"/>
      <c r="H29" s="182">
        <f>H15-H16-H17-H18-H19-H20-H22-H23-H24+H26+H27</f>
        <v>209789.5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10">
        <f>F34*G34</f>
        <v>179000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0">
        <f t="shared" ref="H35:H39" si="2">F35*G35</f>
        <v>22000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10">
        <f t="shared" si="2"/>
        <v>4500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295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205795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-3994.5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399</v>
      </c>
      <c r="D6" s="13">
        <f t="shared" ref="D6:D28" si="1">C6*L6</f>
        <v>303639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42</v>
      </c>
      <c r="D7" s="13">
        <f t="shared" si="1"/>
        <v>32802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17</v>
      </c>
      <c r="D13" s="48">
        <f t="shared" si="1"/>
        <v>5219</v>
      </c>
      <c r="F13" s="155" t="s">
        <v>36</v>
      </c>
      <c r="G13" s="156"/>
      <c r="H13" s="157">
        <f>D29</f>
        <v>355053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19</v>
      </c>
      <c r="D14" s="31">
        <f t="shared" si="1"/>
        <v>209</v>
      </c>
      <c r="F14" s="160" t="s">
        <v>38</v>
      </c>
      <c r="G14" s="161"/>
      <c r="H14" s="162">
        <f>D54</f>
        <v>51516.75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3+3</f>
        <v>6</v>
      </c>
      <c r="D15" s="31">
        <f t="shared" si="1"/>
        <v>3720</v>
      </c>
      <c r="F15" s="165" t="s">
        <v>39</v>
      </c>
      <c r="G15" s="156"/>
      <c r="H15" s="166">
        <f>H13-H14</f>
        <v>303536.25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1044+648+336</f>
        <v>2028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355053</v>
      </c>
      <c r="F29" s="178" t="s">
        <v>54</v>
      </c>
      <c r="G29" s="179"/>
      <c r="H29" s="182">
        <f>H15-H16-H17-H18-H19-H20-H22-H23-H24+H26+H27</f>
        <v>301508.25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10">
        <f>F34*G34</f>
        <v>90000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10">
        <f>F35*G35</f>
        <v>19000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10">
        <f t="shared" si="2"/>
        <v>4900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94">
        <v>116753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94">
        <v>70468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9</v>
      </c>
      <c r="D46" s="12">
        <f>C46*1.5</f>
        <v>13.5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301499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12</v>
      </c>
      <c r="D50" s="12">
        <f>C50*1.5</f>
        <v>18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-9.25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298</v>
      </c>
      <c r="D6" s="13">
        <f t="shared" ref="D6:D28" si="1">C6*L6</f>
        <v>226778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24</v>
      </c>
      <c r="D9" s="13">
        <f t="shared" si="1"/>
        <v>17592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257721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9</v>
      </c>
      <c r="D14" s="31">
        <f t="shared" si="1"/>
        <v>99</v>
      </c>
      <c r="F14" s="160" t="s">
        <v>38</v>
      </c>
      <c r="G14" s="161"/>
      <c r="H14" s="162">
        <f>D54</f>
        <v>24684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233037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69">
        <v>1140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257721</v>
      </c>
      <c r="F29" s="178" t="s">
        <v>54</v>
      </c>
      <c r="G29" s="179"/>
      <c r="H29" s="182">
        <f>H15-H16-H17-H18-H19-H20-H22-H23-H24+H26+H27</f>
        <v>231897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10">
        <f>F34*G34</f>
        <v>48000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10">
        <f t="shared" ref="H35:H39" si="2">F35*G35</f>
        <v>42000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24</v>
      </c>
      <c r="D42" s="12">
        <f>C42*2.25</f>
        <v>54</v>
      </c>
      <c r="F42" s="39" t="s">
        <v>78</v>
      </c>
      <c r="G42" s="210">
        <v>30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94">
        <v>144012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6</v>
      </c>
      <c r="D46" s="12">
        <f>C46*1.5</f>
        <v>9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7</v>
      </c>
      <c r="D49" s="12">
        <f>C49*42</f>
        <v>294</v>
      </c>
      <c r="F49" s="235" t="s">
        <v>85</v>
      </c>
      <c r="G49" s="182">
        <f>H34+H35+H36+H37+H38+H39+H40+H41+G42+H44+H45+H46</f>
        <v>234242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10</v>
      </c>
      <c r="D50" s="12">
        <f>C50*1.5</f>
        <v>15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2345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471</v>
      </c>
      <c r="D6" s="13">
        <f t="shared" ref="D6:D28" si="1">C6*L6</f>
        <v>358431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40</v>
      </c>
      <c r="D9" s="13">
        <f t="shared" si="1"/>
        <v>29320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411243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62579.25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348663.75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888+300+1356</f>
        <v>2544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411243</v>
      </c>
      <c r="F29" s="178" t="s">
        <v>54</v>
      </c>
      <c r="G29" s="179"/>
      <c r="H29" s="182">
        <f>H15-H16-H17-H18-H19-H20-H22-H23-H24+H26+H27</f>
        <v>346119.75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10">
        <f>F34*G34</f>
        <v>202000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0">
        <f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10">
        <f t="shared" si="2"/>
        <v>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84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94">
        <v>95996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76"/>
      <c r="H45" s="194">
        <v>18000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34</v>
      </c>
      <c r="D49" s="12">
        <f>C49*42</f>
        <v>1428</v>
      </c>
      <c r="F49" s="235" t="s">
        <v>85</v>
      </c>
      <c r="G49" s="182">
        <f>H34+H35+H36+H37+H38+H39+H40+H41+G42+H44+H45+H46</f>
        <v>346730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610.25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365</v>
      </c>
      <c r="D6" s="13">
        <f t="shared" ref="D6:D28" si="1">C6*L6</f>
        <v>277765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30</v>
      </c>
      <c r="D9" s="13">
        <f t="shared" si="1"/>
        <v>21990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</f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</v>
      </c>
      <c r="D13" s="48">
        <f t="shared" si="1"/>
        <v>307</v>
      </c>
      <c r="F13" s="155" t="s">
        <v>36</v>
      </c>
      <c r="G13" s="156"/>
      <c r="H13" s="157">
        <f>D29</f>
        <v>312686.83333333331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42262.5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270424.33333333331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312686.83333333331</v>
      </c>
      <c r="F29" s="178" t="s">
        <v>54</v>
      </c>
      <c r="G29" s="179"/>
      <c r="H29" s="182">
        <f>H15-H16-H17-H18-H19-H20-H22-H23-H24+H26+H27+H28</f>
        <v>270424.33333333331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10">
        <f t="shared" ref="H34:H39" si="2">F34*G34</f>
        <v>136000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10">
        <f t="shared" si="2"/>
        <v>54000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10">
        <f t="shared" si="2"/>
        <v>6800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94">
        <v>64500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9016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270377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164</v>
      </c>
      <c r="G51" s="258">
        <f>G49-H29</f>
        <v>-47.333333333313931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375</v>
      </c>
      <c r="D6" s="13">
        <f t="shared" ref="D6:D28" si="1">C6*L6</f>
        <v>285375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130</v>
      </c>
      <c r="D9" s="13">
        <f t="shared" si="1"/>
        <v>95290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385347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7</v>
      </c>
      <c r="D14" s="31">
        <f t="shared" si="1"/>
        <v>77</v>
      </c>
      <c r="F14" s="160" t="s">
        <v>38</v>
      </c>
      <c r="G14" s="161"/>
      <c r="H14" s="162">
        <f>D54</f>
        <v>57529.5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327817.5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385347</v>
      </c>
      <c r="F29" s="178" t="s">
        <v>54</v>
      </c>
      <c r="G29" s="179"/>
      <c r="H29" s="182">
        <f>H15-H16-H17-H18-H19-H20-H22-H23-H24+H26+H27</f>
        <v>324937.5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10">
        <f>F34*G34</f>
        <v>203000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10">
        <f t="shared" ref="H35:H39" si="2">F35*G35</f>
        <v>70500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10">
        <f t="shared" si="2"/>
        <v>31800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10">
        <f t="shared" si="2"/>
        <v>20200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</v>
      </c>
      <c r="D49" s="12">
        <f>C49*42</f>
        <v>126</v>
      </c>
      <c r="F49" s="235" t="s">
        <v>85</v>
      </c>
      <c r="G49" s="182">
        <f>H34+H35+H36+H37+H38+H39+H40+H41+G42+H44+H45+H46</f>
        <v>325700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762.5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295</v>
      </c>
      <c r="D6" s="13">
        <f t="shared" ref="D6:D28" si="1">C6*L6</f>
        <v>224495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95</v>
      </c>
      <c r="D9" s="13">
        <f t="shared" si="1"/>
        <v>69635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4</v>
      </c>
      <c r="D13" s="48">
        <f t="shared" si="1"/>
        <v>1228</v>
      </c>
      <c r="F13" s="155" t="s">
        <v>36</v>
      </c>
      <c r="G13" s="156"/>
      <c r="H13" s="157">
        <f>D29</f>
        <v>306343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</v>
      </c>
      <c r="D14" s="31">
        <f t="shared" si="1"/>
        <v>22</v>
      </c>
      <c r="F14" s="160" t="s">
        <v>38</v>
      </c>
      <c r="G14" s="161"/>
      <c r="H14" s="162">
        <f>D54</f>
        <v>51729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254614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69">
        <f>300+612+420+300</f>
        <v>1632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306343</v>
      </c>
      <c r="F29" s="178" t="s">
        <v>54</v>
      </c>
      <c r="G29" s="179"/>
      <c r="H29" s="182">
        <f>H15-H16-H17-H18-H19-H20-H22-H23-H24+H26+H27</f>
        <v>252932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10">
        <f>F34*G34</f>
        <v>88000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10">
        <f>F35*G35</f>
        <v>51000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10">
        <f t="shared" si="2"/>
        <v>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94">
        <v>65537.5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94">
        <v>45415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255583.5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2651.5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352</v>
      </c>
      <c r="D6" s="13">
        <f t="shared" ref="D6:D28" si="1">C6*L6</f>
        <v>267872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5</v>
      </c>
      <c r="D8" s="13">
        <f t="shared" si="1"/>
        <v>5465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14</v>
      </c>
      <c r="D9" s="13">
        <f t="shared" si="1"/>
        <v>10262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302421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42444.75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259976.25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2094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>
        <v>102.46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302421</v>
      </c>
      <c r="F29" s="178" t="s">
        <v>54</v>
      </c>
      <c r="G29" s="179"/>
      <c r="H29" s="182">
        <f>H15-H16-H17-H18-H19-H20-H22-H23-H24+H26+H27+H28</f>
        <v>257779.79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10">
        <f t="shared" ref="H34:H39" si="2">F34*G34</f>
        <v>25000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10">
        <f t="shared" si="2"/>
        <v>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94">
        <v>231190.25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20</v>
      </c>
      <c r="D46" s="12">
        <f>C46*1.5</f>
        <v>30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6</v>
      </c>
      <c r="D49" s="12">
        <f>C49*42</f>
        <v>252</v>
      </c>
      <c r="F49" s="235" t="s">
        <v>85</v>
      </c>
      <c r="G49" s="182">
        <f>H34+H35+H36+H37+H38+H39+H40+H41+G42+H44+H45+H46</f>
        <v>257590.25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-189.54000000000815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310</v>
      </c>
      <c r="D6" s="13">
        <f t="shared" ref="D6:D28" si="1">C6*L6</f>
        <v>235910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60</v>
      </c>
      <c r="D9" s="13">
        <f t="shared" si="1"/>
        <v>43980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8</v>
      </c>
      <c r="D13" s="48">
        <f t="shared" si="1"/>
        <v>2456</v>
      </c>
      <c r="F13" s="155" t="s">
        <v>36</v>
      </c>
      <c r="G13" s="156"/>
      <c r="H13" s="157">
        <f>D29</f>
        <v>288065.5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38</v>
      </c>
      <c r="G14" s="161"/>
      <c r="H14" s="162">
        <f>D54</f>
        <v>41509.5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246556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1446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>
        <v>12</v>
      </c>
      <c r="D23" s="48">
        <f t="shared" si="1"/>
        <v>474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288065.5</v>
      </c>
      <c r="F29" s="178" t="s">
        <v>54</v>
      </c>
      <c r="G29" s="179"/>
      <c r="H29" s="182">
        <f>H15-H16-H17-H18-H19-H20-H22-H23-H24+H26+H27</f>
        <v>245110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10">
        <f>F34*G34</f>
        <v>84000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0">
        <f t="shared" ref="H35:H39" si="2">F35*G35</f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0">
        <v>87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94">
        <v>157141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244228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169</v>
      </c>
      <c r="G51" s="258">
        <f>G49-H29</f>
        <v>-882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527</v>
      </c>
      <c r="D6" s="13">
        <f t="shared" ref="D6:D28" si="1">C6*L6</f>
        <v>401047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19</v>
      </c>
      <c r="D7" s="13">
        <f t="shared" si="1"/>
        <v>14839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69</v>
      </c>
      <c r="D9" s="13">
        <f t="shared" si="1"/>
        <v>50577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5</v>
      </c>
      <c r="D10" s="13">
        <f t="shared" si="1"/>
        <v>5160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485304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7</v>
      </c>
      <c r="D14" s="31">
        <f t="shared" si="1"/>
        <v>77</v>
      </c>
      <c r="F14" s="160" t="s">
        <v>38</v>
      </c>
      <c r="G14" s="161"/>
      <c r="H14" s="162">
        <f>D54</f>
        <v>77406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10</v>
      </c>
      <c r="D15" s="31">
        <f t="shared" si="1"/>
        <v>6200</v>
      </c>
      <c r="F15" s="165" t="s">
        <v>39</v>
      </c>
      <c r="G15" s="156"/>
      <c r="H15" s="166">
        <f>H13-H14</f>
        <v>407898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f>600+2682+384</f>
        <v>3666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485304</v>
      </c>
      <c r="F29" s="178" t="s">
        <v>54</v>
      </c>
      <c r="G29" s="179"/>
      <c r="H29" s="182">
        <f>H15-H16-H17-H18-H19-H20-H22-H23-H24+H26+H27</f>
        <v>404232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10">
        <f>F34*G34</f>
        <v>46000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>F35*G35</f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94">
        <v>60416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94">
        <v>295595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19</v>
      </c>
      <c r="D46" s="12">
        <f>C46*1.5</f>
        <v>28.5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5</v>
      </c>
      <c r="D49" s="12">
        <f>C49*42</f>
        <v>210</v>
      </c>
      <c r="F49" s="235" t="s">
        <v>85</v>
      </c>
      <c r="G49" s="182">
        <f>H34+H35+H36+H37+H38+H39+H40+H41+G42+H44+H45+H46</f>
        <v>402716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11</v>
      </c>
      <c r="D50" s="12">
        <f>C50*1.5</f>
        <v>16.5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172</v>
      </c>
      <c r="G51" s="258">
        <f>G49-H29</f>
        <v>-1516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321</v>
      </c>
      <c r="D6" s="13">
        <f t="shared" ref="D6:D28" si="1">C6*L6</f>
        <v>244281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62</v>
      </c>
      <c r="D8" s="13">
        <f t="shared" si="1"/>
        <v>67766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24</v>
      </c>
      <c r="D9" s="13">
        <f t="shared" si="1"/>
        <v>17592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346170.83333333331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46051.5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300119.33333333331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92">
        <v>65678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346170.83333333331</v>
      </c>
      <c r="F29" s="178" t="s">
        <v>54</v>
      </c>
      <c r="G29" s="179"/>
      <c r="H29" s="182">
        <f>H15-H16-H17-H18-H19-H20-H22-H23-H24+H26+H27+H28</f>
        <v>234441.33333333331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210">
        <f t="shared" ref="H34:H39" si="2">F34*G34</f>
        <v>181000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210">
        <f t="shared" si="2"/>
        <v>53000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45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65</v>
      </c>
      <c r="D44" s="12">
        <f>C44*120</f>
        <v>7800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13</v>
      </c>
      <c r="D46" s="12">
        <f>C46*1.5</f>
        <v>19.5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234445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9</v>
      </c>
      <c r="D50" s="12">
        <f>C50*1.5</f>
        <v>13.5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173</v>
      </c>
      <c r="G51" s="251">
        <f>G49-H29</f>
        <v>3.6666666666860692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343</v>
      </c>
      <c r="D6" s="13">
        <f t="shared" ref="D6:D28" si="1">C6*L6</f>
        <v>261023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274505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16</v>
      </c>
      <c r="D14" s="31">
        <f t="shared" si="1"/>
        <v>176</v>
      </c>
      <c r="F14" s="160" t="s">
        <v>38</v>
      </c>
      <c r="G14" s="161"/>
      <c r="H14" s="162">
        <f>D54</f>
        <v>40630.5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233874.5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9">
        <v>1944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274505</v>
      </c>
      <c r="F29" s="178" t="s">
        <v>54</v>
      </c>
      <c r="G29" s="179"/>
      <c r="H29" s="182">
        <f>H15-H16-H17-H18-H19-H20-H22-H23-H24+H26+H27</f>
        <v>231930.5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210">
        <f>F34*G34</f>
        <v>220000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10">
        <f t="shared" ref="H35:H39" si="2">F35*G35</f>
        <v>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210">
        <f t="shared" si="2"/>
        <v>10000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310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15</v>
      </c>
      <c r="D46" s="12">
        <f>C46*1.5</f>
        <v>22.5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231660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18</v>
      </c>
      <c r="D50" s="12">
        <f>C50*1.5</f>
        <v>27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169</v>
      </c>
      <c r="G51" s="258">
        <f>G49-H29</f>
        <v>-270.5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675</v>
      </c>
      <c r="D6" s="13">
        <f t="shared" ref="D6:D28" si="1">C6*L6</f>
        <v>513675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5</v>
      </c>
      <c r="D7" s="13">
        <f t="shared" si="1"/>
        <v>3905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43</v>
      </c>
      <c r="D9" s="13">
        <f t="shared" si="1"/>
        <v>31519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25</v>
      </c>
      <c r="D13" s="48">
        <f t="shared" si="1"/>
        <v>7675</v>
      </c>
      <c r="F13" s="155" t="s">
        <v>36</v>
      </c>
      <c r="G13" s="156"/>
      <c r="H13" s="157">
        <f>D29</f>
        <v>563496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13</v>
      </c>
      <c r="D14" s="31">
        <f t="shared" si="1"/>
        <v>143</v>
      </c>
      <c r="F14" s="160" t="s">
        <v>38</v>
      </c>
      <c r="G14" s="161"/>
      <c r="H14" s="162">
        <f>D54</f>
        <v>77337.75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486158.25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3420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92">
        <v>78233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94">
        <v>92804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6</v>
      </c>
      <c r="D28" s="48">
        <f t="shared" si="1"/>
        <v>4866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563496</v>
      </c>
      <c r="F29" s="178" t="s">
        <v>54</v>
      </c>
      <c r="G29" s="179"/>
      <c r="H29" s="182">
        <f>H15-H16-H17-H18-H19-H20-H22-H23-H24+H26+H27+H28</f>
        <v>497309.25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210">
        <f t="shared" ref="H34:H39" si="2">F34*G34</f>
        <v>300000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210">
        <f t="shared" si="2"/>
        <v>103000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210">
        <f t="shared" si="2"/>
        <v>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210">
        <f t="shared" si="2"/>
        <v>500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57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194">
        <v>92804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38</v>
      </c>
      <c r="D49" s="12">
        <f>C49*42</f>
        <v>1596</v>
      </c>
      <c r="F49" s="235" t="s">
        <v>85</v>
      </c>
      <c r="G49" s="182">
        <f>H34+H35+H36+H37+H38+H39+H40+H41+G42+H44+H45+H46</f>
        <v>497161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34</v>
      </c>
      <c r="D50" s="12">
        <f>C50*1.5</f>
        <v>51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-148.25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336</v>
      </c>
      <c r="D6" s="13">
        <f t="shared" ref="D6:D28" si="1">C6*L6</f>
        <v>255696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92</v>
      </c>
      <c r="D9" s="13">
        <f t="shared" si="1"/>
        <v>67436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14</v>
      </c>
      <c r="D13" s="48">
        <f t="shared" si="1"/>
        <v>4298</v>
      </c>
      <c r="F13" s="155" t="s">
        <v>36</v>
      </c>
      <c r="G13" s="156"/>
      <c r="H13" s="157">
        <f>D29</f>
        <v>344042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46017.75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298024.25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1656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344042</v>
      </c>
      <c r="F29" s="178" t="s">
        <v>54</v>
      </c>
      <c r="G29" s="179"/>
      <c r="H29" s="182">
        <f>H15-H16-H17-H18-H19-H20-H22-H23-H24+H26+H27</f>
        <v>296318.25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210">
        <f>F34*G34</f>
        <v>76000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210">
        <f>F35*G35</f>
        <v>17000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</v>
      </c>
      <c r="D42" s="12">
        <f>C42*2.25</f>
        <v>2.25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94">
        <v>183675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94">
        <v>19904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20</v>
      </c>
      <c r="D46" s="12">
        <f>C46*1.5</f>
        <v>30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10</v>
      </c>
      <c r="D49" s="12">
        <f>C49*42</f>
        <v>420</v>
      </c>
      <c r="F49" s="235" t="s">
        <v>85</v>
      </c>
      <c r="G49" s="182">
        <f>H34+H35+H36+H37+H38+H39+H40+H41+G42+H44+H45+H46</f>
        <v>296629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9</v>
      </c>
      <c r="D50" s="12">
        <f>C50*1.5</f>
        <v>13.5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310.75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tabSelected="1" topLeftCell="A22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432</v>
      </c>
      <c r="D6" s="13">
        <f t="shared" ref="D6:D28" si="1">C6*L6</f>
        <v>328752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339179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5827.5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333351.5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1944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92">
        <v>62135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339179</v>
      </c>
      <c r="F29" s="178" t="s">
        <v>54</v>
      </c>
      <c r="G29" s="179"/>
      <c r="H29" s="182">
        <f>H15-H16-H17-H18-H19-H20-H22-H23-H24+H26+H27+H28</f>
        <v>269272.5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210">
        <f t="shared" ref="H34:H39" si="2">F34*G34</f>
        <v>13000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10">
        <f t="shared" si="2"/>
        <v>13500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94">
        <v>244620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271320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173</v>
      </c>
      <c r="G51" s="251">
        <f>G49-H29</f>
        <v>2047.5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topLeftCell="A25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347</v>
      </c>
      <c r="D6" s="13">
        <f t="shared" ref="D6:D28" si="1">C6*L6</f>
        <v>264067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41</v>
      </c>
      <c r="D9" s="13">
        <f t="shared" si="1"/>
        <v>30053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301997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11</v>
      </c>
      <c r="D14" s="31">
        <f t="shared" si="1"/>
        <v>121</v>
      </c>
      <c r="F14" s="160" t="s">
        <v>38</v>
      </c>
      <c r="G14" s="161"/>
      <c r="H14" s="162">
        <f>D54</f>
        <v>44970.75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257026.25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1200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301997</v>
      </c>
      <c r="F29" s="178" t="s">
        <v>54</v>
      </c>
      <c r="G29" s="179"/>
      <c r="H29" s="182">
        <f>H15-H16-H17-H18-H19-H20-H22-H23-H24+H26+H27</f>
        <v>255826.25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210">
        <f>F34*G34</f>
        <v>69000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10">
        <f t="shared" ref="H35:H39" si="2">F35*G35</f>
        <v>20000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0">
        <f>F36*G36</f>
        <v>400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210">
        <f t="shared" si="2"/>
        <v>2300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0">
        <v>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94">
        <v>130451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94">
        <v>33800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</v>
      </c>
      <c r="D46" s="12">
        <f>C46*1.5</f>
        <v>3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7</v>
      </c>
      <c r="D49" s="12">
        <f>C49*42</f>
        <v>294</v>
      </c>
      <c r="F49" s="235" t="s">
        <v>85</v>
      </c>
      <c r="G49" s="182">
        <f>H34+H35+H36+H37+H38+H39+H40+H41+G42+H44+H45+H46</f>
        <v>256005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4</v>
      </c>
      <c r="D50" s="12">
        <f>C50*1.5</f>
        <v>6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178.75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topLeftCell="A25" zoomScaleNormal="100" zoomScaleSheetLayoutView="85" workbookViewId="0">
      <selection activeCell="G49" sqref="G49:J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554</v>
      </c>
      <c r="D6" s="13">
        <f t="shared" ref="D6:D28" si="1">C6*L6</f>
        <v>421594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</v>
      </c>
      <c r="D7" s="13">
        <f t="shared" si="1"/>
        <v>781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108</v>
      </c>
      <c r="D9" s="13">
        <f t="shared" si="1"/>
        <v>79164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21</v>
      </c>
      <c r="D13" s="48">
        <f t="shared" si="1"/>
        <v>6447</v>
      </c>
      <c r="F13" s="155" t="s">
        <v>36</v>
      </c>
      <c r="G13" s="156"/>
      <c r="H13" s="157">
        <f>D29</f>
        <v>509099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11</v>
      </c>
      <c r="D14" s="31">
        <f t="shared" si="1"/>
        <v>121</v>
      </c>
      <c r="F14" s="160" t="s">
        <v>38</v>
      </c>
      <c r="G14" s="161"/>
      <c r="H14" s="162">
        <f>D54</f>
        <v>71080.5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438018.5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1596+1296+300</f>
        <v>3192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265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509099</v>
      </c>
      <c r="F29" s="178" t="s">
        <v>54</v>
      </c>
      <c r="G29" s="179"/>
      <c r="H29" s="182">
        <f>H15-H16-H17-H18-H19-H20-H22-H23-H24+H26+H27</f>
        <v>434826.5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210">
        <f>F34*G34</f>
        <v>78000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10">
        <f>F35*G35</f>
        <v>40000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210">
        <f t="shared" si="2"/>
        <v>4900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10">
        <f t="shared" si="2"/>
        <v>450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94">
        <v>171049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94">
        <v>140478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5</v>
      </c>
      <c r="D46" s="12">
        <f>C46*1.5</f>
        <v>7.5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434967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140</v>
      </c>
      <c r="D50" s="12">
        <f>C50*1.5</f>
        <v>210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140.5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R2'!Print_Area</vt:lpstr>
      <vt:lpstr>'05,15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2026-05-16T01:03:50Z</cp:lastPrinted>
  <dcterms:created xsi:type="dcterms:W3CDTF">2024-09-01T23:36:50Z</dcterms:created>
  <dcterms:modified xsi:type="dcterms:W3CDTF">2026-05-16T01:07:10Z</dcterms:modified>
</cp:coreProperties>
</file>