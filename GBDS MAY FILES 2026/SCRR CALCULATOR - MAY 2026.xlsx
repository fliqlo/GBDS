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ECFEEC8-5AA0-4CA8-A789-81E9E7973806}" xr6:coauthVersionLast="45" xr6:coauthVersionMax="47" xr10:uidLastSave="{00000000-0000-0000-0000-000000000000}"/>
  <bookViews>
    <workbookView xWindow="-120" yWindow="-120" windowWidth="29040" windowHeight="15840" firstSheet="16" activeTab="20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2" sheetId="2044" r:id="rId22"/>
    <sheet name="05,07 R3" sheetId="2045" r:id="rId23"/>
    <sheet name="(8)" sheetId="2046" r:id="rId24"/>
    <sheet name="05,08 R1" sheetId="2047" r:id="rId25"/>
    <sheet name="05,08 R2" sheetId="2048" r:id="rId26"/>
    <sheet name="05,08 R3" sheetId="2049" r:id="rId27"/>
    <sheet name="(11)" sheetId="2050" r:id="rId28"/>
    <sheet name="05,11 R1" sheetId="2051" r:id="rId29"/>
    <sheet name="05,11 R2" sheetId="2052" r:id="rId30"/>
    <sheet name="05,11 R3" sheetId="2053" r:id="rId31"/>
    <sheet name="(12)" sheetId="2056" r:id="rId32"/>
    <sheet name="05,12 R1" sheetId="2057" r:id="rId33"/>
    <sheet name="05,12 R2" sheetId="2058" r:id="rId34"/>
    <sheet name="05,12 R3" sheetId="2059" r:id="rId35"/>
    <sheet name="(13)" sheetId="2060" r:id="rId36"/>
    <sheet name="05,13 R1" sheetId="2061" r:id="rId37"/>
    <sheet name="05,13 R2" sheetId="2062" r:id="rId38"/>
    <sheet name="05,13 R3" sheetId="2063" r:id="rId39"/>
    <sheet name="(14)" sheetId="2064" r:id="rId40"/>
    <sheet name="05,14 R1" sheetId="2065" r:id="rId41"/>
    <sheet name="05,14 R2" sheetId="2066" r:id="rId42"/>
    <sheet name="05,14 R3" sheetId="2067" r:id="rId43"/>
    <sheet name="(15)" sheetId="2068" r:id="rId44"/>
    <sheet name="05,15 R1" sheetId="2069" r:id="rId45"/>
    <sheet name="05,15 R2" sheetId="2070" r:id="rId46"/>
    <sheet name="05,15 R3" sheetId="2071" r:id="rId47"/>
    <sheet name="(16)" sheetId="2072" r:id="rId48"/>
  </sheets>
  <definedNames>
    <definedName name="_xlnm.Print_Area" localSheetId="1">'(01)'!$A$1:$J$60</definedName>
    <definedName name="_xlnm.Print_Area" localSheetId="27">'(11)'!$A$1:$J$60</definedName>
    <definedName name="_xlnm.Print_Area" localSheetId="31">'(12)'!$A$1:$J$60</definedName>
    <definedName name="_xlnm.Print_Area" localSheetId="35">'(13)'!$A$1:$J$60</definedName>
    <definedName name="_xlnm.Print_Area" localSheetId="39">'(14)'!$A$1:$J$60</definedName>
    <definedName name="_xlnm.Print_Area" localSheetId="43">'(15)'!$A$1:$J$60</definedName>
    <definedName name="_xlnm.Print_Area" localSheetId="47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3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R2'!$A$1:$J$60</definedName>
    <definedName name="_xlnm.Print_Area" localSheetId="22">'05,07 R3'!$A$1:$J$60</definedName>
    <definedName name="_xlnm.Print_Area" localSheetId="24">'05,08 R1'!$A$1:$J$60</definedName>
    <definedName name="_xlnm.Print_Area" localSheetId="25">'05,08 R2'!$A$1:$J$60</definedName>
    <definedName name="_xlnm.Print_Area" localSheetId="26">'05,08 R3'!$A$1:$J$60</definedName>
    <definedName name="_xlnm.Print_Area" localSheetId="28">'05,11 R1'!$A$1:$J$60</definedName>
    <definedName name="_xlnm.Print_Area" localSheetId="29">'05,11 R2'!$A$1:$J$60</definedName>
    <definedName name="_xlnm.Print_Area" localSheetId="30">'05,11 R3'!$A$1:$J$60</definedName>
    <definedName name="_xlnm.Print_Area" localSheetId="32">'05,12 R1'!$A$1:$J$60</definedName>
    <definedName name="_xlnm.Print_Area" localSheetId="33">'05,12 R2'!$A$1:$J$60</definedName>
    <definedName name="_xlnm.Print_Area" localSheetId="34">'05,12 R3'!$A$1:$J$60</definedName>
    <definedName name="_xlnm.Print_Area" localSheetId="36">'05,13 R1'!$A$1:$J$60</definedName>
    <definedName name="_xlnm.Print_Area" localSheetId="37">'05,13 R2'!$A$1:$J$60</definedName>
    <definedName name="_xlnm.Print_Area" localSheetId="38">'05,13 R3'!$A$1:$J$60</definedName>
    <definedName name="_xlnm.Print_Area" localSheetId="40">'05,14 R1'!$A$1:$J$60</definedName>
    <definedName name="_xlnm.Print_Area" localSheetId="41">'05,14 R2'!$A$1:$J$60</definedName>
    <definedName name="_xlnm.Print_Area" localSheetId="42">'05,14 R3'!$A$1:$J$60</definedName>
    <definedName name="_xlnm.Print_Area" localSheetId="44">'05,15 R1'!$A$1:$J$60</definedName>
    <definedName name="_xlnm.Print_Area" localSheetId="45">'05,15 R2'!$A$1:$J$60</definedName>
    <definedName name="_xlnm.Print_Area" localSheetId="46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72" l="1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D54" i="2062" s="1"/>
  <c r="H14" i="2062" s="1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D54" i="2061"/>
  <c r="H14" i="2061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G49" i="2061" s="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D54" i="2059" s="1"/>
  <c r="H14" i="2059" s="1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G49" i="2059" s="1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G49" i="2058" s="1"/>
  <c r="D36" i="2058"/>
  <c r="R35" i="2058"/>
  <c r="H35" i="2058"/>
  <c r="D35" i="2058"/>
  <c r="R34" i="2058"/>
  <c r="H34" i="2058"/>
  <c r="D34" i="2058"/>
  <c r="D54" i="2058" s="1"/>
  <c r="H14" i="2058" s="1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D54" i="2057" s="1"/>
  <c r="H14" i="2057" s="1"/>
  <c r="R35" i="2057"/>
  <c r="L18" i="2057" s="1"/>
  <c r="D18" i="2057" s="1"/>
  <c r="H35" i="2057"/>
  <c r="G49" i="2057" s="1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D29" i="2072" l="1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H15" i="2062" s="1"/>
  <c r="H29" i="2062" s="1"/>
  <c r="G51" i="2062" s="1"/>
  <c r="D29" i="2061"/>
  <c r="H13" i="2061" s="1"/>
  <c r="H15" i="2061" s="1"/>
  <c r="H29" i="2061" s="1"/>
  <c r="G51" i="2061" s="1"/>
  <c r="D29" i="2060"/>
  <c r="H13" i="2060" s="1"/>
  <c r="H15" i="2060" s="1"/>
  <c r="H29" i="2060" s="1"/>
  <c r="G51" i="2060" s="1"/>
  <c r="D29" i="2059"/>
  <c r="H13" i="2059" s="1"/>
  <c r="H15" i="2059" s="1"/>
  <c r="H29" i="2059" s="1"/>
  <c r="G51" i="2059" s="1"/>
  <c r="D29" i="2058"/>
  <c r="H13" i="2058" s="1"/>
  <c r="H15" i="2058" s="1"/>
  <c r="H29" i="2058" s="1"/>
  <c r="G51" i="2058" s="1"/>
  <c r="D29" i="2057"/>
  <c r="H13" i="2057" s="1"/>
  <c r="H15" i="2057" s="1"/>
  <c r="H29" i="2057" s="1"/>
  <c r="G51" i="2057" s="1"/>
  <c r="D29" i="2056"/>
  <c r="H13" i="2056" s="1"/>
  <c r="H15" i="2056" s="1"/>
  <c r="H29" i="2056" s="1"/>
  <c r="G51" i="2056" s="1"/>
  <c r="H16" i="2041"/>
  <c r="C19" i="2041"/>
  <c r="C18" i="2041"/>
  <c r="C16" i="2041"/>
  <c r="L26" i="2039"/>
  <c r="C12" i="2039"/>
  <c r="C16" i="2039"/>
  <c r="C15" i="2039"/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41" l="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51" i="2041" l="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<sst xmlns="http://schemas.openxmlformats.org/spreadsheetml/2006/main" count="6296" uniqueCount="156">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</sst>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88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46143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704</v>
      </c>
      <c r="D6" s="13">
        <f t="shared" ref="D6:D28" si="1">C6*L6</f>
        <v>535744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3</v>
      </c>
      <c r="D9" s="13">
        <f t="shared" si="1"/>
        <v>2199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25</v>
      </c>
      <c r="D13" s="48">
        <f t="shared" si="1"/>
        <v>7675</v>
      </c>
      <c r="F13" s="149" t="s">
        <v>36</v>
      </c>
      <c r="G13" s="150"/>
      <c r="H13" s="151">
        <f>D29</f>
        <v>545651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3</v>
      </c>
      <c r="D14" s="31">
        <f t="shared" si="1"/>
        <v>33</v>
      </c>
      <c r="F14" s="154" t="s">
        <v>38</v>
      </c>
      <c r="G14" s="155"/>
      <c r="H14" s="156">
        <f>D54</f>
        <v>100678.5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444972.5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v>3240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88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545651</v>
      </c>
      <c r="F29" s="172" t="s">
        <v>54</v>
      </c>
      <c r="G29" s="173"/>
      <c r="H29" s="176">
        <f>H15-H16-H17-H18-H19-H20-H22-H23-H24+H26+H27+H28</f>
        <v>441732.5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04">
        <f t="shared" ref="H34:H39" si="2">F34*G34</f>
        <v>315000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04">
        <f t="shared" si="2"/>
        <v>126000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04">
        <f t="shared" si="2"/>
        <v>500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04">
        <f t="shared" si="2"/>
        <v>150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4">
        <f t="shared" si="2"/>
        <v>20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86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88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>
        <v>4</v>
      </c>
      <c r="D46" s="12">
        <f>C46*1.5</f>
        <v>6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11</v>
      </c>
      <c r="D49" s="12">
        <f>C49*42</f>
        <v>462</v>
      </c>
      <c r="F49" s="229" t="s">
        <v>85</v>
      </c>
      <c r="G49" s="176">
        <f>H34+H35+H36+H37+H38+H39+H40+H41+G42+H44+H45+H46</f>
        <v>441756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22</v>
      </c>
      <c r="D50" s="12">
        <f>C50*1.5</f>
        <v>33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43" t="s">
        <v>135</v>
      </c>
      <c r="G51" s="245">
        <f>G49-H29</f>
        <v>23.5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46143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292</v>
      </c>
      <c r="D6" s="13">
        <f t="shared" ref="D6:D28" si="1">C6*L6</f>
        <v>222212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6</v>
      </c>
      <c r="D7" s="13">
        <f t="shared" si="1"/>
        <v>4686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7</v>
      </c>
      <c r="D9" s="13">
        <f t="shared" si="1"/>
        <v>5131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7</v>
      </c>
      <c r="D13" s="48">
        <f t="shared" si="1"/>
        <v>2149</v>
      </c>
      <c r="F13" s="149" t="s">
        <v>36</v>
      </c>
      <c r="G13" s="150"/>
      <c r="H13" s="151">
        <f>D29</f>
        <v>236796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5</v>
      </c>
      <c r="D14" s="31">
        <f t="shared" si="1"/>
        <v>55</v>
      </c>
      <c r="F14" s="154" t="s">
        <v>38</v>
      </c>
      <c r="G14" s="155"/>
      <c r="H14" s="156">
        <f>D54</f>
        <v>38545.5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198250.5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3">
        <v>1518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>
        <v>1</v>
      </c>
      <c r="D28" s="48">
        <f t="shared" si="1"/>
        <v>811</v>
      </c>
      <c r="F28" s="9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236796</v>
      </c>
      <c r="F29" s="172" t="s">
        <v>54</v>
      </c>
      <c r="G29" s="173"/>
      <c r="H29" s="176">
        <f>H15-H16-H17-H18-H19-H20-H22-H23-H24+H26+H27</f>
        <v>196732.5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04">
        <f>F34*G34</f>
        <v>166000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04">
        <f t="shared" ref="H35:H39" si="2">F35*G35</f>
        <v>30000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04">
        <f t="shared" si="2"/>
        <v>500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4</v>
      </c>
      <c r="D42" s="12">
        <f>C42*2.25</f>
        <v>9</v>
      </c>
      <c r="F42" s="39" t="s">
        <v>78</v>
      </c>
      <c r="G42" s="204">
        <v>50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88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89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12</v>
      </c>
      <c r="D49" s="12">
        <f>C49*42</f>
        <v>504</v>
      </c>
      <c r="F49" s="229" t="s">
        <v>85</v>
      </c>
      <c r="G49" s="176">
        <f>H34+H35+H36+H37+H38+H39+H40+H41+G42+H44+H45+H46</f>
        <v>196550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16</v>
      </c>
      <c r="D50" s="12">
        <f>C50*1.5</f>
        <v>24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131</v>
      </c>
      <c r="G51" s="252">
        <f>G49-H29</f>
        <v>-182.5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530</v>
      </c>
      <c r="D6" s="13">
        <f t="shared" ref="D6:D28" si="1">C6*L6</f>
        <v>403330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7</v>
      </c>
      <c r="D7" s="13">
        <f t="shared" si="1"/>
        <v>5467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56</v>
      </c>
      <c r="D9" s="13">
        <f t="shared" si="1"/>
        <v>41048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19</v>
      </c>
      <c r="D13" s="48">
        <f t="shared" si="1"/>
        <v>5833</v>
      </c>
      <c r="F13" s="149" t="s">
        <v>36</v>
      </c>
      <c r="G13" s="150"/>
      <c r="H13" s="151">
        <f>D29</f>
        <v>456978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68901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388077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3">
        <f>978+1080+708</f>
        <v>2766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456978</v>
      </c>
      <c r="F29" s="172" t="s">
        <v>54</v>
      </c>
      <c r="G29" s="173"/>
      <c r="H29" s="176">
        <f>H15-H16-H17-H18-H19-H20-H22-H23-H24+H26+H27</f>
        <v>385311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04">
        <f>F34*G34</f>
        <v>126000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04">
        <f>F35*G35</f>
        <v>31500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04">
        <f t="shared" si="2"/>
        <v>4600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4">
        <f t="shared" si="2"/>
        <v>150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94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88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8">
        <v>105524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8">
        <v>118301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2</v>
      </c>
      <c r="D49" s="12">
        <f>C49*42</f>
        <v>84</v>
      </c>
      <c r="F49" s="229" t="s">
        <v>85</v>
      </c>
      <c r="G49" s="176">
        <f>H34+H35+H36+H37+H38+H39+H40+H41+G42+H44+H45+H46</f>
        <v>386169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858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9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1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786</v>
      </c>
      <c r="D6" s="13">
        <f t="shared" ref="D6:D28" si="1">C6*L6</f>
        <v>598146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2</v>
      </c>
      <c r="D7" s="13">
        <f t="shared" si="1"/>
        <v>1562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7</v>
      </c>
      <c r="D9" s="13">
        <f t="shared" si="1"/>
        <v>5131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2</v>
      </c>
      <c r="D10" s="13">
        <f t="shared" si="1"/>
        <v>2064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f>15+2</f>
        <v>17</v>
      </c>
      <c r="D12" s="48">
        <f t="shared" si="1"/>
        <v>16864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22</v>
      </c>
      <c r="D13" s="48">
        <f t="shared" si="1"/>
        <v>6754</v>
      </c>
      <c r="F13" s="149" t="s">
        <v>36</v>
      </c>
      <c r="G13" s="150"/>
      <c r="H13" s="151">
        <f>D29</f>
        <v>635011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84996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>
        <v>2</v>
      </c>
      <c r="D15" s="31">
        <f t="shared" si="1"/>
        <v>1240</v>
      </c>
      <c r="F15" s="159" t="s">
        <v>39</v>
      </c>
      <c r="G15" s="150"/>
      <c r="H15" s="160">
        <f>H13-H14</f>
        <v>550015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3">
        <f>2694+300+522</f>
        <v>3516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9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635011</v>
      </c>
      <c r="F29" s="172" t="s">
        <v>54</v>
      </c>
      <c r="G29" s="173"/>
      <c r="H29" s="176">
        <f>H15-H16-H17-H18-H19-H20-H22-H23-H24+H26+H27</f>
        <v>546499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04">
        <f>F34*G34</f>
        <v>182000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04">
        <f>F35*G35</f>
        <v>29500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04">
        <f t="shared" si="2"/>
        <v>1400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1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1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88">
        <v>296674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88">
        <v>32658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8">
        <v>4250</v>
      </c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14</v>
      </c>
      <c r="D49" s="12">
        <f>C49*42</f>
        <v>588</v>
      </c>
      <c r="F49" s="229" t="s">
        <v>85</v>
      </c>
      <c r="G49" s="176">
        <f>H34+H35+H36+H37+H38+H39+H40+H41+G42+H44+H45+H46</f>
        <v>546483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140</v>
      </c>
      <c r="G51" s="252">
        <f>G49-H29</f>
        <v>-16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46146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344</v>
      </c>
      <c r="D6" s="13">
        <f t="shared" ref="D6:D28" si="1">C6*L6</f>
        <v>261784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9</v>
      </c>
      <c r="D7" s="13">
        <f t="shared" si="1"/>
        <v>7029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25</v>
      </c>
      <c r="D9" s="13">
        <f t="shared" si="1"/>
        <v>18325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2</v>
      </c>
      <c r="D12" s="48">
        <f t="shared" si="1"/>
        <v>1984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3</v>
      </c>
      <c r="D13" s="48">
        <f t="shared" si="1"/>
        <v>921</v>
      </c>
      <c r="F13" s="149" t="s">
        <v>36</v>
      </c>
      <c r="G13" s="150"/>
      <c r="H13" s="151">
        <f>D29</f>
        <v>290296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23</v>
      </c>
      <c r="D14" s="31">
        <f t="shared" si="1"/>
        <v>253</v>
      </c>
      <c r="F14" s="154" t="s">
        <v>38</v>
      </c>
      <c r="G14" s="155"/>
      <c r="H14" s="156">
        <f>D54</f>
        <v>42017.25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248278.75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>
        <v>200</v>
      </c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290296</v>
      </c>
      <c r="F29" s="172" t="s">
        <v>54</v>
      </c>
      <c r="G29" s="173"/>
      <c r="H29" s="176">
        <f>H15-H16-H17-H18-H19-H20-H22-H23-H24+H26+H27+H28</f>
        <v>248078.75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04">
        <f t="shared" ref="H34:H39" si="2">F34*G34</f>
        <v>131000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04">
        <f t="shared" si="2"/>
        <v>37000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04">
        <f t="shared" si="2"/>
        <v>4700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04">
        <f t="shared" si="2"/>
        <v>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4">
        <v>45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88">
        <v>65000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8">
        <v>2600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8">
        <v>9750</v>
      </c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</v>
      </c>
      <c r="D49" s="12">
        <f>C49*42</f>
        <v>42</v>
      </c>
      <c r="F49" s="229" t="s">
        <v>85</v>
      </c>
      <c r="G49" s="176">
        <f>H34+H35+H36+H37+H38+H39+H40+H41+G42+H44+H45+H46</f>
        <v>250145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22</v>
      </c>
      <c r="D50" s="12">
        <f>C50*1.5</f>
        <v>33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43" t="s">
        <v>142</v>
      </c>
      <c r="G51" s="245">
        <f>G49-H29</f>
        <v>2066.25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46146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344</v>
      </c>
      <c r="D6" s="13">
        <f t="shared" ref="D6:D28" si="1">C6*L6</f>
        <v>261784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5</v>
      </c>
      <c r="D7" s="13">
        <f t="shared" si="1"/>
        <v>3905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21</v>
      </c>
      <c r="D9" s="13">
        <f t="shared" si="1"/>
        <v>15393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12</v>
      </c>
      <c r="D13" s="48">
        <f t="shared" si="1"/>
        <v>3684</v>
      </c>
      <c r="F13" s="149" t="s">
        <v>36</v>
      </c>
      <c r="G13" s="150"/>
      <c r="H13" s="151">
        <f>D29</f>
        <v>285008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22</v>
      </c>
      <c r="D14" s="31">
        <f t="shared" si="1"/>
        <v>242</v>
      </c>
      <c r="F14" s="154" t="s">
        <v>38</v>
      </c>
      <c r="G14" s="155"/>
      <c r="H14" s="156">
        <f>D54</f>
        <v>42628.5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242379.5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v>1296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285008</v>
      </c>
      <c r="F29" s="172" t="s">
        <v>54</v>
      </c>
      <c r="G29" s="173"/>
      <c r="H29" s="176">
        <f>H15-H16-H17-H18-H19-H20-H22-H23-H24+H26+H27</f>
        <v>241083.5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04">
        <f>F34*G34</f>
        <v>221000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04">
        <f t="shared" ref="H35:H39" si="2">F35*G35</f>
        <v>18500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04">
        <f t="shared" si="2"/>
        <v>200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4">
        <f t="shared" si="2"/>
        <v>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04">
        <f t="shared" si="2"/>
        <v>40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67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11</v>
      </c>
      <c r="D49" s="12">
        <f>C49*42</f>
        <v>462</v>
      </c>
      <c r="F49" s="229" t="s">
        <v>85</v>
      </c>
      <c r="G49" s="176">
        <f>H34+H35+H36+H37+H38+H39+H40+H41+G42+H44+H45+H46</f>
        <v>239857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3</v>
      </c>
      <c r="D50" s="12">
        <f>C50*1.5</f>
        <v>4.5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131</v>
      </c>
      <c r="G51" s="252">
        <f>G49-H29</f>
        <v>-1226.5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484</v>
      </c>
      <c r="D6" s="13">
        <f t="shared" ref="D6:D28" si="1">C6*L6</f>
        <v>368324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11</v>
      </c>
      <c r="D7" s="13">
        <f t="shared" si="1"/>
        <v>8591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58</v>
      </c>
      <c r="D9" s="13">
        <f t="shared" si="1"/>
        <v>42514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2</v>
      </c>
      <c r="D10" s="13">
        <f t="shared" si="1"/>
        <v>2064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16</v>
      </c>
      <c r="D13" s="48">
        <f t="shared" si="1"/>
        <v>4912</v>
      </c>
      <c r="F13" s="149" t="s">
        <v>36</v>
      </c>
      <c r="G13" s="150"/>
      <c r="H13" s="151">
        <f>D29</f>
        <v>426537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63285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363252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f>1296+300+732</f>
        <v>2328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426537</v>
      </c>
      <c r="F29" s="172" t="s">
        <v>54</v>
      </c>
      <c r="G29" s="173"/>
      <c r="H29" s="176">
        <f>H15-H16-H17-H18-H19-H20-H22-H23-H24+H26+H27</f>
        <v>360874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04">
        <f>F34*G34</f>
        <v>177000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04">
        <f>F35*G35</f>
        <v>100500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04">
        <f t="shared" si="2"/>
        <v>5100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04">
        <f t="shared" si="2"/>
        <v>600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8</v>
      </c>
      <c r="D42" s="12">
        <f>C42*2.25</f>
        <v>18</v>
      </c>
      <c r="F42" s="39" t="s">
        <v>78</v>
      </c>
      <c r="G42" s="204">
        <v>101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8">
        <v>79565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</v>
      </c>
      <c r="D49" s="12">
        <f>C49*42</f>
        <v>42</v>
      </c>
      <c r="F49" s="229" t="s">
        <v>85</v>
      </c>
      <c r="G49" s="176">
        <f>H34+H35+H36+H37+H38+H39+H40+H41+G42+H44+H45+H46</f>
        <v>362866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13</v>
      </c>
      <c r="D50" s="12">
        <f>C50*1.5</f>
        <v>19.5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1992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46147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458</v>
      </c>
      <c r="D6" s="13">
        <f t="shared" ref="D6:D28" si="1">C6*L6</f>
        <v>348538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12</v>
      </c>
      <c r="D7" s="13">
        <f t="shared" si="1"/>
        <v>9372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108</v>
      </c>
      <c r="D9" s="13">
        <f t="shared" si="1"/>
        <v>79164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7</v>
      </c>
      <c r="D10" s="13">
        <f t="shared" si="1"/>
        <v>7224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f>6+5+2</f>
        <v>13</v>
      </c>
      <c r="D12" s="48">
        <f t="shared" si="1"/>
        <v>12896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5</v>
      </c>
      <c r="D13" s="48">
        <f t="shared" si="1"/>
        <v>1535</v>
      </c>
      <c r="F13" s="149" t="s">
        <v>36</v>
      </c>
      <c r="G13" s="150"/>
      <c r="H13" s="151">
        <f>D29</f>
        <v>470610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6</v>
      </c>
      <c r="D14" s="31">
        <f t="shared" si="1"/>
        <v>66</v>
      </c>
      <c r="F14" s="154" t="s">
        <v>38</v>
      </c>
      <c r="G14" s="155"/>
      <c r="H14" s="156">
        <f>D54</f>
        <v>69966.75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>
        <v>1</v>
      </c>
      <c r="D15" s="31">
        <f t="shared" si="1"/>
        <v>620</v>
      </c>
      <c r="F15" s="159" t="s">
        <v>39</v>
      </c>
      <c r="G15" s="150"/>
      <c r="H15" s="160">
        <f>H13-H14</f>
        <v>400643.25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3">
        <v>2682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3">
        <v>200</v>
      </c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6">
        <v>92804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8">
        <v>83980</v>
      </c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>
        <v>8</v>
      </c>
      <c r="D28" s="48">
        <f t="shared" si="1"/>
        <v>6488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470610</v>
      </c>
      <c r="F29" s="172" t="s">
        <v>54</v>
      </c>
      <c r="G29" s="173"/>
      <c r="H29" s="176">
        <f>H15-H16-H17-H18-H19-H20-H22-H23-H24+H26+H27+H28</f>
        <v>388937.25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04">
        <f t="shared" ref="H34:H39" si="2">F34*G34</f>
        <v>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04">
        <f t="shared" si="2"/>
        <v>1000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8">
        <v>294438.25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88">
        <v>83980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>
        <v>17</v>
      </c>
      <c r="D46" s="12">
        <f>C46*1.5</f>
        <v>25.5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385418.25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6</v>
      </c>
      <c r="D50" s="12">
        <f>C50*1.5</f>
        <v>9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-3519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46147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414</v>
      </c>
      <c r="D6" s="13">
        <f t="shared" ref="D6:D28" si="1">C6*L6</f>
        <v>315054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11</v>
      </c>
      <c r="D7" s="13">
        <f t="shared" si="1"/>
        <v>8591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59</v>
      </c>
      <c r="D9" s="13">
        <f t="shared" si="1"/>
        <v>43247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12</v>
      </c>
      <c r="D13" s="48">
        <f t="shared" si="1"/>
        <v>3684</v>
      </c>
      <c r="F13" s="149" t="s">
        <v>36</v>
      </c>
      <c r="G13" s="150"/>
      <c r="H13" s="151">
        <f>D29</f>
        <v>371226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57882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313344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3">
        <v>2676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371226</v>
      </c>
      <c r="F29" s="172" t="s">
        <v>54</v>
      </c>
      <c r="G29" s="173"/>
      <c r="H29" s="176">
        <f>H15-H16-H17-H18-H19-H20-H22-H23-H24+H26+H27</f>
        <v>310668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04">
        <f>F34*G34</f>
        <v>21000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4">
        <f t="shared" ref="H35:H39" si="2">F35*G35</f>
        <v>2000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04">
        <f t="shared" si="2"/>
        <v>300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4</v>
      </c>
      <c r="D42" s="12">
        <f>C42*2.25</f>
        <v>9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88">
        <v>159300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8">
        <v>128857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4</v>
      </c>
      <c r="D49" s="12">
        <f>C49*42</f>
        <v>168</v>
      </c>
      <c r="F49" s="229" t="s">
        <v>85</v>
      </c>
      <c r="G49" s="176">
        <f>H34+H35+H36+H37+H38+H39+H40+H41+G42+H44+H45+H46</f>
        <v>311457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11</v>
      </c>
      <c r="D50" s="12">
        <f>C50*1.5</f>
        <v>16.5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789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542</v>
      </c>
      <c r="D6" s="13">
        <f t="shared" ref="D6:D28" si="1">C6*L6</f>
        <v>412462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12</v>
      </c>
      <c r="D7" s="13">
        <f t="shared" si="1"/>
        <v>9372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72</v>
      </c>
      <c r="D9" s="13">
        <f t="shared" si="1"/>
        <v>52776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2</v>
      </c>
      <c r="D10" s="13">
        <f t="shared" si="1"/>
        <v>2064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21</v>
      </c>
      <c r="D13" s="48">
        <f t="shared" si="1"/>
        <v>6447</v>
      </c>
      <c r="F13" s="149" t="s">
        <v>36</v>
      </c>
      <c r="G13" s="150"/>
      <c r="H13" s="151">
        <f>D29</f>
        <v>518703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77449.5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>
        <f>5+5</f>
        <v>10</v>
      </c>
      <c r="D15" s="31">
        <f t="shared" si="1"/>
        <v>6200</v>
      </c>
      <c r="F15" s="159" t="s">
        <v>39</v>
      </c>
      <c r="G15" s="150"/>
      <c r="H15" s="160">
        <f>H13-H14</f>
        <v>441253.5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3">
        <f>612+1656+1092</f>
        <v>3360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518703</v>
      </c>
      <c r="F29" s="172" t="s">
        <v>54</v>
      </c>
      <c r="G29" s="173"/>
      <c r="H29" s="176">
        <f>H15-H16-H17-H18-H19-H20-H22-H23-H24+H26+H27</f>
        <v>437893.5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04">
        <f>F34*G34</f>
        <v>61000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04">
        <f>F35*G35</f>
        <v>3000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04">
        <f t="shared" si="2"/>
        <v>700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04">
        <f t="shared" si="2"/>
        <v>150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58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8">
        <v>61578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8">
        <v>193355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8">
        <v>118134</v>
      </c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437975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81.5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46148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253</v>
      </c>
      <c r="D6" s="13">
        <f t="shared" ref="D6:D28" si="1">C6*L6</f>
        <v>192533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10</v>
      </c>
      <c r="D7" s="13">
        <f t="shared" si="1"/>
        <v>7810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>
        <v>67</v>
      </c>
      <c r="D8" s="13">
        <f t="shared" si="1"/>
        <v>73231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22</v>
      </c>
      <c r="D9" s="13">
        <f t="shared" si="1"/>
        <v>16126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4</v>
      </c>
      <c r="D10" s="13">
        <f t="shared" si="1"/>
        <v>4128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f>3+1</f>
        <v>4</v>
      </c>
      <c r="D12" s="48">
        <f t="shared" si="1"/>
        <v>3968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3</v>
      </c>
      <c r="D13" s="48">
        <f t="shared" si="1"/>
        <v>921</v>
      </c>
      <c r="F13" s="149" t="s">
        <v>36</v>
      </c>
      <c r="G13" s="150"/>
      <c r="H13" s="151">
        <f>D29</f>
        <v>302093.91666666669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18</v>
      </c>
      <c r="D14" s="31">
        <f t="shared" si="1"/>
        <v>198</v>
      </c>
      <c r="F14" s="154" t="s">
        <v>38</v>
      </c>
      <c r="G14" s="155"/>
      <c r="H14" s="156">
        <f>D54</f>
        <v>40819.5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>
        <f>1+1</f>
        <v>2</v>
      </c>
      <c r="D15" s="31">
        <f t="shared" si="1"/>
        <v>1240</v>
      </c>
      <c r="F15" s="159" t="s">
        <v>39</v>
      </c>
      <c r="G15" s="150"/>
      <c r="H15" s="160">
        <f>H13-H14</f>
        <v>261274.41666666669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6">
        <v>70631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>
        <v>11</v>
      </c>
      <c r="D26" s="48">
        <f t="shared" si="1"/>
        <v>638.91666666666674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302093.91666666669</v>
      </c>
      <c r="F29" s="172" t="s">
        <v>54</v>
      </c>
      <c r="G29" s="173"/>
      <c r="H29" s="176">
        <f>H15-H16-H17-H18-H19-H20-H22-H23-H24+H26+H27+H28</f>
        <v>190643.41666666669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04">
        <f t="shared" ref="H34:H39" si="2">F34*G34</f>
        <v>138000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04">
        <f t="shared" si="2"/>
        <v>36000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04">
        <f t="shared" si="2"/>
        <v>200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04">
        <f t="shared" si="2"/>
        <v>700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04">
        <f t="shared" si="2"/>
        <v>40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6</v>
      </c>
      <c r="D42" s="12">
        <f>C42*2.25</f>
        <v>13.5</v>
      </c>
      <c r="F42" s="39" t="s">
        <v>78</v>
      </c>
      <c r="G42" s="204">
        <v>117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8">
        <v>10000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137</v>
      </c>
      <c r="G45" s="62"/>
      <c r="H45" s="188">
        <v>7230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192287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6</v>
      </c>
      <c r="D50" s="12">
        <f>C50*1.5</f>
        <v>9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1643.5833333333139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46148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368</v>
      </c>
      <c r="D6" s="13">
        <f t="shared" ref="D6:D28" si="1">C6*L6</f>
        <v>280048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10</v>
      </c>
      <c r="D7" s="13">
        <f t="shared" si="1"/>
        <v>7810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54</v>
      </c>
      <c r="D9" s="13">
        <f t="shared" si="1"/>
        <v>39582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13</v>
      </c>
      <c r="D13" s="48">
        <f t="shared" si="1"/>
        <v>3991</v>
      </c>
      <c r="F13" s="149" t="s">
        <v>36</v>
      </c>
      <c r="G13" s="150"/>
      <c r="H13" s="151">
        <f>D29</f>
        <v>331431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48594.75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282836.25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v>2076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331431</v>
      </c>
      <c r="F29" s="172" t="s">
        <v>54</v>
      </c>
      <c r="G29" s="173"/>
      <c r="H29" s="176">
        <f>H15-H16-H17-H18-H19-H20-H22-H23-H24+H26+H27</f>
        <v>280760.25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04">
        <f>F34*G34</f>
        <v>227000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4">
        <f t="shared" ref="H35:H39" si="2">F35*G35</f>
        <v>53500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04">
        <f t="shared" si="2"/>
        <v>200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04">
        <f t="shared" si="2"/>
        <v>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4">
        <v>28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10</v>
      </c>
      <c r="D49" s="12">
        <f>C49*42</f>
        <v>420</v>
      </c>
      <c r="F49" s="229" t="s">
        <v>85</v>
      </c>
      <c r="G49" s="176">
        <f>H34+H35+H36+H37+H38+H39+H40+H41+G42+H44+H45+H46</f>
        <v>280778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17.75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331</v>
      </c>
      <c r="D6" s="13">
        <f t="shared" ref="D6:D28" si="1">C6*L6</f>
        <v>251891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10</v>
      </c>
      <c r="D7" s="13">
        <f t="shared" si="1"/>
        <v>7810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58</v>
      </c>
      <c r="D9" s="13">
        <f t="shared" si="1"/>
        <v>42514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6</v>
      </c>
      <c r="D10" s="13">
        <f t="shared" si="1"/>
        <v>6192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2</v>
      </c>
      <c r="D12" s="48">
        <f t="shared" si="1"/>
        <v>1984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11</v>
      </c>
      <c r="D13" s="48">
        <f t="shared" si="1"/>
        <v>3377</v>
      </c>
      <c r="F13" s="149" t="s">
        <v>36</v>
      </c>
      <c r="G13" s="150"/>
      <c r="H13" s="151">
        <f>D29</f>
        <v>324737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15</v>
      </c>
      <c r="D14" s="31">
        <f t="shared" si="1"/>
        <v>165</v>
      </c>
      <c r="F14" s="154" t="s">
        <v>38</v>
      </c>
      <c r="G14" s="155"/>
      <c r="H14" s="156">
        <f>D54</f>
        <v>48459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276278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3">
        <f>690+612+888</f>
        <v>2190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324737</v>
      </c>
      <c r="F29" s="172" t="s">
        <v>54</v>
      </c>
      <c r="G29" s="173"/>
      <c r="H29" s="176">
        <f>H15-H16-H17-H18-H19-H20-H22-H23-H24+H26+H27</f>
        <v>274038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04">
        <f>F34*G34</f>
        <v>126000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4">
        <f>F35*G35</f>
        <v>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04">
        <f t="shared" si="2"/>
        <v>100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2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8">
        <v>79238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8">
        <v>68148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273988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8</v>
      </c>
      <c r="D50" s="12">
        <f>C50*1.5</f>
        <v>12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-50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46149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46149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46149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46150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46150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46150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94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6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3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8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105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106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8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105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106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8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105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106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8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46157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120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75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71"/>
      <c r="G27" s="105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46157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6"/>
      <c r="I20" s="136"/>
      <c r="J20" s="13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2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25"/>
      <c r="G23" s="37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ref="H35:H39" si="2"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106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112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46157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124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122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121</v>
      </c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128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129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130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8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114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115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7"/>
      <c r="G22" s="73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8"/>
      <c r="G23" s="79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8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5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6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6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48</vt:i4>
      </vt:variant>
      <vt:variant>
        <vt:lpstr>Named Ranges</vt:lpstr>
      </vt:variant>
      <vt:variant>
        <vt:i4>47</vt:i4>
      </vt:variant>
    </vt:vector>
  </HeadingPairs>
  <TitlesOfParts>
    <vt:vector size="9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2026-05-07T00:16:55Z</cp:lastPrinted>
  <dcterms:created xsi:type="dcterms:W3CDTF">2024-09-01T23:36:50Z</dcterms:created>
  <dcterms:modified xsi:type="dcterms:W3CDTF">2026-05-07T01:09:02Z</dcterms:modified>
</cp:coreProperties>
</file>