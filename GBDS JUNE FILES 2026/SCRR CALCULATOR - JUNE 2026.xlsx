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87FE55A-517F-4A7B-B771-2C9C0CC835BC}" xr6:coauthVersionLast="45" xr6:coauthVersionMax="47" xr10:uidLastSave="{00000000-0000-0000-0000-000000000000}"/>
  <bookViews>
    <workbookView xWindow="-120" yWindow="-120" windowWidth="29040" windowHeight="15840" firstSheet="93" activeTab="102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  <sheet name="(24)" sheetId="2182" r:id="rId80"/>
    <sheet name="06,24 R1" sheetId="2183" r:id="rId81"/>
    <sheet name="06,24 R2" sheetId="2184" r:id="rId82"/>
    <sheet name="06,24 R3" sheetId="2185" r:id="rId83"/>
    <sheet name="(25)" sheetId="2186" r:id="rId84"/>
    <sheet name="06,25 R1" sheetId="2187" r:id="rId85"/>
    <sheet name="06,25 R2" sheetId="2188" r:id="rId86"/>
    <sheet name="06,25 R3" sheetId="2189" r:id="rId87"/>
    <sheet name="(26)" sheetId="2190" r:id="rId88"/>
    <sheet name="06,26 R1 NO TRIP" sheetId="2191" r:id="rId89"/>
    <sheet name="06,26 R2" sheetId="2192" r:id="rId90"/>
    <sheet name="06,26 R3" sheetId="2193" r:id="rId91"/>
    <sheet name="(27)" sheetId="2194" r:id="rId92"/>
    <sheet name="06,27 R1 COLLECTION" sheetId="2195" r:id="rId93"/>
    <sheet name="06,24 R2 NO TRIP" sheetId="2196" r:id="rId94"/>
    <sheet name="06,24 R3 NO TRIP" sheetId="2197" r:id="rId95"/>
    <sheet name="(29)" sheetId="2199" r:id="rId96"/>
    <sheet name="06,29 R1 " sheetId="2200" r:id="rId97"/>
    <sheet name="06,29 R2" sheetId="2201" r:id="rId98"/>
    <sheet name="06,29 R3" sheetId="2202" r:id="rId99"/>
    <sheet name="(30)" sheetId="2203" r:id="rId100"/>
    <sheet name="06,30 R1 " sheetId="2204" r:id="rId101"/>
    <sheet name="06,30 R2" sheetId="2205" r:id="rId102"/>
    <sheet name="06,30 R3" sheetId="2206" r:id="rId10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79">'(24)'!$A$1:$J$60</definedName>
    <definedName name="_xlnm.Print_Area" localSheetId="83">'(25)'!$A$1:$J$60</definedName>
    <definedName name="_xlnm.Print_Area" localSheetId="87">'(26)'!$A$1:$J$60</definedName>
    <definedName name="_xlnm.Print_Area" localSheetId="91">'(27)'!$A$1:$J$60</definedName>
    <definedName name="_xlnm.Print_Area" localSheetId="95">'(29)'!$A$1:$J$60</definedName>
    <definedName name="_xlnm.Print_Area" localSheetId="9">'(3)'!$A$1:$J$60</definedName>
    <definedName name="_xlnm.Print_Area" localSheetId="99">'(30)'!$A$1:$J$60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  <definedName name="_xlnm.Print_Area" localSheetId="80">'06,24 R1'!$A$1:$J$60</definedName>
    <definedName name="_xlnm.Print_Area" localSheetId="81">'06,24 R2'!$A$1:$J$60</definedName>
    <definedName name="_xlnm.Print_Area" localSheetId="93">'06,24 R2 NO TRIP'!$A$1:$J$60</definedName>
    <definedName name="_xlnm.Print_Area" localSheetId="82">'06,24 R3'!$A$1:$J$60</definedName>
    <definedName name="_xlnm.Print_Area" localSheetId="94">'06,24 R3 NO TRIP'!$A$1:$J$60</definedName>
    <definedName name="_xlnm.Print_Area" localSheetId="84">'06,25 R1'!$A$1:$J$60</definedName>
    <definedName name="_xlnm.Print_Area" localSheetId="85">'06,25 R2'!$A$1:$J$60</definedName>
    <definedName name="_xlnm.Print_Area" localSheetId="86">'06,25 R3'!$A$1:$J$60</definedName>
    <definedName name="_xlnm.Print_Area" localSheetId="88">'06,26 R1 NO TRIP'!$A$1:$J$60</definedName>
    <definedName name="_xlnm.Print_Area" localSheetId="89">'06,26 R2'!$A$1:$J$60</definedName>
    <definedName name="_xlnm.Print_Area" localSheetId="90">'06,26 R3'!$A$1:$J$60</definedName>
    <definedName name="_xlnm.Print_Area" localSheetId="92">'06,27 R1 COLLECTION'!$A$1:$J$60</definedName>
    <definedName name="_xlnm.Print_Area" localSheetId="96">'06,29 R1 '!$A$1:$J$60</definedName>
    <definedName name="_xlnm.Print_Area" localSheetId="97">'06,29 R2'!$A$1:$J$60</definedName>
    <definedName name="_xlnm.Print_Area" localSheetId="98">'06,29 R3'!$A$1:$J$60</definedName>
    <definedName name="_xlnm.Print_Area" localSheetId="100">'06,30 R1 '!$A$1:$J$60</definedName>
    <definedName name="_xlnm.Print_Area" localSheetId="101">'06,30 R2'!$A$1:$J$60</definedName>
    <definedName name="_xlnm.Print_Area" localSheetId="102">'06,30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2205" l="1"/>
  <c r="L14" i="2201" l="1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D42" i="2206"/>
  <c r="R41" i="2206"/>
  <c r="D41" i="2206"/>
  <c r="R40" i="2206"/>
  <c r="D40" i="2206"/>
  <c r="R39" i="2206"/>
  <c r="H39" i="2206"/>
  <c r="D39" i="2206"/>
  <c r="R38" i="2206"/>
  <c r="L9" i="2206" s="1"/>
  <c r="D9" i="2206" s="1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H35" i="2206"/>
  <c r="D35" i="2206"/>
  <c r="R34" i="2206"/>
  <c r="H34" i="2206"/>
  <c r="D34" i="2206"/>
  <c r="R33" i="2206"/>
  <c r="L19" i="2206" s="1"/>
  <c r="D19" i="2206" s="1"/>
  <c r="R32" i="2206"/>
  <c r="L11" i="2206" s="1"/>
  <c r="D11" i="2206" s="1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/>
  <c r="R25" i="2206"/>
  <c r="L25" i="2206"/>
  <c r="D25" i="2206" s="1"/>
  <c r="R24" i="2206"/>
  <c r="L24" i="2206"/>
  <c r="D24" i="2206"/>
  <c r="R23" i="2206"/>
  <c r="L23" i="2206"/>
  <c r="D23" i="2206" s="1"/>
  <c r="R22" i="2206"/>
  <c r="L20" i="2206" s="1"/>
  <c r="D20" i="2206" s="1"/>
  <c r="L22" i="2206"/>
  <c r="D22" i="2206" s="1"/>
  <c r="R21" i="2206"/>
  <c r="L21" i="2206"/>
  <c r="D21" i="2206"/>
  <c r="R20" i="2206"/>
  <c r="R19" i="2206"/>
  <c r="R18" i="2206"/>
  <c r="L18" i="2206"/>
  <c r="D18" i="2206"/>
  <c r="R17" i="2206"/>
  <c r="L17" i="2206"/>
  <c r="D17" i="2206" s="1"/>
  <c r="R16" i="2206"/>
  <c r="R15" i="2206"/>
  <c r="L15" i="2206"/>
  <c r="D15" i="2206"/>
  <c r="R14" i="2206"/>
  <c r="D14" i="2206"/>
  <c r="R13" i="2206"/>
  <c r="D13" i="2206"/>
  <c r="R12" i="2206"/>
  <c r="L12" i="2206"/>
  <c r="D12" i="2206" s="1"/>
  <c r="R11" i="2206"/>
  <c r="L8" i="2206"/>
  <c r="D8" i="2206" s="1"/>
  <c r="L7" i="2206"/>
  <c r="D7" i="2206"/>
  <c r="R6" i="2206"/>
  <c r="L16" i="2206" s="1"/>
  <c r="D16" i="2206" s="1"/>
  <c r="L6" i="2206"/>
  <c r="D6" i="2206" s="1"/>
  <c r="R5" i="2206"/>
  <c r="R4" i="2206"/>
  <c r="R52" i="2205"/>
  <c r="R51" i="2205"/>
  <c r="D50" i="2205"/>
  <c r="R49" i="2205"/>
  <c r="D49" i="2205"/>
  <c r="R48" i="2205"/>
  <c r="D48" i="2205"/>
  <c r="D46" i="2205"/>
  <c r="D45" i="2205"/>
  <c r="R44" i="2205"/>
  <c r="L28" i="2205" s="1"/>
  <c r="D28" i="2205" s="1"/>
  <c r="D44" i="2205"/>
  <c r="R42" i="2205"/>
  <c r="D42" i="2205"/>
  <c r="R41" i="2205"/>
  <c r="L7" i="2205" s="1"/>
  <c r="D7" i="2205" s="1"/>
  <c r="D41" i="2205"/>
  <c r="R40" i="2205"/>
  <c r="D40" i="2205"/>
  <c r="R39" i="2205"/>
  <c r="H39" i="2205"/>
  <c r="D39" i="2205"/>
  <c r="R38" i="2205"/>
  <c r="L9" i="2205" s="1"/>
  <c r="D9" i="2205" s="1"/>
  <c r="H38" i="2205"/>
  <c r="D38" i="2205"/>
  <c r="R37" i="2205"/>
  <c r="H37" i="2205"/>
  <c r="D37" i="2205"/>
  <c r="R36" i="2205"/>
  <c r="L10" i="2205" s="1"/>
  <c r="D10" i="2205" s="1"/>
  <c r="H36" i="2205"/>
  <c r="D36" i="2205"/>
  <c r="R35" i="2205"/>
  <c r="L18" i="2205" s="1"/>
  <c r="D18" i="2205" s="1"/>
  <c r="H35" i="2205"/>
  <c r="D35" i="2205"/>
  <c r="R34" i="2205"/>
  <c r="H34" i="2205"/>
  <c r="D34" i="2205"/>
  <c r="R33" i="2205"/>
  <c r="L19" i="2205" s="1"/>
  <c r="D19" i="2205" s="1"/>
  <c r="R32" i="2205"/>
  <c r="L11" i="2205" s="1"/>
  <c r="D11" i="2205" s="1"/>
  <c r="R31" i="2205"/>
  <c r="R30" i="2205"/>
  <c r="R29" i="2205"/>
  <c r="R28" i="2205"/>
  <c r="R27" i="2205"/>
  <c r="L27" i="2205"/>
  <c r="D27" i="2205"/>
  <c r="R26" i="2205"/>
  <c r="L26" i="2205"/>
  <c r="D26" i="2205"/>
  <c r="R25" i="2205"/>
  <c r="L25" i="2205"/>
  <c r="D25" i="2205" s="1"/>
  <c r="R24" i="2205"/>
  <c r="L24" i="2205"/>
  <c r="D24" i="2205"/>
  <c r="R23" i="2205"/>
  <c r="L23" i="2205"/>
  <c r="D23" i="2205" s="1"/>
  <c r="R22" i="2205"/>
  <c r="L20" i="2205" s="1"/>
  <c r="D20" i="2205" s="1"/>
  <c r="L22" i="2205"/>
  <c r="D22" i="2205" s="1"/>
  <c r="R21" i="2205"/>
  <c r="D21" i="2205"/>
  <c r="R20" i="2205"/>
  <c r="R19" i="2205"/>
  <c r="R18" i="2205"/>
  <c r="R17" i="2205"/>
  <c r="L17" i="2205"/>
  <c r="D17" i="2205"/>
  <c r="R16" i="2205"/>
  <c r="R15" i="2205"/>
  <c r="R14" i="2205"/>
  <c r="D14" i="2205"/>
  <c r="R13" i="2205"/>
  <c r="D13" i="2205"/>
  <c r="R12" i="2205"/>
  <c r="L12" i="2205"/>
  <c r="D12" i="2205"/>
  <c r="R11" i="2205"/>
  <c r="L8" i="2205"/>
  <c r="D8" i="2205" s="1"/>
  <c r="R6" i="2205"/>
  <c r="L16" i="2205" s="1"/>
  <c r="D16" i="2205" s="1"/>
  <c r="L6" i="2205"/>
  <c r="D6" i="2205"/>
  <c r="R5" i="2205"/>
  <c r="R4" i="2205"/>
  <c r="L15" i="2205" s="1"/>
  <c r="D15" i="2205" s="1"/>
  <c r="R52" i="2204"/>
  <c r="R51" i="2204"/>
  <c r="D50" i="2204"/>
  <c r="R49" i="2204"/>
  <c r="D49" i="2204"/>
  <c r="R48" i="2204"/>
  <c r="D48" i="2204"/>
  <c r="D46" i="2204"/>
  <c r="D45" i="2204"/>
  <c r="R44" i="2204"/>
  <c r="L28" i="2204" s="1"/>
  <c r="D28" i="2204" s="1"/>
  <c r="D44" i="2204"/>
  <c r="R42" i="2204"/>
  <c r="D42" i="2204"/>
  <c r="R41" i="2204"/>
  <c r="L7" i="2204" s="1"/>
  <c r="D7" i="2204" s="1"/>
  <c r="D41" i="2204"/>
  <c r="R40" i="2204"/>
  <c r="D40" i="2204"/>
  <c r="R39" i="2204"/>
  <c r="H39" i="2204"/>
  <c r="D39" i="2204"/>
  <c r="R38" i="2204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L18" i="2204" s="1"/>
  <c r="D18" i="2204" s="1"/>
  <c r="H35" i="2204"/>
  <c r="D35" i="2204"/>
  <c r="R34" i="2204"/>
  <c r="H34" i="2204"/>
  <c r="D34" i="2204"/>
  <c r="R33" i="2204"/>
  <c r="L19" i="2204" s="1"/>
  <c r="D19" i="2204" s="1"/>
  <c r="R32" i="2204"/>
  <c r="R31" i="2204"/>
  <c r="R30" i="2204"/>
  <c r="R29" i="2204"/>
  <c r="R28" i="2204"/>
  <c r="R27" i="2204"/>
  <c r="L27" i="2204"/>
  <c r="D27" i="2204"/>
  <c r="R26" i="2204"/>
  <c r="L26" i="2204"/>
  <c r="D26" i="2204"/>
  <c r="R25" i="2204"/>
  <c r="L25" i="2204"/>
  <c r="D25" i="2204"/>
  <c r="R24" i="2204"/>
  <c r="L24" i="2204"/>
  <c r="D24" i="2204"/>
  <c r="R23" i="2204"/>
  <c r="L23" i="2204"/>
  <c r="D23" i="2204" s="1"/>
  <c r="R22" i="2204"/>
  <c r="L22" i="2204"/>
  <c r="D22" i="2204" s="1"/>
  <c r="R21" i="2204"/>
  <c r="L21" i="2204"/>
  <c r="D21" i="2204"/>
  <c r="R20" i="2204"/>
  <c r="L20" i="2204"/>
  <c r="D20" i="2204" s="1"/>
  <c r="R19" i="2204"/>
  <c r="R18" i="2204"/>
  <c r="R17" i="2204"/>
  <c r="L17" i="2204"/>
  <c r="D17" i="2204"/>
  <c r="R16" i="2204"/>
  <c r="R15" i="2204"/>
  <c r="R14" i="2204"/>
  <c r="D14" i="2204"/>
  <c r="R13" i="2204"/>
  <c r="D13" i="2204"/>
  <c r="R12" i="2204"/>
  <c r="L12" i="2204"/>
  <c r="D12" i="2204"/>
  <c r="R11" i="2204"/>
  <c r="L11" i="2204"/>
  <c r="D11" i="2204"/>
  <c r="L9" i="2204"/>
  <c r="D9" i="2204" s="1"/>
  <c r="L8" i="2204"/>
  <c r="D8" i="2204" s="1"/>
  <c r="R6" i="2204"/>
  <c r="L16" i="2204" s="1"/>
  <c r="D16" i="2204" s="1"/>
  <c r="L6" i="2204"/>
  <c r="D6" i="2204" s="1"/>
  <c r="R5" i="2204"/>
  <c r="R4" i="2204"/>
  <c r="L15" i="2204" s="1"/>
  <c r="D15" i="2204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D54" i="2203" s="1"/>
  <c r="H14" i="2203" s="1"/>
  <c r="R42" i="2203"/>
  <c r="L6" i="2203" s="1"/>
  <c r="D6" i="2203" s="1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D36" i="2203"/>
  <c r="R35" i="2203"/>
  <c r="D35" i="2203"/>
  <c r="R34" i="2203"/>
  <c r="D34" i="2203"/>
  <c r="R33" i="2203"/>
  <c r="R32" i="2203"/>
  <c r="L11" i="2203" s="1"/>
  <c r="D11" i="2203" s="1"/>
  <c r="R31" i="2203"/>
  <c r="R30" i="2203"/>
  <c r="R29" i="2203"/>
  <c r="R28" i="2203"/>
  <c r="L16" i="2203" s="1"/>
  <c r="D16" i="2203" s="1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L23" i="2203"/>
  <c r="D23" i="2203" s="1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S15" i="2203"/>
  <c r="R15" i="2203"/>
  <c r="D15" i="2203"/>
  <c r="S14" i="2203"/>
  <c r="R14" i="2203"/>
  <c r="D14" i="2203"/>
  <c r="R13" i="2203"/>
  <c r="D13" i="2203"/>
  <c r="R12" i="2203"/>
  <c r="L12" i="2203"/>
  <c r="D12" i="2203" s="1"/>
  <c r="R11" i="2203"/>
  <c r="L10" i="2203"/>
  <c r="D10" i="2203" s="1"/>
  <c r="L9" i="2203"/>
  <c r="D9" i="2203"/>
  <c r="R6" i="2203"/>
  <c r="R5" i="2203"/>
  <c r="R4" i="2203"/>
  <c r="G49" i="2205" l="1"/>
  <c r="G49" i="2204"/>
  <c r="G49" i="2206"/>
  <c r="D54" i="2206"/>
  <c r="H14" i="2206" s="1"/>
  <c r="D54" i="2205"/>
  <c r="H14" i="2205" s="1"/>
  <c r="D29" i="2205"/>
  <c r="H13" i="2205" s="1"/>
  <c r="D54" i="2204"/>
  <c r="H14" i="2204" s="1"/>
  <c r="D29" i="2206"/>
  <c r="H13" i="2206" s="1"/>
  <c r="D29" i="2204"/>
  <c r="H13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L7" i="2202" s="1"/>
  <c r="D7" i="2202" s="1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L10" i="2202" s="1"/>
  <c r="D10" i="2202" s="1"/>
  <c r="H36" i="2202"/>
  <c r="D36" i="2202"/>
  <c r="R35" i="2202"/>
  <c r="L18" i="2202" s="1"/>
  <c r="D18" i="2202" s="1"/>
  <c r="H35" i="2202"/>
  <c r="D35" i="2202"/>
  <c r="R34" i="2202"/>
  <c r="H34" i="2202"/>
  <c r="D34" i="2202"/>
  <c r="R33" i="2202"/>
  <c r="R32" i="2202"/>
  <c r="L11" i="2202" s="1"/>
  <c r="D11" i="2202" s="1"/>
  <c r="R31" i="2202"/>
  <c r="R30" i="2202"/>
  <c r="R29" i="2202"/>
  <c r="R28" i="2202"/>
  <c r="R27" i="2202"/>
  <c r="L27" i="2202"/>
  <c r="D27" i="2202" s="1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 s="1"/>
  <c r="R22" i="2202"/>
  <c r="L22" i="2202"/>
  <c r="D22" i="2202"/>
  <c r="R21" i="2202"/>
  <c r="L21" i="2202"/>
  <c r="D21" i="2202"/>
  <c r="R20" i="2202"/>
  <c r="L20" i="2202"/>
  <c r="D20" i="2202" s="1"/>
  <c r="R19" i="2202"/>
  <c r="L19" i="2202"/>
  <c r="D19" i="2202" s="1"/>
  <c r="R18" i="2202"/>
  <c r="R17" i="2202"/>
  <c r="L17" i="2202"/>
  <c r="D17" i="2202"/>
  <c r="R16" i="2202"/>
  <c r="R15" i="2202"/>
  <c r="R14" i="2202"/>
  <c r="D14" i="2202"/>
  <c r="R13" i="2202"/>
  <c r="D13" i="2202"/>
  <c r="R12" i="2202"/>
  <c r="L12" i="2202"/>
  <c r="D12" i="2202"/>
  <c r="R11" i="2202"/>
  <c r="L9" i="2202"/>
  <c r="D9" i="2202" s="1"/>
  <c r="L8" i="2202"/>
  <c r="D8" i="2202"/>
  <c r="R6" i="2202"/>
  <c r="L16" i="2202" s="1"/>
  <c r="D16" i="2202" s="1"/>
  <c r="L6" i="2202"/>
  <c r="D6" i="2202" s="1"/>
  <c r="R5" i="2202"/>
  <c r="R4" i="2202"/>
  <c r="L15" i="2202" s="1"/>
  <c r="D15" i="2202" s="1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L12" i="2201" s="1"/>
  <c r="D12" i="2201" s="1"/>
  <c r="H34" i="2201"/>
  <c r="D34" i="2201"/>
  <c r="R33" i="2201"/>
  <c r="L19" i="2201" s="1"/>
  <c r="D19" i="2201" s="1"/>
  <c r="R32" i="2201"/>
  <c r="L11" i="2201" s="1"/>
  <c r="D11" i="2201" s="1"/>
  <c r="R31" i="2201"/>
  <c r="R30" i="2201"/>
  <c r="R29" i="2201"/>
  <c r="R28" i="2201"/>
  <c r="R27" i="2201"/>
  <c r="L27" i="2201"/>
  <c r="D27" i="2201"/>
  <c r="R26" i="2201"/>
  <c r="L26" i="2201"/>
  <c r="D26" i="2201"/>
  <c r="R25" i="2201"/>
  <c r="L25" i="2201"/>
  <c r="D25" i="2201" s="1"/>
  <c r="R24" i="2201"/>
  <c r="L24" i="2201"/>
  <c r="D24" i="2201"/>
  <c r="R23" i="2201"/>
  <c r="L23" i="2201"/>
  <c r="D23" i="2201" s="1"/>
  <c r="R22" i="2201"/>
  <c r="L22" i="2201"/>
  <c r="D22" i="2201"/>
  <c r="R21" i="2201"/>
  <c r="D21" i="2201"/>
  <c r="R20" i="2201"/>
  <c r="L20" i="2201"/>
  <c r="D20" i="2201"/>
  <c r="R19" i="2201"/>
  <c r="R18" i="2201"/>
  <c r="L18" i="2201"/>
  <c r="D18" i="2201"/>
  <c r="R17" i="2201"/>
  <c r="L17" i="2201"/>
  <c r="D17" i="2201"/>
  <c r="R16" i="2201"/>
  <c r="R15" i="2201"/>
  <c r="L15" i="2201"/>
  <c r="D15" i="2201"/>
  <c r="R14" i="2201"/>
  <c r="D14" i="2201"/>
  <c r="R13" i="2201"/>
  <c r="D13" i="2201"/>
  <c r="R12" i="2201"/>
  <c r="R11" i="2201"/>
  <c r="L10" i="2201"/>
  <c r="D10" i="2201"/>
  <c r="L9" i="2201"/>
  <c r="D9" i="2201"/>
  <c r="L8" i="2201"/>
  <c r="D8" i="2201" s="1"/>
  <c r="L7" i="2201"/>
  <c r="D7" i="2201"/>
  <c r="R6" i="2201"/>
  <c r="L16" i="2201" s="1"/>
  <c r="D16" i="2201" s="1"/>
  <c r="L6" i="2201"/>
  <c r="D6" i="2201" s="1"/>
  <c r="R5" i="2201"/>
  <c r="R4" i="2201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/>
  <c r="R27" i="2200"/>
  <c r="L27" i="2200"/>
  <c r="D27" i="2200"/>
  <c r="R26" i="2200"/>
  <c r="L26" i="2200"/>
  <c r="D26" i="2200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/>
  <c r="R17" i="2200"/>
  <c r="L17" i="2200"/>
  <c r="D17" i="2200" s="1"/>
  <c r="R16" i="2200"/>
  <c r="R15" i="2200"/>
  <c r="L15" i="2200"/>
  <c r="D15" i="2200" s="1"/>
  <c r="R14" i="2200"/>
  <c r="D14" i="2200"/>
  <c r="R13" i="2200"/>
  <c r="D13" i="2200"/>
  <c r="R12" i="2200"/>
  <c r="L12" i="2200"/>
  <c r="D12" i="2200" s="1"/>
  <c r="R11" i="2200"/>
  <c r="L11" i="2200"/>
  <c r="D11" i="2200" s="1"/>
  <c r="L9" i="2200"/>
  <c r="D9" i="2200" s="1"/>
  <c r="L8" i="2200"/>
  <c r="D8" i="2200"/>
  <c r="L7" i="2200"/>
  <c r="D7" i="2200"/>
  <c r="R6" i="2200"/>
  <c r="L16" i="2200" s="1"/>
  <c r="D16" i="2200" s="1"/>
  <c r="R5" i="2200"/>
  <c r="R4" i="2200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L16" i="2199"/>
  <c r="D16" i="2199" s="1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/>
  <c r="L8" i="2199"/>
  <c r="D8" i="2199"/>
  <c r="R6" i="2199"/>
  <c r="R5" i="2199"/>
  <c r="R4" i="2199"/>
  <c r="H15" i="2206" l="1"/>
  <c r="H29" i="2206" s="1"/>
  <c r="G51" i="2206" s="1"/>
  <c r="H15" i="2205"/>
  <c r="H29" i="2205" s="1"/>
  <c r="G51" i="2205" s="1"/>
  <c r="H15" i="2204"/>
  <c r="H29" i="2204" s="1"/>
  <c r="G51" i="2204" s="1"/>
  <c r="G49" i="2200"/>
  <c r="G49" i="2201"/>
  <c r="G49" i="2202"/>
  <c r="D54" i="2201"/>
  <c r="H14" i="2201" s="1"/>
  <c r="D54" i="2202"/>
  <c r="H14" i="2202" s="1"/>
  <c r="D54" i="2200"/>
  <c r="H14" i="2200" s="1"/>
  <c r="D29" i="2200"/>
  <c r="H13" i="2200" s="1"/>
  <c r="D29" i="2202"/>
  <c r="H13" i="2202" s="1"/>
  <c r="D29" i="2201"/>
  <c r="H13" i="2201" s="1"/>
  <c r="D29" i="2199"/>
  <c r="H13" i="2199" s="1"/>
  <c r="H15" i="2199" s="1"/>
  <c r="H29" i="2199" s="1"/>
  <c r="G51" i="2199" s="1"/>
  <c r="C19" i="2193"/>
  <c r="C12" i="2193"/>
  <c r="C15" i="2193"/>
  <c r="R52" i="2197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H35" i="2197"/>
  <c r="D35" i="2197"/>
  <c r="R34" i="2197"/>
  <c r="H34" i="2197"/>
  <c r="G49" i="2197" s="1"/>
  <c r="D34" i="2197"/>
  <c r="D54" i="2197" s="1"/>
  <c r="H14" i="2197" s="1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L18" i="2197"/>
  <c r="D18" i="2197"/>
  <c r="R17" i="2197"/>
  <c r="L17" i="2197"/>
  <c r="D17" i="2197" s="1"/>
  <c r="R16" i="2197"/>
  <c r="R15" i="2197"/>
  <c r="L15" i="2197"/>
  <c r="D15" i="2197"/>
  <c r="R14" i="2197"/>
  <c r="D14" i="2197"/>
  <c r="R13" i="2197"/>
  <c r="D13" i="2197"/>
  <c r="R12" i="2197"/>
  <c r="L12" i="2197"/>
  <c r="D12" i="2197" s="1"/>
  <c r="R11" i="2197"/>
  <c r="L8" i="2197"/>
  <c r="D8" i="2197"/>
  <c r="L7" i="2197"/>
  <c r="D7" i="2197"/>
  <c r="R6" i="2197"/>
  <c r="L16" i="2197" s="1"/>
  <c r="D16" i="2197" s="1"/>
  <c r="L6" i="2197"/>
  <c r="D6" i="2197" s="1"/>
  <c r="R5" i="2197"/>
  <c r="R4" i="2197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L6" i="2196" s="1"/>
  <c r="D6" i="2196" s="1"/>
  <c r="D42" i="2196"/>
  <c r="R41" i="2196"/>
  <c r="D41" i="2196"/>
  <c r="R40" i="2196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G49" i="2196" s="1"/>
  <c r="D34" i="2196"/>
  <c r="R33" i="2196"/>
  <c r="R32" i="2196"/>
  <c r="L11" i="2196" s="1"/>
  <c r="D11" i="2196" s="1"/>
  <c r="R31" i="2196"/>
  <c r="R30" i="2196"/>
  <c r="R29" i="2196"/>
  <c r="R28" i="2196"/>
  <c r="L28" i="2196"/>
  <c r="D28" i="2196"/>
  <c r="R27" i="2196"/>
  <c r="L27" i="2196"/>
  <c r="D27" i="2196" s="1"/>
  <c r="R26" i="2196"/>
  <c r="L26" i="2196"/>
  <c r="D26" i="2196" s="1"/>
  <c r="R25" i="2196"/>
  <c r="L25" i="2196"/>
  <c r="D25" i="2196"/>
  <c r="R24" i="2196"/>
  <c r="L24" i="2196"/>
  <c r="D24" i="2196"/>
  <c r="R23" i="2196"/>
  <c r="L23" i="2196"/>
  <c r="D23" i="2196"/>
  <c r="R22" i="2196"/>
  <c r="L20" i="2196" s="1"/>
  <c r="D20" i="2196" s="1"/>
  <c r="L22" i="2196"/>
  <c r="D22" i="2196" s="1"/>
  <c r="R21" i="2196"/>
  <c r="D21" i="2196"/>
  <c r="R20" i="2196"/>
  <c r="R19" i="2196"/>
  <c r="L19" i="2196"/>
  <c r="D19" i="2196"/>
  <c r="R18" i="2196"/>
  <c r="L18" i="2196"/>
  <c r="D18" i="2196"/>
  <c r="R17" i="2196"/>
  <c r="L17" i="2196"/>
  <c r="D17" i="2196"/>
  <c r="R16" i="2196"/>
  <c r="R15" i="2196"/>
  <c r="R14" i="2196"/>
  <c r="D14" i="2196"/>
  <c r="R13" i="2196"/>
  <c r="D13" i="2196"/>
  <c r="R12" i="2196"/>
  <c r="L12" i="2196"/>
  <c r="D12" i="2196"/>
  <c r="R11" i="2196"/>
  <c r="L8" i="2196"/>
  <c r="D8" i="2196"/>
  <c r="L7" i="2196"/>
  <c r="D7" i="2196"/>
  <c r="R6" i="2196"/>
  <c r="L16" i="2196" s="1"/>
  <c r="D16" i="2196" s="1"/>
  <c r="R5" i="2196"/>
  <c r="R4" i="2196"/>
  <c r="L15" i="2196" s="1"/>
  <c r="D15" i="2196" s="1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D42" i="2195"/>
  <c r="R41" i="2195"/>
  <c r="L7" i="2195" s="1"/>
  <c r="D7" i="2195" s="1"/>
  <c r="D41" i="2195"/>
  <c r="R40" i="2195"/>
  <c r="D40" i="2195"/>
  <c r="D54" i="2195" s="1"/>
  <c r="H14" i="2195" s="1"/>
  <c r="R39" i="2195"/>
  <c r="H39" i="2195"/>
  <c r="D39" i="2195"/>
  <c r="R38" i="2195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L18" i="2195" s="1"/>
  <c r="D18" i="2195" s="1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 s="1"/>
  <c r="R22" i="2195"/>
  <c r="L20" i="2195" s="1"/>
  <c r="D20" i="2195" s="1"/>
  <c r="L22" i="2195"/>
  <c r="D22" i="2195" s="1"/>
  <c r="R21" i="2195"/>
  <c r="L21" i="2195"/>
  <c r="D21" i="2195" s="1"/>
  <c r="R20" i="2195"/>
  <c r="R19" i="2195"/>
  <c r="L19" i="2195"/>
  <c r="D19" i="2195"/>
  <c r="R18" i="2195"/>
  <c r="R17" i="2195"/>
  <c r="L17" i="2195"/>
  <c r="D17" i="2195" s="1"/>
  <c r="R16" i="2195"/>
  <c r="R15" i="2195"/>
  <c r="R14" i="2195"/>
  <c r="D14" i="2195"/>
  <c r="R13" i="2195"/>
  <c r="D13" i="2195"/>
  <c r="R12" i="2195"/>
  <c r="L12" i="2195"/>
  <c r="D12" i="2195"/>
  <c r="R11" i="2195"/>
  <c r="L9" i="2195"/>
  <c r="D9" i="2195" s="1"/>
  <c r="L8" i="2195"/>
  <c r="D8" i="2195"/>
  <c r="R6" i="2195"/>
  <c r="L16" i="2195" s="1"/>
  <c r="D16" i="2195" s="1"/>
  <c r="L6" i="2195"/>
  <c r="D6" i="2195"/>
  <c r="R5" i="2195"/>
  <c r="R4" i="2195"/>
  <c r="L15" i="2195" s="1"/>
  <c r="D15" i="2195" s="1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D42" i="2194"/>
  <c r="R41" i="2194"/>
  <c r="L7" i="2194" s="1"/>
  <c r="D7" i="2194" s="1"/>
  <c r="D41" i="2194"/>
  <c r="R40" i="2194"/>
  <c r="L8" i="2194" s="1"/>
  <c r="D8" i="2194" s="1"/>
  <c r="D40" i="2194"/>
  <c r="R39" i="2194"/>
  <c r="D39" i="2194"/>
  <c r="D54" i="2194" s="1"/>
  <c r="H14" i="2194" s="1"/>
  <c r="R38" i="2194"/>
  <c r="D38" i="2194"/>
  <c r="R37" i="2194"/>
  <c r="D37" i="2194"/>
  <c r="R36" i="2194"/>
  <c r="D36" i="2194"/>
  <c r="R35" i="2194"/>
  <c r="L19" i="2194" s="1"/>
  <c r="D19" i="2194" s="1"/>
  <c r="D35" i="2194"/>
  <c r="R34" i="2194"/>
  <c r="D34" i="2194"/>
  <c r="R33" i="2194"/>
  <c r="R32" i="2194"/>
  <c r="L11" i="2194" s="1"/>
  <c r="D11" i="2194" s="1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/>
  <c r="R25" i="2194"/>
  <c r="L25" i="2194"/>
  <c r="D25" i="2194"/>
  <c r="R24" i="2194"/>
  <c r="D24" i="2194"/>
  <c r="R23" i="2194"/>
  <c r="L23" i="2194"/>
  <c r="D23" i="2194"/>
  <c r="R22" i="2194"/>
  <c r="L22" i="2194"/>
  <c r="D22" i="2194"/>
  <c r="R21" i="2194"/>
  <c r="D21" i="2194"/>
  <c r="R20" i="2194"/>
  <c r="L20" i="2194"/>
  <c r="D20" i="2194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L12" i="2194"/>
  <c r="D12" i="2194"/>
  <c r="R11" i="2194"/>
  <c r="L10" i="2194"/>
  <c r="D10" i="2194"/>
  <c r="L9" i="2194"/>
  <c r="D9" i="2194"/>
  <c r="R6" i="2194"/>
  <c r="L6" i="2194"/>
  <c r="D6" i="2194"/>
  <c r="R5" i="2194"/>
  <c r="R4" i="2194"/>
  <c r="H15" i="2201" l="1"/>
  <c r="H29" i="2201" s="1"/>
  <c r="G51" i="2201" s="1"/>
  <c r="H15" i="2202"/>
  <c r="H29" i="2202" s="1"/>
  <c r="G51" i="2202" s="1"/>
  <c r="H15" i="2200"/>
  <c r="H29" i="2200" s="1"/>
  <c r="G51" i="2200" s="1"/>
  <c r="D54" i="2196"/>
  <c r="H14" i="2196" s="1"/>
  <c r="G49" i="2195"/>
  <c r="D29" i="2197"/>
  <c r="H13" i="2197" s="1"/>
  <c r="H15" i="2197" s="1"/>
  <c r="H29" i="2197" s="1"/>
  <c r="G51" i="2197" s="1"/>
  <c r="D29" i="2196"/>
  <c r="H13" i="2196" s="1"/>
  <c r="H15" i="2196" s="1"/>
  <c r="H29" i="2196" s="1"/>
  <c r="G51" i="2196" s="1"/>
  <c r="D29" i="2195"/>
  <c r="H13" i="2195" s="1"/>
  <c r="H15" i="2195" s="1"/>
  <c r="H29" i="2195" s="1"/>
  <c r="G51" i="2195" s="1"/>
  <c r="D29" i="2194"/>
  <c r="H13" i="2194" s="1"/>
  <c r="H15" i="2194" s="1"/>
  <c r="H29" i="2194" s="1"/>
  <c r="G51" i="2194" s="1"/>
  <c r="C12" i="2187"/>
  <c r="C16" i="2187"/>
  <c r="R52" i="2193"/>
  <c r="R51" i="2193"/>
  <c r="D50" i="2193"/>
  <c r="R49" i="2193"/>
  <c r="D49" i="2193"/>
  <c r="R48" i="2193"/>
  <c r="D48" i="2193"/>
  <c r="D46" i="2193"/>
  <c r="D45" i="2193"/>
  <c r="R44" i="2193"/>
  <c r="L28" i="2193" s="1"/>
  <c r="D28" i="2193" s="1"/>
  <c r="D44" i="2193"/>
  <c r="R42" i="2193"/>
  <c r="D42" i="2193"/>
  <c r="R41" i="2193"/>
  <c r="L7" i="2193" s="1"/>
  <c r="D7" i="2193" s="1"/>
  <c r="D41" i="2193"/>
  <c r="R40" i="2193"/>
  <c r="L8" i="2193" s="1"/>
  <c r="D8" i="2193" s="1"/>
  <c r="D40" i="2193"/>
  <c r="R39" i="2193"/>
  <c r="H39" i="2193"/>
  <c r="D39" i="2193"/>
  <c r="R38" i="2193"/>
  <c r="H38" i="2193"/>
  <c r="D38" i="2193"/>
  <c r="R37" i="2193"/>
  <c r="H37" i="2193"/>
  <c r="D37" i="2193"/>
  <c r="R36" i="2193"/>
  <c r="L10" i="2193" s="1"/>
  <c r="D10" i="2193" s="1"/>
  <c r="H36" i="2193"/>
  <c r="D36" i="2193"/>
  <c r="R35" i="2193"/>
  <c r="L18" i="2193" s="1"/>
  <c r="D18" i="2193" s="1"/>
  <c r="H35" i="2193"/>
  <c r="D35" i="2193"/>
  <c r="R34" i="2193"/>
  <c r="H34" i="2193"/>
  <c r="D34" i="2193"/>
  <c r="R33" i="2193"/>
  <c r="R32" i="2193"/>
  <c r="R31" i="2193"/>
  <c r="R30" i="2193"/>
  <c r="R29" i="2193"/>
  <c r="R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0" i="2193" s="1"/>
  <c r="D20" i="2193" s="1"/>
  <c r="L22" i="2193"/>
  <c r="D22" i="2193"/>
  <c r="R21" i="2193"/>
  <c r="L17" i="2193" s="1"/>
  <c r="D17" i="2193" s="1"/>
  <c r="L21" i="2193"/>
  <c r="D21" i="2193"/>
  <c r="R20" i="2193"/>
  <c r="R19" i="2193"/>
  <c r="L19" i="2193"/>
  <c r="D19" i="2193"/>
  <c r="R18" i="2193"/>
  <c r="R17" i="2193"/>
  <c r="R16" i="2193"/>
  <c r="L16" i="2193"/>
  <c r="D16" i="2193" s="1"/>
  <c r="R15" i="2193"/>
  <c r="R14" i="2193"/>
  <c r="D14" i="2193"/>
  <c r="R13" i="2193"/>
  <c r="D13" i="2193"/>
  <c r="R12" i="2193"/>
  <c r="L12" i="2193"/>
  <c r="D12" i="2193"/>
  <c r="R11" i="2193"/>
  <c r="L11" i="2193"/>
  <c r="D11" i="2193" s="1"/>
  <c r="L9" i="2193"/>
  <c r="D9" i="2193"/>
  <c r="R6" i="2193"/>
  <c r="L6" i="2193"/>
  <c r="D6" i="2193" s="1"/>
  <c r="R5" i="2193"/>
  <c r="R4" i="2193"/>
  <c r="L15" i="2193" s="1"/>
  <c r="D15" i="2193" s="1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L9" i="2192" s="1"/>
  <c r="D9" i="2192" s="1"/>
  <c r="H38" i="2192"/>
  <c r="D38" i="2192"/>
  <c r="R37" i="2192"/>
  <c r="H37" i="2192"/>
  <c r="D37" i="2192"/>
  <c r="R36" i="2192"/>
  <c r="H36" i="2192"/>
  <c r="D36" i="2192"/>
  <c r="R35" i="2192"/>
  <c r="L18" i="2192" s="1"/>
  <c r="D18" i="2192" s="1"/>
  <c r="H35" i="2192"/>
  <c r="D35" i="2192"/>
  <c r="R34" i="2192"/>
  <c r="L12" i="2192" s="1"/>
  <c r="D12" i="2192" s="1"/>
  <c r="H34" i="2192"/>
  <c r="D34" i="2192"/>
  <c r="R33" i="2192"/>
  <c r="L19" i="2192" s="1"/>
  <c r="D19" i="2192" s="1"/>
  <c r="R32" i="2192"/>
  <c r="L11" i="2192" s="1"/>
  <c r="D11" i="2192" s="1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 s="1"/>
  <c r="R24" i="2192"/>
  <c r="L24" i="2192"/>
  <c r="D24" i="2192" s="1"/>
  <c r="R23" i="2192"/>
  <c r="L23" i="2192"/>
  <c r="D23" i="2192" s="1"/>
  <c r="R22" i="2192"/>
  <c r="L22" i="2192"/>
  <c r="D22" i="2192"/>
  <c r="R21" i="2192"/>
  <c r="L17" i="2192" s="1"/>
  <c r="D17" i="2192" s="1"/>
  <c r="D21" i="2192"/>
  <c r="R20" i="2192"/>
  <c r="L20" i="2192"/>
  <c r="D20" i="2192"/>
  <c r="R19" i="2192"/>
  <c r="R18" i="2192"/>
  <c r="R17" i="2192"/>
  <c r="R16" i="2192"/>
  <c r="L16" i="2192"/>
  <c r="D16" i="2192"/>
  <c r="R15" i="2192"/>
  <c r="L15" i="2192"/>
  <c r="D15" i="2192"/>
  <c r="R14" i="2192"/>
  <c r="D14" i="2192"/>
  <c r="R13" i="2192"/>
  <c r="D13" i="2192"/>
  <c r="R12" i="2192"/>
  <c r="R11" i="2192"/>
  <c r="L10" i="2192"/>
  <c r="D10" i="2192"/>
  <c r="L8" i="2192"/>
  <c r="D8" i="2192" s="1"/>
  <c r="L7" i="2192"/>
  <c r="D7" i="2192" s="1"/>
  <c r="R6" i="2192"/>
  <c r="L6" i="2192"/>
  <c r="D6" i="2192" s="1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L28" i="2191" s="1"/>
  <c r="D28" i="2191" s="1"/>
  <c r="D44" i="2191"/>
  <c r="R42" i="2191"/>
  <c r="D42" i="2191"/>
  <c r="R41" i="2191"/>
  <c r="L7" i="2191" s="1"/>
  <c r="D7" i="2191" s="1"/>
  <c r="D41" i="2191"/>
  <c r="R40" i="219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L18" i="2191" s="1"/>
  <c r="D18" i="2191" s="1"/>
  <c r="H35" i="2191"/>
  <c r="D35" i="2191"/>
  <c r="R34" i="2191"/>
  <c r="L12" i="2191" s="1"/>
  <c r="H34" i="2191"/>
  <c r="G49" i="2191" s="1"/>
  <c r="D34" i="2191"/>
  <c r="R33" i="2191"/>
  <c r="R32" i="2191"/>
  <c r="R31" i="2191"/>
  <c r="R30" i="2191"/>
  <c r="R29" i="2191"/>
  <c r="R28" i="2191"/>
  <c r="R27" i="2191"/>
  <c r="L27" i="2191"/>
  <c r="D27" i="2191"/>
  <c r="R26" i="2191"/>
  <c r="L26" i="2191"/>
  <c r="D26" i="2191"/>
  <c r="R25" i="2191"/>
  <c r="L25" i="2191"/>
  <c r="D25" i="2191"/>
  <c r="R24" i="2191"/>
  <c r="L24" i="2191"/>
  <c r="D24" i="2191" s="1"/>
  <c r="R23" i="2191"/>
  <c r="L23" i="2191"/>
  <c r="D23" i="2191" s="1"/>
  <c r="R22" i="2191"/>
  <c r="L20" i="2191" s="1"/>
  <c r="D20" i="2191" s="1"/>
  <c r="L22" i="2191"/>
  <c r="D22" i="2191"/>
  <c r="R21" i="2191"/>
  <c r="L17" i="2191" s="1"/>
  <c r="D17" i="2191" s="1"/>
  <c r="L21" i="2191"/>
  <c r="D21" i="2191"/>
  <c r="R20" i="2191"/>
  <c r="R19" i="2191"/>
  <c r="L19" i="2191"/>
  <c r="D19" i="2191"/>
  <c r="R18" i="2191"/>
  <c r="R17" i="2191"/>
  <c r="R16" i="2191"/>
  <c r="L16" i="2191"/>
  <c r="D16" i="2191"/>
  <c r="R15" i="2191"/>
  <c r="R14" i="2191"/>
  <c r="D14" i="2191"/>
  <c r="R13" i="2191"/>
  <c r="D13" i="2191"/>
  <c r="R12" i="2191"/>
  <c r="D12" i="2191"/>
  <c r="R11" i="2191"/>
  <c r="L11" i="2191"/>
  <c r="D11" i="2191"/>
  <c r="L9" i="2191"/>
  <c r="D9" i="2191"/>
  <c r="L8" i="2191"/>
  <c r="D8" i="2191" s="1"/>
  <c r="R6" i="2191"/>
  <c r="L6" i="2191"/>
  <c r="D6" i="2191"/>
  <c r="R5" i="2191"/>
  <c r="R4" i="2191"/>
  <c r="L15" i="2191" s="1"/>
  <c r="D15" i="2191" s="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L6" i="2190" s="1"/>
  <c r="D6" i="2190" s="1"/>
  <c r="D42" i="2190"/>
  <c r="R41" i="2190"/>
  <c r="L7" i="2190" s="1"/>
  <c r="D7" i="2190" s="1"/>
  <c r="D41" i="2190"/>
  <c r="R40" i="2190"/>
  <c r="D40" i="2190"/>
  <c r="R39" i="2190"/>
  <c r="D39" i="2190"/>
  <c r="R38" i="2190"/>
  <c r="L9" i="2190" s="1"/>
  <c r="D9" i="2190" s="1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R31" i="2190"/>
  <c r="R30" i="2190"/>
  <c r="R29" i="2190"/>
  <c r="R28" i="2190"/>
  <c r="L16" i="2190" s="1"/>
  <c r="D16" i="2190" s="1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 s="1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S15" i="2190"/>
  <c r="R15" i="2190"/>
  <c r="D15" i="2190"/>
  <c r="S14" i="2190"/>
  <c r="R14" i="2190"/>
  <c r="D14" i="2190"/>
  <c r="R13" i="2190"/>
  <c r="D13" i="2190"/>
  <c r="R12" i="2190"/>
  <c r="R11" i="2190"/>
  <c r="L11" i="2190"/>
  <c r="D11" i="2190" s="1"/>
  <c r="L8" i="2190"/>
  <c r="D8" i="2190"/>
  <c r="R6" i="2190"/>
  <c r="R5" i="2190"/>
  <c r="R4" i="2190"/>
  <c r="G49" i="2193" l="1"/>
  <c r="G49" i="2192"/>
  <c r="D54" i="2193"/>
  <c r="H14" i="2193" s="1"/>
  <c r="D29" i="2193"/>
  <c r="H13" i="2193" s="1"/>
  <c r="D54" i="2192"/>
  <c r="H14" i="2192" s="1"/>
  <c r="D54" i="2191"/>
  <c r="H14" i="2191" s="1"/>
  <c r="D29" i="2192"/>
  <c r="H13" i="2192" s="1"/>
  <c r="D29" i="2191"/>
  <c r="H13" i="2191" s="1"/>
  <c r="H15" i="2191" s="1"/>
  <c r="H29" i="2191" s="1"/>
  <c r="G51" i="2191"/>
  <c r="D29" i="2190"/>
  <c r="H13" i="2190" s="1"/>
  <c r="H15" i="2190" s="1"/>
  <c r="H29" i="2190" s="1"/>
  <c r="G51" i="2190"/>
  <c r="H16" i="2185"/>
  <c r="C12" i="2185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D41" i="2189"/>
  <c r="R40" i="2189"/>
  <c r="L8" i="2189" s="1"/>
  <c r="D8" i="2189" s="1"/>
  <c r="D40" i="2189"/>
  <c r="R39" i="2189"/>
  <c r="H39" i="2189"/>
  <c r="D39" i="2189"/>
  <c r="R38" i="2189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H35" i="2189"/>
  <c r="D35" i="2189"/>
  <c r="R34" i="2189"/>
  <c r="H34" i="2189"/>
  <c r="D34" i="2189"/>
  <c r="R33" i="2189"/>
  <c r="L19" i="2189" s="1"/>
  <c r="D19" i="2189" s="1"/>
  <c r="R32" i="2189"/>
  <c r="R31" i="2189"/>
  <c r="R30" i="2189"/>
  <c r="R29" i="2189"/>
  <c r="R28" i="2189"/>
  <c r="L28" i="2189"/>
  <c r="D28" i="2189"/>
  <c r="R27" i="2189"/>
  <c r="L27" i="2189"/>
  <c r="D27" i="2189" s="1"/>
  <c r="R26" i="2189"/>
  <c r="L26" i="2189"/>
  <c r="D26" i="2189"/>
  <c r="R25" i="2189"/>
  <c r="L25" i="2189"/>
  <c r="D25" i="2189" s="1"/>
  <c r="R24" i="2189"/>
  <c r="L24" i="2189"/>
  <c r="D24" i="2189"/>
  <c r="R23" i="2189"/>
  <c r="L23" i="2189"/>
  <c r="D23" i="2189"/>
  <c r="R22" i="2189"/>
  <c r="L20" i="2189" s="1"/>
  <c r="D20" i="2189" s="1"/>
  <c r="L22" i="2189"/>
  <c r="D22" i="2189"/>
  <c r="R21" i="2189"/>
  <c r="L21" i="2189"/>
  <c r="D21" i="2189" s="1"/>
  <c r="R20" i="2189"/>
  <c r="R19" i="2189"/>
  <c r="R18" i="2189"/>
  <c r="L18" i="2189"/>
  <c r="D18" i="2189"/>
  <c r="R17" i="2189"/>
  <c r="L17" i="2189"/>
  <c r="D17" i="2189" s="1"/>
  <c r="R16" i="2189"/>
  <c r="R15" i="2189"/>
  <c r="L15" i="2189"/>
  <c r="D15" i="2189" s="1"/>
  <c r="R14" i="2189"/>
  <c r="D14" i="2189"/>
  <c r="R13" i="2189"/>
  <c r="D13" i="2189"/>
  <c r="R12" i="2189"/>
  <c r="L12" i="2189"/>
  <c r="D12" i="2189" s="1"/>
  <c r="R11" i="2189"/>
  <c r="L11" i="2189"/>
  <c r="D11" i="2189" s="1"/>
  <c r="L9" i="2189"/>
  <c r="D9" i="2189" s="1"/>
  <c r="L7" i="2189"/>
  <c r="D7" i="2189"/>
  <c r="R6" i="2189"/>
  <c r="L16" i="2189" s="1"/>
  <c r="D16" i="2189" s="1"/>
  <c r="L6" i="2189"/>
  <c r="D6" i="2189"/>
  <c r="R5" i="2189"/>
  <c r="R4" i="2189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L6" i="2188" s="1"/>
  <c r="D6" i="2188" s="1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L9" i="2188" s="1"/>
  <c r="D9" i="2188" s="1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L19" i="2188" s="1"/>
  <c r="D19" i="2188" s="1"/>
  <c r="R32" i="2188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 s="1"/>
  <c r="R25" i="2188"/>
  <c r="L25" i="2188"/>
  <c r="D25" i="2188" s="1"/>
  <c r="R24" i="2188"/>
  <c r="L24" i="2188"/>
  <c r="D24" i="2188"/>
  <c r="R23" i="2188"/>
  <c r="L23" i="2188"/>
  <c r="D23" i="2188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R18" i="2188"/>
  <c r="R17" i="2188"/>
  <c r="R16" i="2188"/>
  <c r="L16" i="2188"/>
  <c r="D16" i="2188"/>
  <c r="R15" i="2188"/>
  <c r="R14" i="2188"/>
  <c r="D14" i="2188"/>
  <c r="R13" i="2188"/>
  <c r="D13" i="2188"/>
  <c r="R12" i="2188"/>
  <c r="L12" i="2188"/>
  <c r="D12" i="2188"/>
  <c r="R11" i="2188"/>
  <c r="L11" i="2188"/>
  <c r="D11" i="2188"/>
  <c r="R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D40" i="2187"/>
  <c r="R39" i="2187"/>
  <c r="H39" i="2187"/>
  <c r="D39" i="2187"/>
  <c r="R38" i="2187"/>
  <c r="H38" i="2187"/>
  <c r="D38" i="2187"/>
  <c r="R37" i="2187"/>
  <c r="H37" i="2187"/>
  <c r="D37" i="2187"/>
  <c r="R36" i="2187"/>
  <c r="L10" i="2187" s="1"/>
  <c r="D10" i="2187" s="1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 s="1"/>
  <c r="R23" i="2187"/>
  <c r="L23" i="2187"/>
  <c r="D23" i="2187"/>
  <c r="R22" i="2187"/>
  <c r="L20" i="2187" s="1"/>
  <c r="D20" i="2187" s="1"/>
  <c r="L22" i="2187"/>
  <c r="D22" i="2187"/>
  <c r="R21" i="2187"/>
  <c r="L17" i="2187" s="1"/>
  <c r="D17" i="2187" s="1"/>
  <c r="L21" i="2187"/>
  <c r="D21" i="2187"/>
  <c r="R20" i="2187"/>
  <c r="R19" i="2187"/>
  <c r="L19" i="2187"/>
  <c r="D19" i="2187"/>
  <c r="R18" i="2187"/>
  <c r="L18" i="2187"/>
  <c r="D18" i="2187"/>
  <c r="R17" i="2187"/>
  <c r="R16" i="2187"/>
  <c r="R15" i="2187"/>
  <c r="R14" i="2187"/>
  <c r="D14" i="2187"/>
  <c r="R13" i="2187"/>
  <c r="D13" i="2187"/>
  <c r="R12" i="2187"/>
  <c r="L12" i="2187"/>
  <c r="D12" i="2187"/>
  <c r="R11" i="2187"/>
  <c r="L11" i="2187"/>
  <c r="D11" i="2187"/>
  <c r="L9" i="2187"/>
  <c r="D9" i="2187"/>
  <c r="L8" i="2187"/>
  <c r="D8" i="2187" s="1"/>
  <c r="L7" i="2187"/>
  <c r="D7" i="2187"/>
  <c r="R6" i="2187"/>
  <c r="L16" i="2187" s="1"/>
  <c r="D16" i="2187" s="1"/>
  <c r="L6" i="2187"/>
  <c r="D6" i="2187" s="1"/>
  <c r="R5" i="2187"/>
  <c r="R4" i="2187"/>
  <c r="L15" i="2187" s="1"/>
  <c r="D15" i="2187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D36" i="2186"/>
  <c r="R35" i="2186"/>
  <c r="D35" i="2186"/>
  <c r="R34" i="2186"/>
  <c r="D34" i="2186"/>
  <c r="D54" i="2186" s="1"/>
  <c r="H14" i="2186" s="1"/>
  <c r="R33" i="2186"/>
  <c r="R32" i="2186"/>
  <c r="R31" i="2186"/>
  <c r="R30" i="2186"/>
  <c r="R29" i="2186"/>
  <c r="R28" i="2186"/>
  <c r="D28" i="2186"/>
  <c r="R27" i="2186"/>
  <c r="D27" i="2186"/>
  <c r="R26" i="2186"/>
  <c r="L26" i="2186"/>
  <c r="D26" i="2186"/>
  <c r="R25" i="2186"/>
  <c r="L25" i="2186"/>
  <c r="D25" i="2186" s="1"/>
  <c r="R24" i="2186"/>
  <c r="D24" i="2186"/>
  <c r="R23" i="2186"/>
  <c r="L23" i="2186"/>
  <c r="D23" i="2186"/>
  <c r="R22" i="2186"/>
  <c r="L22" i="2186"/>
  <c r="D22" i="2186"/>
  <c r="R21" i="2186"/>
  <c r="D21" i="2186"/>
  <c r="R20" i="2186"/>
  <c r="L20" i="2186"/>
  <c r="D20" i="2186"/>
  <c r="R19" i="2186"/>
  <c r="L19" i="2186"/>
  <c r="D19" i="2186" s="1"/>
  <c r="R18" i="2186"/>
  <c r="D18" i="2186"/>
  <c r="R17" i="2186"/>
  <c r="D17" i="2186"/>
  <c r="R16" i="2186"/>
  <c r="L16" i="2186"/>
  <c r="D16" i="2186" s="1"/>
  <c r="S15" i="2186"/>
  <c r="R15" i="2186"/>
  <c r="D15" i="2186"/>
  <c r="S14" i="2186"/>
  <c r="R14" i="2186"/>
  <c r="D14" i="2186"/>
  <c r="R13" i="2186"/>
  <c r="D13" i="2186"/>
  <c r="R12" i="2186"/>
  <c r="L12" i="2186"/>
  <c r="D12" i="2186"/>
  <c r="R11" i="2186"/>
  <c r="L11" i="2186"/>
  <c r="D11" i="2186"/>
  <c r="L10" i="2186"/>
  <c r="D10" i="2186" s="1"/>
  <c r="L9" i="2186"/>
  <c r="D9" i="2186" s="1"/>
  <c r="L7" i="2186"/>
  <c r="D7" i="2186" s="1"/>
  <c r="R6" i="2186"/>
  <c r="L6" i="2186"/>
  <c r="D6" i="2186"/>
  <c r="R5" i="2186"/>
  <c r="R4" i="2186"/>
  <c r="H15" i="2193" l="1"/>
  <c r="H29" i="2193" s="1"/>
  <c r="G51" i="2193" s="1"/>
  <c r="H15" i="2192"/>
  <c r="H29" i="2192" s="1"/>
  <c r="G51" i="2192" s="1"/>
  <c r="G49" i="2189"/>
  <c r="G49" i="2188"/>
  <c r="G49" i="2187"/>
  <c r="D54" i="2189"/>
  <c r="H14" i="2189" s="1"/>
  <c r="D54" i="2188"/>
  <c r="H14" i="2188" s="1"/>
  <c r="D54" i="2187"/>
  <c r="H14" i="2187" s="1"/>
  <c r="D29" i="2189"/>
  <c r="H13" i="2189" s="1"/>
  <c r="D29" i="2188"/>
  <c r="H13" i="2188" s="1"/>
  <c r="D29" i="2187"/>
  <c r="H13" i="2187" s="1"/>
  <c r="D29" i="2186"/>
  <c r="H13" i="2186" s="1"/>
  <c r="H15" i="2186" s="1"/>
  <c r="H29" i="2186" s="1"/>
  <c r="G51" i="2186" s="1"/>
  <c r="C19" i="2183"/>
  <c r="C12" i="2183"/>
  <c r="H15" i="2189" l="1"/>
  <c r="H29" i="2189" s="1"/>
  <c r="G51" i="2189" s="1"/>
  <c r="H15" i="2188"/>
  <c r="H29" i="2188" s="1"/>
  <c r="G51" i="2188" s="1"/>
  <c r="H15" i="2187"/>
  <c r="H29" i="2187" s="1"/>
  <c r="G51" i="2187" s="1"/>
  <c r="C15" i="2179"/>
  <c r="C12" i="2181"/>
  <c r="R52" i="2185"/>
  <c r="R51" i="2185"/>
  <c r="D50" i="2185"/>
  <c r="R49" i="2185"/>
  <c r="D49" i="2185"/>
  <c r="R48" i="2185"/>
  <c r="D48" i="2185"/>
  <c r="D46" i="2185"/>
  <c r="D45" i="2185"/>
  <c r="R44" i="2185"/>
  <c r="L28" i="2185" s="1"/>
  <c r="D28" i="2185" s="1"/>
  <c r="D44" i="2185"/>
  <c r="R42" i="2185"/>
  <c r="D42" i="2185"/>
  <c r="R41" i="2185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H35" i="2185"/>
  <c r="D35" i="2185"/>
  <c r="R34" i="2185"/>
  <c r="H34" i="2185"/>
  <c r="D34" i="2185"/>
  <c r="R33" i="2185"/>
  <c r="R32" i="2185"/>
  <c r="R31" i="2185"/>
  <c r="R30" i="2185"/>
  <c r="R29" i="2185"/>
  <c r="R28" i="2185"/>
  <c r="R27" i="2185"/>
  <c r="L27" i="2185"/>
  <c r="D27" i="2185"/>
  <c r="R26" i="2185"/>
  <c r="L26" i="2185"/>
  <c r="D26" i="2185"/>
  <c r="R25" i="2185"/>
  <c r="L25" i="2185"/>
  <c r="D25" i="2185" s="1"/>
  <c r="R24" i="2185"/>
  <c r="L24" i="2185"/>
  <c r="D24" i="2185"/>
  <c r="R23" i="2185"/>
  <c r="L23" i="2185"/>
  <c r="D23" i="2185" s="1"/>
  <c r="R22" i="2185"/>
  <c r="L20" i="2185" s="1"/>
  <c r="D20" i="2185" s="1"/>
  <c r="L22" i="2185"/>
  <c r="D22" i="2185"/>
  <c r="R21" i="2185"/>
  <c r="L21" i="2185"/>
  <c r="D21" i="2185"/>
  <c r="R20" i="2185"/>
  <c r="R19" i="2185"/>
  <c r="L19" i="2185"/>
  <c r="D19" i="2185"/>
  <c r="R18" i="2185"/>
  <c r="L18" i="2185"/>
  <c r="D18" i="2185"/>
  <c r="R17" i="2185"/>
  <c r="L17" i="2185"/>
  <c r="D17" i="2185" s="1"/>
  <c r="R16" i="2185"/>
  <c r="R15" i="2185"/>
  <c r="L15" i="2185"/>
  <c r="D15" i="2185" s="1"/>
  <c r="R14" i="2185"/>
  <c r="D14" i="2185"/>
  <c r="R13" i="2185"/>
  <c r="D13" i="2185"/>
  <c r="R12" i="2185"/>
  <c r="L12" i="2185"/>
  <c r="D12" i="2185" s="1"/>
  <c r="R11" i="2185"/>
  <c r="L11" i="2185"/>
  <c r="D11" i="2185" s="1"/>
  <c r="L7" i="2185"/>
  <c r="D7" i="2185"/>
  <c r="R6" i="2185"/>
  <c r="L16" i="2185" s="1"/>
  <c r="D16" i="2185" s="1"/>
  <c r="L6" i="2185"/>
  <c r="D6" i="2185" s="1"/>
  <c r="R5" i="2185"/>
  <c r="R4" i="2185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L9" i="2184" s="1"/>
  <c r="D9" i="2184" s="1"/>
  <c r="H38" i="2184"/>
  <c r="D38" i="2184"/>
  <c r="R37" i="2184"/>
  <c r="H37" i="2184"/>
  <c r="D37" i="2184"/>
  <c r="R36" i="2184"/>
  <c r="L10" i="2184" s="1"/>
  <c r="D10" i="2184" s="1"/>
  <c r="H36" i="2184"/>
  <c r="D36" i="2184"/>
  <c r="R35" i="2184"/>
  <c r="H35" i="2184"/>
  <c r="D35" i="2184"/>
  <c r="R34" i="2184"/>
  <c r="H34" i="2184"/>
  <c r="D34" i="2184"/>
  <c r="R33" i="2184"/>
  <c r="R32" i="2184"/>
  <c r="L11" i="2184" s="1"/>
  <c r="D11" i="2184" s="1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 s="1"/>
  <c r="R24" i="2184"/>
  <c r="L24" i="2184"/>
  <c r="D24" i="2184"/>
  <c r="R23" i="2184"/>
  <c r="L23" i="2184"/>
  <c r="D23" i="2184" s="1"/>
  <c r="R22" i="2184"/>
  <c r="L20" i="2184" s="1"/>
  <c r="D20" i="2184" s="1"/>
  <c r="L22" i="2184"/>
  <c r="D22" i="2184" s="1"/>
  <c r="R21" i="2184"/>
  <c r="D21" i="2184"/>
  <c r="R20" i="2184"/>
  <c r="R19" i="2184"/>
  <c r="L19" i="2184"/>
  <c r="D19" i="2184"/>
  <c r="R18" i="2184"/>
  <c r="L18" i="2184"/>
  <c r="D18" i="2184"/>
  <c r="R17" i="2184"/>
  <c r="L17" i="2184"/>
  <c r="D17" i="2184" s="1"/>
  <c r="R16" i="2184"/>
  <c r="R15" i="2184"/>
  <c r="R14" i="2184"/>
  <c r="D14" i="2184"/>
  <c r="R13" i="2184"/>
  <c r="D13" i="2184"/>
  <c r="R12" i="2184"/>
  <c r="L12" i="2184"/>
  <c r="D12" i="2184"/>
  <c r="R11" i="2184"/>
  <c r="L8" i="2184"/>
  <c r="D8" i="2184" s="1"/>
  <c r="L7" i="2184"/>
  <c r="D7" i="2184"/>
  <c r="R6" i="2184"/>
  <c r="L16" i="2184" s="1"/>
  <c r="D16" i="2184" s="1"/>
  <c r="L6" i="2184"/>
  <c r="D6" i="2184"/>
  <c r="R5" i="2184"/>
  <c r="R4" i="2184"/>
  <c r="L15" i="2184" s="1"/>
  <c r="D15" i="2184" s="1"/>
  <c r="R52" i="2183"/>
  <c r="R51" i="2183"/>
  <c r="D50" i="2183"/>
  <c r="R49" i="2183"/>
  <c r="D49" i="2183"/>
  <c r="R48" i="2183"/>
  <c r="D48" i="2183"/>
  <c r="D46" i="2183"/>
  <c r="D45" i="2183"/>
  <c r="R44" i="2183"/>
  <c r="L28" i="2183" s="1"/>
  <c r="D28" i="2183" s="1"/>
  <c r="D44" i="2183"/>
  <c r="R42" i="2183"/>
  <c r="D42" i="2183"/>
  <c r="R41" i="2183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G49" i="2183" s="1"/>
  <c r="D37" i="2183"/>
  <c r="R36" i="2183"/>
  <c r="L10" i="2183" s="1"/>
  <c r="D10" i="2183" s="1"/>
  <c r="H36" i="2183"/>
  <c r="D36" i="2183"/>
  <c r="R35" i="2183"/>
  <c r="H35" i="2183"/>
  <c r="D35" i="2183"/>
  <c r="R34" i="2183"/>
  <c r="H34" i="2183"/>
  <c r="D34" i="2183"/>
  <c r="R33" i="2183"/>
  <c r="L19" i="2183" s="1"/>
  <c r="D19" i="2183" s="1"/>
  <c r="R32" i="2183"/>
  <c r="L11" i="2183" s="1"/>
  <c r="D11" i="2183" s="1"/>
  <c r="R31" i="2183"/>
  <c r="R30" i="2183"/>
  <c r="R29" i="2183"/>
  <c r="R28" i="2183"/>
  <c r="R27" i="2183"/>
  <c r="L27" i="2183"/>
  <c r="D27" i="2183"/>
  <c r="R26" i="2183"/>
  <c r="L26" i="2183"/>
  <c r="D26" i="2183"/>
  <c r="R25" i="2183"/>
  <c r="L25" i="2183"/>
  <c r="D25" i="2183" s="1"/>
  <c r="R24" i="2183"/>
  <c r="L24" i="2183"/>
  <c r="D24" i="2183"/>
  <c r="R23" i="2183"/>
  <c r="L23" i="2183"/>
  <c r="D23" i="2183" s="1"/>
  <c r="R22" i="2183"/>
  <c r="L22" i="2183"/>
  <c r="D22" i="2183"/>
  <c r="R21" i="2183"/>
  <c r="L21" i="2183"/>
  <c r="D21" i="2183"/>
  <c r="R20" i="2183"/>
  <c r="L20" i="2183"/>
  <c r="D20" i="2183"/>
  <c r="R19" i="2183"/>
  <c r="R18" i="2183"/>
  <c r="L18" i="2183"/>
  <c r="D18" i="2183"/>
  <c r="R17" i="2183"/>
  <c r="L17" i="2183"/>
  <c r="D17" i="2183" s="1"/>
  <c r="R16" i="2183"/>
  <c r="R15" i="2183"/>
  <c r="L15" i="2183"/>
  <c r="D15" i="2183"/>
  <c r="R14" i="2183"/>
  <c r="D14" i="2183"/>
  <c r="R13" i="2183"/>
  <c r="D13" i="2183"/>
  <c r="R12" i="2183"/>
  <c r="L12" i="2183"/>
  <c r="D12" i="2183" s="1"/>
  <c r="R11" i="2183"/>
  <c r="L7" i="2183"/>
  <c r="D7" i="2183"/>
  <c r="R6" i="2183"/>
  <c r="L16" i="2183" s="1"/>
  <c r="D16" i="2183" s="1"/>
  <c r="L6" i="2183"/>
  <c r="D6" i="2183" s="1"/>
  <c r="R5" i="2183"/>
  <c r="R4" i="2183"/>
  <c r="D54" i="2182"/>
  <c r="H14" i="2182" s="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L9" i="2182" s="1"/>
  <c r="D9" i="2182" s="1"/>
  <c r="D38" i="2182"/>
  <c r="R37" i="2182"/>
  <c r="D37" i="2182"/>
  <c r="R36" i="2182"/>
  <c r="D36" i="2182"/>
  <c r="R35" i="2182"/>
  <c r="D35" i="2182"/>
  <c r="R34" i="2182"/>
  <c r="L12" i="2182" s="1"/>
  <c r="D12" i="2182" s="1"/>
  <c r="D34" i="2182"/>
  <c r="R33" i="2182"/>
  <c r="L23" i="2182" s="1"/>
  <c r="D23" i="2182" s="1"/>
  <c r="R32" i="2182"/>
  <c r="L11" i="2182" s="1"/>
  <c r="D11" i="2182" s="1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R11" i="2182"/>
  <c r="L10" i="2182"/>
  <c r="D10" i="2182" s="1"/>
  <c r="L8" i="2182"/>
  <c r="D8" i="2182"/>
  <c r="R6" i="2182"/>
  <c r="R5" i="2182"/>
  <c r="R4" i="2182"/>
  <c r="G49" i="2185" l="1"/>
  <c r="G49" i="2184"/>
  <c r="D54" i="2185"/>
  <c r="H14" i="2185" s="1"/>
  <c r="D54" i="2183"/>
  <c r="H14" i="2183" s="1"/>
  <c r="D54" i="2184"/>
  <c r="H14" i="2184" s="1"/>
  <c r="D29" i="2185"/>
  <c r="H13" i="2185" s="1"/>
  <c r="D29" i="2184"/>
  <c r="H13" i="2184" s="1"/>
  <c r="D29" i="2183"/>
  <c r="H13" i="2183" s="1"/>
  <c r="H15" i="2183" s="1"/>
  <c r="H29" i="2183" s="1"/>
  <c r="G51" i="2183" s="1"/>
  <c r="D29" i="2182"/>
  <c r="H13" i="2182" s="1"/>
  <c r="H15" i="2182" s="1"/>
  <c r="H29" i="2182" s="1"/>
  <c r="G51" i="2182" s="1"/>
  <c r="H16" i="2176"/>
  <c r="H16" i="2177"/>
  <c r="H15" i="2185" l="1"/>
  <c r="H29" i="2185" s="1"/>
  <c r="G51" i="2185" s="1"/>
  <c r="H15" i="2184"/>
  <c r="H29" i="2184" s="1"/>
  <c r="G51" i="2184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D34" i="2177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D34" i="2176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R52" i="2175"/>
  <c r="R51" i="2175"/>
  <c r="D50" i="2175"/>
  <c r="R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G49" i="2175" s="1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G49" i="2181" l="1"/>
  <c r="G49" i="2180"/>
  <c r="D54" i="2181"/>
  <c r="H14" i="2181" s="1"/>
  <c r="D29" i="2181"/>
  <c r="H13" i="2181" s="1"/>
  <c r="D54" i="2180"/>
  <c r="H14" i="2180" s="1"/>
  <c r="D54" i="2179"/>
  <c r="H14" i="2179" s="1"/>
  <c r="G49" i="2176"/>
  <c r="G49" i="2177"/>
  <c r="D54" i="2177"/>
  <c r="H14" i="2177" s="1"/>
  <c r="D54" i="2176"/>
  <c r="H14" i="2176" s="1"/>
  <c r="D54" i="2175"/>
  <c r="H14" i="2175" s="1"/>
  <c r="D29" i="2180"/>
  <c r="H13" i="2180" s="1"/>
  <c r="D29" i="2179"/>
  <c r="H13" i="2179" s="1"/>
  <c r="D29" i="2178"/>
  <c r="H13" i="2178" s="1"/>
  <c r="H15" i="2178" s="1"/>
  <c r="H29" i="2178" s="1"/>
  <c r="G51" i="2178" s="1"/>
  <c r="D29" i="2177"/>
  <c r="H13" i="2177" s="1"/>
  <c r="D29" i="2176"/>
  <c r="H13" i="2176" s="1"/>
  <c r="H15" i="2176" s="1"/>
  <c r="H29" i="2176" s="1"/>
  <c r="D29" i="2175"/>
  <c r="H13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H15" i="2181" l="1"/>
  <c r="H29" i="2181" s="1"/>
  <c r="G51" i="2181" s="1"/>
  <c r="H15" i="2180"/>
  <c r="H29" i="2180" s="1"/>
  <c r="G51" i="2180" s="1"/>
  <c r="H15" i="2179"/>
  <c r="H29" i="2179" s="1"/>
  <c r="G51" i="2179" s="1"/>
  <c r="G51" i="2176"/>
  <c r="H15" i="2177"/>
  <c r="H29" i="2177" s="1"/>
  <c r="G51" i="2177" s="1"/>
  <c r="H15" i="2175"/>
  <c r="H29" i="2175" s="1"/>
  <c r="G51" i="2175" s="1"/>
  <c r="G49" i="217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<sst xmlns="http://schemas.openxmlformats.org/spreadsheetml/2006/main" count="13829" uniqueCount="236">
  <si>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</si>
  <si>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</si>
  <si>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</si>
  <si>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</si>
  <si>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</si>
  <si>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</si>
  <si>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</si>
  <si>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</si>
  <si>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</si>
  <si>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</si>
  <si>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</si>
  <si>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</si>
  <si>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</si>
  <si>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</si>
  <si>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</si>
  <si>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</si>
  <si>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</si>
  <si>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</si>
  <si>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</si>
  <si>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</si>
  <si>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</si>
  <si>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</si>
  <si>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</si>
  <si>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</si>
  <si>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</si>
  <si>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</si>
  <si>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</si>
  <si>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</si>
  <si>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</si>
  <si>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</si>
  <si>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</si>
  <si>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</si>
  <si>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</si>
  <si>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</si>
  <si>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</si>
  <si>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</si>
  <si>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</si>
  <si>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</si>
  <si>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</si>
  <si>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</si>
  <si>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</si>
  <si>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</si>
  <si>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</si>
  <si>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</si>
  <si>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</si>
  <si>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</si>
  <si>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</si>
  <si>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</si>
  <si>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</si>
  <si>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</si>
  <si>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</si>
  <si>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</si>
  <si>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</si>
  <si>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</si>
  <si>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</si>
  <si>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</si>
  <si>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</si>
  <si>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</si>
  <si>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</si>
  <si>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</si>
  <si>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</si>
  <si>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</si>
  <si>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</si>
  <si>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</si>
  <si>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</si>
  <si>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</si>
  <si>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</si>
  <si>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</si>
  <si>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</si>
  <si>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</si>
  <si>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</si>
  <si>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</si>
  <si>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</si>
  <si>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</si>
  <si>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</si>
  <si>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</si>
  <si>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</si>
  <si>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</si>
  <si>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</si>
  <si>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</si>
  <si>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</si>
  <si>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</si>
  <si>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</si>
  <si>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</si>
  <si>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</si>
  <si>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</si>
  <si>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</si>
  <si>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</si>
  <si>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</si>
  <si>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</si>
  <si>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</si>
  <si>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</si>
  <si>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</si>
  <si>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</si>
  <si>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</si>
  <si>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</si>
  <si>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</si>
  <si>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</si>
  <si>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</si>
  <si>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</si>
  <si>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</si>
  <si>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</si>
  <si>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</si>
  <si>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</si>
  <si>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</si>
  <si>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</si>
  <si>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</si>
  <si>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</si>
  <si>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</si>
  <si>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</si>
  <si>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</si>
  <si>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</si>
  <si>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</si>
  <si>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</si>
  <si>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</si>
  <si>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</si>
  <si>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</si>
  <si>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</si>
  <si>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</si>
  <si>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</si>
  <si>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</si>
  <si>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</si>
  <si>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</si>
  <si>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</si>
  <si>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</si>
  <si>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</si>
  <si>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</si>
  <si>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</si>
  <si>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</si>
  <si>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</si>
  <si>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</si>
  <si>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</si>
  <si>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</si>
  <si>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</si>
  <si>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</si>
  <si>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</si>
  <si>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</si>
  <si>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</si>
  <si>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</si>
  <si>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</si>
  <si>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</si>
  <si>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</si>
  <si>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</si>
  <si>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</si>
  <si>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</si>
  <si>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</si>
  <si>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</si>
  <si>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</si>
  <si>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</si>
  <si>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</si>
  <si>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</si>
  <si>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</si>
  <si>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</si>
  <si>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</si>
  <si>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</si>
  <si>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</si>
  <si>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</si>
  <si>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</si>
  <si>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</si>
  <si>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</si>
  <si>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</si>
  <si>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</si>
  <si>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</si>
  <si>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</si>
  <si>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</si>
  <si>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</si>
  <si>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</si>
  <si>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</si>
  <si>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</si>
  <si>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</si>
  <si>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</si>
  <si>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</si>
  <si>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</si>
  <si>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</si>
  <si>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</si>
  <si>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</si>
  <si>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</si>
  <si>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</si>
  <si>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</si>
  <si>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</si>
  <si>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</si>
  <si>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</si>
  <si>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</si>
  <si>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</si>
  <si>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</si>
  <si>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</si>
  <si>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</si>
  <si>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</si>
  <si>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</si>
  <si>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</si>
  <si>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</si>
  <si>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</si>
  <si>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</si>
  <si>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</si>
  <si>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</si>
  <si>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</si>
  <si>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</si>
  <si>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</si>
  <si>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</si>
  <si>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</si>
  <si>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</si>
  <si>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</si>
  <si>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</si>
  <si>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</si>
  <si>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</si>
  <si>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</si>
  <si>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</si>
  <si>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</si>
  <si>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</si>
  <si>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</si>
  <si>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</si>
  <si>
    <t>51156</t>
  </si>
  <si>
    <t>56884</t>
  </si>
  <si>
    <t>000150207</t>
  </si>
  <si>
    <t>000150901</t>
  </si>
  <si>
    <t>2130022101</t>
  </si>
  <si>
    <t>2000008176</t>
  </si>
  <si>
    <t>2000003164</t>
  </si>
  <si>
    <t>5089437</t>
  </si>
  <si>
    <t>51157</t>
  </si>
  <si>
    <t>2000008180</t>
  </si>
  <si>
    <t>RACAZA, ALEX</t>
  </si>
  <si>
    <t>PSB</t>
  </si>
  <si>
    <t>147957</t>
  </si>
  <si>
    <t>2120013128</t>
  </si>
  <si>
    <t>150684</t>
  </si>
  <si>
    <t>2000008187</t>
  </si>
  <si>
    <t>2000003175</t>
  </si>
  <si>
    <t>2130022103</t>
  </si>
  <si>
    <t>51793</t>
  </si>
  <si>
    <t>2000003182</t>
  </si>
  <si>
    <t>2000008303</t>
  </si>
  <si>
    <t>151087</t>
  </si>
  <si>
    <t>TRANSFER</t>
  </si>
  <si>
    <t>150701</t>
  </si>
  <si>
    <t>51160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</si>
</sst>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9" fontId="21" fillId="0" borderId="16" xfId="0" applyNumberFormat="1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5023BE-E0EB-4586-BDD5-CBD5422FE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2E24BF-988C-42FD-AC7A-6EDD2257F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308A85-DC36-42DD-AD19-A7BE570F5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E48DC4-99AC-4396-A32E-E9569DCD2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F7363-5874-49C2-8607-2791B0823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BEE3D-AD19-4218-9C34-1936FEF79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C03852-A026-4504-B44D-E44E430DA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2587FD-3850-40E9-B97A-6BE77195E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7AE922-21D5-4E09-B352-0B2D017092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51BC5-BC0F-4CA6-9E33-57DAC88C7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BFB78B-7898-4D2A-A530-C76CA0BD97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599FE1-CC62-489A-8DA0-FED53872F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E8E244-94D6-4084-97CD-655C9DCC7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4F6D12-D5DC-43EE-A5EE-64E495CF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50</xdr:row>
      <xdr:rowOff>133350</xdr:rowOff>
    </xdr:from>
    <xdr:to>
      <xdr:col>4</xdr:col>
      <xdr:colOff>0</xdr:colOff>
      <xdr:row>70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F16E56-38BD-4898-8AA8-923CEE175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9906000"/>
          <a:ext cx="2800350" cy="373164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BF4DB-EDEE-4309-B24F-2C3AF05E5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889A17-1BF1-489F-9CCB-5CB14A494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D46537-2EC9-44BC-A0AF-8AD2F239B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50</xdr:row>
      <xdr:rowOff>133350</xdr:rowOff>
    </xdr:from>
    <xdr:to>
      <xdr:col>4</xdr:col>
      <xdr:colOff>0</xdr:colOff>
      <xdr:row>70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34CB0D-BFC7-4786-AA72-BD38715CD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9906000"/>
          <a:ext cx="2800350" cy="3731642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936AA7-07AB-4F77-B4B9-AF676EE8B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5E855E-9D9F-4EE5-A5CA-F0B3E30174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E99C2F-A467-45E8-95E6-337091DF0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50</xdr:row>
      <xdr:rowOff>133350</xdr:rowOff>
    </xdr:from>
    <xdr:to>
      <xdr:col>4</xdr:col>
      <xdr:colOff>0</xdr:colOff>
      <xdr:row>70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9ED4C2-D191-403E-BC7C-D3CC035A4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9906000"/>
          <a:ext cx="2800350" cy="3731642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F9308-D0AC-4138-9B15-25AE21875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89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87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46174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570</v>
      </c>
      <c r="D6" s="13">
        <f t="shared" ref="D6:D28" si="1">C6*L6</f>
        <v>433770</v>
      </c>
      <c r="F6" s="168" t="s">
        <v>16</v>
      </c>
      <c r="G6" s="170" t="s">
        <v>142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99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13</v>
      </c>
      <c r="D9" s="13">
        <f t="shared" si="1"/>
        <v>9529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10</v>
      </c>
      <c r="D10" s="13">
        <f t="shared" si="1"/>
        <v>10320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10</v>
      </c>
      <c r="D12" s="48">
        <f t="shared" si="1"/>
        <v>9920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6</v>
      </c>
      <c r="D13" s="48">
        <f t="shared" si="1"/>
        <v>1842</v>
      </c>
      <c r="F13" s="190" t="s">
        <v>36</v>
      </c>
      <c r="G13" s="191"/>
      <c r="H13" s="192">
        <f>D29</f>
        <v>475222.5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54630.75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420591.75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v>2760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86"/>
      <c r="I23" s="287"/>
      <c r="J23" s="287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229">
        <v>68780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4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2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475222.5</v>
      </c>
      <c r="F29" s="213" t="s">
        <v>54</v>
      </c>
      <c r="G29" s="214"/>
      <c r="H29" s="217">
        <f>H15-H16-H17-H18-H19-H20-H22-H23-H24+H26+H27+H28</f>
        <v>486611.75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45">
        <f t="shared" ref="H34:H39" si="2">F34*G34</f>
        <v>116000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45">
        <f t="shared" si="2"/>
        <v>4500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45">
        <f t="shared" si="2"/>
        <v>200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5">
        <v>80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4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229">
        <v>317788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229">
        <v>13533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107" t="s">
        <v>135</v>
      </c>
      <c r="H46" s="229">
        <v>33800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26</v>
      </c>
      <c r="D49" s="12">
        <f>C49*42</f>
        <v>1092</v>
      </c>
      <c r="F49" s="270" t="s">
        <v>85</v>
      </c>
      <c r="G49" s="217">
        <f>H34+H35+H36+H37+H38+H39+H40+H41+G42+H44+H45+H46</f>
        <v>485901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19</v>
      </c>
      <c r="D50" s="12">
        <f>C50*1.5</f>
        <v>28.5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138</v>
      </c>
      <c r="G51" s="280">
        <f>G49-H29</f>
        <v>-710.75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46174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275</v>
      </c>
      <c r="D6" s="13">
        <f t="shared" ref="D6:D28" si="1">C6*L6</f>
        <v>209275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40</v>
      </c>
      <c r="D9" s="13">
        <f t="shared" si="1"/>
        <v>29320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</v>
      </c>
      <c r="D11" s="13">
        <f t="shared" si="1"/>
        <v>1170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3</v>
      </c>
      <c r="D13" s="48">
        <f t="shared" si="1"/>
        <v>921</v>
      </c>
      <c r="F13" s="190" t="s">
        <v>36</v>
      </c>
      <c r="G13" s="191"/>
      <c r="H13" s="192">
        <f>D29</f>
        <v>247146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36182.25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210963.75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4">
        <v>696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2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247146</v>
      </c>
      <c r="F29" s="213" t="s">
        <v>54</v>
      </c>
      <c r="G29" s="214"/>
      <c r="H29" s="217">
        <f>H15-H16-H17-H18-H19-H20-H22-H23-H24+H26+H27</f>
        <v>210267.75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45">
        <f>F34*G34</f>
        <v>186000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45">
        <f>F35*G35</f>
        <v>23500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45">
        <f t="shared" si="2"/>
        <v>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5">
        <v>242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4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2</v>
      </c>
      <c r="D44" s="12">
        <f>C44*120</f>
        <v>240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210092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3</v>
      </c>
      <c r="D50" s="12">
        <f>C50*1.5</f>
        <v>4.5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137</v>
      </c>
      <c r="G51" s="280">
        <f>G49-H29</f>
        <v>-175.75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46174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307</v>
      </c>
      <c r="D6" s="13">
        <f t="shared" ref="D6:D28" si="1">C6*L6</f>
        <v>233627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25</v>
      </c>
      <c r="D9" s="13">
        <f t="shared" si="1"/>
        <v>18325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3</v>
      </c>
      <c r="D12" s="48">
        <f t="shared" si="1"/>
        <v>2976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266056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58272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207784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f>588+504</f>
        <v>1092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2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266056</v>
      </c>
      <c r="F29" s="213" t="s">
        <v>54</v>
      </c>
      <c r="G29" s="214"/>
      <c r="H29" s="217">
        <f>H15-H16-H17-H18-H19-H20-H22-H23-H24+H26+H27</f>
        <v>206692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45">
        <f>F34*G34</f>
        <v>73000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45">
        <f>F35*G35</f>
        <v>55500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5">
        <f t="shared" ref="H36:H39" si="2">F36*G36</f>
        <v>200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45">
        <f t="shared" si="2"/>
        <v>12100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45">
        <f t="shared" si="2"/>
        <v>3050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5">
        <v>401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4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229">
        <v>55389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140</v>
      </c>
      <c r="G45" s="75"/>
      <c r="H45" s="229">
        <v>1032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</v>
      </c>
      <c r="D46" s="12">
        <f>C46*1.5</f>
        <v>1.5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2</v>
      </c>
      <c r="D49" s="12">
        <f>C49*42</f>
        <v>84</v>
      </c>
      <c r="F49" s="270" t="s">
        <v>85</v>
      </c>
      <c r="G49" s="217">
        <f>H34+H35+H36+H37+H38+H39+H40+H41+G42+H44+H45+H46</f>
        <v>200692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13</v>
      </c>
      <c r="D50" s="12">
        <f>C50*1.5</f>
        <v>19.5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141</v>
      </c>
      <c r="G51" s="280">
        <f>G49-H29</f>
        <v>-6000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6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8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46175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304</v>
      </c>
      <c r="D6" s="13">
        <f t="shared" ref="D6:D28" si="1">C6*L6</f>
        <v>231344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</v>
      </c>
      <c r="D7" s="13">
        <f t="shared" si="1"/>
        <v>1562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11</v>
      </c>
      <c r="D9" s="13">
        <f t="shared" si="1"/>
        <v>8063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242753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35565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v>1</v>
      </c>
      <c r="D15" s="31">
        <f t="shared" si="1"/>
        <v>620</v>
      </c>
      <c r="F15" s="200" t="s">
        <v>39</v>
      </c>
      <c r="G15" s="191"/>
      <c r="H15" s="201">
        <f>H13-H14</f>
        <v>207188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42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242753</v>
      </c>
      <c r="F29" s="213" t="s">
        <v>54</v>
      </c>
      <c r="G29" s="214"/>
      <c r="H29" s="217">
        <f>H15-H16-H17-H18-H19-H20-H22-H23-H24+H26+H27+H28</f>
        <v>207146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45">
        <f t="shared" ref="H34:H39" si="2">F34*G34</f>
        <v>114000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45">
        <f t="shared" si="2"/>
        <v>22000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45">
        <f t="shared" si="2"/>
        <v>400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45">
        <f t="shared" si="2"/>
        <v>1900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45">
        <f t="shared" si="2"/>
        <v>150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45">
        <f t="shared" si="2"/>
        <v>40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124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140</v>
      </c>
      <c r="G44" s="62"/>
      <c r="H44" s="229">
        <v>55000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229">
        <v>13650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</v>
      </c>
      <c r="D46" s="12">
        <f>C46*1.5</f>
        <v>1.5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207264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6</v>
      </c>
      <c r="D50" s="12">
        <f>C50*1.5</f>
        <v>9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144</v>
      </c>
      <c r="G51" s="292">
        <f>G49-H29</f>
        <v>118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46175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330</v>
      </c>
      <c r="D6" s="13">
        <f t="shared" ref="D6:D28" si="1">C6*L6</f>
        <v>251130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</v>
      </c>
      <c r="D9" s="13">
        <f t="shared" si="1"/>
        <v>733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13</v>
      </c>
      <c r="D13" s="48">
        <f t="shared" si="1"/>
        <v>3991</v>
      </c>
      <c r="F13" s="190" t="s">
        <v>36</v>
      </c>
      <c r="G13" s="191"/>
      <c r="H13" s="192">
        <f>D29</f>
        <v>256886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37893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218993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1944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256886</v>
      </c>
      <c r="F29" s="213" t="s">
        <v>54</v>
      </c>
      <c r="G29" s="214"/>
      <c r="H29" s="217">
        <f>H15-H16-H17-H18-H19-H20-H22-H23-H24+H26+H27</f>
        <v>217049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45">
        <f>F34*G34</f>
        <v>102000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45">
        <f>F35*G35</f>
        <v>114500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5">
        <f t="shared" ref="H36:H39" si="2">F36*G36</f>
        <v>200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45">
        <f t="shared" si="2"/>
        <v>100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14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11</v>
      </c>
      <c r="D49" s="12">
        <f>C49*42</f>
        <v>462</v>
      </c>
      <c r="F49" s="270" t="s">
        <v>85</v>
      </c>
      <c r="G49" s="217">
        <f>H34+H35+H36+H37+H38+H39+H40+H41+G42+H44+H45+H46</f>
        <v>216834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2</v>
      </c>
      <c r="D50" s="12">
        <f>C50*1.5</f>
        <v>3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141</v>
      </c>
      <c r="G51" s="280">
        <f>G49-H29</f>
        <v>-215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46175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8">
        <v>346</v>
      </c>
      <c r="D6" s="13">
        <f t="shared" ref="D6:D28" si="1">C6*L6</f>
        <v>263306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8">
        <v>20</v>
      </c>
      <c r="D7" s="13">
        <f t="shared" si="1"/>
        <v>15620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8">
        <v>1</v>
      </c>
      <c r="D8" s="13">
        <f t="shared" si="1"/>
        <v>1093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8">
        <v>74</v>
      </c>
      <c r="D9" s="13">
        <f t="shared" si="1"/>
        <v>54242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8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8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8">
        <f>10+10+2</f>
        <v>22</v>
      </c>
      <c r="D12" s="48">
        <f t="shared" si="1"/>
        <v>21824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8">
        <v>1</v>
      </c>
      <c r="D13" s="48">
        <f t="shared" si="1"/>
        <v>307</v>
      </c>
      <c r="F13" s="190" t="s">
        <v>36</v>
      </c>
      <c r="G13" s="191"/>
      <c r="H13" s="192">
        <f>D29</f>
        <v>403944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8"/>
      <c r="D14" s="31">
        <f t="shared" si="1"/>
        <v>0</v>
      </c>
      <c r="F14" s="195" t="s">
        <v>38</v>
      </c>
      <c r="G14" s="196"/>
      <c r="H14" s="197">
        <f>D54</f>
        <v>72575.25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8">
        <f>10</f>
        <v>10</v>
      </c>
      <c r="D15" s="31">
        <f t="shared" si="1"/>
        <v>6200</v>
      </c>
      <c r="F15" s="200" t="s">
        <v>39</v>
      </c>
      <c r="G15" s="191"/>
      <c r="H15" s="201">
        <f>H13-H14</f>
        <v>331368.75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204">
        <v>918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90">
        <v>50</v>
      </c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148</v>
      </c>
      <c r="C22" s="108">
        <v>1</v>
      </c>
      <c r="D22" s="48">
        <f t="shared" si="1"/>
        <v>1102</v>
      </c>
      <c r="F22" s="76"/>
      <c r="G22" s="72"/>
      <c r="H22" s="227"/>
      <c r="I22" s="227"/>
      <c r="J22" s="227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149</v>
      </c>
      <c r="C23" s="108">
        <v>1</v>
      </c>
      <c r="D23" s="48">
        <f t="shared" si="1"/>
        <v>1204</v>
      </c>
      <c r="F23" s="77"/>
      <c r="G23" s="78"/>
      <c r="H23" s="291"/>
      <c r="I23" s="227"/>
      <c r="J23" s="227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150</v>
      </c>
      <c r="C24" s="108">
        <v>1</v>
      </c>
      <c r="D24" s="48">
        <f t="shared" si="1"/>
        <v>1582</v>
      </c>
      <c r="F24" s="38"/>
      <c r="G24" s="37"/>
      <c r="H24" s="228"/>
      <c r="I24" s="229"/>
      <c r="J24" s="229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152</v>
      </c>
      <c r="C26" s="108">
        <v>1</v>
      </c>
      <c r="D26" s="48">
        <f t="shared" si="1"/>
        <v>1277</v>
      </c>
      <c r="F26" s="64"/>
      <c r="G26" s="59"/>
      <c r="H26" s="233"/>
      <c r="I26" s="234"/>
      <c r="J26" s="235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153</v>
      </c>
      <c r="C27" s="108">
        <v>2</v>
      </c>
      <c r="D27" s="44">
        <f t="shared" si="1"/>
        <v>3334</v>
      </c>
      <c r="F27" s="25"/>
      <c r="G27" s="79"/>
      <c r="H27" s="236"/>
      <c r="I27" s="237"/>
      <c r="J27" s="238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403944</v>
      </c>
      <c r="F29" s="213" t="s">
        <v>54</v>
      </c>
      <c r="G29" s="214"/>
      <c r="H29" s="217">
        <f>H15-H16-H17-H18-H19-H20-H22-H23-H24+H26+H27</f>
        <v>330400.75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45">
        <f>F35*G35</f>
        <v>6500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45">
        <f t="shared" si="2"/>
        <v>3000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45">
        <f t="shared" si="2"/>
        <v>150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5">
        <v>38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229">
        <v>98416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229">
        <v>221673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10</v>
      </c>
      <c r="D46" s="12">
        <f>C46*1.5</f>
        <v>15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329777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5</v>
      </c>
      <c r="D50" s="12">
        <f>C50*1.5</f>
        <v>7.5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154</v>
      </c>
      <c r="G51" s="280">
        <f>G49-H29</f>
        <v>-623.75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46176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441</v>
      </c>
      <c r="D6" s="13">
        <f t="shared" ref="D6:D28" si="1">C6*L6</f>
        <v>335601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</v>
      </c>
      <c r="D9" s="13">
        <f t="shared" si="1"/>
        <v>7330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13</v>
      </c>
      <c r="D13" s="48">
        <f t="shared" si="1"/>
        <v>3991</v>
      </c>
      <c r="F13" s="190" t="s">
        <v>36</v>
      </c>
      <c r="G13" s="191"/>
      <c r="H13" s="192">
        <f>D29</f>
        <v>361570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41899.5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v>2</v>
      </c>
      <c r="D15" s="31">
        <f t="shared" si="1"/>
        <v>1240</v>
      </c>
      <c r="F15" s="200" t="s">
        <v>39</v>
      </c>
      <c r="G15" s="191"/>
      <c r="H15" s="201">
        <f>H13-H14</f>
        <v>319670.5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4">
        <v>1944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227">
        <v>88549</v>
      </c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229">
        <v>78233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2</v>
      </c>
      <c r="D28" s="48">
        <f t="shared" si="1"/>
        <v>1622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361570</v>
      </c>
      <c r="F29" s="213" t="s">
        <v>54</v>
      </c>
      <c r="G29" s="214"/>
      <c r="H29" s="217">
        <f>H15-H16-H17-H18-H19-H20-H22-H23-H24+H26+H27+H28</f>
        <v>307410.5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45">
        <f t="shared" ref="H34:H39" si="2">F34*G34</f>
        <v>180000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45">
        <f t="shared" si="2"/>
        <v>1000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45">
        <f t="shared" si="2"/>
        <v>43700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45">
        <f t="shared" si="2"/>
        <v>3200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6</v>
      </c>
      <c r="D42" s="12">
        <f>C42*2.25</f>
        <v>13.5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229">
        <v>78233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7</v>
      </c>
      <c r="D49" s="12">
        <f>C49*42</f>
        <v>294</v>
      </c>
      <c r="F49" s="270" t="s">
        <v>85</v>
      </c>
      <c r="G49" s="217">
        <f>H34+H35+H36+H37+H38+H39+H40+H41+G42+H44+H45+H46</f>
        <v>306133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11</v>
      </c>
      <c r="D50" s="12">
        <f>C50*1.5</f>
        <v>16.5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-1277.5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46176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46176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46177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370</v>
      </c>
      <c r="D6" s="13">
        <f t="shared" ref="D6:D28" si="1">C6*L6</f>
        <v>281570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50</v>
      </c>
      <c r="D7" s="13">
        <f t="shared" si="1"/>
        <v>39050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65</v>
      </c>
      <c r="D8" s="13">
        <f t="shared" si="1"/>
        <v>71045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117</v>
      </c>
      <c r="D9" s="13">
        <f t="shared" si="1"/>
        <v>85761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26</v>
      </c>
      <c r="D12" s="48">
        <f t="shared" si="1"/>
        <v>25792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508853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82236.75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426616.25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3042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227">
        <v>62272</v>
      </c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3</v>
      </c>
      <c r="D28" s="48">
        <f t="shared" si="1"/>
        <v>2433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508853</v>
      </c>
      <c r="F29" s="213" t="s">
        <v>54</v>
      </c>
      <c r="G29" s="214"/>
      <c r="H29" s="217">
        <f>H15-H16-H17-H18-H19-H20-H22-H23-H24+H26+H27+H28</f>
        <v>361302.25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45">
        <f t="shared" ref="H34:H39" si="2">F34*G34</f>
        <v>23000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45">
        <f t="shared" si="2"/>
        <v>3500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45">
        <f t="shared" si="2"/>
        <v>2300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45">
        <f t="shared" si="2"/>
        <v>450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5">
        <v>80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229">
        <v>321116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140</v>
      </c>
      <c r="G45" s="62"/>
      <c r="H45" s="229">
        <v>10122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360568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138</v>
      </c>
      <c r="G51" s="280">
        <f>G49-H29</f>
        <v>-734.25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46177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297</v>
      </c>
      <c r="D6" s="13">
        <f t="shared" ref="D6:D28" si="1">C6*L6</f>
        <v>226017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</v>
      </c>
      <c r="D7" s="13">
        <f t="shared" si="1"/>
        <v>781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23</v>
      </c>
      <c r="D9" s="13">
        <f t="shared" si="1"/>
        <v>16859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7</v>
      </c>
      <c r="D13" s="48">
        <f t="shared" si="1"/>
        <v>2149</v>
      </c>
      <c r="F13" s="190" t="s">
        <v>36</v>
      </c>
      <c r="G13" s="191"/>
      <c r="H13" s="192">
        <f>D29</f>
        <v>248406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41370.75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207035.25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4">
        <v>1896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248406</v>
      </c>
      <c r="F29" s="213" t="s">
        <v>54</v>
      </c>
      <c r="G29" s="214"/>
      <c r="H29" s="217">
        <f>H15-H16-H17-H18-H19-H20-H22-H23-H24+H26+H27</f>
        <v>205139.25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45">
        <f>F34*G34</f>
        <v>26000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45">
        <f>F35*G35</f>
        <v>52500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3</v>
      </c>
      <c r="D42" s="12">
        <f>C42*2.25</f>
        <v>6.75</v>
      </c>
      <c r="F42" s="39" t="s">
        <v>78</v>
      </c>
      <c r="G42" s="245">
        <v>85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229">
        <v>126406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</v>
      </c>
      <c r="D46" s="12">
        <f>C46*1.5</f>
        <v>1.5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9</v>
      </c>
      <c r="D49" s="12">
        <f>C49*42</f>
        <v>378</v>
      </c>
      <c r="F49" s="270" t="s">
        <v>85</v>
      </c>
      <c r="G49" s="217">
        <f>H34+H35+H36+H37+H38+H39+H40+H41+G42+H44+H45+H46</f>
        <v>205091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1</v>
      </c>
      <c r="D50" s="12">
        <f>C50*1.5</f>
        <v>1.5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137</v>
      </c>
      <c r="G51" s="280">
        <f>G49-H29</f>
        <v>-48.25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46177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539</v>
      </c>
      <c r="D6" s="13">
        <f t="shared" ref="D6:D28" si="1">C6*L6</f>
        <v>410179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20</v>
      </c>
      <c r="D7" s="13">
        <f t="shared" si="1"/>
        <v>15620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135</v>
      </c>
      <c r="D9" s="13">
        <f t="shared" si="1"/>
        <v>98955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20</v>
      </c>
      <c r="D11" s="13">
        <f t="shared" si="1"/>
        <v>23400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20</v>
      </c>
      <c r="D12" s="48">
        <f t="shared" si="1"/>
        <v>19840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24</v>
      </c>
      <c r="D13" s="48">
        <f t="shared" si="1"/>
        <v>7368</v>
      </c>
      <c r="F13" s="190" t="s">
        <v>36</v>
      </c>
      <c r="G13" s="191"/>
      <c r="H13" s="192">
        <f>D29</f>
        <v>582314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89697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492617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204">
        <f>924+306</f>
        <v>1230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148</v>
      </c>
      <c r="C27" s="10">
        <v>1</v>
      </c>
      <c r="D27" s="44">
        <f t="shared" si="1"/>
        <v>1102</v>
      </c>
      <c r="F27" s="25"/>
      <c r="G27" s="79"/>
      <c r="H27" s="236"/>
      <c r="I27" s="237"/>
      <c r="J27" s="238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582314</v>
      </c>
      <c r="F29" s="213" t="s">
        <v>54</v>
      </c>
      <c r="G29" s="214"/>
      <c r="H29" s="217">
        <f>H15-H16-H17-H18-H19-H20-H22-H23-H24+H26+H27</f>
        <v>491387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45">
        <f>F34*G34</f>
        <v>24000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45">
        <f>F35*G35</f>
        <v>2000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45">
        <f t="shared" ref="H36:H39" si="2">F36*G36</f>
        <v>200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45">
        <f t="shared" si="2"/>
        <v>5900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5">
        <v>30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229">
        <v>30346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229">
        <v>328788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229">
        <v>99736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24</v>
      </c>
      <c r="D49" s="12">
        <f>C49*42</f>
        <v>1008</v>
      </c>
      <c r="F49" s="270" t="s">
        <v>85</v>
      </c>
      <c r="G49" s="217">
        <f>H34+H35+H36+H37+H38+H39+H40+H41+G42+H44+H45+H46</f>
        <v>491050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14</v>
      </c>
      <c r="D50" s="12">
        <f>C50*1.5</f>
        <v>21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163</v>
      </c>
      <c r="G51" s="280">
        <f>G49-H29</f>
        <v>-337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46178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5">
        <f t="shared" ref="H34:H39" si="2"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46178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384</v>
      </c>
      <c r="D6" s="13">
        <f t="shared" ref="D6:D28" si="1">C6*L6</f>
        <v>292224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4</v>
      </c>
      <c r="D7" s="13">
        <f t="shared" si="1"/>
        <v>3124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6</v>
      </c>
      <c r="D9" s="13">
        <f t="shared" si="1"/>
        <v>4398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190" t="s">
        <v>36</v>
      </c>
      <c r="G13" s="191"/>
      <c r="H13" s="192">
        <f>D29</f>
        <v>302509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39733.5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262775.5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1296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302509</v>
      </c>
      <c r="F29" s="213" t="s">
        <v>54</v>
      </c>
      <c r="G29" s="214"/>
      <c r="H29" s="217">
        <f>H15-H16-H17-H18-H19-H20-H22-H23-H24+H26+H27</f>
        <v>261479.5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245">
        <f>F34*G34</f>
        <v>90000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245">
        <f>F35*G35</f>
        <v>25500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45">
        <f t="shared" si="2"/>
        <v>40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77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229">
        <v>145825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4</v>
      </c>
      <c r="D49" s="12">
        <f>C49*42</f>
        <v>168</v>
      </c>
      <c r="F49" s="270" t="s">
        <v>85</v>
      </c>
      <c r="G49" s="217">
        <f>H34+H35+H36+H37+H38+H39+H40+H41+G42+H44+H45+H46</f>
        <v>261542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5</v>
      </c>
      <c r="D50" s="12">
        <f>C50*1.5</f>
        <v>7.5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62.5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46178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389</v>
      </c>
      <c r="D6" s="13">
        <f t="shared" ref="D6:D28" si="1">C6*L6</f>
        <v>296029</v>
      </c>
      <c r="F6" s="168" t="s">
        <v>16</v>
      </c>
      <c r="G6" s="170" t="s">
        <v>170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20</v>
      </c>
      <c r="D7" s="13">
        <f t="shared" si="1"/>
        <v>15620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46</v>
      </c>
      <c r="D9" s="13">
        <f t="shared" si="1"/>
        <v>33718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4+1</f>
        <v>5</v>
      </c>
      <c r="D12" s="48">
        <f t="shared" si="1"/>
        <v>4960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190" t="s">
        <v>36</v>
      </c>
      <c r="G13" s="191"/>
      <c r="H13" s="192">
        <f>D29</f>
        <v>357319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52380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304939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1092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357319</v>
      </c>
      <c r="F29" s="213" t="s">
        <v>54</v>
      </c>
      <c r="G29" s="214"/>
      <c r="H29" s="217">
        <f>H15-H16-H17-H18-H19-H20-H22-H23-H24+H26+H27</f>
        <v>303847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245">
        <f>F34*G34</f>
        <v>103000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5">
        <f>F35*G35</f>
        <v>4500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5">
        <f t="shared" ref="H36:H39" si="2">F36*G36</f>
        <v>200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245">
        <f t="shared" si="2"/>
        <v>6300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8</v>
      </c>
      <c r="D42" s="12">
        <f>C42*2.25</f>
        <v>18</v>
      </c>
      <c r="F42" s="39" t="s">
        <v>78</v>
      </c>
      <c r="G42" s="245">
        <v>20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229">
        <v>69159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229">
        <v>119736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5</v>
      </c>
      <c r="D46" s="12">
        <f>C46*1.5</f>
        <v>7.5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302965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14</v>
      </c>
      <c r="D50" s="12">
        <f>C50*1.5</f>
        <v>21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137</v>
      </c>
      <c r="G51" s="280">
        <f>G49-H29</f>
        <v>-882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46179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229">
        <v>62272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62272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45">
        <f t="shared" ref="H34:H39" si="2">F34*G34</f>
        <v>62000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5">
        <f t="shared" si="2"/>
        <v>200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22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62272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46179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46179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46181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5">
        <f t="shared" ref="H34:H39" si="2"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46181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457</v>
      </c>
      <c r="D6" s="13">
        <f t="shared" ref="D6:D28" si="1">C6*L6</f>
        <v>347777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4</v>
      </c>
      <c r="D7" s="13">
        <f t="shared" si="1"/>
        <v>3124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33</v>
      </c>
      <c r="D9" s="13">
        <f t="shared" si="1"/>
        <v>24189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15</v>
      </c>
      <c r="D13" s="48">
        <f t="shared" si="1"/>
        <v>4605</v>
      </c>
      <c r="F13" s="190" t="s">
        <v>36</v>
      </c>
      <c r="G13" s="191"/>
      <c r="H13" s="192">
        <f>D29</f>
        <v>379695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56268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323427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2832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379695</v>
      </c>
      <c r="F29" s="213" t="s">
        <v>54</v>
      </c>
      <c r="G29" s="214"/>
      <c r="H29" s="217">
        <f>H15-H16-H17-H18-H19-H20-H22-H23-H24+H26+H27</f>
        <v>320595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245">
        <f>F34*G34</f>
        <v>151000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245">
        <f>F35*G35</f>
        <v>167000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245">
        <f t="shared" si="2"/>
        <v>700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45">
        <f t="shared" si="2"/>
        <v>250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8</v>
      </c>
      <c r="D42" s="12">
        <f>C42*2.25</f>
        <v>18</v>
      </c>
      <c r="F42" s="39" t="s">
        <v>78</v>
      </c>
      <c r="G42" s="245">
        <v>76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15</v>
      </c>
      <c r="D49" s="12">
        <f>C49*42</f>
        <v>630</v>
      </c>
      <c r="F49" s="270" t="s">
        <v>85</v>
      </c>
      <c r="G49" s="217">
        <f>H34+H35+H36+H37+H38+H39+H40+H41+G42+H44+H45+H46</f>
        <v>319046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-1549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46181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416</v>
      </c>
      <c r="D6" s="13">
        <f t="shared" ref="D6:D28" si="1">C6*L6</f>
        <v>316576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76</v>
      </c>
      <c r="D9" s="13">
        <f t="shared" si="1"/>
        <v>55708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</v>
      </c>
      <c r="D11" s="13">
        <f t="shared" si="1"/>
        <v>1170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5</v>
      </c>
      <c r="D12" s="48">
        <f t="shared" si="1"/>
        <v>4960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389426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56689.5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332736.5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2478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389426</v>
      </c>
      <c r="F29" s="213" t="s">
        <v>54</v>
      </c>
      <c r="G29" s="214"/>
      <c r="H29" s="217">
        <f>H15-H16-H17-H18-H19-H20-H22-H23-H24+H26+H27</f>
        <v>330258.5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245">
        <f>F34*G34</f>
        <v>122000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45">
        <f>F35*G35</f>
        <v>30000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245">
        <f t="shared" si="2"/>
        <v>5200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245">
        <f t="shared" si="2"/>
        <v>900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22</v>
      </c>
      <c r="D42" s="12">
        <f>C42*2.25</f>
        <v>49.5</v>
      </c>
      <c r="F42" s="39" t="s">
        <v>78</v>
      </c>
      <c r="G42" s="245">
        <v>204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229">
        <v>164463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1</v>
      </c>
      <c r="D45" s="12">
        <f>C45*84</f>
        <v>84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8</v>
      </c>
      <c r="D46" s="12">
        <f>C46*1.5</f>
        <v>12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5</v>
      </c>
      <c r="D49" s="12">
        <f>C49*42</f>
        <v>210</v>
      </c>
      <c r="F49" s="270" t="s">
        <v>85</v>
      </c>
      <c r="G49" s="217">
        <f>H34+H35+H36+H37+H38+H39+H40+H41+G42+H44+H45+H46</f>
        <v>322767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7</v>
      </c>
      <c r="D50" s="12">
        <f>C50*1.5</f>
        <v>10.5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-7491.5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339</v>
      </c>
      <c r="D6" s="13">
        <f t="shared" ref="D6:D28" si="1">C6*L6</f>
        <v>257979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9</v>
      </c>
      <c r="D7" s="13">
        <f t="shared" si="1"/>
        <v>7029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20</v>
      </c>
      <c r="D9" s="13">
        <f t="shared" si="1"/>
        <v>14660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1+1</f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</v>
      </c>
      <c r="D13" s="48">
        <f t="shared" si="1"/>
        <v>614</v>
      </c>
      <c r="F13" s="190" t="s">
        <v>36</v>
      </c>
      <c r="G13" s="191"/>
      <c r="H13" s="192">
        <f>D29</f>
        <v>284998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35218.5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249779.5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284998</v>
      </c>
      <c r="F29" s="213" t="s">
        <v>54</v>
      </c>
      <c r="G29" s="214"/>
      <c r="H29" s="217">
        <f>H15-H16-H17-H18-H19-H20-H22-H23-H24+H26+H27+H28</f>
        <v>249779.5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245">
        <f t="shared" ref="H34:H39" si="2">F34*G34</f>
        <v>129000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45">
        <f t="shared" si="2"/>
        <v>36500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245">
        <f t="shared" si="2"/>
        <v>3600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245">
        <f t="shared" si="2"/>
        <v>900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58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229">
        <v>67000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140</v>
      </c>
      <c r="G45" s="62"/>
      <c r="H45" s="229">
        <v>12350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2</v>
      </c>
      <c r="D49" s="12">
        <f>C49*42</f>
        <v>84</v>
      </c>
      <c r="F49" s="270" t="s">
        <v>85</v>
      </c>
      <c r="G49" s="217">
        <f>H34+H35+H36+H37+H38+H39+H40+H41+G42+H44+H45+H46</f>
        <v>249428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21</v>
      </c>
      <c r="D50" s="12">
        <f>C50*1.5</f>
        <v>31.5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-351.5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46182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323</v>
      </c>
      <c r="D6" s="13">
        <f t="shared" ref="D6:D28" si="1">C6*L6</f>
        <v>245803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3</v>
      </c>
      <c r="D7" s="13">
        <f t="shared" si="1"/>
        <v>2343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50</v>
      </c>
      <c r="D9" s="13">
        <f t="shared" si="1"/>
        <v>36650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5</v>
      </c>
      <c r="D10" s="13">
        <f t="shared" si="1"/>
        <v>5160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12</v>
      </c>
      <c r="D13" s="48">
        <f t="shared" si="1"/>
        <v>3684</v>
      </c>
      <c r="F13" s="190" t="s">
        <v>36</v>
      </c>
      <c r="G13" s="191"/>
      <c r="H13" s="192">
        <f>D29</f>
        <v>296582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46258.5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250323.5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4">
        <v>2070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296582</v>
      </c>
      <c r="F29" s="213" t="s">
        <v>54</v>
      </c>
      <c r="G29" s="214"/>
      <c r="H29" s="217">
        <f>H15-H16-H17-H18-H19-H20-H22-H23-H24+H26+H27</f>
        <v>248253.5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245">
        <f>F34*G34</f>
        <v>18000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45">
        <f>F35*G35</f>
        <v>5000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245">
        <f t="shared" si="2"/>
        <v>100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20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229">
        <v>224866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1</v>
      </c>
      <c r="D45" s="12">
        <f>C45*84</f>
        <v>84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</v>
      </c>
      <c r="D49" s="12">
        <f>C49*42</f>
        <v>42</v>
      </c>
      <c r="F49" s="270" t="s">
        <v>85</v>
      </c>
      <c r="G49" s="217">
        <f>H34+H35+H36+H37+H38+H39+H40+H41+G42+H44+H45+H46</f>
        <v>247986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1</v>
      </c>
      <c r="D50" s="12">
        <f>C50*1.5</f>
        <v>1.5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-267.5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46182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490</v>
      </c>
      <c r="D6" s="13">
        <f t="shared" ref="D6:D28" si="1">C6*L6</f>
        <v>372890</v>
      </c>
      <c r="F6" s="168" t="s">
        <v>16</v>
      </c>
      <c r="G6" s="170" t="s">
        <v>142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27</v>
      </c>
      <c r="D7" s="13">
        <f t="shared" si="1"/>
        <v>21087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108</v>
      </c>
      <c r="D9" s="13">
        <f t="shared" si="1"/>
        <v>79164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5</v>
      </c>
      <c r="D10" s="13">
        <f t="shared" si="1"/>
        <v>5160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7+2</f>
        <v>9</v>
      </c>
      <c r="D12" s="48">
        <f t="shared" si="1"/>
        <v>8928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19</v>
      </c>
      <c r="D13" s="48">
        <f t="shared" si="1"/>
        <v>5833</v>
      </c>
      <c r="F13" s="190" t="s">
        <v>36</v>
      </c>
      <c r="G13" s="191"/>
      <c r="H13" s="192">
        <f>D29</f>
        <v>494155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67279.5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426875.5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3288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494155</v>
      </c>
      <c r="F29" s="213" t="s">
        <v>54</v>
      </c>
      <c r="G29" s="214"/>
      <c r="H29" s="217">
        <f>H15-H16-H17-H18-H19-H20-H22-H23-H24+H26+H27</f>
        <v>423587.5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245">
        <f>F34*G34</f>
        <v>30000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45">
        <f>F35*G35</f>
        <v>29500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245">
        <f t="shared" si="2"/>
        <v>800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45">
        <f t="shared" si="2"/>
        <v>150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8</v>
      </c>
      <c r="D42" s="12">
        <f>C42*2.25</f>
        <v>18</v>
      </c>
      <c r="F42" s="39" t="s">
        <v>78</v>
      </c>
      <c r="G42" s="245">
        <v>42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229">
        <v>129945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229">
        <v>233114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4</v>
      </c>
      <c r="D46" s="12">
        <f>C46*1.5</f>
        <v>6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5</v>
      </c>
      <c r="D49" s="12">
        <f>C49*42</f>
        <v>210</v>
      </c>
      <c r="F49" s="270" t="s">
        <v>85</v>
      </c>
      <c r="G49" s="217">
        <f>H34+H35+H36+H37+H38+H39+H40+H41+G42+H44+H45+H46</f>
        <v>423571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22</v>
      </c>
      <c r="D50" s="12">
        <f>C50*1.5</f>
        <v>33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-16.5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46183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312</v>
      </c>
      <c r="D6" s="13">
        <f t="shared" ref="D6:D28" si="1">C6*L6</f>
        <v>237432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8</v>
      </c>
      <c r="D7" s="13">
        <f t="shared" si="1"/>
        <v>6248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15</v>
      </c>
      <c r="D9" s="13">
        <f t="shared" si="1"/>
        <v>10995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262429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37573.5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v>2</v>
      </c>
      <c r="D15" s="31">
        <f t="shared" si="1"/>
        <v>1240</v>
      </c>
      <c r="F15" s="200" t="s">
        <v>39</v>
      </c>
      <c r="G15" s="191"/>
      <c r="H15" s="201">
        <f>H13-H14</f>
        <v>224855.5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2</v>
      </c>
      <c r="D28" s="48">
        <f t="shared" si="1"/>
        <v>1622</v>
      </c>
      <c r="F28" s="101"/>
      <c r="G28" s="61"/>
      <c r="H28" s="239"/>
      <c r="I28" s="240"/>
      <c r="J28" s="241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262429</v>
      </c>
      <c r="F29" s="213" t="s">
        <v>54</v>
      </c>
      <c r="G29" s="214"/>
      <c r="H29" s="217">
        <f>H15-H16-H17-H18-H19-H20-H22-H23-H24+H26+H27+H28</f>
        <v>224855.5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245">
        <f t="shared" ref="H34:H39" si="2">F34*G34</f>
        <v>54000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45">
        <f t="shared" si="2"/>
        <v>7000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5">
        <f t="shared" si="2"/>
        <v>200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245">
        <f t="shared" si="2"/>
        <v>1800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4</v>
      </c>
      <c r="D42" s="12">
        <f>C42*2.25</f>
        <v>9</v>
      </c>
      <c r="F42" s="39" t="s">
        <v>78</v>
      </c>
      <c r="G42" s="245">
        <v>60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229">
        <v>11360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229">
        <v>150130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1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33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8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11"/>
      <c r="D49" s="12">
        <f>C49*42</f>
        <v>0</v>
      </c>
      <c r="F49" s="270" t="s">
        <v>85</v>
      </c>
      <c r="G49" s="217">
        <f>H34+H35+H36+H37+H38+H39+H40+H41+G42+H44+H45+H46</f>
        <v>224670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138</v>
      </c>
      <c r="G51" s="280">
        <f>G49-H29</f>
        <v>-185.5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46183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46183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338</v>
      </c>
      <c r="D6" s="13">
        <f t="shared" ref="D6:D28" si="1">C6*L6</f>
        <v>257218</v>
      </c>
      <c r="F6" s="168" t="s">
        <v>16</v>
      </c>
      <c r="G6" s="170" t="s">
        <v>142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</v>
      </c>
      <c r="D7" s="13">
        <f t="shared" si="1"/>
        <v>781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14</v>
      </c>
      <c r="D9" s="13">
        <f t="shared" si="1"/>
        <v>10262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5</v>
      </c>
      <c r="D12" s="48">
        <f t="shared" si="1"/>
        <v>4960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297741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41929.5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255811.5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204">
        <v>1296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297741</v>
      </c>
      <c r="F29" s="213" t="s">
        <v>54</v>
      </c>
      <c r="G29" s="214"/>
      <c r="H29" s="217">
        <f>H15-H16-H17-H18-H19-H20-H22-H23-H24+H26+H27</f>
        <v>254515.5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245">
        <f>F34*G34</f>
        <v>107000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245">
        <f>F35*G35</f>
        <v>6000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245">
        <f t="shared" si="2"/>
        <v>100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229">
        <v>140790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3</v>
      </c>
      <c r="D45" s="12">
        <f>C45*84</f>
        <v>252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13</v>
      </c>
      <c r="D46" s="12">
        <f>C46*1.5</f>
        <v>19.5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8</v>
      </c>
      <c r="D49" s="12">
        <f>C49*42</f>
        <v>336</v>
      </c>
      <c r="F49" s="270" t="s">
        <v>85</v>
      </c>
      <c r="G49" s="217">
        <f>H34+H35+H36+H37+H38+H39+H40+H41+G42+H44+H45+H46</f>
        <v>253940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22</v>
      </c>
      <c r="D50" s="12">
        <f>C50*1.5</f>
        <v>33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180</v>
      </c>
      <c r="G51" s="280">
        <f>G49-H29</f>
        <v>-575.5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4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46184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06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5">
        <f t="shared" ref="H34:H39" si="2"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46184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265</v>
      </c>
      <c r="D6" s="13">
        <f t="shared" ref="D6:D28" si="1">C6*L6</f>
        <v>201665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108</v>
      </c>
      <c r="D9" s="13">
        <f t="shared" si="1"/>
        <v>79164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15</v>
      </c>
      <c r="D13" s="48">
        <f t="shared" si="1"/>
        <v>4605</v>
      </c>
      <c r="F13" s="190" t="s">
        <v>36</v>
      </c>
      <c r="G13" s="191"/>
      <c r="H13" s="192">
        <f>D29</f>
        <v>286866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41175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245691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v>1932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286866</v>
      </c>
      <c r="F29" s="213" t="s">
        <v>54</v>
      </c>
      <c r="G29" s="214"/>
      <c r="H29" s="217">
        <f>H15-H16-H17-H18-H19-H20-H22-H23-H24+H26+H27</f>
        <v>243759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45">
        <f>F34*G34</f>
        <v>138000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45">
        <f>F35*G35</f>
        <v>105500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9</v>
      </c>
      <c r="D49" s="12">
        <f>C49*42</f>
        <v>378</v>
      </c>
      <c r="F49" s="270" t="s">
        <v>85</v>
      </c>
      <c r="G49" s="217">
        <f>H34+H35+H36+H37+H38+H39+H40+H41+G42+H44+H45+H46</f>
        <v>243500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3</v>
      </c>
      <c r="D50" s="12">
        <f>C50*1.5</f>
        <v>4.5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-259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46184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269</v>
      </c>
      <c r="D6" s="13">
        <f t="shared" ref="D6:D28" si="1">C6*L6</f>
        <v>204709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11</v>
      </c>
      <c r="D7" s="13">
        <f t="shared" si="1"/>
        <v>8591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26</v>
      </c>
      <c r="D8" s="13">
        <f t="shared" si="1"/>
        <v>28418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53</v>
      </c>
      <c r="D9" s="13">
        <f t="shared" si="1"/>
        <v>38849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5</v>
      </c>
      <c r="D11" s="13">
        <f t="shared" si="1"/>
        <v>5850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</v>
      </c>
      <c r="D13" s="48">
        <f t="shared" si="1"/>
        <v>614</v>
      </c>
      <c r="F13" s="190" t="s">
        <v>36</v>
      </c>
      <c r="G13" s="191"/>
      <c r="H13" s="192">
        <f>D29</f>
        <v>291580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43789.5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247790.5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1242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>
        <v>50</v>
      </c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227">
        <v>35098</v>
      </c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3</v>
      </c>
      <c r="D28" s="48">
        <f t="shared" si="1"/>
        <v>2433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291580</v>
      </c>
      <c r="F29" s="213" t="s">
        <v>54</v>
      </c>
      <c r="G29" s="214"/>
      <c r="H29" s="217">
        <f>H15-H16-H17-H18-H19-H20-H22-H23-H24+H26+H27</f>
        <v>211400.5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245">
        <f>F34*G34</f>
        <v>83000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45">
        <f>F35*G35</f>
        <v>20000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2</v>
      </c>
      <c r="D42" s="12">
        <f>C42*2.25</f>
        <v>4.5</v>
      </c>
      <c r="F42" s="39" t="s">
        <v>78</v>
      </c>
      <c r="G42" s="245">
        <v>26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229">
        <v>97440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140</v>
      </c>
      <c r="G45" s="75"/>
      <c r="H45" s="229">
        <v>17976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15</v>
      </c>
      <c r="D46" s="12">
        <f>C46*1.5</f>
        <v>22.5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218542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16</v>
      </c>
      <c r="D50" s="12">
        <f>C50*1.5</f>
        <v>24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7141.5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4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422</v>
      </c>
      <c r="D6" s="13">
        <f t="shared" ref="D6:D28" si="1">C6*L6</f>
        <v>321142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8</v>
      </c>
      <c r="D7" s="13">
        <f t="shared" si="1"/>
        <v>6248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103</v>
      </c>
      <c r="D9" s="13">
        <f t="shared" si="1"/>
        <v>75499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12</v>
      </c>
      <c r="D13" s="48">
        <f t="shared" si="1"/>
        <v>3684</v>
      </c>
      <c r="F13" s="190" t="s">
        <v>36</v>
      </c>
      <c r="G13" s="191"/>
      <c r="H13" s="192">
        <f>D29</f>
        <v>410353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40264.5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f>3+1</f>
        <v>4</v>
      </c>
      <c r="D15" s="31">
        <f t="shared" si="1"/>
        <v>2480</v>
      </c>
      <c r="F15" s="200" t="s">
        <v>39</v>
      </c>
      <c r="G15" s="191"/>
      <c r="H15" s="201">
        <f>H13-H14</f>
        <v>370088.5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v>1074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227">
        <v>123065</v>
      </c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06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410353</v>
      </c>
      <c r="F29" s="213" t="s">
        <v>54</v>
      </c>
      <c r="G29" s="214"/>
      <c r="H29" s="217">
        <f>H15-H16-H17-H18-H19-H20-H22-H23-H24+H26+H27+H28</f>
        <v>245949.5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245">
        <f t="shared" ref="H34:H39" si="2">F34*G34</f>
        <v>38000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45">
        <f t="shared" si="2"/>
        <v>22500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245">
        <f t="shared" si="2"/>
        <v>100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245">
        <f t="shared" si="2"/>
        <v>450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12</v>
      </c>
      <c r="D42" s="12">
        <f>C42*2.25</f>
        <v>27</v>
      </c>
      <c r="F42" s="39" t="s">
        <v>78</v>
      </c>
      <c r="G42" s="245">
        <v>16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229">
        <v>134999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229">
        <v>45000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229">
        <v>4550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245615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-334.5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46185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277</v>
      </c>
      <c r="D6" s="13">
        <f t="shared" ref="D6:D28" si="1">C6*L6</f>
        <v>210797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68</v>
      </c>
      <c r="D9" s="13">
        <f t="shared" si="1"/>
        <v>49844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273580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46170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v>1</v>
      </c>
      <c r="D15" s="31">
        <f t="shared" si="1"/>
        <v>620</v>
      </c>
      <c r="F15" s="200" t="s">
        <v>39</v>
      </c>
      <c r="G15" s="191"/>
      <c r="H15" s="201">
        <f>H13-H14</f>
        <v>227410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4">
        <v>1140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273580</v>
      </c>
      <c r="F29" s="213" t="s">
        <v>54</v>
      </c>
      <c r="G29" s="214"/>
      <c r="H29" s="217">
        <f>H15-H16-H17-H18-H19-H20-H22-H23-H24+H26+H27</f>
        <v>226270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245">
        <f>F34*G34</f>
        <v>85000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45">
        <f>F35*G35</f>
        <v>15000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245">
        <f t="shared" si="2"/>
        <v>6600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2</v>
      </c>
      <c r="D42" s="12">
        <f>C42*2.25</f>
        <v>4.5</v>
      </c>
      <c r="F42" s="39" t="s">
        <v>78</v>
      </c>
      <c r="G42" s="245">
        <v>41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229">
        <v>119356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5</v>
      </c>
      <c r="D49" s="12">
        <f>C49*42</f>
        <v>210</v>
      </c>
      <c r="F49" s="270" t="s">
        <v>85</v>
      </c>
      <c r="G49" s="217">
        <f>H34+H35+H36+H37+H38+H39+H40+H41+G42+H44+H45+H46</f>
        <v>225997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-273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46185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2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4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46186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229">
        <v>123065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14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2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123065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5">
        <f t="shared" ref="H34:H39" si="2"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4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229">
        <v>123065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123065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4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322</v>
      </c>
      <c r="D6" s="13">
        <f t="shared" ref="D6:D28" si="1">C6*L6</f>
        <v>245042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111</v>
      </c>
      <c r="D9" s="13">
        <f t="shared" si="1"/>
        <v>81363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190" t="s">
        <v>36</v>
      </c>
      <c r="G13" s="191"/>
      <c r="H13" s="192">
        <f>D29</f>
        <v>337138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68018.25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269119.75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v>2430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>
        <v>125.84</v>
      </c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229">
        <v>35098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06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337138</v>
      </c>
      <c r="F29" s="213" t="s">
        <v>54</v>
      </c>
      <c r="G29" s="214"/>
      <c r="H29" s="217">
        <f>H15-H16-H17-H18-H19-H20-H22-H23-H24+H26+H27+H28</f>
        <v>301661.90999999997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245">
        <f t="shared" ref="H34:H39" si="2">F34*G34</f>
        <v>58000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45">
        <f t="shared" si="2"/>
        <v>1000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245">
        <f t="shared" si="2"/>
        <v>700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245">
        <f t="shared" si="2"/>
        <v>250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17</v>
      </c>
      <c r="D42" s="12">
        <f>C42*2.25</f>
        <v>38.25</v>
      </c>
      <c r="F42" s="39" t="s">
        <v>78</v>
      </c>
      <c r="G42" s="245">
        <v>48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229">
        <v>183077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229">
        <v>57853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23</v>
      </c>
      <c r="D46" s="12">
        <f>C46*1.5</f>
        <v>34.5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2</v>
      </c>
      <c r="D49" s="12">
        <f>C49*42</f>
        <v>84</v>
      </c>
      <c r="F49" s="270" t="s">
        <v>85</v>
      </c>
      <c r="G49" s="217">
        <f>H34+H35+H36+H37+H38+H39+H40+H41+G42+H44+H45+H46</f>
        <v>300948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11</v>
      </c>
      <c r="D50" s="12">
        <f>C50*1.5</f>
        <v>16.5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190</v>
      </c>
      <c r="G51" s="280">
        <f>G49-H29</f>
        <v>-713.90999999997439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46188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379</v>
      </c>
      <c r="D6" s="13">
        <f t="shared" ref="D6:D28" si="1">C6*L6</f>
        <v>288419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6</v>
      </c>
      <c r="D9" s="13">
        <f t="shared" si="1"/>
        <v>4398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12</v>
      </c>
      <c r="D13" s="48">
        <f t="shared" si="1"/>
        <v>3684</v>
      </c>
      <c r="F13" s="190" t="s">
        <v>36</v>
      </c>
      <c r="G13" s="191"/>
      <c r="H13" s="192">
        <f>D29</f>
        <v>301187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45102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256085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2316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301187</v>
      </c>
      <c r="F29" s="213" t="s">
        <v>54</v>
      </c>
      <c r="G29" s="214"/>
      <c r="H29" s="217">
        <f>H15-H16-H17-H18-H19-H20-H22-H23-H24+H26+H27</f>
        <v>253769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245">
        <f>F34*G34</f>
        <v>77000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245">
        <f>F35*G35</f>
        <v>176500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45">
        <f t="shared" si="2"/>
        <v>250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44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9</v>
      </c>
      <c r="D49" s="12">
        <f>C49*42</f>
        <v>378</v>
      </c>
      <c r="F49" s="270" t="s">
        <v>85</v>
      </c>
      <c r="G49" s="217">
        <f>H34+H35+H36+H37+H38+H39+H40+H41+G42+H44+H45+H46</f>
        <v>253794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25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46188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483</v>
      </c>
      <c r="D6" s="13">
        <f t="shared" ref="D6:D28" si="1">C6*L6</f>
        <v>367563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162</v>
      </c>
      <c r="D9" s="13">
        <f t="shared" si="1"/>
        <v>118746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3+1</f>
        <v>4</v>
      </c>
      <c r="D12" s="48">
        <f t="shared" si="1"/>
        <v>3968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23</v>
      </c>
      <c r="D13" s="48">
        <f t="shared" si="1"/>
        <v>7061</v>
      </c>
      <c r="F13" s="190" t="s">
        <v>36</v>
      </c>
      <c r="G13" s="191"/>
      <c r="H13" s="192">
        <f>D29</f>
        <v>510083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51577.5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458505.5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4">
        <f>828+726</f>
        <v>1554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>
        <v>50</v>
      </c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510083</v>
      </c>
      <c r="F29" s="213" t="s">
        <v>54</v>
      </c>
      <c r="G29" s="214"/>
      <c r="H29" s="217">
        <f>H15-H16-H17-H18-H19-H20-H22-H23-H24+H26+H27</f>
        <v>456901.5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245">
        <f>F34*G34</f>
        <v>49000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45">
        <f>F35*G35</f>
        <v>1500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245">
        <f t="shared" si="2"/>
        <v>3500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25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229">
        <v>89622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229">
        <v>78268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229">
        <v>235016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</v>
      </c>
      <c r="D49" s="12">
        <f>C49*42</f>
        <v>42</v>
      </c>
      <c r="F49" s="270" t="s">
        <v>85</v>
      </c>
      <c r="G49" s="217">
        <f>H34+H35+H36+H37+H38+H39+H40+H41+G42+H44+H45+H46</f>
        <v>456931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17</v>
      </c>
      <c r="D50" s="12">
        <f>C50*1.5</f>
        <v>25.5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29.5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4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583</v>
      </c>
      <c r="D6" s="13">
        <f t="shared" ref="D6:D28" si="1">C6*L6</f>
        <v>443663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8</v>
      </c>
      <c r="D7" s="13">
        <f t="shared" si="1"/>
        <v>6248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121</v>
      </c>
      <c r="D9" s="13">
        <f t="shared" si="1"/>
        <v>88693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1+1</f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550495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102604.5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447890.5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2592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227">
        <v>261949</v>
      </c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86">
        <v>93725</v>
      </c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229">
        <v>88549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06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3</v>
      </c>
      <c r="D28" s="48">
        <f t="shared" si="1"/>
        <v>2433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550495</v>
      </c>
      <c r="F29" s="213" t="s">
        <v>54</v>
      </c>
      <c r="G29" s="214"/>
      <c r="H29" s="217">
        <f>H15-H16-H17-H18-H19-H20-H22-H23-H24+H26+H27+H28</f>
        <v>178173.5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245">
        <f t="shared" ref="H34:H39" si="2">F34*G34</f>
        <v>40000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45">
        <f t="shared" si="2"/>
        <v>13000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245">
        <f t="shared" si="2"/>
        <v>5300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8</v>
      </c>
      <c r="D42" s="12">
        <f>C42*2.25</f>
        <v>18</v>
      </c>
      <c r="F42" s="39" t="s">
        <v>78</v>
      </c>
      <c r="G42" s="245">
        <v>114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229">
        <v>80000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229">
        <v>38726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</v>
      </c>
      <c r="D46" s="12">
        <f>C46*1.5</f>
        <v>1.5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</v>
      </c>
      <c r="D49" s="12">
        <f>C49*42</f>
        <v>42</v>
      </c>
      <c r="F49" s="270" t="s">
        <v>85</v>
      </c>
      <c r="G49" s="217">
        <f>H34+H35+H36+H37+H38+H39+H40+H41+G42+H44+H45+H46</f>
        <v>177190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</v>
      </c>
      <c r="D50" s="12">
        <f>C50*1.5</f>
        <v>1.5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138</v>
      </c>
      <c r="G51" s="280">
        <f>G49-H29</f>
        <v>-983.5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46189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318</v>
      </c>
      <c r="D6" s="13">
        <f t="shared" ref="D6:D28" si="1">C6*L6</f>
        <v>241998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7</v>
      </c>
      <c r="D7" s="13">
        <f t="shared" si="1"/>
        <v>5467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</v>
      </c>
      <c r="D9" s="13">
        <f t="shared" si="1"/>
        <v>2932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7</v>
      </c>
      <c r="D13" s="48">
        <f t="shared" si="1"/>
        <v>2149</v>
      </c>
      <c r="F13" s="190" t="s">
        <v>36</v>
      </c>
      <c r="G13" s="191"/>
      <c r="H13" s="192">
        <f>D29</f>
        <v>252546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37899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214647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1332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252546</v>
      </c>
      <c r="F29" s="213" t="s">
        <v>54</v>
      </c>
      <c r="G29" s="214"/>
      <c r="H29" s="217">
        <f>H15-H16-H17-H18-H19-H20-H22-H23-H24+H26+H27</f>
        <v>213315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45">
        <f>F34*G34</f>
        <v>55000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45">
        <f>F35*G35</f>
        <v>13500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245">
        <f t="shared" si="2"/>
        <v>400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8</v>
      </c>
      <c r="D42" s="12">
        <f>C42*2.25</f>
        <v>18</v>
      </c>
      <c r="F42" s="39" t="s">
        <v>78</v>
      </c>
      <c r="G42" s="245">
        <v>49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229">
        <v>144678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8</v>
      </c>
      <c r="D49" s="12">
        <f>C49*42</f>
        <v>336</v>
      </c>
      <c r="F49" s="270" t="s">
        <v>85</v>
      </c>
      <c r="G49" s="217">
        <f>H34+H35+H36+H37+H38+H39+H40+H41+G42+H44+H45+H46</f>
        <v>213727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19</v>
      </c>
      <c r="D50" s="12">
        <f>C50*1.5</f>
        <v>28.5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412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46189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648</v>
      </c>
      <c r="D6" s="13">
        <f t="shared" ref="D6:D28" si="1">C6*L6</f>
        <v>493128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18</v>
      </c>
      <c r="D7" s="13">
        <f t="shared" si="1"/>
        <v>14058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40</v>
      </c>
      <c r="D9" s="13">
        <f t="shared" si="1"/>
        <v>29320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15</v>
      </c>
      <c r="D11" s="13">
        <f t="shared" si="1"/>
        <v>17550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17+5</f>
        <v>22</v>
      </c>
      <c r="D12" s="48">
        <f t="shared" si="1"/>
        <v>21824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22</v>
      </c>
      <c r="D13" s="48">
        <f t="shared" si="1"/>
        <v>6754</v>
      </c>
      <c r="F13" s="190" t="s">
        <v>36</v>
      </c>
      <c r="G13" s="191"/>
      <c r="H13" s="192">
        <f>D29</f>
        <v>586130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85962.75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500167.25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f>1296+720</f>
        <v>2016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586130</v>
      </c>
      <c r="F29" s="213" t="s">
        <v>54</v>
      </c>
      <c r="G29" s="214"/>
      <c r="H29" s="217">
        <f>H15-H16-H17-H18-H19-H20-H22-H23-H24+H26+H27</f>
        <v>498151.25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245">
        <f>F34*G34</f>
        <v>5000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</v>
      </c>
      <c r="D42" s="12">
        <f>C42*2.25</f>
        <v>2.25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229">
        <v>80689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229">
        <v>2061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229">
        <v>140400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37" t="s">
        <v>155</v>
      </c>
      <c r="G47" s="110" t="s">
        <v>200</v>
      </c>
      <c r="H47" s="229">
        <v>271017</v>
      </c>
      <c r="I47" s="229"/>
      <c r="J47" s="229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18</v>
      </c>
      <c r="D49" s="12">
        <f>C49*42</f>
        <v>756</v>
      </c>
      <c r="F49" s="270" t="s">
        <v>85</v>
      </c>
      <c r="G49" s="217">
        <f>H34+H35+H36+H37+H38+H39+H40+H41+G42+H44+H45+H46+H47</f>
        <v>499167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13</v>
      </c>
      <c r="D50" s="12">
        <f>C50*1.5</f>
        <v>19.5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1015.75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6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46190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335</v>
      </c>
      <c r="D6" s="13">
        <f t="shared" ref="D6:D28" si="1">C6*L6</f>
        <v>254935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12</v>
      </c>
      <c r="D9" s="13">
        <f t="shared" si="1"/>
        <v>8796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5</v>
      </c>
      <c r="D13" s="48">
        <f t="shared" si="1"/>
        <v>1535</v>
      </c>
      <c r="F13" s="190" t="s">
        <v>36</v>
      </c>
      <c r="G13" s="191"/>
      <c r="H13" s="192">
        <f>D29</f>
        <v>265398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38468.25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226929.75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18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265398</v>
      </c>
      <c r="F29" s="213" t="s">
        <v>54</v>
      </c>
      <c r="G29" s="214"/>
      <c r="H29" s="217">
        <f>H15-H16-H17-H18-H19-H20-H22-H23-H24+H26+H27+H28</f>
        <v>226929.75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245">
        <f t="shared" ref="H34:H39" si="2">F34*G34</f>
        <v>122000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45">
        <f t="shared" si="2"/>
        <v>34000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5">
        <f t="shared" si="2"/>
        <v>200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245">
        <f t="shared" si="2"/>
        <v>700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</v>
      </c>
      <c r="D42" s="12">
        <f>C42*2.25</f>
        <v>2.25</v>
      </c>
      <c r="F42" s="39" t="s">
        <v>78</v>
      </c>
      <c r="G42" s="245">
        <v>59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229">
        <v>60000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140</v>
      </c>
      <c r="G45" s="62"/>
      <c r="H45" s="229">
        <v>9694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</v>
      </c>
      <c r="D49" s="12">
        <f>C49*42</f>
        <v>42</v>
      </c>
      <c r="F49" s="270" t="s">
        <v>85</v>
      </c>
      <c r="G49" s="217">
        <f>H34+H35+H36+H37+H38+H39+H40+H41+G42+H44+H45+H46</f>
        <v>226653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18</v>
      </c>
      <c r="D50" s="12">
        <f>C50*1.5</f>
        <v>27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-276.75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46190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292</v>
      </c>
      <c r="D6" s="13">
        <f t="shared" ref="D6:D28" si="1">C6*L6</f>
        <v>222212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15</v>
      </c>
      <c r="D9" s="13">
        <f t="shared" si="1"/>
        <v>10995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190" t="s">
        <v>36</v>
      </c>
      <c r="G13" s="191"/>
      <c r="H13" s="192">
        <f>D29</f>
        <v>238898.5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34831.5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204067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v>1296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>
        <v>12</v>
      </c>
      <c r="D22" s="48">
        <f t="shared" si="1"/>
        <v>504.5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238898.5</v>
      </c>
      <c r="F29" s="213" t="s">
        <v>54</v>
      </c>
      <c r="G29" s="214"/>
      <c r="H29" s="217">
        <f>H15-H16-H17-H18-H19-H20-H22-H23-H24+H26+H27</f>
        <v>202771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245">
        <f>F34*G34</f>
        <v>145000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45">
        <f>F35*G35</f>
        <v>51500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245">
        <f t="shared" si="2"/>
        <v>3500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245">
        <f t="shared" si="2"/>
        <v>2050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449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</v>
      </c>
      <c r="D44" s="12">
        <f>C44*120</f>
        <v>120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13</v>
      </c>
      <c r="D46" s="12">
        <f>C46*1.5</f>
        <v>19.5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</v>
      </c>
      <c r="D49" s="12">
        <f>C49*42</f>
        <v>42</v>
      </c>
      <c r="F49" s="270" t="s">
        <v>85</v>
      </c>
      <c r="G49" s="217">
        <f>H34+H35+H36+H37+H38+H39+H40+H41+G42+H44+H45+H46</f>
        <v>202519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16</v>
      </c>
      <c r="D50" s="12">
        <f>C50*1.5</f>
        <v>24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-252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46190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452</v>
      </c>
      <c r="D6" s="13">
        <f t="shared" ref="D6:D28" si="1">C6*L6</f>
        <v>343972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58</v>
      </c>
      <c r="D9" s="13">
        <f t="shared" si="1"/>
        <v>42514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3</v>
      </c>
      <c r="D10" s="13">
        <f t="shared" si="1"/>
        <v>3096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15</v>
      </c>
      <c r="D13" s="48">
        <f t="shared" si="1"/>
        <v>4605</v>
      </c>
      <c r="F13" s="190" t="s">
        <v>36</v>
      </c>
      <c r="G13" s="191"/>
      <c r="H13" s="192">
        <f>D29</f>
        <v>403382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59484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343898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f>654+786+678</f>
        <v>2118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>
        <v>50</v>
      </c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403382</v>
      </c>
      <c r="F29" s="213" t="s">
        <v>54</v>
      </c>
      <c r="G29" s="214"/>
      <c r="H29" s="217">
        <f>H15-H16-H17-H18-H19-H20-H22-H23-H24+H26+H27</f>
        <v>341730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245">
        <f>F34*G34</f>
        <v>107000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245">
        <f>F35*G35</f>
        <v>71000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245">
        <f t="shared" si="2"/>
        <v>1800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5">
        <v>111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229">
        <v>85945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229">
        <v>72690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6</v>
      </c>
      <c r="D49" s="12">
        <f>C49*42</f>
        <v>252</v>
      </c>
      <c r="F49" s="270" t="s">
        <v>85</v>
      </c>
      <c r="G49" s="217">
        <f>H34+H35+H36+H37+H38+H39+H40+H41+G42+H44+H45+H46</f>
        <v>338646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7</v>
      </c>
      <c r="D50" s="12">
        <f>C50*1.5</f>
        <v>10.5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-3084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6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46191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431</v>
      </c>
      <c r="D6" s="13">
        <f t="shared" ref="D6:D28" si="1">C6*L6</f>
        <v>327991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70</v>
      </c>
      <c r="D8" s="13">
        <f t="shared" si="1"/>
        <v>76510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190" t="s">
        <v>36</v>
      </c>
      <c r="G13" s="191"/>
      <c r="H13" s="192">
        <f>D29</f>
        <v>407264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65709.75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341554.25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f>1296</f>
        <v>1296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227">
        <v>68110</v>
      </c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18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407264</v>
      </c>
      <c r="F29" s="213" t="s">
        <v>54</v>
      </c>
      <c r="G29" s="214"/>
      <c r="H29" s="217">
        <f>H15-H16-H17-H18-H19-H20-H22-H23-H24+H26+H27+H28</f>
        <v>272148.25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45">
        <f t="shared" ref="H34:H39" si="2">F34*G34</f>
        <v>41000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245">
        <f t="shared" si="2"/>
        <v>82500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45">
        <f t="shared" si="2"/>
        <v>40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5">
        <v>101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229">
        <f>148000</f>
        <v>148000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2</v>
      </c>
      <c r="D45" s="12">
        <f>C45*84</f>
        <v>168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21</v>
      </c>
      <c r="D46" s="12">
        <f>C46*1.5</f>
        <v>31.5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10</v>
      </c>
      <c r="D49" s="12">
        <f>C49*42</f>
        <v>420</v>
      </c>
      <c r="F49" s="270" t="s">
        <v>85</v>
      </c>
      <c r="G49" s="217">
        <f>H34+H35+H36+H37+H38+H39+H40+H41+G42+H44+H45+H46</f>
        <v>271641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-507.25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46191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262</v>
      </c>
      <c r="D6" s="13">
        <f t="shared" ref="D6:D28" si="1">C6*L6</f>
        <v>199382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20</v>
      </c>
      <c r="D9" s="13">
        <f t="shared" si="1"/>
        <v>14660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2+1</f>
        <v>3</v>
      </c>
      <c r="D12" s="48">
        <f t="shared" si="1"/>
        <v>2976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230743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32746.5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197996.5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4">
        <v>1092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230743</v>
      </c>
      <c r="F29" s="213" t="s">
        <v>54</v>
      </c>
      <c r="G29" s="214"/>
      <c r="H29" s="217">
        <f>H15-H16-H17-H18-H19-H20-H22-H23-H24+H26+H27</f>
        <v>196904.5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245">
        <f>F34*G34</f>
        <v>42000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45">
        <f>F35*G35</f>
        <v>21000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245">
        <f t="shared" si="2"/>
        <v>10000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245">
        <f t="shared" si="2"/>
        <v>1600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15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229">
        <v>122242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7</v>
      </c>
      <c r="D49" s="12">
        <f>C49*42</f>
        <v>294</v>
      </c>
      <c r="F49" s="270" t="s">
        <v>85</v>
      </c>
      <c r="G49" s="217">
        <f>H34+H35+H36+H37+H38+H39+H40+H41+G42+H44+H45+H46</f>
        <v>196857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4</v>
      </c>
      <c r="D50" s="12">
        <f>C50*1.5</f>
        <v>6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-47.5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46191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520</v>
      </c>
      <c r="D6" s="13">
        <f t="shared" ref="D6:D28" si="1">C6*L6</f>
        <v>395720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</v>
      </c>
      <c r="D9" s="13">
        <f t="shared" si="1"/>
        <v>1466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13</v>
      </c>
      <c r="D13" s="48">
        <f t="shared" si="1"/>
        <v>3991</v>
      </c>
      <c r="F13" s="190" t="s">
        <v>36</v>
      </c>
      <c r="G13" s="191"/>
      <c r="H13" s="192">
        <f>D29</f>
        <v>403373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67381.5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335991.5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f>654+312+1296+648</f>
        <v>2910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403373</v>
      </c>
      <c r="F29" s="213" t="s">
        <v>54</v>
      </c>
      <c r="G29" s="214"/>
      <c r="H29" s="217">
        <f>H15-H16-H17-H18-H19-H20-H22-H23-H24+H26+H27</f>
        <v>333081.5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245">
        <f>F34*G34</f>
        <v>84000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45">
        <f>F35*G35</f>
        <v>5500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45">
        <f t="shared" ref="H36:H39" si="2">F36*G36</f>
        <v>600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245">
        <f t="shared" si="2"/>
        <v>400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245">
        <f t="shared" si="2"/>
        <v>400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4</v>
      </c>
      <c r="D42" s="12">
        <f>C42*2.25</f>
        <v>9</v>
      </c>
      <c r="F42" s="39" t="s">
        <v>78</v>
      </c>
      <c r="G42" s="245">
        <v>4899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229">
        <v>70468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229">
        <v>140020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229">
        <v>28290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7</v>
      </c>
      <c r="D49" s="12">
        <f>C49*42</f>
        <v>294</v>
      </c>
      <c r="F49" s="270" t="s">
        <v>85</v>
      </c>
      <c r="G49" s="217">
        <f>H34+H35+H36+H37+H38+H39+H40+H41+G42+H44+H45+H46</f>
        <v>334577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13</v>
      </c>
      <c r="D50" s="12">
        <f>C50*1.5</f>
        <v>19.5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1495.5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6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229">
        <v>261949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18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261949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5">
        <f t="shared" ref="H34:H39" si="2"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229">
        <v>261949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261949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312</v>
      </c>
      <c r="D6" s="13">
        <f t="shared" ref="D6:D28" si="1">C6*L6</f>
        <v>237432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</v>
      </c>
      <c r="D9" s="13">
        <f t="shared" si="1"/>
        <v>7330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190" t="s">
        <v>36</v>
      </c>
      <c r="G13" s="191"/>
      <c r="H13" s="192">
        <f>D29</f>
        <v>251255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34557.75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216697.25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648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251255</v>
      </c>
      <c r="F29" s="213" t="s">
        <v>54</v>
      </c>
      <c r="G29" s="214"/>
      <c r="H29" s="217">
        <f>H15-H16-H17-H18-H19-H20-H22-H23-H24+H26+H27</f>
        <v>216049.25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245">
        <f>F34*G34</f>
        <v>179000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45">
        <f>F35*G35</f>
        <v>34000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45">
        <f t="shared" ref="H36:H39" si="2">F36*G36</f>
        <v>200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245">
        <f t="shared" si="2"/>
        <v>1300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245">
        <f t="shared" si="2"/>
        <v>600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5">
        <v>188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</v>
      </c>
      <c r="D49" s="12">
        <f>C49*42</f>
        <v>42</v>
      </c>
      <c r="F49" s="270" t="s">
        <v>85</v>
      </c>
      <c r="G49" s="217">
        <f>H34+H35+H36+H37+H38+H39+H40+H41+G42+H44+H45+H46</f>
        <v>215288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3</v>
      </c>
      <c r="D50" s="12">
        <f>C50*1.5</f>
        <v>4.5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-761.25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379</v>
      </c>
      <c r="D6" s="13">
        <f t="shared" ref="D6:D28" si="1">C6*L6</f>
        <v>288419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35</v>
      </c>
      <c r="D9" s="13">
        <f t="shared" si="1"/>
        <v>25655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13</v>
      </c>
      <c r="D13" s="48">
        <f t="shared" si="1"/>
        <v>3991</v>
      </c>
      <c r="F13" s="190" t="s">
        <v>36</v>
      </c>
      <c r="G13" s="191"/>
      <c r="H13" s="192">
        <f>D29</f>
        <v>327175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50172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277003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f>900+798+420</f>
        <v>2118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327175</v>
      </c>
      <c r="F29" s="213" t="s">
        <v>54</v>
      </c>
      <c r="G29" s="214"/>
      <c r="H29" s="217">
        <f>H15-H16-H17-H18-H19-H20-H22-H23-H24+H26+H27</f>
        <v>274885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245">
        <f>F34*G34</f>
        <v>132000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245">
        <f>F35*G35</f>
        <v>42500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45">
        <f t="shared" ref="H36:H39" si="2">F36*G36</f>
        <v>400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245">
        <f t="shared" si="2"/>
        <v>2300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6</v>
      </c>
      <c r="D42" s="12">
        <f>C42*2.25</f>
        <v>13.5</v>
      </c>
      <c r="F42" s="39" t="s">
        <v>78</v>
      </c>
      <c r="G42" s="245">
        <v>15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229">
        <v>98385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</v>
      </c>
      <c r="D49" s="12">
        <f>C49*42</f>
        <v>42</v>
      </c>
      <c r="F49" s="270" t="s">
        <v>85</v>
      </c>
      <c r="G49" s="217">
        <f>H34+H35+H36+H37+H38+H39+H40+H41+G42+H44+H45+H46</f>
        <v>275620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3</v>
      </c>
      <c r="D50" s="12">
        <f>C50*1.5</f>
        <v>4.5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735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2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46193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229">
        <v>68110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1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68110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245">
        <f t="shared" ref="H34:H39" si="2">F34*G34</f>
        <v>67000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45">
        <f t="shared" si="2"/>
        <v>1000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45">
        <f t="shared" si="2"/>
        <v>100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10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68110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46193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46193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25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298</v>
      </c>
      <c r="D6" s="13">
        <f t="shared" ref="D6:D28" si="1">C6*L6</f>
        <v>226778</v>
      </c>
      <c r="F6" s="168" t="s">
        <v>16</v>
      </c>
      <c r="G6" s="170" t="s">
        <v>142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56</v>
      </c>
      <c r="D7" s="13">
        <f t="shared" si="1"/>
        <v>43736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5</v>
      </c>
      <c r="D8" s="13">
        <f t="shared" si="1"/>
        <v>5465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</v>
      </c>
      <c r="D9" s="13">
        <f t="shared" si="1"/>
        <v>3665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11</v>
      </c>
      <c r="D10" s="13">
        <f t="shared" si="1"/>
        <v>11352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5</v>
      </c>
      <c r="D11" s="13">
        <f t="shared" si="1"/>
        <v>5850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190" t="s">
        <v>36</v>
      </c>
      <c r="G13" s="191"/>
      <c r="H13" s="192">
        <f>D29</f>
        <v>302668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45939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256729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4">
        <v>1728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23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5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302668</v>
      </c>
      <c r="F29" s="213" t="s">
        <v>54</v>
      </c>
      <c r="G29" s="214"/>
      <c r="H29" s="217">
        <f>H15-H16-H17-H18-H19-H20-H22-H23-H24+H26+H27+H28</f>
        <v>255001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52</v>
      </c>
      <c r="H34" s="245">
        <f t="shared" ref="H34:H39" si="2">F34*G34</f>
        <v>52000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19</v>
      </c>
      <c r="H35" s="245">
        <f t="shared" si="2"/>
        <v>9500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363</v>
      </c>
      <c r="D37" s="12">
        <f>C37*111</f>
        <v>40293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2</v>
      </c>
      <c r="D42" s="12">
        <f>C42*2.25</f>
        <v>4.5</v>
      </c>
      <c r="F42" s="39" t="s">
        <v>78</v>
      </c>
      <c r="G42" s="245">
        <v>31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213</v>
      </c>
      <c r="H44" s="229">
        <v>193299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4</v>
      </c>
      <c r="D46" s="12">
        <f>C46*1.5</f>
        <v>6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47</v>
      </c>
      <c r="D49" s="12">
        <f>C49*42</f>
        <v>1974</v>
      </c>
      <c r="F49" s="270" t="s">
        <v>85</v>
      </c>
      <c r="G49" s="217">
        <f>H34+H35+H36+H37+H38+H39+H40+H41+G42+H44+H45+H46</f>
        <v>254830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37</v>
      </c>
      <c r="D50" s="12">
        <f>C50*1.5</f>
        <v>55.5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-171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328</v>
      </c>
      <c r="D6" s="13">
        <f t="shared" ref="D6:D28" si="1">C6*L6</f>
        <v>249608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</v>
      </c>
      <c r="D7" s="13">
        <f t="shared" si="1"/>
        <v>781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</v>
      </c>
      <c r="D9" s="13">
        <f t="shared" si="1"/>
        <v>7330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262664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37476.75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225187.25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4">
        <f>1296</f>
        <v>1296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5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262664</v>
      </c>
      <c r="F29" s="213" t="s">
        <v>54</v>
      </c>
      <c r="G29" s="214"/>
      <c r="H29" s="217">
        <f>H15-H16-H17-H18-H19-H20-H22-H23-H24+H26+H27</f>
        <v>223891.25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45">
        <f>F34*G34</f>
        <v>175000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91</v>
      </c>
      <c r="H35" s="245">
        <f>F35*G35</f>
        <v>45500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324</v>
      </c>
      <c r="D37" s="12">
        <f>C37*111</f>
        <v>35964</v>
      </c>
      <c r="F37" s="12">
        <v>100</v>
      </c>
      <c r="G37" s="39">
        <v>10</v>
      </c>
      <c r="H37" s="245">
        <f t="shared" si="2"/>
        <v>1000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5">
        <v>2305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</v>
      </c>
      <c r="D44" s="12">
        <f>C44*120</f>
        <v>120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10</v>
      </c>
      <c r="D49" s="12">
        <f>C49*42</f>
        <v>420</v>
      </c>
      <c r="F49" s="270" t="s">
        <v>85</v>
      </c>
      <c r="G49" s="217">
        <f>H34+H35+H36+H37+H38+H39+H40+H41+G42+H44+H45+H46</f>
        <v>223875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1</v>
      </c>
      <c r="D50" s="12">
        <f>C50*1.5</f>
        <v>1.5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-16.25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37476.75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300</v>
      </c>
      <c r="D6" s="13">
        <f t="shared" ref="D6:D28" si="1">C6*L6</f>
        <v>228300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13</v>
      </c>
      <c r="D7" s="13">
        <f t="shared" si="1"/>
        <v>10153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71</v>
      </c>
      <c r="D9" s="13">
        <f t="shared" si="1"/>
        <v>52043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7</v>
      </c>
      <c r="D13" s="48">
        <f t="shared" si="1"/>
        <v>2149</v>
      </c>
      <c r="F13" s="190" t="s">
        <v>36</v>
      </c>
      <c r="G13" s="191"/>
      <c r="H13" s="192">
        <f>D29</f>
        <v>294801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37740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257061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f>1044+150+654+42</f>
        <v>1890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>
        <v>50</v>
      </c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5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294801</v>
      </c>
      <c r="F29" s="213" t="s">
        <v>54</v>
      </c>
      <c r="G29" s="214"/>
      <c r="H29" s="217">
        <f>H15-H16-H17-H18-H19-H20-H22-H23-H24+H26+H27</f>
        <v>255121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42</v>
      </c>
      <c r="H34" s="245">
        <f>F34*G34</f>
        <v>42000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45">
        <f>F35*G35</f>
        <v>16500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314</v>
      </c>
      <c r="D37" s="12">
        <f>C37*111</f>
        <v>34854</v>
      </c>
      <c r="F37" s="12">
        <v>100</v>
      </c>
      <c r="G37" s="39">
        <v>25</v>
      </c>
      <c r="H37" s="245">
        <f t="shared" si="2"/>
        <v>2500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14</v>
      </c>
      <c r="H38" s="245">
        <f t="shared" si="2"/>
        <v>700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5">
        <v>67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132</v>
      </c>
      <c r="G44" s="62" t="s">
        <v>211</v>
      </c>
      <c r="H44" s="229">
        <v>117994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132</v>
      </c>
      <c r="G45" s="62" t="s">
        <v>212</v>
      </c>
      <c r="H45" s="229">
        <v>71401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12</v>
      </c>
      <c r="D46" s="12">
        <f>C46*1.5</f>
        <v>18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4</v>
      </c>
      <c r="D49" s="12">
        <f>C49*42</f>
        <v>168</v>
      </c>
      <c r="F49" s="270" t="s">
        <v>85</v>
      </c>
      <c r="G49" s="217">
        <f>H34+H35+H36+H37+H38+H39+H40+H41+G42+H44+H45+H46</f>
        <v>251162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11</v>
      </c>
      <c r="D50" s="12">
        <f>C50*1.5</f>
        <v>16.5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-3959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37740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25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46196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459</v>
      </c>
      <c r="D6" s="13">
        <f t="shared" ref="D6:D28" si="1">C6*L6</f>
        <v>349299</v>
      </c>
      <c r="F6" s="168" t="s">
        <v>16</v>
      </c>
      <c r="G6" s="170" t="s">
        <v>142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99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6</v>
      </c>
      <c r="D9" s="13">
        <f t="shared" si="1"/>
        <v>4398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12</v>
      </c>
      <c r="D11" s="13">
        <f t="shared" si="1"/>
        <v>14040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6</v>
      </c>
      <c r="D13" s="48">
        <f t="shared" si="1"/>
        <v>1842</v>
      </c>
      <c r="F13" s="190" t="s">
        <v>36</v>
      </c>
      <c r="G13" s="191"/>
      <c r="H13" s="192">
        <f>D29</f>
        <v>379402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37230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f>1+1</f>
        <v>2</v>
      </c>
      <c r="D15" s="31">
        <f t="shared" si="1"/>
        <v>1240</v>
      </c>
      <c r="F15" s="200" t="s">
        <v>39</v>
      </c>
      <c r="G15" s="191"/>
      <c r="H15" s="201">
        <f>H13-H14</f>
        <v>342172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2652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23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2</v>
      </c>
      <c r="D28" s="48">
        <f t="shared" si="1"/>
        <v>1622</v>
      </c>
      <c r="F28" s="125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379402</v>
      </c>
      <c r="F29" s="213" t="s">
        <v>54</v>
      </c>
      <c r="G29" s="214"/>
      <c r="H29" s="217">
        <f>H15-H16-H17-H18-H19-H20-H22-H23-H24+H26+H27+H28</f>
        <v>339520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7</v>
      </c>
      <c r="H34" s="245">
        <f t="shared" ref="H34:H39" si="2">F34*G34</f>
        <v>7000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305</v>
      </c>
      <c r="D37" s="12">
        <f>C37*111</f>
        <v>33855</v>
      </c>
      <c r="F37" s="12">
        <v>100</v>
      </c>
      <c r="G37" s="39">
        <v>3</v>
      </c>
      <c r="H37" s="245">
        <f t="shared" si="2"/>
        <v>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6</v>
      </c>
      <c r="D42" s="12">
        <f>C42*2.25</f>
        <v>13.5</v>
      </c>
      <c r="F42" s="39" t="s">
        <v>78</v>
      </c>
      <c r="G42" s="245">
        <v>88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214</v>
      </c>
      <c r="H44" s="229">
        <v>309113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1</v>
      </c>
      <c r="D45" s="12">
        <f>C45*84</f>
        <v>84</v>
      </c>
      <c r="F45" s="37" t="s">
        <v>155</v>
      </c>
      <c r="G45" s="109" t="s">
        <v>156</v>
      </c>
      <c r="H45" s="229">
        <v>10350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12</v>
      </c>
      <c r="D46" s="12">
        <f>C46*1.5</f>
        <v>18</v>
      </c>
      <c r="F46" s="37" t="s">
        <v>140</v>
      </c>
      <c r="G46" s="62"/>
      <c r="H46" s="229">
        <v>12619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339470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15</v>
      </c>
      <c r="D50" s="12">
        <f>C50*1.5</f>
        <v>22.5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-50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37230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46196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277</v>
      </c>
      <c r="D6" s="13">
        <f t="shared" ref="D6:D28" si="1">C6*L6</f>
        <v>210797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4</v>
      </c>
      <c r="D7" s="13">
        <f t="shared" si="1"/>
        <v>3124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20</v>
      </c>
      <c r="D9" s="13">
        <f t="shared" si="1"/>
        <v>14660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190" t="s">
        <v>36</v>
      </c>
      <c r="G13" s="191"/>
      <c r="H13" s="192">
        <f>D29</f>
        <v>231037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35286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195751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1440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5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231037</v>
      </c>
      <c r="F29" s="213" t="s">
        <v>54</v>
      </c>
      <c r="G29" s="214"/>
      <c r="H29" s="217">
        <f>H15-H16-H17-H18-H19-H20-H22-H23-H24+H26+H27</f>
        <v>194311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45">
        <f>F34*G34</f>
        <v>37000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45">
        <f>F35*G35</f>
        <v>1500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</v>
      </c>
      <c r="H37" s="245">
        <f t="shared" si="2"/>
        <v>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64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165</v>
      </c>
      <c r="G44" s="75" t="s">
        <v>215</v>
      </c>
      <c r="H44" s="229">
        <v>155670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8</v>
      </c>
      <c r="D49" s="12">
        <f>C49*42</f>
        <v>336</v>
      </c>
      <c r="F49" s="270" t="s">
        <v>85</v>
      </c>
      <c r="G49" s="217">
        <f>H34+H35+H36+H37+H38+H39+H40+H41+G42+H44+H45+H46</f>
        <v>194534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2</v>
      </c>
      <c r="D50" s="12">
        <f>C50*1.5</f>
        <v>3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223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35286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46196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536</v>
      </c>
      <c r="D6" s="13">
        <f t="shared" ref="D6:D28" si="1">C6*L6</f>
        <v>407896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51</v>
      </c>
      <c r="D7" s="13">
        <f t="shared" si="1"/>
        <v>39831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10</v>
      </c>
      <c r="D8" s="13">
        <f t="shared" si="1"/>
        <v>10930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108</v>
      </c>
      <c r="D9" s="13">
        <f t="shared" si="1"/>
        <v>79164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5</v>
      </c>
      <c r="D10" s="13">
        <f t="shared" si="1"/>
        <v>5160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12</v>
      </c>
      <c r="D11" s="13">
        <f t="shared" si="1"/>
        <v>14040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4+1</f>
        <v>5</v>
      </c>
      <c r="D12" s="48">
        <f t="shared" si="1"/>
        <v>4960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20</v>
      </c>
      <c r="D13" s="48">
        <f t="shared" si="1"/>
        <v>6140</v>
      </c>
      <c r="F13" s="190" t="s">
        <v>36</v>
      </c>
      <c r="G13" s="191"/>
      <c r="H13" s="192">
        <f>D29</f>
        <v>570554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83077.5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487476.5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3240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3</v>
      </c>
      <c r="D28" s="48">
        <f t="shared" si="1"/>
        <v>2433</v>
      </c>
      <c r="F28" s="125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570554</v>
      </c>
      <c r="F29" s="213" t="s">
        <v>54</v>
      </c>
      <c r="G29" s="214"/>
      <c r="H29" s="217">
        <f>H15-H16-H17-H18-H19-H20-H22-H23-H24+H26+H27</f>
        <v>484236.5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122</v>
      </c>
      <c r="H34" s="245">
        <f>F34*G34</f>
        <v>122000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45">
        <f>F35*G35</f>
        <v>4000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698</v>
      </c>
      <c r="D37" s="12">
        <f>C37*111</f>
        <v>77478</v>
      </c>
      <c r="F37" s="12">
        <v>100</v>
      </c>
      <c r="G37" s="39">
        <v>14</v>
      </c>
      <c r="H37" s="245">
        <f t="shared" si="2"/>
        <v>1400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6</v>
      </c>
      <c r="D42" s="12">
        <f>C42*2.25</f>
        <v>13.5</v>
      </c>
      <c r="F42" s="39" t="s">
        <v>78</v>
      </c>
      <c r="G42" s="245">
        <v>3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17</v>
      </c>
      <c r="D44" s="12">
        <f>C44*120</f>
        <v>2040</v>
      </c>
      <c r="F44" s="37" t="s">
        <v>155</v>
      </c>
      <c r="G44" s="75" t="s">
        <v>216</v>
      </c>
      <c r="H44" s="229">
        <v>142126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2</v>
      </c>
      <c r="D45" s="12">
        <f>C45*84</f>
        <v>168</v>
      </c>
      <c r="F45" s="37" t="s">
        <v>155</v>
      </c>
      <c r="G45" s="75" t="s">
        <v>217</v>
      </c>
      <c r="H45" s="229">
        <v>222234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11</v>
      </c>
      <c r="D46" s="12">
        <f>C46*1.5</f>
        <v>16.5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4</v>
      </c>
      <c r="D49" s="12">
        <f>C49*42</f>
        <v>168</v>
      </c>
      <c r="F49" s="270" t="s">
        <v>85</v>
      </c>
      <c r="G49" s="217">
        <f>H34+H35+H36+H37+H38+H39+H40+H41+G42+H44+H45+H46</f>
        <v>491863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2</v>
      </c>
      <c r="D50" s="12">
        <f>C50*1.5</f>
        <v>3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7626.5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83077.5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C753-983E-492A-AC6C-A991E7F3028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28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0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EA3A-63D0-4C3F-8CC4-6B01AA2692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46197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315</v>
      </c>
      <c r="D6" s="13">
        <f t="shared" ref="D6:D28" si="1">C6*L6</f>
        <v>239715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43</v>
      </c>
      <c r="D9" s="13">
        <f t="shared" si="1"/>
        <v>31519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</v>
      </c>
      <c r="D11" s="13">
        <f t="shared" si="1"/>
        <v>1170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1+1</f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</v>
      </c>
      <c r="D13" s="48">
        <f t="shared" si="1"/>
        <v>614</v>
      </c>
      <c r="F13" s="190" t="s">
        <v>36</v>
      </c>
      <c r="G13" s="191"/>
      <c r="H13" s="192">
        <f>D29</f>
        <v>287816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42750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245066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30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8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287816</v>
      </c>
      <c r="F29" s="213" t="s">
        <v>54</v>
      </c>
      <c r="G29" s="214"/>
      <c r="H29" s="217">
        <f>H15-H16-H17-H18-H19-H20-H22-H23-H24+H26+H27+H28</f>
        <v>245066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146</v>
      </c>
      <c r="H34" s="245">
        <f t="shared" ref="H34:H39" si="2">F34*G34</f>
        <v>146000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53</v>
      </c>
      <c r="H35" s="245">
        <f t="shared" si="2"/>
        <v>26500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18</v>
      </c>
      <c r="H37" s="245">
        <f t="shared" si="2"/>
        <v>1800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7</v>
      </c>
      <c r="H38" s="245">
        <f t="shared" si="2"/>
        <v>350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5">
        <v>66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0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</v>
      </c>
      <c r="D44" s="12">
        <f>C44*120</f>
        <v>120</v>
      </c>
      <c r="F44" s="37" t="s">
        <v>155</v>
      </c>
      <c r="G44" s="109" t="s">
        <v>156</v>
      </c>
      <c r="H44" s="229">
        <v>70000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2</v>
      </c>
      <c r="D45" s="12">
        <f>C45*84</f>
        <v>168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244716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19</v>
      </c>
      <c r="D50" s="12">
        <f>C50*1.5</f>
        <v>28.5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-350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338B2-F28D-4B09-AB64-576D962A57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46197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327</v>
      </c>
      <c r="D6" s="13">
        <f t="shared" ref="D6:D28" si="1">C6*L6</f>
        <v>248847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</v>
      </c>
      <c r="D7" s="13">
        <f t="shared" si="1"/>
        <v>1562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</v>
      </c>
      <c r="D9" s="13">
        <f t="shared" si="1"/>
        <v>3665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221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11</v>
      </c>
      <c r="D13" s="48">
        <f t="shared" si="1"/>
        <v>3377</v>
      </c>
      <c r="F13" s="190" t="s">
        <v>36</v>
      </c>
      <c r="G13" s="191"/>
      <c r="H13" s="192">
        <f>D29</f>
        <v>259093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38200.5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220892.5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4">
        <v>1926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8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259093</v>
      </c>
      <c r="F29" s="213" t="s">
        <v>54</v>
      </c>
      <c r="G29" s="214"/>
      <c r="H29" s="217">
        <f>H15-H16-H17-H18-H19-H20-H22-H23-H24+H26+H27</f>
        <v>218966.5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45">
        <f>F34*G34</f>
        <v>175000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45">
        <f>F35*G35</f>
        <v>44000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0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8</v>
      </c>
      <c r="D49" s="12">
        <f>C49*42</f>
        <v>336</v>
      </c>
      <c r="F49" s="270" t="s">
        <v>85</v>
      </c>
      <c r="G49" s="217">
        <f>H34+H35+H36+H37+H38+H39+H40+H41+G42+H44+H45+H46</f>
        <v>219120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19</v>
      </c>
      <c r="D50" s="12">
        <f>C50*1.5</f>
        <v>28.5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153.5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ADD1-4A01-4FBE-B48A-940E0CE33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46197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573</v>
      </c>
      <c r="D6" s="13">
        <f t="shared" ref="D6:D28" si="1">C6*L6</f>
        <v>436053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23</v>
      </c>
      <c r="D7" s="13">
        <f t="shared" si="1"/>
        <v>17963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20</v>
      </c>
      <c r="D9" s="13">
        <f t="shared" si="1"/>
        <v>14660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1+1</f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16</v>
      </c>
      <c r="D13" s="48">
        <f t="shared" si="1"/>
        <v>4912</v>
      </c>
      <c r="F13" s="190" t="s">
        <v>36</v>
      </c>
      <c r="G13" s="191"/>
      <c r="H13" s="192">
        <f>D29</f>
        <v>475704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78024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397680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f>2142</f>
        <v>2142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>
        <v>50</v>
      </c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8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475704</v>
      </c>
      <c r="F29" s="213" t="s">
        <v>54</v>
      </c>
      <c r="G29" s="214"/>
      <c r="H29" s="217">
        <f>H15-H16-H17-H18-H19-H20-H22-H23-H24+H26+H27</f>
        <v>395488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92</v>
      </c>
      <c r="H34" s="245">
        <f>F34*G34</f>
        <v>92000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45">
        <f>F35*G35</f>
        <v>5000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657</v>
      </c>
      <c r="D37" s="12">
        <f>C37*111</f>
        <v>72927</v>
      </c>
      <c r="F37" s="12">
        <v>100</v>
      </c>
      <c r="G37" s="39">
        <v>2</v>
      </c>
      <c r="H37" s="245">
        <f t="shared" si="2"/>
        <v>200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4</v>
      </c>
      <c r="D42" s="12">
        <f>C42*2.25</f>
        <v>9</v>
      </c>
      <c r="F42" s="39" t="s">
        <v>78</v>
      </c>
      <c r="G42" s="245">
        <v>25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0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2</v>
      </c>
      <c r="D44" s="12">
        <f>C44*120</f>
        <v>240</v>
      </c>
      <c r="F44" s="37" t="s">
        <v>191</v>
      </c>
      <c r="G44" s="62" t="s">
        <v>218</v>
      </c>
      <c r="H44" s="229">
        <v>59301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132</v>
      </c>
      <c r="G45" s="62" t="s">
        <v>219</v>
      </c>
      <c r="H45" s="229">
        <v>126586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12</v>
      </c>
      <c r="D46" s="12">
        <f>C46*1.5</f>
        <v>18</v>
      </c>
      <c r="F46" s="37" t="s">
        <v>132</v>
      </c>
      <c r="G46" s="110" t="s">
        <v>220</v>
      </c>
      <c r="H46" s="229">
        <v>111689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18</v>
      </c>
      <c r="D48" s="12">
        <f>C48*78</f>
        <v>1404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5</v>
      </c>
      <c r="D49" s="12">
        <f>C49*42</f>
        <v>210</v>
      </c>
      <c r="F49" s="270" t="s">
        <v>85</v>
      </c>
      <c r="G49" s="217">
        <f>H34+H35+H36+H37+H38+H39+H40+H41+G42+H44+H45+H46</f>
        <v>394871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15</v>
      </c>
      <c r="D50" s="12">
        <f>C50*1.5</f>
        <v>22.5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-617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78024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A4ED-7ECD-41CE-BC44-902323D7A606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32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4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E2FF-2746-4442-B55F-F2751E93A325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456</v>
      </c>
      <c r="D6" s="13">
        <f t="shared" ref="D6:D28" si="1">C6*L6</f>
        <v>347016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25</v>
      </c>
      <c r="D7" s="13">
        <f t="shared" si="1"/>
        <v>19525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50</v>
      </c>
      <c r="D8" s="13">
        <f t="shared" si="1"/>
        <v>54650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</v>
      </c>
      <c r="D9" s="13">
        <f t="shared" si="1"/>
        <v>7330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3</v>
      </c>
      <c r="D10" s="13">
        <f t="shared" si="1"/>
        <v>3096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4</v>
      </c>
      <c r="D11" s="13">
        <f t="shared" si="1"/>
        <v>4680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1+1+1</f>
        <v>3</v>
      </c>
      <c r="D12" s="48">
        <f t="shared" si="1"/>
        <v>2976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</v>
      </c>
      <c r="D13" s="48">
        <f t="shared" si="1"/>
        <v>307</v>
      </c>
      <c r="F13" s="190" t="s">
        <v>36</v>
      </c>
      <c r="G13" s="191"/>
      <c r="H13" s="192">
        <f>D29</f>
        <v>452512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67101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v>1</v>
      </c>
      <c r="D15" s="31">
        <f t="shared" si="1"/>
        <v>620</v>
      </c>
      <c r="F15" s="200" t="s">
        <v>39</v>
      </c>
      <c r="G15" s="191"/>
      <c r="H15" s="201">
        <f>H13-H14</f>
        <v>385411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2</v>
      </c>
      <c r="D18" s="48">
        <f t="shared" si="1"/>
        <v>2204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 t="s">
        <v>136</v>
      </c>
      <c r="G22" s="72">
        <v>11174</v>
      </c>
      <c r="H22" s="227">
        <v>58202</v>
      </c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34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3</v>
      </c>
      <c r="D28" s="48">
        <f t="shared" si="1"/>
        <v>2433</v>
      </c>
      <c r="F28" s="132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452512</v>
      </c>
      <c r="F29" s="213" t="s">
        <v>54</v>
      </c>
      <c r="G29" s="214"/>
      <c r="H29" s="217">
        <f>H15-H16-H17-H18-H19-H20-H22-H23-H24+H26+H27+H28</f>
        <v>327209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23</v>
      </c>
      <c r="H34" s="245">
        <f t="shared" ref="H34:H39" si="2">F34*G34</f>
        <v>23000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245">
        <f t="shared" si="2"/>
        <v>4000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7</v>
      </c>
      <c r="H37" s="245">
        <f t="shared" si="2"/>
        <v>700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193</v>
      </c>
      <c r="D38" s="12">
        <f>C38*84</f>
        <v>16212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19</v>
      </c>
      <c r="D41" s="12">
        <f>C41*84</f>
        <v>1596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130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4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59</v>
      </c>
      <c r="D44" s="12">
        <f>C44*120</f>
        <v>7080</v>
      </c>
      <c r="F44" s="37" t="s">
        <v>132</v>
      </c>
      <c r="G44" s="62" t="s">
        <v>223</v>
      </c>
      <c r="H44" s="229">
        <v>152718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58</v>
      </c>
      <c r="D45" s="12">
        <f>C45*84</f>
        <v>4872</v>
      </c>
      <c r="F45" s="37" t="s">
        <v>222</v>
      </c>
      <c r="G45" s="110" t="s">
        <v>224</v>
      </c>
      <c r="H45" s="229">
        <v>144421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325019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9</v>
      </c>
      <c r="D50" s="12">
        <f>C50*1.5</f>
        <v>13.5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-2190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67101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242E-7102-4254-9F9A-B8B91E45BF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265</v>
      </c>
      <c r="D6" s="13">
        <f t="shared" ref="D6:D28" si="1">C6*L6</f>
        <v>201665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20</v>
      </c>
      <c r="D9" s="13">
        <f t="shared" si="1"/>
        <v>14660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190" t="s">
        <v>36</v>
      </c>
      <c r="G13" s="191"/>
      <c r="H13" s="192">
        <f>D29</f>
        <v>234047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31532.25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202514.75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204">
        <v>1164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32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234047</v>
      </c>
      <c r="F29" s="213" t="s">
        <v>54</v>
      </c>
      <c r="G29" s="214"/>
      <c r="H29" s="217">
        <f>H15-H16-H17-H18-H19-H20-H22-H23-H24+H26+H27</f>
        <v>201350.75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45">
        <f>F34*G34</f>
        <v>59000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23</v>
      </c>
      <c r="H35" s="245">
        <f>F35*G35</f>
        <v>11500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267</v>
      </c>
      <c r="D37" s="12">
        <f>C37*111</f>
        <v>29637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5">
        <v>13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4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132</v>
      </c>
      <c r="G44" s="62" t="s">
        <v>225</v>
      </c>
      <c r="H44" s="229">
        <v>130487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2</v>
      </c>
      <c r="D45" s="12">
        <f>C45*84</f>
        <v>168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18</v>
      </c>
      <c r="D46" s="12">
        <f>C46*1.5</f>
        <v>27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5</v>
      </c>
      <c r="D49" s="12">
        <f>C49*42</f>
        <v>210</v>
      </c>
      <c r="F49" s="270" t="s">
        <v>85</v>
      </c>
      <c r="G49" s="217">
        <f>H34+H35+H36+H37+H38+H39+H40+H41+G42+H44+H45+H46</f>
        <v>201000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7</v>
      </c>
      <c r="D50" s="12">
        <f>C50*1.5</f>
        <v>10.5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-350.75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31532.25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B6E88-AED2-40C0-8F3B-1B4DE22D69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447</v>
      </c>
      <c r="D6" s="13">
        <f t="shared" ref="D6:D28" si="1">C6*L6</f>
        <v>340167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17</v>
      </c>
      <c r="D7" s="13">
        <f t="shared" si="1"/>
        <v>13277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2</v>
      </c>
      <c r="D8" s="13">
        <f t="shared" si="1"/>
        <v>2186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20</v>
      </c>
      <c r="D9" s="13">
        <f t="shared" si="1"/>
        <v>14660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17</v>
      </c>
      <c r="D12" s="48">
        <f t="shared" si="1"/>
        <v>16864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17</v>
      </c>
      <c r="D13" s="48">
        <f t="shared" si="1"/>
        <v>5219</v>
      </c>
      <c r="F13" s="190" t="s">
        <v>36</v>
      </c>
      <c r="G13" s="191"/>
      <c r="H13" s="192">
        <f>D29</f>
        <v>398637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53112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v>3</v>
      </c>
      <c r="D15" s="31">
        <f t="shared" si="1"/>
        <v>1860</v>
      </c>
      <c r="F15" s="200" t="s">
        <v>39</v>
      </c>
      <c r="G15" s="191"/>
      <c r="H15" s="201">
        <f>H13-H14</f>
        <v>345525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648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32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398637</v>
      </c>
      <c r="F29" s="213" t="s">
        <v>54</v>
      </c>
      <c r="G29" s="214"/>
      <c r="H29" s="217">
        <f>H15-H16-H17-H18-H19-H20-H22-H23-H24+H26+H27</f>
        <v>344877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94</v>
      </c>
      <c r="H34" s="245">
        <f>F34*G34</f>
        <v>94000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45">
        <f>F35*G35</f>
        <v>5000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26</v>
      </c>
      <c r="H37" s="245">
        <f t="shared" si="2"/>
        <v>2600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8</v>
      </c>
      <c r="H38" s="245">
        <f t="shared" si="2"/>
        <v>400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22</v>
      </c>
      <c r="D40" s="12">
        <f>C40*111</f>
        <v>2442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4</v>
      </c>
      <c r="D42" s="12">
        <f>C42*2.25</f>
        <v>9</v>
      </c>
      <c r="F42" s="39" t="s">
        <v>78</v>
      </c>
      <c r="G42" s="245">
        <v>43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4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11</v>
      </c>
      <c r="D44" s="12">
        <f>C44*120</f>
        <v>1320</v>
      </c>
      <c r="F44" s="37" t="s">
        <v>155</v>
      </c>
      <c r="G44" s="75" t="s">
        <v>226</v>
      </c>
      <c r="H44" s="229">
        <v>74353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155</v>
      </c>
      <c r="G45" s="75" t="s">
        <v>227</v>
      </c>
      <c r="H45" s="229">
        <v>162392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2</v>
      </c>
      <c r="D46" s="12">
        <f>C46*1.5</f>
        <v>3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3</v>
      </c>
      <c r="D49" s="12">
        <f>C49*42</f>
        <v>126</v>
      </c>
      <c r="F49" s="270" t="s">
        <v>85</v>
      </c>
      <c r="G49" s="217">
        <f>H34+H35+H36+H37+H38+H39+H40+H41+G42+H44+H45+H46</f>
        <v>338788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2</v>
      </c>
      <c r="D50" s="12">
        <f>C50*1.5</f>
        <v>3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154</v>
      </c>
      <c r="G51" s="280">
        <f>G49-H29</f>
        <v>-6089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53112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B1E83-CE13-43F8-9928-A9680F69635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35" t="s">
        <v>2</v>
      </c>
      <c r="Q1" s="13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36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8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D2ECD-C668-474E-AA66-B06A63F3A3FD}">
  <dimension ref="A1:R59"/>
  <sheetViews>
    <sheetView topLeftCell="A22"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46197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38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3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5">
        <f t="shared" ref="H34:H39" si="2"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F2B96-72A8-4C71-A872-8A4FE33AAF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433</v>
      </c>
      <c r="D6" s="13">
        <f t="shared" ref="D6:D28" si="1">C6*L6</f>
        <v>329513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3</v>
      </c>
      <c r="D7" s="13">
        <f t="shared" si="1"/>
        <v>2343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66</v>
      </c>
      <c r="D9" s="13">
        <f t="shared" si="1"/>
        <v>48378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15</v>
      </c>
      <c r="D13" s="48">
        <f t="shared" si="1"/>
        <v>4605</v>
      </c>
      <c r="F13" s="190" t="s">
        <v>36</v>
      </c>
      <c r="G13" s="191"/>
      <c r="H13" s="192">
        <f>D29</f>
        <v>384839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47219.25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337619.75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2244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3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384839</v>
      </c>
      <c r="F29" s="213" t="s">
        <v>54</v>
      </c>
      <c r="G29" s="214"/>
      <c r="H29" s="217">
        <f>H15-H16-H17-H18-H19-H20-H22-H23-H24+H26+H27</f>
        <v>335375.75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45">
        <f>F34*G34</f>
        <v>138000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45">
        <f>F35*G35</f>
        <v>72500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381</v>
      </c>
      <c r="D37" s="12">
        <f>C37*111</f>
        <v>42291</v>
      </c>
      <c r="F37" s="12">
        <v>100</v>
      </c>
      <c r="G37" s="39">
        <v>133</v>
      </c>
      <c r="H37" s="245">
        <f t="shared" si="2"/>
        <v>13300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100</v>
      </c>
      <c r="H38" s="245">
        <f t="shared" si="2"/>
        <v>5000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5">
        <v>25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165</v>
      </c>
      <c r="G44" s="75" t="s">
        <v>228</v>
      </c>
      <c r="H44" s="229">
        <v>108072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4</v>
      </c>
      <c r="D46" s="12">
        <f>C46*1.5</f>
        <v>6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10</v>
      </c>
      <c r="D49" s="12">
        <f>C49*42</f>
        <v>420</v>
      </c>
      <c r="F49" s="270" t="s">
        <v>85</v>
      </c>
      <c r="G49" s="217">
        <f>H34+H35+H36+H37+H38+H39+H40+H41+G42+H44+H45+H46</f>
        <v>336897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1521.25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47219.25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00E74-AD93-4060-B647-60820BAB0A1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205</v>
      </c>
      <c r="D6" s="13">
        <f t="shared" ref="D6:D28" si="1">C6*L6</f>
        <v>156005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20</v>
      </c>
      <c r="D7" s="13">
        <f t="shared" si="1"/>
        <v>15620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10</v>
      </c>
      <c r="D8" s="13">
        <f t="shared" si="1"/>
        <v>10930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52</v>
      </c>
      <c r="D9" s="13">
        <f t="shared" si="1"/>
        <v>38116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10</v>
      </c>
      <c r="D10" s="13">
        <f t="shared" si="1"/>
        <v>10320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10</v>
      </c>
      <c r="D11" s="13">
        <f t="shared" si="1"/>
        <v>11700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20+5</f>
        <v>25</v>
      </c>
      <c r="D12" s="48">
        <f t="shared" si="1"/>
        <v>24800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296303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28881.75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f>5+10</f>
        <v>15</v>
      </c>
      <c r="D15" s="31">
        <f t="shared" si="1"/>
        <v>9300</v>
      </c>
      <c r="F15" s="200" t="s">
        <v>39</v>
      </c>
      <c r="G15" s="191"/>
      <c r="H15" s="201">
        <f>H13-H14</f>
        <v>267421.25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>
        <f>1+1+4</f>
        <v>6</v>
      </c>
      <c r="D19" s="48">
        <f t="shared" si="1"/>
        <v>7050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10</v>
      </c>
      <c r="D28" s="48">
        <f t="shared" si="1"/>
        <v>8110</v>
      </c>
      <c r="F28" s="13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296303</v>
      </c>
      <c r="F29" s="213" t="s">
        <v>54</v>
      </c>
      <c r="G29" s="214"/>
      <c r="H29" s="217">
        <f>H15-H16-H17-H18-H19-H20-H22-H23-H24+H26+H27</f>
        <v>267421.25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6</v>
      </c>
      <c r="H34" s="245">
        <f>F34*G34</f>
        <v>6000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7</v>
      </c>
      <c r="H35" s="245">
        <f>F35*G35</f>
        <v>3500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8</v>
      </c>
      <c r="D36" s="12">
        <f>C36*1.5</f>
        <v>12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59</v>
      </c>
      <c r="D37" s="12">
        <f>C37*111</f>
        <v>6549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194</v>
      </c>
      <c r="D38" s="12">
        <f>C38*84</f>
        <v>16296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20</v>
      </c>
      <c r="D41" s="12">
        <f>C41*84</f>
        <v>1680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132</v>
      </c>
      <c r="G44" s="62" t="s">
        <v>229</v>
      </c>
      <c r="H44" s="229">
        <v>264323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43</v>
      </c>
      <c r="D45" s="12">
        <f>C45*84</f>
        <v>3612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273823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6401.75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28881.75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99DFF-7E8C-44AE-AD43-992E7A47C6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40" t="s">
        <v>2</v>
      </c>
      <c r="Q1" s="14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4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8529-8ABF-4FBF-B032-D13285C09F49}">
  <dimension ref="A1:R59"/>
  <sheetViews>
    <sheetView topLeftCell="A28" zoomScaleNormal="100" zoomScaleSheetLayoutView="85" workbookViewId="0">
      <selection activeCell="M46" sqref="M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46200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136</v>
      </c>
      <c r="G26" s="65">
        <v>11174</v>
      </c>
      <c r="H26" s="229">
        <v>58202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3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58202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58</v>
      </c>
      <c r="H34" s="245">
        <f t="shared" ref="H34:H39" si="2">F34*G34</f>
        <v>58000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5">
        <f t="shared" si="2"/>
        <v>200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2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58202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94F46-3F60-4CBC-AA1E-C0E5C11C6125}">
  <dimension ref="A1:R59"/>
  <sheetViews>
    <sheetView topLeftCell="A10" zoomScaleNormal="100" zoomScaleSheetLayoutView="85" workbookViewId="0">
      <selection activeCell="M39" sqref="M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46200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6A5E-7E31-41AE-87F8-5D03F74AE73D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46200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136B-DED5-40D7-A3B1-F63D0571E32D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44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6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863-DC9A-442A-AD70-945DB166BC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46202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592</v>
      </c>
      <c r="D6" s="13">
        <f t="shared" ref="D6:D28" si="1">C6*L6</f>
        <v>450512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3</v>
      </c>
      <c r="D7" s="13">
        <f t="shared" si="1"/>
        <v>2343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21</v>
      </c>
      <c r="D9" s="13">
        <f t="shared" si="1"/>
        <v>15393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22</v>
      </c>
      <c r="D13" s="48">
        <f t="shared" si="1"/>
        <v>6754</v>
      </c>
      <c r="F13" s="190" t="s">
        <v>36</v>
      </c>
      <c r="G13" s="191"/>
      <c r="H13" s="192">
        <f>D29</f>
        <v>475002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57194.25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417807.75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3348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46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475002</v>
      </c>
      <c r="F29" s="213" t="s">
        <v>54</v>
      </c>
      <c r="G29" s="214"/>
      <c r="H29" s="217">
        <f>H15-H16-H17-H18-H19-H20-H22-H23-H24+H26+H27+H28</f>
        <v>414459.75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316</v>
      </c>
      <c r="H34" s="245">
        <f t="shared" ref="H34:H39" si="2">F34*G34</f>
        <v>316000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198</v>
      </c>
      <c r="H35" s="245">
        <f t="shared" si="2"/>
        <v>99000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499</v>
      </c>
      <c r="D37" s="12">
        <f>C37*111</f>
        <v>55389</v>
      </c>
      <c r="F37" s="12">
        <v>100</v>
      </c>
      <c r="G37" s="39">
        <v>4</v>
      </c>
      <c r="H37" s="245">
        <f t="shared" si="2"/>
        <v>400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5">
        <v>63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21</v>
      </c>
      <c r="D49" s="12">
        <f>C49*42</f>
        <v>882</v>
      </c>
      <c r="F49" s="270" t="s">
        <v>85</v>
      </c>
      <c r="G49" s="217">
        <f>H34+H35+H36+H37+H38+H39+H40+H41+G42+H44+H45+H46</f>
        <v>415563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8</v>
      </c>
      <c r="D50" s="12">
        <f>C50*1.5</f>
        <v>12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144</v>
      </c>
      <c r="G51" s="292">
        <f>G49-H29</f>
        <v>1103.25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57194.25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A6367-C233-4AD5-8DCC-9295A61930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46202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263</v>
      </c>
      <c r="D6" s="13">
        <f t="shared" ref="D6:D28" si="1">C6*L6</f>
        <v>200143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30</v>
      </c>
      <c r="D9" s="13">
        <f t="shared" si="1"/>
        <v>21990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4</v>
      </c>
      <c r="D13" s="48">
        <f t="shared" si="1"/>
        <v>1228</v>
      </c>
      <c r="F13" s="190" t="s">
        <v>36</v>
      </c>
      <c r="G13" s="191"/>
      <c r="H13" s="192">
        <f>D29</f>
        <v>232541.5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132.5</v>
      </c>
      <c r="F14" s="195" t="s">
        <v>38</v>
      </c>
      <c r="G14" s="196"/>
      <c r="H14" s="197">
        <f>D54</f>
        <v>34172.25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198369.25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810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232541.5</v>
      </c>
      <c r="F29" s="213" t="s">
        <v>54</v>
      </c>
      <c r="G29" s="214"/>
      <c r="H29" s="217">
        <f>H15-H16-H17-H18-H19-H20-H22-H23-H24+H26+H27</f>
        <v>197559.25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105</v>
      </c>
      <c r="H34" s="245">
        <f>F34*G34</f>
        <v>105000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169</v>
      </c>
      <c r="H35" s="245">
        <f>F35*G35</f>
        <v>84500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45">
        <f t="shared" ref="H36:H39" si="2">F36*G36</f>
        <v>400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56</v>
      </c>
      <c r="H37" s="245">
        <f t="shared" si="2"/>
        <v>5600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6</v>
      </c>
      <c r="H38" s="245">
        <f t="shared" si="2"/>
        <v>300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5">
        <v>43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5</v>
      </c>
      <c r="D46" s="12">
        <f>C46*1.5</f>
        <v>7.5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195863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20</v>
      </c>
      <c r="D50" s="12">
        <f>C50*1.5</f>
        <v>30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-1696.25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34172.25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C710-12C7-499D-97CF-4F0286CC65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46202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474</v>
      </c>
      <c r="D6" s="13">
        <f t="shared" ref="D6:D28" si="1">C6*L6</f>
        <v>360714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59</v>
      </c>
      <c r="D9" s="13">
        <f t="shared" si="1"/>
        <v>43247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15</v>
      </c>
      <c r="D13" s="48">
        <f t="shared" si="1"/>
        <v>4605</v>
      </c>
      <c r="F13" s="190" t="s">
        <v>36</v>
      </c>
      <c r="G13" s="191"/>
      <c r="H13" s="192">
        <f>D29</f>
        <v>419626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60675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358951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4">
        <v>2832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419626</v>
      </c>
      <c r="F29" s="213" t="s">
        <v>54</v>
      </c>
      <c r="G29" s="214"/>
      <c r="H29" s="217">
        <f>H15-H16-H17-H18-H19-H20-H22-H23-H24+H26+H27</f>
        <v>356119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43</v>
      </c>
      <c r="H34" s="245">
        <f>F34*G34</f>
        <v>43000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531</v>
      </c>
      <c r="D37" s="12">
        <f>C37*111</f>
        <v>58941</v>
      </c>
      <c r="F37" s="12">
        <v>100</v>
      </c>
      <c r="G37" s="39">
        <v>2</v>
      </c>
      <c r="H37" s="245">
        <f t="shared" si="2"/>
        <v>200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25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155</v>
      </c>
      <c r="G44" s="75" t="s">
        <v>230</v>
      </c>
      <c r="H44" s="229">
        <v>239316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155</v>
      </c>
      <c r="G45" s="75" t="s">
        <v>231</v>
      </c>
      <c r="H45" s="229">
        <v>69684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352225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-3894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60675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DA230-252E-4A20-ABA2-6791A9C8F17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48" t="s">
        <v>2</v>
      </c>
      <c r="Q1" s="14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49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7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6B902-EF68-42CB-8400-7D5EB31B0AB8}">
  <dimension ref="A1:R59"/>
  <sheetViews>
    <sheetView topLeftCell="A19" zoomScaleNormal="100" zoomScaleSheetLayoutView="85" workbookViewId="0">
      <selection activeCell="K52" sqref="K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8" t="s">
        <v>2</v>
      </c>
      <c r="Q1" s="14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46203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382</v>
      </c>
      <c r="D6" s="13">
        <f t="shared" ref="D6:D28" si="1">C6*L6</f>
        <v>290702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108</v>
      </c>
      <c r="D9" s="13">
        <f t="shared" si="1"/>
        <v>79164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29</v>
      </c>
      <c r="D13" s="48">
        <f t="shared" si="1"/>
        <v>8903</v>
      </c>
      <c r="F13" s="190" t="s">
        <v>36</v>
      </c>
      <c r="G13" s="191"/>
      <c r="H13" s="192">
        <f>D29</f>
        <v>393812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56001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v>1</v>
      </c>
      <c r="D15" s="31">
        <f t="shared" si="1"/>
        <v>620</v>
      </c>
      <c r="F15" s="200" t="s">
        <v>39</v>
      </c>
      <c r="G15" s="191"/>
      <c r="H15" s="201">
        <f>H13-H14</f>
        <v>337811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1944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 t="s">
        <v>157</v>
      </c>
      <c r="G22" s="72">
        <v>11180</v>
      </c>
      <c r="H22" s="227">
        <v>84261</v>
      </c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157</v>
      </c>
      <c r="G26" s="65">
        <v>10950</v>
      </c>
      <c r="H26" s="229">
        <v>93725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47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3</v>
      </c>
      <c r="D28" s="48">
        <f t="shared" si="1"/>
        <v>2433</v>
      </c>
      <c r="F28" s="149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393812</v>
      </c>
      <c r="F29" s="213" t="s">
        <v>54</v>
      </c>
      <c r="G29" s="214"/>
      <c r="H29" s="217">
        <f>H15-H16-H17-H18-H19-H20-H22-H23-H24+H26+H27+H28</f>
        <v>345331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39</v>
      </c>
      <c r="H34" s="245">
        <f t="shared" ref="H34:H39" si="2">F34*G34</f>
        <v>39000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45">
        <f t="shared" si="2"/>
        <v>1000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458</v>
      </c>
      <c r="D37" s="12">
        <f>C37*111</f>
        <v>50838</v>
      </c>
      <c r="F37" s="12">
        <v>100</v>
      </c>
      <c r="G37" s="39">
        <v>4</v>
      </c>
      <c r="H37" s="245">
        <f t="shared" si="2"/>
        <v>400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8</v>
      </c>
      <c r="D42" s="12">
        <f>C42*2.25</f>
        <v>18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7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232</v>
      </c>
      <c r="H44" s="229">
        <v>211117.5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1</v>
      </c>
      <c r="D45" s="12">
        <f>C45*84</f>
        <v>84</v>
      </c>
      <c r="F45" s="37" t="s">
        <v>81</v>
      </c>
      <c r="G45" s="298" t="s">
        <v>233</v>
      </c>
      <c r="H45" s="229">
        <v>93725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22</v>
      </c>
      <c r="D46" s="12">
        <f>C46*1.5</f>
        <v>33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25</v>
      </c>
      <c r="D48" s="12">
        <f>C48*78</f>
        <v>1950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5</v>
      </c>
      <c r="D49" s="12">
        <f>C49*42</f>
        <v>210</v>
      </c>
      <c r="F49" s="270" t="s">
        <v>85</v>
      </c>
      <c r="G49" s="217">
        <f>H34+H35+H36+H37+H38+H39+H40+H41+G42+H44+H45+H46</f>
        <v>345242.5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-88.5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56001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137-1673-4651-A4DB-8F45047D07FD}">
  <dimension ref="A1:R59"/>
  <sheetViews>
    <sheetView topLeftCell="A31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8" t="s">
        <v>2</v>
      </c>
      <c r="Q1" s="14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46203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259</v>
      </c>
      <c r="D6" s="13">
        <f t="shared" ref="D6:D28" si="1">C6*L6</f>
        <v>197099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8</v>
      </c>
      <c r="D7" s="13">
        <f t="shared" si="1"/>
        <v>6248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28</v>
      </c>
      <c r="D9" s="13">
        <f t="shared" si="1"/>
        <v>20524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1+1</f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190" t="s">
        <v>36</v>
      </c>
      <c r="G13" s="191"/>
      <c r="H13" s="192">
        <f>D29</f>
        <v>231354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35021.25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196332.75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04">
        <v>1110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9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231354</v>
      </c>
      <c r="F29" s="213" t="s">
        <v>54</v>
      </c>
      <c r="G29" s="214"/>
      <c r="H29" s="217">
        <f>H15-H16-H17-H18-H19-H20-H22-H23-H24+H26+H27</f>
        <v>195222.75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60</v>
      </c>
      <c r="H34" s="245">
        <f>F34*G34</f>
        <v>60000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245">
        <f>F35*G35</f>
        <v>12500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291</v>
      </c>
      <c r="D37" s="12">
        <f>C37*111</f>
        <v>32301</v>
      </c>
      <c r="F37" s="12">
        <v>100</v>
      </c>
      <c r="G37" s="39">
        <v>5</v>
      </c>
      <c r="H37" s="245">
        <f t="shared" si="2"/>
        <v>500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5</v>
      </c>
      <c r="H38" s="245">
        <f t="shared" si="2"/>
        <v>250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5">
        <v>61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7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234</v>
      </c>
      <c r="H44" s="229">
        <v>122110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3</v>
      </c>
      <c r="D46" s="12">
        <f>C46*1.5</f>
        <v>4.5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5</v>
      </c>
      <c r="D49" s="12">
        <f>C49*42</f>
        <v>210</v>
      </c>
      <c r="F49" s="270" t="s">
        <v>85</v>
      </c>
      <c r="G49" s="217">
        <f>H34+H35+H36+H37+H38+H39+H40+H41+G42+H44+H45+H46</f>
        <v>195441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13</v>
      </c>
      <c r="D50" s="12">
        <f>C50*1.5</f>
        <v>19.5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218.25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35021.25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2BA6A-2037-4D87-8502-8A1247800A02}">
  <dimension ref="A1:R59"/>
  <sheetViews>
    <sheetView tabSelected="1" topLeftCell="A20" zoomScaleNormal="100" zoomScaleSheetLayoutView="85" workbookViewId="0">
      <selection activeCell="K47" sqref="K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8" t="s">
        <v>2</v>
      </c>
      <c r="Q1" s="14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46203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317</v>
      </c>
      <c r="D6" s="13">
        <f t="shared" ref="D6:D28" si="1">C6*L6</f>
        <v>241237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19</v>
      </c>
      <c r="D7" s="13">
        <f t="shared" si="1"/>
        <v>14839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59</v>
      </c>
      <c r="D9" s="13">
        <f t="shared" si="1"/>
        <v>43247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190" t="s">
        <v>36</v>
      </c>
      <c r="G13" s="191"/>
      <c r="H13" s="192">
        <f>D29</f>
        <v>305063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46435.5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258627.5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v>1578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9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305063</v>
      </c>
      <c r="F29" s="213" t="s">
        <v>54</v>
      </c>
      <c r="G29" s="214"/>
      <c r="H29" s="217">
        <f>H15-H16-H17-H18-H19-H20-H22-H23-H24+H26+H27</f>
        <v>257049.5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98</v>
      </c>
      <c r="H34" s="245">
        <f>F34*G34</f>
        <v>98000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39</v>
      </c>
      <c r="H35" s="245">
        <f>F35*G35</f>
        <v>19500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11</v>
      </c>
      <c r="H37" s="245">
        <f t="shared" si="2"/>
        <v>1100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3</v>
      </c>
      <c r="H38" s="245">
        <f t="shared" si="2"/>
        <v>150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6</v>
      </c>
      <c r="D42" s="12">
        <f>C42*2.25</f>
        <v>13.5</v>
      </c>
      <c r="F42" s="39" t="s">
        <v>78</v>
      </c>
      <c r="G42" s="245">
        <v>83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7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235</v>
      </c>
      <c r="H44" s="229">
        <v>139471.5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1</v>
      </c>
      <c r="D45" s="12">
        <f>C45*84</f>
        <v>84</v>
      </c>
      <c r="F45" s="37" t="s">
        <v>140</v>
      </c>
      <c r="G45" s="75"/>
      <c r="H45" s="229">
        <v>3150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10</v>
      </c>
      <c r="D46" s="12">
        <f>C46*1.5</f>
        <v>15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3</v>
      </c>
      <c r="D49" s="12">
        <f>C49*42</f>
        <v>126</v>
      </c>
      <c r="F49" s="270" t="s">
        <v>85</v>
      </c>
      <c r="G49" s="217">
        <f>H34+H35+H36+H37+H38+H39+H40+H41+G42+H44+H45+H46</f>
        <v>261454.5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9</v>
      </c>
      <c r="D50" s="12">
        <f>C50*1.5</f>
        <v>13.5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4405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46435.5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(24)</vt:lpstr>
      <vt:lpstr>06,24 R1</vt:lpstr>
      <vt:lpstr>06,24 R2</vt:lpstr>
      <vt:lpstr>06,24 R3</vt:lpstr>
      <vt:lpstr>(25)</vt:lpstr>
      <vt:lpstr>06,25 R1</vt:lpstr>
      <vt:lpstr>06,25 R2</vt:lpstr>
      <vt:lpstr>06,25 R3</vt:lpstr>
      <vt:lpstr>(26)</vt:lpstr>
      <vt:lpstr>06,26 R1 NO TRIP</vt:lpstr>
      <vt:lpstr>06,26 R2</vt:lpstr>
      <vt:lpstr>06,26 R3</vt:lpstr>
      <vt:lpstr>(27)</vt:lpstr>
      <vt:lpstr>06,27 R1 COLLECTION</vt:lpstr>
      <vt:lpstr>06,24 R2 NO TRIP</vt:lpstr>
      <vt:lpstr>06,24 R3 NO TRIP</vt:lpstr>
      <vt:lpstr>(29)</vt:lpstr>
      <vt:lpstr>06,29 R1 </vt:lpstr>
      <vt:lpstr>06,29 R2</vt:lpstr>
      <vt:lpstr>06,29 R3</vt:lpstr>
      <vt:lpstr>(30)</vt:lpstr>
      <vt:lpstr>06,30 R1 </vt:lpstr>
      <vt:lpstr>06,30 R2</vt:lpstr>
      <vt:lpstr>06,30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  <vt:lpstr>'06,24 R1'!Print_Area</vt:lpstr>
      <vt:lpstr>'06,24 R2'!Print_Area</vt:lpstr>
      <vt:lpstr>'06,24 R2 NO TRIP'!Print_Area</vt:lpstr>
      <vt:lpstr>'06,24 R3'!Print_Area</vt:lpstr>
      <vt:lpstr>'06,24 R3 NO TRIP'!Print_Area</vt:lpstr>
      <vt:lpstr>'06,25 R1'!Print_Area</vt:lpstr>
      <vt:lpstr>'06,25 R2'!Print_Area</vt:lpstr>
      <vt:lpstr>'06,25 R3'!Print_Area</vt:lpstr>
      <vt:lpstr>'06,26 R1 NO TRIP'!Print_Area</vt:lpstr>
      <vt:lpstr>'06,26 R2'!Print_Area</vt:lpstr>
      <vt:lpstr>'06,26 R3'!Print_Area</vt:lpstr>
      <vt:lpstr>'06,27 R1 COLLECTION'!Print_Area</vt:lpstr>
      <vt:lpstr>'06,29 R1 '!Print_Area</vt:lpstr>
      <vt:lpstr>'06,29 R2'!Print_Area</vt:lpstr>
      <vt:lpstr>'06,29 R3'!Print_Area</vt:lpstr>
      <vt:lpstr>'06,30 R1 '!Print_Area</vt:lpstr>
      <vt:lpstr>'06,30 R2'!Print_Area</vt:lpstr>
      <vt:lpstr>'06,30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2026-06-30T00:16:41Z</cp:lastPrinted>
  <dcterms:created xsi:type="dcterms:W3CDTF">2024-09-01T23:36:50Z</dcterms:created>
  <dcterms:modified xsi:type="dcterms:W3CDTF">2026-06-30T09:15:08Z</dcterms:modified>
</cp:coreProperties>
</file>