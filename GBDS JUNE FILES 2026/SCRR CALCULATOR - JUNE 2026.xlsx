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AA25C332-A7ED-4F04-A587-E91B62FE4384}" xr6:coauthVersionLast="45" xr6:coauthVersionMax="47" xr10:uidLastSave="{00000000-0000-0000-0000-000000000000}"/>
  <bookViews>
    <workbookView xWindow="-120" yWindow="-120" windowWidth="29040" windowHeight="15840" firstSheet="51" activeTab="60" xr2:uid="{00000000-000D-0000-FFFF-FFFF00000000}"/>
  </bookViews>
  <sheets>
    <sheet name="(JUNE 2026)" sheetId="814" r:id="rId1"/>
    <sheet name="(01)" sheetId="2086" r:id="rId2"/>
    <sheet name="06,01 R1" sheetId="2087" r:id="rId3"/>
    <sheet name="06,01 R2" sheetId="2088" r:id="rId4"/>
    <sheet name="06,01 R3" sheetId="2089" r:id="rId5"/>
    <sheet name="(2)" sheetId="2107" r:id="rId6"/>
    <sheet name="06,02 R1 " sheetId="2108" r:id="rId7"/>
    <sheet name="06,02 R2 " sheetId="2109" r:id="rId8"/>
    <sheet name="06,02 R3" sheetId="2110" r:id="rId9"/>
    <sheet name="(3)" sheetId="2111" r:id="rId10"/>
    <sheet name="06,03 R1 " sheetId="2112" r:id="rId11"/>
    <sheet name="06,03 R2 NO TRIP " sheetId="2113" r:id="rId12"/>
    <sheet name="06,03 R3 NO TRIP" sheetId="2114" r:id="rId13"/>
    <sheet name="(4)" sheetId="2115" r:id="rId14"/>
    <sheet name="06,04 R1 " sheetId="2116" r:id="rId15"/>
    <sheet name="06,04 R2 " sheetId="2117" r:id="rId16"/>
    <sheet name="06,04 R3  " sheetId="2118" r:id="rId17"/>
    <sheet name="(5)" sheetId="2119" r:id="rId18"/>
    <sheet name="06,05 R1 NO TRIP" sheetId="2120" r:id="rId19"/>
    <sheet name="06,05 R2 " sheetId="2121" r:id="rId20"/>
    <sheet name="06,05 R3  " sheetId="2122" r:id="rId21"/>
    <sheet name="(6)" sheetId="2123" r:id="rId22"/>
    <sheet name="06,06 R1 COLLECTION" sheetId="2127" r:id="rId23"/>
    <sheet name="06,06 R2 NO TRIP" sheetId="2125" r:id="rId24"/>
    <sheet name="06,06 R3 NO TRIP " sheetId="2126" r:id="rId25"/>
    <sheet name="(8)" sheetId="2132" r:id="rId26"/>
    <sheet name="06,08 R1 NO TRIP" sheetId="2133" r:id="rId27"/>
    <sheet name="06,08 R2" sheetId="2134" r:id="rId28"/>
    <sheet name="06,08 R3" sheetId="2135" r:id="rId29"/>
    <sheet name="(9)" sheetId="2128" r:id="rId30"/>
    <sheet name="06,09 R1" sheetId="2129" r:id="rId31"/>
    <sheet name="06,09 R2 " sheetId="2130" r:id="rId32"/>
    <sheet name="06,09 R3 " sheetId="2131" r:id="rId33"/>
    <sheet name="(10)" sheetId="2136" r:id="rId34"/>
    <sheet name="06,10 R1 " sheetId="2137" r:id="rId35"/>
    <sheet name="06,10 R2 NO TRIP  " sheetId="2138" r:id="rId36"/>
    <sheet name="06,10 R3 " sheetId="2139" r:id="rId37"/>
    <sheet name="(11)" sheetId="2140" r:id="rId38"/>
    <sheet name="06,11 R1 NO TRIP" sheetId="2141" r:id="rId39"/>
    <sheet name="06,11 R2 " sheetId="2142" r:id="rId40"/>
    <sheet name="06,11 R3" sheetId="2143" r:id="rId41"/>
    <sheet name="(12)" sheetId="2144" r:id="rId42"/>
    <sheet name="06,12 R1  " sheetId="2145" r:id="rId43"/>
    <sheet name="06,12 R2  " sheetId="2146" r:id="rId44"/>
    <sheet name="06,12 R3 NO TRIP" sheetId="2147" r:id="rId45"/>
    <sheet name="(13)" sheetId="2156" r:id="rId46"/>
    <sheet name="06,13 R1" sheetId="2157" r:id="rId47"/>
    <sheet name="(15)" sheetId="2152" r:id="rId48"/>
    <sheet name="06,15 R1" sheetId="2153" r:id="rId49"/>
    <sheet name="06,15 R2" sheetId="2154" r:id="rId50"/>
    <sheet name="06,15 R3" sheetId="2155" r:id="rId51"/>
    <sheet name="(16)" sheetId="2148" r:id="rId52"/>
    <sheet name="06,16 R1 " sheetId="2149" r:id="rId53"/>
    <sheet name="06,16 R2 " sheetId="2150" r:id="rId54"/>
    <sheet name="06,16 R3 " sheetId="2151" r:id="rId55"/>
    <sheet name="(17)" sheetId="2158" r:id="rId56"/>
    <sheet name="06,17 R1" sheetId="2159" r:id="rId57"/>
    <sheet name="06,17 R2 " sheetId="2160" r:id="rId58"/>
    <sheet name="06,17 R3" sheetId="2161" r:id="rId59"/>
    <sheet name="(18)" sheetId="2162" r:id="rId60"/>
    <sheet name="06,18 R1" sheetId="2163" r:id="rId61"/>
    <sheet name="06,18 R2" sheetId="2164" r:id="rId62"/>
    <sheet name="06,18 R3" sheetId="2165" r:id="rId63"/>
    <sheet name="(19)" sheetId="2166" r:id="rId64"/>
    <sheet name="06,19 R1" sheetId="2167" r:id="rId65"/>
    <sheet name="06,19 R2" sheetId="2168" r:id="rId66"/>
    <sheet name="06,19 R3" sheetId="2169" r:id="rId67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7">'(15)'!$A$1:$J$60</definedName>
    <definedName name="_xlnm.Print_Area" localSheetId="51">'(16)'!$A$1:$J$60</definedName>
    <definedName name="_xlnm.Print_Area" localSheetId="55">'(17)'!$A$1:$J$60</definedName>
    <definedName name="_xlnm.Print_Area" localSheetId="59">'(18)'!$A$1:$J$60</definedName>
    <definedName name="_xlnm.Print_Area" localSheetId="63">'(19)'!$A$1:$J$60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'06,01 R1'!$A$1:$J$60</definedName>
    <definedName name="_xlnm.Print_Area" localSheetId="3">'06,01 R2'!$A$1:$J$60</definedName>
    <definedName name="_xlnm.Print_Area" localSheetId="4">'06,01 R3'!$A$1:$J$60</definedName>
    <definedName name="_xlnm.Print_Area" localSheetId="6">'06,02 R1 '!$A$1:$J$60</definedName>
    <definedName name="_xlnm.Print_Area" localSheetId="7">'06,02 R2 '!$A$1:$J$60</definedName>
    <definedName name="_xlnm.Print_Area" localSheetId="8">'06,02 R3'!$A$1:$J$60</definedName>
    <definedName name="_xlnm.Print_Area" localSheetId="10">'06,03 R1 '!$A$1:$J$60</definedName>
    <definedName name="_xlnm.Print_Area" localSheetId="11">'06,03 R2 NO TRIP '!$A$1:$J$60</definedName>
    <definedName name="_xlnm.Print_Area" localSheetId="12">'06,03 R3 NO TRIP'!$A$1:$J$60</definedName>
    <definedName name="_xlnm.Print_Area" localSheetId="14">'06,04 R1 '!$A$1:$J$60</definedName>
    <definedName name="_xlnm.Print_Area" localSheetId="15">'06,04 R2 '!$A$1:$J$60</definedName>
    <definedName name="_xlnm.Print_Area" localSheetId="16">'06,04 R3  '!$A$1:$J$60</definedName>
    <definedName name="_xlnm.Print_Area" localSheetId="18">'06,05 R1 NO TRIP'!$A$1:$J$60</definedName>
    <definedName name="_xlnm.Print_Area" localSheetId="19">'06,05 R2 '!$A$1:$J$60</definedName>
    <definedName name="_xlnm.Print_Area" localSheetId="20">'06,05 R3  '!$A$1:$J$60</definedName>
    <definedName name="_xlnm.Print_Area" localSheetId="22">'06,06 R1 COLLECTION'!$A$1:$J$60</definedName>
    <definedName name="_xlnm.Print_Area" localSheetId="23">'06,06 R2 NO TRIP'!$A$1:$J$60</definedName>
    <definedName name="_xlnm.Print_Area" localSheetId="24">'06,06 R3 NO TRIP '!$A$1:$J$60</definedName>
    <definedName name="_xlnm.Print_Area" localSheetId="26">'06,08 R1 NO TRIP'!$A$1:$J$60</definedName>
    <definedName name="_xlnm.Print_Area" localSheetId="27">'06,08 R2'!$A$1:$J$60</definedName>
    <definedName name="_xlnm.Print_Area" localSheetId="28">'06,08 R3'!$A$1:$J$60</definedName>
    <definedName name="_xlnm.Print_Area" localSheetId="30">'06,09 R1'!$A$1:$J$60</definedName>
    <definedName name="_xlnm.Print_Area" localSheetId="31">'06,09 R2 '!$A$1:$J$60</definedName>
    <definedName name="_xlnm.Print_Area" localSheetId="32">'06,09 R3 '!$A$1:$J$60</definedName>
    <definedName name="_xlnm.Print_Area" localSheetId="34">'06,10 R1 '!$A$1:$J$60</definedName>
    <definedName name="_xlnm.Print_Area" localSheetId="35">'06,10 R2 NO TRIP  '!$A$1:$J$60</definedName>
    <definedName name="_xlnm.Print_Area" localSheetId="36">'06,10 R3 '!$A$1:$J$60</definedName>
    <definedName name="_xlnm.Print_Area" localSheetId="38">'06,11 R1 NO TRIP'!$A$1:$J$60</definedName>
    <definedName name="_xlnm.Print_Area" localSheetId="39">'06,11 R2 '!$A$1:$J$60</definedName>
    <definedName name="_xlnm.Print_Area" localSheetId="40">'06,11 R3'!$A$1:$J$60</definedName>
    <definedName name="_xlnm.Print_Area" localSheetId="42">'06,12 R1  '!$A$1:$J$60</definedName>
    <definedName name="_xlnm.Print_Area" localSheetId="43">'06,12 R2  '!$A$1:$J$60</definedName>
    <definedName name="_xlnm.Print_Area" localSheetId="44">'06,12 R3 NO TRIP'!$A$1:$J$60</definedName>
    <definedName name="_xlnm.Print_Area" localSheetId="46">'06,13 R1'!$A$1:$J$60</definedName>
    <definedName name="_xlnm.Print_Area" localSheetId="48">'06,15 R1'!$A$1:$J$60</definedName>
    <definedName name="_xlnm.Print_Area" localSheetId="49">'06,15 R2'!$A$1:$J$60</definedName>
    <definedName name="_xlnm.Print_Area" localSheetId="50">'06,15 R3'!$A$1:$J$60</definedName>
    <definedName name="_xlnm.Print_Area" localSheetId="52">'06,16 R1 '!$A$1:$J$60</definedName>
    <definedName name="_xlnm.Print_Area" localSheetId="53">'06,16 R2 '!$A$1:$J$60</definedName>
    <definedName name="_xlnm.Print_Area" localSheetId="54">'06,16 R3 '!$A$1:$J$60</definedName>
    <definedName name="_xlnm.Print_Area" localSheetId="56">'06,17 R1'!$A$1:$J$60</definedName>
    <definedName name="_xlnm.Print_Area" localSheetId="57">'06,17 R2 '!$A$1:$J$60</definedName>
    <definedName name="_xlnm.Print_Area" localSheetId="58">'06,17 R3'!$A$1:$J$60</definedName>
    <definedName name="_xlnm.Print_Area" localSheetId="60">'06,18 R1'!$A$1:$J$60</definedName>
    <definedName name="_xlnm.Print_Area" localSheetId="61">'06,18 R2'!$A$1:$J$60</definedName>
    <definedName name="_xlnm.Print_Area" localSheetId="62">'06,18 R3'!$A$1:$J$60</definedName>
    <definedName name="_xlnm.Print_Area" localSheetId="64">'06,19 R1'!$A$1:$J$60</definedName>
    <definedName name="_xlnm.Print_Area" localSheetId="65">'06,19 R2'!$A$1:$J$60</definedName>
    <definedName name="_xlnm.Print_Area" localSheetId="66">'06,19 R3'!$A$1:$J$60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2165" l="1"/>
  <c r="H16" i="2163"/>
  <c r="H44" i="2163"/>
  <c r="C12" i="2164" l="1"/>
  <c r="H16" i="2161" l="1"/>
  <c r="H16" i="2151" l="1"/>
  <c r="G49" i="2151"/>
  <c r="C12" i="2151"/>
  <c r="C12" i="2149" l="1"/>
  <c r="C12" i="2155" l="1"/>
  <c r="H16" i="2155"/>
  <c r="R52" i="2169" l="1"/>
  <c r="R51" i="2169"/>
  <c r="D50" i="2169"/>
  <c r="R49" i="2169"/>
  <c r="D49" i="2169"/>
  <c r="R48" i="2169"/>
  <c r="D48" i="2169"/>
  <c r="D46" i="2169"/>
  <c r="D45" i="2169"/>
  <c r="R44" i="2169"/>
  <c r="L28" i="2169" s="1"/>
  <c r="D28" i="2169" s="1"/>
  <c r="D44" i="2169"/>
  <c r="R42" i="2169"/>
  <c r="D42" i="2169"/>
  <c r="R41" i="2169"/>
  <c r="D41" i="2169"/>
  <c r="R40" i="2169"/>
  <c r="D40" i="2169"/>
  <c r="R39" i="2169"/>
  <c r="H39" i="2169"/>
  <c r="D39" i="2169"/>
  <c r="R38" i="2169"/>
  <c r="L9" i="2169" s="1"/>
  <c r="D9" i="2169" s="1"/>
  <c r="H38" i="2169"/>
  <c r="D38" i="2169"/>
  <c r="R37" i="2169"/>
  <c r="H37" i="2169"/>
  <c r="D37" i="2169"/>
  <c r="R36" i="2169"/>
  <c r="L10" i="2169" s="1"/>
  <c r="D10" i="2169" s="1"/>
  <c r="H36" i="2169"/>
  <c r="D36" i="2169"/>
  <c r="R35" i="2169"/>
  <c r="H35" i="2169"/>
  <c r="D35" i="2169"/>
  <c r="R34" i="2169"/>
  <c r="H34" i="2169"/>
  <c r="G49" i="2169" s="1"/>
  <c r="D34" i="2169"/>
  <c r="D54" i="2169" s="1"/>
  <c r="H14" i="2169" s="1"/>
  <c r="R33" i="2169"/>
  <c r="R32" i="2169"/>
  <c r="L11" i="2169" s="1"/>
  <c r="D11" i="2169" s="1"/>
  <c r="R31" i="2169"/>
  <c r="R30" i="2169"/>
  <c r="R29" i="2169"/>
  <c r="R28" i="2169"/>
  <c r="R27" i="2169"/>
  <c r="L27" i="2169"/>
  <c r="D27" i="2169" s="1"/>
  <c r="R26" i="2169"/>
  <c r="L26" i="2169"/>
  <c r="D26" i="2169"/>
  <c r="R25" i="2169"/>
  <c r="L25" i="2169"/>
  <c r="D25" i="2169" s="1"/>
  <c r="R24" i="2169"/>
  <c r="L24" i="2169"/>
  <c r="D24" i="2169"/>
  <c r="R23" i="2169"/>
  <c r="L23" i="2169"/>
  <c r="D23" i="2169" s="1"/>
  <c r="R22" i="2169"/>
  <c r="L20" i="2169" s="1"/>
  <c r="D20" i="2169" s="1"/>
  <c r="L22" i="2169"/>
  <c r="D22" i="2169"/>
  <c r="R21" i="2169"/>
  <c r="L21" i="2169"/>
  <c r="D21" i="2169"/>
  <c r="R20" i="2169"/>
  <c r="R19" i="2169"/>
  <c r="L19" i="2169"/>
  <c r="D19" i="2169" s="1"/>
  <c r="R18" i="2169"/>
  <c r="L18" i="2169"/>
  <c r="D18" i="2169"/>
  <c r="R17" i="2169"/>
  <c r="L17" i="2169"/>
  <c r="D17" i="2169" s="1"/>
  <c r="R16" i="2169"/>
  <c r="R15" i="2169"/>
  <c r="L15" i="2169"/>
  <c r="D15" i="2169" s="1"/>
  <c r="R14" i="2169"/>
  <c r="D14" i="2169"/>
  <c r="R13" i="2169"/>
  <c r="D13" i="2169"/>
  <c r="R12" i="2169"/>
  <c r="L12" i="2169"/>
  <c r="D12" i="2169" s="1"/>
  <c r="R11" i="2169"/>
  <c r="L8" i="2169"/>
  <c r="D8" i="2169"/>
  <c r="L7" i="2169"/>
  <c r="D7" i="2169"/>
  <c r="R6" i="2169"/>
  <c r="L16" i="2169" s="1"/>
  <c r="D16" i="2169" s="1"/>
  <c r="L6" i="2169"/>
  <c r="D6" i="2169" s="1"/>
  <c r="R5" i="2169"/>
  <c r="R4" i="2169"/>
  <c r="R52" i="2168"/>
  <c r="R51" i="2168"/>
  <c r="D50" i="2168"/>
  <c r="R49" i="2168"/>
  <c r="D49" i="2168"/>
  <c r="R48" i="2168"/>
  <c r="D48" i="2168"/>
  <c r="D46" i="2168"/>
  <c r="D45" i="2168"/>
  <c r="R44" i="2168"/>
  <c r="D44" i="2168"/>
  <c r="R42" i="2168"/>
  <c r="D42" i="2168"/>
  <c r="R41" i="2168"/>
  <c r="D41" i="2168"/>
  <c r="R40" i="2168"/>
  <c r="D40" i="2168"/>
  <c r="R39" i="2168"/>
  <c r="H39" i="2168"/>
  <c r="D39" i="2168"/>
  <c r="R38" i="2168"/>
  <c r="L9" i="2168" s="1"/>
  <c r="D9" i="2168" s="1"/>
  <c r="H38" i="2168"/>
  <c r="D38" i="2168"/>
  <c r="R37" i="2168"/>
  <c r="H37" i="2168"/>
  <c r="D37" i="2168"/>
  <c r="R36" i="2168"/>
  <c r="H36" i="2168"/>
  <c r="D36" i="2168"/>
  <c r="R35" i="2168"/>
  <c r="H35" i="2168"/>
  <c r="D35" i="2168"/>
  <c r="R34" i="2168"/>
  <c r="L12" i="2168" s="1"/>
  <c r="D12" i="2168" s="1"/>
  <c r="H34" i="2168"/>
  <c r="G49" i="2168" s="1"/>
  <c r="D34" i="2168"/>
  <c r="D54" i="2168" s="1"/>
  <c r="H14" i="2168" s="1"/>
  <c r="R33" i="2168"/>
  <c r="L19" i="2168" s="1"/>
  <c r="D19" i="2168" s="1"/>
  <c r="R32" i="2168"/>
  <c r="R31" i="2168"/>
  <c r="R30" i="2168"/>
  <c r="R29" i="2168"/>
  <c r="R28" i="2168"/>
  <c r="L28" i="2168"/>
  <c r="D28" i="2168"/>
  <c r="R27" i="2168"/>
  <c r="L27" i="2168"/>
  <c r="D27" i="2168" s="1"/>
  <c r="R26" i="2168"/>
  <c r="L26" i="2168"/>
  <c r="D26" i="2168" s="1"/>
  <c r="R25" i="2168"/>
  <c r="L25" i="2168"/>
  <c r="D25" i="2168" s="1"/>
  <c r="R24" i="2168"/>
  <c r="L24" i="2168"/>
  <c r="D24" i="2168"/>
  <c r="R23" i="2168"/>
  <c r="L23" i="2168"/>
  <c r="D23" i="2168"/>
  <c r="R22" i="2168"/>
  <c r="L20" i="2168" s="1"/>
  <c r="D20" i="2168" s="1"/>
  <c r="L22" i="2168"/>
  <c r="D22" i="2168"/>
  <c r="R21" i="2168"/>
  <c r="D21" i="2168"/>
  <c r="R20" i="2168"/>
  <c r="R19" i="2168"/>
  <c r="R18" i="2168"/>
  <c r="L18" i="2168"/>
  <c r="D18" i="2168" s="1"/>
  <c r="R17" i="2168"/>
  <c r="L17" i="2168"/>
  <c r="D17" i="2168"/>
  <c r="R16" i="2168"/>
  <c r="R15" i="2168"/>
  <c r="R14" i="2168"/>
  <c r="D14" i="2168"/>
  <c r="R13" i="2168"/>
  <c r="D13" i="2168"/>
  <c r="R12" i="2168"/>
  <c r="R11" i="2168"/>
  <c r="L11" i="2168"/>
  <c r="D11" i="2168" s="1"/>
  <c r="L10" i="2168"/>
  <c r="D10" i="2168" s="1"/>
  <c r="L8" i="2168"/>
  <c r="D8" i="2168" s="1"/>
  <c r="L7" i="2168"/>
  <c r="D7" i="2168" s="1"/>
  <c r="R6" i="2168"/>
  <c r="L16" i="2168" s="1"/>
  <c r="D16" i="2168" s="1"/>
  <c r="L6" i="2168"/>
  <c r="D6" i="2168" s="1"/>
  <c r="R5" i="2168"/>
  <c r="R4" i="2168"/>
  <c r="L15" i="2168" s="1"/>
  <c r="D15" i="2168" s="1"/>
  <c r="R52" i="2167"/>
  <c r="R51" i="2167"/>
  <c r="D50" i="2167"/>
  <c r="R49" i="2167"/>
  <c r="G49" i="2167"/>
  <c r="D49" i="2167"/>
  <c r="R48" i="2167"/>
  <c r="D48" i="2167"/>
  <c r="D46" i="2167"/>
  <c r="D45" i="2167"/>
  <c r="R44" i="2167"/>
  <c r="L28" i="2167" s="1"/>
  <c r="D28" i="2167" s="1"/>
  <c r="D44" i="2167"/>
  <c r="R42" i="2167"/>
  <c r="D42" i="2167"/>
  <c r="R41" i="2167"/>
  <c r="D41" i="2167"/>
  <c r="R40" i="2167"/>
  <c r="D40" i="2167"/>
  <c r="R39" i="2167"/>
  <c r="H39" i="2167"/>
  <c r="D39" i="2167"/>
  <c r="R38" i="2167"/>
  <c r="H38" i="2167"/>
  <c r="D38" i="2167"/>
  <c r="R37" i="2167"/>
  <c r="H37" i="2167"/>
  <c r="D37" i="2167"/>
  <c r="R36" i="2167"/>
  <c r="L10" i="2167" s="1"/>
  <c r="D10" i="2167" s="1"/>
  <c r="H36" i="2167"/>
  <c r="D36" i="2167"/>
  <c r="R35" i="2167"/>
  <c r="H35" i="2167"/>
  <c r="D35" i="2167"/>
  <c r="R34" i="2167"/>
  <c r="H34" i="2167"/>
  <c r="D34" i="2167"/>
  <c r="D54" i="2167" s="1"/>
  <c r="H14" i="2167" s="1"/>
  <c r="R33" i="2167"/>
  <c r="L19" i="2167" s="1"/>
  <c r="D19" i="2167" s="1"/>
  <c r="R32" i="2167"/>
  <c r="L11" i="2167" s="1"/>
  <c r="D11" i="2167" s="1"/>
  <c r="R31" i="2167"/>
  <c r="R30" i="2167"/>
  <c r="R29" i="2167"/>
  <c r="R28" i="2167"/>
  <c r="R27" i="2167"/>
  <c r="L27" i="2167"/>
  <c r="D27" i="2167" s="1"/>
  <c r="R26" i="2167"/>
  <c r="L26" i="2167"/>
  <c r="D26" i="2167"/>
  <c r="R25" i="2167"/>
  <c r="L25" i="2167"/>
  <c r="D25" i="2167" s="1"/>
  <c r="R24" i="2167"/>
  <c r="L24" i="2167"/>
  <c r="D24" i="2167"/>
  <c r="R23" i="2167"/>
  <c r="L23" i="2167"/>
  <c r="D23" i="2167" s="1"/>
  <c r="R22" i="2167"/>
  <c r="L22" i="2167"/>
  <c r="D22" i="2167"/>
  <c r="R21" i="2167"/>
  <c r="L21" i="2167"/>
  <c r="D21" i="2167"/>
  <c r="R20" i="2167"/>
  <c r="L20" i="2167"/>
  <c r="D20" i="2167" s="1"/>
  <c r="R19" i="2167"/>
  <c r="R18" i="2167"/>
  <c r="L18" i="2167"/>
  <c r="D18" i="2167"/>
  <c r="R17" i="2167"/>
  <c r="L17" i="2167"/>
  <c r="D17" i="2167" s="1"/>
  <c r="R16" i="2167"/>
  <c r="R15" i="2167"/>
  <c r="L15" i="2167"/>
  <c r="D15" i="2167" s="1"/>
  <c r="R14" i="2167"/>
  <c r="D14" i="2167"/>
  <c r="R13" i="2167"/>
  <c r="D13" i="2167"/>
  <c r="R12" i="2167"/>
  <c r="L12" i="2167"/>
  <c r="D12" i="2167" s="1"/>
  <c r="R11" i="2167"/>
  <c r="L9" i="2167"/>
  <c r="D9" i="2167" s="1"/>
  <c r="L8" i="2167"/>
  <c r="D8" i="2167"/>
  <c r="L7" i="2167"/>
  <c r="D7" i="2167"/>
  <c r="R6" i="2167"/>
  <c r="L16" i="2167" s="1"/>
  <c r="D16" i="2167" s="1"/>
  <c r="L6" i="2167"/>
  <c r="D6" i="2167" s="1"/>
  <c r="R5" i="2167"/>
  <c r="R4" i="2167"/>
  <c r="R52" i="2166"/>
  <c r="R51" i="2166"/>
  <c r="D50" i="2166"/>
  <c r="R49" i="2166"/>
  <c r="G49" i="2166"/>
  <c r="D49" i="2166"/>
  <c r="R48" i="2166"/>
  <c r="D48" i="2166"/>
  <c r="D46" i="2166"/>
  <c r="D45" i="2166"/>
  <c r="D44" i="2166"/>
  <c r="R42" i="2166"/>
  <c r="L6" i="2166" s="1"/>
  <c r="D6" i="2166" s="1"/>
  <c r="D42" i="2166"/>
  <c r="R41" i="2166"/>
  <c r="L7" i="2166" s="1"/>
  <c r="D7" i="2166" s="1"/>
  <c r="D41" i="2166"/>
  <c r="R40" i="2166"/>
  <c r="D40" i="2166"/>
  <c r="R39" i="2166"/>
  <c r="D39" i="2166"/>
  <c r="R38" i="2166"/>
  <c r="D38" i="2166"/>
  <c r="R37" i="2166"/>
  <c r="D37" i="2166"/>
  <c r="R36" i="2166"/>
  <c r="D36" i="2166"/>
  <c r="R35" i="2166"/>
  <c r="L19" i="2166" s="1"/>
  <c r="D19" i="2166" s="1"/>
  <c r="D35" i="2166"/>
  <c r="R34" i="2166"/>
  <c r="D34" i="2166"/>
  <c r="D54" i="2166" s="1"/>
  <c r="H14" i="2166" s="1"/>
  <c r="R33" i="2166"/>
  <c r="L23" i="2166" s="1"/>
  <c r="D23" i="2166" s="1"/>
  <c r="R32" i="2166"/>
  <c r="R31" i="2166"/>
  <c r="R30" i="2166"/>
  <c r="R29" i="2166"/>
  <c r="R28" i="2166"/>
  <c r="L16" i="2166" s="1"/>
  <c r="D16" i="2166" s="1"/>
  <c r="D28" i="2166"/>
  <c r="R27" i="2166"/>
  <c r="D27" i="2166"/>
  <c r="R26" i="2166"/>
  <c r="L26" i="2166"/>
  <c r="D26" i="2166" s="1"/>
  <c r="R25" i="2166"/>
  <c r="L25" i="2166"/>
  <c r="D25" i="2166"/>
  <c r="R24" i="2166"/>
  <c r="D24" i="2166"/>
  <c r="R23" i="2166"/>
  <c r="R22" i="2166"/>
  <c r="L22" i="2166"/>
  <c r="D22" i="2166"/>
  <c r="R21" i="2166"/>
  <c r="D21" i="2166"/>
  <c r="R20" i="2166"/>
  <c r="L20" i="2166"/>
  <c r="D20" i="2166" s="1"/>
  <c r="R19" i="2166"/>
  <c r="R18" i="2166"/>
  <c r="D18" i="2166"/>
  <c r="R17" i="2166"/>
  <c r="D17" i="2166"/>
  <c r="R16" i="2166"/>
  <c r="S15" i="2166"/>
  <c r="R15" i="2166"/>
  <c r="D15" i="2166"/>
  <c r="S14" i="2166"/>
  <c r="R14" i="2166"/>
  <c r="D14" i="2166"/>
  <c r="R13" i="2166"/>
  <c r="D13" i="2166"/>
  <c r="R12" i="2166"/>
  <c r="L12" i="2166"/>
  <c r="D12" i="2166" s="1"/>
  <c r="R11" i="2166"/>
  <c r="L11" i="2166"/>
  <c r="D11" i="2166"/>
  <c r="L10" i="2166"/>
  <c r="D10" i="2166" s="1"/>
  <c r="L9" i="2166"/>
  <c r="D9" i="2166"/>
  <c r="L8" i="2166"/>
  <c r="D8" i="2166"/>
  <c r="R6" i="2166"/>
  <c r="R5" i="2166"/>
  <c r="R4" i="2166"/>
  <c r="R52" i="2165"/>
  <c r="R51" i="2165"/>
  <c r="D50" i="2165"/>
  <c r="R49" i="2165"/>
  <c r="D49" i="2165"/>
  <c r="R48" i="2165"/>
  <c r="D48" i="2165"/>
  <c r="D46" i="2165"/>
  <c r="D45" i="2165"/>
  <c r="R44" i="2165"/>
  <c r="D44" i="2165"/>
  <c r="R42" i="2165"/>
  <c r="L6" i="2165" s="1"/>
  <c r="D6" i="2165" s="1"/>
  <c r="D42" i="2165"/>
  <c r="R41" i="2165"/>
  <c r="D41" i="2165"/>
  <c r="R40" i="2165"/>
  <c r="D40" i="2165"/>
  <c r="R39" i="2165"/>
  <c r="H39" i="2165"/>
  <c r="D39" i="2165"/>
  <c r="R38" i="2165"/>
  <c r="H38" i="2165"/>
  <c r="D38" i="2165"/>
  <c r="R37" i="2165"/>
  <c r="H37" i="2165"/>
  <c r="D37" i="2165"/>
  <c r="R36" i="2165"/>
  <c r="H36" i="2165"/>
  <c r="D36" i="2165"/>
  <c r="R35" i="2165"/>
  <c r="H35" i="2165"/>
  <c r="D35" i="2165"/>
  <c r="R34" i="2165"/>
  <c r="H34" i="2165"/>
  <c r="D34" i="2165"/>
  <c r="R33" i="2165"/>
  <c r="L19" i="2165" s="1"/>
  <c r="D19" i="2165" s="1"/>
  <c r="R32" i="2165"/>
  <c r="L11" i="2165" s="1"/>
  <c r="D11" i="2165" s="1"/>
  <c r="R31" i="2165"/>
  <c r="R30" i="2165"/>
  <c r="R29" i="2165"/>
  <c r="R28" i="2165"/>
  <c r="L28" i="2165"/>
  <c r="D28" i="2165"/>
  <c r="R27" i="2165"/>
  <c r="L27" i="2165"/>
  <c r="D27" i="2165" s="1"/>
  <c r="R26" i="2165"/>
  <c r="L26" i="2165"/>
  <c r="D26" i="2165"/>
  <c r="R25" i="2165"/>
  <c r="L25" i="2165"/>
  <c r="D25" i="2165" s="1"/>
  <c r="R24" i="2165"/>
  <c r="L24" i="2165"/>
  <c r="D24" i="2165"/>
  <c r="R23" i="2165"/>
  <c r="L23" i="2165"/>
  <c r="D23" i="2165"/>
  <c r="R22" i="2165"/>
  <c r="L22" i="2165"/>
  <c r="D22" i="2165"/>
  <c r="R21" i="2165"/>
  <c r="L21" i="2165"/>
  <c r="D21" i="2165"/>
  <c r="R20" i="2165"/>
  <c r="L20" i="2165"/>
  <c r="D20" i="2165" s="1"/>
  <c r="R19" i="2165"/>
  <c r="R18" i="2165"/>
  <c r="L18" i="2165"/>
  <c r="D18" i="2165" s="1"/>
  <c r="R17" i="2165"/>
  <c r="L17" i="2165"/>
  <c r="D17" i="2165" s="1"/>
  <c r="R16" i="2165"/>
  <c r="R15" i="2165"/>
  <c r="L15" i="2165"/>
  <c r="D15" i="2165" s="1"/>
  <c r="R14" i="2165"/>
  <c r="D14" i="2165"/>
  <c r="R13" i="2165"/>
  <c r="D13" i="2165"/>
  <c r="R12" i="2165"/>
  <c r="L12" i="2165"/>
  <c r="D12" i="2165" s="1"/>
  <c r="R11" i="2165"/>
  <c r="L10" i="2165"/>
  <c r="D10" i="2165"/>
  <c r="L9" i="2165"/>
  <c r="D9" i="2165" s="1"/>
  <c r="L8" i="2165"/>
  <c r="D8" i="2165"/>
  <c r="L7" i="2165"/>
  <c r="D7" i="2165"/>
  <c r="R6" i="2165"/>
  <c r="L16" i="2165" s="1"/>
  <c r="D16" i="2165" s="1"/>
  <c r="R5" i="2165"/>
  <c r="R4" i="2165"/>
  <c r="R52" i="2164"/>
  <c r="R51" i="2164"/>
  <c r="D50" i="2164"/>
  <c r="R49" i="2164"/>
  <c r="D49" i="2164"/>
  <c r="R48" i="2164"/>
  <c r="D48" i="2164"/>
  <c r="D46" i="2164"/>
  <c r="D45" i="2164"/>
  <c r="R44" i="2164"/>
  <c r="D44" i="2164"/>
  <c r="R42" i="2164"/>
  <c r="L6" i="2164" s="1"/>
  <c r="D6" i="2164" s="1"/>
  <c r="D42" i="2164"/>
  <c r="R41" i="2164"/>
  <c r="D41" i="2164"/>
  <c r="R40" i="2164"/>
  <c r="D40" i="2164"/>
  <c r="R39" i="2164"/>
  <c r="H39" i="2164"/>
  <c r="D39" i="2164"/>
  <c r="R38" i="2164"/>
  <c r="L9" i="2164" s="1"/>
  <c r="D9" i="2164" s="1"/>
  <c r="H38" i="2164"/>
  <c r="D38" i="2164"/>
  <c r="R37" i="2164"/>
  <c r="H37" i="2164"/>
  <c r="D37" i="2164"/>
  <c r="R36" i="2164"/>
  <c r="L10" i="2164" s="1"/>
  <c r="D10" i="2164" s="1"/>
  <c r="H36" i="2164"/>
  <c r="D36" i="2164"/>
  <c r="R35" i="2164"/>
  <c r="H35" i="2164"/>
  <c r="D35" i="2164"/>
  <c r="R34" i="2164"/>
  <c r="H34" i="2164"/>
  <c r="D34" i="2164"/>
  <c r="R33" i="2164"/>
  <c r="R32" i="2164"/>
  <c r="L11" i="2164" s="1"/>
  <c r="D11" i="2164" s="1"/>
  <c r="R31" i="2164"/>
  <c r="R30" i="2164"/>
  <c r="R29" i="2164"/>
  <c r="R28" i="2164"/>
  <c r="L28" i="2164"/>
  <c r="D28" i="2164"/>
  <c r="R27" i="2164"/>
  <c r="L27" i="2164"/>
  <c r="D27" i="2164" s="1"/>
  <c r="R26" i="2164"/>
  <c r="L26" i="2164"/>
  <c r="D26" i="2164" s="1"/>
  <c r="R25" i="2164"/>
  <c r="L25" i="2164"/>
  <c r="D25" i="2164" s="1"/>
  <c r="R24" i="2164"/>
  <c r="L24" i="2164"/>
  <c r="D24" i="2164"/>
  <c r="R23" i="2164"/>
  <c r="L23" i="2164"/>
  <c r="D23" i="2164"/>
  <c r="R22" i="2164"/>
  <c r="L20" i="2164" s="1"/>
  <c r="D20" i="2164" s="1"/>
  <c r="L22" i="2164"/>
  <c r="D22" i="2164"/>
  <c r="R21" i="2164"/>
  <c r="D21" i="2164"/>
  <c r="R20" i="2164"/>
  <c r="R19" i="2164"/>
  <c r="L19" i="2164"/>
  <c r="D19" i="2164"/>
  <c r="R18" i="2164"/>
  <c r="L18" i="2164"/>
  <c r="D18" i="2164"/>
  <c r="R17" i="2164"/>
  <c r="L17" i="2164"/>
  <c r="D17" i="2164" s="1"/>
  <c r="R16" i="2164"/>
  <c r="R15" i="2164"/>
  <c r="R14" i="2164"/>
  <c r="D14" i="2164"/>
  <c r="R13" i="2164"/>
  <c r="D13" i="2164"/>
  <c r="R12" i="2164"/>
  <c r="L12" i="2164"/>
  <c r="D12" i="2164"/>
  <c r="R11" i="2164"/>
  <c r="L8" i="2164"/>
  <c r="D8" i="2164" s="1"/>
  <c r="L7" i="2164"/>
  <c r="D7" i="2164" s="1"/>
  <c r="R6" i="2164"/>
  <c r="L16" i="2164" s="1"/>
  <c r="D16" i="2164" s="1"/>
  <c r="R5" i="2164"/>
  <c r="R4" i="2164"/>
  <c r="L15" i="2164" s="1"/>
  <c r="D15" i="2164" s="1"/>
  <c r="R52" i="2163"/>
  <c r="R51" i="2163"/>
  <c r="D50" i="2163"/>
  <c r="R49" i="2163"/>
  <c r="D49" i="2163"/>
  <c r="R48" i="2163"/>
  <c r="D48" i="2163"/>
  <c r="D46" i="2163"/>
  <c r="D45" i="2163"/>
  <c r="R44" i="2163"/>
  <c r="D44" i="2163"/>
  <c r="R42" i="2163"/>
  <c r="L6" i="2163" s="1"/>
  <c r="D6" i="2163" s="1"/>
  <c r="D42" i="2163"/>
  <c r="R41" i="2163"/>
  <c r="D41" i="2163"/>
  <c r="R40" i="2163"/>
  <c r="D40" i="2163"/>
  <c r="R39" i="2163"/>
  <c r="H39" i="2163"/>
  <c r="D39" i="2163"/>
  <c r="R38" i="2163"/>
  <c r="H38" i="2163"/>
  <c r="D38" i="2163"/>
  <c r="R37" i="2163"/>
  <c r="H37" i="2163"/>
  <c r="D37" i="2163"/>
  <c r="R36" i="2163"/>
  <c r="H36" i="2163"/>
  <c r="D36" i="2163"/>
  <c r="R35" i="2163"/>
  <c r="H35" i="2163"/>
  <c r="D35" i="2163"/>
  <c r="R34" i="2163"/>
  <c r="H34" i="2163"/>
  <c r="D34" i="2163"/>
  <c r="R33" i="2163"/>
  <c r="L19" i="2163" s="1"/>
  <c r="D19" i="2163" s="1"/>
  <c r="R32" i="2163"/>
  <c r="R31" i="2163"/>
  <c r="R30" i="2163"/>
  <c r="R29" i="2163"/>
  <c r="R28" i="2163"/>
  <c r="L28" i="2163"/>
  <c r="D28" i="2163"/>
  <c r="R27" i="2163"/>
  <c r="L27" i="2163"/>
  <c r="D27" i="2163"/>
  <c r="R26" i="2163"/>
  <c r="L26" i="2163"/>
  <c r="D26" i="2163" s="1"/>
  <c r="R25" i="2163"/>
  <c r="L25" i="2163"/>
  <c r="D25" i="2163"/>
  <c r="R24" i="2163"/>
  <c r="L24" i="2163"/>
  <c r="D24" i="2163"/>
  <c r="R23" i="2163"/>
  <c r="L23" i="2163"/>
  <c r="D23" i="2163"/>
  <c r="R22" i="2163"/>
  <c r="L20" i="2163" s="1"/>
  <c r="D20" i="2163" s="1"/>
  <c r="L22" i="2163"/>
  <c r="D22" i="2163"/>
  <c r="R21" i="2163"/>
  <c r="L21" i="2163"/>
  <c r="D21" i="2163"/>
  <c r="R20" i="2163"/>
  <c r="R19" i="2163"/>
  <c r="R18" i="2163"/>
  <c r="L18" i="2163"/>
  <c r="D18" i="2163" s="1"/>
  <c r="R17" i="2163"/>
  <c r="L17" i="2163"/>
  <c r="D17" i="2163" s="1"/>
  <c r="R16" i="2163"/>
  <c r="R15" i="2163"/>
  <c r="L15" i="2163"/>
  <c r="D15" i="2163" s="1"/>
  <c r="R14" i="2163"/>
  <c r="D14" i="2163"/>
  <c r="R13" i="2163"/>
  <c r="D13" i="2163"/>
  <c r="R12" i="2163"/>
  <c r="L12" i="2163"/>
  <c r="D12" i="2163" s="1"/>
  <c r="R11" i="2163"/>
  <c r="L11" i="2163"/>
  <c r="D11" i="2163"/>
  <c r="L10" i="2163"/>
  <c r="D10" i="2163" s="1"/>
  <c r="L9" i="2163"/>
  <c r="D9" i="2163" s="1"/>
  <c r="L8" i="2163"/>
  <c r="D8" i="2163"/>
  <c r="L7" i="2163"/>
  <c r="D7" i="2163"/>
  <c r="R6" i="2163"/>
  <c r="L16" i="2163" s="1"/>
  <c r="D16" i="2163" s="1"/>
  <c r="R5" i="2163"/>
  <c r="R4" i="2163"/>
  <c r="R52" i="2162"/>
  <c r="R51" i="2162"/>
  <c r="D50" i="2162"/>
  <c r="R49" i="2162"/>
  <c r="G49" i="2162"/>
  <c r="D49" i="2162"/>
  <c r="R48" i="2162"/>
  <c r="D48" i="2162"/>
  <c r="D46" i="2162"/>
  <c r="D45" i="2162"/>
  <c r="D44" i="2162"/>
  <c r="R42" i="2162"/>
  <c r="L6" i="2162" s="1"/>
  <c r="D6" i="2162" s="1"/>
  <c r="D42" i="2162"/>
  <c r="R41" i="2162"/>
  <c r="L7" i="2162" s="1"/>
  <c r="D7" i="2162" s="1"/>
  <c r="D41" i="2162"/>
  <c r="R40" i="2162"/>
  <c r="D40" i="2162"/>
  <c r="R39" i="2162"/>
  <c r="D39" i="2162"/>
  <c r="R38" i="2162"/>
  <c r="D38" i="2162"/>
  <c r="R37" i="2162"/>
  <c r="D37" i="2162"/>
  <c r="R36" i="2162"/>
  <c r="L10" i="2162" s="1"/>
  <c r="D10" i="2162" s="1"/>
  <c r="D36" i="2162"/>
  <c r="R35" i="2162"/>
  <c r="L19" i="2162" s="1"/>
  <c r="D19" i="2162" s="1"/>
  <c r="D35" i="2162"/>
  <c r="R34" i="2162"/>
  <c r="L12" i="2162" s="1"/>
  <c r="D12" i="2162" s="1"/>
  <c r="D34" i="2162"/>
  <c r="D54" i="2162" s="1"/>
  <c r="H14" i="2162" s="1"/>
  <c r="R33" i="2162"/>
  <c r="L23" i="2162" s="1"/>
  <c r="D23" i="2162" s="1"/>
  <c r="R32" i="2162"/>
  <c r="R31" i="2162"/>
  <c r="R30" i="2162"/>
  <c r="R29" i="2162"/>
  <c r="R28" i="2162"/>
  <c r="L16" i="2162" s="1"/>
  <c r="D16" i="2162" s="1"/>
  <c r="D28" i="2162"/>
  <c r="R27" i="2162"/>
  <c r="D27" i="2162"/>
  <c r="R26" i="2162"/>
  <c r="L26" i="2162"/>
  <c r="D26" i="2162"/>
  <c r="R25" i="2162"/>
  <c r="L25" i="2162"/>
  <c r="D25" i="2162"/>
  <c r="R24" i="2162"/>
  <c r="D24" i="2162"/>
  <c r="R23" i="2162"/>
  <c r="R22" i="2162"/>
  <c r="L22" i="2162"/>
  <c r="D22" i="2162" s="1"/>
  <c r="R21" i="2162"/>
  <c r="D21" i="2162"/>
  <c r="R20" i="2162"/>
  <c r="L20" i="2162"/>
  <c r="D20" i="2162"/>
  <c r="R19" i="2162"/>
  <c r="R18" i="2162"/>
  <c r="D18" i="2162"/>
  <c r="R17" i="2162"/>
  <c r="D17" i="2162"/>
  <c r="R16" i="2162"/>
  <c r="S15" i="2162"/>
  <c r="R15" i="2162"/>
  <c r="D15" i="2162"/>
  <c r="S14" i="2162"/>
  <c r="R14" i="2162"/>
  <c r="D14" i="2162"/>
  <c r="R13" i="2162"/>
  <c r="D13" i="2162"/>
  <c r="R12" i="2162"/>
  <c r="R11" i="2162"/>
  <c r="L11" i="2162"/>
  <c r="D11" i="2162" s="1"/>
  <c r="L9" i="2162"/>
  <c r="D9" i="2162" s="1"/>
  <c r="L8" i="2162"/>
  <c r="D8" i="2162"/>
  <c r="R6" i="2162"/>
  <c r="R5" i="2162"/>
  <c r="R4" i="2162"/>
  <c r="R52" i="2161"/>
  <c r="R51" i="2161"/>
  <c r="D50" i="2161"/>
  <c r="R49" i="2161"/>
  <c r="D49" i="2161"/>
  <c r="R48" i="2161"/>
  <c r="D48" i="2161"/>
  <c r="D46" i="2161"/>
  <c r="D45" i="2161"/>
  <c r="R44" i="2161"/>
  <c r="L28" i="2161" s="1"/>
  <c r="D28" i="2161" s="1"/>
  <c r="D44" i="2161"/>
  <c r="R42" i="2161"/>
  <c r="D42" i="2161"/>
  <c r="R41" i="2161"/>
  <c r="D41" i="2161"/>
  <c r="R40" i="2161"/>
  <c r="L8" i="2161" s="1"/>
  <c r="D8" i="2161" s="1"/>
  <c r="D40" i="2161"/>
  <c r="R39" i="2161"/>
  <c r="H39" i="2161"/>
  <c r="D39" i="2161"/>
  <c r="R38" i="2161"/>
  <c r="H38" i="2161"/>
  <c r="D38" i="2161"/>
  <c r="R37" i="2161"/>
  <c r="H37" i="2161"/>
  <c r="D37" i="2161"/>
  <c r="R36" i="2161"/>
  <c r="H36" i="2161"/>
  <c r="D36" i="2161"/>
  <c r="R35" i="2161"/>
  <c r="L18" i="2161" s="1"/>
  <c r="D18" i="2161" s="1"/>
  <c r="H35" i="2161"/>
  <c r="D35" i="2161"/>
  <c r="R34" i="2161"/>
  <c r="L12" i="2161" s="1"/>
  <c r="D12" i="2161" s="1"/>
  <c r="H34" i="2161"/>
  <c r="D34" i="2161"/>
  <c r="R33" i="2161"/>
  <c r="R32" i="2161"/>
  <c r="R31" i="2161"/>
  <c r="R30" i="2161"/>
  <c r="R29" i="2161"/>
  <c r="R28" i="2161"/>
  <c r="R27" i="2161"/>
  <c r="L27" i="2161"/>
  <c r="D27" i="2161" s="1"/>
  <c r="R26" i="2161"/>
  <c r="L26" i="2161"/>
  <c r="D26" i="2161" s="1"/>
  <c r="R25" i="2161"/>
  <c r="L25" i="2161"/>
  <c r="D25" i="2161"/>
  <c r="R24" i="2161"/>
  <c r="L24" i="2161"/>
  <c r="D24" i="2161"/>
  <c r="R23" i="2161"/>
  <c r="L23" i="2161"/>
  <c r="D23" i="2161" s="1"/>
  <c r="R22" i="2161"/>
  <c r="L20" i="2161" s="1"/>
  <c r="D20" i="2161" s="1"/>
  <c r="L22" i="2161"/>
  <c r="D22" i="2161"/>
  <c r="R21" i="2161"/>
  <c r="L17" i="2161" s="1"/>
  <c r="D17" i="2161" s="1"/>
  <c r="L21" i="2161"/>
  <c r="D21" i="2161"/>
  <c r="R20" i="2161"/>
  <c r="R19" i="2161"/>
  <c r="L19" i="2161"/>
  <c r="D19" i="2161"/>
  <c r="R18" i="2161"/>
  <c r="R17" i="2161"/>
  <c r="R16" i="2161"/>
  <c r="L16" i="2161"/>
  <c r="D16" i="2161"/>
  <c r="R15" i="2161"/>
  <c r="L15" i="2161"/>
  <c r="D15" i="2161" s="1"/>
  <c r="R14" i="2161"/>
  <c r="D14" i="2161"/>
  <c r="R13" i="2161"/>
  <c r="D13" i="2161"/>
  <c r="R12" i="2161"/>
  <c r="R11" i="2161"/>
  <c r="L11" i="2161"/>
  <c r="D11" i="2161"/>
  <c r="L10" i="2161"/>
  <c r="D10" i="2161" s="1"/>
  <c r="L9" i="2161"/>
  <c r="D9" i="2161"/>
  <c r="L7" i="2161"/>
  <c r="D7" i="2161"/>
  <c r="R6" i="2161"/>
  <c r="L6" i="2161"/>
  <c r="D6" i="2161" s="1"/>
  <c r="R5" i="2161"/>
  <c r="R4" i="2161"/>
  <c r="R52" i="2160"/>
  <c r="R51" i="2160"/>
  <c r="D50" i="2160"/>
  <c r="R49" i="2160"/>
  <c r="D49" i="2160"/>
  <c r="R48" i="2160"/>
  <c r="D48" i="2160"/>
  <c r="D46" i="2160"/>
  <c r="D45" i="2160"/>
  <c r="R44" i="2160"/>
  <c r="D44" i="2160"/>
  <c r="R42" i="2160"/>
  <c r="L6" i="2160" s="1"/>
  <c r="D6" i="2160" s="1"/>
  <c r="D42" i="2160"/>
  <c r="R41" i="2160"/>
  <c r="D41" i="2160"/>
  <c r="R40" i="2160"/>
  <c r="D40" i="2160"/>
  <c r="R39" i="2160"/>
  <c r="H39" i="2160"/>
  <c r="D39" i="2160"/>
  <c r="R38" i="2160"/>
  <c r="H38" i="2160"/>
  <c r="D38" i="2160"/>
  <c r="R37" i="2160"/>
  <c r="H37" i="2160"/>
  <c r="D37" i="2160"/>
  <c r="R36" i="2160"/>
  <c r="L10" i="2160" s="1"/>
  <c r="D10" i="2160" s="1"/>
  <c r="H36" i="2160"/>
  <c r="D36" i="2160"/>
  <c r="R35" i="2160"/>
  <c r="H35" i="2160"/>
  <c r="D35" i="2160"/>
  <c r="R34" i="2160"/>
  <c r="H34" i="2160"/>
  <c r="D34" i="2160"/>
  <c r="R33" i="2160"/>
  <c r="R32" i="2160"/>
  <c r="R31" i="2160"/>
  <c r="R30" i="2160"/>
  <c r="R29" i="2160"/>
  <c r="R28" i="2160"/>
  <c r="L28" i="2160"/>
  <c r="D28" i="2160"/>
  <c r="R27" i="2160"/>
  <c r="L27" i="2160"/>
  <c r="D27" i="2160" s="1"/>
  <c r="R26" i="2160"/>
  <c r="L26" i="2160"/>
  <c r="D26" i="2160" s="1"/>
  <c r="R25" i="2160"/>
  <c r="L25" i="2160"/>
  <c r="D25" i="2160"/>
  <c r="R24" i="2160"/>
  <c r="L24" i="2160"/>
  <c r="D24" i="2160"/>
  <c r="R23" i="2160"/>
  <c r="L23" i="2160"/>
  <c r="D23" i="2160"/>
  <c r="R22" i="2160"/>
  <c r="L20" i="2160" s="1"/>
  <c r="D20" i="2160" s="1"/>
  <c r="L22" i="2160"/>
  <c r="D22" i="2160"/>
  <c r="R21" i="2160"/>
  <c r="D21" i="2160"/>
  <c r="R20" i="2160"/>
  <c r="R19" i="2160"/>
  <c r="L19" i="2160"/>
  <c r="D19" i="2160" s="1"/>
  <c r="R18" i="2160"/>
  <c r="L18" i="2160"/>
  <c r="D18" i="2160"/>
  <c r="R17" i="2160"/>
  <c r="L17" i="2160"/>
  <c r="D17" i="2160"/>
  <c r="R16" i="2160"/>
  <c r="R15" i="2160"/>
  <c r="R14" i="2160"/>
  <c r="D14" i="2160"/>
  <c r="R13" i="2160"/>
  <c r="D13" i="2160"/>
  <c r="R12" i="2160"/>
  <c r="L12" i="2160"/>
  <c r="D12" i="2160"/>
  <c r="R11" i="2160"/>
  <c r="L11" i="2160"/>
  <c r="D11" i="2160" s="1"/>
  <c r="L9" i="2160"/>
  <c r="D9" i="2160" s="1"/>
  <c r="L8" i="2160"/>
  <c r="D8" i="2160"/>
  <c r="L7" i="2160"/>
  <c r="D7" i="2160" s="1"/>
  <c r="R6" i="2160"/>
  <c r="L16" i="2160" s="1"/>
  <c r="D16" i="2160" s="1"/>
  <c r="R5" i="2160"/>
  <c r="R4" i="2160"/>
  <c r="L15" i="2160" s="1"/>
  <c r="D15" i="2160" s="1"/>
  <c r="R52" i="2159"/>
  <c r="R51" i="2159"/>
  <c r="D50" i="2159"/>
  <c r="R49" i="2159"/>
  <c r="D49" i="2159"/>
  <c r="R48" i="2159"/>
  <c r="D48" i="2159"/>
  <c r="D46" i="2159"/>
  <c r="D45" i="2159"/>
  <c r="R44" i="2159"/>
  <c r="D44" i="2159"/>
  <c r="R42" i="2159"/>
  <c r="L6" i="2159" s="1"/>
  <c r="D6" i="2159" s="1"/>
  <c r="D42" i="2159"/>
  <c r="R41" i="2159"/>
  <c r="D41" i="2159"/>
  <c r="R40" i="2159"/>
  <c r="D40" i="2159"/>
  <c r="R39" i="2159"/>
  <c r="H39" i="2159"/>
  <c r="D39" i="2159"/>
  <c r="R38" i="2159"/>
  <c r="L9" i="2159" s="1"/>
  <c r="D9" i="2159" s="1"/>
  <c r="H38" i="2159"/>
  <c r="D38" i="2159"/>
  <c r="R37" i="2159"/>
  <c r="H37" i="2159"/>
  <c r="D37" i="2159"/>
  <c r="R36" i="2159"/>
  <c r="L10" i="2159" s="1"/>
  <c r="D10" i="2159" s="1"/>
  <c r="H36" i="2159"/>
  <c r="D36" i="2159"/>
  <c r="R35" i="2159"/>
  <c r="H35" i="2159"/>
  <c r="D35" i="2159"/>
  <c r="R34" i="2159"/>
  <c r="H34" i="2159"/>
  <c r="D34" i="2159"/>
  <c r="R33" i="2159"/>
  <c r="R32" i="2159"/>
  <c r="L11" i="2159" s="1"/>
  <c r="D11" i="2159" s="1"/>
  <c r="R31" i="2159"/>
  <c r="R30" i="2159"/>
  <c r="R29" i="2159"/>
  <c r="R28" i="2159"/>
  <c r="L28" i="2159"/>
  <c r="D28" i="2159"/>
  <c r="R27" i="2159"/>
  <c r="L27" i="2159"/>
  <c r="D27" i="2159"/>
  <c r="R26" i="2159"/>
  <c r="L26" i="2159"/>
  <c r="D26" i="2159" s="1"/>
  <c r="R25" i="2159"/>
  <c r="L25" i="2159"/>
  <c r="D25" i="2159"/>
  <c r="R24" i="2159"/>
  <c r="L24" i="2159"/>
  <c r="D24" i="2159"/>
  <c r="R23" i="2159"/>
  <c r="L23" i="2159"/>
  <c r="D23" i="2159"/>
  <c r="R22" i="2159"/>
  <c r="L20" i="2159" s="1"/>
  <c r="D20" i="2159" s="1"/>
  <c r="L22" i="2159"/>
  <c r="D22" i="2159" s="1"/>
  <c r="R21" i="2159"/>
  <c r="L21" i="2159"/>
  <c r="D21" i="2159"/>
  <c r="R20" i="2159"/>
  <c r="R19" i="2159"/>
  <c r="L19" i="2159"/>
  <c r="D19" i="2159"/>
  <c r="R18" i="2159"/>
  <c r="L18" i="2159"/>
  <c r="D18" i="2159"/>
  <c r="R17" i="2159"/>
  <c r="L17" i="2159"/>
  <c r="D17" i="2159" s="1"/>
  <c r="R16" i="2159"/>
  <c r="R15" i="2159"/>
  <c r="R14" i="2159"/>
  <c r="D14" i="2159"/>
  <c r="R13" i="2159"/>
  <c r="D13" i="2159"/>
  <c r="R12" i="2159"/>
  <c r="L12" i="2159"/>
  <c r="D12" i="2159" s="1"/>
  <c r="R11" i="2159"/>
  <c r="L8" i="2159"/>
  <c r="D8" i="2159"/>
  <c r="L7" i="2159"/>
  <c r="D7" i="2159"/>
  <c r="R6" i="2159"/>
  <c r="L16" i="2159" s="1"/>
  <c r="D16" i="2159" s="1"/>
  <c r="R5" i="2159"/>
  <c r="R4" i="2159"/>
  <c r="L15" i="2159" s="1"/>
  <c r="D15" i="2159" s="1"/>
  <c r="R52" i="2158"/>
  <c r="R51" i="2158"/>
  <c r="D50" i="2158"/>
  <c r="R49" i="2158"/>
  <c r="G49" i="2158"/>
  <c r="D49" i="2158"/>
  <c r="R48" i="2158"/>
  <c r="D48" i="2158"/>
  <c r="D46" i="2158"/>
  <c r="D45" i="2158"/>
  <c r="D44" i="2158"/>
  <c r="R42" i="2158"/>
  <c r="L6" i="2158" s="1"/>
  <c r="D6" i="2158" s="1"/>
  <c r="D29" i="2158" s="1"/>
  <c r="H13" i="2158" s="1"/>
  <c r="H15" i="2158" s="1"/>
  <c r="H29" i="2158" s="1"/>
  <c r="D42" i="2158"/>
  <c r="R41" i="2158"/>
  <c r="D41" i="2158"/>
  <c r="R40" i="2158"/>
  <c r="D40" i="2158"/>
  <c r="R39" i="2158"/>
  <c r="D39" i="2158"/>
  <c r="R38" i="2158"/>
  <c r="D38" i="2158"/>
  <c r="R37" i="2158"/>
  <c r="D37" i="2158"/>
  <c r="R36" i="2158"/>
  <c r="L10" i="2158" s="1"/>
  <c r="D10" i="2158" s="1"/>
  <c r="D36" i="2158"/>
  <c r="R35" i="2158"/>
  <c r="L19" i="2158" s="1"/>
  <c r="D19" i="2158" s="1"/>
  <c r="D35" i="2158"/>
  <c r="D54" i="2158" s="1"/>
  <c r="H14" i="2158" s="1"/>
  <c r="R34" i="2158"/>
  <c r="L12" i="2158" s="1"/>
  <c r="D12" i="2158" s="1"/>
  <c r="D34" i="2158"/>
  <c r="R33" i="2158"/>
  <c r="R32" i="2158"/>
  <c r="R31" i="2158"/>
  <c r="R30" i="2158"/>
  <c r="R29" i="2158"/>
  <c r="R28" i="2158"/>
  <c r="L16" i="2158" s="1"/>
  <c r="D16" i="2158" s="1"/>
  <c r="D28" i="2158"/>
  <c r="R27" i="2158"/>
  <c r="D27" i="2158"/>
  <c r="R26" i="2158"/>
  <c r="L26" i="2158"/>
  <c r="D26" i="2158"/>
  <c r="R25" i="2158"/>
  <c r="L25" i="2158"/>
  <c r="D25" i="2158"/>
  <c r="R24" i="2158"/>
  <c r="D24" i="2158"/>
  <c r="R23" i="2158"/>
  <c r="L23" i="2158"/>
  <c r="D23" i="2158"/>
  <c r="R22" i="2158"/>
  <c r="L22" i="2158"/>
  <c r="D22" i="2158"/>
  <c r="R21" i="2158"/>
  <c r="D21" i="2158"/>
  <c r="R20" i="2158"/>
  <c r="L20" i="2158"/>
  <c r="D20" i="2158"/>
  <c r="R19" i="2158"/>
  <c r="R18" i="2158"/>
  <c r="D18" i="2158"/>
  <c r="R17" i="2158"/>
  <c r="D17" i="2158"/>
  <c r="R16" i="2158"/>
  <c r="S15" i="2158"/>
  <c r="R15" i="2158"/>
  <c r="D15" i="2158"/>
  <c r="S14" i="2158"/>
  <c r="R14" i="2158"/>
  <c r="D14" i="2158"/>
  <c r="R13" i="2158"/>
  <c r="D13" i="2158"/>
  <c r="R12" i="2158"/>
  <c r="R11" i="2158"/>
  <c r="L11" i="2158"/>
  <c r="D11" i="2158"/>
  <c r="L9" i="2158"/>
  <c r="D9" i="2158" s="1"/>
  <c r="L8" i="2158"/>
  <c r="D8" i="2158"/>
  <c r="L7" i="2158"/>
  <c r="D7" i="2158"/>
  <c r="R6" i="2158"/>
  <c r="R5" i="2158"/>
  <c r="R4" i="2158"/>
  <c r="G49" i="2165" l="1"/>
  <c r="G49" i="2164"/>
  <c r="G49" i="2163"/>
  <c r="D54" i="2165"/>
  <c r="H14" i="2165" s="1"/>
  <c r="D29" i="2165"/>
  <c r="H13" i="2165" s="1"/>
  <c r="D54" i="2164"/>
  <c r="H14" i="2164" s="1"/>
  <c r="D54" i="2163"/>
  <c r="H14" i="2163" s="1"/>
  <c r="G49" i="2161"/>
  <c r="G49" i="2160"/>
  <c r="G49" i="2159"/>
  <c r="D54" i="2161"/>
  <c r="H14" i="2161" s="1"/>
  <c r="D54" i="2160"/>
  <c r="H14" i="2160" s="1"/>
  <c r="D54" i="2159"/>
  <c r="H14" i="2159" s="1"/>
  <c r="D29" i="2169"/>
  <c r="H13" i="2169" s="1"/>
  <c r="H15" i="2169" s="1"/>
  <c r="H29" i="2169" s="1"/>
  <c r="G51" i="2169" s="1"/>
  <c r="D29" i="2168"/>
  <c r="H13" i="2168" s="1"/>
  <c r="H15" i="2168" s="1"/>
  <c r="H29" i="2168" s="1"/>
  <c r="G51" i="2168" s="1"/>
  <c r="D29" i="2167"/>
  <c r="H13" i="2167" s="1"/>
  <c r="H15" i="2167" s="1"/>
  <c r="H29" i="2167" s="1"/>
  <c r="G51" i="2167" s="1"/>
  <c r="D29" i="2166"/>
  <c r="H13" i="2166" s="1"/>
  <c r="H15" i="2166" s="1"/>
  <c r="H29" i="2166" s="1"/>
  <c r="G51" i="2166" s="1"/>
  <c r="D29" i="2164"/>
  <c r="H13" i="2164" s="1"/>
  <c r="D29" i="2163"/>
  <c r="H13" i="2163" s="1"/>
  <c r="D29" i="2162"/>
  <c r="H13" i="2162" s="1"/>
  <c r="H15" i="2162" s="1"/>
  <c r="H29" i="2162" s="1"/>
  <c r="G51" i="2162"/>
  <c r="D29" i="2161"/>
  <c r="H13" i="2161" s="1"/>
  <c r="D29" i="2160"/>
  <c r="H13" i="2160" s="1"/>
  <c r="D29" i="2159"/>
  <c r="H13" i="2159" s="1"/>
  <c r="G51" i="2158"/>
  <c r="R52" i="2157"/>
  <c r="R51" i="2157"/>
  <c r="D50" i="2157"/>
  <c r="R49" i="2157"/>
  <c r="D49" i="2157"/>
  <c r="R48" i="2157"/>
  <c r="D48" i="2157"/>
  <c r="D46" i="2157"/>
  <c r="D45" i="2157"/>
  <c r="R44" i="2157"/>
  <c r="D44" i="2157"/>
  <c r="R42" i="2157"/>
  <c r="D42" i="2157"/>
  <c r="R41" i="2157"/>
  <c r="L7" i="2157" s="1"/>
  <c r="D7" i="2157" s="1"/>
  <c r="D41" i="2157"/>
  <c r="R40" i="2157"/>
  <c r="D40" i="2157"/>
  <c r="R39" i="2157"/>
  <c r="H39" i="2157"/>
  <c r="D39" i="2157"/>
  <c r="R38" i="2157"/>
  <c r="L9" i="2157" s="1"/>
  <c r="D9" i="2157" s="1"/>
  <c r="H38" i="2157"/>
  <c r="D38" i="2157"/>
  <c r="R37" i="2157"/>
  <c r="H37" i="2157"/>
  <c r="D37" i="2157"/>
  <c r="R36" i="2157"/>
  <c r="L10" i="2157" s="1"/>
  <c r="D10" i="2157" s="1"/>
  <c r="H36" i="2157"/>
  <c r="D36" i="2157"/>
  <c r="D54" i="2157" s="1"/>
  <c r="H14" i="2157" s="1"/>
  <c r="R35" i="2157"/>
  <c r="L18" i="2157" s="1"/>
  <c r="D18" i="2157" s="1"/>
  <c r="H35" i="2157"/>
  <c r="D35" i="2157"/>
  <c r="R34" i="2157"/>
  <c r="H34" i="2157"/>
  <c r="G49" i="2157" s="1"/>
  <c r="D34" i="2157"/>
  <c r="R33" i="2157"/>
  <c r="L19" i="2157" s="1"/>
  <c r="D19" i="2157" s="1"/>
  <c r="R32" i="2157"/>
  <c r="L11" i="2157" s="1"/>
  <c r="D11" i="2157" s="1"/>
  <c r="R31" i="2157"/>
  <c r="R30" i="2157"/>
  <c r="R29" i="2157"/>
  <c r="R28" i="2157"/>
  <c r="L28" i="2157"/>
  <c r="D28" i="2157"/>
  <c r="R27" i="2157"/>
  <c r="L27" i="2157"/>
  <c r="D27" i="2157"/>
  <c r="R26" i="2157"/>
  <c r="L26" i="2157"/>
  <c r="D26" i="2157" s="1"/>
  <c r="R25" i="2157"/>
  <c r="L25" i="2157"/>
  <c r="D25" i="2157"/>
  <c r="R24" i="2157"/>
  <c r="L24" i="2157"/>
  <c r="D24" i="2157" s="1"/>
  <c r="R23" i="2157"/>
  <c r="L23" i="2157"/>
  <c r="D23" i="2157" s="1"/>
  <c r="R22" i="2157"/>
  <c r="L20" i="2157" s="1"/>
  <c r="D20" i="2157" s="1"/>
  <c r="L22" i="2157"/>
  <c r="D22" i="2157" s="1"/>
  <c r="R21" i="2157"/>
  <c r="L21" i="2157"/>
  <c r="D21" i="2157"/>
  <c r="R20" i="2157"/>
  <c r="R19" i="2157"/>
  <c r="R18" i="2157"/>
  <c r="R17" i="2157"/>
  <c r="L17" i="2157"/>
  <c r="D17" i="2157" s="1"/>
  <c r="R16" i="2157"/>
  <c r="R15" i="2157"/>
  <c r="R14" i="2157"/>
  <c r="D14" i="2157"/>
  <c r="R13" i="2157"/>
  <c r="D13" i="2157"/>
  <c r="R12" i="2157"/>
  <c r="L12" i="2157"/>
  <c r="D12" i="2157" s="1"/>
  <c r="R11" i="2157"/>
  <c r="L8" i="2157"/>
  <c r="D8" i="2157" s="1"/>
  <c r="R6" i="2157"/>
  <c r="L16" i="2157" s="1"/>
  <c r="D16" i="2157" s="1"/>
  <c r="L6" i="2157"/>
  <c r="D6" i="2157"/>
  <c r="R5" i="2157"/>
  <c r="R4" i="2157"/>
  <c r="L15" i="2157" s="1"/>
  <c r="D15" i="2157" s="1"/>
  <c r="D54" i="2156"/>
  <c r="H14" i="2156" s="1"/>
  <c r="R52" i="2156"/>
  <c r="R51" i="2156"/>
  <c r="D50" i="2156"/>
  <c r="R49" i="2156"/>
  <c r="G49" i="2156"/>
  <c r="D49" i="2156"/>
  <c r="R48" i="2156"/>
  <c r="D48" i="2156"/>
  <c r="D46" i="2156"/>
  <c r="D45" i="2156"/>
  <c r="D44" i="2156"/>
  <c r="R42" i="2156"/>
  <c r="L6" i="2156" s="1"/>
  <c r="D6" i="2156" s="1"/>
  <c r="D42" i="2156"/>
  <c r="R41" i="2156"/>
  <c r="L7" i="2156" s="1"/>
  <c r="D7" i="2156" s="1"/>
  <c r="D41" i="2156"/>
  <c r="R40" i="2156"/>
  <c r="D40" i="2156"/>
  <c r="R39" i="2156"/>
  <c r="D39" i="2156"/>
  <c r="R38" i="2156"/>
  <c r="D38" i="2156"/>
  <c r="R37" i="2156"/>
  <c r="D37" i="2156"/>
  <c r="R36" i="2156"/>
  <c r="L10" i="2156" s="1"/>
  <c r="D10" i="2156" s="1"/>
  <c r="D36" i="2156"/>
  <c r="R35" i="2156"/>
  <c r="D35" i="2156"/>
  <c r="R34" i="2156"/>
  <c r="L12" i="2156" s="1"/>
  <c r="D12" i="2156" s="1"/>
  <c r="D34" i="2156"/>
  <c r="R33" i="2156"/>
  <c r="L23" i="2156" s="1"/>
  <c r="D23" i="2156" s="1"/>
  <c r="R32" i="2156"/>
  <c r="L11" i="2156" s="1"/>
  <c r="D11" i="2156" s="1"/>
  <c r="R31" i="2156"/>
  <c r="R30" i="2156"/>
  <c r="R29" i="2156"/>
  <c r="R28" i="2156"/>
  <c r="D28" i="2156"/>
  <c r="R27" i="2156"/>
  <c r="D27" i="2156"/>
  <c r="R26" i="2156"/>
  <c r="L26" i="2156"/>
  <c r="D26" i="2156"/>
  <c r="R25" i="2156"/>
  <c r="L25" i="2156"/>
  <c r="D25" i="2156"/>
  <c r="R24" i="2156"/>
  <c r="D24" i="2156"/>
  <c r="R23" i="2156"/>
  <c r="R22" i="2156"/>
  <c r="L22" i="2156"/>
  <c r="D22" i="2156"/>
  <c r="R21" i="2156"/>
  <c r="D21" i="2156"/>
  <c r="R20" i="2156"/>
  <c r="L20" i="2156"/>
  <c r="D20" i="2156"/>
  <c r="R19" i="2156"/>
  <c r="L19" i="2156"/>
  <c r="D19" i="2156"/>
  <c r="R18" i="2156"/>
  <c r="D18" i="2156"/>
  <c r="R17" i="2156"/>
  <c r="D17" i="2156"/>
  <c r="R16" i="2156"/>
  <c r="L16" i="2156"/>
  <c r="D16" i="2156" s="1"/>
  <c r="S15" i="2156"/>
  <c r="R15" i="2156"/>
  <c r="D15" i="2156"/>
  <c r="S14" i="2156"/>
  <c r="R14" i="2156"/>
  <c r="D14" i="2156"/>
  <c r="R13" i="2156"/>
  <c r="D13" i="2156"/>
  <c r="R12" i="2156"/>
  <c r="R11" i="2156"/>
  <c r="L9" i="2156"/>
  <c r="D9" i="2156"/>
  <c r="L8" i="2156"/>
  <c r="D8" i="2156"/>
  <c r="R6" i="2156"/>
  <c r="R5" i="2156"/>
  <c r="R4" i="2156"/>
  <c r="H15" i="2165" l="1"/>
  <c r="H29" i="2165" s="1"/>
  <c r="G51" i="2165" s="1"/>
  <c r="H15" i="2164"/>
  <c r="H29" i="2164" s="1"/>
  <c r="G51" i="2164" s="1"/>
  <c r="H15" i="2163"/>
  <c r="H29" i="2163" s="1"/>
  <c r="G51" i="2163" s="1"/>
  <c r="H15" i="2161"/>
  <c r="H29" i="2161" s="1"/>
  <c r="G51" i="2161" s="1"/>
  <c r="H15" i="2160"/>
  <c r="H29" i="2160" s="1"/>
  <c r="G51" i="2160" s="1"/>
  <c r="H15" i="2159"/>
  <c r="H29" i="2159" s="1"/>
  <c r="G51" i="2159" s="1"/>
  <c r="D29" i="2157"/>
  <c r="H13" i="2157" s="1"/>
  <c r="H15" i="2157" s="1"/>
  <c r="H29" i="2157" s="1"/>
  <c r="G51" i="2157" s="1"/>
  <c r="D29" i="2156"/>
  <c r="H13" i="2156" s="1"/>
  <c r="H15" i="2156" s="1"/>
  <c r="H29" i="2156" s="1"/>
  <c r="G51" i="2156" s="1"/>
  <c r="C15" i="2145"/>
  <c r="C16" i="2139" l="1"/>
  <c r="C16" i="2137"/>
  <c r="C12" i="2131" l="1"/>
  <c r="C16" i="2130"/>
  <c r="C12" i="2129"/>
  <c r="C16" i="2129"/>
  <c r="C12" i="2122" l="1"/>
  <c r="C16" i="2117" l="1"/>
  <c r="C16" i="2118" l="1"/>
  <c r="H16" i="2118"/>
  <c r="L27" i="2118" l="1"/>
  <c r="C16" i="2112" l="1"/>
  <c r="L25" i="2110" l="1"/>
  <c r="C17" i="2110" l="1"/>
  <c r="L21" i="2110"/>
  <c r="C18" i="2110"/>
  <c r="C12" i="2110"/>
  <c r="L26" i="2110"/>
  <c r="C16" i="2110"/>
  <c r="C15" i="2110"/>
  <c r="L24" i="2110" l="1"/>
  <c r="H16" i="2089" l="1"/>
  <c r="L23" i="2087"/>
  <c r="L21" i="2087"/>
  <c r="R52" i="2155" l="1"/>
  <c r="R51" i="2155"/>
  <c r="D50" i="2155"/>
  <c r="R49" i="2155"/>
  <c r="D49" i="2155"/>
  <c r="R48" i="2155"/>
  <c r="D48" i="2155"/>
  <c r="D46" i="2155"/>
  <c r="D45" i="2155"/>
  <c r="R44" i="2155"/>
  <c r="L28" i="2155" s="1"/>
  <c r="D28" i="2155" s="1"/>
  <c r="D44" i="2155"/>
  <c r="R42" i="2155"/>
  <c r="D42" i="2155"/>
  <c r="R41" i="2155"/>
  <c r="L7" i="2155" s="1"/>
  <c r="D7" i="2155" s="1"/>
  <c r="D41" i="2155"/>
  <c r="R40" i="2155"/>
  <c r="D40" i="2155"/>
  <c r="R39" i="2155"/>
  <c r="H39" i="2155"/>
  <c r="D39" i="2155"/>
  <c r="R38" i="2155"/>
  <c r="H38" i="2155"/>
  <c r="D38" i="2155"/>
  <c r="R37" i="2155"/>
  <c r="H37" i="2155"/>
  <c r="D37" i="2155"/>
  <c r="R36" i="2155"/>
  <c r="H36" i="2155"/>
  <c r="D36" i="2155"/>
  <c r="R35" i="2155"/>
  <c r="H35" i="2155"/>
  <c r="D35" i="2155"/>
  <c r="R34" i="2155"/>
  <c r="L12" i="2155" s="1"/>
  <c r="D12" i="2155" s="1"/>
  <c r="H34" i="2155"/>
  <c r="D34" i="2155"/>
  <c r="R33" i="2155"/>
  <c r="L19" i="2155" s="1"/>
  <c r="D19" i="2155" s="1"/>
  <c r="R32" i="2155"/>
  <c r="L11" i="2155" s="1"/>
  <c r="D11" i="2155" s="1"/>
  <c r="R31" i="2155"/>
  <c r="R30" i="2155"/>
  <c r="R29" i="2155"/>
  <c r="R28" i="2155"/>
  <c r="R27" i="2155"/>
  <c r="L27" i="2155"/>
  <c r="D27" i="2155"/>
  <c r="R26" i="2155"/>
  <c r="L26" i="2155"/>
  <c r="D26" i="2155"/>
  <c r="R25" i="2155"/>
  <c r="L25" i="2155"/>
  <c r="D25" i="2155" s="1"/>
  <c r="R24" i="2155"/>
  <c r="L24" i="2155"/>
  <c r="D24" i="2155"/>
  <c r="R23" i="2155"/>
  <c r="L23" i="2155"/>
  <c r="D23" i="2155" s="1"/>
  <c r="R22" i="2155"/>
  <c r="L22" i="2155"/>
  <c r="D22" i="2155" s="1"/>
  <c r="R21" i="2155"/>
  <c r="L21" i="2155"/>
  <c r="D21" i="2155" s="1"/>
  <c r="R20" i="2155"/>
  <c r="L20" i="2155"/>
  <c r="D20" i="2155" s="1"/>
  <c r="R19" i="2155"/>
  <c r="R18" i="2155"/>
  <c r="L18" i="2155"/>
  <c r="D18" i="2155" s="1"/>
  <c r="R17" i="2155"/>
  <c r="L17" i="2155"/>
  <c r="D17" i="2155" s="1"/>
  <c r="R16" i="2155"/>
  <c r="R15" i="2155"/>
  <c r="L15" i="2155"/>
  <c r="D15" i="2155" s="1"/>
  <c r="R14" i="2155"/>
  <c r="D14" i="2155"/>
  <c r="R13" i="2155"/>
  <c r="D13" i="2155"/>
  <c r="R12" i="2155"/>
  <c r="R11" i="2155"/>
  <c r="L10" i="2155"/>
  <c r="D10" i="2155"/>
  <c r="L9" i="2155"/>
  <c r="D9" i="2155" s="1"/>
  <c r="L8" i="2155"/>
  <c r="D8" i="2155" s="1"/>
  <c r="R6" i="2155"/>
  <c r="L16" i="2155" s="1"/>
  <c r="D16" i="2155" s="1"/>
  <c r="L6" i="2155"/>
  <c r="D6" i="2155" s="1"/>
  <c r="R5" i="2155"/>
  <c r="R4" i="2155"/>
  <c r="R52" i="2154"/>
  <c r="R51" i="2154"/>
  <c r="D50" i="2154"/>
  <c r="R49" i="2154"/>
  <c r="D49" i="2154"/>
  <c r="R48" i="2154"/>
  <c r="D48" i="2154"/>
  <c r="D46" i="2154"/>
  <c r="D45" i="2154"/>
  <c r="R44" i="2154"/>
  <c r="D44" i="2154"/>
  <c r="R42" i="2154"/>
  <c r="L6" i="2154" s="1"/>
  <c r="D6" i="2154" s="1"/>
  <c r="D42" i="2154"/>
  <c r="R41" i="2154"/>
  <c r="L7" i="2154" s="1"/>
  <c r="D7" i="2154" s="1"/>
  <c r="D41" i="2154"/>
  <c r="R40" i="2154"/>
  <c r="D40" i="2154"/>
  <c r="R39" i="2154"/>
  <c r="H39" i="2154"/>
  <c r="D39" i="2154"/>
  <c r="R38" i="2154"/>
  <c r="L9" i="2154" s="1"/>
  <c r="D9" i="2154" s="1"/>
  <c r="H38" i="2154"/>
  <c r="D38" i="2154"/>
  <c r="R37" i="2154"/>
  <c r="H37" i="2154"/>
  <c r="D37" i="2154"/>
  <c r="R36" i="2154"/>
  <c r="L10" i="2154" s="1"/>
  <c r="D10" i="2154" s="1"/>
  <c r="H36" i="2154"/>
  <c r="D36" i="2154"/>
  <c r="R35" i="2154"/>
  <c r="L18" i="2154" s="1"/>
  <c r="D18" i="2154" s="1"/>
  <c r="H35" i="2154"/>
  <c r="D35" i="2154"/>
  <c r="R34" i="2154"/>
  <c r="H34" i="2154"/>
  <c r="D34" i="2154"/>
  <c r="R33" i="2154"/>
  <c r="L19" i="2154" s="1"/>
  <c r="D19" i="2154" s="1"/>
  <c r="R32" i="2154"/>
  <c r="R31" i="2154"/>
  <c r="R30" i="2154"/>
  <c r="R29" i="2154"/>
  <c r="R28" i="2154"/>
  <c r="L28" i="2154"/>
  <c r="D28" i="2154"/>
  <c r="R27" i="2154"/>
  <c r="L27" i="2154"/>
  <c r="D27" i="2154" s="1"/>
  <c r="R26" i="2154"/>
  <c r="L26" i="2154"/>
  <c r="D26" i="2154"/>
  <c r="R25" i="2154"/>
  <c r="L25" i="2154"/>
  <c r="D25" i="2154" s="1"/>
  <c r="R24" i="2154"/>
  <c r="L24" i="2154"/>
  <c r="D24" i="2154"/>
  <c r="R23" i="2154"/>
  <c r="L23" i="2154"/>
  <c r="D23" i="2154"/>
  <c r="R22" i="2154"/>
  <c r="L22" i="2154"/>
  <c r="D22" i="2154"/>
  <c r="R21" i="2154"/>
  <c r="L17" i="2154" s="1"/>
  <c r="D17" i="2154" s="1"/>
  <c r="D21" i="2154"/>
  <c r="R20" i="2154"/>
  <c r="L20" i="2154"/>
  <c r="D20" i="2154"/>
  <c r="R19" i="2154"/>
  <c r="R18" i="2154"/>
  <c r="R17" i="2154"/>
  <c r="R16" i="2154"/>
  <c r="L16" i="2154"/>
  <c r="D16" i="2154" s="1"/>
  <c r="R15" i="2154"/>
  <c r="R14" i="2154"/>
  <c r="D14" i="2154"/>
  <c r="R13" i="2154"/>
  <c r="D13" i="2154"/>
  <c r="R12" i="2154"/>
  <c r="L12" i="2154"/>
  <c r="D12" i="2154"/>
  <c r="R11" i="2154"/>
  <c r="L11" i="2154"/>
  <c r="D11" i="2154" s="1"/>
  <c r="L8" i="2154"/>
  <c r="D8" i="2154" s="1"/>
  <c r="R6" i="2154"/>
  <c r="R5" i="2154"/>
  <c r="R4" i="2154"/>
  <c r="L15" i="2154" s="1"/>
  <c r="D15" i="2154" s="1"/>
  <c r="R52" i="2153"/>
  <c r="R51" i="2153"/>
  <c r="D50" i="2153"/>
  <c r="R49" i="2153"/>
  <c r="D49" i="2153"/>
  <c r="R48" i="2153"/>
  <c r="D48" i="2153"/>
  <c r="D46" i="2153"/>
  <c r="D45" i="2153"/>
  <c r="R44" i="2153"/>
  <c r="D44" i="2153"/>
  <c r="R42" i="2153"/>
  <c r="L6" i="2153" s="1"/>
  <c r="D6" i="2153" s="1"/>
  <c r="D42" i="2153"/>
  <c r="R41" i="2153"/>
  <c r="L7" i="2153" s="1"/>
  <c r="D7" i="2153" s="1"/>
  <c r="D41" i="2153"/>
  <c r="R40" i="2153"/>
  <c r="L8" i="2153" s="1"/>
  <c r="D8" i="2153" s="1"/>
  <c r="D40" i="2153"/>
  <c r="R39" i="2153"/>
  <c r="H39" i="2153"/>
  <c r="D39" i="2153"/>
  <c r="R38" i="2153"/>
  <c r="H38" i="2153"/>
  <c r="D38" i="2153"/>
  <c r="R37" i="2153"/>
  <c r="H37" i="2153"/>
  <c r="D37" i="2153"/>
  <c r="R36" i="2153"/>
  <c r="L10" i="2153" s="1"/>
  <c r="D10" i="2153" s="1"/>
  <c r="H36" i="2153"/>
  <c r="D36" i="2153"/>
  <c r="R35" i="2153"/>
  <c r="L18" i="2153" s="1"/>
  <c r="D18" i="2153" s="1"/>
  <c r="H35" i="2153"/>
  <c r="D35" i="2153"/>
  <c r="R34" i="2153"/>
  <c r="H34" i="2153"/>
  <c r="D34" i="2153"/>
  <c r="R33" i="2153"/>
  <c r="R32" i="2153"/>
  <c r="R31" i="2153"/>
  <c r="R30" i="2153"/>
  <c r="R29" i="2153"/>
  <c r="R28" i="2153"/>
  <c r="L28" i="2153"/>
  <c r="D28" i="2153"/>
  <c r="R27" i="2153"/>
  <c r="L27" i="2153"/>
  <c r="D27" i="2153"/>
  <c r="R26" i="2153"/>
  <c r="L26" i="2153"/>
  <c r="D26" i="2153"/>
  <c r="R25" i="2153"/>
  <c r="L25" i="2153"/>
  <c r="D25" i="2153"/>
  <c r="R24" i="2153"/>
  <c r="L24" i="2153"/>
  <c r="D24" i="2153"/>
  <c r="R23" i="2153"/>
  <c r="L23" i="2153"/>
  <c r="D23" i="2153"/>
  <c r="R22" i="2153"/>
  <c r="L20" i="2153" s="1"/>
  <c r="D20" i="2153" s="1"/>
  <c r="L22" i="2153"/>
  <c r="D22" i="2153" s="1"/>
  <c r="R21" i="2153"/>
  <c r="L21" i="2153"/>
  <c r="D21" i="2153" s="1"/>
  <c r="R20" i="2153"/>
  <c r="R19" i="2153"/>
  <c r="L19" i="2153"/>
  <c r="D19" i="2153" s="1"/>
  <c r="R18" i="2153"/>
  <c r="R17" i="2153"/>
  <c r="L17" i="2153"/>
  <c r="D17" i="2153" s="1"/>
  <c r="R16" i="2153"/>
  <c r="L16" i="2153"/>
  <c r="D16" i="2153" s="1"/>
  <c r="R15" i="2153"/>
  <c r="R14" i="2153"/>
  <c r="D14" i="2153"/>
  <c r="R13" i="2153"/>
  <c r="D13" i="2153"/>
  <c r="R12" i="2153"/>
  <c r="L12" i="2153"/>
  <c r="D12" i="2153"/>
  <c r="R11" i="2153"/>
  <c r="L11" i="2153"/>
  <c r="D11" i="2153" s="1"/>
  <c r="L9" i="2153"/>
  <c r="D9" i="2153" s="1"/>
  <c r="R6" i="2153"/>
  <c r="R5" i="2153"/>
  <c r="R4" i="2153"/>
  <c r="L15" i="2153" s="1"/>
  <c r="D15" i="2153" s="1"/>
  <c r="R52" i="2152"/>
  <c r="R51" i="2152"/>
  <c r="D50" i="2152"/>
  <c r="R49" i="2152"/>
  <c r="G49" i="2152"/>
  <c r="D49" i="2152"/>
  <c r="R48" i="2152"/>
  <c r="D48" i="2152"/>
  <c r="D46" i="2152"/>
  <c r="D45" i="2152"/>
  <c r="D44" i="2152"/>
  <c r="R42" i="2152"/>
  <c r="D42" i="2152"/>
  <c r="R41" i="2152"/>
  <c r="D41" i="2152"/>
  <c r="R40" i="2152"/>
  <c r="D40" i="2152"/>
  <c r="R39" i="2152"/>
  <c r="D39" i="2152"/>
  <c r="R38" i="2152"/>
  <c r="L9" i="2152" s="1"/>
  <c r="D9" i="2152" s="1"/>
  <c r="D38" i="2152"/>
  <c r="R37" i="2152"/>
  <c r="D37" i="2152"/>
  <c r="R36" i="2152"/>
  <c r="L10" i="2152" s="1"/>
  <c r="D10" i="2152" s="1"/>
  <c r="D36" i="2152"/>
  <c r="R35" i="2152"/>
  <c r="D35" i="2152"/>
  <c r="R34" i="2152"/>
  <c r="D34" i="2152"/>
  <c r="D54" i="2152" s="1"/>
  <c r="H14" i="2152" s="1"/>
  <c r="R33" i="2152"/>
  <c r="L23" i="2152" s="1"/>
  <c r="D23" i="2152" s="1"/>
  <c r="R32" i="2152"/>
  <c r="R31" i="2152"/>
  <c r="R30" i="2152"/>
  <c r="R29" i="2152"/>
  <c r="R28" i="2152"/>
  <c r="L16" i="2152" s="1"/>
  <c r="D16" i="2152" s="1"/>
  <c r="D28" i="2152"/>
  <c r="R27" i="2152"/>
  <c r="D27" i="2152"/>
  <c r="R26" i="2152"/>
  <c r="L26" i="2152"/>
  <c r="D26" i="2152"/>
  <c r="R25" i="2152"/>
  <c r="L25" i="2152"/>
  <c r="D25" i="2152" s="1"/>
  <c r="R24" i="2152"/>
  <c r="D24" i="2152"/>
  <c r="R23" i="2152"/>
  <c r="R22" i="2152"/>
  <c r="L22" i="2152"/>
  <c r="D22" i="2152" s="1"/>
  <c r="R21" i="2152"/>
  <c r="D21" i="2152"/>
  <c r="R20" i="2152"/>
  <c r="L20" i="2152"/>
  <c r="D20" i="2152"/>
  <c r="R19" i="2152"/>
  <c r="L19" i="2152"/>
  <c r="D19" i="2152" s="1"/>
  <c r="R18" i="2152"/>
  <c r="D18" i="2152"/>
  <c r="R17" i="2152"/>
  <c r="D17" i="2152"/>
  <c r="R16" i="2152"/>
  <c r="S15" i="2152"/>
  <c r="R15" i="2152"/>
  <c r="D15" i="2152"/>
  <c r="S14" i="2152"/>
  <c r="R14" i="2152"/>
  <c r="D14" i="2152"/>
  <c r="R13" i="2152"/>
  <c r="D13" i="2152"/>
  <c r="R12" i="2152"/>
  <c r="L12" i="2152"/>
  <c r="D12" i="2152"/>
  <c r="R11" i="2152"/>
  <c r="L11" i="2152"/>
  <c r="D11" i="2152" s="1"/>
  <c r="L8" i="2152"/>
  <c r="D8" i="2152" s="1"/>
  <c r="L7" i="2152"/>
  <c r="D7" i="2152" s="1"/>
  <c r="R6" i="2152"/>
  <c r="L6" i="2152"/>
  <c r="D6" i="2152" s="1"/>
  <c r="D29" i="2152" s="1"/>
  <c r="H13" i="2152" s="1"/>
  <c r="H15" i="2152" s="1"/>
  <c r="H29" i="2152" s="1"/>
  <c r="R5" i="2152"/>
  <c r="R4" i="2152"/>
  <c r="R52" i="2151"/>
  <c r="R51" i="2151"/>
  <c r="D50" i="2151"/>
  <c r="R49" i="2151"/>
  <c r="D49" i="2151"/>
  <c r="R48" i="2151"/>
  <c r="D48" i="2151"/>
  <c r="D46" i="2151"/>
  <c r="D45" i="2151"/>
  <c r="R44" i="2151"/>
  <c r="D44" i="2151"/>
  <c r="R42" i="2151"/>
  <c r="D42" i="2151"/>
  <c r="R41" i="2151"/>
  <c r="D41" i="2151"/>
  <c r="R40" i="2151"/>
  <c r="D40" i="2151"/>
  <c r="R39" i="2151"/>
  <c r="H39" i="2151"/>
  <c r="D39" i="2151"/>
  <c r="R38" i="2151"/>
  <c r="H38" i="2151"/>
  <c r="D38" i="2151"/>
  <c r="R37" i="2151"/>
  <c r="H37" i="2151"/>
  <c r="D37" i="2151"/>
  <c r="R36" i="2151"/>
  <c r="L10" i="2151" s="1"/>
  <c r="D10" i="2151" s="1"/>
  <c r="H36" i="2151"/>
  <c r="D36" i="2151"/>
  <c r="R35" i="2151"/>
  <c r="L18" i="2151" s="1"/>
  <c r="D18" i="2151" s="1"/>
  <c r="H35" i="2151"/>
  <c r="D35" i="2151"/>
  <c r="R34" i="2151"/>
  <c r="H34" i="2151"/>
  <c r="D34" i="2151"/>
  <c r="R33" i="2151"/>
  <c r="L19" i="2151" s="1"/>
  <c r="D19" i="2151" s="1"/>
  <c r="R32" i="2151"/>
  <c r="L11" i="2151" s="1"/>
  <c r="D11" i="2151" s="1"/>
  <c r="R31" i="2151"/>
  <c r="R30" i="2151"/>
  <c r="R29" i="2151"/>
  <c r="R28" i="2151"/>
  <c r="L28" i="2151"/>
  <c r="D28" i="2151"/>
  <c r="R27" i="2151"/>
  <c r="L27" i="2151"/>
  <c r="D27" i="2151"/>
  <c r="R26" i="2151"/>
  <c r="L26" i="2151"/>
  <c r="D26" i="2151"/>
  <c r="R25" i="2151"/>
  <c r="L25" i="2151"/>
  <c r="D25" i="2151" s="1"/>
  <c r="R24" i="2151"/>
  <c r="L24" i="2151"/>
  <c r="D24" i="2151" s="1"/>
  <c r="R23" i="2151"/>
  <c r="L23" i="2151"/>
  <c r="D23" i="2151" s="1"/>
  <c r="R22" i="2151"/>
  <c r="L22" i="2151"/>
  <c r="D22" i="2151" s="1"/>
  <c r="R21" i="2151"/>
  <c r="L21" i="2151"/>
  <c r="D21" i="2151"/>
  <c r="R20" i="2151"/>
  <c r="L20" i="2151"/>
  <c r="D20" i="2151" s="1"/>
  <c r="R19" i="2151"/>
  <c r="R18" i="2151"/>
  <c r="R17" i="2151"/>
  <c r="L17" i="2151"/>
  <c r="D17" i="2151" s="1"/>
  <c r="R16" i="2151"/>
  <c r="L16" i="2151"/>
  <c r="D16" i="2151" s="1"/>
  <c r="R15" i="2151"/>
  <c r="L15" i="2151"/>
  <c r="D15" i="2151"/>
  <c r="R14" i="2151"/>
  <c r="D14" i="2151"/>
  <c r="R13" i="2151"/>
  <c r="D13" i="2151"/>
  <c r="R12" i="2151"/>
  <c r="L12" i="2151"/>
  <c r="D12" i="2151" s="1"/>
  <c r="R11" i="2151"/>
  <c r="L9" i="2151"/>
  <c r="D9" i="2151" s="1"/>
  <c r="L8" i="2151"/>
  <c r="D8" i="2151" s="1"/>
  <c r="L7" i="2151"/>
  <c r="D7" i="2151" s="1"/>
  <c r="R6" i="2151"/>
  <c r="L6" i="2151"/>
  <c r="D6" i="2151" s="1"/>
  <c r="R5" i="2151"/>
  <c r="R4" i="2151"/>
  <c r="R52" i="2150"/>
  <c r="R51" i="2150"/>
  <c r="D50" i="2150"/>
  <c r="R49" i="2150"/>
  <c r="D49" i="2150"/>
  <c r="R48" i="2150"/>
  <c r="D48" i="2150"/>
  <c r="D46" i="2150"/>
  <c r="D45" i="2150"/>
  <c r="R44" i="2150"/>
  <c r="D44" i="2150"/>
  <c r="R42" i="2150"/>
  <c r="D42" i="2150"/>
  <c r="R41" i="2150"/>
  <c r="L7" i="2150" s="1"/>
  <c r="D7" i="2150" s="1"/>
  <c r="D41" i="2150"/>
  <c r="R40" i="2150"/>
  <c r="D40" i="2150"/>
  <c r="R39" i="2150"/>
  <c r="H39" i="2150"/>
  <c r="D39" i="2150"/>
  <c r="R38" i="2150"/>
  <c r="H38" i="2150"/>
  <c r="D38" i="2150"/>
  <c r="R37" i="2150"/>
  <c r="H37" i="2150"/>
  <c r="D37" i="2150"/>
  <c r="R36" i="2150"/>
  <c r="H36" i="2150"/>
  <c r="D36" i="2150"/>
  <c r="R35" i="2150"/>
  <c r="L18" i="2150" s="1"/>
  <c r="D18" i="2150" s="1"/>
  <c r="H35" i="2150"/>
  <c r="G49" i="2150" s="1"/>
  <c r="D35" i="2150"/>
  <c r="R34" i="2150"/>
  <c r="L12" i="2150" s="1"/>
  <c r="D12" i="2150" s="1"/>
  <c r="H34" i="2150"/>
  <c r="D34" i="2150"/>
  <c r="R33" i="2150"/>
  <c r="L19" i="2150" s="1"/>
  <c r="D19" i="2150" s="1"/>
  <c r="R32" i="2150"/>
  <c r="L11" i="2150" s="1"/>
  <c r="D11" i="2150" s="1"/>
  <c r="R31" i="2150"/>
  <c r="R30" i="2150"/>
  <c r="R29" i="2150"/>
  <c r="R28" i="2150"/>
  <c r="L28" i="2150"/>
  <c r="D28" i="2150"/>
  <c r="R27" i="2150"/>
  <c r="L27" i="2150"/>
  <c r="D27" i="2150"/>
  <c r="R26" i="2150"/>
  <c r="L26" i="2150"/>
  <c r="D26" i="2150"/>
  <c r="R25" i="2150"/>
  <c r="L25" i="2150"/>
  <c r="D25" i="2150" s="1"/>
  <c r="R24" i="2150"/>
  <c r="L24" i="2150"/>
  <c r="D24" i="2150"/>
  <c r="R23" i="2150"/>
  <c r="L23" i="2150"/>
  <c r="D23" i="2150" s="1"/>
  <c r="R22" i="2150"/>
  <c r="L22" i="2150"/>
  <c r="D22" i="2150" s="1"/>
  <c r="R21" i="2150"/>
  <c r="L17" i="2150" s="1"/>
  <c r="D17" i="2150" s="1"/>
  <c r="D21" i="2150"/>
  <c r="R20" i="2150"/>
  <c r="L20" i="2150"/>
  <c r="D20" i="2150"/>
  <c r="R19" i="2150"/>
  <c r="R18" i="2150"/>
  <c r="R17" i="2150"/>
  <c r="R16" i="2150"/>
  <c r="R15" i="2150"/>
  <c r="L15" i="2150"/>
  <c r="D15" i="2150"/>
  <c r="R14" i="2150"/>
  <c r="D14" i="2150"/>
  <c r="R13" i="2150"/>
  <c r="D13" i="2150"/>
  <c r="R12" i="2150"/>
  <c r="R11" i="2150"/>
  <c r="L10" i="2150"/>
  <c r="D10" i="2150"/>
  <c r="L9" i="2150"/>
  <c r="D9" i="2150"/>
  <c r="L8" i="2150"/>
  <c r="D8" i="2150" s="1"/>
  <c r="R6" i="2150"/>
  <c r="L16" i="2150" s="1"/>
  <c r="D16" i="2150" s="1"/>
  <c r="L6" i="2150"/>
  <c r="D6" i="2150"/>
  <c r="R5" i="2150"/>
  <c r="R4" i="2150"/>
  <c r="R52" i="2149"/>
  <c r="R51" i="2149"/>
  <c r="D50" i="2149"/>
  <c r="R49" i="2149"/>
  <c r="D49" i="2149"/>
  <c r="R48" i="2149"/>
  <c r="D48" i="2149"/>
  <c r="D46" i="2149"/>
  <c r="D45" i="2149"/>
  <c r="R44" i="2149"/>
  <c r="L28" i="2149" s="1"/>
  <c r="D28" i="2149" s="1"/>
  <c r="D44" i="2149"/>
  <c r="R42" i="2149"/>
  <c r="D42" i="2149"/>
  <c r="R41" i="2149"/>
  <c r="L7" i="2149" s="1"/>
  <c r="D7" i="2149" s="1"/>
  <c r="D41" i="2149"/>
  <c r="R40" i="2149"/>
  <c r="L8" i="2149" s="1"/>
  <c r="D8" i="2149" s="1"/>
  <c r="D40" i="2149"/>
  <c r="R39" i="2149"/>
  <c r="H39" i="2149"/>
  <c r="D39" i="2149"/>
  <c r="R38" i="2149"/>
  <c r="H38" i="2149"/>
  <c r="D38" i="2149"/>
  <c r="R37" i="2149"/>
  <c r="H37" i="2149"/>
  <c r="D37" i="2149"/>
  <c r="R36" i="2149"/>
  <c r="H36" i="2149"/>
  <c r="D36" i="2149"/>
  <c r="R35" i="2149"/>
  <c r="H35" i="2149"/>
  <c r="D35" i="2149"/>
  <c r="R34" i="2149"/>
  <c r="L12" i="2149" s="1"/>
  <c r="D12" i="2149" s="1"/>
  <c r="H34" i="2149"/>
  <c r="D34" i="2149"/>
  <c r="R33" i="2149"/>
  <c r="L19" i="2149" s="1"/>
  <c r="D19" i="2149" s="1"/>
  <c r="R32" i="2149"/>
  <c r="R31" i="2149"/>
  <c r="R30" i="2149"/>
  <c r="R29" i="2149"/>
  <c r="R28" i="2149"/>
  <c r="R27" i="2149"/>
  <c r="L27" i="2149"/>
  <c r="D27" i="2149"/>
  <c r="R26" i="2149"/>
  <c r="L26" i="2149"/>
  <c r="D26" i="2149"/>
  <c r="R25" i="2149"/>
  <c r="L25" i="2149"/>
  <c r="D25" i="2149" s="1"/>
  <c r="R24" i="2149"/>
  <c r="L24" i="2149"/>
  <c r="D24" i="2149"/>
  <c r="R23" i="2149"/>
  <c r="L23" i="2149"/>
  <c r="D23" i="2149"/>
  <c r="R22" i="2149"/>
  <c r="L22" i="2149"/>
  <c r="D22" i="2149"/>
  <c r="R21" i="2149"/>
  <c r="L17" i="2149" s="1"/>
  <c r="D17" i="2149" s="1"/>
  <c r="L21" i="2149"/>
  <c r="D21" i="2149" s="1"/>
  <c r="R20" i="2149"/>
  <c r="L20" i="2149"/>
  <c r="D20" i="2149" s="1"/>
  <c r="R19" i="2149"/>
  <c r="R18" i="2149"/>
  <c r="L18" i="2149"/>
  <c r="D18" i="2149" s="1"/>
  <c r="R17" i="2149"/>
  <c r="R16" i="2149"/>
  <c r="L16" i="2149"/>
  <c r="D16" i="2149" s="1"/>
  <c r="R15" i="2149"/>
  <c r="L15" i="2149"/>
  <c r="D15" i="2149" s="1"/>
  <c r="R14" i="2149"/>
  <c r="D14" i="2149"/>
  <c r="R13" i="2149"/>
  <c r="D13" i="2149"/>
  <c r="R12" i="2149"/>
  <c r="R11" i="2149"/>
  <c r="L11" i="2149"/>
  <c r="D11" i="2149" s="1"/>
  <c r="L10" i="2149"/>
  <c r="D10" i="2149"/>
  <c r="L9" i="2149"/>
  <c r="D9" i="2149" s="1"/>
  <c r="R6" i="2149"/>
  <c r="L6" i="2149"/>
  <c r="D6" i="2149" s="1"/>
  <c r="R5" i="2149"/>
  <c r="R4" i="2149"/>
  <c r="R52" i="2148"/>
  <c r="R51" i="2148"/>
  <c r="D50" i="2148"/>
  <c r="R49" i="2148"/>
  <c r="G49" i="2148"/>
  <c r="D49" i="2148"/>
  <c r="R48" i="2148"/>
  <c r="D48" i="2148"/>
  <c r="D46" i="2148"/>
  <c r="D45" i="2148"/>
  <c r="D44" i="2148"/>
  <c r="R42" i="2148"/>
  <c r="L6" i="2148" s="1"/>
  <c r="D6" i="2148" s="1"/>
  <c r="D42" i="2148"/>
  <c r="R41" i="2148"/>
  <c r="L7" i="2148" s="1"/>
  <c r="D7" i="2148" s="1"/>
  <c r="D41" i="2148"/>
  <c r="R40" i="2148"/>
  <c r="D40" i="2148"/>
  <c r="R39" i="2148"/>
  <c r="D39" i="2148"/>
  <c r="R38" i="2148"/>
  <c r="L9" i="2148" s="1"/>
  <c r="D9" i="2148" s="1"/>
  <c r="D38" i="2148"/>
  <c r="R37" i="2148"/>
  <c r="D37" i="2148"/>
  <c r="R36" i="2148"/>
  <c r="L10" i="2148" s="1"/>
  <c r="D10" i="2148" s="1"/>
  <c r="D36" i="2148"/>
  <c r="R35" i="2148"/>
  <c r="D35" i="2148"/>
  <c r="R34" i="2148"/>
  <c r="L12" i="2148" s="1"/>
  <c r="D12" i="2148" s="1"/>
  <c r="D34" i="2148"/>
  <c r="D54" i="2148" s="1"/>
  <c r="H14" i="2148" s="1"/>
  <c r="R33" i="2148"/>
  <c r="L23" i="2148" s="1"/>
  <c r="D23" i="2148" s="1"/>
  <c r="R32" i="2148"/>
  <c r="R31" i="2148"/>
  <c r="R30" i="2148"/>
  <c r="R29" i="2148"/>
  <c r="R28" i="2148"/>
  <c r="D28" i="2148"/>
  <c r="R27" i="2148"/>
  <c r="D27" i="2148"/>
  <c r="R26" i="2148"/>
  <c r="L26" i="2148"/>
  <c r="D26" i="2148"/>
  <c r="R25" i="2148"/>
  <c r="L25" i="2148"/>
  <c r="D25" i="2148"/>
  <c r="R24" i="2148"/>
  <c r="D24" i="2148"/>
  <c r="R23" i="2148"/>
  <c r="R22" i="2148"/>
  <c r="L22" i="2148"/>
  <c r="D22" i="2148"/>
  <c r="R21" i="2148"/>
  <c r="D21" i="2148"/>
  <c r="R20" i="2148"/>
  <c r="L20" i="2148"/>
  <c r="D20" i="2148"/>
  <c r="R19" i="2148"/>
  <c r="L19" i="2148"/>
  <c r="D19" i="2148"/>
  <c r="R18" i="2148"/>
  <c r="D18" i="2148"/>
  <c r="R17" i="2148"/>
  <c r="D17" i="2148"/>
  <c r="R16" i="2148"/>
  <c r="L16" i="2148"/>
  <c r="D16" i="2148" s="1"/>
  <c r="S15" i="2148"/>
  <c r="R15" i="2148"/>
  <c r="D15" i="2148"/>
  <c r="S14" i="2148"/>
  <c r="R14" i="2148"/>
  <c r="D14" i="2148"/>
  <c r="R13" i="2148"/>
  <c r="D13" i="2148"/>
  <c r="R12" i="2148"/>
  <c r="R11" i="2148"/>
  <c r="L11" i="2148"/>
  <c r="D11" i="2148"/>
  <c r="L8" i="2148"/>
  <c r="D8" i="2148"/>
  <c r="R6" i="2148"/>
  <c r="R5" i="2148"/>
  <c r="R4" i="2148"/>
  <c r="R52" i="2147"/>
  <c r="R51" i="2147"/>
  <c r="D50" i="2147"/>
  <c r="R49" i="2147"/>
  <c r="D49" i="2147"/>
  <c r="R48" i="2147"/>
  <c r="D48" i="2147"/>
  <c r="D46" i="2147"/>
  <c r="D45" i="2147"/>
  <c r="R44" i="2147"/>
  <c r="L28" i="2147" s="1"/>
  <c r="D28" i="2147" s="1"/>
  <c r="D44" i="2147"/>
  <c r="R42" i="2147"/>
  <c r="D42" i="2147"/>
  <c r="R41" i="2147"/>
  <c r="D41" i="2147"/>
  <c r="R40" i="2147"/>
  <c r="L8" i="2147" s="1"/>
  <c r="D8" i="2147" s="1"/>
  <c r="D40" i="2147"/>
  <c r="R39" i="2147"/>
  <c r="H39" i="2147"/>
  <c r="D39" i="2147"/>
  <c r="R38" i="2147"/>
  <c r="H38" i="2147"/>
  <c r="D38" i="2147"/>
  <c r="R37" i="2147"/>
  <c r="H37" i="2147"/>
  <c r="D37" i="2147"/>
  <c r="R36" i="2147"/>
  <c r="H36" i="2147"/>
  <c r="D36" i="2147"/>
  <c r="R35" i="2147"/>
  <c r="L18" i="2147" s="1"/>
  <c r="D18" i="2147" s="1"/>
  <c r="H35" i="2147"/>
  <c r="D35" i="2147"/>
  <c r="R34" i="2147"/>
  <c r="L12" i="2147" s="1"/>
  <c r="D12" i="2147" s="1"/>
  <c r="H34" i="2147"/>
  <c r="G49" i="2147" s="1"/>
  <c r="D34" i="2147"/>
  <c r="D54" i="2147" s="1"/>
  <c r="H14" i="2147" s="1"/>
  <c r="R33" i="2147"/>
  <c r="L19" i="2147" s="1"/>
  <c r="D19" i="2147" s="1"/>
  <c r="R32" i="2147"/>
  <c r="R31" i="2147"/>
  <c r="R30" i="2147"/>
  <c r="R29" i="2147"/>
  <c r="R28" i="2147"/>
  <c r="R27" i="2147"/>
  <c r="L27" i="2147"/>
  <c r="D27" i="2147" s="1"/>
  <c r="R26" i="2147"/>
  <c r="L26" i="2147"/>
  <c r="D26" i="2147" s="1"/>
  <c r="R25" i="2147"/>
  <c r="L25" i="2147"/>
  <c r="D25" i="2147" s="1"/>
  <c r="R24" i="2147"/>
  <c r="L24" i="2147"/>
  <c r="D24" i="2147" s="1"/>
  <c r="R23" i="2147"/>
  <c r="L23" i="2147"/>
  <c r="D23" i="2147" s="1"/>
  <c r="R22" i="2147"/>
  <c r="L22" i="2147"/>
  <c r="D22" i="2147"/>
  <c r="R21" i="2147"/>
  <c r="L17" i="2147" s="1"/>
  <c r="D17" i="2147" s="1"/>
  <c r="L21" i="2147"/>
  <c r="D21" i="2147"/>
  <c r="R20" i="2147"/>
  <c r="L20" i="2147"/>
  <c r="D20" i="2147"/>
  <c r="R19" i="2147"/>
  <c r="R18" i="2147"/>
  <c r="R17" i="2147"/>
  <c r="R16" i="2147"/>
  <c r="L16" i="2147"/>
  <c r="D16" i="2147"/>
  <c r="R15" i="2147"/>
  <c r="L15" i="2147"/>
  <c r="D15" i="2147"/>
  <c r="R14" i="2147"/>
  <c r="D14" i="2147"/>
  <c r="R13" i="2147"/>
  <c r="D13" i="2147"/>
  <c r="R12" i="2147"/>
  <c r="R11" i="2147"/>
  <c r="L11" i="2147"/>
  <c r="D11" i="2147"/>
  <c r="L10" i="2147"/>
  <c r="D10" i="2147" s="1"/>
  <c r="L9" i="2147"/>
  <c r="D9" i="2147"/>
  <c r="L7" i="2147"/>
  <c r="D7" i="2147" s="1"/>
  <c r="R6" i="2147"/>
  <c r="L6" i="2147"/>
  <c r="D6" i="2147" s="1"/>
  <c r="R5" i="2147"/>
  <c r="R4" i="2147"/>
  <c r="R52" i="2146"/>
  <c r="R51" i="2146"/>
  <c r="D50" i="2146"/>
  <c r="R49" i="2146"/>
  <c r="D49" i="2146"/>
  <c r="R48" i="2146"/>
  <c r="D48" i="2146"/>
  <c r="D46" i="2146"/>
  <c r="D45" i="2146"/>
  <c r="R44" i="2146"/>
  <c r="L28" i="2146" s="1"/>
  <c r="D28" i="2146" s="1"/>
  <c r="D44" i="2146"/>
  <c r="R42" i="2146"/>
  <c r="D42" i="2146"/>
  <c r="R41" i="2146"/>
  <c r="L7" i="2146" s="1"/>
  <c r="D7" i="2146" s="1"/>
  <c r="D41" i="2146"/>
  <c r="R40" i="2146"/>
  <c r="D40" i="2146"/>
  <c r="R39" i="2146"/>
  <c r="H39" i="2146"/>
  <c r="D39" i="2146"/>
  <c r="R38" i="2146"/>
  <c r="H38" i="2146"/>
  <c r="D38" i="2146"/>
  <c r="R37" i="2146"/>
  <c r="H37" i="2146"/>
  <c r="D37" i="2146"/>
  <c r="R36" i="2146"/>
  <c r="H36" i="2146"/>
  <c r="D36" i="2146"/>
  <c r="R35" i="2146"/>
  <c r="L18" i="2146" s="1"/>
  <c r="D18" i="2146" s="1"/>
  <c r="H35" i="2146"/>
  <c r="D35" i="2146"/>
  <c r="R34" i="2146"/>
  <c r="L12" i="2146" s="1"/>
  <c r="D12" i="2146" s="1"/>
  <c r="H34" i="2146"/>
  <c r="D34" i="2146"/>
  <c r="R33" i="2146"/>
  <c r="L19" i="2146" s="1"/>
  <c r="D19" i="2146" s="1"/>
  <c r="R32" i="2146"/>
  <c r="L11" i="2146" s="1"/>
  <c r="D11" i="2146" s="1"/>
  <c r="R31" i="2146"/>
  <c r="R30" i="2146"/>
  <c r="R29" i="2146"/>
  <c r="R28" i="2146"/>
  <c r="R27" i="2146"/>
  <c r="L27" i="2146"/>
  <c r="D27" i="2146"/>
  <c r="R26" i="2146"/>
  <c r="L26" i="2146"/>
  <c r="D26" i="2146"/>
  <c r="R25" i="2146"/>
  <c r="L25" i="2146"/>
  <c r="D25" i="2146"/>
  <c r="R24" i="2146"/>
  <c r="L24" i="2146"/>
  <c r="D24" i="2146"/>
  <c r="R23" i="2146"/>
  <c r="L23" i="2146"/>
  <c r="D23" i="2146" s="1"/>
  <c r="R22" i="2146"/>
  <c r="L22" i="2146"/>
  <c r="D22" i="2146" s="1"/>
  <c r="R21" i="2146"/>
  <c r="D21" i="2146"/>
  <c r="R20" i="2146"/>
  <c r="L20" i="2146"/>
  <c r="D20" i="2146"/>
  <c r="R19" i="2146"/>
  <c r="R18" i="2146"/>
  <c r="R17" i="2146"/>
  <c r="L17" i="2146"/>
  <c r="D17" i="2146"/>
  <c r="R16" i="2146"/>
  <c r="R15" i="2146"/>
  <c r="L15" i="2146"/>
  <c r="D15" i="2146"/>
  <c r="R14" i="2146"/>
  <c r="D14" i="2146"/>
  <c r="R13" i="2146"/>
  <c r="D13" i="2146"/>
  <c r="R12" i="2146"/>
  <c r="R11" i="2146"/>
  <c r="L10" i="2146"/>
  <c r="D10" i="2146"/>
  <c r="L9" i="2146"/>
  <c r="D9" i="2146"/>
  <c r="L8" i="2146"/>
  <c r="D8" i="2146"/>
  <c r="R6" i="2146"/>
  <c r="L16" i="2146" s="1"/>
  <c r="D16" i="2146" s="1"/>
  <c r="L6" i="2146"/>
  <c r="D6" i="2146" s="1"/>
  <c r="R5" i="2146"/>
  <c r="R4" i="2146"/>
  <c r="R52" i="2145"/>
  <c r="R51" i="2145"/>
  <c r="D50" i="2145"/>
  <c r="R49" i="2145"/>
  <c r="D49" i="2145"/>
  <c r="R48" i="2145"/>
  <c r="D48" i="2145"/>
  <c r="D46" i="2145"/>
  <c r="D45" i="2145"/>
  <c r="R44" i="2145"/>
  <c r="L28" i="2145" s="1"/>
  <c r="D28" i="2145" s="1"/>
  <c r="D44" i="2145"/>
  <c r="R42" i="2145"/>
  <c r="D42" i="2145"/>
  <c r="R41" i="2145"/>
  <c r="D41" i="2145"/>
  <c r="R40" i="2145"/>
  <c r="L8" i="2145" s="1"/>
  <c r="D8" i="2145" s="1"/>
  <c r="D40" i="2145"/>
  <c r="R39" i="2145"/>
  <c r="H39" i="2145"/>
  <c r="D39" i="2145"/>
  <c r="R38" i="2145"/>
  <c r="L9" i="2145" s="1"/>
  <c r="D9" i="2145" s="1"/>
  <c r="H38" i="2145"/>
  <c r="D38" i="2145"/>
  <c r="R37" i="2145"/>
  <c r="H37" i="2145"/>
  <c r="D37" i="2145"/>
  <c r="R36" i="2145"/>
  <c r="H36" i="2145"/>
  <c r="D36" i="2145"/>
  <c r="R35" i="2145"/>
  <c r="H35" i="2145"/>
  <c r="D35" i="2145"/>
  <c r="R34" i="2145"/>
  <c r="H34" i="2145"/>
  <c r="D34" i="2145"/>
  <c r="R33" i="2145"/>
  <c r="L19" i="2145" s="1"/>
  <c r="D19" i="2145" s="1"/>
  <c r="R32" i="2145"/>
  <c r="L11" i="2145" s="1"/>
  <c r="D11" i="2145" s="1"/>
  <c r="R31" i="2145"/>
  <c r="R30" i="2145"/>
  <c r="R29" i="2145"/>
  <c r="R28" i="2145"/>
  <c r="R27" i="2145"/>
  <c r="L27" i="2145"/>
  <c r="D27" i="2145"/>
  <c r="R26" i="2145"/>
  <c r="L26" i="2145"/>
  <c r="D26" i="2145"/>
  <c r="R25" i="2145"/>
  <c r="L25" i="2145"/>
  <c r="D25" i="2145" s="1"/>
  <c r="R24" i="2145"/>
  <c r="L24" i="2145"/>
  <c r="D24" i="2145"/>
  <c r="R23" i="2145"/>
  <c r="L23" i="2145"/>
  <c r="D23" i="2145" s="1"/>
  <c r="R22" i="2145"/>
  <c r="L22" i="2145"/>
  <c r="D22" i="2145" s="1"/>
  <c r="R21" i="2145"/>
  <c r="L21" i="2145"/>
  <c r="D21" i="2145"/>
  <c r="R20" i="2145"/>
  <c r="L20" i="2145"/>
  <c r="D20" i="2145"/>
  <c r="R19" i="2145"/>
  <c r="R18" i="2145"/>
  <c r="L18" i="2145"/>
  <c r="D18" i="2145" s="1"/>
  <c r="R17" i="2145"/>
  <c r="L17" i="2145"/>
  <c r="D17" i="2145" s="1"/>
  <c r="R16" i="2145"/>
  <c r="R15" i="2145"/>
  <c r="L15" i="2145"/>
  <c r="D15" i="2145"/>
  <c r="R14" i="2145"/>
  <c r="D14" i="2145"/>
  <c r="R13" i="2145"/>
  <c r="D13" i="2145"/>
  <c r="R12" i="2145"/>
  <c r="L12" i="2145"/>
  <c r="D12" i="2145" s="1"/>
  <c r="R11" i="2145"/>
  <c r="L10" i="2145"/>
  <c r="D10" i="2145"/>
  <c r="L7" i="2145"/>
  <c r="D7" i="2145"/>
  <c r="R6" i="2145"/>
  <c r="L16" i="2145" s="1"/>
  <c r="D16" i="2145" s="1"/>
  <c r="L6" i="2145"/>
  <c r="D6" i="2145" s="1"/>
  <c r="R5" i="2145"/>
  <c r="R4" i="2145"/>
  <c r="R52" i="2144"/>
  <c r="R51" i="2144"/>
  <c r="D50" i="2144"/>
  <c r="R49" i="2144"/>
  <c r="G49" i="2144"/>
  <c r="D49" i="2144"/>
  <c r="R48" i="2144"/>
  <c r="D48" i="2144"/>
  <c r="D46" i="2144"/>
  <c r="D45" i="2144"/>
  <c r="D44" i="2144"/>
  <c r="R42" i="2144"/>
  <c r="L6" i="2144" s="1"/>
  <c r="D6" i="2144" s="1"/>
  <c r="D42" i="2144"/>
  <c r="R41" i="2144"/>
  <c r="D41" i="2144"/>
  <c r="R40" i="2144"/>
  <c r="D40" i="2144"/>
  <c r="R39" i="2144"/>
  <c r="D39" i="2144"/>
  <c r="R38" i="2144"/>
  <c r="L9" i="2144" s="1"/>
  <c r="D9" i="2144" s="1"/>
  <c r="D38" i="2144"/>
  <c r="R37" i="2144"/>
  <c r="D37" i="2144"/>
  <c r="R36" i="2144"/>
  <c r="D36" i="2144"/>
  <c r="R35" i="2144"/>
  <c r="D35" i="2144"/>
  <c r="R34" i="2144"/>
  <c r="L12" i="2144" s="1"/>
  <c r="D12" i="2144" s="1"/>
  <c r="D34" i="2144"/>
  <c r="D54" i="2144" s="1"/>
  <c r="H14" i="2144" s="1"/>
  <c r="R33" i="2144"/>
  <c r="L23" i="2144" s="1"/>
  <c r="D23" i="2144" s="1"/>
  <c r="R32" i="2144"/>
  <c r="L11" i="2144" s="1"/>
  <c r="D11" i="2144" s="1"/>
  <c r="R31" i="2144"/>
  <c r="R30" i="2144"/>
  <c r="R29" i="2144"/>
  <c r="R28" i="2144"/>
  <c r="D28" i="2144"/>
  <c r="R27" i="2144"/>
  <c r="D27" i="2144"/>
  <c r="R26" i="2144"/>
  <c r="L26" i="2144"/>
  <c r="D26" i="2144"/>
  <c r="R25" i="2144"/>
  <c r="L25" i="2144"/>
  <c r="D25" i="2144" s="1"/>
  <c r="R24" i="2144"/>
  <c r="D24" i="2144"/>
  <c r="R23" i="2144"/>
  <c r="R22" i="2144"/>
  <c r="L22" i="2144"/>
  <c r="D22" i="2144" s="1"/>
  <c r="R21" i="2144"/>
  <c r="D21" i="2144"/>
  <c r="R20" i="2144"/>
  <c r="L20" i="2144"/>
  <c r="D20" i="2144"/>
  <c r="R19" i="2144"/>
  <c r="L19" i="2144"/>
  <c r="D19" i="2144" s="1"/>
  <c r="R18" i="2144"/>
  <c r="D18" i="2144"/>
  <c r="R17" i="2144"/>
  <c r="D17" i="2144"/>
  <c r="R16" i="2144"/>
  <c r="L16" i="2144"/>
  <c r="D16" i="2144" s="1"/>
  <c r="S15" i="2144"/>
  <c r="R15" i="2144"/>
  <c r="D15" i="2144"/>
  <c r="S14" i="2144"/>
  <c r="R14" i="2144"/>
  <c r="D14" i="2144"/>
  <c r="R13" i="2144"/>
  <c r="D13" i="2144"/>
  <c r="R12" i="2144"/>
  <c r="R11" i="2144"/>
  <c r="L10" i="2144"/>
  <c r="D10" i="2144" s="1"/>
  <c r="L8" i="2144"/>
  <c r="D8" i="2144"/>
  <c r="L7" i="2144"/>
  <c r="D7" i="2144" s="1"/>
  <c r="R6" i="2144"/>
  <c r="R5" i="2144"/>
  <c r="R4" i="2144"/>
  <c r="R52" i="2143"/>
  <c r="R51" i="2143"/>
  <c r="D50" i="2143"/>
  <c r="R49" i="2143"/>
  <c r="D49" i="2143"/>
  <c r="R48" i="2143"/>
  <c r="D48" i="2143"/>
  <c r="D46" i="2143"/>
  <c r="D45" i="2143"/>
  <c r="R44" i="2143"/>
  <c r="L28" i="2143" s="1"/>
  <c r="D28" i="2143" s="1"/>
  <c r="D44" i="2143"/>
  <c r="R42" i="2143"/>
  <c r="D42" i="2143"/>
  <c r="R41" i="2143"/>
  <c r="D41" i="2143"/>
  <c r="R40" i="2143"/>
  <c r="L8" i="2143" s="1"/>
  <c r="D8" i="2143" s="1"/>
  <c r="D40" i="2143"/>
  <c r="R39" i="2143"/>
  <c r="H39" i="2143"/>
  <c r="D39" i="2143"/>
  <c r="R38" i="2143"/>
  <c r="H38" i="2143"/>
  <c r="D38" i="2143"/>
  <c r="R37" i="2143"/>
  <c r="H37" i="2143"/>
  <c r="D37" i="2143"/>
  <c r="R36" i="2143"/>
  <c r="H36" i="2143"/>
  <c r="D36" i="2143"/>
  <c r="R35" i="2143"/>
  <c r="H35" i="2143"/>
  <c r="D35" i="2143"/>
  <c r="R34" i="2143"/>
  <c r="L12" i="2143" s="1"/>
  <c r="D12" i="2143" s="1"/>
  <c r="H34" i="2143"/>
  <c r="G49" i="2143" s="1"/>
  <c r="D34" i="2143"/>
  <c r="R33" i="2143"/>
  <c r="L19" i="2143" s="1"/>
  <c r="D19" i="2143" s="1"/>
  <c r="R32" i="2143"/>
  <c r="R31" i="2143"/>
  <c r="R30" i="2143"/>
  <c r="R29" i="2143"/>
  <c r="R28" i="2143"/>
  <c r="R27" i="2143"/>
  <c r="L27" i="2143"/>
  <c r="D27" i="2143"/>
  <c r="R26" i="2143"/>
  <c r="L26" i="2143"/>
  <c r="D26" i="2143" s="1"/>
  <c r="R25" i="2143"/>
  <c r="L25" i="2143"/>
  <c r="D25" i="2143" s="1"/>
  <c r="R24" i="2143"/>
  <c r="L24" i="2143"/>
  <c r="D24" i="2143"/>
  <c r="R23" i="2143"/>
  <c r="L23" i="2143"/>
  <c r="D23" i="2143"/>
  <c r="R22" i="2143"/>
  <c r="L22" i="2143"/>
  <c r="D22" i="2143"/>
  <c r="R21" i="2143"/>
  <c r="L17" i="2143" s="1"/>
  <c r="D17" i="2143" s="1"/>
  <c r="L21" i="2143"/>
  <c r="D21" i="2143"/>
  <c r="R20" i="2143"/>
  <c r="L20" i="2143"/>
  <c r="D20" i="2143" s="1"/>
  <c r="R19" i="2143"/>
  <c r="R18" i="2143"/>
  <c r="L18" i="2143"/>
  <c r="D18" i="2143" s="1"/>
  <c r="R17" i="2143"/>
  <c r="R16" i="2143"/>
  <c r="R15" i="2143"/>
  <c r="L15" i="2143"/>
  <c r="D15" i="2143" s="1"/>
  <c r="R14" i="2143"/>
  <c r="D14" i="2143"/>
  <c r="R13" i="2143"/>
  <c r="D13" i="2143"/>
  <c r="R12" i="2143"/>
  <c r="R11" i="2143"/>
  <c r="L11" i="2143"/>
  <c r="D11" i="2143"/>
  <c r="L10" i="2143"/>
  <c r="D10" i="2143"/>
  <c r="L9" i="2143"/>
  <c r="D9" i="2143" s="1"/>
  <c r="L7" i="2143"/>
  <c r="D7" i="2143"/>
  <c r="R6" i="2143"/>
  <c r="L16" i="2143" s="1"/>
  <c r="D16" i="2143" s="1"/>
  <c r="L6" i="2143"/>
  <c r="D6" i="2143"/>
  <c r="R5" i="2143"/>
  <c r="R4" i="2143"/>
  <c r="R52" i="2142"/>
  <c r="R51" i="2142"/>
  <c r="D50" i="2142"/>
  <c r="R49" i="2142"/>
  <c r="D49" i="2142"/>
  <c r="R48" i="2142"/>
  <c r="D48" i="2142"/>
  <c r="D46" i="2142"/>
  <c r="D45" i="2142"/>
  <c r="R44" i="2142"/>
  <c r="L28" i="2142" s="1"/>
  <c r="D28" i="2142" s="1"/>
  <c r="D44" i="2142"/>
  <c r="R42" i="2142"/>
  <c r="D42" i="2142"/>
  <c r="R41" i="2142"/>
  <c r="D41" i="2142"/>
  <c r="R40" i="2142"/>
  <c r="D40" i="2142"/>
  <c r="R39" i="2142"/>
  <c r="H39" i="2142"/>
  <c r="D39" i="2142"/>
  <c r="R38" i="2142"/>
  <c r="L9" i="2142" s="1"/>
  <c r="D9" i="2142" s="1"/>
  <c r="H38" i="2142"/>
  <c r="D38" i="2142"/>
  <c r="R37" i="2142"/>
  <c r="H37" i="2142"/>
  <c r="D37" i="2142"/>
  <c r="R36" i="2142"/>
  <c r="L10" i="2142" s="1"/>
  <c r="D10" i="2142" s="1"/>
  <c r="H36" i="2142"/>
  <c r="D36" i="2142"/>
  <c r="R35" i="2142"/>
  <c r="H35" i="2142"/>
  <c r="D35" i="2142"/>
  <c r="R34" i="2142"/>
  <c r="H34" i="2142"/>
  <c r="D34" i="2142"/>
  <c r="R33" i="2142"/>
  <c r="L19" i="2142" s="1"/>
  <c r="D19" i="2142" s="1"/>
  <c r="R32" i="2142"/>
  <c r="L11" i="2142" s="1"/>
  <c r="D11" i="2142" s="1"/>
  <c r="R31" i="2142"/>
  <c r="R30" i="2142"/>
  <c r="R29" i="2142"/>
  <c r="R28" i="2142"/>
  <c r="R27" i="2142"/>
  <c r="L27" i="2142"/>
  <c r="D27" i="2142"/>
  <c r="R26" i="2142"/>
  <c r="L26" i="2142"/>
  <c r="D26" i="2142"/>
  <c r="R25" i="2142"/>
  <c r="L25" i="2142"/>
  <c r="D25" i="2142" s="1"/>
  <c r="R24" i="2142"/>
  <c r="L24" i="2142"/>
  <c r="D24" i="2142"/>
  <c r="R23" i="2142"/>
  <c r="L23" i="2142"/>
  <c r="D23" i="2142" s="1"/>
  <c r="R22" i="2142"/>
  <c r="L20" i="2142" s="1"/>
  <c r="D20" i="2142" s="1"/>
  <c r="L22" i="2142"/>
  <c r="D22" i="2142" s="1"/>
  <c r="R21" i="2142"/>
  <c r="D21" i="2142"/>
  <c r="R20" i="2142"/>
  <c r="R19" i="2142"/>
  <c r="R18" i="2142"/>
  <c r="L18" i="2142"/>
  <c r="D18" i="2142"/>
  <c r="R17" i="2142"/>
  <c r="L17" i="2142"/>
  <c r="D17" i="2142"/>
  <c r="R16" i="2142"/>
  <c r="R15" i="2142"/>
  <c r="R14" i="2142"/>
  <c r="D14" i="2142"/>
  <c r="R13" i="2142"/>
  <c r="D13" i="2142"/>
  <c r="R12" i="2142"/>
  <c r="L12" i="2142"/>
  <c r="D12" i="2142"/>
  <c r="R11" i="2142"/>
  <c r="L8" i="2142"/>
  <c r="D8" i="2142" s="1"/>
  <c r="L7" i="2142"/>
  <c r="D7" i="2142"/>
  <c r="R6" i="2142"/>
  <c r="L16" i="2142" s="1"/>
  <c r="D16" i="2142" s="1"/>
  <c r="L6" i="2142"/>
  <c r="D6" i="2142" s="1"/>
  <c r="R5" i="2142"/>
  <c r="R4" i="2142"/>
  <c r="L15" i="2142" s="1"/>
  <c r="D15" i="2142" s="1"/>
  <c r="R52" i="2141"/>
  <c r="R51" i="2141"/>
  <c r="D50" i="2141"/>
  <c r="R49" i="2141"/>
  <c r="D49" i="2141"/>
  <c r="R48" i="2141"/>
  <c r="D48" i="2141"/>
  <c r="D46" i="2141"/>
  <c r="D45" i="2141"/>
  <c r="R44" i="2141"/>
  <c r="L28" i="2141" s="1"/>
  <c r="D28" i="2141" s="1"/>
  <c r="D44" i="2141"/>
  <c r="R42" i="2141"/>
  <c r="D42" i="2141"/>
  <c r="R41" i="2141"/>
  <c r="D41" i="2141"/>
  <c r="R40" i="2141"/>
  <c r="D40" i="2141"/>
  <c r="R39" i="2141"/>
  <c r="H39" i="2141"/>
  <c r="D39" i="2141"/>
  <c r="R38" i="2141"/>
  <c r="L9" i="2141" s="1"/>
  <c r="D9" i="2141" s="1"/>
  <c r="H38" i="2141"/>
  <c r="D38" i="2141"/>
  <c r="R37" i="2141"/>
  <c r="H37" i="2141"/>
  <c r="G49" i="2141" s="1"/>
  <c r="D37" i="2141"/>
  <c r="R36" i="2141"/>
  <c r="H36" i="2141"/>
  <c r="D36" i="2141"/>
  <c r="R35" i="2141"/>
  <c r="H35" i="2141"/>
  <c r="D35" i="2141"/>
  <c r="R34" i="2141"/>
  <c r="L12" i="2141" s="1"/>
  <c r="D12" i="2141" s="1"/>
  <c r="H34" i="2141"/>
  <c r="D34" i="2141"/>
  <c r="D54" i="2141" s="1"/>
  <c r="H14" i="2141" s="1"/>
  <c r="R33" i="2141"/>
  <c r="R32" i="2141"/>
  <c r="L11" i="2141" s="1"/>
  <c r="D11" i="2141" s="1"/>
  <c r="R31" i="2141"/>
  <c r="R30" i="2141"/>
  <c r="R29" i="2141"/>
  <c r="R28" i="2141"/>
  <c r="R27" i="2141"/>
  <c r="L27" i="2141"/>
  <c r="D27" i="2141"/>
  <c r="R26" i="2141"/>
  <c r="L26" i="2141"/>
  <c r="D26" i="2141"/>
  <c r="R25" i="2141"/>
  <c r="L25" i="2141"/>
  <c r="D25" i="2141"/>
  <c r="R24" i="2141"/>
  <c r="L24" i="2141"/>
  <c r="D24" i="2141"/>
  <c r="R23" i="2141"/>
  <c r="L23" i="2141"/>
  <c r="D23" i="2141"/>
  <c r="R22" i="2141"/>
  <c r="L22" i="2141"/>
  <c r="D22" i="2141"/>
  <c r="R21" i="2141"/>
  <c r="L17" i="2141" s="1"/>
  <c r="D17" i="2141" s="1"/>
  <c r="L21" i="2141"/>
  <c r="D21" i="2141"/>
  <c r="R20" i="2141"/>
  <c r="L20" i="2141"/>
  <c r="D20" i="2141"/>
  <c r="R19" i="2141"/>
  <c r="L19" i="2141"/>
  <c r="D19" i="2141"/>
  <c r="R18" i="2141"/>
  <c r="L18" i="2141"/>
  <c r="D18" i="2141" s="1"/>
  <c r="R17" i="2141"/>
  <c r="R16" i="2141"/>
  <c r="R15" i="2141"/>
  <c r="L15" i="2141"/>
  <c r="D15" i="2141"/>
  <c r="R14" i="2141"/>
  <c r="D14" i="2141"/>
  <c r="R13" i="2141"/>
  <c r="D13" i="2141"/>
  <c r="R12" i="2141"/>
  <c r="R11" i="2141"/>
  <c r="L10" i="2141"/>
  <c r="D10" i="2141"/>
  <c r="L8" i="2141"/>
  <c r="D8" i="2141"/>
  <c r="L7" i="2141"/>
  <c r="D7" i="2141"/>
  <c r="R6" i="2141"/>
  <c r="L16" i="2141" s="1"/>
  <c r="D16" i="2141" s="1"/>
  <c r="L6" i="2141"/>
  <c r="D6" i="2141" s="1"/>
  <c r="R5" i="2141"/>
  <c r="R4" i="2141"/>
  <c r="R52" i="2140"/>
  <c r="R51" i="2140"/>
  <c r="D50" i="2140"/>
  <c r="R49" i="2140"/>
  <c r="G49" i="2140"/>
  <c r="D49" i="2140"/>
  <c r="R48" i="2140"/>
  <c r="D48" i="2140"/>
  <c r="D46" i="2140"/>
  <c r="D45" i="2140"/>
  <c r="D44" i="2140"/>
  <c r="R42" i="2140"/>
  <c r="L6" i="2140" s="1"/>
  <c r="D6" i="2140" s="1"/>
  <c r="D42" i="2140"/>
  <c r="R41" i="2140"/>
  <c r="L7" i="2140" s="1"/>
  <c r="D7" i="2140" s="1"/>
  <c r="D41" i="2140"/>
  <c r="R40" i="2140"/>
  <c r="D40" i="2140"/>
  <c r="R39" i="2140"/>
  <c r="D39" i="2140"/>
  <c r="R38" i="2140"/>
  <c r="D38" i="2140"/>
  <c r="R37" i="2140"/>
  <c r="D37" i="2140"/>
  <c r="R36" i="2140"/>
  <c r="D36" i="2140"/>
  <c r="R35" i="2140"/>
  <c r="D35" i="2140"/>
  <c r="R34" i="2140"/>
  <c r="L12" i="2140" s="1"/>
  <c r="D12" i="2140" s="1"/>
  <c r="D34" i="2140"/>
  <c r="D54" i="2140" s="1"/>
  <c r="H14" i="2140" s="1"/>
  <c r="R33" i="2140"/>
  <c r="L23" i="2140" s="1"/>
  <c r="D23" i="2140" s="1"/>
  <c r="R32" i="2140"/>
  <c r="L11" i="2140" s="1"/>
  <c r="D11" i="2140" s="1"/>
  <c r="R31" i="2140"/>
  <c r="R30" i="2140"/>
  <c r="R29" i="2140"/>
  <c r="R28" i="2140"/>
  <c r="D28" i="2140"/>
  <c r="R27" i="2140"/>
  <c r="D27" i="2140"/>
  <c r="R26" i="2140"/>
  <c r="L26" i="2140"/>
  <c r="D26" i="2140"/>
  <c r="R25" i="2140"/>
  <c r="L25" i="2140"/>
  <c r="D25" i="2140"/>
  <c r="R24" i="2140"/>
  <c r="D24" i="2140"/>
  <c r="R23" i="2140"/>
  <c r="R22" i="2140"/>
  <c r="L22" i="2140"/>
  <c r="D22" i="2140" s="1"/>
  <c r="R21" i="2140"/>
  <c r="D21" i="2140"/>
  <c r="R20" i="2140"/>
  <c r="L20" i="2140"/>
  <c r="D20" i="2140"/>
  <c r="R19" i="2140"/>
  <c r="L19" i="2140"/>
  <c r="D19" i="2140"/>
  <c r="R18" i="2140"/>
  <c r="D18" i="2140"/>
  <c r="R17" i="2140"/>
  <c r="D17" i="2140"/>
  <c r="R16" i="2140"/>
  <c r="L16" i="2140"/>
  <c r="D16" i="2140" s="1"/>
  <c r="S15" i="2140"/>
  <c r="R15" i="2140"/>
  <c r="D15" i="2140"/>
  <c r="S14" i="2140"/>
  <c r="R14" i="2140"/>
  <c r="D14" i="2140"/>
  <c r="R13" i="2140"/>
  <c r="D13" i="2140"/>
  <c r="R12" i="2140"/>
  <c r="R11" i="2140"/>
  <c r="L10" i="2140"/>
  <c r="D10" i="2140" s="1"/>
  <c r="L9" i="2140"/>
  <c r="D9" i="2140" s="1"/>
  <c r="L8" i="2140"/>
  <c r="D8" i="2140"/>
  <c r="R6" i="2140"/>
  <c r="R5" i="2140"/>
  <c r="R4" i="2140"/>
  <c r="D54" i="2151" l="1"/>
  <c r="H14" i="2151" s="1"/>
  <c r="D54" i="2150"/>
  <c r="H14" i="2150" s="1"/>
  <c r="D54" i="2149"/>
  <c r="H14" i="2149" s="1"/>
  <c r="G49" i="2149"/>
  <c r="G49" i="2155"/>
  <c r="G49" i="2153"/>
  <c r="D54" i="2153"/>
  <c r="H14" i="2153" s="1"/>
  <c r="G49" i="2154"/>
  <c r="D54" i="2155"/>
  <c r="H14" i="2155" s="1"/>
  <c r="D54" i="2154"/>
  <c r="H14" i="2154" s="1"/>
  <c r="G49" i="2145"/>
  <c r="G49" i="2146"/>
  <c r="D54" i="2145"/>
  <c r="H14" i="2145" s="1"/>
  <c r="D54" i="2146"/>
  <c r="H14" i="2146" s="1"/>
  <c r="G49" i="2142"/>
  <c r="D54" i="2142"/>
  <c r="H14" i="2142" s="1"/>
  <c r="D54" i="2143"/>
  <c r="H14" i="2143" s="1"/>
  <c r="D29" i="2155"/>
  <c r="H13" i="2155" s="1"/>
  <c r="D29" i="2154"/>
  <c r="H13" i="2154" s="1"/>
  <c r="D29" i="2153"/>
  <c r="H13" i="2153" s="1"/>
  <c r="G51" i="2152"/>
  <c r="D29" i="2151"/>
  <c r="H13" i="2151" s="1"/>
  <c r="H15" i="2151" s="1"/>
  <c r="H29" i="2151" s="1"/>
  <c r="G51" i="2151" s="1"/>
  <c r="D29" i="2150"/>
  <c r="H13" i="2150" s="1"/>
  <c r="D29" i="2149"/>
  <c r="H13" i="2149" s="1"/>
  <c r="D29" i="2148"/>
  <c r="H13" i="2148" s="1"/>
  <c r="H15" i="2148" s="1"/>
  <c r="H29" i="2148" s="1"/>
  <c r="G51" i="2148" s="1"/>
  <c r="D29" i="2147"/>
  <c r="H13" i="2147" s="1"/>
  <c r="H15" i="2147" s="1"/>
  <c r="H29" i="2147" s="1"/>
  <c r="G51" i="2147"/>
  <c r="D29" i="2146"/>
  <c r="H13" i="2146" s="1"/>
  <c r="D29" i="2145"/>
  <c r="H13" i="2145" s="1"/>
  <c r="D29" i="2144"/>
  <c r="H13" i="2144" s="1"/>
  <c r="H15" i="2144" s="1"/>
  <c r="H29" i="2144" s="1"/>
  <c r="G51" i="2144" s="1"/>
  <c r="D29" i="2143"/>
  <c r="H13" i="2143" s="1"/>
  <c r="D29" i="2142"/>
  <c r="H13" i="2142" s="1"/>
  <c r="D29" i="2141"/>
  <c r="H13" i="2141" s="1"/>
  <c r="H15" i="2141" s="1"/>
  <c r="H29" i="2141" s="1"/>
  <c r="G51" i="2141"/>
  <c r="D29" i="2140"/>
  <c r="H13" i="2140" s="1"/>
  <c r="H15" i="2140" s="1"/>
  <c r="H29" i="2140" s="1"/>
  <c r="G51" i="2140" s="1"/>
  <c r="R52" i="2139"/>
  <c r="R51" i="2139"/>
  <c r="D50" i="2139"/>
  <c r="R49" i="2139"/>
  <c r="D49" i="2139"/>
  <c r="R48" i="2139"/>
  <c r="D48" i="2139"/>
  <c r="D46" i="2139"/>
  <c r="D45" i="2139"/>
  <c r="R44" i="2139"/>
  <c r="D44" i="2139"/>
  <c r="R42" i="2139"/>
  <c r="D42" i="2139"/>
  <c r="R41" i="2139"/>
  <c r="D41" i="2139"/>
  <c r="R40" i="2139"/>
  <c r="L8" i="2139" s="1"/>
  <c r="D8" i="2139" s="1"/>
  <c r="D40" i="2139"/>
  <c r="R39" i="2139"/>
  <c r="H39" i="2139"/>
  <c r="D39" i="2139"/>
  <c r="R38" i="2139"/>
  <c r="L9" i="2139" s="1"/>
  <c r="D9" i="2139" s="1"/>
  <c r="H38" i="2139"/>
  <c r="D38" i="2139"/>
  <c r="R37" i="2139"/>
  <c r="H37" i="2139"/>
  <c r="D37" i="2139"/>
  <c r="R36" i="2139"/>
  <c r="H36" i="2139"/>
  <c r="D36" i="2139"/>
  <c r="R35" i="2139"/>
  <c r="L18" i="2139" s="1"/>
  <c r="D18" i="2139" s="1"/>
  <c r="H35" i="2139"/>
  <c r="D35" i="2139"/>
  <c r="R34" i="2139"/>
  <c r="H34" i="2139"/>
  <c r="D34" i="2139"/>
  <c r="R33" i="2139"/>
  <c r="R32" i="2139"/>
  <c r="L11" i="2139" s="1"/>
  <c r="D11" i="2139" s="1"/>
  <c r="R31" i="2139"/>
  <c r="R30" i="2139"/>
  <c r="R29" i="2139"/>
  <c r="R28" i="2139"/>
  <c r="L28" i="2139"/>
  <c r="D28" i="2139"/>
  <c r="R27" i="2139"/>
  <c r="L27" i="2139"/>
  <c r="D27" i="2139" s="1"/>
  <c r="R26" i="2139"/>
  <c r="L26" i="2139"/>
  <c r="D26" i="2139" s="1"/>
  <c r="R25" i="2139"/>
  <c r="L25" i="2139"/>
  <c r="D25" i="2139" s="1"/>
  <c r="R24" i="2139"/>
  <c r="L24" i="2139"/>
  <c r="D24" i="2139"/>
  <c r="R23" i="2139"/>
  <c r="L23" i="2139"/>
  <c r="D23" i="2139" s="1"/>
  <c r="R22" i="2139"/>
  <c r="L20" i="2139" s="1"/>
  <c r="D20" i="2139" s="1"/>
  <c r="L22" i="2139"/>
  <c r="D22" i="2139"/>
  <c r="R21" i="2139"/>
  <c r="L21" i="2139"/>
  <c r="D21" i="2139" s="1"/>
  <c r="R20" i="2139"/>
  <c r="R19" i="2139"/>
  <c r="L19" i="2139"/>
  <c r="D19" i="2139" s="1"/>
  <c r="R18" i="2139"/>
  <c r="R17" i="2139"/>
  <c r="L17" i="2139"/>
  <c r="D17" i="2139" s="1"/>
  <c r="R16" i="2139"/>
  <c r="L16" i="2139"/>
  <c r="D16" i="2139"/>
  <c r="R15" i="2139"/>
  <c r="L15" i="2139"/>
  <c r="D15" i="2139"/>
  <c r="R14" i="2139"/>
  <c r="D14" i="2139"/>
  <c r="R13" i="2139"/>
  <c r="D13" i="2139"/>
  <c r="R12" i="2139"/>
  <c r="L12" i="2139"/>
  <c r="D12" i="2139" s="1"/>
  <c r="R11" i="2139"/>
  <c r="L10" i="2139"/>
  <c r="D10" i="2139" s="1"/>
  <c r="L7" i="2139"/>
  <c r="D7" i="2139"/>
  <c r="R6" i="2139"/>
  <c r="L6" i="2139"/>
  <c r="D6" i="2139" s="1"/>
  <c r="R5" i="2139"/>
  <c r="R4" i="2139"/>
  <c r="R52" i="2138"/>
  <c r="R51" i="2138"/>
  <c r="D50" i="2138"/>
  <c r="R49" i="2138"/>
  <c r="D49" i="2138"/>
  <c r="R48" i="2138"/>
  <c r="D48" i="2138"/>
  <c r="D46" i="2138"/>
  <c r="D45" i="2138"/>
  <c r="R44" i="2138"/>
  <c r="D44" i="2138"/>
  <c r="R42" i="2138"/>
  <c r="L6" i="2138" s="1"/>
  <c r="D6" i="2138" s="1"/>
  <c r="D42" i="2138"/>
  <c r="R41" i="2138"/>
  <c r="L7" i="2138" s="1"/>
  <c r="D7" i="2138" s="1"/>
  <c r="D41" i="2138"/>
  <c r="R40" i="2138"/>
  <c r="L8" i="2138" s="1"/>
  <c r="D8" i="2138" s="1"/>
  <c r="D40" i="2138"/>
  <c r="R39" i="2138"/>
  <c r="H39" i="2138"/>
  <c r="D39" i="2138"/>
  <c r="R38" i="2138"/>
  <c r="L9" i="2138" s="1"/>
  <c r="D9" i="2138" s="1"/>
  <c r="H38" i="2138"/>
  <c r="D38" i="2138"/>
  <c r="R37" i="2138"/>
  <c r="H37" i="2138"/>
  <c r="D37" i="2138"/>
  <c r="R36" i="2138"/>
  <c r="L10" i="2138" s="1"/>
  <c r="D10" i="2138" s="1"/>
  <c r="H36" i="2138"/>
  <c r="D36" i="2138"/>
  <c r="R35" i="2138"/>
  <c r="L18" i="2138" s="1"/>
  <c r="D18" i="2138" s="1"/>
  <c r="H35" i="2138"/>
  <c r="D35" i="2138"/>
  <c r="R34" i="2138"/>
  <c r="H34" i="2138"/>
  <c r="G49" i="2138" s="1"/>
  <c r="D34" i="2138"/>
  <c r="R33" i="2138"/>
  <c r="R32" i="2138"/>
  <c r="L11" i="2138" s="1"/>
  <c r="D11" i="2138" s="1"/>
  <c r="R31" i="2138"/>
  <c r="R30" i="2138"/>
  <c r="R29" i="2138"/>
  <c r="R28" i="2138"/>
  <c r="L28" i="2138"/>
  <c r="D28" i="2138"/>
  <c r="R27" i="2138"/>
  <c r="L27" i="2138"/>
  <c r="D27" i="2138"/>
  <c r="R26" i="2138"/>
  <c r="L26" i="2138"/>
  <c r="D26" i="2138" s="1"/>
  <c r="R25" i="2138"/>
  <c r="L25" i="2138"/>
  <c r="D25" i="2138"/>
  <c r="R24" i="2138"/>
  <c r="L24" i="2138"/>
  <c r="D24" i="2138"/>
  <c r="R23" i="2138"/>
  <c r="L23" i="2138"/>
  <c r="D23" i="2138" s="1"/>
  <c r="R22" i="2138"/>
  <c r="L20" i="2138" s="1"/>
  <c r="D20" i="2138" s="1"/>
  <c r="L22" i="2138"/>
  <c r="D22" i="2138" s="1"/>
  <c r="R21" i="2138"/>
  <c r="D21" i="2138"/>
  <c r="R20" i="2138"/>
  <c r="R19" i="2138"/>
  <c r="L19" i="2138"/>
  <c r="D19" i="2138" s="1"/>
  <c r="R18" i="2138"/>
  <c r="R17" i="2138"/>
  <c r="L17" i="2138"/>
  <c r="D17" i="2138"/>
  <c r="R16" i="2138"/>
  <c r="R15" i="2138"/>
  <c r="R14" i="2138"/>
  <c r="D14" i="2138"/>
  <c r="R13" i="2138"/>
  <c r="D13" i="2138"/>
  <c r="R12" i="2138"/>
  <c r="L12" i="2138"/>
  <c r="D12" i="2138"/>
  <c r="R11" i="2138"/>
  <c r="R6" i="2138"/>
  <c r="L16" i="2138" s="1"/>
  <c r="D16" i="2138" s="1"/>
  <c r="R5" i="2138"/>
  <c r="R4" i="2138"/>
  <c r="L15" i="2138" s="1"/>
  <c r="D15" i="2138" s="1"/>
  <c r="R52" i="2137"/>
  <c r="R51" i="2137"/>
  <c r="D50" i="2137"/>
  <c r="R49" i="2137"/>
  <c r="D49" i="2137"/>
  <c r="R48" i="2137"/>
  <c r="D48" i="2137"/>
  <c r="D46" i="2137"/>
  <c r="D45" i="2137"/>
  <c r="R44" i="2137"/>
  <c r="D44" i="2137"/>
  <c r="R42" i="2137"/>
  <c r="L6" i="2137" s="1"/>
  <c r="D6" i="2137" s="1"/>
  <c r="D42" i="2137"/>
  <c r="R41" i="2137"/>
  <c r="L7" i="2137" s="1"/>
  <c r="D7" i="2137" s="1"/>
  <c r="D41" i="2137"/>
  <c r="R40" i="2137"/>
  <c r="D40" i="2137"/>
  <c r="R39" i="2137"/>
  <c r="H39" i="2137"/>
  <c r="D39" i="2137"/>
  <c r="R38" i="2137"/>
  <c r="H38" i="2137"/>
  <c r="D38" i="2137"/>
  <c r="R37" i="2137"/>
  <c r="H37" i="2137"/>
  <c r="D37" i="2137"/>
  <c r="R36" i="2137"/>
  <c r="H36" i="2137"/>
  <c r="D36" i="2137"/>
  <c r="R35" i="2137"/>
  <c r="L18" i="2137" s="1"/>
  <c r="D18" i="2137" s="1"/>
  <c r="H35" i="2137"/>
  <c r="D35" i="2137"/>
  <c r="R34" i="2137"/>
  <c r="H34" i="2137"/>
  <c r="D34" i="2137"/>
  <c r="R33" i="2137"/>
  <c r="R32" i="2137"/>
  <c r="R31" i="2137"/>
  <c r="R30" i="2137"/>
  <c r="R29" i="2137"/>
  <c r="R28" i="2137"/>
  <c r="D28" i="2137"/>
  <c r="R27" i="2137"/>
  <c r="L27" i="2137"/>
  <c r="D27" i="2137"/>
  <c r="R26" i="2137"/>
  <c r="L26" i="2137"/>
  <c r="D26" i="2137" s="1"/>
  <c r="R25" i="2137"/>
  <c r="L25" i="2137"/>
  <c r="D25" i="2137"/>
  <c r="R24" i="2137"/>
  <c r="L24" i="2137"/>
  <c r="D24" i="2137"/>
  <c r="R23" i="2137"/>
  <c r="L23" i="2137"/>
  <c r="D23" i="2137"/>
  <c r="R22" i="2137"/>
  <c r="L20" i="2137" s="1"/>
  <c r="D20" i="2137" s="1"/>
  <c r="L22" i="2137"/>
  <c r="D22" i="2137" s="1"/>
  <c r="R21" i="2137"/>
  <c r="L21" i="2137"/>
  <c r="D21" i="2137"/>
  <c r="R20" i="2137"/>
  <c r="R19" i="2137"/>
  <c r="L19" i="2137"/>
  <c r="D19" i="2137"/>
  <c r="R18" i="2137"/>
  <c r="R17" i="2137"/>
  <c r="L17" i="2137"/>
  <c r="D17" i="2137"/>
  <c r="R16" i="2137"/>
  <c r="R15" i="2137"/>
  <c r="R14" i="2137"/>
  <c r="D14" i="2137"/>
  <c r="R13" i="2137"/>
  <c r="D13" i="2137"/>
  <c r="R12" i="2137"/>
  <c r="L12" i="2137"/>
  <c r="D12" i="2137" s="1"/>
  <c r="R11" i="2137"/>
  <c r="L11" i="2137"/>
  <c r="D11" i="2137"/>
  <c r="L10" i="2137"/>
  <c r="D10" i="2137" s="1"/>
  <c r="L9" i="2137"/>
  <c r="D9" i="2137" s="1"/>
  <c r="L8" i="2137"/>
  <c r="D8" i="2137"/>
  <c r="R6" i="2137"/>
  <c r="L16" i="2137" s="1"/>
  <c r="D16" i="2137" s="1"/>
  <c r="R5" i="2137"/>
  <c r="R4" i="2137"/>
  <c r="L15" i="2137" s="1"/>
  <c r="D15" i="2137" s="1"/>
  <c r="D54" i="2136"/>
  <c r="H14" i="2136" s="1"/>
  <c r="R52" i="2136"/>
  <c r="R51" i="2136"/>
  <c r="D50" i="2136"/>
  <c r="R49" i="2136"/>
  <c r="G49" i="2136"/>
  <c r="D49" i="2136"/>
  <c r="R48" i="2136"/>
  <c r="D48" i="2136"/>
  <c r="D46" i="2136"/>
  <c r="D45" i="2136"/>
  <c r="D44" i="2136"/>
  <c r="R42" i="2136"/>
  <c r="D42" i="2136"/>
  <c r="R41" i="2136"/>
  <c r="L7" i="2136" s="1"/>
  <c r="D7" i="2136" s="1"/>
  <c r="D41" i="2136"/>
  <c r="R40" i="2136"/>
  <c r="L8" i="2136" s="1"/>
  <c r="D8" i="2136" s="1"/>
  <c r="D40" i="2136"/>
  <c r="R39" i="2136"/>
  <c r="D39" i="2136"/>
  <c r="R38" i="2136"/>
  <c r="D38" i="2136"/>
  <c r="R37" i="2136"/>
  <c r="D37" i="2136"/>
  <c r="R36" i="2136"/>
  <c r="L10" i="2136" s="1"/>
  <c r="D10" i="2136" s="1"/>
  <c r="D36" i="2136"/>
  <c r="R35" i="2136"/>
  <c r="L19" i="2136" s="1"/>
  <c r="D19" i="2136" s="1"/>
  <c r="D35" i="2136"/>
  <c r="R34" i="2136"/>
  <c r="D34" i="2136"/>
  <c r="R33" i="2136"/>
  <c r="R32" i="2136"/>
  <c r="L11" i="2136" s="1"/>
  <c r="D11" i="2136" s="1"/>
  <c r="R31" i="2136"/>
  <c r="R30" i="2136"/>
  <c r="R29" i="2136"/>
  <c r="R28" i="2136"/>
  <c r="D28" i="2136"/>
  <c r="R27" i="2136"/>
  <c r="D27" i="2136"/>
  <c r="R26" i="2136"/>
  <c r="L26" i="2136"/>
  <c r="D26" i="2136" s="1"/>
  <c r="R25" i="2136"/>
  <c r="L25" i="2136"/>
  <c r="D25" i="2136"/>
  <c r="R24" i="2136"/>
  <c r="D24" i="2136"/>
  <c r="R23" i="2136"/>
  <c r="L23" i="2136"/>
  <c r="D23" i="2136" s="1"/>
  <c r="R22" i="2136"/>
  <c r="L22" i="2136"/>
  <c r="D22" i="2136" s="1"/>
  <c r="R21" i="2136"/>
  <c r="D21" i="2136"/>
  <c r="R20" i="2136"/>
  <c r="L20" i="2136"/>
  <c r="D20" i="2136" s="1"/>
  <c r="R19" i="2136"/>
  <c r="R18" i="2136"/>
  <c r="D18" i="2136"/>
  <c r="R17" i="2136"/>
  <c r="D17" i="2136"/>
  <c r="R16" i="2136"/>
  <c r="L16" i="2136"/>
  <c r="D16" i="2136" s="1"/>
  <c r="S15" i="2136"/>
  <c r="R15" i="2136"/>
  <c r="D15" i="2136"/>
  <c r="S14" i="2136"/>
  <c r="R14" i="2136"/>
  <c r="D14" i="2136"/>
  <c r="R13" i="2136"/>
  <c r="D13" i="2136"/>
  <c r="R12" i="2136"/>
  <c r="L12" i="2136"/>
  <c r="D12" i="2136" s="1"/>
  <c r="R11" i="2136"/>
  <c r="L9" i="2136"/>
  <c r="D9" i="2136" s="1"/>
  <c r="R6" i="2136"/>
  <c r="L6" i="2136"/>
  <c r="D6" i="2136" s="1"/>
  <c r="D29" i="2136" s="1"/>
  <c r="H13" i="2136" s="1"/>
  <c r="H15" i="2136" s="1"/>
  <c r="H29" i="2136" s="1"/>
  <c r="G51" i="2136" s="1"/>
  <c r="R5" i="2136"/>
  <c r="R4" i="2136"/>
  <c r="R52" i="2135"/>
  <c r="R51" i="2135"/>
  <c r="D50" i="2135"/>
  <c r="R49" i="2135"/>
  <c r="D49" i="2135"/>
  <c r="R48" i="2135"/>
  <c r="D48" i="2135"/>
  <c r="D46" i="2135"/>
  <c r="D45" i="2135"/>
  <c r="R44" i="2135"/>
  <c r="L28" i="2135" s="1"/>
  <c r="D28" i="2135" s="1"/>
  <c r="D44" i="2135"/>
  <c r="R42" i="2135"/>
  <c r="D42" i="2135"/>
  <c r="R41" i="2135"/>
  <c r="D41" i="2135"/>
  <c r="R40" i="2135"/>
  <c r="L8" i="2135" s="1"/>
  <c r="D8" i="2135" s="1"/>
  <c r="D40" i="2135"/>
  <c r="R39" i="2135"/>
  <c r="H39" i="2135"/>
  <c r="D39" i="2135"/>
  <c r="R38" i="2135"/>
  <c r="L9" i="2135" s="1"/>
  <c r="D9" i="2135" s="1"/>
  <c r="H38" i="2135"/>
  <c r="D38" i="2135"/>
  <c r="R37" i="2135"/>
  <c r="H37" i="2135"/>
  <c r="D37" i="2135"/>
  <c r="R36" i="2135"/>
  <c r="H36" i="2135"/>
  <c r="D36" i="2135"/>
  <c r="R35" i="2135"/>
  <c r="H35" i="2135"/>
  <c r="D35" i="2135"/>
  <c r="R34" i="2135"/>
  <c r="L12" i="2135" s="1"/>
  <c r="D12" i="2135" s="1"/>
  <c r="H34" i="2135"/>
  <c r="D34" i="2135"/>
  <c r="R33" i="2135"/>
  <c r="L19" i="2135" s="1"/>
  <c r="D19" i="2135" s="1"/>
  <c r="R32" i="2135"/>
  <c r="L11" i="2135" s="1"/>
  <c r="D11" i="2135" s="1"/>
  <c r="R31" i="2135"/>
  <c r="R30" i="2135"/>
  <c r="R29" i="2135"/>
  <c r="R28" i="2135"/>
  <c r="R27" i="2135"/>
  <c r="L27" i="2135"/>
  <c r="D27" i="2135"/>
  <c r="R26" i="2135"/>
  <c r="L26" i="2135"/>
  <c r="D26" i="2135" s="1"/>
  <c r="R25" i="2135"/>
  <c r="L25" i="2135"/>
  <c r="D25" i="2135" s="1"/>
  <c r="R24" i="2135"/>
  <c r="L24" i="2135"/>
  <c r="D24" i="2135"/>
  <c r="R23" i="2135"/>
  <c r="L23" i="2135"/>
  <c r="D23" i="2135"/>
  <c r="R22" i="2135"/>
  <c r="L20" i="2135" s="1"/>
  <c r="D20" i="2135" s="1"/>
  <c r="L22" i="2135"/>
  <c r="D22" i="2135" s="1"/>
  <c r="R21" i="2135"/>
  <c r="L21" i="2135"/>
  <c r="D21" i="2135" s="1"/>
  <c r="R20" i="2135"/>
  <c r="R19" i="2135"/>
  <c r="R18" i="2135"/>
  <c r="L18" i="2135"/>
  <c r="D18" i="2135" s="1"/>
  <c r="R17" i="2135"/>
  <c r="L17" i="2135"/>
  <c r="D17" i="2135" s="1"/>
  <c r="R16" i="2135"/>
  <c r="R15" i="2135"/>
  <c r="L15" i="2135"/>
  <c r="D15" i="2135"/>
  <c r="R14" i="2135"/>
  <c r="D14" i="2135"/>
  <c r="R13" i="2135"/>
  <c r="D13" i="2135"/>
  <c r="R12" i="2135"/>
  <c r="R11" i="2135"/>
  <c r="L10" i="2135"/>
  <c r="D10" i="2135" s="1"/>
  <c r="L7" i="2135"/>
  <c r="D7" i="2135"/>
  <c r="R6" i="2135"/>
  <c r="L16" i="2135" s="1"/>
  <c r="D16" i="2135" s="1"/>
  <c r="L6" i="2135"/>
  <c r="D6" i="2135" s="1"/>
  <c r="R5" i="2135"/>
  <c r="R4" i="2135"/>
  <c r="R52" i="2134"/>
  <c r="R51" i="2134"/>
  <c r="D50" i="2134"/>
  <c r="R49" i="2134"/>
  <c r="D49" i="2134"/>
  <c r="R48" i="2134"/>
  <c r="D48" i="2134"/>
  <c r="D46" i="2134"/>
  <c r="D45" i="2134"/>
  <c r="R44" i="2134"/>
  <c r="L28" i="2134" s="1"/>
  <c r="D28" i="2134" s="1"/>
  <c r="D44" i="2134"/>
  <c r="R42" i="2134"/>
  <c r="D42" i="2134"/>
  <c r="R41" i="2134"/>
  <c r="D41" i="2134"/>
  <c r="R40" i="2134"/>
  <c r="D40" i="2134"/>
  <c r="R39" i="2134"/>
  <c r="H39" i="2134"/>
  <c r="D39" i="2134"/>
  <c r="R38" i="2134"/>
  <c r="H38" i="2134"/>
  <c r="D38" i="2134"/>
  <c r="R37" i="2134"/>
  <c r="H37" i="2134"/>
  <c r="D37" i="2134"/>
  <c r="R36" i="2134"/>
  <c r="L10" i="2134" s="1"/>
  <c r="D10" i="2134" s="1"/>
  <c r="H36" i="2134"/>
  <c r="D36" i="2134"/>
  <c r="R35" i="2134"/>
  <c r="H35" i="2134"/>
  <c r="D35" i="2134"/>
  <c r="R34" i="2134"/>
  <c r="L12" i="2134" s="1"/>
  <c r="D12" i="2134" s="1"/>
  <c r="H34" i="2134"/>
  <c r="D34" i="2134"/>
  <c r="R33" i="2134"/>
  <c r="L19" i="2134" s="1"/>
  <c r="D19" i="2134" s="1"/>
  <c r="R32" i="2134"/>
  <c r="R31" i="2134"/>
  <c r="R30" i="2134"/>
  <c r="R29" i="2134"/>
  <c r="R28" i="2134"/>
  <c r="R27" i="2134"/>
  <c r="L27" i="2134"/>
  <c r="D27" i="2134"/>
  <c r="R26" i="2134"/>
  <c r="L26" i="2134"/>
  <c r="D26" i="2134"/>
  <c r="R25" i="2134"/>
  <c r="L25" i="2134"/>
  <c r="D25" i="2134" s="1"/>
  <c r="R24" i="2134"/>
  <c r="L24" i="2134"/>
  <c r="D24" i="2134" s="1"/>
  <c r="R23" i="2134"/>
  <c r="L23" i="2134"/>
  <c r="D23" i="2134" s="1"/>
  <c r="R22" i="2134"/>
  <c r="L22" i="2134"/>
  <c r="D22" i="2134"/>
  <c r="R21" i="2134"/>
  <c r="L17" i="2134" s="1"/>
  <c r="D17" i="2134" s="1"/>
  <c r="D21" i="2134"/>
  <c r="R20" i="2134"/>
  <c r="L20" i="2134"/>
  <c r="D20" i="2134" s="1"/>
  <c r="R19" i="2134"/>
  <c r="R18" i="2134"/>
  <c r="L18" i="2134"/>
  <c r="D18" i="2134"/>
  <c r="R17" i="2134"/>
  <c r="R16" i="2134"/>
  <c r="L16" i="2134"/>
  <c r="D16" i="2134"/>
  <c r="R15" i="2134"/>
  <c r="L15" i="2134"/>
  <c r="D15" i="2134" s="1"/>
  <c r="R14" i="2134"/>
  <c r="D14" i="2134"/>
  <c r="R13" i="2134"/>
  <c r="D13" i="2134"/>
  <c r="R12" i="2134"/>
  <c r="R11" i="2134"/>
  <c r="L11" i="2134"/>
  <c r="D11" i="2134"/>
  <c r="L9" i="2134"/>
  <c r="D9" i="2134" s="1"/>
  <c r="L8" i="2134"/>
  <c r="D8" i="2134" s="1"/>
  <c r="L7" i="2134"/>
  <c r="D7" i="2134"/>
  <c r="R6" i="2134"/>
  <c r="L6" i="2134"/>
  <c r="D6" i="2134"/>
  <c r="R5" i="2134"/>
  <c r="R4" i="2134"/>
  <c r="R52" i="2133"/>
  <c r="R51" i="2133"/>
  <c r="D50" i="2133"/>
  <c r="R49" i="2133"/>
  <c r="D49" i="2133"/>
  <c r="R48" i="2133"/>
  <c r="D48" i="2133"/>
  <c r="D46" i="2133"/>
  <c r="D45" i="2133"/>
  <c r="R44" i="2133"/>
  <c r="L28" i="2133" s="1"/>
  <c r="D28" i="2133" s="1"/>
  <c r="D44" i="2133"/>
  <c r="R42" i="2133"/>
  <c r="D42" i="2133"/>
  <c r="R41" i="2133"/>
  <c r="D41" i="2133"/>
  <c r="R40" i="2133"/>
  <c r="L8" i="2133" s="1"/>
  <c r="D8" i="2133" s="1"/>
  <c r="D40" i="2133"/>
  <c r="R39" i="2133"/>
  <c r="H39" i="2133"/>
  <c r="D39" i="2133"/>
  <c r="R38" i="2133"/>
  <c r="H38" i="2133"/>
  <c r="D38" i="2133"/>
  <c r="R37" i="2133"/>
  <c r="H37" i="2133"/>
  <c r="D37" i="2133"/>
  <c r="R36" i="2133"/>
  <c r="L10" i="2133" s="1"/>
  <c r="D10" i="2133" s="1"/>
  <c r="H36" i="2133"/>
  <c r="D36" i="2133"/>
  <c r="R35" i="2133"/>
  <c r="H35" i="2133"/>
  <c r="D35" i="2133"/>
  <c r="R34" i="2133"/>
  <c r="H34" i="2133"/>
  <c r="G49" i="2133" s="1"/>
  <c r="D34" i="2133"/>
  <c r="D54" i="2133" s="1"/>
  <c r="H14" i="2133" s="1"/>
  <c r="R33" i="2133"/>
  <c r="R32" i="2133"/>
  <c r="R31" i="2133"/>
  <c r="R30" i="2133"/>
  <c r="R29" i="2133"/>
  <c r="R28" i="2133"/>
  <c r="R27" i="2133"/>
  <c r="L27" i="2133"/>
  <c r="D27" i="2133" s="1"/>
  <c r="R26" i="2133"/>
  <c r="L26" i="2133"/>
  <c r="D26" i="2133"/>
  <c r="R25" i="2133"/>
  <c r="L25" i="2133"/>
  <c r="D25" i="2133" s="1"/>
  <c r="R24" i="2133"/>
  <c r="L24" i="2133"/>
  <c r="D24" i="2133" s="1"/>
  <c r="R23" i="2133"/>
  <c r="L23" i="2133"/>
  <c r="D23" i="2133" s="1"/>
  <c r="R22" i="2133"/>
  <c r="L20" i="2133" s="1"/>
  <c r="D20" i="2133" s="1"/>
  <c r="L22" i="2133"/>
  <c r="D22" i="2133"/>
  <c r="R21" i="2133"/>
  <c r="L21" i="2133"/>
  <c r="D21" i="2133" s="1"/>
  <c r="R20" i="2133"/>
  <c r="R19" i="2133"/>
  <c r="L19" i="2133"/>
  <c r="D19" i="2133" s="1"/>
  <c r="R18" i="2133"/>
  <c r="L18" i="2133"/>
  <c r="D18" i="2133"/>
  <c r="R17" i="2133"/>
  <c r="L17" i="2133"/>
  <c r="D17" i="2133" s="1"/>
  <c r="R16" i="2133"/>
  <c r="R15" i="2133"/>
  <c r="L15" i="2133"/>
  <c r="D15" i="2133" s="1"/>
  <c r="R14" i="2133"/>
  <c r="D14" i="2133"/>
  <c r="R13" i="2133"/>
  <c r="D13" i="2133"/>
  <c r="R12" i="2133"/>
  <c r="L12" i="2133"/>
  <c r="D12" i="2133" s="1"/>
  <c r="R11" i="2133"/>
  <c r="L11" i="2133"/>
  <c r="D11" i="2133"/>
  <c r="L9" i="2133"/>
  <c r="D9" i="2133"/>
  <c r="L7" i="2133"/>
  <c r="D7" i="2133" s="1"/>
  <c r="R6" i="2133"/>
  <c r="L16" i="2133" s="1"/>
  <c r="D16" i="2133" s="1"/>
  <c r="L6" i="2133"/>
  <c r="D6" i="2133" s="1"/>
  <c r="R5" i="2133"/>
  <c r="R4" i="2133"/>
  <c r="R52" i="2132"/>
  <c r="R51" i="2132"/>
  <c r="D50" i="2132"/>
  <c r="R49" i="2132"/>
  <c r="G49" i="2132"/>
  <c r="D49" i="2132"/>
  <c r="R48" i="2132"/>
  <c r="D48" i="2132"/>
  <c r="D46" i="2132"/>
  <c r="D45" i="2132"/>
  <c r="D44" i="2132"/>
  <c r="R42" i="2132"/>
  <c r="L6" i="2132" s="1"/>
  <c r="D6" i="2132" s="1"/>
  <c r="D42" i="2132"/>
  <c r="R41" i="2132"/>
  <c r="D41" i="2132"/>
  <c r="R40" i="2132"/>
  <c r="D40" i="2132"/>
  <c r="R39" i="2132"/>
  <c r="D39" i="2132"/>
  <c r="R38" i="2132"/>
  <c r="L9" i="2132" s="1"/>
  <c r="D9" i="2132" s="1"/>
  <c r="D38" i="2132"/>
  <c r="R37" i="2132"/>
  <c r="D37" i="2132"/>
  <c r="R36" i="2132"/>
  <c r="L10" i="2132" s="1"/>
  <c r="D10" i="2132" s="1"/>
  <c r="D36" i="2132"/>
  <c r="R35" i="2132"/>
  <c r="D35" i="2132"/>
  <c r="R34" i="2132"/>
  <c r="L12" i="2132" s="1"/>
  <c r="D12" i="2132" s="1"/>
  <c r="D34" i="2132"/>
  <c r="D54" i="2132" s="1"/>
  <c r="H14" i="2132" s="1"/>
  <c r="R33" i="2132"/>
  <c r="L23" i="2132" s="1"/>
  <c r="D23" i="2132" s="1"/>
  <c r="R32" i="2132"/>
  <c r="L11" i="2132" s="1"/>
  <c r="D11" i="2132" s="1"/>
  <c r="R31" i="2132"/>
  <c r="R30" i="2132"/>
  <c r="R29" i="2132"/>
  <c r="R28" i="2132"/>
  <c r="D28" i="2132"/>
  <c r="R27" i="2132"/>
  <c r="D27" i="2132"/>
  <c r="R26" i="2132"/>
  <c r="L26" i="2132"/>
  <c r="D26" i="2132"/>
  <c r="R25" i="2132"/>
  <c r="L25" i="2132"/>
  <c r="D25" i="2132" s="1"/>
  <c r="R24" i="2132"/>
  <c r="D24" i="2132"/>
  <c r="R23" i="2132"/>
  <c r="R22" i="2132"/>
  <c r="L22" i="2132"/>
  <c r="D22" i="2132"/>
  <c r="R21" i="2132"/>
  <c r="D21" i="2132"/>
  <c r="R20" i="2132"/>
  <c r="L20" i="2132"/>
  <c r="D20" i="2132"/>
  <c r="R19" i="2132"/>
  <c r="L19" i="2132"/>
  <c r="D19" i="2132" s="1"/>
  <c r="R18" i="2132"/>
  <c r="D18" i="2132"/>
  <c r="R17" i="2132"/>
  <c r="D17" i="2132"/>
  <c r="R16" i="2132"/>
  <c r="L16" i="2132"/>
  <c r="D16" i="2132" s="1"/>
  <c r="S15" i="2132"/>
  <c r="R15" i="2132"/>
  <c r="D15" i="2132"/>
  <c r="S14" i="2132"/>
  <c r="R14" i="2132"/>
  <c r="D14" i="2132"/>
  <c r="R13" i="2132"/>
  <c r="D13" i="2132"/>
  <c r="R12" i="2132"/>
  <c r="R11" i="2132"/>
  <c r="L8" i="2132"/>
  <c r="D8" i="2132"/>
  <c r="L7" i="2132"/>
  <c r="D7" i="2132" s="1"/>
  <c r="R6" i="2132"/>
  <c r="R5" i="2132"/>
  <c r="R4" i="2132"/>
  <c r="R52" i="2131"/>
  <c r="R51" i="2131"/>
  <c r="D50" i="2131"/>
  <c r="R49" i="2131"/>
  <c r="D49" i="2131"/>
  <c r="R48" i="2131"/>
  <c r="D48" i="2131"/>
  <c r="D46" i="2131"/>
  <c r="D45" i="2131"/>
  <c r="R44" i="2131"/>
  <c r="D44" i="2131"/>
  <c r="R42" i="2131"/>
  <c r="L6" i="2131" s="1"/>
  <c r="D6" i="2131" s="1"/>
  <c r="D42" i="2131"/>
  <c r="R41" i="2131"/>
  <c r="D41" i="2131"/>
  <c r="R40" i="2131"/>
  <c r="D40" i="2131"/>
  <c r="R39" i="2131"/>
  <c r="H39" i="2131"/>
  <c r="D39" i="2131"/>
  <c r="R38" i="2131"/>
  <c r="H38" i="2131"/>
  <c r="D38" i="2131"/>
  <c r="R37" i="2131"/>
  <c r="H37" i="2131"/>
  <c r="D37" i="2131"/>
  <c r="R36" i="2131"/>
  <c r="H36" i="2131"/>
  <c r="D36" i="2131"/>
  <c r="R35" i="2131"/>
  <c r="H35" i="2131"/>
  <c r="D35" i="2131"/>
  <c r="R34" i="2131"/>
  <c r="H34" i="2131"/>
  <c r="D34" i="2131"/>
  <c r="R33" i="2131"/>
  <c r="L19" i="2131" s="1"/>
  <c r="D19" i="2131" s="1"/>
  <c r="R32" i="2131"/>
  <c r="L11" i="2131" s="1"/>
  <c r="D11" i="2131" s="1"/>
  <c r="R31" i="2131"/>
  <c r="R30" i="2131"/>
  <c r="R29" i="2131"/>
  <c r="R28" i="2131"/>
  <c r="L28" i="2131"/>
  <c r="D28" i="2131"/>
  <c r="R27" i="2131"/>
  <c r="L27" i="2131"/>
  <c r="D27" i="2131" s="1"/>
  <c r="R26" i="2131"/>
  <c r="L26" i="2131"/>
  <c r="D26" i="2131" s="1"/>
  <c r="R25" i="2131"/>
  <c r="L25" i="2131"/>
  <c r="D25" i="2131" s="1"/>
  <c r="R24" i="2131"/>
  <c r="L24" i="2131"/>
  <c r="D24" i="2131" s="1"/>
  <c r="R23" i="2131"/>
  <c r="L23" i="2131"/>
  <c r="D23" i="2131"/>
  <c r="R22" i="2131"/>
  <c r="L20" i="2131" s="1"/>
  <c r="D20" i="2131" s="1"/>
  <c r="L22" i="2131"/>
  <c r="D22" i="2131"/>
  <c r="R21" i="2131"/>
  <c r="L21" i="2131"/>
  <c r="D21" i="2131"/>
  <c r="R20" i="2131"/>
  <c r="R19" i="2131"/>
  <c r="R18" i="2131"/>
  <c r="L18" i="2131"/>
  <c r="D18" i="2131" s="1"/>
  <c r="R17" i="2131"/>
  <c r="L17" i="2131"/>
  <c r="D17" i="2131" s="1"/>
  <c r="R16" i="2131"/>
  <c r="R15" i="2131"/>
  <c r="L15" i="2131"/>
  <c r="D15" i="2131"/>
  <c r="R14" i="2131"/>
  <c r="D14" i="2131"/>
  <c r="R13" i="2131"/>
  <c r="D13" i="2131"/>
  <c r="R12" i="2131"/>
  <c r="L12" i="2131"/>
  <c r="D12" i="2131" s="1"/>
  <c r="R11" i="2131"/>
  <c r="L10" i="2131"/>
  <c r="D10" i="2131" s="1"/>
  <c r="L9" i="2131"/>
  <c r="D9" i="2131" s="1"/>
  <c r="L8" i="2131"/>
  <c r="D8" i="2131"/>
  <c r="L7" i="2131"/>
  <c r="D7" i="2131" s="1"/>
  <c r="R6" i="2131"/>
  <c r="L16" i="2131" s="1"/>
  <c r="D16" i="2131" s="1"/>
  <c r="R5" i="2131"/>
  <c r="R4" i="2131"/>
  <c r="R52" i="2130"/>
  <c r="R51" i="2130"/>
  <c r="D50" i="2130"/>
  <c r="R49" i="2130"/>
  <c r="D49" i="2130"/>
  <c r="R48" i="2130"/>
  <c r="D48" i="2130"/>
  <c r="D46" i="2130"/>
  <c r="D45" i="2130"/>
  <c r="R44" i="2130"/>
  <c r="L28" i="2130" s="1"/>
  <c r="D28" i="2130" s="1"/>
  <c r="D44" i="2130"/>
  <c r="R42" i="2130"/>
  <c r="D42" i="2130"/>
  <c r="R41" i="2130"/>
  <c r="D41" i="2130"/>
  <c r="R40" i="2130"/>
  <c r="L8" i="2130" s="1"/>
  <c r="D8" i="2130" s="1"/>
  <c r="D40" i="2130"/>
  <c r="R39" i="2130"/>
  <c r="H39" i="2130"/>
  <c r="D39" i="2130"/>
  <c r="R38" i="2130"/>
  <c r="L9" i="2130" s="1"/>
  <c r="D9" i="2130" s="1"/>
  <c r="H38" i="2130"/>
  <c r="D38" i="2130"/>
  <c r="R37" i="2130"/>
  <c r="H37" i="2130"/>
  <c r="D37" i="2130"/>
  <c r="R36" i="2130"/>
  <c r="H36" i="2130"/>
  <c r="D36" i="2130"/>
  <c r="R35" i="2130"/>
  <c r="H35" i="2130"/>
  <c r="D35" i="2130"/>
  <c r="R34" i="2130"/>
  <c r="L12" i="2130" s="1"/>
  <c r="D12" i="2130" s="1"/>
  <c r="H34" i="2130"/>
  <c r="G49" i="2130" s="1"/>
  <c r="D34" i="2130"/>
  <c r="R33" i="2130"/>
  <c r="L19" i="2130" s="1"/>
  <c r="D19" i="2130" s="1"/>
  <c r="R32" i="2130"/>
  <c r="R31" i="2130"/>
  <c r="R30" i="2130"/>
  <c r="R29" i="2130"/>
  <c r="R28" i="2130"/>
  <c r="R27" i="2130"/>
  <c r="L27" i="2130"/>
  <c r="D27" i="2130"/>
  <c r="R26" i="2130"/>
  <c r="L26" i="2130"/>
  <c r="D26" i="2130" s="1"/>
  <c r="R25" i="2130"/>
  <c r="L25" i="2130"/>
  <c r="D25" i="2130" s="1"/>
  <c r="R24" i="2130"/>
  <c r="L24" i="2130"/>
  <c r="D24" i="2130" s="1"/>
  <c r="R23" i="2130"/>
  <c r="L23" i="2130"/>
  <c r="D23" i="2130" s="1"/>
  <c r="R22" i="2130"/>
  <c r="L20" i="2130" s="1"/>
  <c r="D20" i="2130" s="1"/>
  <c r="L22" i="2130"/>
  <c r="D22" i="2130"/>
  <c r="R21" i="2130"/>
  <c r="L17" i="2130" s="1"/>
  <c r="D17" i="2130" s="1"/>
  <c r="D21" i="2130"/>
  <c r="R20" i="2130"/>
  <c r="R19" i="2130"/>
  <c r="R18" i="2130"/>
  <c r="L18" i="2130"/>
  <c r="D18" i="2130"/>
  <c r="R17" i="2130"/>
  <c r="R16" i="2130"/>
  <c r="L16" i="2130"/>
  <c r="D16" i="2130"/>
  <c r="R15" i="2130"/>
  <c r="L15" i="2130"/>
  <c r="D15" i="2130" s="1"/>
  <c r="R14" i="2130"/>
  <c r="D14" i="2130"/>
  <c r="R13" i="2130"/>
  <c r="D13" i="2130"/>
  <c r="R12" i="2130"/>
  <c r="R11" i="2130"/>
  <c r="L11" i="2130"/>
  <c r="D11" i="2130"/>
  <c r="L10" i="2130"/>
  <c r="D10" i="2130"/>
  <c r="L7" i="2130"/>
  <c r="D7" i="2130"/>
  <c r="R6" i="2130"/>
  <c r="L6" i="2130"/>
  <c r="D6" i="2130"/>
  <c r="R5" i="2130"/>
  <c r="R4" i="2130"/>
  <c r="R52" i="2129"/>
  <c r="R51" i="2129"/>
  <c r="D50" i="2129"/>
  <c r="R49" i="2129"/>
  <c r="D49" i="2129"/>
  <c r="R48" i="2129"/>
  <c r="D48" i="2129"/>
  <c r="D46" i="2129"/>
  <c r="D45" i="2129"/>
  <c r="R44" i="2129"/>
  <c r="L28" i="2129" s="1"/>
  <c r="D28" i="2129" s="1"/>
  <c r="D44" i="2129"/>
  <c r="R42" i="2129"/>
  <c r="D42" i="2129"/>
  <c r="R41" i="2129"/>
  <c r="D41" i="2129"/>
  <c r="R40" i="2129"/>
  <c r="L8" i="2129" s="1"/>
  <c r="D8" i="2129" s="1"/>
  <c r="D40" i="2129"/>
  <c r="R39" i="2129"/>
  <c r="H39" i="2129"/>
  <c r="D39" i="2129"/>
  <c r="R38" i="2129"/>
  <c r="H38" i="2129"/>
  <c r="D38" i="2129"/>
  <c r="R37" i="2129"/>
  <c r="H37" i="2129"/>
  <c r="D37" i="2129"/>
  <c r="R36" i="2129"/>
  <c r="H36" i="2129"/>
  <c r="D36" i="2129"/>
  <c r="R35" i="2129"/>
  <c r="H35" i="2129"/>
  <c r="D35" i="2129"/>
  <c r="R34" i="2129"/>
  <c r="H34" i="2129"/>
  <c r="D34" i="2129"/>
  <c r="R33" i="2129"/>
  <c r="L19" i="2129" s="1"/>
  <c r="D19" i="2129" s="1"/>
  <c r="R32" i="2129"/>
  <c r="R31" i="2129"/>
  <c r="R30" i="2129"/>
  <c r="R29" i="2129"/>
  <c r="R28" i="2129"/>
  <c r="R27" i="2129"/>
  <c r="L27" i="2129"/>
  <c r="D27" i="2129" s="1"/>
  <c r="R26" i="2129"/>
  <c r="L26" i="2129"/>
  <c r="D26" i="2129"/>
  <c r="R25" i="2129"/>
  <c r="L25" i="2129"/>
  <c r="D25" i="2129" s="1"/>
  <c r="R24" i="2129"/>
  <c r="L24" i="2129"/>
  <c r="D24" i="2129" s="1"/>
  <c r="R23" i="2129"/>
  <c r="L23" i="2129"/>
  <c r="D23" i="2129" s="1"/>
  <c r="R22" i="2129"/>
  <c r="L22" i="2129"/>
  <c r="D22" i="2129"/>
  <c r="R21" i="2129"/>
  <c r="L21" i="2129"/>
  <c r="D21" i="2129" s="1"/>
  <c r="R20" i="2129"/>
  <c r="L20" i="2129"/>
  <c r="D20" i="2129" s="1"/>
  <c r="R19" i="2129"/>
  <c r="R18" i="2129"/>
  <c r="L18" i="2129"/>
  <c r="D18" i="2129" s="1"/>
  <c r="R17" i="2129"/>
  <c r="L17" i="2129"/>
  <c r="D17" i="2129" s="1"/>
  <c r="R16" i="2129"/>
  <c r="L16" i="2129"/>
  <c r="D16" i="2129"/>
  <c r="R15" i="2129"/>
  <c r="L15" i="2129"/>
  <c r="D15" i="2129" s="1"/>
  <c r="R14" i="2129"/>
  <c r="D14" i="2129"/>
  <c r="R13" i="2129"/>
  <c r="D13" i="2129"/>
  <c r="R12" i="2129"/>
  <c r="L12" i="2129"/>
  <c r="D12" i="2129" s="1"/>
  <c r="R11" i="2129"/>
  <c r="L11" i="2129"/>
  <c r="D11" i="2129"/>
  <c r="L10" i="2129"/>
  <c r="D10" i="2129"/>
  <c r="L9" i="2129"/>
  <c r="D9" i="2129" s="1"/>
  <c r="L7" i="2129"/>
  <c r="D7" i="2129" s="1"/>
  <c r="R6" i="2129"/>
  <c r="L6" i="2129"/>
  <c r="D6" i="2129" s="1"/>
  <c r="R5" i="2129"/>
  <c r="R4" i="2129"/>
  <c r="R52" i="2128"/>
  <c r="R51" i="2128"/>
  <c r="D50" i="2128"/>
  <c r="R49" i="2128"/>
  <c r="G49" i="2128"/>
  <c r="D49" i="2128"/>
  <c r="R48" i="2128"/>
  <c r="D48" i="2128"/>
  <c r="D46" i="2128"/>
  <c r="D45" i="2128"/>
  <c r="D44" i="2128"/>
  <c r="R42" i="2128"/>
  <c r="D42" i="2128"/>
  <c r="R41" i="2128"/>
  <c r="L7" i="2128" s="1"/>
  <c r="D7" i="2128" s="1"/>
  <c r="D41" i="2128"/>
  <c r="R40" i="2128"/>
  <c r="L8" i="2128" s="1"/>
  <c r="D8" i="2128" s="1"/>
  <c r="D40" i="2128"/>
  <c r="R39" i="2128"/>
  <c r="D39" i="2128"/>
  <c r="R38" i="2128"/>
  <c r="L9" i="2128" s="1"/>
  <c r="D9" i="2128" s="1"/>
  <c r="D38" i="2128"/>
  <c r="R37" i="2128"/>
  <c r="D37" i="2128"/>
  <c r="R36" i="2128"/>
  <c r="L10" i="2128" s="1"/>
  <c r="D10" i="2128" s="1"/>
  <c r="D36" i="2128"/>
  <c r="D54" i="2128" s="1"/>
  <c r="H14" i="2128" s="1"/>
  <c r="R35" i="2128"/>
  <c r="L19" i="2128" s="1"/>
  <c r="D19" i="2128" s="1"/>
  <c r="D35" i="2128"/>
  <c r="R34" i="2128"/>
  <c r="L12" i="2128" s="1"/>
  <c r="D12" i="2128" s="1"/>
  <c r="D34" i="2128"/>
  <c r="R33" i="2128"/>
  <c r="L23" i="2128" s="1"/>
  <c r="D23" i="2128" s="1"/>
  <c r="R32" i="2128"/>
  <c r="R31" i="2128"/>
  <c r="R30" i="2128"/>
  <c r="R29" i="2128"/>
  <c r="R28" i="2128"/>
  <c r="D28" i="2128"/>
  <c r="R27" i="2128"/>
  <c r="D27" i="2128"/>
  <c r="R26" i="2128"/>
  <c r="L26" i="2128"/>
  <c r="D26" i="2128" s="1"/>
  <c r="R25" i="2128"/>
  <c r="L25" i="2128"/>
  <c r="D25" i="2128"/>
  <c r="R24" i="2128"/>
  <c r="D24" i="2128"/>
  <c r="R23" i="2128"/>
  <c r="R22" i="2128"/>
  <c r="L22" i="2128"/>
  <c r="D22" i="2128" s="1"/>
  <c r="R21" i="2128"/>
  <c r="D21" i="2128"/>
  <c r="R20" i="2128"/>
  <c r="L20" i="2128"/>
  <c r="D20" i="2128" s="1"/>
  <c r="R19" i="2128"/>
  <c r="R18" i="2128"/>
  <c r="D18" i="2128"/>
  <c r="R17" i="2128"/>
  <c r="D17" i="2128"/>
  <c r="R16" i="2128"/>
  <c r="L16" i="2128"/>
  <c r="D16" i="2128" s="1"/>
  <c r="S15" i="2128"/>
  <c r="R15" i="2128"/>
  <c r="D15" i="2128"/>
  <c r="S14" i="2128"/>
  <c r="R14" i="2128"/>
  <c r="D14" i="2128"/>
  <c r="R13" i="2128"/>
  <c r="D13" i="2128"/>
  <c r="R12" i="2128"/>
  <c r="R11" i="2128"/>
  <c r="L11" i="2128"/>
  <c r="D11" i="2128" s="1"/>
  <c r="R6" i="2128"/>
  <c r="L6" i="2128"/>
  <c r="D6" i="2128"/>
  <c r="R5" i="2128"/>
  <c r="R4" i="2128"/>
  <c r="R52" i="2127"/>
  <c r="R51" i="2127"/>
  <c r="D50" i="2127"/>
  <c r="R49" i="2127"/>
  <c r="D49" i="2127"/>
  <c r="R48" i="2127"/>
  <c r="D48" i="2127"/>
  <c r="D46" i="2127"/>
  <c r="D45" i="2127"/>
  <c r="R44" i="2127"/>
  <c r="D44" i="2127"/>
  <c r="R42" i="2127"/>
  <c r="L6" i="2127" s="1"/>
  <c r="D6" i="2127" s="1"/>
  <c r="D42" i="2127"/>
  <c r="R41" i="2127"/>
  <c r="D41" i="2127"/>
  <c r="R40" i="2127"/>
  <c r="L8" i="2127" s="1"/>
  <c r="D8" i="2127" s="1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D35" i="2127"/>
  <c r="R34" i="2127"/>
  <c r="H34" i="2127"/>
  <c r="D34" i="2127"/>
  <c r="D54" i="2127" s="1"/>
  <c r="H14" i="2127" s="1"/>
  <c r="R33" i="2127"/>
  <c r="L19" i="2127" s="1"/>
  <c r="D19" i="2127" s="1"/>
  <c r="R32" i="2127"/>
  <c r="R31" i="2127"/>
  <c r="R30" i="2127"/>
  <c r="R29" i="2127"/>
  <c r="R28" i="2127"/>
  <c r="L28" i="2127"/>
  <c r="D28" i="2127"/>
  <c r="R27" i="2127"/>
  <c r="L27" i="2127"/>
  <c r="D27" i="2127"/>
  <c r="R26" i="2127"/>
  <c r="L26" i="2127"/>
  <c r="D26" i="2127"/>
  <c r="R25" i="2127"/>
  <c r="L25" i="2127"/>
  <c r="D25" i="2127" s="1"/>
  <c r="R24" i="2127"/>
  <c r="L24" i="2127"/>
  <c r="D24" i="2127"/>
  <c r="R23" i="2127"/>
  <c r="L23" i="2127"/>
  <c r="D23" i="2127"/>
  <c r="R22" i="2127"/>
  <c r="L20" i="2127" s="1"/>
  <c r="D20" i="2127" s="1"/>
  <c r="L22" i="2127"/>
  <c r="D22" i="2127"/>
  <c r="R21" i="2127"/>
  <c r="L21" i="2127"/>
  <c r="D21" i="2127" s="1"/>
  <c r="R20" i="2127"/>
  <c r="R19" i="2127"/>
  <c r="R18" i="2127"/>
  <c r="L18" i="2127"/>
  <c r="D18" i="2127" s="1"/>
  <c r="R17" i="2127"/>
  <c r="L17" i="2127"/>
  <c r="D17" i="2127" s="1"/>
  <c r="R16" i="2127"/>
  <c r="L16" i="2127"/>
  <c r="D16" i="2127" s="1"/>
  <c r="R15" i="2127"/>
  <c r="L15" i="2127"/>
  <c r="D15" i="2127" s="1"/>
  <c r="R14" i="2127"/>
  <c r="D14" i="2127"/>
  <c r="R13" i="2127"/>
  <c r="D13" i="2127"/>
  <c r="R12" i="2127"/>
  <c r="L12" i="2127"/>
  <c r="D12" i="2127" s="1"/>
  <c r="R11" i="2127"/>
  <c r="L11" i="2127"/>
  <c r="D11" i="2127" s="1"/>
  <c r="L9" i="2127"/>
  <c r="D9" i="2127" s="1"/>
  <c r="L7" i="2127"/>
  <c r="D7" i="2127"/>
  <c r="R6" i="2127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L28" i="2126" s="1"/>
  <c r="D28" i="2126" s="1"/>
  <c r="D44" i="2126"/>
  <c r="R42" i="2126"/>
  <c r="D42" i="2126"/>
  <c r="R41" i="2126"/>
  <c r="L7" i="2126" s="1"/>
  <c r="D7" i="2126" s="1"/>
  <c r="D41" i="2126"/>
  <c r="R40" i="2126"/>
  <c r="D40" i="2126"/>
  <c r="R39" i="2126"/>
  <c r="H39" i="2126"/>
  <c r="D39" i="2126"/>
  <c r="R38" i="2126"/>
  <c r="L9" i="2126" s="1"/>
  <c r="D9" i="2126" s="1"/>
  <c r="H38" i="2126"/>
  <c r="D38" i="2126"/>
  <c r="R37" i="2126"/>
  <c r="H37" i="2126"/>
  <c r="D37" i="2126"/>
  <c r="R36" i="2126"/>
  <c r="H36" i="2126"/>
  <c r="D36" i="2126"/>
  <c r="R35" i="2126"/>
  <c r="L18" i="2126" s="1"/>
  <c r="D18" i="2126" s="1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R32" i="2126"/>
  <c r="L11" i="2126" s="1"/>
  <c r="D11" i="2126" s="1"/>
  <c r="R31" i="2126"/>
  <c r="R30" i="2126"/>
  <c r="R29" i="2126"/>
  <c r="R28" i="2126"/>
  <c r="R27" i="2126"/>
  <c r="L27" i="2126"/>
  <c r="D27" i="2126" s="1"/>
  <c r="R26" i="2126"/>
  <c r="L26" i="2126"/>
  <c r="D26" i="2126" s="1"/>
  <c r="R25" i="2126"/>
  <c r="L25" i="2126"/>
  <c r="D25" i="2126" s="1"/>
  <c r="R24" i="2126"/>
  <c r="L24" i="2126"/>
  <c r="D24" i="2126"/>
  <c r="R23" i="2126"/>
  <c r="L23" i="2126"/>
  <c r="D23" i="2126"/>
  <c r="R22" i="2126"/>
  <c r="L22" i="2126"/>
  <c r="D22" i="2126" s="1"/>
  <c r="R21" i="2126"/>
  <c r="L17" i="2126" s="1"/>
  <c r="D17" i="2126" s="1"/>
  <c r="L21" i="2126"/>
  <c r="D21" i="2126" s="1"/>
  <c r="R20" i="2126"/>
  <c r="L20" i="2126"/>
  <c r="D20" i="2126"/>
  <c r="R19" i="2126"/>
  <c r="L19" i="2126"/>
  <c r="D19" i="2126" s="1"/>
  <c r="R18" i="2126"/>
  <c r="R17" i="2126"/>
  <c r="R16" i="2126"/>
  <c r="R15" i="2126"/>
  <c r="R14" i="2126"/>
  <c r="D14" i="2126"/>
  <c r="R13" i="2126"/>
  <c r="D13" i="2126"/>
  <c r="R12" i="2126"/>
  <c r="R11" i="2126"/>
  <c r="L10" i="2126"/>
  <c r="D10" i="2126" s="1"/>
  <c r="L8" i="2126"/>
  <c r="D8" i="2126" s="1"/>
  <c r="R6" i="2126"/>
  <c r="L16" i="2126" s="1"/>
  <c r="D16" i="2126" s="1"/>
  <c r="L6" i="2126"/>
  <c r="D6" i="2126"/>
  <c r="R5" i="2126"/>
  <c r="R4" i="2126"/>
  <c r="L15" i="2126" s="1"/>
  <c r="D15" i="2126" s="1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H38" i="2125"/>
  <c r="D38" i="2125"/>
  <c r="R37" i="2125"/>
  <c r="H37" i="2125"/>
  <c r="D37" i="2125"/>
  <c r="R36" i="2125"/>
  <c r="H36" i="2125"/>
  <c r="D36" i="2125"/>
  <c r="R35" i="2125"/>
  <c r="H35" i="2125"/>
  <c r="D35" i="2125"/>
  <c r="R34" i="2125"/>
  <c r="L12" i="2125" s="1"/>
  <c r="D12" i="2125" s="1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 s="1"/>
  <c r="R23" i="2125"/>
  <c r="L23" i="2125"/>
  <c r="D23" i="2125"/>
  <c r="R22" i="2125"/>
  <c r="L20" i="2125" s="1"/>
  <c r="D20" i="2125" s="1"/>
  <c r="L22" i="2125"/>
  <c r="D22" i="2125" s="1"/>
  <c r="R21" i="2125"/>
  <c r="L17" i="2125" s="1"/>
  <c r="D17" i="2125" s="1"/>
  <c r="D21" i="2125"/>
  <c r="R20" i="2125"/>
  <c r="R19" i="2125"/>
  <c r="L19" i="2125"/>
  <c r="D19" i="2125" s="1"/>
  <c r="R18" i="2125"/>
  <c r="L18" i="2125"/>
  <c r="D18" i="2125"/>
  <c r="R17" i="2125"/>
  <c r="R16" i="2125"/>
  <c r="R15" i="2125"/>
  <c r="R14" i="2125"/>
  <c r="D14" i="2125"/>
  <c r="R13" i="2125"/>
  <c r="D13" i="2125"/>
  <c r="R12" i="2125"/>
  <c r="R11" i="2125"/>
  <c r="L10" i="2125"/>
  <c r="D10" i="2125" s="1"/>
  <c r="L9" i="2125"/>
  <c r="D9" i="2125" s="1"/>
  <c r="L8" i="2125"/>
  <c r="D8" i="2125" s="1"/>
  <c r="L7" i="2125"/>
  <c r="D7" i="2125" s="1"/>
  <c r="R6" i="2125"/>
  <c r="L16" i="2125" s="1"/>
  <c r="D16" i="2125" s="1"/>
  <c r="L6" i="2125"/>
  <c r="D6" i="2125" s="1"/>
  <c r="R5" i="2125"/>
  <c r="R4" i="2125"/>
  <c r="L15" i="2125" s="1"/>
  <c r="D15" i="2125" s="1"/>
  <c r="R52" i="2123"/>
  <c r="R51" i="2123"/>
  <c r="D50" i="2123"/>
  <c r="R49" i="2123"/>
  <c r="G49" i="2123"/>
  <c r="D49" i="2123"/>
  <c r="R48" i="2123"/>
  <c r="D48" i="2123"/>
  <c r="D46" i="2123"/>
  <c r="D45" i="2123"/>
  <c r="D44" i="2123"/>
  <c r="R42" i="2123"/>
  <c r="D42" i="2123"/>
  <c r="R41" i="2123"/>
  <c r="L7" i="2123" s="1"/>
  <c r="D7" i="2123" s="1"/>
  <c r="D41" i="2123"/>
  <c r="R40" i="2123"/>
  <c r="L8" i="2123" s="1"/>
  <c r="D8" i="2123" s="1"/>
  <c r="D40" i="2123"/>
  <c r="R39" i="2123"/>
  <c r="D39" i="2123"/>
  <c r="R38" i="2123"/>
  <c r="D38" i="2123"/>
  <c r="R37" i="2123"/>
  <c r="D37" i="2123"/>
  <c r="R36" i="2123"/>
  <c r="L10" i="2123" s="1"/>
  <c r="D10" i="2123" s="1"/>
  <c r="D36" i="2123"/>
  <c r="R35" i="2123"/>
  <c r="D35" i="2123"/>
  <c r="R34" i="2123"/>
  <c r="D34" i="2123"/>
  <c r="D54" i="2123" s="1"/>
  <c r="H14" i="2123" s="1"/>
  <c r="R33" i="2123"/>
  <c r="L23" i="2123" s="1"/>
  <c r="D23" i="2123" s="1"/>
  <c r="R32" i="2123"/>
  <c r="R31" i="2123"/>
  <c r="R30" i="2123"/>
  <c r="R29" i="2123"/>
  <c r="R28" i="2123"/>
  <c r="D28" i="2123"/>
  <c r="R27" i="2123"/>
  <c r="D27" i="2123"/>
  <c r="R26" i="2123"/>
  <c r="L26" i="2123"/>
  <c r="D26" i="2123"/>
  <c r="R25" i="2123"/>
  <c r="L25" i="2123"/>
  <c r="D25" i="2123"/>
  <c r="R24" i="2123"/>
  <c r="D24" i="2123"/>
  <c r="R23" i="2123"/>
  <c r="R22" i="2123"/>
  <c r="L22" i="2123"/>
  <c r="D22" i="2123"/>
  <c r="R21" i="2123"/>
  <c r="D21" i="2123"/>
  <c r="R20" i="2123"/>
  <c r="L20" i="2123"/>
  <c r="D20" i="2123"/>
  <c r="R19" i="2123"/>
  <c r="L19" i="2123"/>
  <c r="D19" i="2123"/>
  <c r="R18" i="2123"/>
  <c r="D18" i="2123"/>
  <c r="R17" i="2123"/>
  <c r="D17" i="2123"/>
  <c r="R16" i="2123"/>
  <c r="L16" i="2123"/>
  <c r="D16" i="2123" s="1"/>
  <c r="S15" i="2123"/>
  <c r="R15" i="2123"/>
  <c r="D15" i="2123"/>
  <c r="S14" i="2123"/>
  <c r="R14" i="2123"/>
  <c r="D14" i="2123"/>
  <c r="R13" i="2123"/>
  <c r="D13" i="2123"/>
  <c r="R12" i="2123"/>
  <c r="L12" i="2123"/>
  <c r="D12" i="2123" s="1"/>
  <c r="R11" i="2123"/>
  <c r="L11" i="2123"/>
  <c r="D11" i="2123"/>
  <c r="L9" i="2123"/>
  <c r="D9" i="2123" s="1"/>
  <c r="R6" i="2123"/>
  <c r="L6" i="2123"/>
  <c r="D6" i="2123" s="1"/>
  <c r="R5" i="2123"/>
  <c r="R4" i="2123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L10" i="2122" s="1"/>
  <c r="D10" i="2122" s="1"/>
  <c r="H36" i="2122"/>
  <c r="D36" i="2122"/>
  <c r="R35" i="2122"/>
  <c r="L18" i="2122" s="1"/>
  <c r="D18" i="2122" s="1"/>
  <c r="H35" i="2122"/>
  <c r="D35" i="2122"/>
  <c r="R34" i="2122"/>
  <c r="H34" i="2122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/>
  <c r="R25" i="2122"/>
  <c r="L25" i="2122"/>
  <c r="D25" i="2122"/>
  <c r="R24" i="2122"/>
  <c r="L24" i="2122"/>
  <c r="D24" i="2122" s="1"/>
  <c r="R23" i="2122"/>
  <c r="L23" i="2122"/>
  <c r="D23" i="2122"/>
  <c r="R22" i="2122"/>
  <c r="L20" i="2122" s="1"/>
  <c r="D20" i="2122" s="1"/>
  <c r="L22" i="2122"/>
  <c r="D22" i="2122" s="1"/>
  <c r="R21" i="2122"/>
  <c r="L21" i="2122"/>
  <c r="D21" i="2122" s="1"/>
  <c r="R20" i="2122"/>
  <c r="R19" i="2122"/>
  <c r="L19" i="2122"/>
  <c r="D19" i="2122"/>
  <c r="R18" i="2122"/>
  <c r="R17" i="2122"/>
  <c r="L17" i="2122"/>
  <c r="D17" i="2122"/>
  <c r="R16" i="2122"/>
  <c r="L16" i="2122"/>
  <c r="D16" i="2122" s="1"/>
  <c r="R15" i="2122"/>
  <c r="R14" i="2122"/>
  <c r="D14" i="2122"/>
  <c r="R13" i="2122"/>
  <c r="D13" i="2122"/>
  <c r="R12" i="2122"/>
  <c r="L12" i="2122"/>
  <c r="D12" i="2122"/>
  <c r="R11" i="2122"/>
  <c r="L11" i="2122"/>
  <c r="D11" i="2122" s="1"/>
  <c r="L9" i="2122"/>
  <c r="D9" i="2122" s="1"/>
  <c r="R6" i="2122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L8" i="2121" s="1"/>
  <c r="D8" i="2121" s="1"/>
  <c r="D40" i="2121"/>
  <c r="R39" i="2121"/>
  <c r="H39" i="212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R35" i="2121"/>
  <c r="L18" i="2121" s="1"/>
  <c r="D18" i="2121" s="1"/>
  <c r="H35" i="2121"/>
  <c r="D35" i="2121"/>
  <c r="R34" i="2121"/>
  <c r="H34" i="2121"/>
  <c r="D34" i="2121"/>
  <c r="R33" i="2121"/>
  <c r="L19" i="2121" s="1"/>
  <c r="D19" i="2121" s="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 s="1"/>
  <c r="R23" i="2121"/>
  <c r="L23" i="2121"/>
  <c r="D23" i="2121" s="1"/>
  <c r="R22" i="2121"/>
  <c r="L22" i="2121"/>
  <c r="D22" i="2121" s="1"/>
  <c r="R21" i="2121"/>
  <c r="L17" i="2121" s="1"/>
  <c r="D17" i="2121" s="1"/>
  <c r="D21" i="2121"/>
  <c r="R20" i="2121"/>
  <c r="L20" i="2121"/>
  <c r="D20" i="2121"/>
  <c r="R19" i="2121"/>
  <c r="R18" i="2121"/>
  <c r="R17" i="2121"/>
  <c r="R16" i="2121"/>
  <c r="R15" i="2121"/>
  <c r="L15" i="2121"/>
  <c r="D15" i="2121"/>
  <c r="R14" i="2121"/>
  <c r="D14" i="2121"/>
  <c r="R13" i="2121"/>
  <c r="D13" i="2121"/>
  <c r="R12" i="2121"/>
  <c r="L12" i="2121"/>
  <c r="D12" i="2121"/>
  <c r="R11" i="2121"/>
  <c r="L11" i="2121"/>
  <c r="D11" i="2121" s="1"/>
  <c r="L9" i="2121"/>
  <c r="D9" i="2121"/>
  <c r="L7" i="2121"/>
  <c r="D7" i="2121"/>
  <c r="R6" i="2121"/>
  <c r="L16" i="2121" s="1"/>
  <c r="D16" i="2121" s="1"/>
  <c r="L6" i="2121"/>
  <c r="D6" i="2121" s="1"/>
  <c r="R5" i="2121"/>
  <c r="R4" i="2121"/>
  <c r="R52" i="2120"/>
  <c r="R51" i="2120"/>
  <c r="D50" i="2120"/>
  <c r="R49" i="2120"/>
  <c r="D49" i="2120"/>
  <c r="R48" i="2120"/>
  <c r="D48" i="2120"/>
  <c r="D46" i="2120"/>
  <c r="D45" i="2120"/>
  <c r="R44" i="2120"/>
  <c r="L28" i="2120" s="1"/>
  <c r="D28" i="2120" s="1"/>
  <c r="D44" i="2120"/>
  <c r="R42" i="2120"/>
  <c r="D42" i="2120"/>
  <c r="R41" i="2120"/>
  <c r="D41" i="2120"/>
  <c r="R40" i="2120"/>
  <c r="L8" i="2120" s="1"/>
  <c r="D8" i="2120" s="1"/>
  <c r="D40" i="2120"/>
  <c r="R39" i="2120"/>
  <c r="H39" i="2120"/>
  <c r="D39" i="2120"/>
  <c r="R38" i="2120"/>
  <c r="H38" i="2120"/>
  <c r="D38" i="2120"/>
  <c r="R37" i="2120"/>
  <c r="H37" i="2120"/>
  <c r="D37" i="2120"/>
  <c r="R36" i="2120"/>
  <c r="H36" i="2120"/>
  <c r="D36" i="2120"/>
  <c r="R35" i="2120"/>
  <c r="H35" i="2120"/>
  <c r="D35" i="2120"/>
  <c r="R34" i="2120"/>
  <c r="H34" i="2120"/>
  <c r="G49" i="2120" s="1"/>
  <c r="D34" i="2120"/>
  <c r="D54" i="2120" s="1"/>
  <c r="H14" i="2120" s="1"/>
  <c r="R33" i="2120"/>
  <c r="L19" i="2120" s="1"/>
  <c r="D19" i="2120" s="1"/>
  <c r="R32" i="2120"/>
  <c r="R31" i="2120"/>
  <c r="R30" i="2120"/>
  <c r="R29" i="2120"/>
  <c r="R28" i="2120"/>
  <c r="R27" i="2120"/>
  <c r="L27" i="2120"/>
  <c r="D27" i="2120"/>
  <c r="R26" i="2120"/>
  <c r="L26" i="2120"/>
  <c r="D26" i="2120"/>
  <c r="R25" i="2120"/>
  <c r="L25" i="2120"/>
  <c r="D25" i="2120" s="1"/>
  <c r="R24" i="2120"/>
  <c r="L24" i="2120"/>
  <c r="D24" i="2120" s="1"/>
  <c r="R23" i="2120"/>
  <c r="L23" i="2120"/>
  <c r="D23" i="2120" s="1"/>
  <c r="R22" i="2120"/>
  <c r="L20" i="2120" s="1"/>
  <c r="D20" i="2120" s="1"/>
  <c r="L22" i="2120"/>
  <c r="D22" i="2120"/>
  <c r="R21" i="2120"/>
  <c r="L21" i="2120"/>
  <c r="D21" i="2120" s="1"/>
  <c r="R20" i="2120"/>
  <c r="R19" i="2120"/>
  <c r="R18" i="2120"/>
  <c r="L18" i="2120"/>
  <c r="D18" i="2120" s="1"/>
  <c r="R17" i="2120"/>
  <c r="L17" i="2120"/>
  <c r="D17" i="2120" s="1"/>
  <c r="R16" i="2120"/>
  <c r="L16" i="2120"/>
  <c r="D16" i="2120" s="1"/>
  <c r="R15" i="2120"/>
  <c r="L15" i="2120"/>
  <c r="D15" i="2120" s="1"/>
  <c r="R14" i="2120"/>
  <c r="D14" i="2120"/>
  <c r="R13" i="2120"/>
  <c r="D13" i="2120"/>
  <c r="R12" i="2120"/>
  <c r="L12" i="2120"/>
  <c r="D12" i="2120" s="1"/>
  <c r="R11" i="2120"/>
  <c r="L11" i="2120"/>
  <c r="D11" i="2120" s="1"/>
  <c r="L10" i="2120"/>
  <c r="D10" i="2120"/>
  <c r="L9" i="2120"/>
  <c r="D9" i="2120" s="1"/>
  <c r="L7" i="2120"/>
  <c r="D7" i="2120" s="1"/>
  <c r="R6" i="2120"/>
  <c r="L6" i="2120"/>
  <c r="D6" i="2120" s="1"/>
  <c r="R5" i="2120"/>
  <c r="R4" i="2120"/>
  <c r="R52" i="2119"/>
  <c r="R51" i="2119"/>
  <c r="D50" i="2119"/>
  <c r="R49" i="2119"/>
  <c r="G49" i="2119"/>
  <c r="D49" i="2119"/>
  <c r="R48" i="2119"/>
  <c r="D48" i="2119"/>
  <c r="D46" i="2119"/>
  <c r="D45" i="2119"/>
  <c r="D44" i="2119"/>
  <c r="R42" i="2119"/>
  <c r="D42" i="2119"/>
  <c r="R41" i="2119"/>
  <c r="L7" i="2119" s="1"/>
  <c r="D7" i="2119" s="1"/>
  <c r="D41" i="2119"/>
  <c r="R40" i="2119"/>
  <c r="D40" i="2119"/>
  <c r="R39" i="2119"/>
  <c r="D39" i="2119"/>
  <c r="R38" i="2119"/>
  <c r="D38" i="2119"/>
  <c r="R37" i="2119"/>
  <c r="D37" i="2119"/>
  <c r="R36" i="2119"/>
  <c r="D36" i="2119"/>
  <c r="R35" i="2119"/>
  <c r="L19" i="2119" s="1"/>
  <c r="D19" i="2119" s="1"/>
  <c r="D35" i="2119"/>
  <c r="D54" i="2119" s="1"/>
  <c r="H14" i="2119" s="1"/>
  <c r="R34" i="2119"/>
  <c r="D34" i="2119"/>
  <c r="R33" i="2119"/>
  <c r="L23" i="2119" s="1"/>
  <c r="D23" i="2119" s="1"/>
  <c r="R32" i="2119"/>
  <c r="R31" i="2119"/>
  <c r="R30" i="2119"/>
  <c r="R29" i="2119"/>
  <c r="R28" i="2119"/>
  <c r="D28" i="2119"/>
  <c r="R27" i="2119"/>
  <c r="D27" i="2119"/>
  <c r="R26" i="2119"/>
  <c r="L26" i="2119"/>
  <c r="D26" i="2119"/>
  <c r="R25" i="2119"/>
  <c r="L25" i="2119"/>
  <c r="D25" i="2119"/>
  <c r="R24" i="2119"/>
  <c r="D24" i="2119"/>
  <c r="R23" i="2119"/>
  <c r="R22" i="2119"/>
  <c r="L22" i="2119"/>
  <c r="D22" i="2119" s="1"/>
  <c r="R21" i="2119"/>
  <c r="D21" i="2119"/>
  <c r="R20" i="2119"/>
  <c r="L20" i="2119"/>
  <c r="D20" i="2119"/>
  <c r="R19" i="2119"/>
  <c r="R18" i="2119"/>
  <c r="D18" i="2119"/>
  <c r="R17" i="2119"/>
  <c r="D17" i="2119"/>
  <c r="R16" i="2119"/>
  <c r="L16" i="2119"/>
  <c r="D16" i="2119" s="1"/>
  <c r="S15" i="2119"/>
  <c r="R15" i="2119"/>
  <c r="D15" i="2119"/>
  <c r="S14" i="2119"/>
  <c r="R14" i="2119"/>
  <c r="D14" i="2119"/>
  <c r="R13" i="2119"/>
  <c r="D13" i="2119"/>
  <c r="R12" i="2119"/>
  <c r="L12" i="2119"/>
  <c r="D12" i="2119"/>
  <c r="R11" i="2119"/>
  <c r="L11" i="2119"/>
  <c r="D11" i="2119" s="1"/>
  <c r="L10" i="2119"/>
  <c r="D10" i="2119" s="1"/>
  <c r="L9" i="2119"/>
  <c r="D9" i="2119" s="1"/>
  <c r="L8" i="2119"/>
  <c r="D8" i="2119" s="1"/>
  <c r="R6" i="2119"/>
  <c r="L6" i="2119"/>
  <c r="D6" i="2119"/>
  <c r="D29" i="2119" s="1"/>
  <c r="H13" i="2119" s="1"/>
  <c r="H15" i="2119" s="1"/>
  <c r="H29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L28" i="2118" s="1"/>
  <c r="D28" i="2118" s="1"/>
  <c r="D44" i="2118"/>
  <c r="R42" i="2118"/>
  <c r="D42" i="2118"/>
  <c r="R41" i="2118"/>
  <c r="D41" i="2118"/>
  <c r="R40" i="2118"/>
  <c r="L8" i="2118" s="1"/>
  <c r="D8" i="2118" s="1"/>
  <c r="D40" i="2118"/>
  <c r="R39" i="2118"/>
  <c r="H39" i="2118"/>
  <c r="D39" i="2118"/>
  <c r="R38" i="2118"/>
  <c r="H38" i="2118"/>
  <c r="D38" i="2118"/>
  <c r="R37" i="2118"/>
  <c r="H37" i="2118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R27" i="2118"/>
  <c r="D27" i="2118"/>
  <c r="R26" i="2118"/>
  <c r="L26" i="2118"/>
  <c r="D26" i="2118"/>
  <c r="R25" i="2118"/>
  <c r="L25" i="2118"/>
  <c r="D25" i="2118" s="1"/>
  <c r="R24" i="2118"/>
  <c r="L24" i="2118"/>
  <c r="D24" i="2118" s="1"/>
  <c r="R23" i="2118"/>
  <c r="L23" i="2118"/>
  <c r="D23" i="2118" s="1"/>
  <c r="R22" i="2118"/>
  <c r="L22" i="2118"/>
  <c r="D22" i="2118"/>
  <c r="R21" i="2118"/>
  <c r="L21" i="2118"/>
  <c r="D21" i="2118" s="1"/>
  <c r="R20" i="2118"/>
  <c r="L20" i="2118"/>
  <c r="D20" i="2118" s="1"/>
  <c r="R19" i="2118"/>
  <c r="R18" i="2118"/>
  <c r="L18" i="2118"/>
  <c r="D18" i="2118"/>
  <c r="R17" i="2118"/>
  <c r="L17" i="2118"/>
  <c r="D17" i="2118" s="1"/>
  <c r="R16" i="2118"/>
  <c r="R15" i="2118"/>
  <c r="L15" i="2118"/>
  <c r="D15" i="2118" s="1"/>
  <c r="R14" i="2118"/>
  <c r="D14" i="2118"/>
  <c r="R13" i="2118"/>
  <c r="D13" i="2118"/>
  <c r="R12" i="2118"/>
  <c r="R11" i="2118"/>
  <c r="L10" i="2118"/>
  <c r="D10" i="2118"/>
  <c r="L9" i="2118"/>
  <c r="D9" i="2118" s="1"/>
  <c r="L7" i="2118"/>
  <c r="D7" i="2118" s="1"/>
  <c r="R6" i="2118"/>
  <c r="L16" i="2118" s="1"/>
  <c r="D16" i="2118" s="1"/>
  <c r="L6" i="2118"/>
  <c r="D6" i="2118" s="1"/>
  <c r="R5" i="2118"/>
  <c r="R4" i="2118"/>
  <c r="R52" i="2117"/>
  <c r="R51" i="2117"/>
  <c r="D50" i="2117"/>
  <c r="R49" i="2117"/>
  <c r="D49" i="2117"/>
  <c r="R48" i="2117"/>
  <c r="D48" i="2117"/>
  <c r="D46" i="2117"/>
  <c r="D45" i="2117"/>
  <c r="R44" i="2117"/>
  <c r="L28" i="2117" s="1"/>
  <c r="D28" i="2117" s="1"/>
  <c r="D44" i="2117"/>
  <c r="R42" i="2117"/>
  <c r="D42" i="2117"/>
  <c r="R41" i="2117"/>
  <c r="L7" i="2117" s="1"/>
  <c r="D7" i="2117" s="1"/>
  <c r="D41" i="2117"/>
  <c r="R40" i="2117"/>
  <c r="D40" i="2117"/>
  <c r="R39" i="2117"/>
  <c r="H39" i="2117"/>
  <c r="D39" i="2117"/>
  <c r="R38" i="2117"/>
  <c r="H38" i="2117"/>
  <c r="D38" i="2117"/>
  <c r="R37" i="2117"/>
  <c r="H37" i="2117"/>
  <c r="D37" i="2117"/>
  <c r="R36" i="2117"/>
  <c r="L10" i="2117" s="1"/>
  <c r="D10" i="2117" s="1"/>
  <c r="H36" i="2117"/>
  <c r="D36" i="2117"/>
  <c r="R35" i="2117"/>
  <c r="L18" i="2117" s="1"/>
  <c r="D18" i="2117" s="1"/>
  <c r="H35" i="2117"/>
  <c r="D35" i="2117"/>
  <c r="R34" i="2117"/>
  <c r="L12" i="2117" s="1"/>
  <c r="D12" i="2117" s="1"/>
  <c r="H34" i="2117"/>
  <c r="D34" i="2117"/>
  <c r="R33" i="2117"/>
  <c r="R32" i="2117"/>
  <c r="L11" i="2117" s="1"/>
  <c r="D11" i="2117" s="1"/>
  <c r="R31" i="2117"/>
  <c r="R30" i="2117"/>
  <c r="R29" i="2117"/>
  <c r="R28" i="2117"/>
  <c r="R27" i="2117"/>
  <c r="L27" i="2117"/>
  <c r="D27" i="2117"/>
  <c r="R26" i="2117"/>
  <c r="L26" i="2117"/>
  <c r="D26" i="2117"/>
  <c r="R25" i="2117"/>
  <c r="L25" i="2117"/>
  <c r="D25" i="2117"/>
  <c r="R24" i="2117"/>
  <c r="L24" i="2117"/>
  <c r="D24" i="2117" s="1"/>
  <c r="R23" i="2117"/>
  <c r="L23" i="2117"/>
  <c r="D23" i="2117" s="1"/>
  <c r="R22" i="2117"/>
  <c r="L22" i="2117"/>
  <c r="D22" i="2117" s="1"/>
  <c r="R21" i="2117"/>
  <c r="L17" i="2117" s="1"/>
  <c r="D17" i="2117" s="1"/>
  <c r="D21" i="2117"/>
  <c r="R20" i="2117"/>
  <c r="L20" i="2117"/>
  <c r="D20" i="2117" s="1"/>
  <c r="R19" i="2117"/>
  <c r="L19" i="2117"/>
  <c r="D19" i="2117" s="1"/>
  <c r="R18" i="2117"/>
  <c r="R17" i="2117"/>
  <c r="R16" i="2117"/>
  <c r="R15" i="2117"/>
  <c r="L15" i="2117"/>
  <c r="D15" i="2117"/>
  <c r="R14" i="2117"/>
  <c r="D14" i="2117"/>
  <c r="R13" i="2117"/>
  <c r="D13" i="2117"/>
  <c r="R12" i="2117"/>
  <c r="R11" i="2117"/>
  <c r="L9" i="2117"/>
  <c r="D9" i="2117" s="1"/>
  <c r="L8" i="2117"/>
  <c r="D8" i="2117"/>
  <c r="R6" i="2117"/>
  <c r="L16" i="2117" s="1"/>
  <c r="D16" i="2117" s="1"/>
  <c r="L6" i="2117"/>
  <c r="D6" i="2117"/>
  <c r="R5" i="2117"/>
  <c r="R4" i="2117"/>
  <c r="R52" i="2116"/>
  <c r="R51" i="2116"/>
  <c r="D50" i="2116"/>
  <c r="R49" i="2116"/>
  <c r="D49" i="2116"/>
  <c r="R48" i="2116"/>
  <c r="D48" i="2116"/>
  <c r="D46" i="2116"/>
  <c r="D45" i="2116"/>
  <c r="R44" i="2116"/>
  <c r="L28" i="2116" s="1"/>
  <c r="D28" i="2116" s="1"/>
  <c r="D44" i="2116"/>
  <c r="R42" i="2116"/>
  <c r="D42" i="2116"/>
  <c r="R41" i="2116"/>
  <c r="L7" i="2116" s="1"/>
  <c r="D7" i="2116" s="1"/>
  <c r="D41" i="2116"/>
  <c r="R40" i="2116"/>
  <c r="D40" i="2116"/>
  <c r="R39" i="2116"/>
  <c r="H39" i="2116"/>
  <c r="D39" i="2116"/>
  <c r="R38" i="2116"/>
  <c r="H38" i="2116"/>
  <c r="D38" i="2116"/>
  <c r="R37" i="2116"/>
  <c r="H37" i="2116"/>
  <c r="D37" i="2116"/>
  <c r="R36" i="2116"/>
  <c r="H36" i="2116"/>
  <c r="D36" i="2116"/>
  <c r="R35" i="2116"/>
  <c r="L18" i="2116" s="1"/>
  <c r="D18" i="2116" s="1"/>
  <c r="H35" i="2116"/>
  <c r="D35" i="2116"/>
  <c r="R34" i="2116"/>
  <c r="H34" i="2116"/>
  <c r="D34" i="2116"/>
  <c r="R33" i="2116"/>
  <c r="L19" i="2116" s="1"/>
  <c r="D19" i="2116" s="1"/>
  <c r="R32" i="2116"/>
  <c r="L11" i="2116" s="1"/>
  <c r="D11" i="2116" s="1"/>
  <c r="R31" i="2116"/>
  <c r="R30" i="2116"/>
  <c r="R29" i="2116"/>
  <c r="R28" i="2116"/>
  <c r="R27" i="2116"/>
  <c r="L27" i="2116"/>
  <c r="D27" i="2116"/>
  <c r="R26" i="2116"/>
  <c r="L26" i="2116"/>
  <c r="D26" i="2116"/>
  <c r="R25" i="2116"/>
  <c r="L25" i="2116"/>
  <c r="D25" i="2116"/>
  <c r="R24" i="2116"/>
  <c r="L24" i="2116"/>
  <c r="D24" i="2116" s="1"/>
  <c r="R23" i="2116"/>
  <c r="L23" i="2116"/>
  <c r="D23" i="2116" s="1"/>
  <c r="R22" i="2116"/>
  <c r="L22" i="2116"/>
  <c r="D22" i="2116" s="1"/>
  <c r="R21" i="2116"/>
  <c r="L21" i="2116"/>
  <c r="D21" i="2116"/>
  <c r="R20" i="2116"/>
  <c r="L20" i="2116"/>
  <c r="D20" i="2116" s="1"/>
  <c r="R19" i="2116"/>
  <c r="R18" i="2116"/>
  <c r="R17" i="2116"/>
  <c r="L17" i="2116"/>
  <c r="D17" i="2116"/>
  <c r="R16" i="2116"/>
  <c r="R15" i="2116"/>
  <c r="L15" i="2116"/>
  <c r="D15" i="2116" s="1"/>
  <c r="R14" i="2116"/>
  <c r="D14" i="2116"/>
  <c r="R13" i="2116"/>
  <c r="D13" i="2116"/>
  <c r="R12" i="2116"/>
  <c r="L12" i="2116"/>
  <c r="D12" i="2116"/>
  <c r="R11" i="2116"/>
  <c r="L10" i="2116"/>
  <c r="D10" i="2116"/>
  <c r="L9" i="2116"/>
  <c r="D9" i="2116" s="1"/>
  <c r="L8" i="2116"/>
  <c r="D8" i="2116" s="1"/>
  <c r="R6" i="2116"/>
  <c r="L16" i="2116" s="1"/>
  <c r="D16" i="2116" s="1"/>
  <c r="L6" i="2116"/>
  <c r="D6" i="2116" s="1"/>
  <c r="R5" i="2116"/>
  <c r="R4" i="2116"/>
  <c r="R52" i="2115"/>
  <c r="R51" i="2115"/>
  <c r="D50" i="2115"/>
  <c r="R49" i="2115"/>
  <c r="G49" i="2115"/>
  <c r="D49" i="2115"/>
  <c r="R48" i="2115"/>
  <c r="D48" i="2115"/>
  <c r="D46" i="2115"/>
  <c r="D45" i="2115"/>
  <c r="D44" i="2115"/>
  <c r="R42" i="2115"/>
  <c r="L6" i="2115" s="1"/>
  <c r="D6" i="2115" s="1"/>
  <c r="D42" i="2115"/>
  <c r="R41" i="2115"/>
  <c r="L7" i="2115" s="1"/>
  <c r="D7" i="2115" s="1"/>
  <c r="D41" i="2115"/>
  <c r="R40" i="2115"/>
  <c r="L8" i="2115" s="1"/>
  <c r="D8" i="2115" s="1"/>
  <c r="D40" i="2115"/>
  <c r="R39" i="2115"/>
  <c r="D39" i="2115"/>
  <c r="R38" i="2115"/>
  <c r="L9" i="2115" s="1"/>
  <c r="D9" i="2115" s="1"/>
  <c r="D38" i="2115"/>
  <c r="R37" i="2115"/>
  <c r="D37" i="2115"/>
  <c r="R36" i="2115"/>
  <c r="L10" i="2115" s="1"/>
  <c r="D10" i="2115" s="1"/>
  <c r="D36" i="2115"/>
  <c r="R35" i="2115"/>
  <c r="L19" i="2115" s="1"/>
  <c r="D19" i="2115" s="1"/>
  <c r="D35" i="2115"/>
  <c r="R34" i="2115"/>
  <c r="D34" i="2115"/>
  <c r="D54" i="2115" s="1"/>
  <c r="H14" i="2115" s="1"/>
  <c r="R33" i="2115"/>
  <c r="R32" i="2115"/>
  <c r="R31" i="2115"/>
  <c r="R30" i="2115"/>
  <c r="R29" i="2115"/>
  <c r="R28" i="2115"/>
  <c r="D28" i="2115"/>
  <c r="R27" i="2115"/>
  <c r="D27" i="2115"/>
  <c r="R26" i="2115"/>
  <c r="L26" i="2115"/>
  <c r="D26" i="2115" s="1"/>
  <c r="R25" i="2115"/>
  <c r="L25" i="2115"/>
  <c r="D25" i="2115"/>
  <c r="R24" i="2115"/>
  <c r="D24" i="2115"/>
  <c r="R23" i="2115"/>
  <c r="L23" i="2115"/>
  <c r="D23" i="2115"/>
  <c r="R22" i="2115"/>
  <c r="L22" i="2115"/>
  <c r="D22" i="2115" s="1"/>
  <c r="R21" i="2115"/>
  <c r="D21" i="2115"/>
  <c r="R20" i="2115"/>
  <c r="L20" i="2115"/>
  <c r="D20" i="2115" s="1"/>
  <c r="R19" i="2115"/>
  <c r="R18" i="2115"/>
  <c r="D18" i="2115"/>
  <c r="R17" i="2115"/>
  <c r="D17" i="2115"/>
  <c r="R16" i="2115"/>
  <c r="L16" i="2115"/>
  <c r="D16" i="2115" s="1"/>
  <c r="S15" i="2115"/>
  <c r="R15" i="2115"/>
  <c r="D15" i="2115"/>
  <c r="S14" i="2115"/>
  <c r="R14" i="2115"/>
  <c r="D14" i="2115"/>
  <c r="R13" i="2115"/>
  <c r="D13" i="2115"/>
  <c r="R12" i="2115"/>
  <c r="L12" i="2115"/>
  <c r="D12" i="2115"/>
  <c r="R11" i="2115"/>
  <c r="L11" i="2115"/>
  <c r="D11" i="2115" s="1"/>
  <c r="R6" i="2115"/>
  <c r="R5" i="2115"/>
  <c r="R4" i="2115"/>
  <c r="R52" i="2114"/>
  <c r="R51" i="2114"/>
  <c r="D50" i="2114"/>
  <c r="R49" i="2114"/>
  <c r="D49" i="2114"/>
  <c r="R48" i="2114"/>
  <c r="D48" i="2114"/>
  <c r="D46" i="2114"/>
  <c r="D45" i="2114"/>
  <c r="R44" i="2114"/>
  <c r="L28" i="2114" s="1"/>
  <c r="D28" i="2114" s="1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H38" i="2114"/>
  <c r="D38" i="2114"/>
  <c r="R37" i="2114"/>
  <c r="H37" i="2114"/>
  <c r="D37" i="2114"/>
  <c r="R36" i="2114"/>
  <c r="H36" i="2114"/>
  <c r="D36" i="2114"/>
  <c r="R35" i="2114"/>
  <c r="H35" i="2114"/>
  <c r="D35" i="2114"/>
  <c r="R34" i="2114"/>
  <c r="L12" i="2114" s="1"/>
  <c r="D12" i="2114" s="1"/>
  <c r="H34" i="2114"/>
  <c r="G49" i="2114" s="1"/>
  <c r="D34" i="2114"/>
  <c r="D54" i="2114" s="1"/>
  <c r="H14" i="2114" s="1"/>
  <c r="R33" i="2114"/>
  <c r="R32" i="2114"/>
  <c r="R31" i="2114"/>
  <c r="R30" i="2114"/>
  <c r="R29" i="2114"/>
  <c r="R28" i="2114"/>
  <c r="R27" i="2114"/>
  <c r="L27" i="2114"/>
  <c r="D27" i="2114"/>
  <c r="R26" i="2114"/>
  <c r="L26" i="2114"/>
  <c r="D26" i="2114" s="1"/>
  <c r="R25" i="2114"/>
  <c r="L25" i="2114"/>
  <c r="D25" i="2114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21" i="2114"/>
  <c r="D21" i="2114"/>
  <c r="R20" i="2114"/>
  <c r="R19" i="2114"/>
  <c r="L19" i="2114"/>
  <c r="D19" i="2114" s="1"/>
  <c r="R18" i="2114"/>
  <c r="L18" i="2114"/>
  <c r="D18" i="2114" s="1"/>
  <c r="R17" i="2114"/>
  <c r="L17" i="2114"/>
  <c r="D17" i="2114" s="1"/>
  <c r="R16" i="2114"/>
  <c r="L16" i="2114"/>
  <c r="D16" i="2114"/>
  <c r="R15" i="2114"/>
  <c r="L15" i="2114"/>
  <c r="D15" i="2114"/>
  <c r="R14" i="2114"/>
  <c r="D14" i="2114"/>
  <c r="R13" i="2114"/>
  <c r="D13" i="2114"/>
  <c r="R12" i="2114"/>
  <c r="R11" i="2114"/>
  <c r="L11" i="2114"/>
  <c r="D11" i="2114"/>
  <c r="L10" i="2114"/>
  <c r="D10" i="2114" s="1"/>
  <c r="L9" i="2114"/>
  <c r="D9" i="2114" s="1"/>
  <c r="L7" i="2114"/>
  <c r="D7" i="2114"/>
  <c r="R6" i="2114"/>
  <c r="R5" i="2114"/>
  <c r="R4" i="2114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H36" i="2113"/>
  <c r="D36" i="2113"/>
  <c r="R35" i="2113"/>
  <c r="H35" i="2113"/>
  <c r="D35" i="2113"/>
  <c r="R34" i="2113"/>
  <c r="L12" i="2113" s="1"/>
  <c r="D12" i="2113" s="1"/>
  <c r="H34" i="2113"/>
  <c r="G49" i="2113" s="1"/>
  <c r="D34" i="2113"/>
  <c r="D54" i="2113" s="1"/>
  <c r="H14" i="2113" s="1"/>
  <c r="R33" i="2113"/>
  <c r="L19" i="2113" s="1"/>
  <c r="D19" i="2113" s="1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/>
  <c r="R26" i="2113"/>
  <c r="L26" i="2113"/>
  <c r="D26" i="2113" s="1"/>
  <c r="R25" i="2113"/>
  <c r="L25" i="2113"/>
  <c r="D25" i="2113" s="1"/>
  <c r="R24" i="2113"/>
  <c r="L24" i="2113"/>
  <c r="D24" i="2113"/>
  <c r="R23" i="2113"/>
  <c r="L23" i="2113"/>
  <c r="D23" i="2113" s="1"/>
  <c r="R22" i="2113"/>
  <c r="L22" i="2113"/>
  <c r="D22" i="2113"/>
  <c r="R21" i="2113"/>
  <c r="L17" i="2113" s="1"/>
  <c r="D17" i="2113" s="1"/>
  <c r="D21" i="2113"/>
  <c r="R20" i="2113"/>
  <c r="L20" i="2113"/>
  <c r="D20" i="2113" s="1"/>
  <c r="R19" i="2113"/>
  <c r="R18" i="2113"/>
  <c r="L18" i="2113"/>
  <c r="D18" i="2113" s="1"/>
  <c r="R17" i="2113"/>
  <c r="R16" i="2113"/>
  <c r="R15" i="2113"/>
  <c r="L15" i="2113"/>
  <c r="D15" i="2113" s="1"/>
  <c r="R14" i="2113"/>
  <c r="D14" i="2113"/>
  <c r="R13" i="2113"/>
  <c r="D13" i="2113"/>
  <c r="R12" i="2113"/>
  <c r="R11" i="2113"/>
  <c r="L10" i="2113"/>
  <c r="D10" i="2113"/>
  <c r="L8" i="2113"/>
  <c r="D8" i="2113" s="1"/>
  <c r="L7" i="2113"/>
  <c r="D7" i="2113" s="1"/>
  <c r="R6" i="2113"/>
  <c r="L16" i="2113" s="1"/>
  <c r="D16" i="2113" s="1"/>
  <c r="L6" i="2113"/>
  <c r="D6" i="2113"/>
  <c r="R5" i="2113"/>
  <c r="R4" i="2113"/>
  <c r="R52" i="2112"/>
  <c r="R51" i="2112"/>
  <c r="D50" i="2112"/>
  <c r="R49" i="2112"/>
  <c r="D49" i="2112"/>
  <c r="R48" i="2112"/>
  <c r="D48" i="2112"/>
  <c r="D46" i="2112"/>
  <c r="D45" i="2112"/>
  <c r="R44" i="2112"/>
  <c r="L28" i="2112" s="1"/>
  <c r="D28" i="2112" s="1"/>
  <c r="D44" i="2112"/>
  <c r="R42" i="2112"/>
  <c r="D42" i="2112"/>
  <c r="R41" i="2112"/>
  <c r="D41" i="2112"/>
  <c r="R40" i="2112"/>
  <c r="L8" i="2112" s="1"/>
  <c r="D8" i="2112" s="1"/>
  <c r="D40" i="2112"/>
  <c r="R39" i="2112"/>
  <c r="H39" i="2112"/>
  <c r="D39" i="2112"/>
  <c r="R38" i="2112"/>
  <c r="L9" i="2112" s="1"/>
  <c r="D9" i="2112" s="1"/>
  <c r="H38" i="2112"/>
  <c r="D38" i="2112"/>
  <c r="R37" i="2112"/>
  <c r="H37" i="2112"/>
  <c r="D37" i="2112"/>
  <c r="R36" i="2112"/>
  <c r="L10" i="2112" s="1"/>
  <c r="D10" i="2112" s="1"/>
  <c r="H36" i="2112"/>
  <c r="D36" i="2112"/>
  <c r="R35" i="2112"/>
  <c r="H35" i="2112"/>
  <c r="D35" i="2112"/>
  <c r="R34" i="2112"/>
  <c r="H34" i="2112"/>
  <c r="D34" i="2112"/>
  <c r="R33" i="2112"/>
  <c r="L19" i="2112" s="1"/>
  <c r="D19" i="2112" s="1"/>
  <c r="R32" i="2112"/>
  <c r="L11" i="2112" s="1"/>
  <c r="D11" i="2112" s="1"/>
  <c r="R31" i="2112"/>
  <c r="R30" i="2112"/>
  <c r="R29" i="2112"/>
  <c r="R28" i="2112"/>
  <c r="R27" i="2112"/>
  <c r="L27" i="2112"/>
  <c r="D27" i="2112"/>
  <c r="R26" i="2112"/>
  <c r="L26" i="2112"/>
  <c r="D26" i="2112"/>
  <c r="R25" i="2112"/>
  <c r="L25" i="2112"/>
  <c r="D25" i="2112" s="1"/>
  <c r="R24" i="2112"/>
  <c r="L24" i="2112"/>
  <c r="D24" i="2112"/>
  <c r="R23" i="2112"/>
  <c r="L23" i="2112"/>
  <c r="D23" i="2112" s="1"/>
  <c r="R22" i="2112"/>
  <c r="L22" i="2112"/>
  <c r="D22" i="2112"/>
  <c r="R21" i="2112"/>
  <c r="L21" i="2112"/>
  <c r="D21" i="2112"/>
  <c r="R20" i="2112"/>
  <c r="L20" i="2112"/>
  <c r="D20" i="2112"/>
  <c r="R19" i="2112"/>
  <c r="R18" i="2112"/>
  <c r="L18" i="2112"/>
  <c r="D18" i="2112"/>
  <c r="R17" i="2112"/>
  <c r="L17" i="2112"/>
  <c r="D17" i="2112" s="1"/>
  <c r="R16" i="2112"/>
  <c r="R15" i="2112"/>
  <c r="L15" i="2112"/>
  <c r="D15" i="2112"/>
  <c r="R14" i="2112"/>
  <c r="D14" i="2112"/>
  <c r="R13" i="2112"/>
  <c r="D13" i="2112"/>
  <c r="R12" i="2112"/>
  <c r="L12" i="2112"/>
  <c r="D12" i="2112" s="1"/>
  <c r="R11" i="2112"/>
  <c r="L7" i="2112"/>
  <c r="D7" i="2112"/>
  <c r="R6" i="2112"/>
  <c r="L16" i="2112" s="1"/>
  <c r="D16" i="2112" s="1"/>
  <c r="L6" i="2112"/>
  <c r="D6" i="2112" s="1"/>
  <c r="R5" i="2112"/>
  <c r="R4" i="2112"/>
  <c r="R52" i="2111"/>
  <c r="R51" i="2111"/>
  <c r="D50" i="2111"/>
  <c r="R49" i="2111"/>
  <c r="G49" i="2111"/>
  <c r="D49" i="2111"/>
  <c r="R48" i="2111"/>
  <c r="D48" i="2111"/>
  <c r="D46" i="2111"/>
  <c r="D45" i="2111"/>
  <c r="D44" i="2111"/>
  <c r="R42" i="2111"/>
  <c r="D42" i="2111"/>
  <c r="R41" i="2111"/>
  <c r="L7" i="2111" s="1"/>
  <c r="D7" i="2111" s="1"/>
  <c r="D41" i="2111"/>
  <c r="R40" i="2111"/>
  <c r="L8" i="2111" s="1"/>
  <c r="D8" i="2111" s="1"/>
  <c r="D40" i="2111"/>
  <c r="R39" i="2111"/>
  <c r="D39" i="2111"/>
  <c r="R38" i="2111"/>
  <c r="L9" i="2111" s="1"/>
  <c r="D9" i="2111" s="1"/>
  <c r="D38" i="2111"/>
  <c r="R37" i="2111"/>
  <c r="D37" i="2111"/>
  <c r="R36" i="2111"/>
  <c r="L10" i="2111" s="1"/>
  <c r="D10" i="2111" s="1"/>
  <c r="D36" i="2111"/>
  <c r="R35" i="2111"/>
  <c r="L19" i="2111" s="1"/>
  <c r="D19" i="2111" s="1"/>
  <c r="D35" i="2111"/>
  <c r="D54" i="2111" s="1"/>
  <c r="H14" i="2111" s="1"/>
  <c r="R34" i="2111"/>
  <c r="D34" i="2111"/>
  <c r="R33" i="2111"/>
  <c r="R32" i="2111"/>
  <c r="L11" i="2111" s="1"/>
  <c r="D11" i="2111" s="1"/>
  <c r="R31" i="2111"/>
  <c r="R30" i="2111"/>
  <c r="R29" i="2111"/>
  <c r="R28" i="2111"/>
  <c r="D28" i="2111"/>
  <c r="R27" i="2111"/>
  <c r="D27" i="2111"/>
  <c r="R26" i="2111"/>
  <c r="L26" i="2111"/>
  <c r="D26" i="2111"/>
  <c r="R25" i="2111"/>
  <c r="L25" i="2111"/>
  <c r="D25" i="2111"/>
  <c r="R24" i="2111"/>
  <c r="D24" i="2111"/>
  <c r="R23" i="2111"/>
  <c r="L23" i="2111"/>
  <c r="D23" i="2111"/>
  <c r="R22" i="2111"/>
  <c r="L22" i="2111"/>
  <c r="D22" i="2111" s="1"/>
  <c r="R21" i="2111"/>
  <c r="D21" i="2111"/>
  <c r="R20" i="2111"/>
  <c r="L20" i="2111"/>
  <c r="D20" i="2111"/>
  <c r="R19" i="2111"/>
  <c r="R18" i="2111"/>
  <c r="D18" i="2111"/>
  <c r="R17" i="2111"/>
  <c r="D17" i="2111"/>
  <c r="R16" i="2111"/>
  <c r="L16" i="2111"/>
  <c r="D16" i="2111" s="1"/>
  <c r="S15" i="2111"/>
  <c r="R15" i="2111"/>
  <c r="D15" i="2111"/>
  <c r="S14" i="2111"/>
  <c r="R14" i="2111"/>
  <c r="D14" i="2111"/>
  <c r="R13" i="2111"/>
  <c r="D13" i="2111"/>
  <c r="R12" i="2111"/>
  <c r="L12" i="2111"/>
  <c r="D12" i="2111"/>
  <c r="R11" i="2111"/>
  <c r="R6" i="2111"/>
  <c r="L6" i="2111"/>
  <c r="D6" i="211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L28" i="2110" s="1"/>
  <c r="D28" i="2110" s="1"/>
  <c r="D44" i="2110"/>
  <c r="R42" i="2110"/>
  <c r="D42" i="2110"/>
  <c r="R41" i="2110"/>
  <c r="D41" i="2110"/>
  <c r="R40" i="2110"/>
  <c r="D40" i="2110"/>
  <c r="R39" i="2110"/>
  <c r="H39" i="2110"/>
  <c r="D39" i="2110"/>
  <c r="R38" i="2110"/>
  <c r="L9" i="2110" s="1"/>
  <c r="D9" i="2110" s="1"/>
  <c r="H38" i="2110"/>
  <c r="D38" i="2110"/>
  <c r="R37" i="2110"/>
  <c r="H37" i="2110"/>
  <c r="D37" i="2110"/>
  <c r="R36" i="2110"/>
  <c r="H36" i="2110"/>
  <c r="D36" i="2110"/>
  <c r="R35" i="2110"/>
  <c r="L18" i="2110" s="1"/>
  <c r="D18" i="2110" s="1"/>
  <c r="H35" i="2110"/>
  <c r="D35" i="2110"/>
  <c r="R34" i="2110"/>
  <c r="H34" i="2110"/>
  <c r="D34" i="2110"/>
  <c r="R33" i="2110"/>
  <c r="R32" i="2110"/>
  <c r="L11" i="2110" s="1"/>
  <c r="D11" i="2110" s="1"/>
  <c r="R31" i="2110"/>
  <c r="R30" i="2110"/>
  <c r="R29" i="2110"/>
  <c r="R28" i="2110"/>
  <c r="R27" i="2110"/>
  <c r="D27" i="2110"/>
  <c r="R26" i="2110"/>
  <c r="D26" i="2110"/>
  <c r="R25" i="2110"/>
  <c r="D25" i="2110"/>
  <c r="R24" i="2110"/>
  <c r="D24" i="2110"/>
  <c r="R23" i="2110"/>
  <c r="D23" i="2110"/>
  <c r="R22" i="2110"/>
  <c r="D22" i="2110"/>
  <c r="R21" i="2110"/>
  <c r="L17" i="2110" s="1"/>
  <c r="D17" i="2110" s="1"/>
  <c r="D21" i="2110"/>
  <c r="R20" i="2110"/>
  <c r="L20" i="2110"/>
  <c r="D20" i="2110"/>
  <c r="R19" i="2110"/>
  <c r="L19" i="2110"/>
  <c r="D19" i="2110"/>
  <c r="R18" i="2110"/>
  <c r="R17" i="2110"/>
  <c r="R16" i="2110"/>
  <c r="L16" i="2110"/>
  <c r="D16" i="2110" s="1"/>
  <c r="R15" i="2110"/>
  <c r="L15" i="2110"/>
  <c r="D15" i="2110"/>
  <c r="R14" i="2110"/>
  <c r="D14" i="2110"/>
  <c r="R13" i="2110"/>
  <c r="D13" i="2110"/>
  <c r="R12" i="2110"/>
  <c r="L12" i="2110"/>
  <c r="D12" i="2110"/>
  <c r="R11" i="2110"/>
  <c r="L10" i="2110"/>
  <c r="D10" i="2110"/>
  <c r="L8" i="2110"/>
  <c r="D8" i="2110"/>
  <c r="L7" i="2110"/>
  <c r="D7" i="2110" s="1"/>
  <c r="R6" i="2110"/>
  <c r="L6" i="2110"/>
  <c r="D6" i="2110" s="1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L28" i="2109" s="1"/>
  <c r="D28" i="2109" s="1"/>
  <c r="D44" i="2109"/>
  <c r="R42" i="2109"/>
  <c r="D42" i="2109"/>
  <c r="R41" i="2109"/>
  <c r="D41" i="2109"/>
  <c r="R40" i="2109"/>
  <c r="D40" i="2109"/>
  <c r="R39" i="2109"/>
  <c r="H39" i="2109"/>
  <c r="D39" i="2109"/>
  <c r="R38" i="2109"/>
  <c r="H38" i="2109"/>
  <c r="D38" i="2109"/>
  <c r="R37" i="2109"/>
  <c r="H37" i="2109"/>
  <c r="D37" i="2109"/>
  <c r="R36" i="2109"/>
  <c r="L10" i="2109" s="1"/>
  <c r="D10" i="2109" s="1"/>
  <c r="H36" i="2109"/>
  <c r="D36" i="2109"/>
  <c r="R35" i="2109"/>
  <c r="H35" i="2109"/>
  <c r="D35" i="2109"/>
  <c r="R34" i="2109"/>
  <c r="L12" i="2109" s="1"/>
  <c r="D12" i="2109" s="1"/>
  <c r="H34" i="2109"/>
  <c r="D34" i="2109"/>
  <c r="R33" i="2109"/>
  <c r="L19" i="2109" s="1"/>
  <c r="D19" i="2109" s="1"/>
  <c r="R32" i="2109"/>
  <c r="L11" i="2109" s="1"/>
  <c r="D11" i="2109" s="1"/>
  <c r="R31" i="2109"/>
  <c r="R30" i="2109"/>
  <c r="R29" i="2109"/>
  <c r="R28" i="2109"/>
  <c r="R27" i="2109"/>
  <c r="L27" i="2109"/>
  <c r="D27" i="2109"/>
  <c r="R26" i="2109"/>
  <c r="L26" i="2109"/>
  <c r="D26" i="2109"/>
  <c r="R25" i="2109"/>
  <c r="L25" i="2109"/>
  <c r="D25" i="2109" s="1"/>
  <c r="R24" i="2109"/>
  <c r="L24" i="2109"/>
  <c r="D24" i="2109"/>
  <c r="R23" i="2109"/>
  <c r="L23" i="2109"/>
  <c r="D23" i="2109" s="1"/>
  <c r="R22" i="2109"/>
  <c r="L20" i="2109" s="1"/>
  <c r="D20" i="2109" s="1"/>
  <c r="L22" i="2109"/>
  <c r="D22" i="2109"/>
  <c r="R21" i="2109"/>
  <c r="D21" i="2109"/>
  <c r="R20" i="2109"/>
  <c r="R19" i="2109"/>
  <c r="R18" i="2109"/>
  <c r="L18" i="2109"/>
  <c r="D18" i="2109"/>
  <c r="R17" i="2109"/>
  <c r="L17" i="2109"/>
  <c r="D17" i="2109"/>
  <c r="R16" i="2109"/>
  <c r="R15" i="2109"/>
  <c r="R14" i="2109"/>
  <c r="D14" i="2109"/>
  <c r="R13" i="2109"/>
  <c r="D13" i="2109"/>
  <c r="R12" i="2109"/>
  <c r="R11" i="2109"/>
  <c r="L9" i="2109"/>
  <c r="D9" i="2109" s="1"/>
  <c r="L8" i="2109"/>
  <c r="D8" i="2109" s="1"/>
  <c r="L7" i="2109"/>
  <c r="D7" i="2109"/>
  <c r="R6" i="2109"/>
  <c r="L16" i="2109" s="1"/>
  <c r="D16" i="2109" s="1"/>
  <c r="L6" i="2109"/>
  <c r="D6" i="2109"/>
  <c r="R5" i="2109"/>
  <c r="R4" i="2109"/>
  <c r="L15" i="2109" s="1"/>
  <c r="D15" i="2109" s="1"/>
  <c r="R52" i="2108"/>
  <c r="R51" i="2108"/>
  <c r="D50" i="2108"/>
  <c r="R49" i="2108"/>
  <c r="D49" i="2108"/>
  <c r="R48" i="2108"/>
  <c r="D48" i="2108"/>
  <c r="D46" i="2108"/>
  <c r="D45" i="2108"/>
  <c r="R44" i="2108"/>
  <c r="D44" i="2108"/>
  <c r="R42" i="2108"/>
  <c r="D42" i="2108"/>
  <c r="R41" i="2108"/>
  <c r="D41" i="2108"/>
  <c r="R40" i="2108"/>
  <c r="L8" i="2108" s="1"/>
  <c r="D8" i="2108" s="1"/>
  <c r="D40" i="2108"/>
  <c r="R39" i="2108"/>
  <c r="H39" i="2108"/>
  <c r="D39" i="2108"/>
  <c r="R38" i="2108"/>
  <c r="L9" i="2108" s="1"/>
  <c r="D9" i="2108" s="1"/>
  <c r="H38" i="2108"/>
  <c r="D38" i="2108"/>
  <c r="R37" i="2108"/>
  <c r="H37" i="2108"/>
  <c r="D37" i="2108"/>
  <c r="R36" i="2108"/>
  <c r="H36" i="2108"/>
  <c r="D36" i="2108"/>
  <c r="R35" i="2108"/>
  <c r="H35" i="2108"/>
  <c r="D35" i="2108"/>
  <c r="R34" i="2108"/>
  <c r="H34" i="2108"/>
  <c r="D34" i="2108"/>
  <c r="R33" i="2108"/>
  <c r="R32" i="2108"/>
  <c r="R31" i="2108"/>
  <c r="R30" i="2108"/>
  <c r="R29" i="2108"/>
  <c r="R28" i="2108"/>
  <c r="L28" i="2108"/>
  <c r="D28" i="2108"/>
  <c r="R27" i="2108"/>
  <c r="L27" i="2108"/>
  <c r="D27" i="2108"/>
  <c r="R26" i="2108"/>
  <c r="L26" i="2108"/>
  <c r="D26" i="2108" s="1"/>
  <c r="R25" i="2108"/>
  <c r="L25" i="2108"/>
  <c r="D25" i="2108" s="1"/>
  <c r="R24" i="2108"/>
  <c r="L24" i="2108"/>
  <c r="D24" i="2108"/>
  <c r="R23" i="2108"/>
  <c r="L23" i="2108"/>
  <c r="D23" i="2108"/>
  <c r="R22" i="2108"/>
  <c r="L20" i="2108" s="1"/>
  <c r="D20" i="2108" s="1"/>
  <c r="L22" i="2108"/>
  <c r="D22" i="2108"/>
  <c r="R21" i="2108"/>
  <c r="L21" i="2108"/>
  <c r="D21" i="2108"/>
  <c r="R20" i="2108"/>
  <c r="R19" i="2108"/>
  <c r="L19" i="2108"/>
  <c r="D19" i="2108"/>
  <c r="R18" i="2108"/>
  <c r="L18" i="2108"/>
  <c r="D18" i="2108"/>
  <c r="R17" i="2108"/>
  <c r="L17" i="2108"/>
  <c r="D17" i="2108" s="1"/>
  <c r="R16" i="2108"/>
  <c r="R15" i="2108"/>
  <c r="R14" i="2108"/>
  <c r="D14" i="2108"/>
  <c r="R13" i="2108"/>
  <c r="D13" i="2108"/>
  <c r="R12" i="2108"/>
  <c r="L12" i="2108"/>
  <c r="D12" i="2108" s="1"/>
  <c r="R11" i="2108"/>
  <c r="L11" i="2108"/>
  <c r="D11" i="2108"/>
  <c r="L10" i="2108"/>
  <c r="D10" i="2108" s="1"/>
  <c r="L7" i="2108"/>
  <c r="D7" i="2108"/>
  <c r="R6" i="2108"/>
  <c r="L16" i="2108" s="1"/>
  <c r="D16" i="2108" s="1"/>
  <c r="L6" i="2108"/>
  <c r="D6" i="2108"/>
  <c r="R5" i="2108"/>
  <c r="R4" i="2108"/>
  <c r="L15" i="2108" s="1"/>
  <c r="D15" i="2108" s="1"/>
  <c r="H15" i="2150" l="1"/>
  <c r="H29" i="2150" s="1"/>
  <c r="G51" i="2150" s="1"/>
  <c r="H15" i="2149"/>
  <c r="H29" i="2149" s="1"/>
  <c r="G51" i="2149" s="1"/>
  <c r="H15" i="2153"/>
  <c r="H29" i="2153" s="1"/>
  <c r="G51" i="2153" s="1"/>
  <c r="H15" i="2155"/>
  <c r="H29" i="2155" s="1"/>
  <c r="G51" i="2155" s="1"/>
  <c r="H15" i="2154"/>
  <c r="H29" i="2154" s="1"/>
  <c r="G51" i="2154" s="1"/>
  <c r="H15" i="2145"/>
  <c r="H29" i="2145" s="1"/>
  <c r="G51" i="2145" s="1"/>
  <c r="H15" i="2146"/>
  <c r="H29" i="2146" s="1"/>
  <c r="G51" i="2146" s="1"/>
  <c r="H15" i="2142"/>
  <c r="H29" i="2142" s="1"/>
  <c r="G51" i="2142" s="1"/>
  <c r="H15" i="2143"/>
  <c r="H29" i="2143" s="1"/>
  <c r="G51" i="2143" s="1"/>
  <c r="D54" i="2137"/>
  <c r="H14" i="2137" s="1"/>
  <c r="G49" i="2137"/>
  <c r="G49" i="2139"/>
  <c r="D54" i="2139"/>
  <c r="H14" i="2139" s="1"/>
  <c r="D54" i="2138"/>
  <c r="H14" i="2138" s="1"/>
  <c r="D54" i="2131"/>
  <c r="H14" i="2131" s="1"/>
  <c r="D54" i="2130"/>
  <c r="H14" i="2130" s="1"/>
  <c r="D29" i="2130"/>
  <c r="H13" i="2130" s="1"/>
  <c r="D54" i="2129"/>
  <c r="H14" i="2129" s="1"/>
  <c r="G49" i="2131"/>
  <c r="G49" i="2129"/>
  <c r="G49" i="2135"/>
  <c r="G49" i="2134"/>
  <c r="D54" i="2135"/>
  <c r="H14" i="2135" s="1"/>
  <c r="D54" i="2134"/>
  <c r="H14" i="2134" s="1"/>
  <c r="G49" i="2127"/>
  <c r="G49" i="2122"/>
  <c r="G49" i="2121"/>
  <c r="D54" i="2122"/>
  <c r="H14" i="2122" s="1"/>
  <c r="D54" i="2121"/>
  <c r="H14" i="2121" s="1"/>
  <c r="D54" i="2117"/>
  <c r="H14" i="2117" s="1"/>
  <c r="G49" i="2117"/>
  <c r="G49" i="2118"/>
  <c r="G49" i="2116"/>
  <c r="D54" i="2118"/>
  <c r="H14" i="2118" s="1"/>
  <c r="D54" i="2116"/>
  <c r="H14" i="2116" s="1"/>
  <c r="D29" i="2116"/>
  <c r="H13" i="2116" s="1"/>
  <c r="D54" i="2112"/>
  <c r="H14" i="2112" s="1"/>
  <c r="G49" i="2112"/>
  <c r="D54" i="2110"/>
  <c r="H14" i="2110" s="1"/>
  <c r="G49" i="2110"/>
  <c r="G49" i="2109"/>
  <c r="D54" i="2109"/>
  <c r="H14" i="2109" s="1"/>
  <c r="G49" i="2108"/>
  <c r="D54" i="2108"/>
  <c r="H14" i="2108" s="1"/>
  <c r="D29" i="2139"/>
  <c r="H13" i="2139" s="1"/>
  <c r="D29" i="2138"/>
  <c r="H13" i="2138" s="1"/>
  <c r="D29" i="2137"/>
  <c r="H13" i="2137" s="1"/>
  <c r="D29" i="2135"/>
  <c r="H13" i="2135" s="1"/>
  <c r="D29" i="2134"/>
  <c r="H13" i="2134" s="1"/>
  <c r="D29" i="2133"/>
  <c r="H13" i="2133" s="1"/>
  <c r="H15" i="2133" s="1"/>
  <c r="H29" i="2133" s="1"/>
  <c r="G51" i="2133"/>
  <c r="D29" i="2132"/>
  <c r="H13" i="2132" s="1"/>
  <c r="H15" i="2132" s="1"/>
  <c r="H29" i="2132" s="1"/>
  <c r="G51" i="2132" s="1"/>
  <c r="D29" i="2131"/>
  <c r="H13" i="2131" s="1"/>
  <c r="D29" i="2129"/>
  <c r="H13" i="2129" s="1"/>
  <c r="D29" i="2128"/>
  <c r="H13" i="2128" s="1"/>
  <c r="H15" i="2128" s="1"/>
  <c r="H29" i="2128" s="1"/>
  <c r="G51" i="2128" s="1"/>
  <c r="D29" i="2127"/>
  <c r="H13" i="2127" s="1"/>
  <c r="H15" i="2127" s="1"/>
  <c r="H29" i="2127" s="1"/>
  <c r="G51" i="2127" s="1"/>
  <c r="D29" i="2126"/>
  <c r="H13" i="2126" s="1"/>
  <c r="H15" i="2126" s="1"/>
  <c r="H29" i="2126" s="1"/>
  <c r="G51" i="2126" s="1"/>
  <c r="D29" i="2125"/>
  <c r="H13" i="2125" s="1"/>
  <c r="H15" i="2125" s="1"/>
  <c r="H29" i="2125" s="1"/>
  <c r="G51" i="2125" s="1"/>
  <c r="D29" i="2123"/>
  <c r="H13" i="2123" s="1"/>
  <c r="H15" i="2123" s="1"/>
  <c r="H29" i="2123" s="1"/>
  <c r="G51" i="2123" s="1"/>
  <c r="D29" i="2122"/>
  <c r="H13" i="2122" s="1"/>
  <c r="D29" i="2121"/>
  <c r="H13" i="2121" s="1"/>
  <c r="D29" i="2120"/>
  <c r="H13" i="2120" s="1"/>
  <c r="H15" i="2120" s="1"/>
  <c r="H29" i="2120" s="1"/>
  <c r="G51" i="2120"/>
  <c r="G51" i="2119"/>
  <c r="D29" i="2118"/>
  <c r="H13" i="2118" s="1"/>
  <c r="D29" i="2117"/>
  <c r="H13" i="2117" s="1"/>
  <c r="D29" i="2115"/>
  <c r="H13" i="2115" s="1"/>
  <c r="H15" i="2115" s="1"/>
  <c r="H29" i="2115" s="1"/>
  <c r="G51" i="2115" s="1"/>
  <c r="D29" i="2114"/>
  <c r="H13" i="2114" s="1"/>
  <c r="H15" i="2114" s="1"/>
  <c r="H29" i="2114" s="1"/>
  <c r="G51" i="2114"/>
  <c r="D29" i="2113"/>
  <c r="H13" i="2113" s="1"/>
  <c r="H15" i="2113" s="1"/>
  <c r="H29" i="2113" s="1"/>
  <c r="G51" i="2113" s="1"/>
  <c r="D29" i="2112"/>
  <c r="H13" i="2112" s="1"/>
  <c r="D29" i="2111"/>
  <c r="H13" i="2111" s="1"/>
  <c r="H15" i="2111" s="1"/>
  <c r="H29" i="2111" s="1"/>
  <c r="G51" i="2111" s="1"/>
  <c r="D29" i="2110"/>
  <c r="H13" i="2110" s="1"/>
  <c r="D29" i="2109"/>
  <c r="H13" i="2109" s="1"/>
  <c r="D29" i="2108"/>
  <c r="H13" i="2108" s="1"/>
  <c r="R52" i="2107"/>
  <c r="R51" i="2107"/>
  <c r="D50" i="2107"/>
  <c r="R49" i="2107"/>
  <c r="G49" i="2107"/>
  <c r="D49" i="2107"/>
  <c r="R48" i="2107"/>
  <c r="D48" i="2107"/>
  <c r="D46" i="2107"/>
  <c r="D45" i="2107"/>
  <c r="D44" i="2107"/>
  <c r="R42" i="2107"/>
  <c r="D42" i="2107"/>
  <c r="R41" i="2107"/>
  <c r="L7" i="2107" s="1"/>
  <c r="D7" i="2107" s="1"/>
  <c r="D41" i="2107"/>
  <c r="R40" i="2107"/>
  <c r="L8" i="2107" s="1"/>
  <c r="D8" i="2107" s="1"/>
  <c r="D40" i="2107"/>
  <c r="R39" i="2107"/>
  <c r="D39" i="2107"/>
  <c r="R38" i="2107"/>
  <c r="L9" i="2107" s="1"/>
  <c r="D9" i="2107" s="1"/>
  <c r="D38" i="2107"/>
  <c r="D54" i="2107" s="1"/>
  <c r="H14" i="2107" s="1"/>
  <c r="R37" i="2107"/>
  <c r="D37" i="2107"/>
  <c r="R36" i="2107"/>
  <c r="L10" i="2107" s="1"/>
  <c r="D10" i="2107" s="1"/>
  <c r="D36" i="2107"/>
  <c r="R35" i="2107"/>
  <c r="D35" i="2107"/>
  <c r="R34" i="2107"/>
  <c r="L12" i="2107" s="1"/>
  <c r="D12" i="2107" s="1"/>
  <c r="D34" i="2107"/>
  <c r="R33" i="2107"/>
  <c r="L23" i="2107" s="1"/>
  <c r="D23" i="2107" s="1"/>
  <c r="R32" i="2107"/>
  <c r="R31" i="2107"/>
  <c r="R30" i="2107"/>
  <c r="R29" i="2107"/>
  <c r="R28" i="2107"/>
  <c r="L16" i="2107" s="1"/>
  <c r="D16" i="2107" s="1"/>
  <c r="D28" i="2107"/>
  <c r="R27" i="2107"/>
  <c r="D27" i="2107"/>
  <c r="R26" i="2107"/>
  <c r="L26" i="2107"/>
  <c r="D26" i="2107" s="1"/>
  <c r="R25" i="2107"/>
  <c r="L25" i="2107"/>
  <c r="D25" i="2107"/>
  <c r="R24" i="2107"/>
  <c r="D24" i="2107"/>
  <c r="R23" i="2107"/>
  <c r="R22" i="2107"/>
  <c r="L22" i="2107"/>
  <c r="D22" i="2107" s="1"/>
  <c r="R21" i="2107"/>
  <c r="D21" i="2107"/>
  <c r="R20" i="2107"/>
  <c r="L20" i="2107"/>
  <c r="D20" i="2107"/>
  <c r="R19" i="2107"/>
  <c r="L19" i="2107"/>
  <c r="D19" i="2107"/>
  <c r="R18" i="2107"/>
  <c r="D18" i="2107"/>
  <c r="R17" i="2107"/>
  <c r="D17" i="2107"/>
  <c r="R16" i="2107"/>
  <c r="S15" i="2107"/>
  <c r="R15" i="2107"/>
  <c r="D15" i="2107"/>
  <c r="S14" i="2107"/>
  <c r="R14" i="2107"/>
  <c r="D14" i="2107"/>
  <c r="R13" i="2107"/>
  <c r="D13" i="2107"/>
  <c r="R12" i="2107"/>
  <c r="R11" i="2107"/>
  <c r="L11" i="2107"/>
  <c r="D11" i="2107" s="1"/>
  <c r="R6" i="2107"/>
  <c r="L6" i="2107"/>
  <c r="D6" i="2107" s="1"/>
  <c r="R5" i="2107"/>
  <c r="R4" i="2107"/>
  <c r="H15" i="2137" l="1"/>
  <c r="H29" i="2137" s="1"/>
  <c r="G51" i="2137" s="1"/>
  <c r="H15" i="2139"/>
  <c r="H29" i="2139" s="1"/>
  <c r="G51" i="2139" s="1"/>
  <c r="H15" i="2138"/>
  <c r="H29" i="2138" s="1"/>
  <c r="G51" i="2138" s="1"/>
  <c r="H15" i="2131"/>
  <c r="H29" i="2131" s="1"/>
  <c r="G51" i="2131" s="1"/>
  <c r="H15" i="2130"/>
  <c r="H29" i="2130" s="1"/>
  <c r="G51" i="2130" s="1"/>
  <c r="H15" i="2129"/>
  <c r="H29" i="2129" s="1"/>
  <c r="G51" i="2129" s="1"/>
  <c r="H15" i="2135"/>
  <c r="H29" i="2135" s="1"/>
  <c r="G51" i="2135" s="1"/>
  <c r="H15" i="2134"/>
  <c r="H29" i="2134" s="1"/>
  <c r="G51" i="2134" s="1"/>
  <c r="H15" i="2122"/>
  <c r="H29" i="2122" s="1"/>
  <c r="G51" i="2122" s="1"/>
  <c r="H15" i="2121"/>
  <c r="H29" i="2121" s="1"/>
  <c r="G51" i="2121" s="1"/>
  <c r="H15" i="2117"/>
  <c r="H29" i="2117" s="1"/>
  <c r="G51" i="2117" s="1"/>
  <c r="H15" i="2118"/>
  <c r="H29" i="2118" s="1"/>
  <c r="G51" i="2118" s="1"/>
  <c r="H15" i="2116"/>
  <c r="H29" i="2116" s="1"/>
  <c r="G51" i="2116" s="1"/>
  <c r="H15" i="2112"/>
  <c r="H29" i="2112" s="1"/>
  <c r="G51" i="2112" s="1"/>
  <c r="H15" i="2110"/>
  <c r="H29" i="2110" s="1"/>
  <c r="G51" i="2110" s="1"/>
  <c r="H15" i="2109"/>
  <c r="H29" i="2109" s="1"/>
  <c r="G51" i="2109" s="1"/>
  <c r="H15" i="2108"/>
  <c r="H29" i="2108" s="1"/>
  <c r="G51" i="2108" s="1"/>
  <c r="D29" i="2107"/>
  <c r="H13" i="2107" s="1"/>
  <c r="H15" i="2107" s="1"/>
  <c r="H29" i="2107" s="1"/>
  <c r="G51" i="2107"/>
  <c r="R52" i="2089"/>
  <c r="R51" i="2089"/>
  <c r="D50" i="2089"/>
  <c r="R49" i="2089"/>
  <c r="D49" i="2089"/>
  <c r="R48" i="2089"/>
  <c r="D48" i="2089"/>
  <c r="D46" i="2089"/>
  <c r="D45" i="2089"/>
  <c r="R44" i="2089"/>
  <c r="D44" i="2089"/>
  <c r="R42" i="2089"/>
  <c r="L6" i="2089" s="1"/>
  <c r="D6" i="2089" s="1"/>
  <c r="D42" i="2089"/>
  <c r="R41" i="2089"/>
  <c r="D41" i="2089"/>
  <c r="R40" i="2089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L28" i="2089"/>
  <c r="D28" i="2089"/>
  <c r="R27" i="2089"/>
  <c r="L27" i="2089"/>
  <c r="D27" i="2089" s="1"/>
  <c r="R26" i="2089"/>
  <c r="L26" i="2089"/>
  <c r="D26" i="2089" s="1"/>
  <c r="R25" i="2089"/>
  <c r="L25" i="2089"/>
  <c r="D25" i="2089"/>
  <c r="R24" i="2089"/>
  <c r="L24" i="2089"/>
  <c r="D24" i="2089"/>
  <c r="R23" i="2089"/>
  <c r="L23" i="2089"/>
  <c r="D23" i="2089"/>
  <c r="R22" i="2089"/>
  <c r="L20" i="2089" s="1"/>
  <c r="D20" i="2089" s="1"/>
  <c r="L22" i="2089"/>
  <c r="D22" i="2089"/>
  <c r="R21" i="2089"/>
  <c r="L21" i="2089"/>
  <c r="D21" i="2089"/>
  <c r="R20" i="2089"/>
  <c r="R19" i="2089"/>
  <c r="L19" i="2089"/>
  <c r="D19" i="2089"/>
  <c r="R18" i="2089"/>
  <c r="L18" i="2089"/>
  <c r="D18" i="2089"/>
  <c r="R17" i="2089"/>
  <c r="L17" i="2089"/>
  <c r="D17" i="2089" s="1"/>
  <c r="R16" i="2089"/>
  <c r="R15" i="2089"/>
  <c r="L15" i="2089"/>
  <c r="D15" i="2089"/>
  <c r="R14" i="2089"/>
  <c r="D14" i="2089"/>
  <c r="R13" i="2089"/>
  <c r="D13" i="2089"/>
  <c r="R12" i="2089"/>
  <c r="L12" i="2089"/>
  <c r="D12" i="2089" s="1"/>
  <c r="R11" i="2089"/>
  <c r="L8" i="2089"/>
  <c r="D8" i="2089"/>
  <c r="L7" i="2089"/>
  <c r="D7" i="2089"/>
  <c r="R6" i="2089"/>
  <c r="L16" i="2089" s="1"/>
  <c r="D16" i="2089" s="1"/>
  <c r="R5" i="2089"/>
  <c r="R4" i="2089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/>
  <c r="R22" i="2088"/>
  <c r="L20" i="2088" s="1"/>
  <c r="D20" i="2088" s="1"/>
  <c r="L22" i="2088"/>
  <c r="D22" i="2088" s="1"/>
  <c r="R21" i="2088"/>
  <c r="D21" i="2088"/>
  <c r="R20" i="2088"/>
  <c r="R19" i="2088"/>
  <c r="R18" i="2088"/>
  <c r="R17" i="2088"/>
  <c r="L17" i="2088"/>
  <c r="D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/>
  <c r="R24" i="2087"/>
  <c r="L24" i="2087"/>
  <c r="D24" i="2087"/>
  <c r="R23" i="2087"/>
  <c r="D23" i="2087"/>
  <c r="R22" i="2087"/>
  <c r="L22" i="2087"/>
  <c r="D22" i="2087"/>
  <c r="R21" i="2087"/>
  <c r="D21" i="2087"/>
  <c r="R20" i="2087"/>
  <c r="L20" i="2087"/>
  <c r="D20" i="2087"/>
  <c r="R19" i="2087"/>
  <c r="R18" i="2087"/>
  <c r="L18" i="2087"/>
  <c r="D18" i="2087" s="1"/>
  <c r="R17" i="2087"/>
  <c r="L17" i="2087"/>
  <c r="D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/>
  <c r="R11" i="2087"/>
  <c r="L11" i="2087"/>
  <c r="D11" i="2087"/>
  <c r="L9" i="2087"/>
  <c r="D9" i="2087"/>
  <c r="L7" i="2087"/>
  <c r="D7" i="2087"/>
  <c r="R6" i="2087"/>
  <c r="L16" i="2087" s="1"/>
  <c r="D16" i="2087" s="1"/>
  <c r="L6" i="2087"/>
  <c r="D6" i="2087"/>
  <c r="R5" i="2087"/>
  <c r="R4" i="2087"/>
  <c r="G49" i="2089" l="1"/>
  <c r="D54" i="2089"/>
  <c r="H14" i="2089" s="1"/>
  <c r="D29" i="2089"/>
  <c r="H13" i="2089" s="1"/>
  <c r="G49" i="2088"/>
  <c r="D54" i="2088"/>
  <c r="H14" i="2088" s="1"/>
  <c r="G49" i="2087"/>
  <c r="D54" i="2087"/>
  <c r="H14" i="2087" s="1"/>
  <c r="D29" i="2087"/>
  <c r="H13" i="2087" s="1"/>
  <c r="D29" i="2088"/>
  <c r="H13" i="2088" s="1"/>
  <c r="H15" i="2089" l="1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D29" i="2086" l="1"/>
  <c r="H13" i="2086" s="1"/>
  <c r="H15" i="2086" s="1"/>
  <c r="H29" i="2086" s="1"/>
  <c r="G51" i="2086" s="1"/>
</calcChain>
</file>

<file path=xl/sharedStrings.xml><?xml version="1.0" encoding="utf-8"?>
<sst xmlns="http://schemas.openxmlformats.org/spreadsheetml/2006/main" count="8943" uniqueCount="208">
  <si>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</si>
  <si>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</si>
  <si>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</si>
  <si>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</si>
  <si>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</si>
  <si>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</si>
  <si>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</si>
  <si>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</si>
  <si>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</si>
  <si>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</si>
  <si>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</si>
  <si>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</si>
  <si>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</si>
  <si>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</si>
  <si>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</si>
  <si>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</si>
  <si>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</si>
  <si>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</si>
  <si>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</si>
  <si>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</si>
  <si>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</si>
  <si>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</si>
  <si>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</si>
  <si>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</si>
  <si>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</si>
  <si>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</si>
  <si>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</si>
  <si>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</si>
  <si>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</si>
  <si>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</si>
  <si>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</si>
  <si>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</si>
  <si>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</si>
  <si>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</si>
  <si>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</si>
  <si>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</si>
  <si>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</si>
  <si>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</si>
  <si>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</si>
  <si>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</si>
  <si>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</si>
  <si>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</si>
  <si>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</si>
  <si>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</si>
  <si>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</si>
  <si>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</si>
  <si>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</si>
  <si>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</si>
  <si>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</si>
  <si>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</si>
  <si>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</si>
  <si>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</si>
  <si>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</si>
  <si>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</si>
  <si>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</si>
  <si>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</si>
  <si>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</si>
  <si>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</si>
  <si>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</si>
  <si>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</si>
  <si>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</si>
  <si>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</si>
  <si>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</si>
  <si>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</si>
  <si>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</si>
  <si>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</si>
  <si>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</si>
  <si>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</si>
  <si>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</si>
  <si>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</si>
  <si>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</si>
  <si>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</si>
  <si>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</si>
  <si>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</si>
  <si>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</si>
  <si>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</si>
  <si>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</si>
  <si>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</si>
  <si>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</si>
  <si>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</si>
  <si>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</si>
  <si>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</si>
  <si>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</si>
  <si>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</si>
  <si>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</si>
  <si>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</si>
  <si>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</si>
  <si>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</si>
  <si>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</si>
  <si>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</si>
  <si>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</si>
  <si>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</si>
  <si>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</si>
  <si>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</si>
  <si>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</si>
  <si>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</si>
  <si>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</si>
  <si>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</si>
  <si>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</si>
  <si>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</si>
  <si>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</si>
  <si>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</si>
  <si>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</si>
  <si>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</si>
  <si>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</si>
  <si>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</si>
  <si>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</si>
  <si>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</si>
  <si>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</si>
  <si>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</si>
  <si>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</si>
  <si>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</si>
  <si>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</si>
  <si>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</si>
  <si>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</si>
  <si>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</si>
  <si>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</si>
  <si>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</si>
  <si>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</si>
  <si>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</si>
  <si>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</si>
  <si>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</si>
  <si>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</si>
  <si>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</si>
  <si>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</si>
  <si>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</si>
  <si>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</si>
  <si>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</si>
  <si>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</si>
  <si>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</si>
  <si>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CB BOTT</t>
  </si>
  <si>
    <t>PL BOTT.</t>
  </si>
  <si>
    <t>BDO</t>
  </si>
  <si>
    <t>150203</t>
  </si>
  <si>
    <t>120727</t>
  </si>
  <si>
    <t xml:space="preserve"> BANK TRANSFER</t>
  </si>
  <si>
    <t>SOUND CHECK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</si>
  <si>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</si>
  <si>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</si>
  <si>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56834</t>
  </si>
  <si>
    <t>G-CASH</t>
  </si>
  <si>
    <r>
      <rPr>
        <u/>
        <sz val="11"/>
        <color rgb="FFFF0000"/>
        <rFont val="Calibri"/>
        <family val="2"/>
        <scheme val="minor"/>
      </rPr>
      <t xml:space="preserve">(SHORT) </t>
    </r>
    <r>
      <rPr>
        <sz val="11"/>
        <rFont val="Calibri"/>
        <family val="2"/>
        <scheme val="minor"/>
      </rPr>
      <t>/ OVER</t>
    </r>
  </si>
  <si>
    <t>PODIOTAN, AIR JOHN</t>
  </si>
  <si>
    <t xml:space="preserve">                           AIR JOHN PODIOTAN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</si>
  <si>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</si>
  <si>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43081</t>
  </si>
  <si>
    <t>51713</t>
  </si>
  <si>
    <t xml:space="preserve">PPG </t>
  </si>
  <si>
    <t>SMFC</t>
  </si>
  <si>
    <t>HSC</t>
  </si>
  <si>
    <t>MGYZ</t>
  </si>
  <si>
    <t>KRB</t>
  </si>
  <si>
    <t>SMZB</t>
  </si>
  <si>
    <t>SML500C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</si>
  <si>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</si>
  <si>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PNB</t>
  </si>
  <si>
    <t>BANK TRANSFER</t>
  </si>
  <si>
    <t>BALWARTE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</si>
  <si>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</si>
  <si>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150836</t>
  </si>
  <si>
    <t>2000006089</t>
  </si>
  <si>
    <t>2000003113</t>
  </si>
  <si>
    <t>2000008115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</si>
  <si>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</si>
  <si>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150598</t>
  </si>
  <si>
    <t>PSBC</t>
  </si>
  <si>
    <t>2130020946</t>
  </si>
  <si>
    <t>1ST VB</t>
  </si>
  <si>
    <t>5089432</t>
  </si>
  <si>
    <t>43089</t>
  </si>
  <si>
    <t>DANDAYO,RONNEL</t>
  </si>
  <si>
    <t xml:space="preserve">                            RONNEL DANDAYO</t>
  </si>
  <si>
    <t xml:space="preserve">                        ESTEMARK PORMENTO</t>
  </si>
  <si>
    <t xml:space="preserve">                         RONNEL DANDAYO</t>
  </si>
  <si>
    <t>43093</t>
  </si>
  <si>
    <t>132776</t>
  </si>
  <si>
    <t>2000003130</t>
  </si>
  <si>
    <t>2000008133</t>
  </si>
  <si>
    <t xml:space="preserve">                         AIR JOHN PODIOTAN</t>
  </si>
  <si>
    <t>2000003136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</si>
  <si>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</t>
    </r>
    <r>
      <rPr>
        <u/>
        <sz val="11"/>
        <rFont val="Calibri"/>
        <family val="2"/>
        <scheme val="minor"/>
      </rPr>
      <t xml:space="preserve"> OVER</t>
    </r>
  </si>
  <si>
    <t xml:space="preserve">                            PODIOTAN, AIR JOHN </t>
  </si>
  <si>
    <t>2120013091</t>
  </si>
  <si>
    <t>43098</t>
  </si>
  <si>
    <t>150629</t>
  </si>
  <si>
    <t>150871</t>
  </si>
  <si>
    <t>JONATHAN CENAS</t>
  </si>
  <si>
    <t>2120013215</t>
  </si>
  <si>
    <t>150253</t>
  </si>
  <si>
    <t>150875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</si>
  <si>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</si>
  <si>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1VB</t>
  </si>
  <si>
    <t>51151</t>
  </si>
  <si>
    <t>56870</t>
  </si>
  <si>
    <t>5089433</t>
  </si>
  <si>
    <t>DANYEN STORE</t>
  </si>
  <si>
    <t>2130020961</t>
  </si>
  <si>
    <t>2000006117</t>
  </si>
  <si>
    <t>2000008154</t>
  </si>
  <si>
    <t>2000008153</t>
  </si>
  <si>
    <t>2000003144</t>
  </si>
  <si>
    <t>51152</t>
  </si>
  <si>
    <t>56880</t>
  </si>
  <si>
    <t>2100013219</t>
  </si>
  <si>
    <t>150636</t>
  </si>
  <si>
    <t>2000008161</t>
  </si>
  <si>
    <t>2000003154</t>
  </si>
  <si>
    <t>2000006125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</si>
</sst>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2" fillId="0" borderId="16" xfId="0" applyFont="1" applyBorder="1"/>
    <xf numFmtId="0" fontId="21" fillId="0" borderId="21" xfId="0" applyFont="1" applyBorder="1"/>
    <xf numFmtId="0" fontId="21" fillId="0" borderId="0" xfId="0" applyFont="1"/>
    <xf numFmtId="0" fontId="21" fillId="0" borderId="10" xfId="0" applyFont="1" applyBorder="1"/>
    <xf numFmtId="0" fontId="21" fillId="0" borderId="16" xfId="0" applyFont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1" fillId="0" borderId="16" xfId="0" applyNumberFormat="1" applyFont="1" applyBorder="1" applyAlignment="1">
      <alignment horizontal="left"/>
    </xf>
    <xf numFmtId="0" fontId="4" fillId="0" borderId="16" xfId="0" applyFont="1" applyFill="1" applyBorder="1"/>
    <xf numFmtId="49" fontId="21" fillId="0" borderId="16" xfId="0" applyNumberFormat="1" applyFont="1" applyBorder="1" applyAlignment="1">
      <alignment horizontal="right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3" fillId="0" borderId="6" xfId="0" applyNumberFormat="1" applyFont="1" applyBorder="1" applyAlignment="1">
      <alignment horizontal="left" vertical="center"/>
    </xf>
    <xf numFmtId="165" fontId="23" fillId="0" borderId="4" xfId="0" applyNumberFormat="1" applyFont="1" applyBorder="1" applyAlignment="1">
      <alignment horizontal="left" vertical="center"/>
    </xf>
    <xf numFmtId="165" fontId="23" fillId="0" borderId="7" xfId="0" applyNumberFormat="1" applyFont="1" applyBorder="1" applyAlignment="1">
      <alignment horizontal="left" vertical="center"/>
    </xf>
    <xf numFmtId="165" fontId="23" fillId="0" borderId="50" xfId="0" applyNumberFormat="1" applyFont="1" applyBorder="1" applyAlignment="1">
      <alignment horizontal="left" vertical="center"/>
    </xf>
    <xf numFmtId="165" fontId="23" fillId="0" borderId="51" xfId="0" applyNumberFormat="1" applyFont="1" applyBorder="1" applyAlignment="1">
      <alignment horizontal="left" vertical="center"/>
    </xf>
    <xf numFmtId="165" fontId="23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46</xdr:row>
      <xdr:rowOff>129855</xdr:rowOff>
    </xdr:from>
    <xdr:to>
      <xdr:col>3</xdr:col>
      <xdr:colOff>1228725</xdr:colOff>
      <xdr:row>66</xdr:row>
      <xdr:rowOff>3872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E6AC297-3553-41CA-8431-26E9B15AD0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911193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B6B48-98D6-4FC7-91A8-CC7FE988D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E35F63-64DD-49B8-A47B-66AB8DB57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D17397-4B18-422D-987F-D9B07015E2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133350</xdr:rowOff>
    </xdr:from>
    <xdr:to>
      <xdr:col>3</xdr:col>
      <xdr:colOff>1181100</xdr:colOff>
      <xdr:row>66</xdr:row>
      <xdr:rowOff>7367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08EE23-9807-4939-8782-CDFC4F4FB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154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210B45-69F0-40B6-A71C-B3C53CCE0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11DE24-F3B1-4258-8A6E-E58823E8B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C84782-0407-4746-A5B5-E2D6E1C24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46</xdr:row>
      <xdr:rowOff>142875</xdr:rowOff>
    </xdr:from>
    <xdr:to>
      <xdr:col>3</xdr:col>
      <xdr:colOff>1133475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2FFD0C-69D0-4230-87ED-E63181675D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F9EAA3-E133-4DCB-BF91-C97FDEC74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E9F02B-7F5A-4D87-B0FA-24B0C1275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E1A965-6079-4CD7-B332-17B091FA8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46</xdr:row>
      <xdr:rowOff>142875</xdr:rowOff>
    </xdr:from>
    <xdr:to>
      <xdr:col>3</xdr:col>
      <xdr:colOff>1219200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FBF290B-1956-4B46-A50D-602265534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80B96-AC6A-4ED7-B3C9-8EBF880F7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D92EB5-1E3C-4DFC-9D2A-61696F0FD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DF647-63BB-4681-B263-384F063FE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152400</xdr:rowOff>
    </xdr:from>
    <xdr:to>
      <xdr:col>3</xdr:col>
      <xdr:colOff>1152525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606A348-7582-46FC-8ABF-C2E206CEAD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54</xdr:row>
      <xdr:rowOff>104775</xdr:rowOff>
    </xdr:from>
    <xdr:to>
      <xdr:col>3</xdr:col>
      <xdr:colOff>533400</xdr:colOff>
      <xdr:row>58</xdr:row>
      <xdr:rowOff>1458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287DA7-40C5-45A3-8310-EBB8644AC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95300" y="10658475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04F89A-4C56-4D27-849B-889514C3F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68B97-95E6-4681-8043-ABA98F58E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171450</xdr:rowOff>
    </xdr:from>
    <xdr:to>
      <xdr:col>3</xdr:col>
      <xdr:colOff>1200150</xdr:colOff>
      <xdr:row>66</xdr:row>
      <xdr:rowOff>45467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EEE5F1-6E9C-42D2-9F35-BB9B14A5D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8101C7-7CB1-44E8-A25D-58C4B4961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3AD32D-79DC-4105-9D42-15939A1B2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1E8CAC-51BC-436B-9BDD-C10308D25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C08841-04CB-4AF7-B3EB-F532AD9BA4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238126</xdr:colOff>
      <xdr:row>54</xdr:row>
      <xdr:rowOff>105352</xdr:rowOff>
    </xdr:from>
    <xdr:to>
      <xdr:col>3</xdr:col>
      <xdr:colOff>466726</xdr:colOff>
      <xdr:row>58</xdr:row>
      <xdr:rowOff>2035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1B8E27-A9A5-4F89-BAF6-EBB954EA6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6" y="10659052"/>
          <a:ext cx="1847850" cy="658683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BF723-4369-483A-AB2E-16E5676670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0174D9-1B44-4331-982D-E1918D944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142875</xdr:rowOff>
    </xdr:from>
    <xdr:to>
      <xdr:col>3</xdr:col>
      <xdr:colOff>1181100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9CAC406-9B93-47D7-A358-580614E67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76199</xdr:colOff>
      <xdr:row>54</xdr:row>
      <xdr:rowOff>76997</xdr:rowOff>
    </xdr:from>
    <xdr:to>
      <xdr:col>3</xdr:col>
      <xdr:colOff>619125</xdr:colOff>
      <xdr:row>58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E1F8C0-45B0-4082-873D-5D2504FB5A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66699" y="10630697"/>
          <a:ext cx="2162176" cy="770728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540F82-230C-4D8D-863E-8C6DAEDEB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450176-86C6-4053-8DD4-551DFF42B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142875</xdr:rowOff>
    </xdr:from>
    <xdr:to>
      <xdr:col>3</xdr:col>
      <xdr:colOff>1152525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D36929-BA15-411B-BFE5-77319A732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54</xdr:row>
      <xdr:rowOff>47625</xdr:rowOff>
    </xdr:from>
    <xdr:to>
      <xdr:col>3</xdr:col>
      <xdr:colOff>781051</xdr:colOff>
      <xdr:row>58</xdr:row>
      <xdr:rowOff>56353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C6203E0-5F97-4046-B923-96285C855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5" y="10601325"/>
          <a:ext cx="2162176" cy="770728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1FB72C-72DD-4886-9B7D-07EA21F3B3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B109B2-EF2C-4421-8042-E235F17F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152400</xdr:rowOff>
    </xdr:from>
    <xdr:to>
      <xdr:col>3</xdr:col>
      <xdr:colOff>1181100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85652C5-7CBF-440D-8B9E-AF4572C13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415952</xdr:colOff>
      <xdr:row>54</xdr:row>
      <xdr:rowOff>81932</xdr:rowOff>
    </xdr:from>
    <xdr:to>
      <xdr:col>3</xdr:col>
      <xdr:colOff>609259</xdr:colOff>
      <xdr:row>57</xdr:row>
      <xdr:rowOff>156535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AA58F7-F23C-46A0-93EF-7C435B81A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110252">
          <a:off x="606452" y="10635632"/>
          <a:ext cx="1812557" cy="646103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47EB07-5713-4624-BC93-3836CA8D9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8CC11-9871-436E-82DF-6CC7C5EBB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D6B907A-D95F-4571-A38D-A28CADDBE2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180D63-C24A-4EAB-B6BC-C35CA44AD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25340C-6324-4C13-860D-F5EDB0F6D3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2239C8-8F2B-400E-9581-74710791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3EC68-47D4-4AE6-9819-E46BC48188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859D9E-8E9D-47D5-8132-1A45D8368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46</xdr:row>
      <xdr:rowOff>190500</xdr:rowOff>
    </xdr:from>
    <xdr:to>
      <xdr:col>3</xdr:col>
      <xdr:colOff>1171575</xdr:colOff>
      <xdr:row>66</xdr:row>
      <xdr:rowOff>64517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02845CB-BA0C-489E-940B-BE35E9FACE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9172575"/>
          <a:ext cx="2800350" cy="3731642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AE62A-2AD1-4B4A-8B8D-1C29F9397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46CFC7-28E1-4ED0-AF03-71D3F531DD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3A075-5BC4-44F9-AF04-0D921D09B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98F31F-DCCE-4E76-B7B6-B441705EA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1F95A-6580-4985-9115-56F0DF65E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0F833F-937A-43E5-A348-CF11E7032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A9F65-47FD-414B-9EBF-54898D1EA8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80FCFF-9445-4E05-836D-9071F2FC9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2BABF0-4CEF-4D7F-994C-B671D529D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2C7408-9BDA-408E-9303-0B372E49C7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D8AD77-126C-4FA0-8564-75D81D1A5F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7A5AB8-20BF-4ABD-B880-BC027A5F2C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F74ACC-475B-4DF0-A8BE-347E8B0488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39ED2-8F0A-488A-857F-86EFFA985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1DE80F-E997-4AD1-A8F2-57955C856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722ED1-1FF7-4ED9-A9C2-7243CF962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EA3416-292F-47DA-A0CD-B9BE2F23B5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K25" sqref="K2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89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87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topLeftCell="A34" zoomScaleNormal="100" zoomScaleSheetLayoutView="85" workbookViewId="0">
      <selection activeCell="D64" sqref="D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46174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570</v>
      </c>
      <c r="D6" s="13">
        <f t="shared" ref="D6:D28" si="1">C6*L6</f>
        <v>433770</v>
      </c>
      <c r="F6" s="226" t="s">
        <v>16</v>
      </c>
      <c r="G6" s="228" t="s">
        <v>142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10</v>
      </c>
      <c r="D7" s="13">
        <f t="shared" si="1"/>
        <v>7810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99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13</v>
      </c>
      <c r="D9" s="13">
        <f t="shared" si="1"/>
        <v>9529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10</v>
      </c>
      <c r="D10" s="13">
        <f t="shared" si="1"/>
        <v>10320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10</v>
      </c>
      <c r="D12" s="48">
        <f t="shared" si="1"/>
        <v>9920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6</v>
      </c>
      <c r="D13" s="48">
        <f t="shared" si="1"/>
        <v>1842</v>
      </c>
      <c r="F13" s="247" t="s">
        <v>36</v>
      </c>
      <c r="G13" s="211"/>
      <c r="H13" s="202">
        <f>D29</f>
        <v>475222.5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54630.75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420591.75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2">
        <v>2760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130</v>
      </c>
      <c r="C21" s="10">
        <v>22</v>
      </c>
      <c r="D21" s="48">
        <f t="shared" si="1"/>
        <v>491.33333333333331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500/24+1.5</f>
        <v>22.333333333333332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131</v>
      </c>
      <c r="C23" s="10">
        <v>1</v>
      </c>
      <c r="D23" s="48">
        <f t="shared" si="1"/>
        <v>108.16666666666667</v>
      </c>
      <c r="F23" s="76"/>
      <c r="G23" s="78"/>
      <c r="H23" s="248"/>
      <c r="I23" s="249"/>
      <c r="J23" s="249"/>
      <c r="L23" s="47">
        <f>622/6+4.5</f>
        <v>108.16666666666667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 t="s">
        <v>136</v>
      </c>
      <c r="G26" s="65">
        <v>10819</v>
      </c>
      <c r="H26" s="158">
        <v>68780</v>
      </c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94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475222.5</v>
      </c>
      <c r="F29" s="119" t="s">
        <v>54</v>
      </c>
      <c r="G29" s="181"/>
      <c r="H29" s="141">
        <f>H15-H16-H17-H18-H19-H20-H22-H23-H24+H26+H27+H28</f>
        <v>486611.75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116</v>
      </c>
      <c r="H34" s="163">
        <f t="shared" ref="H34:H39" si="2">F34*G34</f>
        <v>116000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163">
        <f t="shared" si="2"/>
        <v>4500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440</v>
      </c>
      <c r="D37" s="12">
        <f>C37*111</f>
        <v>48840</v>
      </c>
      <c r="F37" s="12">
        <v>100</v>
      </c>
      <c r="G37" s="39">
        <v>2</v>
      </c>
      <c r="H37" s="163">
        <f t="shared" si="2"/>
        <v>200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7</v>
      </c>
      <c r="D42" s="12">
        <f>C42*2.25</f>
        <v>15.75</v>
      </c>
      <c r="F42" s="39" t="s">
        <v>78</v>
      </c>
      <c r="G42" s="163">
        <v>80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4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14</v>
      </c>
      <c r="D44" s="12">
        <f>C44*120</f>
        <v>1680</v>
      </c>
      <c r="F44" s="37" t="s">
        <v>132</v>
      </c>
      <c r="G44" s="62" t="s">
        <v>133</v>
      </c>
      <c r="H44" s="158">
        <v>317788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58">
        <v>13533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107" t="s">
        <v>135</v>
      </c>
      <c r="H46" s="158">
        <v>33800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26</v>
      </c>
      <c r="D49" s="12">
        <f>C49*42</f>
        <v>1092</v>
      </c>
      <c r="F49" s="139" t="s">
        <v>85</v>
      </c>
      <c r="G49" s="141">
        <f>H34+H35+H36+H37+H38+H39+H40+H41+G42+H44+H45+H46</f>
        <v>485901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19</v>
      </c>
      <c r="D50" s="12">
        <f>C50*1.5</f>
        <v>28.5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252">
        <f>G49-H29</f>
        <v>-710.75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54630.75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topLeftCell="A40" zoomScaleNormal="100" zoomScaleSheetLayoutView="85" workbookViewId="0">
      <selection activeCell="C70" sqref="C7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46174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275</v>
      </c>
      <c r="D6" s="13">
        <f t="shared" ref="D6:D28" si="1">C6*L6</f>
        <v>209275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6</v>
      </c>
      <c r="D7" s="13">
        <f t="shared" si="1"/>
        <v>4686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40</v>
      </c>
      <c r="D9" s="13">
        <f t="shared" si="1"/>
        <v>29320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1</v>
      </c>
      <c r="D11" s="13">
        <f t="shared" si="1"/>
        <v>1170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992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3</v>
      </c>
      <c r="D13" s="48">
        <f t="shared" si="1"/>
        <v>921</v>
      </c>
      <c r="F13" s="247" t="s">
        <v>36</v>
      </c>
      <c r="G13" s="211"/>
      <c r="H13" s="202">
        <f>D29</f>
        <v>247146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36182.25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210963.75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2">
        <v>696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247146</v>
      </c>
      <c r="F29" s="119" t="s">
        <v>54</v>
      </c>
      <c r="G29" s="181"/>
      <c r="H29" s="141">
        <f>H15-H16-H17-H18-H19-H20-H22-H23-H24+H26+H27</f>
        <v>210267.75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186</v>
      </c>
      <c r="H34" s="163">
        <f>F34*G34</f>
        <v>186000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47</v>
      </c>
      <c r="H35" s="163">
        <f>F35*G35</f>
        <v>23500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3</v>
      </c>
      <c r="H37" s="163">
        <f t="shared" si="2"/>
        <v>300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7</v>
      </c>
      <c r="D42" s="12">
        <f>C42*2.25</f>
        <v>15.75</v>
      </c>
      <c r="F42" s="39" t="s">
        <v>78</v>
      </c>
      <c r="G42" s="163">
        <v>242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4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2</v>
      </c>
      <c r="D44" s="12">
        <f>C44*120</f>
        <v>240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210092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>
        <v>3</v>
      </c>
      <c r="D50" s="12">
        <f>C50*1.5</f>
        <v>4.5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137</v>
      </c>
      <c r="G51" s="252">
        <f>G49-H29</f>
        <v>-175.75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36182.25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topLeftCell="A28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46174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307</v>
      </c>
      <c r="D6" s="13">
        <f t="shared" ref="D6:D28" si="1">C6*L6</f>
        <v>233627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6</v>
      </c>
      <c r="D7" s="13">
        <f t="shared" si="1"/>
        <v>4686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25</v>
      </c>
      <c r="D9" s="13">
        <f t="shared" si="1"/>
        <v>18325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1032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</v>
      </c>
      <c r="D11" s="13">
        <f t="shared" si="1"/>
        <v>2340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3</v>
      </c>
      <c r="D12" s="48">
        <f t="shared" si="1"/>
        <v>2976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10</v>
      </c>
      <c r="D13" s="48">
        <f t="shared" si="1"/>
        <v>3070</v>
      </c>
      <c r="F13" s="247" t="s">
        <v>36</v>
      </c>
      <c r="G13" s="211"/>
      <c r="H13" s="202">
        <f>D29</f>
        <v>266056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58272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207784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f>588+504</f>
        <v>1092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266056</v>
      </c>
      <c r="F29" s="119" t="s">
        <v>54</v>
      </c>
      <c r="G29" s="181"/>
      <c r="H29" s="141">
        <f>H15-H16-H17-H18-H19-H20-H22-H23-H24+H26+H27</f>
        <v>206692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73</v>
      </c>
      <c r="H34" s="163">
        <f>F34*G34</f>
        <v>73000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111</v>
      </c>
      <c r="H35" s="163">
        <f>F35*G35</f>
        <v>55500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3">
        <f t="shared" ref="H36:H39" si="2">F36*G36</f>
        <v>200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506</v>
      </c>
      <c r="D37" s="12">
        <f>C37*111</f>
        <v>56166</v>
      </c>
      <c r="F37" s="12">
        <v>100</v>
      </c>
      <c r="G37" s="39">
        <v>121</v>
      </c>
      <c r="H37" s="163">
        <f t="shared" si="2"/>
        <v>12100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>
        <v>61</v>
      </c>
      <c r="H38" s="163">
        <f t="shared" si="2"/>
        <v>3050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10</v>
      </c>
      <c r="D42" s="12">
        <f>C42*2.25</f>
        <v>22.5</v>
      </c>
      <c r="F42" s="39" t="s">
        <v>78</v>
      </c>
      <c r="G42" s="163">
        <v>401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4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2</v>
      </c>
      <c r="D44" s="12">
        <f>C44*120</f>
        <v>240</v>
      </c>
      <c r="F44" s="37" t="s">
        <v>132</v>
      </c>
      <c r="G44" s="75" t="s">
        <v>139</v>
      </c>
      <c r="H44" s="158">
        <v>55389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 t="s">
        <v>140</v>
      </c>
      <c r="G45" s="75"/>
      <c r="H45" s="158">
        <v>1032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1</v>
      </c>
      <c r="D46" s="12">
        <f>C46*1.5</f>
        <v>1.5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2</v>
      </c>
      <c r="D49" s="12">
        <f>C49*42</f>
        <v>84</v>
      </c>
      <c r="F49" s="139" t="s">
        <v>85</v>
      </c>
      <c r="G49" s="141">
        <f>H34+H35+H36+H37+H38+H39+H40+H41+G42+H44+H45+H46</f>
        <v>200692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13</v>
      </c>
      <c r="D50" s="12">
        <f>C50*1.5</f>
        <v>19.5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141</v>
      </c>
      <c r="G51" s="252">
        <f>G49-H29</f>
        <v>-6000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58272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21B5A-F7CB-4BCE-9108-E31933DEA22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6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8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5552-2C84-434D-85E9-BD7B20B7AB9C}">
  <dimension ref="A1:R59"/>
  <sheetViews>
    <sheetView topLeftCell="A3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46175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304</v>
      </c>
      <c r="D6" s="13">
        <f t="shared" ref="D6:D28" si="1">C6*L6</f>
        <v>231344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</v>
      </c>
      <c r="D7" s="13">
        <f t="shared" si="1"/>
        <v>1562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11</v>
      </c>
      <c r="D9" s="13">
        <f t="shared" si="1"/>
        <v>8063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1032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242753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35565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>
        <v>1</v>
      </c>
      <c r="D15" s="31">
        <f t="shared" si="1"/>
        <v>620</v>
      </c>
      <c r="F15" s="210" t="s">
        <v>39</v>
      </c>
      <c r="G15" s="211"/>
      <c r="H15" s="212">
        <f>H13-H14</f>
        <v>207188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42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99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242753</v>
      </c>
      <c r="F29" s="119" t="s">
        <v>54</v>
      </c>
      <c r="G29" s="181"/>
      <c r="H29" s="141">
        <f>H15-H16-H17-H18-H19-H20-H22-H23-H24+H26+H27+H28</f>
        <v>207146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114</v>
      </c>
      <c r="H34" s="163">
        <f t="shared" ref="H34:H39" si="2">F34*G34</f>
        <v>114000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63">
        <f t="shared" si="2"/>
        <v>22000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>
        <v>23</v>
      </c>
      <c r="D36" s="12">
        <f>C36*1.5</f>
        <v>34.5</v>
      </c>
      <c r="F36" s="12">
        <v>200</v>
      </c>
      <c r="G36" s="37">
        <v>2</v>
      </c>
      <c r="H36" s="163">
        <f t="shared" si="2"/>
        <v>400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19</v>
      </c>
      <c r="H37" s="163">
        <f t="shared" si="2"/>
        <v>1900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3</v>
      </c>
      <c r="H38" s="163">
        <f t="shared" si="2"/>
        <v>150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63">
        <f t="shared" si="2"/>
        <v>40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>
        <v>124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 t="s">
        <v>140</v>
      </c>
      <c r="G44" s="62"/>
      <c r="H44" s="158">
        <v>55000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2</v>
      </c>
      <c r="D45" s="12">
        <f>C45*84</f>
        <v>168</v>
      </c>
      <c r="F45" s="37" t="s">
        <v>140</v>
      </c>
      <c r="G45" s="62"/>
      <c r="H45" s="158">
        <v>13650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1</v>
      </c>
      <c r="D46" s="12">
        <f>C46*1.5</f>
        <v>1.5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207264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6</v>
      </c>
      <c r="D50" s="12">
        <f>C50*1.5</f>
        <v>9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144</v>
      </c>
      <c r="G51" s="260">
        <f>G49-H29</f>
        <v>118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35565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A8269-5C15-46E2-9DAD-5811CFAA89FE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46175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330</v>
      </c>
      <c r="D6" s="13">
        <f t="shared" ref="D6:D28" si="1">C6*L6</f>
        <v>251130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</v>
      </c>
      <c r="D9" s="13">
        <f t="shared" si="1"/>
        <v>733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1032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13</v>
      </c>
      <c r="D13" s="48">
        <f t="shared" si="1"/>
        <v>3991</v>
      </c>
      <c r="F13" s="247" t="s">
        <v>36</v>
      </c>
      <c r="G13" s="211"/>
      <c r="H13" s="202">
        <f>D29</f>
        <v>256886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37893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218993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1944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256886</v>
      </c>
      <c r="F29" s="119" t="s">
        <v>54</v>
      </c>
      <c r="G29" s="181"/>
      <c r="H29" s="141">
        <f>H15-H16-H17-H18-H19-H20-H22-H23-H24+H26+H27</f>
        <v>217049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102</v>
      </c>
      <c r="H34" s="163">
        <f>F34*G34</f>
        <v>102000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229</v>
      </c>
      <c r="H35" s="163">
        <f>F35*G35</f>
        <v>114500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3">
        <f t="shared" ref="H36:H39" si="2">F36*G36</f>
        <v>200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334</v>
      </c>
      <c r="D37" s="12">
        <f>C37*111</f>
        <v>37074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>
        <v>14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11</v>
      </c>
      <c r="D49" s="12">
        <f>C49*42</f>
        <v>462</v>
      </c>
      <c r="F49" s="139" t="s">
        <v>85</v>
      </c>
      <c r="G49" s="141">
        <f>H34+H35+H36+H37+H38+H39+H40+H41+G42+H44+H45+H46</f>
        <v>216834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>
        <v>2</v>
      </c>
      <c r="D50" s="12">
        <f>C50*1.5</f>
        <v>3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141</v>
      </c>
      <c r="G51" s="252">
        <f>G49-H29</f>
        <v>-215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37893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40BF-D1FF-48D8-874F-7EF05E3C062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46175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8">
        <v>346</v>
      </c>
      <c r="D6" s="13">
        <f t="shared" ref="D6:D28" si="1">C6*L6</f>
        <v>263306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8">
        <v>20</v>
      </c>
      <c r="D7" s="13">
        <f t="shared" si="1"/>
        <v>15620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8">
        <v>1</v>
      </c>
      <c r="D8" s="13">
        <f t="shared" si="1"/>
        <v>1093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8">
        <v>74</v>
      </c>
      <c r="D9" s="13">
        <f t="shared" si="1"/>
        <v>54242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8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8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8">
        <f>10+10+2</f>
        <v>22</v>
      </c>
      <c r="D12" s="48">
        <f t="shared" si="1"/>
        <v>21824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8">
        <v>1</v>
      </c>
      <c r="D13" s="48">
        <f t="shared" si="1"/>
        <v>307</v>
      </c>
      <c r="F13" s="247" t="s">
        <v>36</v>
      </c>
      <c r="G13" s="211"/>
      <c r="H13" s="202">
        <f>D29</f>
        <v>403944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8"/>
      <c r="D14" s="31">
        <f t="shared" si="1"/>
        <v>0</v>
      </c>
      <c r="F14" s="205" t="s">
        <v>38</v>
      </c>
      <c r="G14" s="206"/>
      <c r="H14" s="207">
        <f>D54</f>
        <v>72575.25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8">
        <f>10</f>
        <v>10</v>
      </c>
      <c r="D15" s="31">
        <f t="shared" si="1"/>
        <v>6200</v>
      </c>
      <c r="F15" s="210" t="s">
        <v>39</v>
      </c>
      <c r="G15" s="211"/>
      <c r="H15" s="212">
        <f>H13-H14</f>
        <v>331368.75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8">
        <f>5+2+5</f>
        <v>12</v>
      </c>
      <c r="D16" s="48">
        <f t="shared" si="1"/>
        <v>7800</v>
      </c>
      <c r="F16" s="67" t="s">
        <v>41</v>
      </c>
      <c r="G16" s="66" t="s">
        <v>42</v>
      </c>
      <c r="H16" s="172">
        <v>918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8">
        <f>1+1+1+1</f>
        <v>4</v>
      </c>
      <c r="D17" s="48">
        <f t="shared" si="1"/>
        <v>6808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8">
        <f>2+2</f>
        <v>4</v>
      </c>
      <c r="D18" s="48">
        <f t="shared" si="1"/>
        <v>4408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8">
        <v>1</v>
      </c>
      <c r="D19" s="48">
        <f t="shared" si="1"/>
        <v>1175</v>
      </c>
      <c r="F19" s="56"/>
      <c r="G19" s="68" t="s">
        <v>49</v>
      </c>
      <c r="H19" s="258">
        <v>50</v>
      </c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8">
        <v>1</v>
      </c>
      <c r="D20" s="13">
        <f t="shared" si="1"/>
        <v>1582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147</v>
      </c>
      <c r="C21" s="108">
        <v>1</v>
      </c>
      <c r="D21" s="48">
        <f t="shared" si="1"/>
        <v>1242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1122+120</f>
        <v>1242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148</v>
      </c>
      <c r="C22" s="108">
        <v>1</v>
      </c>
      <c r="D22" s="48">
        <f t="shared" si="1"/>
        <v>1102</v>
      </c>
      <c r="F22" s="76"/>
      <c r="G22" s="72"/>
      <c r="H22" s="188"/>
      <c r="I22" s="188"/>
      <c r="J22" s="188"/>
      <c r="L22" s="7">
        <v>1102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149</v>
      </c>
      <c r="C23" s="108">
        <v>1</v>
      </c>
      <c r="D23" s="48">
        <f t="shared" si="1"/>
        <v>1204</v>
      </c>
      <c r="F23" s="77"/>
      <c r="G23" s="78"/>
      <c r="H23" s="259"/>
      <c r="I23" s="188"/>
      <c r="J23" s="188"/>
      <c r="L23" s="47">
        <v>1204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150</v>
      </c>
      <c r="C24" s="108">
        <v>1</v>
      </c>
      <c r="D24" s="48">
        <f t="shared" si="1"/>
        <v>1582</v>
      </c>
      <c r="F24" s="38"/>
      <c r="G24" s="37"/>
      <c r="H24" s="189"/>
      <c r="I24" s="158"/>
      <c r="J24" s="158"/>
      <c r="L24" s="47">
        <f>1582</f>
        <v>1582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151</v>
      </c>
      <c r="C25" s="108">
        <v>1</v>
      </c>
      <c r="D25" s="48">
        <f t="shared" si="1"/>
        <v>1728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1728</f>
        <v>1728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152</v>
      </c>
      <c r="C26" s="108">
        <v>1</v>
      </c>
      <c r="D26" s="48">
        <f t="shared" si="1"/>
        <v>1277</v>
      </c>
      <c r="F26" s="64"/>
      <c r="G26" s="59"/>
      <c r="H26" s="193"/>
      <c r="I26" s="194"/>
      <c r="J26" s="195"/>
      <c r="L26" s="7">
        <f>1157+120</f>
        <v>1277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153</v>
      </c>
      <c r="C27" s="108">
        <v>2</v>
      </c>
      <c r="D27" s="44">
        <f t="shared" si="1"/>
        <v>3334</v>
      </c>
      <c r="F27" s="25"/>
      <c r="G27" s="79"/>
      <c r="H27" s="196"/>
      <c r="I27" s="197"/>
      <c r="J27" s="198"/>
      <c r="L27" s="7">
        <v>1667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8">
        <v>10</v>
      </c>
      <c r="D28" s="48">
        <f t="shared" si="1"/>
        <v>8110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403944</v>
      </c>
      <c r="F29" s="119" t="s">
        <v>54</v>
      </c>
      <c r="G29" s="181"/>
      <c r="H29" s="141">
        <f>H15-H16-H17-H18-H19-H20-H22-H23-H24+H26+H27</f>
        <v>330400.75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13</v>
      </c>
      <c r="H35" s="163">
        <f>F35*G35</f>
        <v>6500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278</v>
      </c>
      <c r="D37" s="12">
        <f>C37*111</f>
        <v>30858</v>
      </c>
      <c r="F37" s="12">
        <v>100</v>
      </c>
      <c r="G37" s="39">
        <v>30</v>
      </c>
      <c r="H37" s="163">
        <f t="shared" si="2"/>
        <v>3000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382</v>
      </c>
      <c r="D38" s="12">
        <f>C38*84</f>
        <v>32088</v>
      </c>
      <c r="F38" s="30">
        <v>50</v>
      </c>
      <c r="G38" s="39">
        <v>3</v>
      </c>
      <c r="H38" s="163">
        <f t="shared" si="2"/>
        <v>150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32</v>
      </c>
      <c r="D41" s="12">
        <f>C41*84</f>
        <v>2688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7</v>
      </c>
      <c r="D42" s="12">
        <f>C42*2.25</f>
        <v>15.75</v>
      </c>
      <c r="F42" s="39" t="s">
        <v>78</v>
      </c>
      <c r="G42" s="163">
        <v>38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3</v>
      </c>
      <c r="D44" s="12">
        <f>C44*120</f>
        <v>360</v>
      </c>
      <c r="F44" s="37" t="s">
        <v>132</v>
      </c>
      <c r="G44" s="75" t="s">
        <v>145</v>
      </c>
      <c r="H44" s="158">
        <v>98416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69</v>
      </c>
      <c r="D45" s="12">
        <f>C45*84</f>
        <v>5796</v>
      </c>
      <c r="F45" s="37" t="s">
        <v>132</v>
      </c>
      <c r="G45" s="75" t="s">
        <v>146</v>
      </c>
      <c r="H45" s="158">
        <v>221673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10</v>
      </c>
      <c r="D46" s="12">
        <f>C46*1.5</f>
        <v>15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329777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5</v>
      </c>
      <c r="D50" s="12">
        <f>C50*1.5</f>
        <v>7.5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154</v>
      </c>
      <c r="G51" s="252">
        <f>G49-H29</f>
        <v>-623.75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72575.25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16274-D9C6-4DF3-A750-53BAD6AEC132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008A8-7BD6-4FD4-AB39-31F263AFCBFF}">
  <dimension ref="A1:R59"/>
  <sheetViews>
    <sheetView topLeftCell="A36" zoomScaleNormal="100" zoomScaleSheetLayoutView="85" workbookViewId="0">
      <selection activeCell="C51" sqref="C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46176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441</v>
      </c>
      <c r="D6" s="13">
        <f t="shared" ref="D6:D28" si="1">C6*L6</f>
        <v>335601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5</v>
      </c>
      <c r="D7" s="13">
        <f t="shared" si="1"/>
        <v>3905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1</v>
      </c>
      <c r="D8" s="13">
        <f t="shared" si="1"/>
        <v>1093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10</v>
      </c>
      <c r="D9" s="13">
        <f t="shared" si="1"/>
        <v>7330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1032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</v>
      </c>
      <c r="D11" s="13">
        <f t="shared" si="1"/>
        <v>2340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</v>
      </c>
      <c r="D12" s="48">
        <f t="shared" si="1"/>
        <v>1984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13</v>
      </c>
      <c r="D13" s="48">
        <f t="shared" si="1"/>
        <v>3991</v>
      </c>
      <c r="F13" s="247" t="s">
        <v>36</v>
      </c>
      <c r="G13" s="211"/>
      <c r="H13" s="202">
        <f>D29</f>
        <v>361570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41899.5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>
        <v>2</v>
      </c>
      <c r="D15" s="31">
        <f t="shared" si="1"/>
        <v>1240</v>
      </c>
      <c r="F15" s="210" t="s">
        <v>39</v>
      </c>
      <c r="G15" s="211"/>
      <c r="H15" s="212">
        <f>H13-H14</f>
        <v>319670.5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2">
        <v>1944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 t="s">
        <v>157</v>
      </c>
      <c r="G22" s="72">
        <v>10843</v>
      </c>
      <c r="H22" s="188">
        <v>88549</v>
      </c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 t="s">
        <v>157</v>
      </c>
      <c r="G26" s="65">
        <v>10547</v>
      </c>
      <c r="H26" s="158">
        <v>78233</v>
      </c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99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>
        <v>2</v>
      </c>
      <c r="D28" s="48">
        <f t="shared" si="1"/>
        <v>1622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361570</v>
      </c>
      <c r="F29" s="119" t="s">
        <v>54</v>
      </c>
      <c r="G29" s="181"/>
      <c r="H29" s="141">
        <f>H15-H16-H17-H18-H19-H20-H22-H23-H24+H26+H27+H28</f>
        <v>307410.5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180</v>
      </c>
      <c r="H34" s="163">
        <f t="shared" ref="H34:H39" si="2">F34*G34</f>
        <v>180000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163">
        <f t="shared" si="2"/>
        <v>1000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351</v>
      </c>
      <c r="D37" s="12">
        <f>C37*111</f>
        <v>38961</v>
      </c>
      <c r="F37" s="12">
        <v>100</v>
      </c>
      <c r="G37" s="39">
        <v>437</v>
      </c>
      <c r="H37" s="163">
        <f t="shared" si="2"/>
        <v>43700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64</v>
      </c>
      <c r="H38" s="163">
        <f t="shared" si="2"/>
        <v>3200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6</v>
      </c>
      <c r="D42" s="12">
        <f>C42*2.25</f>
        <v>13.5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8</v>
      </c>
      <c r="D44" s="12">
        <f>C44*120</f>
        <v>960</v>
      </c>
      <c r="F44" s="37" t="s">
        <v>155</v>
      </c>
      <c r="G44" s="109" t="s">
        <v>156</v>
      </c>
      <c r="H44" s="158">
        <v>78233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7</v>
      </c>
      <c r="D49" s="12">
        <f>C49*42</f>
        <v>294</v>
      </c>
      <c r="F49" s="139" t="s">
        <v>85</v>
      </c>
      <c r="G49" s="141">
        <f>H34+H35+H36+H37+H38+H39+H40+H41+G42+H44+H45+H46</f>
        <v>306133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11</v>
      </c>
      <c r="D50" s="12">
        <f>C50*1.5</f>
        <v>16.5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-1277.5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41899.5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119D6-AB60-483E-9247-34913FE9A1BE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46176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603ED-621E-4A79-9D61-DD3BBCB2107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46176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DAD88-DA0F-4B36-80DB-F867549639C9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A62EF-4DDF-4599-8C20-CEA5C6D75910}">
  <dimension ref="A1:R59"/>
  <sheetViews>
    <sheetView topLeftCell="A37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46177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370</v>
      </c>
      <c r="D6" s="13">
        <f t="shared" ref="D6:D28" si="1">C6*L6</f>
        <v>281570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50</v>
      </c>
      <c r="D7" s="13">
        <f t="shared" si="1"/>
        <v>39050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65</v>
      </c>
      <c r="D8" s="13">
        <f t="shared" si="1"/>
        <v>71045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117</v>
      </c>
      <c r="D9" s="13">
        <f t="shared" si="1"/>
        <v>85761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26</v>
      </c>
      <c r="D12" s="48">
        <f t="shared" si="1"/>
        <v>25792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10</v>
      </c>
      <c r="D13" s="48">
        <f t="shared" si="1"/>
        <v>3070</v>
      </c>
      <c r="F13" s="247" t="s">
        <v>36</v>
      </c>
      <c r="G13" s="211"/>
      <c r="H13" s="202">
        <f>D29</f>
        <v>508853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82236.75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426616.25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3042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 t="s">
        <v>136</v>
      </c>
      <c r="G22" s="72">
        <v>10850</v>
      </c>
      <c r="H22" s="188">
        <v>62272</v>
      </c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99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>
        <v>3</v>
      </c>
      <c r="D28" s="48">
        <f t="shared" si="1"/>
        <v>2433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508853</v>
      </c>
      <c r="F29" s="119" t="s">
        <v>54</v>
      </c>
      <c r="G29" s="181"/>
      <c r="H29" s="141">
        <f>H15-H16-H17-H18-H19-H20-H22-H23-H24+H26+H27+H28</f>
        <v>361302.25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23</v>
      </c>
      <c r="H34" s="163">
        <f t="shared" ref="H34:H39" si="2">F34*G34</f>
        <v>23000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63">
        <f t="shared" si="2"/>
        <v>3500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603</v>
      </c>
      <c r="D37" s="12">
        <f>C37*111</f>
        <v>66933</v>
      </c>
      <c r="F37" s="12">
        <v>100</v>
      </c>
      <c r="G37" s="39">
        <v>23</v>
      </c>
      <c r="H37" s="163">
        <f t="shared" si="2"/>
        <v>2300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9</v>
      </c>
      <c r="H38" s="163">
        <f t="shared" si="2"/>
        <v>450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9</v>
      </c>
      <c r="D42" s="12">
        <f>C42*2.25</f>
        <v>20.25</v>
      </c>
      <c r="F42" s="39" t="s">
        <v>78</v>
      </c>
      <c r="G42" s="163">
        <v>80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68</v>
      </c>
      <c r="D44" s="12">
        <f>C44*120</f>
        <v>8160</v>
      </c>
      <c r="F44" s="37" t="s">
        <v>132</v>
      </c>
      <c r="G44" s="62" t="s">
        <v>159</v>
      </c>
      <c r="H44" s="158">
        <v>321116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 t="s">
        <v>140</v>
      </c>
      <c r="G45" s="62"/>
      <c r="H45" s="158">
        <v>10122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360568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252">
        <f>G49-H29</f>
        <v>-734.25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82236.75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4DC5A-FEE3-4212-9206-33811C254683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46177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297</v>
      </c>
      <c r="D6" s="13">
        <f t="shared" ref="D6:D28" si="1">C6*L6</f>
        <v>226017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</v>
      </c>
      <c r="D7" s="13">
        <f t="shared" si="1"/>
        <v>781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23</v>
      </c>
      <c r="D9" s="13">
        <f t="shared" si="1"/>
        <v>16859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7</v>
      </c>
      <c r="D13" s="48">
        <f t="shared" si="1"/>
        <v>2149</v>
      </c>
      <c r="F13" s="247" t="s">
        <v>36</v>
      </c>
      <c r="G13" s="211"/>
      <c r="H13" s="202">
        <f>D29</f>
        <v>248406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41370.75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207035.25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72">
        <v>1896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248406</v>
      </c>
      <c r="F29" s="119" t="s">
        <v>54</v>
      </c>
      <c r="G29" s="181"/>
      <c r="H29" s="141">
        <f>H15-H16-H17-H18-H19-H20-H22-H23-H24+H26+H27</f>
        <v>205139.25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26</v>
      </c>
      <c r="H34" s="163">
        <f>F34*G34</f>
        <v>26000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105</v>
      </c>
      <c r="H35" s="163">
        <f>F35*G35</f>
        <v>52500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3</v>
      </c>
      <c r="D42" s="12">
        <f>C42*2.25</f>
        <v>6.75</v>
      </c>
      <c r="F42" s="39" t="s">
        <v>78</v>
      </c>
      <c r="G42" s="163">
        <v>85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 t="s">
        <v>132</v>
      </c>
      <c r="G44" s="75" t="s">
        <v>164</v>
      </c>
      <c r="H44" s="158">
        <v>126406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1</v>
      </c>
      <c r="D46" s="12">
        <f>C46*1.5</f>
        <v>1.5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9</v>
      </c>
      <c r="D49" s="12">
        <f>C49*42</f>
        <v>378</v>
      </c>
      <c r="F49" s="139" t="s">
        <v>85</v>
      </c>
      <c r="G49" s="141">
        <f>H34+H35+H36+H37+H38+H39+H40+H41+G42+H44+H45+H46</f>
        <v>205091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>
        <v>1</v>
      </c>
      <c r="D50" s="12">
        <f>C50*1.5</f>
        <v>1.5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137</v>
      </c>
      <c r="G51" s="252">
        <f>G49-H29</f>
        <v>-48.25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41370.75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C710A-CE86-4A85-8418-0479340726B7}">
  <dimension ref="A1:R59"/>
  <sheetViews>
    <sheetView topLeftCell="A37" zoomScaleNormal="100" zoomScaleSheetLayoutView="85" workbookViewId="0">
      <selection activeCell="L58" sqref="L5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46177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539</v>
      </c>
      <c r="D6" s="13">
        <f t="shared" ref="D6:D28" si="1">C6*L6</f>
        <v>410179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20</v>
      </c>
      <c r="D7" s="13">
        <f t="shared" si="1"/>
        <v>15620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135</v>
      </c>
      <c r="D9" s="13">
        <f t="shared" si="1"/>
        <v>98955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20</v>
      </c>
      <c r="D11" s="13">
        <f t="shared" si="1"/>
        <v>23400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20</v>
      </c>
      <c r="D12" s="48">
        <f t="shared" si="1"/>
        <v>19840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24</v>
      </c>
      <c r="D13" s="48">
        <f t="shared" si="1"/>
        <v>7368</v>
      </c>
      <c r="F13" s="247" t="s">
        <v>36</v>
      </c>
      <c r="G13" s="211"/>
      <c r="H13" s="202">
        <f>D29</f>
        <v>582314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89697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492617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f>2+7</f>
        <v>9</v>
      </c>
      <c r="D16" s="48">
        <f t="shared" si="1"/>
        <v>5850</v>
      </c>
      <c r="F16" s="67" t="s">
        <v>41</v>
      </c>
      <c r="G16" s="66" t="s">
        <v>42</v>
      </c>
      <c r="H16" s="172">
        <f>924+306</f>
        <v>1230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148</v>
      </c>
      <c r="C27" s="10">
        <v>1</v>
      </c>
      <c r="D27" s="44">
        <f t="shared" si="1"/>
        <v>1102</v>
      </c>
      <c r="F27" s="25"/>
      <c r="G27" s="79"/>
      <c r="H27" s="196"/>
      <c r="I27" s="197"/>
      <c r="J27" s="198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582314</v>
      </c>
      <c r="F29" s="119" t="s">
        <v>54</v>
      </c>
      <c r="G29" s="181"/>
      <c r="H29" s="141">
        <f>H15-H16-H17-H18-H19-H20-H22-H23-H24+H26+H27</f>
        <v>491387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24</v>
      </c>
      <c r="H34" s="163">
        <f>F34*G34</f>
        <v>24000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</v>
      </c>
      <c r="H35" s="163">
        <f>F35*G35</f>
        <v>2000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>
        <v>19</v>
      </c>
      <c r="D36" s="12">
        <f>C36*1.5</f>
        <v>28.5</v>
      </c>
      <c r="F36" s="12">
        <v>200</v>
      </c>
      <c r="G36" s="37">
        <v>1</v>
      </c>
      <c r="H36" s="163">
        <f t="shared" ref="H36:H39" si="2">F36*G36</f>
        <v>200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756</v>
      </c>
      <c r="D37" s="12">
        <f>C37*111</f>
        <v>83916</v>
      </c>
      <c r="F37" s="12">
        <v>100</v>
      </c>
      <c r="G37" s="39">
        <v>59</v>
      </c>
      <c r="H37" s="163">
        <f t="shared" si="2"/>
        <v>5900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10</v>
      </c>
      <c r="D42" s="12">
        <f>C42*2.25</f>
        <v>22.5</v>
      </c>
      <c r="F42" s="39" t="s">
        <v>78</v>
      </c>
      <c r="G42" s="163">
        <v>30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13</v>
      </c>
      <c r="D44" s="12">
        <f>C44*120</f>
        <v>1560</v>
      </c>
      <c r="F44" s="37" t="s">
        <v>155</v>
      </c>
      <c r="G44" s="75" t="s">
        <v>160</v>
      </c>
      <c r="H44" s="158">
        <v>30346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 t="s">
        <v>155</v>
      </c>
      <c r="G45" s="75" t="s">
        <v>161</v>
      </c>
      <c r="H45" s="158">
        <v>328788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7</v>
      </c>
      <c r="D46" s="12">
        <f>C46*1.5</f>
        <v>10.5</v>
      </c>
      <c r="F46" s="37" t="s">
        <v>155</v>
      </c>
      <c r="G46" s="110" t="s">
        <v>162</v>
      </c>
      <c r="H46" s="158">
        <v>99736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24</v>
      </c>
      <c r="D49" s="12">
        <f>C49*42</f>
        <v>1008</v>
      </c>
      <c r="F49" s="139" t="s">
        <v>85</v>
      </c>
      <c r="G49" s="141">
        <f>H34+H35+H36+H37+H38+H39+H40+H41+G42+H44+H45+H46</f>
        <v>491050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14</v>
      </c>
      <c r="D50" s="12">
        <f>C50*1.5</f>
        <v>21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163</v>
      </c>
      <c r="G51" s="252">
        <f>G49-H29</f>
        <v>-337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89697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0189-D465-4967-A348-0B7586C2B4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7DD10-A8AA-46BD-BD11-3486487D218F}">
  <dimension ref="A1:R59"/>
  <sheetViews>
    <sheetView zoomScaleNormal="100" zoomScaleSheetLayoutView="85" workbookViewId="0">
      <selection activeCell="G36" sqref="G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46178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99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H15-H16-H17-H18-H19-H20-H22-H23-H24+H26+H27+H28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B878-5D4A-486D-B0EB-E2633C3ADD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46178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384</v>
      </c>
      <c r="D6" s="13">
        <f t="shared" ref="D6:D28" si="1">C6*L6</f>
        <v>292224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4</v>
      </c>
      <c r="D7" s="13">
        <f t="shared" si="1"/>
        <v>3124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6</v>
      </c>
      <c r="D9" s="13">
        <f t="shared" si="1"/>
        <v>4398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9</v>
      </c>
      <c r="D13" s="48">
        <f t="shared" si="1"/>
        <v>2763</v>
      </c>
      <c r="F13" s="247" t="s">
        <v>36</v>
      </c>
      <c r="G13" s="211"/>
      <c r="H13" s="202">
        <f>D29</f>
        <v>302509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39733.5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262775.5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1296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302509</v>
      </c>
      <c r="F29" s="119" t="s">
        <v>54</v>
      </c>
      <c r="G29" s="181"/>
      <c r="H29" s="141">
        <f>H15-H16-H17-H18-H19-H20-H22-H23-H24+H26+H27</f>
        <v>261479.5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90</v>
      </c>
      <c r="H34" s="163">
        <f>F34*G34</f>
        <v>90000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51</v>
      </c>
      <c r="H35" s="163">
        <f>F35*G35</f>
        <v>25500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63">
        <f t="shared" si="2"/>
        <v>40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>
        <v>77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 t="s">
        <v>165</v>
      </c>
      <c r="G44" s="75" t="s">
        <v>166</v>
      </c>
      <c r="H44" s="158">
        <v>145825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4</v>
      </c>
      <c r="D49" s="12">
        <f>C49*42</f>
        <v>168</v>
      </c>
      <c r="F49" s="139" t="s">
        <v>85</v>
      </c>
      <c r="G49" s="141">
        <f>H34+H35+H36+H37+H38+H39+H40+H41+G42+H44+H45+H46</f>
        <v>261542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>
        <v>5</v>
      </c>
      <c r="D50" s="12">
        <f>C50*1.5</f>
        <v>7.5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62.5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39733.5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1A631-B913-4B0D-B333-83CB150626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46178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389</v>
      </c>
      <c r="D6" s="13">
        <f t="shared" ref="D6:D28" si="1">C6*L6</f>
        <v>296029</v>
      </c>
      <c r="F6" s="226" t="s">
        <v>16</v>
      </c>
      <c r="G6" s="228" t="s">
        <v>170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20</v>
      </c>
      <c r="D7" s="13">
        <f t="shared" si="1"/>
        <v>15620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46</v>
      </c>
      <c r="D9" s="13">
        <f t="shared" si="1"/>
        <v>33718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2064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</v>
      </c>
      <c r="D11" s="13">
        <f t="shared" si="1"/>
        <v>2340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4+1</f>
        <v>5</v>
      </c>
      <c r="D12" s="48">
        <f t="shared" si="1"/>
        <v>4960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8</v>
      </c>
      <c r="D13" s="48">
        <f t="shared" si="1"/>
        <v>2456</v>
      </c>
      <c r="F13" s="247" t="s">
        <v>36</v>
      </c>
      <c r="G13" s="211"/>
      <c r="H13" s="202">
        <f>D29</f>
        <v>357319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52380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304939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1092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357319</v>
      </c>
      <c r="F29" s="119" t="s">
        <v>54</v>
      </c>
      <c r="G29" s="181"/>
      <c r="H29" s="141">
        <f>H15-H16-H17-H18-H19-H20-H22-H23-H24+H26+H27</f>
        <v>303847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103</v>
      </c>
      <c r="H34" s="163">
        <f>F34*G34</f>
        <v>103000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163">
        <f>F35*G35</f>
        <v>4500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3">
        <f t="shared" ref="H36:H39" si="2">F36*G36</f>
        <v>200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63</v>
      </c>
      <c r="H37" s="163">
        <f t="shared" si="2"/>
        <v>6300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8</v>
      </c>
      <c r="D42" s="12">
        <f>C42*2.25</f>
        <v>18</v>
      </c>
      <c r="F42" s="39" t="s">
        <v>78</v>
      </c>
      <c r="G42" s="163">
        <v>20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5</v>
      </c>
      <c r="D44" s="12">
        <f>C44*120</f>
        <v>600</v>
      </c>
      <c r="F44" s="37" t="s">
        <v>167</v>
      </c>
      <c r="G44" s="75" t="s">
        <v>168</v>
      </c>
      <c r="H44" s="158">
        <v>69159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1</v>
      </c>
      <c r="D45" s="12">
        <f>C45*84</f>
        <v>84</v>
      </c>
      <c r="F45" s="37" t="s">
        <v>132</v>
      </c>
      <c r="G45" s="75" t="s">
        <v>169</v>
      </c>
      <c r="H45" s="158">
        <v>119736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5</v>
      </c>
      <c r="D46" s="12">
        <f>C46*1.5</f>
        <v>7.5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302965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14</v>
      </c>
      <c r="D50" s="12">
        <f>C50*1.5</f>
        <v>21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137</v>
      </c>
      <c r="G51" s="252">
        <f>G49-H29</f>
        <v>-882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52380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7099-48C1-4AB9-8DE1-CFCA6E12A1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05E38-9FEB-4220-A304-1BDE55C2F912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46179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 t="s">
        <v>136</v>
      </c>
      <c r="G26" s="65">
        <v>10850</v>
      </c>
      <c r="H26" s="158">
        <v>62272</v>
      </c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99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H15-H16-H17-H18-H19-H20-H22-H23-H24+H26+H27+H28</f>
        <v>62272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163">
        <f t="shared" ref="H34:H39" si="2">F34*G34</f>
        <v>62000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163">
        <f t="shared" si="2"/>
        <v>200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>
        <v>22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62272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99B0C-322E-48B7-9B4B-6300806FCF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46179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E8C9-59EB-4F59-95D5-B1F89CA82ECB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46179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651FE-F86D-4E78-9CB8-C5B260A23C0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DEFF-527F-43BE-B19C-0010A5A981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46181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99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H15-H16-H17-H18-H19-H20-H22-H23-H24+H26+H27+H28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EF23-8C0D-4138-B964-08AD5AE13E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46181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457</v>
      </c>
      <c r="D6" s="13">
        <f t="shared" ref="D6:D28" si="1">C6*L6</f>
        <v>347777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4</v>
      </c>
      <c r="D7" s="13">
        <f t="shared" si="1"/>
        <v>3124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33</v>
      </c>
      <c r="D9" s="13">
        <f t="shared" si="1"/>
        <v>24189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15</v>
      </c>
      <c r="D13" s="48">
        <f t="shared" si="1"/>
        <v>4605</v>
      </c>
      <c r="F13" s="247" t="s">
        <v>36</v>
      </c>
      <c r="G13" s="211"/>
      <c r="H13" s="202">
        <f>D29</f>
        <v>379695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56268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323427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2832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379695</v>
      </c>
      <c r="F29" s="119" t="s">
        <v>54</v>
      </c>
      <c r="G29" s="181"/>
      <c r="H29" s="141">
        <f>H15-H16-H17-H18-H19-H20-H22-H23-H24+H26+H27</f>
        <v>320595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151</v>
      </c>
      <c r="H34" s="163">
        <f>F34*G34</f>
        <v>151000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334</v>
      </c>
      <c r="H35" s="163">
        <f>F35*G35</f>
        <v>167000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495</v>
      </c>
      <c r="D37" s="12">
        <f>C37*111</f>
        <v>54945</v>
      </c>
      <c r="F37" s="12">
        <v>100</v>
      </c>
      <c r="G37" s="39">
        <v>7</v>
      </c>
      <c r="H37" s="163">
        <f t="shared" si="2"/>
        <v>700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5</v>
      </c>
      <c r="H38" s="163">
        <f t="shared" si="2"/>
        <v>250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8</v>
      </c>
      <c r="D42" s="12">
        <f>C42*2.25</f>
        <v>18</v>
      </c>
      <c r="F42" s="39" t="s">
        <v>78</v>
      </c>
      <c r="G42" s="163">
        <v>76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15</v>
      </c>
      <c r="D49" s="12">
        <f>C49*42</f>
        <v>630</v>
      </c>
      <c r="F49" s="139" t="s">
        <v>85</v>
      </c>
      <c r="G49" s="141">
        <f>H34+H35+H36+H37+H38+H39+H40+H41+G42+H44+H45+H46</f>
        <v>319046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-1549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56268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D3B36-C091-4981-BB45-62747301CC83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46181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416</v>
      </c>
      <c r="D6" s="13">
        <f t="shared" ref="D6:D28" si="1">C6*L6</f>
        <v>316576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10</v>
      </c>
      <c r="D7" s="13">
        <f t="shared" si="1"/>
        <v>7810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76</v>
      </c>
      <c r="D9" s="13">
        <f t="shared" si="1"/>
        <v>55708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1</v>
      </c>
      <c r="D11" s="13">
        <f t="shared" si="1"/>
        <v>1170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5</v>
      </c>
      <c r="D12" s="48">
        <f t="shared" si="1"/>
        <v>4960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10</v>
      </c>
      <c r="D13" s="48">
        <f t="shared" si="1"/>
        <v>3070</v>
      </c>
      <c r="F13" s="247" t="s">
        <v>36</v>
      </c>
      <c r="G13" s="211"/>
      <c r="H13" s="202">
        <f>D29</f>
        <v>389426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56689.5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332736.5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2478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389426</v>
      </c>
      <c r="F29" s="119" t="s">
        <v>54</v>
      </c>
      <c r="G29" s="181"/>
      <c r="H29" s="141">
        <f>H15-H16-H17-H18-H19-H20-H22-H23-H24+H26+H27</f>
        <v>330258.5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122</v>
      </c>
      <c r="H34" s="163">
        <f>F34*G34</f>
        <v>122000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163">
        <f>F35*G35</f>
        <v>30000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>
        <v>10</v>
      </c>
      <c r="D36" s="12">
        <f>C36*1.5</f>
        <v>15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52</v>
      </c>
      <c r="H37" s="163">
        <f t="shared" si="2"/>
        <v>5200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18</v>
      </c>
      <c r="H38" s="163">
        <f t="shared" si="2"/>
        <v>900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22</v>
      </c>
      <c r="D42" s="12">
        <f>C42*2.25</f>
        <v>49.5</v>
      </c>
      <c r="F42" s="39" t="s">
        <v>78</v>
      </c>
      <c r="G42" s="163">
        <v>204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3</v>
      </c>
      <c r="D44" s="12">
        <f>C44*120</f>
        <v>360</v>
      </c>
      <c r="F44" s="37" t="s">
        <v>132</v>
      </c>
      <c r="G44" s="62" t="s">
        <v>174</v>
      </c>
      <c r="H44" s="158">
        <v>164463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1</v>
      </c>
      <c r="D45" s="12">
        <f>C45*84</f>
        <v>84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8</v>
      </c>
      <c r="D46" s="12">
        <f>C46*1.5</f>
        <v>12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5</v>
      </c>
      <c r="D49" s="12">
        <f>C49*42</f>
        <v>210</v>
      </c>
      <c r="F49" s="139" t="s">
        <v>85</v>
      </c>
      <c r="G49" s="141">
        <f>H34+H35+H36+H37+H38+H39+H40+H41+G42+H44+H45+H46</f>
        <v>322767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7</v>
      </c>
      <c r="D50" s="12">
        <f>C50*1.5</f>
        <v>10.5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-7491.5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56689.5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C6EB1-AF3E-4268-8DB4-DF2088B102B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FE4E9-1FE8-4F3F-ACA7-1DA10B4A02DB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46182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339</v>
      </c>
      <c r="D6" s="13">
        <f t="shared" ref="D6:D28" si="1">C6*L6</f>
        <v>257979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9</v>
      </c>
      <c r="D7" s="13">
        <f t="shared" si="1"/>
        <v>7029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20</v>
      </c>
      <c r="D9" s="13">
        <f t="shared" si="1"/>
        <v>14660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1+1</f>
        <v>2</v>
      </c>
      <c r="D12" s="48">
        <f t="shared" si="1"/>
        <v>1984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</v>
      </c>
      <c r="D13" s="48">
        <f t="shared" si="1"/>
        <v>614</v>
      </c>
      <c r="F13" s="247" t="s">
        <v>36</v>
      </c>
      <c r="G13" s="211"/>
      <c r="H13" s="202">
        <f>D29</f>
        <v>284998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35218.5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249779.5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99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284998</v>
      </c>
      <c r="F29" s="119" t="s">
        <v>54</v>
      </c>
      <c r="G29" s="181"/>
      <c r="H29" s="141">
        <f>H15-H16-H17-H18-H19-H20-H22-H23-H24+H26+H27+H28</f>
        <v>249779.5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129</v>
      </c>
      <c r="H34" s="163">
        <f t="shared" ref="H34:H39" si="2">F34*G34</f>
        <v>129000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73</v>
      </c>
      <c r="H35" s="163">
        <f t="shared" si="2"/>
        <v>36500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300</v>
      </c>
      <c r="D37" s="12">
        <f>C37*111</f>
        <v>33300</v>
      </c>
      <c r="F37" s="12">
        <v>100</v>
      </c>
      <c r="G37" s="39">
        <v>36</v>
      </c>
      <c r="H37" s="163">
        <f t="shared" si="2"/>
        <v>3600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18</v>
      </c>
      <c r="H38" s="163">
        <f t="shared" si="2"/>
        <v>900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>
        <v>58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2</v>
      </c>
      <c r="D44" s="12">
        <f>C44*120</f>
        <v>240</v>
      </c>
      <c r="F44" s="37" t="s">
        <v>155</v>
      </c>
      <c r="G44" s="109" t="s">
        <v>156</v>
      </c>
      <c r="H44" s="158">
        <v>67000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 t="s">
        <v>140</v>
      </c>
      <c r="G45" s="62"/>
      <c r="H45" s="158">
        <v>12350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2</v>
      </c>
      <c r="D49" s="12">
        <f>C49*42</f>
        <v>84</v>
      </c>
      <c r="F49" s="139" t="s">
        <v>85</v>
      </c>
      <c r="G49" s="141">
        <f>H34+H35+H36+H37+H38+H39+H40+H41+G42+H44+H45+H46</f>
        <v>249428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21</v>
      </c>
      <c r="D50" s="12">
        <f>C50*1.5</f>
        <v>31.5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-351.5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35218.5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1FFC-57F5-4046-A495-6C2AFA3D99E4}">
  <dimension ref="A1:R59"/>
  <sheetViews>
    <sheetView topLeftCell="A25" zoomScaleNormal="100" zoomScaleSheetLayoutView="85" workbookViewId="0">
      <selection activeCell="M57" sqref="M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46182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323</v>
      </c>
      <c r="D6" s="13">
        <f t="shared" ref="D6:D28" si="1">C6*L6</f>
        <v>245803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3</v>
      </c>
      <c r="D7" s="13">
        <f t="shared" si="1"/>
        <v>2343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50</v>
      </c>
      <c r="D9" s="13">
        <f t="shared" si="1"/>
        <v>36650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5</v>
      </c>
      <c r="D10" s="13">
        <f t="shared" si="1"/>
        <v>5160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992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12</v>
      </c>
      <c r="D13" s="48">
        <f t="shared" si="1"/>
        <v>3684</v>
      </c>
      <c r="F13" s="247" t="s">
        <v>36</v>
      </c>
      <c r="G13" s="211"/>
      <c r="H13" s="202">
        <f>D29</f>
        <v>296582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46258.5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250323.5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72">
        <v>2070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296582</v>
      </c>
      <c r="F29" s="119" t="s">
        <v>54</v>
      </c>
      <c r="G29" s="181"/>
      <c r="H29" s="141">
        <f>H15-H16-H17-H18-H19-H20-H22-H23-H24+H26+H27</f>
        <v>248253.5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3">
        <v>18</v>
      </c>
      <c r="H34" s="163">
        <f>F34*G34</f>
        <v>18000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163">
        <f>F35*G35</f>
        <v>5000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386</v>
      </c>
      <c r="D37" s="12">
        <f>C37*111</f>
        <v>42846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9</v>
      </c>
      <c r="D38" s="12">
        <f>C38*84</f>
        <v>756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>
        <v>20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175</v>
      </c>
      <c r="H44" s="158">
        <v>224866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1</v>
      </c>
      <c r="D45" s="12">
        <f>C45*84</f>
        <v>84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1</v>
      </c>
      <c r="D49" s="12">
        <f>C49*42</f>
        <v>42</v>
      </c>
      <c r="F49" s="139" t="s">
        <v>85</v>
      </c>
      <c r="G49" s="141">
        <f>H34+H35+H36+H37+H38+H39+H40+H41+G42+H44+H45+H46</f>
        <v>247986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>
        <v>1</v>
      </c>
      <c r="D50" s="12">
        <f>C50*1.5</f>
        <v>1.5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-267.5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46258.5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F7AE-32C5-452C-AAE9-68EC1209A3FC}">
  <dimension ref="A1:R59"/>
  <sheetViews>
    <sheetView topLeftCell="A34" zoomScaleNormal="100" zoomScaleSheetLayoutView="85" workbookViewId="0">
      <selection activeCell="L64" sqref="L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46182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490</v>
      </c>
      <c r="D6" s="13">
        <f t="shared" ref="D6:D28" si="1">C6*L6</f>
        <v>372890</v>
      </c>
      <c r="F6" s="226" t="s">
        <v>16</v>
      </c>
      <c r="G6" s="228" t="s">
        <v>142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27</v>
      </c>
      <c r="D7" s="13">
        <f t="shared" si="1"/>
        <v>21087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1</v>
      </c>
      <c r="D8" s="13">
        <f t="shared" si="1"/>
        <v>1093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108</v>
      </c>
      <c r="D9" s="13">
        <f t="shared" si="1"/>
        <v>79164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5</v>
      </c>
      <c r="D10" s="13">
        <f t="shared" si="1"/>
        <v>5160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7+2</f>
        <v>9</v>
      </c>
      <c r="D12" s="48">
        <f t="shared" si="1"/>
        <v>8928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19</v>
      </c>
      <c r="D13" s="48">
        <f t="shared" si="1"/>
        <v>5833</v>
      </c>
      <c r="F13" s="247" t="s">
        <v>36</v>
      </c>
      <c r="G13" s="211"/>
      <c r="H13" s="202">
        <f>D29</f>
        <v>494155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67279.5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426875.5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3288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494155</v>
      </c>
      <c r="F29" s="119" t="s">
        <v>54</v>
      </c>
      <c r="G29" s="181"/>
      <c r="H29" s="141">
        <f>H15-H16-H17-H18-H19-H20-H22-H23-H24+H26+H27</f>
        <v>423587.5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30</v>
      </c>
      <c r="H34" s="163">
        <f>F34*G34</f>
        <v>30000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163">
        <f>F35*G35</f>
        <v>29500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>
        <v>24</v>
      </c>
      <c r="D36" s="12">
        <f>C36*1.5</f>
        <v>36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562</v>
      </c>
      <c r="D37" s="12">
        <f>C37*111</f>
        <v>62382</v>
      </c>
      <c r="F37" s="12">
        <v>100</v>
      </c>
      <c r="G37" s="39">
        <v>8</v>
      </c>
      <c r="H37" s="163">
        <f t="shared" si="2"/>
        <v>800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163">
        <f t="shared" si="2"/>
        <v>150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8</v>
      </c>
      <c r="D42" s="12">
        <f>C42*2.25</f>
        <v>18</v>
      </c>
      <c r="F42" s="39" t="s">
        <v>78</v>
      </c>
      <c r="G42" s="163">
        <v>42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7</v>
      </c>
      <c r="D44" s="12">
        <f>C44*120</f>
        <v>840</v>
      </c>
      <c r="F44" s="37" t="s">
        <v>155</v>
      </c>
      <c r="G44" s="75" t="s">
        <v>176</v>
      </c>
      <c r="H44" s="158">
        <v>129945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4</v>
      </c>
      <c r="D45" s="12">
        <f>C45*84</f>
        <v>336</v>
      </c>
      <c r="F45" s="37" t="s">
        <v>155</v>
      </c>
      <c r="G45" s="75" t="s">
        <v>177</v>
      </c>
      <c r="H45" s="158">
        <v>233114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4</v>
      </c>
      <c r="D46" s="12">
        <f>C46*1.5</f>
        <v>6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5</v>
      </c>
      <c r="D49" s="12">
        <f>C49*42</f>
        <v>210</v>
      </c>
      <c r="F49" s="139" t="s">
        <v>85</v>
      </c>
      <c r="G49" s="141">
        <f>H34+H35+H36+H37+H38+H39+H40+H41+G42+H44+H45+H46</f>
        <v>423571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22</v>
      </c>
      <c r="D50" s="12">
        <f>C50*1.5</f>
        <v>33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-16.5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67279.5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3826-2DAB-44E2-951B-F359D94D7E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D0EFB-94EB-4F08-B6B7-8A30824DE5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46183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312</v>
      </c>
      <c r="D6" s="13">
        <f t="shared" ref="D6:D28" si="1">C6*L6</f>
        <v>237432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8</v>
      </c>
      <c r="D7" s="13">
        <f t="shared" si="1"/>
        <v>6248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15</v>
      </c>
      <c r="D9" s="13">
        <f t="shared" si="1"/>
        <v>10995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992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262429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37573.5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>
        <v>2</v>
      </c>
      <c r="D15" s="31">
        <f t="shared" si="1"/>
        <v>1240</v>
      </c>
      <c r="F15" s="210" t="s">
        <v>39</v>
      </c>
      <c r="G15" s="211"/>
      <c r="H15" s="212">
        <f>H13-H14</f>
        <v>224855.5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f>2+4</f>
        <v>6</v>
      </c>
      <c r="D16" s="48">
        <f t="shared" si="1"/>
        <v>3900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99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>
        <v>2</v>
      </c>
      <c r="D28" s="48">
        <f t="shared" si="1"/>
        <v>1622</v>
      </c>
      <c r="F28" s="101"/>
      <c r="G28" s="61"/>
      <c r="H28" s="199"/>
      <c r="I28" s="200"/>
      <c r="J28" s="201"/>
      <c r="L28" s="47"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262429</v>
      </c>
      <c r="F29" s="119" t="s">
        <v>54</v>
      </c>
      <c r="G29" s="181"/>
      <c r="H29" s="141">
        <f>H15-H16-H17-H18-H19-H20-H22-H23-H24+H26+H27+H28</f>
        <v>224855.5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54</v>
      </c>
      <c r="H34" s="163">
        <f t="shared" ref="H34:H39" si="2">F34*G34</f>
        <v>54000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14</v>
      </c>
      <c r="H35" s="163">
        <f t="shared" si="2"/>
        <v>7000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3">
        <f t="shared" si="2"/>
        <v>200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321</v>
      </c>
      <c r="D37" s="12">
        <f>C37*111</f>
        <v>35631</v>
      </c>
      <c r="F37" s="12">
        <v>100</v>
      </c>
      <c r="G37" s="39">
        <v>18</v>
      </c>
      <c r="H37" s="163">
        <f t="shared" si="2"/>
        <v>1800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4</v>
      </c>
      <c r="D42" s="12">
        <f>C42*2.25</f>
        <v>9</v>
      </c>
      <c r="F42" s="39" t="s">
        <v>78</v>
      </c>
      <c r="G42" s="163">
        <v>60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2</v>
      </c>
      <c r="D44" s="12">
        <f>C44*120</f>
        <v>240</v>
      </c>
      <c r="F44" s="37" t="s">
        <v>140</v>
      </c>
      <c r="G44" s="62"/>
      <c r="H44" s="158">
        <v>11360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1</v>
      </c>
      <c r="D45" s="12">
        <f>C45*84</f>
        <v>84</v>
      </c>
      <c r="F45" s="37" t="s">
        <v>165</v>
      </c>
      <c r="G45" s="110" t="s">
        <v>182</v>
      </c>
      <c r="H45" s="158">
        <v>150130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1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33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8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11"/>
      <c r="D49" s="12">
        <f>C49*42</f>
        <v>0</v>
      </c>
      <c r="F49" s="139" t="s">
        <v>85</v>
      </c>
      <c r="G49" s="141">
        <f>H34+H35+H36+H37+H38+H39+H40+H41+G42+H44+H45+H46</f>
        <v>224670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252">
        <f>G49-H29</f>
        <v>-185.5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37573.5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701A-C8BE-4D0B-AA33-18B49BEDF3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46183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04DCD-753A-48DD-9791-A6ED4B4130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46183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338</v>
      </c>
      <c r="D6" s="13">
        <f t="shared" ref="D6:D28" si="1">C6*L6</f>
        <v>257218</v>
      </c>
      <c r="F6" s="226" t="s">
        <v>16</v>
      </c>
      <c r="G6" s="228" t="s">
        <v>142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</v>
      </c>
      <c r="D7" s="13">
        <f t="shared" si="1"/>
        <v>781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14</v>
      </c>
      <c r="D9" s="13">
        <f t="shared" si="1"/>
        <v>10262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5</v>
      </c>
      <c r="D12" s="48">
        <f t="shared" si="1"/>
        <v>4960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10</v>
      </c>
      <c r="D13" s="48">
        <f t="shared" si="1"/>
        <v>3070</v>
      </c>
      <c r="F13" s="247" t="s">
        <v>36</v>
      </c>
      <c r="G13" s="211"/>
      <c r="H13" s="202">
        <f>D29</f>
        <v>297741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41929.5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255811.5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f>17+16</f>
        <v>33</v>
      </c>
      <c r="D16" s="48">
        <f t="shared" si="1"/>
        <v>21450</v>
      </c>
      <c r="F16" s="67" t="s">
        <v>41</v>
      </c>
      <c r="G16" s="66" t="s">
        <v>42</v>
      </c>
      <c r="H16" s="172">
        <v>1296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297741</v>
      </c>
      <c r="F29" s="119" t="s">
        <v>54</v>
      </c>
      <c r="G29" s="181"/>
      <c r="H29" s="141">
        <f>H15-H16-H17-H18-H19-H20-H22-H23-H24+H26+H27</f>
        <v>254515.5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107</v>
      </c>
      <c r="H34" s="163">
        <f>F34*G34</f>
        <v>107000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12</v>
      </c>
      <c r="H35" s="163">
        <f>F35*G35</f>
        <v>6000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343</v>
      </c>
      <c r="D37" s="12">
        <f>C37*111</f>
        <v>38073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 t="s">
        <v>155</v>
      </c>
      <c r="G44" s="75" t="s">
        <v>179</v>
      </c>
      <c r="H44" s="158">
        <v>140790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3</v>
      </c>
      <c r="D45" s="12">
        <f>C45*84</f>
        <v>252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13</v>
      </c>
      <c r="D46" s="12">
        <f>C46*1.5</f>
        <v>19.5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8</v>
      </c>
      <c r="D49" s="12">
        <f>C49*42</f>
        <v>336</v>
      </c>
      <c r="F49" s="139" t="s">
        <v>85</v>
      </c>
      <c r="G49" s="141">
        <f>H34+H35+H36+H37+H38+H39+H40+H41+G42+H44+H45+H46</f>
        <v>253940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22</v>
      </c>
      <c r="D50" s="12">
        <f>C50*1.5</f>
        <v>33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180</v>
      </c>
      <c r="G51" s="252">
        <f>G49-H29</f>
        <v>-575.5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41929.5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181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4146B-A016-42CA-9F38-644908F1E9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4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FB5F-FFC3-492B-861A-322686639109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46184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106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H15-H16-H17-H18-H19-H20-H22-H23-H24+H26+H27+H28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BEE0-5CA6-422A-88EC-17D960ADF2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46184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265</v>
      </c>
      <c r="D6" s="13">
        <f t="shared" ref="D6:D28" si="1">C6*L6</f>
        <v>201665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108</v>
      </c>
      <c r="D9" s="13">
        <f t="shared" si="1"/>
        <v>79164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15</v>
      </c>
      <c r="D13" s="48">
        <f t="shared" si="1"/>
        <v>4605</v>
      </c>
      <c r="F13" s="247" t="s">
        <v>36</v>
      </c>
      <c r="G13" s="211"/>
      <c r="H13" s="202">
        <f>D29</f>
        <v>286866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41175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245691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2">
        <v>1932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286866</v>
      </c>
      <c r="F29" s="119" t="s">
        <v>54</v>
      </c>
      <c r="G29" s="181"/>
      <c r="H29" s="141">
        <f>H15-H16-H17-H18-H19-H20-H22-H23-H24+H26+H27</f>
        <v>243759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138</v>
      </c>
      <c r="H34" s="163">
        <f>F34*G34</f>
        <v>138000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163">
        <f>F35*G35</f>
        <v>105500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33</v>
      </c>
      <c r="D38" s="12">
        <f>C38*84</f>
        <v>2772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9</v>
      </c>
      <c r="D49" s="12">
        <f>C49*42</f>
        <v>378</v>
      </c>
      <c r="F49" s="139" t="s">
        <v>85</v>
      </c>
      <c r="G49" s="141">
        <f>H34+H35+H36+H37+H38+H39+H40+H41+G42+H44+H45+H46</f>
        <v>243500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>
        <v>3</v>
      </c>
      <c r="D50" s="12">
        <f>C50*1.5</f>
        <v>4.5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-259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41175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21DE8-261D-4456-91A8-E216D4EACED6}">
  <dimension ref="A1:R59"/>
  <sheetViews>
    <sheetView topLeftCell="A34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46184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269</v>
      </c>
      <c r="D6" s="13">
        <f t="shared" ref="D6:D28" si="1">C6*L6</f>
        <v>204709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11</v>
      </c>
      <c r="D7" s="13">
        <f t="shared" si="1"/>
        <v>8591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26</v>
      </c>
      <c r="D8" s="13">
        <f t="shared" si="1"/>
        <v>28418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53</v>
      </c>
      <c r="D9" s="13">
        <f t="shared" si="1"/>
        <v>38849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5</v>
      </c>
      <c r="D11" s="13">
        <f t="shared" si="1"/>
        <v>5850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</v>
      </c>
      <c r="D12" s="48">
        <f t="shared" si="1"/>
        <v>1984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</v>
      </c>
      <c r="D13" s="48">
        <f t="shared" si="1"/>
        <v>614</v>
      </c>
      <c r="F13" s="247" t="s">
        <v>36</v>
      </c>
      <c r="G13" s="211"/>
      <c r="H13" s="202">
        <f>D29</f>
        <v>291580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43789.5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247790.5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1242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>
        <v>50</v>
      </c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 t="s">
        <v>136</v>
      </c>
      <c r="G22" s="72">
        <v>10938</v>
      </c>
      <c r="H22" s="188">
        <v>35098</v>
      </c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>
        <v>3</v>
      </c>
      <c r="D28" s="48">
        <f t="shared" si="1"/>
        <v>2433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291580</v>
      </c>
      <c r="F29" s="119" t="s">
        <v>54</v>
      </c>
      <c r="G29" s="181"/>
      <c r="H29" s="141">
        <f>H15-H16-H17-H18-H19-H20-H22-H23-H24+H26+H27</f>
        <v>211400.5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83</v>
      </c>
      <c r="H34" s="163">
        <f>F34*G34</f>
        <v>83000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63">
        <f>F35*G35</f>
        <v>20000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2</v>
      </c>
      <c r="D42" s="12">
        <f>C42*2.25</f>
        <v>4.5</v>
      </c>
      <c r="F42" s="39" t="s">
        <v>78</v>
      </c>
      <c r="G42" s="163">
        <v>26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33</v>
      </c>
      <c r="D44" s="12">
        <f>C44*120</f>
        <v>3960</v>
      </c>
      <c r="F44" s="37" t="s">
        <v>132</v>
      </c>
      <c r="G44" s="62" t="s">
        <v>183</v>
      </c>
      <c r="H44" s="158">
        <v>97440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 t="s">
        <v>140</v>
      </c>
      <c r="G45" s="75"/>
      <c r="H45" s="158">
        <v>17976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15</v>
      </c>
      <c r="D46" s="12">
        <f>C46*1.5</f>
        <v>22.5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218542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16</v>
      </c>
      <c r="D50" s="12">
        <f>C50*1.5</f>
        <v>24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7141.5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43789.5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5A8CC-3D34-4E5F-A9F4-65A17F0BD4A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4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AFE3C-D593-4EA9-AC6D-5D0BDC7FCD74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46185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422</v>
      </c>
      <c r="D6" s="13">
        <f t="shared" ref="D6:D28" si="1">C6*L6</f>
        <v>321142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8</v>
      </c>
      <c r="D7" s="13">
        <f t="shared" si="1"/>
        <v>6248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103</v>
      </c>
      <c r="D9" s="13">
        <f t="shared" si="1"/>
        <v>75499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12</v>
      </c>
      <c r="D13" s="48">
        <f t="shared" si="1"/>
        <v>3684</v>
      </c>
      <c r="F13" s="247" t="s">
        <v>36</v>
      </c>
      <c r="G13" s="211"/>
      <c r="H13" s="202">
        <f>D29</f>
        <v>410353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40264.5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>
        <f>3+1</f>
        <v>4</v>
      </c>
      <c r="D15" s="31">
        <f t="shared" si="1"/>
        <v>2480</v>
      </c>
      <c r="F15" s="210" t="s">
        <v>39</v>
      </c>
      <c r="G15" s="211"/>
      <c r="H15" s="212">
        <f>H13-H14</f>
        <v>370088.5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2">
        <v>1074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 t="s">
        <v>186</v>
      </c>
      <c r="G22" s="72">
        <v>10941</v>
      </c>
      <c r="H22" s="188">
        <v>123065</v>
      </c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106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410353</v>
      </c>
      <c r="F29" s="119" t="s">
        <v>54</v>
      </c>
      <c r="G29" s="181"/>
      <c r="H29" s="141">
        <f>H15-H16-H17-H18-H19-H20-H22-H23-H24+H26+H27+H28</f>
        <v>245949.5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38</v>
      </c>
      <c r="H34" s="163">
        <f t="shared" ref="H34:H39" si="2">F34*G34</f>
        <v>38000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45</v>
      </c>
      <c r="H35" s="163">
        <f t="shared" si="2"/>
        <v>22500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344</v>
      </c>
      <c r="D37" s="12">
        <f>C37*111</f>
        <v>38184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9</v>
      </c>
      <c r="H38" s="163">
        <f t="shared" si="2"/>
        <v>450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12</v>
      </c>
      <c r="D42" s="12">
        <f>C42*2.25</f>
        <v>27</v>
      </c>
      <c r="F42" s="39" t="s">
        <v>78</v>
      </c>
      <c r="G42" s="163">
        <v>16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185</v>
      </c>
      <c r="H44" s="158">
        <v>134999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2</v>
      </c>
      <c r="D45" s="12">
        <f>C45*84</f>
        <v>168</v>
      </c>
      <c r="F45" s="37" t="s">
        <v>155</v>
      </c>
      <c r="G45" s="109" t="s">
        <v>156</v>
      </c>
      <c r="H45" s="158">
        <v>45000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22</v>
      </c>
      <c r="D46" s="12">
        <f>C46*1.5</f>
        <v>33</v>
      </c>
      <c r="F46" s="37" t="s">
        <v>140</v>
      </c>
      <c r="G46" s="62"/>
      <c r="H46" s="158">
        <v>4550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245615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-334.5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40264.5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E2A24-9CEE-4C26-84A2-5D6F37E644C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46185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277</v>
      </c>
      <c r="D6" s="13">
        <f t="shared" ref="D6:D28" si="1">C6*L6</f>
        <v>210797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5</v>
      </c>
      <c r="D7" s="13">
        <f t="shared" si="1"/>
        <v>3905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68</v>
      </c>
      <c r="D9" s="13">
        <f t="shared" si="1"/>
        <v>49844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992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10</v>
      </c>
      <c r="D13" s="48">
        <f t="shared" si="1"/>
        <v>3070</v>
      </c>
      <c r="F13" s="247" t="s">
        <v>36</v>
      </c>
      <c r="G13" s="211"/>
      <c r="H13" s="202">
        <f>D29</f>
        <v>273580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46170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>
        <v>1</v>
      </c>
      <c r="D15" s="31">
        <f t="shared" si="1"/>
        <v>620</v>
      </c>
      <c r="F15" s="210" t="s">
        <v>39</v>
      </c>
      <c r="G15" s="211"/>
      <c r="H15" s="212">
        <f>H13-H14</f>
        <v>227410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72">
        <v>1140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273580</v>
      </c>
      <c r="F29" s="119" t="s">
        <v>54</v>
      </c>
      <c r="G29" s="181"/>
      <c r="H29" s="141">
        <f>H15-H16-H17-H18-H19-H20-H22-H23-H24+H26+H27</f>
        <v>226270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85</v>
      </c>
      <c r="H34" s="163">
        <f>F34*G34</f>
        <v>85000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30</v>
      </c>
      <c r="H35" s="163">
        <f>F35*G35</f>
        <v>15000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396</v>
      </c>
      <c r="D37" s="12">
        <f>C37*111</f>
        <v>43956</v>
      </c>
      <c r="F37" s="12">
        <v>100</v>
      </c>
      <c r="G37" s="39">
        <v>66</v>
      </c>
      <c r="H37" s="163">
        <f t="shared" si="2"/>
        <v>6600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2</v>
      </c>
      <c r="D42" s="12">
        <f>C42*2.25</f>
        <v>4.5</v>
      </c>
      <c r="F42" s="39" t="s">
        <v>78</v>
      </c>
      <c r="G42" s="163">
        <v>41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184</v>
      </c>
      <c r="H44" s="158">
        <v>119356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5</v>
      </c>
      <c r="D49" s="12">
        <f>C49*42</f>
        <v>210</v>
      </c>
      <c r="F49" s="139" t="s">
        <v>85</v>
      </c>
      <c r="G49" s="141">
        <f>H34+H35+H36+H37+H38+H39+H40+H41+G42+H44+H45+H46</f>
        <v>225997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-273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46170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BC48-0951-457B-B2CA-8BB17711EB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46185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5B010-DACC-44D9-9E75-5440F6B8B3D7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1" t="s">
        <v>2</v>
      </c>
      <c r="Q1" s="11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2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4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61AA3-9E39-4318-80F9-A9402597D8B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46186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 t="s">
        <v>186</v>
      </c>
      <c r="G26" s="65">
        <v>10941</v>
      </c>
      <c r="H26" s="158">
        <v>123065</v>
      </c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114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1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H15-H16-H17-H18-H19-H20-H22-H23-H24+H26+H27+H28</f>
        <v>123065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4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 t="s">
        <v>165</v>
      </c>
      <c r="G44" s="110" t="s">
        <v>187</v>
      </c>
      <c r="H44" s="158">
        <v>123065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123065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6A5C-4C8A-4F21-A99A-9C77C9DC1FA4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4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AED45-E4BF-40A8-B1B0-7D252080AA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46188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322</v>
      </c>
      <c r="D6" s="13">
        <f t="shared" ref="D6:D28" si="1">C6*L6</f>
        <v>245042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6</v>
      </c>
      <c r="D7" s="13">
        <f t="shared" si="1"/>
        <v>4686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111</v>
      </c>
      <c r="D9" s="13">
        <f t="shared" si="1"/>
        <v>81363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</v>
      </c>
      <c r="D12" s="48">
        <f t="shared" si="1"/>
        <v>1984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9</v>
      </c>
      <c r="D13" s="48">
        <f t="shared" si="1"/>
        <v>2763</v>
      </c>
      <c r="F13" s="247" t="s">
        <v>36</v>
      </c>
      <c r="G13" s="211"/>
      <c r="H13" s="202">
        <f>D29</f>
        <v>337138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68018.25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269119.75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2">
        <v>2430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>
        <v>125.84</v>
      </c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 t="s">
        <v>136</v>
      </c>
      <c r="G26" s="65">
        <v>10938</v>
      </c>
      <c r="H26" s="158">
        <v>35098</v>
      </c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106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337138</v>
      </c>
      <c r="F29" s="119" t="s">
        <v>54</v>
      </c>
      <c r="G29" s="181"/>
      <c r="H29" s="141">
        <f>H15-H16-H17-H18-H19-H20-H22-H23-H24+H26+H27+H28</f>
        <v>301661.90999999997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9</v>
      </c>
      <c r="D34" s="30">
        <f>C34*120</f>
        <v>1080</v>
      </c>
      <c r="F34" s="12">
        <v>1000</v>
      </c>
      <c r="G34" s="40">
        <v>58</v>
      </c>
      <c r="H34" s="163">
        <f t="shared" ref="H34:H39" si="2">F34*G34</f>
        <v>58000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163">
        <f t="shared" si="2"/>
        <v>1000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539</v>
      </c>
      <c r="D37" s="12">
        <f>C37*111</f>
        <v>59829</v>
      </c>
      <c r="F37" s="12">
        <v>100</v>
      </c>
      <c r="G37" s="39">
        <v>7</v>
      </c>
      <c r="H37" s="163">
        <f t="shared" si="2"/>
        <v>700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5</v>
      </c>
      <c r="H38" s="163">
        <f t="shared" si="2"/>
        <v>250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10</v>
      </c>
      <c r="D39" s="31">
        <f>C39*4.5</f>
        <v>45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17</v>
      </c>
      <c r="D42" s="12">
        <f>C42*2.25</f>
        <v>38.25</v>
      </c>
      <c r="F42" s="39" t="s">
        <v>78</v>
      </c>
      <c r="G42" s="163">
        <v>48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188</v>
      </c>
      <c r="H44" s="158">
        <v>183077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 t="s">
        <v>132</v>
      </c>
      <c r="G45" s="62" t="s">
        <v>189</v>
      </c>
      <c r="H45" s="158">
        <v>57853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23</v>
      </c>
      <c r="D46" s="12">
        <f>C46*1.5</f>
        <v>34.5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24</v>
      </c>
      <c r="D48" s="12">
        <f>C48*78</f>
        <v>1872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2</v>
      </c>
      <c r="D49" s="12">
        <f>C49*42</f>
        <v>84</v>
      </c>
      <c r="F49" s="139" t="s">
        <v>85</v>
      </c>
      <c r="G49" s="141">
        <f>H34+H35+H36+H37+H38+H39+H40+H41+G42+H44+H45+H46</f>
        <v>300948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11</v>
      </c>
      <c r="D50" s="12">
        <f>C50*1.5</f>
        <v>16.5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190</v>
      </c>
      <c r="G51" s="252">
        <f>G49-H29</f>
        <v>-713.90999999997439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68018.25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A1C0D-0B56-4E00-A8D6-1C517E800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46188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379</v>
      </c>
      <c r="D6" s="13">
        <f t="shared" ref="D6:D28" si="1">C6*L6</f>
        <v>288419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6</v>
      </c>
      <c r="D7" s="13">
        <f t="shared" si="1"/>
        <v>4686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6</v>
      </c>
      <c r="D9" s="13">
        <f t="shared" si="1"/>
        <v>4398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12</v>
      </c>
      <c r="D13" s="48">
        <f t="shared" si="1"/>
        <v>3684</v>
      </c>
      <c r="F13" s="247" t="s">
        <v>36</v>
      </c>
      <c r="G13" s="211"/>
      <c r="H13" s="202">
        <f>D29</f>
        <v>301187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45102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256085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2316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301187</v>
      </c>
      <c r="F29" s="119" t="s">
        <v>54</v>
      </c>
      <c r="G29" s="181"/>
      <c r="H29" s="141">
        <f>H15-H16-H17-H18-H19-H20-H22-H23-H24+H26+H27</f>
        <v>253769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77</v>
      </c>
      <c r="H34" s="163">
        <f>F34*G34</f>
        <v>77000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353</v>
      </c>
      <c r="H35" s="163">
        <f>F35*G35</f>
        <v>176500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395</v>
      </c>
      <c r="D37" s="12">
        <f>C37*111</f>
        <v>43845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163">
        <f t="shared" si="2"/>
        <v>250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>
        <v>44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9</v>
      </c>
      <c r="D49" s="12">
        <f>C49*42</f>
        <v>378</v>
      </c>
      <c r="F49" s="139" t="s">
        <v>85</v>
      </c>
      <c r="G49" s="141">
        <f>H34+H35+H36+H37+H38+H39+H40+H41+G42+H44+H45+H46</f>
        <v>253794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25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45102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381C5-8248-4D9E-A668-767AA27D942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46188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483</v>
      </c>
      <c r="D6" s="13">
        <f t="shared" ref="D6:D28" si="1">C6*L6</f>
        <v>367563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5</v>
      </c>
      <c r="D7" s="13">
        <f t="shared" si="1"/>
        <v>3905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162</v>
      </c>
      <c r="D9" s="13">
        <f t="shared" si="1"/>
        <v>118746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</v>
      </c>
      <c r="D11" s="13">
        <f t="shared" si="1"/>
        <v>2340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3+1</f>
        <v>4</v>
      </c>
      <c r="D12" s="48">
        <f t="shared" si="1"/>
        <v>3968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23</v>
      </c>
      <c r="D13" s="48">
        <f t="shared" si="1"/>
        <v>7061</v>
      </c>
      <c r="F13" s="247" t="s">
        <v>36</v>
      </c>
      <c r="G13" s="211"/>
      <c r="H13" s="202">
        <f>D29</f>
        <v>510083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51577.5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458505.5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172">
        <f>828+726</f>
        <v>1554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>
        <v>50</v>
      </c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510083</v>
      </c>
      <c r="F29" s="119" t="s">
        <v>54</v>
      </c>
      <c r="G29" s="181"/>
      <c r="H29" s="141">
        <f>H15-H16-H17-H18-H19-H20-H22-H23-H24+H26+H27</f>
        <v>456901.5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49</v>
      </c>
      <c r="H34" s="163">
        <f>F34*G34</f>
        <v>49000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163">
        <f>F35*G35</f>
        <v>1500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35</v>
      </c>
      <c r="H37" s="163">
        <f t="shared" si="2"/>
        <v>3500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>
        <v>25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 t="s">
        <v>132</v>
      </c>
      <c r="G44" s="62" t="s">
        <v>192</v>
      </c>
      <c r="H44" s="158">
        <v>89622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4</v>
      </c>
      <c r="D45" s="12">
        <f>C45*84</f>
        <v>336</v>
      </c>
      <c r="F45" s="37" t="s">
        <v>132</v>
      </c>
      <c r="G45" s="62" t="s">
        <v>193</v>
      </c>
      <c r="H45" s="158">
        <v>78268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 t="s">
        <v>191</v>
      </c>
      <c r="G46" s="62" t="s">
        <v>194</v>
      </c>
      <c r="H46" s="158">
        <v>235016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1</v>
      </c>
      <c r="D49" s="12">
        <f>C49*42</f>
        <v>42</v>
      </c>
      <c r="F49" s="139" t="s">
        <v>85</v>
      </c>
      <c r="G49" s="141">
        <f>H34+H35+H36+H37+H38+H39+H40+H41+G42+H44+H45+H46</f>
        <v>456931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17</v>
      </c>
      <c r="D50" s="12">
        <f>C50*1.5</f>
        <v>25.5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29.5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51577.5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9B67-093E-4891-82D8-448E7D763F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4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46F4-F846-48B6-B64A-3936176933C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46189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583</v>
      </c>
      <c r="D6" s="13">
        <f t="shared" ref="D6:D28" si="1">C6*L6</f>
        <v>443663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8</v>
      </c>
      <c r="D7" s="13">
        <f t="shared" si="1"/>
        <v>6248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121</v>
      </c>
      <c r="D9" s="13">
        <f t="shared" si="1"/>
        <v>88693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2064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</v>
      </c>
      <c r="D11" s="13">
        <f t="shared" si="1"/>
        <v>2340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1+1</f>
        <v>2</v>
      </c>
      <c r="D12" s="48">
        <f t="shared" si="1"/>
        <v>1984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10</v>
      </c>
      <c r="D13" s="48">
        <f t="shared" si="1"/>
        <v>3070</v>
      </c>
      <c r="F13" s="247" t="s">
        <v>36</v>
      </c>
      <c r="G13" s="211"/>
      <c r="H13" s="202">
        <f>D29</f>
        <v>550495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102604.5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447890.5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2592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 t="s">
        <v>195</v>
      </c>
      <c r="G22" s="72">
        <v>11001</v>
      </c>
      <c r="H22" s="188">
        <v>261949</v>
      </c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 t="s">
        <v>157</v>
      </c>
      <c r="G23" s="78">
        <v>10950</v>
      </c>
      <c r="H23" s="248">
        <v>93725</v>
      </c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 t="s">
        <v>157</v>
      </c>
      <c r="G26" s="65">
        <v>10843</v>
      </c>
      <c r="H26" s="158">
        <v>88549</v>
      </c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106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>
        <v>3</v>
      </c>
      <c r="D28" s="48">
        <f t="shared" si="1"/>
        <v>2433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550495</v>
      </c>
      <c r="F29" s="119" t="s">
        <v>54</v>
      </c>
      <c r="G29" s="181"/>
      <c r="H29" s="141">
        <f>H15-H16-H17-H18-H19-H20-H22-H23-H24+H26+H27+H28</f>
        <v>178173.5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40</v>
      </c>
      <c r="H34" s="163">
        <f t="shared" ref="H34:H39" si="2">F34*G34</f>
        <v>40000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163">
        <f t="shared" si="2"/>
        <v>13000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825</v>
      </c>
      <c r="D37" s="12">
        <f>C37*111</f>
        <v>91575</v>
      </c>
      <c r="F37" s="12">
        <v>100</v>
      </c>
      <c r="G37" s="39">
        <v>53</v>
      </c>
      <c r="H37" s="163">
        <f t="shared" si="2"/>
        <v>5300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62</v>
      </c>
      <c r="D38" s="12">
        <f>C38*84</f>
        <v>5208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8</v>
      </c>
      <c r="D42" s="12">
        <f>C42*2.25</f>
        <v>18</v>
      </c>
      <c r="F42" s="39" t="s">
        <v>78</v>
      </c>
      <c r="G42" s="163">
        <v>114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10</v>
      </c>
      <c r="D44" s="12">
        <f>C44*120</f>
        <v>1200</v>
      </c>
      <c r="F44" s="37" t="s">
        <v>155</v>
      </c>
      <c r="G44" s="109" t="s">
        <v>156</v>
      </c>
      <c r="H44" s="158">
        <v>80000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 t="s">
        <v>155</v>
      </c>
      <c r="G45" s="109" t="s">
        <v>156</v>
      </c>
      <c r="H45" s="158">
        <v>38726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1</v>
      </c>
      <c r="D46" s="12">
        <f>C46*1.5</f>
        <v>1.5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28</v>
      </c>
      <c r="D48" s="12">
        <f>C48*78</f>
        <v>2184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1</v>
      </c>
      <c r="D49" s="12">
        <f>C49*42</f>
        <v>42</v>
      </c>
      <c r="F49" s="139" t="s">
        <v>85</v>
      </c>
      <c r="G49" s="141">
        <f>H34+H35+H36+H37+H38+H39+H40+H41+G42+H44+H45+H46</f>
        <v>177190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1</v>
      </c>
      <c r="D50" s="12">
        <f>C50*1.5</f>
        <v>1.5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252">
        <f>G49-H29</f>
        <v>-983.5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102604.5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1B74-47AA-4CE9-BB01-65ECFC6D83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46189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318</v>
      </c>
      <c r="D6" s="13">
        <f t="shared" ref="D6:D28" si="1">C6*L6</f>
        <v>241998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7</v>
      </c>
      <c r="D7" s="13">
        <f t="shared" si="1"/>
        <v>5467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4</v>
      </c>
      <c r="D9" s="13">
        <f t="shared" si="1"/>
        <v>2932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7</v>
      </c>
      <c r="D13" s="48">
        <f t="shared" si="1"/>
        <v>2149</v>
      </c>
      <c r="F13" s="247" t="s">
        <v>36</v>
      </c>
      <c r="G13" s="211"/>
      <c r="H13" s="202">
        <f>D29</f>
        <v>252546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37899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214647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1332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252546</v>
      </c>
      <c r="F29" s="119" t="s">
        <v>54</v>
      </c>
      <c r="G29" s="181"/>
      <c r="H29" s="141">
        <f>H15-H16-H17-H18-H19-H20-H22-H23-H24+H26+H27</f>
        <v>213315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55</v>
      </c>
      <c r="H34" s="163">
        <f>F34*G34</f>
        <v>55000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163">
        <f>F35*G35</f>
        <v>13500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331</v>
      </c>
      <c r="D37" s="12">
        <f>C37*111</f>
        <v>36741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8</v>
      </c>
      <c r="D42" s="12">
        <f>C42*2.25</f>
        <v>18</v>
      </c>
      <c r="F42" s="39" t="s">
        <v>78</v>
      </c>
      <c r="G42" s="163">
        <v>49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 t="s">
        <v>165</v>
      </c>
      <c r="G44" s="75" t="s">
        <v>196</v>
      </c>
      <c r="H44" s="158">
        <v>144678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8</v>
      </c>
      <c r="D49" s="12">
        <f>C49*42</f>
        <v>336</v>
      </c>
      <c r="F49" s="139" t="s">
        <v>85</v>
      </c>
      <c r="G49" s="141">
        <f>H34+H35+H36+H37+H38+H39+H40+H41+G42+H44+H45+H46</f>
        <v>213727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>
        <v>19</v>
      </c>
      <c r="D50" s="12">
        <f>C50*1.5</f>
        <v>28.5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412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37899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9679E-C6E6-41CF-A472-CBD3EBCCF54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46189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648</v>
      </c>
      <c r="D6" s="13">
        <f t="shared" ref="D6:D28" si="1">C6*L6</f>
        <v>493128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18</v>
      </c>
      <c r="D7" s="13">
        <f t="shared" si="1"/>
        <v>14058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40</v>
      </c>
      <c r="D9" s="13">
        <f t="shared" si="1"/>
        <v>29320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2064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15</v>
      </c>
      <c r="D11" s="13">
        <f t="shared" si="1"/>
        <v>17550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17+5</f>
        <v>22</v>
      </c>
      <c r="D12" s="48">
        <f t="shared" si="1"/>
        <v>21824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22</v>
      </c>
      <c r="D13" s="48">
        <f t="shared" si="1"/>
        <v>6754</v>
      </c>
      <c r="F13" s="247" t="s">
        <v>36</v>
      </c>
      <c r="G13" s="211"/>
      <c r="H13" s="202">
        <f>D29</f>
        <v>586130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85962.75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500167.25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2">
        <f>1296+720</f>
        <v>2016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586130</v>
      </c>
      <c r="F29" s="119" t="s">
        <v>54</v>
      </c>
      <c r="G29" s="181"/>
      <c r="H29" s="141">
        <f>H15-H16-H17-H18-H19-H20-H22-H23-H24+H26+H27</f>
        <v>498151.25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5</v>
      </c>
      <c r="H34" s="163">
        <f>F34*G34</f>
        <v>5000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>
        <v>2</v>
      </c>
      <c r="D35" s="30">
        <f>C35*84</f>
        <v>168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>
        <v>34</v>
      </c>
      <c r="D36" s="12">
        <f>C36*1.5</f>
        <v>51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705</v>
      </c>
      <c r="D37" s="12">
        <f>C37*111</f>
        <v>78255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1</v>
      </c>
      <c r="D42" s="12">
        <f>C42*2.25</f>
        <v>2.25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30</v>
      </c>
      <c r="D44" s="12">
        <f>C44*120</f>
        <v>3600</v>
      </c>
      <c r="F44" s="37" t="s">
        <v>155</v>
      </c>
      <c r="G44" s="75" t="s">
        <v>197</v>
      </c>
      <c r="H44" s="158">
        <v>80689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 t="s">
        <v>155</v>
      </c>
      <c r="G45" s="75" t="s">
        <v>198</v>
      </c>
      <c r="H45" s="158">
        <v>2061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 t="s">
        <v>155</v>
      </c>
      <c r="G46" s="110" t="s">
        <v>199</v>
      </c>
      <c r="H46" s="158">
        <v>140400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37" t="s">
        <v>155</v>
      </c>
      <c r="G47" s="110" t="s">
        <v>200</v>
      </c>
      <c r="H47" s="158">
        <v>271017</v>
      </c>
      <c r="I47" s="158"/>
      <c r="J47" s="15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18</v>
      </c>
      <c r="D49" s="12">
        <f>C49*42</f>
        <v>756</v>
      </c>
      <c r="F49" s="139" t="s">
        <v>85</v>
      </c>
      <c r="G49" s="141">
        <f>H34+H35+H36+H37+H38+H39+H40+H41+G42+H44+H45+H46+H47</f>
        <v>499167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13</v>
      </c>
      <c r="D50" s="12">
        <f>C50*1.5</f>
        <v>19.5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1015.75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85962.75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EEA02-244D-46F6-8E11-C8F270E1CB1C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6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10684-CC4C-4928-911E-1720238017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46190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335</v>
      </c>
      <c r="D6" s="13">
        <f t="shared" ref="D6:D28" si="1">C6*L6</f>
        <v>254935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12</v>
      </c>
      <c r="D9" s="13">
        <f t="shared" si="1"/>
        <v>8796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5</v>
      </c>
      <c r="D13" s="48">
        <f t="shared" si="1"/>
        <v>1535</v>
      </c>
      <c r="F13" s="247" t="s">
        <v>36</v>
      </c>
      <c r="G13" s="211"/>
      <c r="H13" s="202">
        <f>D29</f>
        <v>265398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38468.25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226929.75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118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16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265398</v>
      </c>
      <c r="F29" s="119" t="s">
        <v>54</v>
      </c>
      <c r="G29" s="181"/>
      <c r="H29" s="141">
        <f>H15-H16-H17-H18-H19-H20-H22-H23-H24+H26+H27+H28</f>
        <v>226929.75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122</v>
      </c>
      <c r="H34" s="163">
        <f t="shared" ref="H34:H39" si="2">F34*G34</f>
        <v>122000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163">
        <f t="shared" si="2"/>
        <v>34000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3">
        <f t="shared" si="2"/>
        <v>200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340</v>
      </c>
      <c r="D37" s="12">
        <f>C37*111</f>
        <v>37740</v>
      </c>
      <c r="F37" s="12">
        <v>100</v>
      </c>
      <c r="G37" s="39">
        <v>7</v>
      </c>
      <c r="H37" s="163">
        <f t="shared" si="2"/>
        <v>700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1</v>
      </c>
      <c r="D42" s="12">
        <f>C42*2.25</f>
        <v>2.25</v>
      </c>
      <c r="F42" s="39" t="s">
        <v>78</v>
      </c>
      <c r="G42" s="163">
        <v>59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 t="s">
        <v>155</v>
      </c>
      <c r="G44" s="109" t="s">
        <v>156</v>
      </c>
      <c r="H44" s="158">
        <v>60000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 t="s">
        <v>140</v>
      </c>
      <c r="G45" s="62"/>
      <c r="H45" s="158">
        <v>9694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1</v>
      </c>
      <c r="D49" s="12">
        <f>C49*42</f>
        <v>42</v>
      </c>
      <c r="F49" s="139" t="s">
        <v>85</v>
      </c>
      <c r="G49" s="141">
        <f>H34+H35+H36+H37+H38+H39+H40+H41+G42+H44+H45+H46</f>
        <v>226653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18</v>
      </c>
      <c r="D50" s="12">
        <f>C50*1.5</f>
        <v>27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-276.75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38468.25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6599D-0B90-4979-8E82-528328BA28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46190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292</v>
      </c>
      <c r="D6" s="13">
        <f t="shared" ref="D6:D28" si="1">C6*L6</f>
        <v>222212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15</v>
      </c>
      <c r="D9" s="13">
        <f t="shared" si="1"/>
        <v>10995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992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9</v>
      </c>
      <c r="D13" s="48">
        <f t="shared" si="1"/>
        <v>2763</v>
      </c>
      <c r="F13" s="247" t="s">
        <v>36</v>
      </c>
      <c r="G13" s="211"/>
      <c r="H13" s="202">
        <f>D29</f>
        <v>238898.5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34831.5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204067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2">
        <v>1296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>
        <v>12</v>
      </c>
      <c r="D22" s="48">
        <f t="shared" si="1"/>
        <v>504.5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16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238898.5</v>
      </c>
      <c r="F29" s="119" t="s">
        <v>54</v>
      </c>
      <c r="G29" s="181"/>
      <c r="H29" s="141">
        <f>H15-H16-H17-H18-H19-H20-H22-H23-H24+H26+H27</f>
        <v>202771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145</v>
      </c>
      <c r="H34" s="163">
        <f>F34*G34</f>
        <v>145000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103</v>
      </c>
      <c r="H35" s="163">
        <f>F35*G35</f>
        <v>51500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35</v>
      </c>
      <c r="H37" s="163">
        <f t="shared" si="2"/>
        <v>3500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41</v>
      </c>
      <c r="H38" s="163">
        <f t="shared" si="2"/>
        <v>2050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>
        <v>449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1</v>
      </c>
      <c r="D44" s="12">
        <f>C44*120</f>
        <v>120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13</v>
      </c>
      <c r="D46" s="12">
        <f>C46*1.5</f>
        <v>19.5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1</v>
      </c>
      <c r="D49" s="12">
        <f>C49*42</f>
        <v>42</v>
      </c>
      <c r="F49" s="139" t="s">
        <v>85</v>
      </c>
      <c r="G49" s="141">
        <f>H34+H35+H36+H37+H38+H39+H40+H41+G42+H44+H45+H46</f>
        <v>202519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>
        <v>16</v>
      </c>
      <c r="D50" s="12">
        <f>C50*1.5</f>
        <v>24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-252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34831.5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2A8D6-A869-456C-90F0-F5369F14FD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46190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452</v>
      </c>
      <c r="D6" s="13">
        <f t="shared" ref="D6:D28" si="1">C6*L6</f>
        <v>343972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6</v>
      </c>
      <c r="D7" s="13">
        <f t="shared" si="1"/>
        <v>4686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1</v>
      </c>
      <c r="D8" s="13">
        <f t="shared" si="1"/>
        <v>1093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58</v>
      </c>
      <c r="D9" s="13">
        <f t="shared" si="1"/>
        <v>42514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3</v>
      </c>
      <c r="D10" s="13">
        <f t="shared" si="1"/>
        <v>3096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</v>
      </c>
      <c r="D12" s="48">
        <f t="shared" si="1"/>
        <v>1984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15</v>
      </c>
      <c r="D13" s="48">
        <f t="shared" si="1"/>
        <v>4605</v>
      </c>
      <c r="F13" s="247" t="s">
        <v>36</v>
      </c>
      <c r="G13" s="211"/>
      <c r="H13" s="202">
        <f>D29</f>
        <v>403382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59484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343898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2">
        <f>654+786+678</f>
        <v>2118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>
        <v>50</v>
      </c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16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403382</v>
      </c>
      <c r="F29" s="119" t="s">
        <v>54</v>
      </c>
      <c r="G29" s="181"/>
      <c r="H29" s="141">
        <f>H15-H16-H17-H18-H19-H20-H22-H23-H24+H26+H27</f>
        <v>341730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107</v>
      </c>
      <c r="H34" s="163">
        <f>F34*G34</f>
        <v>107000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142</v>
      </c>
      <c r="H35" s="163">
        <f>F35*G35</f>
        <v>71000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512</v>
      </c>
      <c r="D37" s="12">
        <f>C37*111</f>
        <v>56832</v>
      </c>
      <c r="F37" s="12">
        <v>100</v>
      </c>
      <c r="G37" s="39">
        <v>18</v>
      </c>
      <c r="H37" s="163">
        <f t="shared" si="2"/>
        <v>1800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10</v>
      </c>
      <c r="D42" s="12">
        <f>C42*2.25</f>
        <v>22.5</v>
      </c>
      <c r="F42" s="39" t="s">
        <v>78</v>
      </c>
      <c r="G42" s="163">
        <v>111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201</v>
      </c>
      <c r="H44" s="158">
        <v>85945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 t="s">
        <v>132</v>
      </c>
      <c r="G45" s="62" t="s">
        <v>202</v>
      </c>
      <c r="H45" s="158">
        <v>72690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6</v>
      </c>
      <c r="D49" s="12">
        <f>C49*42</f>
        <v>252</v>
      </c>
      <c r="F49" s="139" t="s">
        <v>85</v>
      </c>
      <c r="G49" s="141">
        <f>H34+H35+H36+H37+H38+H39+H40+H41+G42+H44+H45+H46</f>
        <v>338646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7</v>
      </c>
      <c r="D50" s="12">
        <f>C50*1.5</f>
        <v>10.5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-3084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59484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72617-1602-4283-AEB3-5D04D22EE40E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6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25B63-A0F6-4E70-B3FD-101FB0A1FCD1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46191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431</v>
      </c>
      <c r="D6" s="13">
        <f t="shared" ref="D6:D28" si="1">C6*L6</f>
        <v>327991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70</v>
      </c>
      <c r="D8" s="13">
        <f t="shared" si="1"/>
        <v>76510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9</v>
      </c>
      <c r="D13" s="48">
        <f t="shared" si="1"/>
        <v>2763</v>
      </c>
      <c r="F13" s="247" t="s">
        <v>36</v>
      </c>
      <c r="G13" s="211"/>
      <c r="H13" s="202">
        <f>D29</f>
        <v>407264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65709.75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341554.25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f>1296</f>
        <v>1296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 t="s">
        <v>136</v>
      </c>
      <c r="G22" s="72">
        <v>11015</v>
      </c>
      <c r="H22" s="188">
        <v>68110</v>
      </c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118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16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407264</v>
      </c>
      <c r="F29" s="119" t="s">
        <v>54</v>
      </c>
      <c r="G29" s="181"/>
      <c r="H29" s="141">
        <f>H15-H16-H17-H18-H19-H20-H22-H23-H24+H26+H27+H28</f>
        <v>272148.25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41</v>
      </c>
      <c r="H34" s="163">
        <f t="shared" ref="H34:H39" si="2">F34*G34</f>
        <v>41000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165</v>
      </c>
      <c r="H35" s="163">
        <f t="shared" si="2"/>
        <v>82500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496</v>
      </c>
      <c r="D37" s="12">
        <f>C37*111</f>
        <v>55056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11</v>
      </c>
      <c r="D38" s="12">
        <f>C38*84</f>
        <v>924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63">
        <f t="shared" si="2"/>
        <v>40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5</v>
      </c>
      <c r="D42" s="12">
        <f>C42*2.25</f>
        <v>11.25</v>
      </c>
      <c r="F42" s="39" t="s">
        <v>78</v>
      </c>
      <c r="G42" s="163">
        <v>101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70</v>
      </c>
      <c r="D44" s="12">
        <f>C44*120</f>
        <v>8400</v>
      </c>
      <c r="F44" s="37" t="s">
        <v>165</v>
      </c>
      <c r="G44" s="110" t="s">
        <v>203</v>
      </c>
      <c r="H44" s="158">
        <f>148000</f>
        <v>148000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2</v>
      </c>
      <c r="D45" s="12">
        <f>C45*84</f>
        <v>168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21</v>
      </c>
      <c r="D46" s="12">
        <f>C46*1.5</f>
        <v>31.5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10</v>
      </c>
      <c r="D49" s="12">
        <f>C49*42</f>
        <v>420</v>
      </c>
      <c r="F49" s="139" t="s">
        <v>85</v>
      </c>
      <c r="G49" s="141">
        <f>H34+H35+H36+H37+H38+H39+H40+H41+G42+H44+H45+H46</f>
        <v>271641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-507.25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65709.75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4C48C-7236-49BE-8C17-2E4368C84C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46191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262</v>
      </c>
      <c r="D6" s="13">
        <f t="shared" ref="D6:D28" si="1">C6*L6</f>
        <v>199382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10</v>
      </c>
      <c r="D7" s="13">
        <f t="shared" si="1"/>
        <v>7810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1</v>
      </c>
      <c r="D8" s="13">
        <f t="shared" si="1"/>
        <v>1093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20</v>
      </c>
      <c r="D9" s="13">
        <f t="shared" si="1"/>
        <v>14660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2+1</f>
        <v>3</v>
      </c>
      <c r="D12" s="48">
        <f t="shared" si="1"/>
        <v>2976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10</v>
      </c>
      <c r="D13" s="48">
        <f t="shared" si="1"/>
        <v>3070</v>
      </c>
      <c r="F13" s="247" t="s">
        <v>36</v>
      </c>
      <c r="G13" s="211"/>
      <c r="H13" s="202">
        <f>D29</f>
        <v>230743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32746.5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197996.5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2">
        <v>1092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16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230743</v>
      </c>
      <c r="F29" s="119" t="s">
        <v>54</v>
      </c>
      <c r="G29" s="181"/>
      <c r="H29" s="141">
        <f>H15-H16-H17-H18-H19-H20-H22-H23-H24+H26+H27</f>
        <v>196904.5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42</v>
      </c>
      <c r="H34" s="163">
        <f>F34*G34</f>
        <v>42000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163">
        <f>F35*G35</f>
        <v>21000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279</v>
      </c>
      <c r="D37" s="12">
        <f>C37*111</f>
        <v>30969</v>
      </c>
      <c r="F37" s="12">
        <v>100</v>
      </c>
      <c r="G37" s="39">
        <v>100</v>
      </c>
      <c r="H37" s="163">
        <f t="shared" si="2"/>
        <v>10000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32</v>
      </c>
      <c r="H38" s="163">
        <f t="shared" si="2"/>
        <v>1600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>
        <v>15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204</v>
      </c>
      <c r="H44" s="158">
        <v>122242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7</v>
      </c>
      <c r="D49" s="12">
        <f>C49*42</f>
        <v>294</v>
      </c>
      <c r="F49" s="139" t="s">
        <v>85</v>
      </c>
      <c r="G49" s="141">
        <f>H34+H35+H36+H37+H38+H39+H40+H41+G42+H44+H45+H46</f>
        <v>196857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>
        <v>4</v>
      </c>
      <c r="D50" s="12">
        <f>C50*1.5</f>
        <v>6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-47.5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32746.5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2BF61-A3BE-4CC6-8B2A-7A894F6C31A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46191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520</v>
      </c>
      <c r="D6" s="13">
        <f t="shared" ref="D6:D28" si="1">C6*L6</f>
        <v>395720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2</v>
      </c>
      <c r="D9" s="13">
        <f t="shared" si="1"/>
        <v>1466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2064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13</v>
      </c>
      <c r="D13" s="48">
        <f t="shared" si="1"/>
        <v>3991</v>
      </c>
      <c r="F13" s="247" t="s">
        <v>36</v>
      </c>
      <c r="G13" s="211"/>
      <c r="H13" s="202">
        <f>D29</f>
        <v>403373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67381.5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335991.5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f>654+312+1296+648</f>
        <v>2910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16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403373</v>
      </c>
      <c r="F29" s="119" t="s">
        <v>54</v>
      </c>
      <c r="G29" s="181"/>
      <c r="H29" s="141">
        <f>H15-H16-H17-H18-H19-H20-H22-H23-H24+H26+H27</f>
        <v>333081.5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84</v>
      </c>
      <c r="H34" s="163">
        <f>F34*G34</f>
        <v>84000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163">
        <f>F35*G35</f>
        <v>5500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63">
        <f t="shared" ref="H36:H39" si="2">F36*G36</f>
        <v>600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548</v>
      </c>
      <c r="D37" s="12">
        <f>C37*111</f>
        <v>60828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8</v>
      </c>
      <c r="H38" s="163">
        <f t="shared" si="2"/>
        <v>400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29</v>
      </c>
      <c r="D40" s="12">
        <f>C40*111</f>
        <v>3219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4</v>
      </c>
      <c r="D42" s="12">
        <f>C42*2.25</f>
        <v>9</v>
      </c>
      <c r="F42" s="39" t="s">
        <v>78</v>
      </c>
      <c r="G42" s="163">
        <v>4899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6</v>
      </c>
      <c r="D44" s="12">
        <f>C44*120</f>
        <v>720</v>
      </c>
      <c r="F44" s="37" t="s">
        <v>155</v>
      </c>
      <c r="G44" s="75" t="s">
        <v>205</v>
      </c>
      <c r="H44" s="158">
        <v>70468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1</v>
      </c>
      <c r="D45" s="12">
        <f>C45*84</f>
        <v>84</v>
      </c>
      <c r="F45" s="37" t="s">
        <v>155</v>
      </c>
      <c r="G45" s="75" t="s">
        <v>206</v>
      </c>
      <c r="H45" s="158">
        <v>140020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5</v>
      </c>
      <c r="D46" s="12">
        <f>C46*1.5</f>
        <v>7.5</v>
      </c>
      <c r="F46" s="37" t="s">
        <v>155</v>
      </c>
      <c r="G46" s="110" t="s">
        <v>207</v>
      </c>
      <c r="H46" s="158">
        <v>28290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7</v>
      </c>
      <c r="D49" s="12">
        <f>C49*42</f>
        <v>294</v>
      </c>
      <c r="F49" s="139" t="s">
        <v>85</v>
      </c>
      <c r="G49" s="141">
        <f>H34+H35+H36+H37+H38+H39+H40+H41+G42+H44+H45+H46</f>
        <v>334577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13</v>
      </c>
      <c r="D50" s="12">
        <f>C50*1.5</f>
        <v>19.5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1495.5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67381.5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49218-B4AD-4049-A811-025113FBA6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6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BDDF9-3F9C-4B0B-A0B5-BB2408F8A4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46192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118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16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H15-H16-H17-H18-H19-H20-H22-H23-H24+H26+H27+H28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8FB12-509A-495D-9F19-E9DCBF17B5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46192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16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1C7A1-7453-4C95-89E2-2C4DED02F3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46192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16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67</vt:i4>
      </vt:variant>
      <vt:variant>
        <vt:lpstr>Named Ranges</vt:lpstr>
      </vt:variant>
      <vt:variant>
        <vt:i4>66</vt:i4>
      </vt:variant>
    </vt:vector>
  </HeadingPairs>
  <TitlesOfParts>
    <vt:vector size="133" baseType="lpstr">
      <vt:lpstr>(JUNE 2026)</vt:lpstr>
      <vt:lpstr>(01)</vt:lpstr>
      <vt:lpstr>06,01 R1</vt:lpstr>
      <vt:lpstr>06,01 R2</vt:lpstr>
      <vt:lpstr>06,01 R3</vt:lpstr>
      <vt:lpstr>(2)</vt:lpstr>
      <vt:lpstr>06,02 R1 </vt:lpstr>
      <vt:lpstr>06,02 R2 </vt:lpstr>
      <vt:lpstr>06,02 R3</vt:lpstr>
      <vt:lpstr>(3)</vt:lpstr>
      <vt:lpstr>06,03 R1 </vt:lpstr>
      <vt:lpstr>06,03 R2 NO TRIP </vt:lpstr>
      <vt:lpstr>06,03 R3 NO TRIP</vt:lpstr>
      <vt:lpstr>(4)</vt:lpstr>
      <vt:lpstr>06,04 R1 </vt:lpstr>
      <vt:lpstr>06,04 R2 </vt:lpstr>
      <vt:lpstr>06,04 R3  </vt:lpstr>
      <vt:lpstr>(5)</vt:lpstr>
      <vt:lpstr>06,05 R1 NO TRIP</vt:lpstr>
      <vt:lpstr>06,05 R2 </vt:lpstr>
      <vt:lpstr>06,05 R3  </vt:lpstr>
      <vt:lpstr>(6)</vt:lpstr>
      <vt:lpstr>06,06 R1 COLLECTION</vt:lpstr>
      <vt:lpstr>06,06 R2 NO TRIP</vt:lpstr>
      <vt:lpstr>06,06 R3 NO TRIP </vt:lpstr>
      <vt:lpstr>(8)</vt:lpstr>
      <vt:lpstr>06,08 R1 NO TRIP</vt:lpstr>
      <vt:lpstr>06,08 R2</vt:lpstr>
      <vt:lpstr>06,08 R3</vt:lpstr>
      <vt:lpstr>(9)</vt:lpstr>
      <vt:lpstr>06,09 R1</vt:lpstr>
      <vt:lpstr>06,09 R2 </vt:lpstr>
      <vt:lpstr>06,09 R3 </vt:lpstr>
      <vt:lpstr>(10)</vt:lpstr>
      <vt:lpstr>06,10 R1 </vt:lpstr>
      <vt:lpstr>06,10 R2 NO TRIP  </vt:lpstr>
      <vt:lpstr>06,10 R3 </vt:lpstr>
      <vt:lpstr>(11)</vt:lpstr>
      <vt:lpstr>06,11 R1 NO TRIP</vt:lpstr>
      <vt:lpstr>06,11 R2 </vt:lpstr>
      <vt:lpstr>06,11 R3</vt:lpstr>
      <vt:lpstr>(12)</vt:lpstr>
      <vt:lpstr>06,12 R1  </vt:lpstr>
      <vt:lpstr>06,12 R2  </vt:lpstr>
      <vt:lpstr>06,12 R3 NO TRIP</vt:lpstr>
      <vt:lpstr>(13)</vt:lpstr>
      <vt:lpstr>06,13 R1</vt:lpstr>
      <vt:lpstr>(15)</vt:lpstr>
      <vt:lpstr>06,15 R1</vt:lpstr>
      <vt:lpstr>06,15 R2</vt:lpstr>
      <vt:lpstr>06,15 R3</vt:lpstr>
      <vt:lpstr>(16)</vt:lpstr>
      <vt:lpstr>06,16 R1 </vt:lpstr>
      <vt:lpstr>06,16 R2 </vt:lpstr>
      <vt:lpstr>06,16 R3 </vt:lpstr>
      <vt:lpstr>(17)</vt:lpstr>
      <vt:lpstr>06,17 R1</vt:lpstr>
      <vt:lpstr>06,17 R2 </vt:lpstr>
      <vt:lpstr>06,17 R3</vt:lpstr>
      <vt:lpstr>(18)</vt:lpstr>
      <vt:lpstr>06,18 R1</vt:lpstr>
      <vt:lpstr>06,18 R2</vt:lpstr>
      <vt:lpstr>06,18 R3</vt:lpstr>
      <vt:lpstr>(19)</vt:lpstr>
      <vt:lpstr>06,19 R1</vt:lpstr>
      <vt:lpstr>06,19 R2</vt:lpstr>
      <vt:lpstr>06,19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'06,01 R1'!Print_Area</vt:lpstr>
      <vt:lpstr>'06,01 R2'!Print_Area</vt:lpstr>
      <vt:lpstr>'06,01 R3'!Print_Area</vt:lpstr>
      <vt:lpstr>'06,02 R1 '!Print_Area</vt:lpstr>
      <vt:lpstr>'06,02 R2 '!Print_Area</vt:lpstr>
      <vt:lpstr>'06,02 R3'!Print_Area</vt:lpstr>
      <vt:lpstr>'06,03 R1 '!Print_Area</vt:lpstr>
      <vt:lpstr>'06,03 R2 NO TRIP '!Print_Area</vt:lpstr>
      <vt:lpstr>'06,03 R3 NO TRIP'!Print_Area</vt:lpstr>
      <vt:lpstr>'06,04 R1 '!Print_Area</vt:lpstr>
      <vt:lpstr>'06,04 R2 '!Print_Area</vt:lpstr>
      <vt:lpstr>'06,04 R3  '!Print_Area</vt:lpstr>
      <vt:lpstr>'06,05 R1 NO TRIP'!Print_Area</vt:lpstr>
      <vt:lpstr>'06,05 R2 '!Print_Area</vt:lpstr>
      <vt:lpstr>'06,05 R3  '!Print_Area</vt:lpstr>
      <vt:lpstr>'06,06 R1 COLLECTION'!Print_Area</vt:lpstr>
      <vt:lpstr>'06,06 R2 NO TRIP'!Print_Area</vt:lpstr>
      <vt:lpstr>'06,06 R3 NO TRIP '!Print_Area</vt:lpstr>
      <vt:lpstr>'06,08 R1 NO TRIP'!Print_Area</vt:lpstr>
      <vt:lpstr>'06,08 R2'!Print_Area</vt:lpstr>
      <vt:lpstr>'06,08 R3'!Print_Area</vt:lpstr>
      <vt:lpstr>'06,09 R1'!Print_Area</vt:lpstr>
      <vt:lpstr>'06,09 R2 '!Print_Area</vt:lpstr>
      <vt:lpstr>'06,09 R3 '!Print_Area</vt:lpstr>
      <vt:lpstr>'06,10 R1 '!Print_Area</vt:lpstr>
      <vt:lpstr>'06,10 R2 NO TRIP  '!Print_Area</vt:lpstr>
      <vt:lpstr>'06,10 R3 '!Print_Area</vt:lpstr>
      <vt:lpstr>'06,11 R1 NO TRIP'!Print_Area</vt:lpstr>
      <vt:lpstr>'06,11 R2 '!Print_Area</vt:lpstr>
      <vt:lpstr>'06,11 R3'!Print_Area</vt:lpstr>
      <vt:lpstr>'06,12 R1  '!Print_Area</vt:lpstr>
      <vt:lpstr>'06,12 R2  '!Print_Area</vt:lpstr>
      <vt:lpstr>'06,12 R3 NO TRIP'!Print_Area</vt:lpstr>
      <vt:lpstr>'06,13 R1'!Print_Area</vt:lpstr>
      <vt:lpstr>'06,15 R1'!Print_Area</vt:lpstr>
      <vt:lpstr>'06,15 R2'!Print_Area</vt:lpstr>
      <vt:lpstr>'06,15 R3'!Print_Area</vt:lpstr>
      <vt:lpstr>'06,16 R1 '!Print_Area</vt:lpstr>
      <vt:lpstr>'06,16 R2 '!Print_Area</vt:lpstr>
      <vt:lpstr>'06,16 R3 '!Print_Area</vt:lpstr>
      <vt:lpstr>'06,17 R1'!Print_Area</vt:lpstr>
      <vt:lpstr>'06,17 R2 '!Print_Area</vt:lpstr>
      <vt:lpstr>'06,17 R3'!Print_Area</vt:lpstr>
      <vt:lpstr>'06,18 R1'!Print_Area</vt:lpstr>
      <vt:lpstr>'06,18 R2'!Print_Area</vt:lpstr>
      <vt:lpstr>'06,18 R3'!Print_Area</vt:lpstr>
      <vt:lpstr>'06,19 R1'!Print_Area</vt:lpstr>
      <vt:lpstr>'06,19 R2'!Print_Area</vt:lpstr>
      <vt:lpstr>'06,19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2026-06-19T00:22:03Z</cp:lastPrinted>
  <dcterms:created xsi:type="dcterms:W3CDTF">2024-09-01T23:36:50Z</dcterms:created>
  <dcterms:modified xsi:type="dcterms:W3CDTF">2026-06-19T00:27:04Z</dcterms:modified>
</cp:coreProperties>
</file>