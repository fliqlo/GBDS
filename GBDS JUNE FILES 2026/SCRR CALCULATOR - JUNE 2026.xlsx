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7DCC76E1-1C59-4C2B-9338-00D7AC638D59}" xr6:coauthVersionLast="45" xr6:coauthVersionMax="47" xr10:uidLastSave="{00000000-0000-0000-0000-000000000000}"/>
  <bookViews>
    <workbookView xWindow="-120" yWindow="-120" windowWidth="29040" windowHeight="15840" firstSheet="31" activeTab="39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NO TRIP " sheetId="2113" r:id="rId12"/>
    <sheet name="06,03 R3 NO TRIP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NO TRIP" sheetId="2120" r:id="rId19"/>
    <sheet name="06,05 R2 " sheetId="2121" r:id="rId20"/>
    <sheet name="06,05 R3  " sheetId="2122" r:id="rId21"/>
    <sheet name="(6)" sheetId="2123" r:id="rId22"/>
    <sheet name="06,06 R1 COLLECTION" sheetId="2127" r:id="rId23"/>
    <sheet name="06,06 R2 NO TRIP" sheetId="2125" r:id="rId24"/>
    <sheet name="06,06 R3 NO TRIP " sheetId="2126" r:id="rId25"/>
    <sheet name="(8)" sheetId="2132" r:id="rId26"/>
    <sheet name="06,08 R1 NO TRIP" sheetId="2133" r:id="rId27"/>
    <sheet name="06,08 R2" sheetId="2134" r:id="rId28"/>
    <sheet name="06,08 R3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NO TRIP  " sheetId="2138" r:id="rId36"/>
    <sheet name="06,10 R3 " sheetId="2139" r:id="rId37"/>
    <sheet name="(11)" sheetId="2140" r:id="rId38"/>
    <sheet name="06,11 R1 NO TRIP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" sheetId="2147" r:id="rId45"/>
    <sheet name="(13)" sheetId="2148" r:id="rId46"/>
    <sheet name="06,13 R1 " sheetId="2149" r:id="rId47"/>
    <sheet name="06,13 R2 " sheetId="2150" r:id="rId48"/>
    <sheet name="06,13 R3 " sheetId="2151" r:id="rId49"/>
    <sheet name="(15)" sheetId="2152" r:id="rId50"/>
    <sheet name="06,15 R1" sheetId="2153" r:id="rId51"/>
    <sheet name="06,15 R2" sheetId="2154" r:id="rId52"/>
    <sheet name="06,15 R3" sheetId="2155" r:id="rId53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NO TRIP '!$A$1:$J$60</definedName>
    <definedName name="_xlnm.Print_Area" localSheetId="12">'06,03 R3 NO TRIP'!$A$1:$J$60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NO TRIP'!$A$1:$J$60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COLLECTION'!$A$1:$J$60</definedName>
    <definedName name="_xlnm.Print_Area" localSheetId="23">'06,06 R2 NO TRIP'!$A$1:$J$60</definedName>
    <definedName name="_xlnm.Print_Area" localSheetId="24">'06,06 R3 NO TRIP '!$A$1:$J$60</definedName>
    <definedName name="_xlnm.Print_Area" localSheetId="26">'06,08 R1 NO TRIP'!$A$1:$J$60</definedName>
    <definedName name="_xlnm.Print_Area" localSheetId="27">'06,08 R2'!$A$1:$J$60</definedName>
    <definedName name="_xlnm.Print_Area" localSheetId="28">'06,08 R3'!$A$1:$J$60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NO TRIP  '!$A$1:$J$60</definedName>
    <definedName name="_xlnm.Print_Area" localSheetId="36">'06,10 R3 '!$A$1:$J$60</definedName>
    <definedName name="_xlnm.Print_Area" localSheetId="38">'06,11 R1 NO TRIP'!$A$1:$J$60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'!$A$1:$J$60</definedName>
    <definedName name="_xlnm.Print_Area" localSheetId="46">'06,13 R1 '!$A$1:$J$60</definedName>
    <definedName name="_xlnm.Print_Area" localSheetId="47">'06,13 R2 '!$A$1:$J$60</definedName>
    <definedName name="_xlnm.Print_Area" localSheetId="48">'06,13 R3 '!$A$1:$J$60</definedName>
    <definedName name="_xlnm.Print_Area" localSheetId="50">'06,15 R1'!$A$1:$J$60</definedName>
    <definedName name="_xlnm.Print_Area" localSheetId="51">'06,15 R2'!$A$1:$J$60</definedName>
    <definedName name="_xlnm.Print_Area" localSheetId="52">'06,15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6" i="2139" l="1"/>
  <c r="C16" i="2137"/>
  <c r="C12" i="2131" l="1"/>
  <c r="C16" i="2130"/>
  <c r="C12" i="2129"/>
  <c r="C16" i="2129"/>
  <c r="C12" i="2122" l="1"/>
  <c r="C16" i="2117" l="1"/>
  <c r="C16" i="2118" l="1"/>
  <c r="H16" i="2118"/>
  <c r="L27" i="2118" l="1"/>
  <c r="C16" i="2112" l="1"/>
  <c r="L25" i="2110" l="1"/>
  <c r="C17" i="2110" l="1"/>
  <c r="L21" i="2110"/>
  <c r="C18" i="2110"/>
  <c r="C12" i="2110"/>
  <c r="L26" i="2110"/>
  <c r="C16" i="2110"/>
  <c r="C15" i="2110"/>
  <c r="L24" i="2110" l="1"/>
  <c r="H16" i="2089" l="1"/>
  <c r="L23" i="2087"/>
  <c r="L21" i="2087"/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G49" i="2155" s="1"/>
  <c r="D34" i="2155"/>
  <c r="D54" i="2155" s="1"/>
  <c r="H14" i="2155" s="1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G49" i="2154" s="1"/>
  <c r="D35" i="2154"/>
  <c r="D54" i="2154" s="1"/>
  <c r="H14" i="2154" s="1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G49" i="2153" s="1"/>
  <c r="D36" i="2153"/>
  <c r="D54" i="2153" s="1"/>
  <c r="H14" i="2153" s="1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G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D54" i="2151" s="1"/>
  <c r="H14" i="2151" s="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G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D35" i="2150"/>
  <c r="R34" i="2150"/>
  <c r="L12" i="2150" s="1"/>
  <c r="D12" i="2150" s="1"/>
  <c r="H34" i="2150"/>
  <c r="D34" i="2150"/>
  <c r="D54" i="2150" s="1"/>
  <c r="H14" i="2150" s="1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G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D54" i="2149" s="1"/>
  <c r="H14" i="2149" s="1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G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D54" i="2146" s="1"/>
  <c r="H14" i="2146" s="1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G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D54" i="2145" s="1"/>
  <c r="H14" i="2145" s="1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G49" i="2142" l="1"/>
  <c r="D54" i="2142"/>
  <c r="H14" i="2142" s="1"/>
  <c r="D54" i="2143"/>
  <c r="H14" i="2143" s="1"/>
  <c r="D29" i="2155"/>
  <c r="H13" i="2155" s="1"/>
  <c r="H15" i="2155" s="1"/>
  <c r="H29" i="2155" s="1"/>
  <c r="G51" i="2155"/>
  <c r="D29" i="2154"/>
  <c r="H13" i="2154" s="1"/>
  <c r="H15" i="2154" s="1"/>
  <c r="H29" i="2154" s="1"/>
  <c r="G51" i="2154" s="1"/>
  <c r="D29" i="2153"/>
  <c r="H13" i="2153" s="1"/>
  <c r="H15" i="2153" s="1"/>
  <c r="H29" i="2153" s="1"/>
  <c r="G51" i="2153" s="1"/>
  <c r="G51" i="2152"/>
  <c r="D29" i="2151"/>
  <c r="H13" i="2151" s="1"/>
  <c r="H15" i="2151" s="1"/>
  <c r="H29" i="2151" s="1"/>
  <c r="G51" i="2151"/>
  <c r="G51" i="2150"/>
  <c r="D29" i="2150"/>
  <c r="H13" i="2150" s="1"/>
  <c r="H15" i="2150" s="1"/>
  <c r="H29" i="2150" s="1"/>
  <c r="D29" i="2149"/>
  <c r="H13" i="2149" s="1"/>
  <c r="H15" i="2149" s="1"/>
  <c r="H29" i="2149" s="1"/>
  <c r="G51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H15" i="2146" s="1"/>
  <c r="H29" i="2146" s="1"/>
  <c r="G51" i="2146" s="1"/>
  <c r="D29" i="2145"/>
  <c r="H13" i="2145" s="1"/>
  <c r="H15" i="2145" s="1"/>
  <c r="H29" i="2145" s="1"/>
  <c r="G51" i="2145" s="1"/>
  <c r="D29" i="2144"/>
  <c r="H13" i="2144" s="1"/>
  <c r="H15" i="2144" s="1"/>
  <c r="H29" i="2144" s="1"/>
  <c r="G51" i="2144" s="1"/>
  <c r="D29" i="2143"/>
  <c r="H13" i="2143" s="1"/>
  <c r="D29" i="2142"/>
  <c r="H13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D34" i="2139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R35" i="2137"/>
  <c r="L18" i="2137" s="1"/>
  <c r="D18" i="2137" s="1"/>
  <c r="H35" i="2137"/>
  <c r="D35" i="2137"/>
  <c r="R34" i="2137"/>
  <c r="H34" i="2137"/>
  <c r="D34" i="2137"/>
  <c r="R33" i="2137"/>
  <c r="R32" i="2137"/>
  <c r="R31" i="2137"/>
  <c r="R30" i="2137"/>
  <c r="R29" i="2137"/>
  <c r="R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D34" i="2135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D34" i="2134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D34" i="213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D34" i="2129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R33" i="2110"/>
  <c r="R32" i="2110"/>
  <c r="L11" i="2110" s="1"/>
  <c r="D11" i="2110" s="1"/>
  <c r="R31" i="2110"/>
  <c r="R30" i="2110"/>
  <c r="R29" i="2110"/>
  <c r="R28" i="2110"/>
  <c r="R27" i="2110"/>
  <c r="D27" i="2110"/>
  <c r="R26" i="2110"/>
  <c r="D26" i="2110"/>
  <c r="R25" i="2110"/>
  <c r="D25" i="2110"/>
  <c r="R24" i="2110"/>
  <c r="D24" i="2110"/>
  <c r="R23" i="2110"/>
  <c r="D23" i="2110"/>
  <c r="R22" i="2110"/>
  <c r="D22" i="2110"/>
  <c r="R21" i="2110"/>
  <c r="L17" i="2110" s="1"/>
  <c r="D17" i="2110" s="1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D34" i="2109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D34" i="2108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H15" i="2142" l="1"/>
  <c r="H29" i="2142" s="1"/>
  <c r="G51" i="2142" s="1"/>
  <c r="H15" i="2143"/>
  <c r="H29" i="2143" s="1"/>
  <c r="G51" i="2143" s="1"/>
  <c r="D54" i="2137"/>
  <c r="H14" i="2137" s="1"/>
  <c r="G49" i="2137"/>
  <c r="G49" i="2139"/>
  <c r="D54" i="2139"/>
  <c r="H14" i="2139" s="1"/>
  <c r="D54" i="2138"/>
  <c r="H14" i="2138" s="1"/>
  <c r="D54" i="2131"/>
  <c r="H14" i="2131" s="1"/>
  <c r="D54" i="2130"/>
  <c r="H14" i="2130" s="1"/>
  <c r="D29" i="2130"/>
  <c r="H13" i="2130" s="1"/>
  <c r="D54" i="2129"/>
  <c r="H14" i="2129" s="1"/>
  <c r="G49" i="2131"/>
  <c r="G49" i="2129"/>
  <c r="G49" i="2135"/>
  <c r="G49" i="2134"/>
  <c r="D54" i="2135"/>
  <c r="H14" i="2135" s="1"/>
  <c r="D54" i="2134"/>
  <c r="H14" i="2134" s="1"/>
  <c r="G49" i="2127"/>
  <c r="G49" i="2122"/>
  <c r="G49" i="2121"/>
  <c r="D54" i="2122"/>
  <c r="H14" i="2122" s="1"/>
  <c r="D54" i="2121"/>
  <c r="H14" i="2121" s="1"/>
  <c r="D54" i="2117"/>
  <c r="H14" i="2117" s="1"/>
  <c r="G49" i="2117"/>
  <c r="G49" i="2118"/>
  <c r="G49" i="2116"/>
  <c r="D54" i="2118"/>
  <c r="H14" i="2118" s="1"/>
  <c r="D54" i="2116"/>
  <c r="H14" i="2116" s="1"/>
  <c r="D29" i="2116"/>
  <c r="H13" i="2116" s="1"/>
  <c r="D54" i="2112"/>
  <c r="H14" i="2112" s="1"/>
  <c r="G49" i="2112"/>
  <c r="D54" i="2110"/>
  <c r="H14" i="2110" s="1"/>
  <c r="G49" i="2110"/>
  <c r="G49" i="2109"/>
  <c r="D54" i="2109"/>
  <c r="H14" i="2109" s="1"/>
  <c r="G49" i="2108"/>
  <c r="D54" i="2108"/>
  <c r="H14" i="2108" s="1"/>
  <c r="D29" i="2139"/>
  <c r="H13" i="2139" s="1"/>
  <c r="D29" i="2138"/>
  <c r="H13" i="2138" s="1"/>
  <c r="D29" i="2137"/>
  <c r="H13" i="2137" s="1"/>
  <c r="D29" i="2135"/>
  <c r="H13" i="2135" s="1"/>
  <c r="D29" i="2134"/>
  <c r="H13" i="2134" s="1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D29" i="2129"/>
  <c r="H13" i="2129" s="1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D29" i="2121"/>
  <c r="H13" i="2121" s="1"/>
  <c r="D29" i="2120"/>
  <c r="H13" i="2120" s="1"/>
  <c r="H15" i="2120" s="1"/>
  <c r="H29" i="2120" s="1"/>
  <c r="G51" i="2120"/>
  <c r="G51" i="2119"/>
  <c r="D29" i="2118"/>
  <c r="H13" i="2118" s="1"/>
  <c r="D29" i="2117"/>
  <c r="H13" i="2117" s="1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D29" i="2111"/>
  <c r="H13" i="2111" s="1"/>
  <c r="H15" i="2111" s="1"/>
  <c r="H29" i="2111" s="1"/>
  <c r="G51" i="2111" s="1"/>
  <c r="D29" i="2110"/>
  <c r="H13" i="2110" s="1"/>
  <c r="D29" i="2109"/>
  <c r="H13" i="2109" s="1"/>
  <c r="D29" i="2108"/>
  <c r="H13" i="2108" s="1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H15" i="2137" l="1"/>
  <c r="H29" i="2137" s="1"/>
  <c r="G51" i="2137" s="1"/>
  <c r="H15" i="2139"/>
  <c r="H29" i="2139" s="1"/>
  <c r="G51" i="2139" s="1"/>
  <c r="H15" i="2138"/>
  <c r="H29" i="2138" s="1"/>
  <c r="G51" i="2138" s="1"/>
  <c r="H15" i="2131"/>
  <c r="H29" i="2131" s="1"/>
  <c r="G51" i="2131" s="1"/>
  <c r="H15" i="2130"/>
  <c r="H29" i="2130" s="1"/>
  <c r="G51" i="2130" s="1"/>
  <c r="H15" i="2129"/>
  <c r="H29" i="2129" s="1"/>
  <c r="G51" i="2129" s="1"/>
  <c r="H15" i="2135"/>
  <c r="H29" i="2135" s="1"/>
  <c r="G51" i="2135" s="1"/>
  <c r="H15" i="2134"/>
  <c r="H29" i="2134" s="1"/>
  <c r="G51" i="2134" s="1"/>
  <c r="H15" i="2122"/>
  <c r="H29" i="2122" s="1"/>
  <c r="G51" i="2122" s="1"/>
  <c r="H15" i="2121"/>
  <c r="H29" i="2121" s="1"/>
  <c r="G51" i="2121" s="1"/>
  <c r="H15" i="2117"/>
  <c r="H29" i="2117" s="1"/>
  <c r="G51" i="2117" s="1"/>
  <c r="H15" i="2118"/>
  <c r="H29" i="2118" s="1"/>
  <c r="G51" i="2118" s="1"/>
  <c r="H15" i="2116"/>
  <c r="H29" i="2116" s="1"/>
  <c r="G51" i="2116" s="1"/>
  <c r="H15" i="2112"/>
  <c r="H29" i="2112" s="1"/>
  <c r="G51" i="2112" s="1"/>
  <c r="H15" i="2110"/>
  <c r="H29" i="2110" s="1"/>
  <c r="G51" i="2110" s="1"/>
  <c r="H15" i="2109"/>
  <c r="H29" i="2109" s="1"/>
  <c r="G51" i="2109" s="1"/>
  <c r="H15" i="2108"/>
  <c r="H29" i="2108" s="1"/>
  <c r="G51" i="2108" s="1"/>
  <c r="D29" i="2107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D23" i="2087"/>
  <c r="R22" i="2087"/>
  <c r="L22" i="2087"/>
  <c r="D22" i="2087"/>
  <c r="R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G49" i="2087"/>
  <c r="D54" i="2087"/>
  <c r="H14" i="2087" s="1"/>
  <c r="D29" i="2087"/>
  <c r="H13" i="2087" s="1"/>
  <c r="D29" i="2088"/>
  <c r="H13" i="2088" s="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<sst xmlns="http://schemas.openxmlformats.org/spreadsheetml/2006/main" count="7026" uniqueCount="184">
  <si>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</si>
  <si>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</si>
  <si>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</si>
  <si>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</si>
  <si>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</si>
  <si>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</si>
  <si>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</si>
  <si>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</si>
  <si>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</si>
  <si>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</si>
  <si>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</si>
  <si>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</si>
  <si>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</si>
  <si>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</si>
  <si>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</si>
  <si>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</si>
  <si>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</si>
  <si>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</si>
  <si>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</si>
  <si>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</si>
  <si>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</si>
  <si>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</si>
  <si>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</si>
  <si>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</si>
  <si>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</si>
  <si>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</si>
  <si>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</si>
  <si>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</si>
  <si>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</si>
  <si>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</si>
  <si>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</si>
  <si>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</si>
  <si>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</si>
  <si>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</si>
  <si>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</si>
  <si>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</si>
  <si>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</si>
  <si>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</si>
  <si>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</si>
  <si>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</si>
  <si>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</si>
  <si>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</si>
  <si>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</si>
  <si>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</si>
  <si>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</si>
  <si>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</si>
  <si>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</si>
  <si>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</si>
  <si>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</si>
  <si>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</si>
  <si>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</si>
  <si>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</si>
  <si>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</si>
  <si>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</si>
  <si>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</si>
  <si>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</si>
  <si>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</si>
  <si>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</si>
  <si>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</si>
  <si>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</si>
  <si>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</si>
  <si>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</si>
  <si>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</si>
  <si>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</si>
  <si>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</si>
  <si>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</si>
  <si>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</si>
  <si>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</si>
  <si>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</si>
  <si>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</si>
  <si>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</si>
  <si>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</si>
  <si>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</si>
  <si>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</si>
  <si>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</si>
  <si>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</si>
  <si>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</si>
  <si>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</si>
  <si>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</si>
  <si>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</si>
  <si>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</si>
  <si>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</si>
  <si>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</si>
  <si>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</si>
  <si>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</si>
  <si>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</si>
  <si>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</si>
  <si>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</si>
  <si>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</si>
  <si>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</si>
  <si>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</si>
  <si>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</si>
  <si>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</si>
  <si>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</si>
  <si>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</si>
  <si>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</si>
  <si>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</si>
  <si>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</si>
  <si>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</si>
  <si>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</si>
  <si>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</si>
  <si>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</si>
  <si>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</si>
  <si>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</si>
  <si>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</si>
  <si>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</si>
  <si>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</si>
  <si>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</si>
  <si>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</si>
  <si>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</si>
  <si>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</si>
  <si>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</si>
  <si>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</si>
  <si>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</si>
  <si>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</si>
  <si>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</si>
  <si>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</si>
  <si>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</si>
  <si>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</si>
  <si>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</si>
  <si>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</si>
  <si>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</si>
  <si>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</si>
  <si>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</si>
  <si>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</si>
  <si>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</si>
  <si>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</si>
  <si>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</si>
  <si>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</si>
  <si>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</si>
  <si>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CB BOTT</t>
  </si>
  <si>
    <t>PL BOTT.</t>
  </si>
  <si>
    <t>BDO</t>
  </si>
  <si>
    <t>150203</t>
  </si>
  <si>
    <t>120727</t>
  </si>
  <si>
    <t xml:space="preserve"> BANK TRANSFER</t>
  </si>
  <si>
    <t>SOUND CHECK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</si>
  <si>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</si>
  <si>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</si>
  <si>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56834</t>
  </si>
  <si>
    <t>G-CASH</t>
  </si>
  <si>
    <r>
      <rPr>
        <u/>
        <sz val="11"/>
        <color rgb="FFFF0000"/>
        <rFont val="Calibri"/>
        <family val="2"/>
        <scheme val="minor"/>
      </rPr>
      <t xml:space="preserve">(SHORT) </t>
    </r>
    <r>
      <rPr>
        <sz val="11"/>
        <rFont val="Calibri"/>
        <family val="2"/>
        <scheme val="minor"/>
      </rPr>
      <t>/ OVER</t>
    </r>
  </si>
  <si>
    <t>PODIOTAN, AIR JOHN</t>
  </si>
  <si>
    <t xml:space="preserve">                           AIR JOHN PODIOTAN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</si>
  <si>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</si>
  <si>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43081</t>
  </si>
  <si>
    <t>51713</t>
  </si>
  <si>
    <t xml:space="preserve">PPG </t>
  </si>
  <si>
    <t>SMFC</t>
  </si>
  <si>
    <t>HSC</t>
  </si>
  <si>
    <t>MGYZ</t>
  </si>
  <si>
    <t>KRB</t>
  </si>
  <si>
    <t>SMZB</t>
  </si>
  <si>
    <t>SML500C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</si>
  <si>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</si>
  <si>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PNB</t>
  </si>
  <si>
    <t>BANK TRANSFER</t>
  </si>
  <si>
    <t>BALWARTE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</si>
  <si>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</si>
  <si>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150836</t>
  </si>
  <si>
    <t>2000006089</t>
  </si>
  <si>
    <t>2000003113</t>
  </si>
  <si>
    <t>2000008115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</si>
  <si>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</si>
  <si>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150598</t>
  </si>
  <si>
    <t>PSBC</t>
  </si>
  <si>
    <t>2130020946</t>
  </si>
  <si>
    <t>1ST VB</t>
  </si>
  <si>
    <t>5089432</t>
  </si>
  <si>
    <t>43089</t>
  </si>
  <si>
    <t>DANDAYO,RONNEL</t>
  </si>
  <si>
    <t xml:space="preserve">                            RONNEL DANDAYO</t>
  </si>
  <si>
    <t xml:space="preserve">                        ESTEMARK PORMENTO</t>
  </si>
  <si>
    <t xml:space="preserve">                         RONNEL DANDAYO</t>
  </si>
  <si>
    <t>43093</t>
  </si>
  <si>
    <t>132776</t>
  </si>
  <si>
    <t>2000003130</t>
  </si>
  <si>
    <t>2000008133</t>
  </si>
  <si>
    <t xml:space="preserve">                         AIR JOHN PODIOTAN</t>
  </si>
  <si>
    <t>2000003136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</si>
  <si>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</t>
    </r>
    <r>
      <rPr>
        <u/>
        <sz val="11"/>
        <rFont val="Calibri"/>
        <family val="2"/>
        <scheme val="minor"/>
      </rPr>
      <t xml:space="preserve"> OVER</t>
    </r>
  </si>
  <si>
    <t xml:space="preserve">                            PODIOTAN, AIR JOHN </t>
  </si>
  <si>
    <t>2120013091</t>
  </si>
  <si>
    <t>43098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</si>
</sst>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1" fillId="0" borderId="16" xfId="0" applyNumberFormat="1" applyFont="1" applyBorder="1" applyAlignment="1">
      <alignment horizontal="left"/>
    </xf>
    <xf numFmtId="0" fontId="4" fillId="0" borderId="16" xfId="0" applyFont="1" applyFill="1" applyBorder="1"/>
    <xf numFmtId="49" fontId="21" fillId="0" borderId="16" xfId="0" applyNumberFormat="1" applyFont="1" applyBorder="1" applyAlignment="1">
      <alignment horizontal="right"/>
    </xf>
    <xf numFmtId="49" fontId="0" fillId="0" borderId="16" xfId="0" applyNumberFormat="1" applyFont="1" applyBorder="1" applyAlignment="1">
      <alignment horizontal="right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46</xdr:row>
      <xdr:rowOff>129855</xdr:rowOff>
    </xdr:from>
    <xdr:to>
      <xdr:col>3</xdr:col>
      <xdr:colOff>1228725</xdr:colOff>
      <xdr:row>66</xdr:row>
      <xdr:rowOff>3872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6AC297-3553-41CA-8431-26E9B15AD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911193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133350</xdr:rowOff>
    </xdr:from>
    <xdr:to>
      <xdr:col>3</xdr:col>
      <xdr:colOff>1181100</xdr:colOff>
      <xdr:row>66</xdr:row>
      <xdr:rowOff>7367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08EE23-9807-4939-8782-CDFC4F4FB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154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46</xdr:row>
      <xdr:rowOff>142875</xdr:rowOff>
    </xdr:from>
    <xdr:to>
      <xdr:col>3</xdr:col>
      <xdr:colOff>1133475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2FFD0C-69D0-4230-87ED-E63181675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46</xdr:row>
      <xdr:rowOff>142875</xdr:rowOff>
    </xdr:from>
    <xdr:to>
      <xdr:col>3</xdr:col>
      <xdr:colOff>1219200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FBF290B-1956-4B46-A50D-602265534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152400</xdr:rowOff>
    </xdr:from>
    <xdr:to>
      <xdr:col>3</xdr:col>
      <xdr:colOff>1152525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06A348-7582-46FC-8ABF-C2E206CEA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54</xdr:row>
      <xdr:rowOff>104775</xdr:rowOff>
    </xdr:from>
    <xdr:to>
      <xdr:col>3</xdr:col>
      <xdr:colOff>533400</xdr:colOff>
      <xdr:row>58</xdr:row>
      <xdr:rowOff>1458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287DA7-40C5-45A3-8310-EBB8644AC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95300" y="10658475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171450</xdr:rowOff>
    </xdr:from>
    <xdr:to>
      <xdr:col>3</xdr:col>
      <xdr:colOff>1200150</xdr:colOff>
      <xdr:row>66</xdr:row>
      <xdr:rowOff>45467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EEE5F1-6E9C-42D2-9F35-BB9B14A5D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C08841-04CB-4AF7-B3EB-F532AD9BA4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238126</xdr:colOff>
      <xdr:row>54</xdr:row>
      <xdr:rowOff>105352</xdr:rowOff>
    </xdr:from>
    <xdr:to>
      <xdr:col>3</xdr:col>
      <xdr:colOff>466726</xdr:colOff>
      <xdr:row>58</xdr:row>
      <xdr:rowOff>2035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1B8E27-A9A5-4F89-BAF6-EBB954EA6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6" y="10659052"/>
          <a:ext cx="1847850" cy="658683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142875</xdr:rowOff>
    </xdr:from>
    <xdr:to>
      <xdr:col>3</xdr:col>
      <xdr:colOff>1181100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CAC406-9B93-47D7-A358-580614E67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76199</xdr:colOff>
      <xdr:row>54</xdr:row>
      <xdr:rowOff>76997</xdr:rowOff>
    </xdr:from>
    <xdr:to>
      <xdr:col>3</xdr:col>
      <xdr:colOff>619125</xdr:colOff>
      <xdr:row>58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E1F8C0-45B0-4082-873D-5D2504FB5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66699" y="10630697"/>
          <a:ext cx="2162176" cy="770728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142875</xdr:rowOff>
    </xdr:from>
    <xdr:to>
      <xdr:col>3</xdr:col>
      <xdr:colOff>1152525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D36929-BA15-411B-BFE5-77319A732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47625</xdr:rowOff>
    </xdr:from>
    <xdr:to>
      <xdr:col>3</xdr:col>
      <xdr:colOff>781051</xdr:colOff>
      <xdr:row>58</xdr:row>
      <xdr:rowOff>56353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C6203E0-5F97-4046-B923-96285C85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01325"/>
          <a:ext cx="2162176" cy="770728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152400</xdr:rowOff>
    </xdr:from>
    <xdr:to>
      <xdr:col>3</xdr:col>
      <xdr:colOff>1181100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5652C5-7CBF-440D-8B9E-AF4572C1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415952</xdr:colOff>
      <xdr:row>54</xdr:row>
      <xdr:rowOff>81932</xdr:rowOff>
    </xdr:from>
    <xdr:to>
      <xdr:col>3</xdr:col>
      <xdr:colOff>609259</xdr:colOff>
      <xdr:row>57</xdr:row>
      <xdr:rowOff>156535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AA58F7-F23C-46A0-93EF-7C435B81A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10252">
          <a:off x="606452" y="10635632"/>
          <a:ext cx="1812557" cy="646103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D6B907A-D95F-4571-A38D-A28CADDBE2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98F31F-DCCE-4E76-B7B6-B441705EA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46</xdr:row>
      <xdr:rowOff>190500</xdr:rowOff>
    </xdr:from>
    <xdr:to>
      <xdr:col>3</xdr:col>
      <xdr:colOff>1171575</xdr:colOff>
      <xdr:row>66</xdr:row>
      <xdr:rowOff>64517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2845CB-BA0C-489E-940B-BE35E9FAC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9172575"/>
          <a:ext cx="2800350" cy="373164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7"/>
      <c r="G23" s="78"/>
      <c r="H23" s="181"/>
      <c r="I23" s="150"/>
      <c r="J23" s="15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79"/>
      <c r="H27" s="188"/>
      <c r="I27" s="189"/>
      <c r="J27" s="19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89"/>
      <c r="G28" s="61"/>
      <c r="H28" s="191"/>
      <c r="I28" s="192"/>
      <c r="J28" s="19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/>
      <c r="I34" s="156"/>
      <c r="J34" s="15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87" t="s">
        <v>82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106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opLeftCell="A34" zoomScaleNormal="100" zoomScaleSheetLayoutView="85" workbookViewId="0">
      <selection activeCell="D64" sqref="D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46174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570</v>
      </c>
      <c r="D6" s="13">
        <f t="shared" ref="D6:D28" si="1">C6*L6</f>
        <v>433770</v>
      </c>
      <c r="F6" s="218" t="s">
        <v>16</v>
      </c>
      <c r="G6" s="220" t="s">
        <v>142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10</v>
      </c>
      <c r="D7" s="13">
        <f t="shared" si="1"/>
        <v>7810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99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13</v>
      </c>
      <c r="D9" s="13">
        <f t="shared" si="1"/>
        <v>9529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10</v>
      </c>
      <c r="D10" s="13">
        <f t="shared" si="1"/>
        <v>10320</v>
      </c>
      <c r="F10" s="218" t="s">
        <v>26</v>
      </c>
      <c r="G10" s="233" t="s">
        <v>108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10</v>
      </c>
      <c r="D12" s="48">
        <f t="shared" si="1"/>
        <v>9920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6</v>
      </c>
      <c r="D13" s="48">
        <f t="shared" si="1"/>
        <v>1842</v>
      </c>
      <c r="F13" s="239" t="s">
        <v>36</v>
      </c>
      <c r="G13" s="203"/>
      <c r="H13" s="194">
        <f>D29</f>
        <v>475222.5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12</v>
      </c>
      <c r="D14" s="31">
        <f t="shared" si="1"/>
        <v>132</v>
      </c>
      <c r="F14" s="197" t="s">
        <v>38</v>
      </c>
      <c r="G14" s="198"/>
      <c r="H14" s="199">
        <f>D54</f>
        <v>54630.75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420591.75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64">
        <v>2760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130</v>
      </c>
      <c r="C21" s="10">
        <v>22</v>
      </c>
      <c r="D21" s="48">
        <f t="shared" si="1"/>
        <v>491.33333333333331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131</v>
      </c>
      <c r="C23" s="10">
        <v>1</v>
      </c>
      <c r="D23" s="48">
        <f t="shared" si="1"/>
        <v>108.16666666666667</v>
      </c>
      <c r="F23" s="76"/>
      <c r="G23" s="78"/>
      <c r="H23" s="240"/>
      <c r="I23" s="241"/>
      <c r="J23" s="241"/>
      <c r="L23" s="47">
        <f>622/6+4.5</f>
        <v>108.16666666666667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76"/>
      <c r="G24" s="78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74" t="s">
        <v>136</v>
      </c>
      <c r="G26" s="65">
        <v>10819</v>
      </c>
      <c r="H26" s="150">
        <v>68780</v>
      </c>
      <c r="I26" s="150"/>
      <c r="J26" s="15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71"/>
      <c r="G27" s="94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92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475222.5</v>
      </c>
      <c r="F29" s="111" t="s">
        <v>54</v>
      </c>
      <c r="G29" s="173"/>
      <c r="H29" s="133">
        <f>H15-H16-H17-H18-H19-H20-H22-H23-H24+H26+H27+H28</f>
        <v>486611.75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116</v>
      </c>
      <c r="H34" s="155">
        <f t="shared" ref="H34:H39" si="2">F34*G34</f>
        <v>116000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155">
        <f t="shared" si="2"/>
        <v>4500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55">
        <f t="shared" si="2"/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>
        <v>440</v>
      </c>
      <c r="D37" s="12">
        <f>C37*111</f>
        <v>48840</v>
      </c>
      <c r="F37" s="12">
        <v>100</v>
      </c>
      <c r="G37" s="39">
        <v>2</v>
      </c>
      <c r="H37" s="155">
        <f t="shared" si="2"/>
        <v>200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>
        <v>7</v>
      </c>
      <c r="D42" s="12">
        <f>C42*2.25</f>
        <v>15.75</v>
      </c>
      <c r="F42" s="39" t="s">
        <v>78</v>
      </c>
      <c r="G42" s="155">
        <v>80</v>
      </c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4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>
        <v>14</v>
      </c>
      <c r="D44" s="12">
        <f>C44*120</f>
        <v>1680</v>
      </c>
      <c r="F44" s="37" t="s">
        <v>132</v>
      </c>
      <c r="G44" s="62" t="s">
        <v>133</v>
      </c>
      <c r="H44" s="150">
        <v>317788</v>
      </c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50">
        <v>13533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107" t="s">
        <v>135</v>
      </c>
      <c r="H46" s="150">
        <v>33800</v>
      </c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>
        <v>26</v>
      </c>
      <c r="D49" s="12">
        <f>C49*42</f>
        <v>1092</v>
      </c>
      <c r="F49" s="131" t="s">
        <v>85</v>
      </c>
      <c r="G49" s="133">
        <f>H34+H35+H36+H37+H38+H39+H40+H41+G42+H44+H45+H46</f>
        <v>485901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>
        <v>19</v>
      </c>
      <c r="D50" s="12">
        <f>C50*1.5</f>
        <v>28.5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138</v>
      </c>
      <c r="G51" s="244">
        <f>G49-H29</f>
        <v>-710.75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54630.75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40" zoomScaleNormal="100" zoomScaleSheetLayoutView="85" workbookViewId="0">
      <selection activeCell="C70" sqref="C7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46174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275</v>
      </c>
      <c r="D6" s="13">
        <f t="shared" ref="D6:D28" si="1">C6*L6</f>
        <v>209275</v>
      </c>
      <c r="F6" s="218" t="s">
        <v>16</v>
      </c>
      <c r="G6" s="220" t="s">
        <v>107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6</v>
      </c>
      <c r="D7" s="13">
        <f t="shared" si="1"/>
        <v>4686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100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40</v>
      </c>
      <c r="D9" s="13">
        <f t="shared" si="1"/>
        <v>29320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>
        <v>1</v>
      </c>
      <c r="D11" s="13">
        <f t="shared" si="1"/>
        <v>1170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1</v>
      </c>
      <c r="D12" s="48">
        <f t="shared" si="1"/>
        <v>992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3</v>
      </c>
      <c r="D13" s="48">
        <f t="shared" si="1"/>
        <v>921</v>
      </c>
      <c r="F13" s="239" t="s">
        <v>36</v>
      </c>
      <c r="G13" s="203"/>
      <c r="H13" s="194">
        <f>D29</f>
        <v>247146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12</v>
      </c>
      <c r="D14" s="31">
        <f t="shared" si="1"/>
        <v>132</v>
      </c>
      <c r="F14" s="197" t="s">
        <v>38</v>
      </c>
      <c r="G14" s="198"/>
      <c r="H14" s="199">
        <f>D54</f>
        <v>36182.25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210963.75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64">
        <v>696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92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247146</v>
      </c>
      <c r="F29" s="111" t="s">
        <v>54</v>
      </c>
      <c r="G29" s="173"/>
      <c r="H29" s="133">
        <f>H15-H16-H17-H18-H19-H20-H22-H23-H24+H26+H27</f>
        <v>210267.75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186</v>
      </c>
      <c r="H34" s="155">
        <f>F34*G34</f>
        <v>186000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155">
        <f>F35*G35</f>
        <v>23500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155">
        <f t="shared" si="2"/>
        <v>300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55">
        <f t="shared" si="2"/>
        <v>50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>
        <v>7</v>
      </c>
      <c r="D42" s="12">
        <f>C42*2.25</f>
        <v>15.75</v>
      </c>
      <c r="F42" s="39" t="s">
        <v>78</v>
      </c>
      <c r="G42" s="155">
        <v>242</v>
      </c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4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>
        <v>2</v>
      </c>
      <c r="D44" s="12">
        <f>C44*120</f>
        <v>240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210092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80">
        <v>3</v>
      </c>
      <c r="D50" s="12">
        <f>C50*1.5</f>
        <v>4.5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137</v>
      </c>
      <c r="G51" s="244">
        <f>G49-H29</f>
        <v>-175.75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36182.25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8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46174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307</v>
      </c>
      <c r="D6" s="13">
        <f t="shared" ref="D6:D28" si="1">C6*L6</f>
        <v>233627</v>
      </c>
      <c r="F6" s="218" t="s">
        <v>16</v>
      </c>
      <c r="G6" s="220" t="s">
        <v>115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6</v>
      </c>
      <c r="D7" s="13">
        <f t="shared" si="1"/>
        <v>4686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109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25</v>
      </c>
      <c r="D9" s="13">
        <f t="shared" si="1"/>
        <v>18325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1</v>
      </c>
      <c r="D10" s="13">
        <f t="shared" si="1"/>
        <v>1032</v>
      </c>
      <c r="F10" s="218" t="s">
        <v>26</v>
      </c>
      <c r="G10" s="233" t="s">
        <v>121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>
        <v>2</v>
      </c>
      <c r="D11" s="13">
        <f t="shared" si="1"/>
        <v>2340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3</v>
      </c>
      <c r="D12" s="48">
        <f t="shared" si="1"/>
        <v>2976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10</v>
      </c>
      <c r="D13" s="48">
        <f t="shared" si="1"/>
        <v>3070</v>
      </c>
      <c r="F13" s="239" t="s">
        <v>36</v>
      </c>
      <c r="G13" s="203"/>
      <c r="H13" s="194">
        <f>D29</f>
        <v>266056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58272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207784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f>588+504</f>
        <v>1092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92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266056</v>
      </c>
      <c r="F29" s="111" t="s">
        <v>54</v>
      </c>
      <c r="G29" s="173"/>
      <c r="H29" s="133">
        <f>H15-H16-H17-H18-H19-H20-H22-H23-H24+H26+H27</f>
        <v>206692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73</v>
      </c>
      <c r="H34" s="155">
        <f>F34*G34</f>
        <v>73000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>
        <v>111</v>
      </c>
      <c r="H35" s="155">
        <f>F35*G35</f>
        <v>55500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55">
        <f t="shared" ref="H36:H39" si="2">F36*G36</f>
        <v>200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>
        <v>506</v>
      </c>
      <c r="D37" s="12">
        <f>C37*111</f>
        <v>56166</v>
      </c>
      <c r="F37" s="12">
        <v>100</v>
      </c>
      <c r="G37" s="39">
        <v>121</v>
      </c>
      <c r="H37" s="155">
        <f t="shared" si="2"/>
        <v>12100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>
        <v>61</v>
      </c>
      <c r="H38" s="155">
        <f t="shared" si="2"/>
        <v>3050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55">
        <f t="shared" si="2"/>
        <v>20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>
        <v>10</v>
      </c>
      <c r="D42" s="12">
        <f>C42*2.25</f>
        <v>22.5</v>
      </c>
      <c r="F42" s="39" t="s">
        <v>78</v>
      </c>
      <c r="G42" s="155">
        <v>401</v>
      </c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4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>
        <v>2</v>
      </c>
      <c r="D44" s="12">
        <f>C44*120</f>
        <v>240</v>
      </c>
      <c r="F44" s="37" t="s">
        <v>132</v>
      </c>
      <c r="G44" s="75" t="s">
        <v>139</v>
      </c>
      <c r="H44" s="150">
        <v>55389</v>
      </c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 t="s">
        <v>140</v>
      </c>
      <c r="G45" s="75"/>
      <c r="H45" s="150">
        <v>1032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>
        <v>1</v>
      </c>
      <c r="D46" s="12">
        <f>C46*1.5</f>
        <v>1.5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>
        <v>2</v>
      </c>
      <c r="D49" s="12">
        <f>C49*42</f>
        <v>84</v>
      </c>
      <c r="F49" s="131" t="s">
        <v>85</v>
      </c>
      <c r="G49" s="133">
        <f>H34+H35+H36+H37+H38+H39+H40+H41+G42+H44+H45+H46</f>
        <v>200692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>
        <v>13</v>
      </c>
      <c r="D50" s="12">
        <f>C50*1.5</f>
        <v>19.5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141</v>
      </c>
      <c r="G51" s="244">
        <f>G49-H29</f>
        <v>-6000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58272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7"/>
      <c r="G23" s="78"/>
      <c r="H23" s="181"/>
      <c r="I23" s="150"/>
      <c r="J23" s="15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79"/>
      <c r="H27" s="188"/>
      <c r="I27" s="189"/>
      <c r="J27" s="19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96"/>
      <c r="G28" s="61"/>
      <c r="H28" s="191"/>
      <c r="I28" s="192"/>
      <c r="J28" s="19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/>
      <c r="I34" s="156"/>
      <c r="J34" s="15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8" t="s">
        <v>82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106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topLeftCell="A3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46175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304</v>
      </c>
      <c r="D6" s="13">
        <f t="shared" ref="D6:D28" si="1">C6*L6</f>
        <v>231344</v>
      </c>
      <c r="F6" s="218" t="s">
        <v>16</v>
      </c>
      <c r="G6" s="220" t="s">
        <v>99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2</v>
      </c>
      <c r="D7" s="13">
        <f t="shared" si="1"/>
        <v>1562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117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11</v>
      </c>
      <c r="D9" s="13">
        <f t="shared" si="1"/>
        <v>8063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1</v>
      </c>
      <c r="D10" s="13">
        <f t="shared" si="1"/>
        <v>1032</v>
      </c>
      <c r="F10" s="218" t="s">
        <v>26</v>
      </c>
      <c r="G10" s="233" t="s">
        <v>108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242753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12</v>
      </c>
      <c r="D14" s="31">
        <f t="shared" si="1"/>
        <v>132</v>
      </c>
      <c r="F14" s="197" t="s">
        <v>38</v>
      </c>
      <c r="G14" s="198"/>
      <c r="H14" s="199">
        <f>D54</f>
        <v>35565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>
        <v>1</v>
      </c>
      <c r="D15" s="31">
        <f t="shared" si="1"/>
        <v>620</v>
      </c>
      <c r="F15" s="202" t="s">
        <v>39</v>
      </c>
      <c r="G15" s="203"/>
      <c r="H15" s="204">
        <f>H13-H14</f>
        <v>207188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v>42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6"/>
      <c r="G23" s="78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76"/>
      <c r="G24" s="78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74"/>
      <c r="G26" s="65"/>
      <c r="H26" s="150"/>
      <c r="I26" s="150"/>
      <c r="J26" s="15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71"/>
      <c r="G27" s="99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242753</v>
      </c>
      <c r="F29" s="111" t="s">
        <v>54</v>
      </c>
      <c r="G29" s="173"/>
      <c r="H29" s="133">
        <f>H15-H16-H17-H18-H19-H20-H22-H23-H24+H26+H27+H28</f>
        <v>207146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114</v>
      </c>
      <c r="H34" s="155">
        <f t="shared" ref="H34:H39" si="2">F34*G34</f>
        <v>114000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55">
        <f t="shared" si="2"/>
        <v>22000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>
        <v>23</v>
      </c>
      <c r="D36" s="12">
        <f>C36*1.5</f>
        <v>34.5</v>
      </c>
      <c r="F36" s="12">
        <v>200</v>
      </c>
      <c r="G36" s="37">
        <v>2</v>
      </c>
      <c r="H36" s="155">
        <f t="shared" si="2"/>
        <v>400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19</v>
      </c>
      <c r="H37" s="155">
        <f t="shared" si="2"/>
        <v>1900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3</v>
      </c>
      <c r="H38" s="155">
        <f t="shared" si="2"/>
        <v>150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55">
        <f t="shared" si="2"/>
        <v>40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>
        <v>124</v>
      </c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 t="s">
        <v>140</v>
      </c>
      <c r="G44" s="62"/>
      <c r="H44" s="150">
        <v>55000</v>
      </c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>
        <v>2</v>
      </c>
      <c r="D45" s="12">
        <f>C45*84</f>
        <v>168</v>
      </c>
      <c r="F45" s="37" t="s">
        <v>140</v>
      </c>
      <c r="G45" s="62"/>
      <c r="H45" s="150">
        <v>13650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>
        <v>1</v>
      </c>
      <c r="D46" s="12">
        <f>C46*1.5</f>
        <v>1.5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207264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>
        <v>6</v>
      </c>
      <c r="D50" s="12">
        <f>C50*1.5</f>
        <v>9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144</v>
      </c>
      <c r="G51" s="252">
        <f>G49-H29</f>
        <v>118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35565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46175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330</v>
      </c>
      <c r="D6" s="13">
        <f t="shared" ref="D6:D28" si="1">C6*L6</f>
        <v>251130</v>
      </c>
      <c r="F6" s="218" t="s">
        <v>16</v>
      </c>
      <c r="G6" s="220" t="s">
        <v>107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100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</v>
      </c>
      <c r="D9" s="13">
        <f t="shared" si="1"/>
        <v>733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1</v>
      </c>
      <c r="D10" s="13">
        <f t="shared" si="1"/>
        <v>1032</v>
      </c>
      <c r="F10" s="218" t="s">
        <v>26</v>
      </c>
      <c r="G10" s="233" t="s">
        <v>101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13</v>
      </c>
      <c r="D13" s="48">
        <f t="shared" si="1"/>
        <v>3991</v>
      </c>
      <c r="F13" s="239" t="s">
        <v>36</v>
      </c>
      <c r="G13" s="203"/>
      <c r="H13" s="194">
        <f>D29</f>
        <v>256886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37893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218993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v>1944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256886</v>
      </c>
      <c r="F29" s="111" t="s">
        <v>54</v>
      </c>
      <c r="G29" s="173"/>
      <c r="H29" s="133">
        <f>H15-H16-H17-H18-H19-H20-H22-H23-H24+H26+H27</f>
        <v>217049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102</v>
      </c>
      <c r="H34" s="155">
        <f>F34*G34</f>
        <v>102000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>
        <v>229</v>
      </c>
      <c r="H35" s="155">
        <f>F35*G35</f>
        <v>114500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55">
        <f t="shared" ref="H36:H39" si="2">F36*G36</f>
        <v>200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>
        <v>334</v>
      </c>
      <c r="D37" s="12">
        <f>C37*111</f>
        <v>37074</v>
      </c>
      <c r="F37" s="12">
        <v>100</v>
      </c>
      <c r="G37" s="39">
        <v>1</v>
      </c>
      <c r="H37" s="155">
        <f t="shared" si="2"/>
        <v>100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55">
        <f t="shared" si="2"/>
        <v>20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>
        <v>14</v>
      </c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>
        <v>11</v>
      </c>
      <c r="D49" s="12">
        <f>C49*42</f>
        <v>462</v>
      </c>
      <c r="F49" s="131" t="s">
        <v>85</v>
      </c>
      <c r="G49" s="133">
        <f>H34+H35+H36+H37+H38+H39+H40+H41+G42+H44+H45+H46</f>
        <v>216834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80">
        <v>2</v>
      </c>
      <c r="D50" s="12">
        <f>C50*1.5</f>
        <v>3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141</v>
      </c>
      <c r="G51" s="244">
        <f>G49-H29</f>
        <v>-215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37893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46175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8">
        <v>346</v>
      </c>
      <c r="D6" s="13">
        <f t="shared" ref="D6:D28" si="1">C6*L6</f>
        <v>263306</v>
      </c>
      <c r="F6" s="218" t="s">
        <v>16</v>
      </c>
      <c r="G6" s="220" t="s">
        <v>115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8">
        <v>20</v>
      </c>
      <c r="D7" s="13">
        <f t="shared" si="1"/>
        <v>15620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8">
        <v>1</v>
      </c>
      <c r="D8" s="13">
        <f t="shared" si="1"/>
        <v>1093</v>
      </c>
      <c r="F8" s="226" t="s">
        <v>21</v>
      </c>
      <c r="G8" s="227" t="s">
        <v>109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8">
        <v>74</v>
      </c>
      <c r="D9" s="13">
        <f t="shared" si="1"/>
        <v>54242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8"/>
      <c r="D10" s="13">
        <f t="shared" si="1"/>
        <v>0</v>
      </c>
      <c r="F10" s="218" t="s">
        <v>26</v>
      </c>
      <c r="G10" s="233" t="s">
        <v>121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8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8">
        <f>10+10+2</f>
        <v>22</v>
      </c>
      <c r="D12" s="48">
        <f t="shared" si="1"/>
        <v>21824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8">
        <v>1</v>
      </c>
      <c r="D13" s="48">
        <f t="shared" si="1"/>
        <v>307</v>
      </c>
      <c r="F13" s="239" t="s">
        <v>36</v>
      </c>
      <c r="G13" s="203"/>
      <c r="H13" s="194">
        <f>D29</f>
        <v>403944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8"/>
      <c r="D14" s="31">
        <f t="shared" si="1"/>
        <v>0</v>
      </c>
      <c r="F14" s="197" t="s">
        <v>38</v>
      </c>
      <c r="G14" s="198"/>
      <c r="H14" s="199">
        <f>D54</f>
        <v>72575.25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8">
        <f>10</f>
        <v>10</v>
      </c>
      <c r="D15" s="31">
        <f t="shared" si="1"/>
        <v>6200</v>
      </c>
      <c r="F15" s="202" t="s">
        <v>39</v>
      </c>
      <c r="G15" s="203"/>
      <c r="H15" s="204">
        <f>H13-H14</f>
        <v>331368.75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8">
        <f>5+2+5</f>
        <v>12</v>
      </c>
      <c r="D16" s="48">
        <f t="shared" si="1"/>
        <v>7800</v>
      </c>
      <c r="F16" s="67" t="s">
        <v>41</v>
      </c>
      <c r="G16" s="66" t="s">
        <v>42</v>
      </c>
      <c r="H16" s="164">
        <v>918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8">
        <f>1+1+1+1</f>
        <v>4</v>
      </c>
      <c r="D17" s="48">
        <f t="shared" si="1"/>
        <v>6808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8">
        <f>2+2</f>
        <v>4</v>
      </c>
      <c r="D18" s="48">
        <f t="shared" si="1"/>
        <v>4408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8">
        <v>1</v>
      </c>
      <c r="D19" s="48">
        <f t="shared" si="1"/>
        <v>1175</v>
      </c>
      <c r="F19" s="56"/>
      <c r="G19" s="68" t="s">
        <v>49</v>
      </c>
      <c r="H19" s="250">
        <v>50</v>
      </c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8">
        <v>1</v>
      </c>
      <c r="D20" s="13">
        <f t="shared" si="1"/>
        <v>1582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147</v>
      </c>
      <c r="C21" s="108">
        <v>1</v>
      </c>
      <c r="D21" s="48">
        <f t="shared" si="1"/>
        <v>1242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1122+120</f>
        <v>1242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148</v>
      </c>
      <c r="C22" s="108">
        <v>1</v>
      </c>
      <c r="D22" s="48">
        <f t="shared" si="1"/>
        <v>1102</v>
      </c>
      <c r="F22" s="76"/>
      <c r="G22" s="72"/>
      <c r="H22" s="180"/>
      <c r="I22" s="180"/>
      <c r="J22" s="180"/>
      <c r="L22" s="7">
        <v>1102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149</v>
      </c>
      <c r="C23" s="108">
        <v>1</v>
      </c>
      <c r="D23" s="48">
        <f t="shared" si="1"/>
        <v>1204</v>
      </c>
      <c r="F23" s="77"/>
      <c r="G23" s="78"/>
      <c r="H23" s="251"/>
      <c r="I23" s="180"/>
      <c r="J23" s="180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150</v>
      </c>
      <c r="C24" s="108">
        <v>1</v>
      </c>
      <c r="D24" s="48">
        <f t="shared" si="1"/>
        <v>1582</v>
      </c>
      <c r="F24" s="38"/>
      <c r="G24" s="37"/>
      <c r="H24" s="181"/>
      <c r="I24" s="150"/>
      <c r="J24" s="150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151</v>
      </c>
      <c r="C25" s="108">
        <v>1</v>
      </c>
      <c r="D25" s="48">
        <f t="shared" si="1"/>
        <v>1728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1728</f>
        <v>1728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152</v>
      </c>
      <c r="C26" s="108">
        <v>1</v>
      </c>
      <c r="D26" s="48">
        <f t="shared" si="1"/>
        <v>1277</v>
      </c>
      <c r="F26" s="64"/>
      <c r="G26" s="59"/>
      <c r="H26" s="185"/>
      <c r="I26" s="186"/>
      <c r="J26" s="187"/>
      <c r="L26" s="7">
        <f>1157+120</f>
        <v>1277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153</v>
      </c>
      <c r="C27" s="108">
        <v>2</v>
      </c>
      <c r="D27" s="44">
        <f t="shared" si="1"/>
        <v>3334</v>
      </c>
      <c r="F27" s="25"/>
      <c r="G27" s="79"/>
      <c r="H27" s="188"/>
      <c r="I27" s="189"/>
      <c r="J27" s="190"/>
      <c r="L27" s="7">
        <v>1667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8">
        <v>10</v>
      </c>
      <c r="D28" s="48">
        <f t="shared" si="1"/>
        <v>8110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403944</v>
      </c>
      <c r="F29" s="111" t="s">
        <v>54</v>
      </c>
      <c r="G29" s="173"/>
      <c r="H29" s="133">
        <f>H15-H16-H17-H18-H19-H20-H22-H23-H24+H26+H27</f>
        <v>330400.75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155">
        <f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13</v>
      </c>
      <c r="H35" s="155">
        <f>F35*G35</f>
        <v>6500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30</v>
      </c>
      <c r="H37" s="155">
        <f t="shared" si="2"/>
        <v>3000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>
        <v>382</v>
      </c>
      <c r="D38" s="12">
        <f>C38*84</f>
        <v>32088</v>
      </c>
      <c r="F38" s="30">
        <v>50</v>
      </c>
      <c r="G38" s="39">
        <v>3</v>
      </c>
      <c r="H38" s="155">
        <f t="shared" si="2"/>
        <v>150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>
        <v>32</v>
      </c>
      <c r="D41" s="12">
        <f>C41*84</f>
        <v>2688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>
        <v>7</v>
      </c>
      <c r="D42" s="12">
        <f>C42*2.25</f>
        <v>15.75</v>
      </c>
      <c r="F42" s="39" t="s">
        <v>78</v>
      </c>
      <c r="G42" s="155">
        <v>38</v>
      </c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>
        <v>3</v>
      </c>
      <c r="D44" s="12">
        <f>C44*120</f>
        <v>360</v>
      </c>
      <c r="F44" s="37" t="s">
        <v>132</v>
      </c>
      <c r="G44" s="75" t="s">
        <v>145</v>
      </c>
      <c r="H44" s="150">
        <v>98416</v>
      </c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>
        <v>69</v>
      </c>
      <c r="D45" s="12">
        <f>C45*84</f>
        <v>5796</v>
      </c>
      <c r="F45" s="37" t="s">
        <v>132</v>
      </c>
      <c r="G45" s="75" t="s">
        <v>146</v>
      </c>
      <c r="H45" s="150">
        <v>221673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>
        <v>10</v>
      </c>
      <c r="D46" s="12">
        <f>C46*1.5</f>
        <v>15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329777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>
        <v>5</v>
      </c>
      <c r="D50" s="12">
        <f>C50*1.5</f>
        <v>7.5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154</v>
      </c>
      <c r="G51" s="244">
        <f>G49-H29</f>
        <v>-623.75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72575.25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7"/>
      <c r="G23" s="78"/>
      <c r="H23" s="181"/>
      <c r="I23" s="150"/>
      <c r="J23" s="15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79"/>
      <c r="H27" s="188"/>
      <c r="I27" s="189"/>
      <c r="J27" s="19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/>
      <c r="I34" s="156"/>
      <c r="J34" s="15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106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topLeftCell="A36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46176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441</v>
      </c>
      <c r="D6" s="13">
        <f t="shared" ref="D6:D28" si="1">C6*L6</f>
        <v>335601</v>
      </c>
      <c r="F6" s="218" t="s">
        <v>16</v>
      </c>
      <c r="G6" s="220" t="s">
        <v>99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5</v>
      </c>
      <c r="D7" s="13">
        <f t="shared" si="1"/>
        <v>3905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>
        <v>1</v>
      </c>
      <c r="D8" s="13">
        <f t="shared" si="1"/>
        <v>1093</v>
      </c>
      <c r="F8" s="226" t="s">
        <v>21</v>
      </c>
      <c r="G8" s="227" t="s">
        <v>117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10</v>
      </c>
      <c r="D9" s="13">
        <f t="shared" si="1"/>
        <v>7330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1</v>
      </c>
      <c r="D10" s="13">
        <f t="shared" si="1"/>
        <v>1032</v>
      </c>
      <c r="F10" s="218" t="s">
        <v>26</v>
      </c>
      <c r="G10" s="233" t="s">
        <v>108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>
        <v>2</v>
      </c>
      <c r="D11" s="13">
        <f t="shared" si="1"/>
        <v>2340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2</v>
      </c>
      <c r="D12" s="48">
        <f t="shared" si="1"/>
        <v>1984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13</v>
      </c>
      <c r="D13" s="48">
        <f t="shared" si="1"/>
        <v>3991</v>
      </c>
      <c r="F13" s="239" t="s">
        <v>36</v>
      </c>
      <c r="G13" s="203"/>
      <c r="H13" s="194">
        <f>D29</f>
        <v>361570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12</v>
      </c>
      <c r="D14" s="31">
        <f t="shared" si="1"/>
        <v>132</v>
      </c>
      <c r="F14" s="197" t="s">
        <v>38</v>
      </c>
      <c r="G14" s="198"/>
      <c r="H14" s="199">
        <f>D54</f>
        <v>41899.5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>
        <v>2</v>
      </c>
      <c r="D15" s="31">
        <f t="shared" si="1"/>
        <v>1240</v>
      </c>
      <c r="F15" s="202" t="s">
        <v>39</v>
      </c>
      <c r="G15" s="203"/>
      <c r="H15" s="204">
        <f>H13-H14</f>
        <v>319670.5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4">
        <v>1944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 t="s">
        <v>157</v>
      </c>
      <c r="G22" s="72">
        <v>10843</v>
      </c>
      <c r="H22" s="180">
        <v>88549</v>
      </c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6"/>
      <c r="G23" s="78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76"/>
      <c r="G24" s="78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74" t="s">
        <v>157</v>
      </c>
      <c r="G26" s="65">
        <v>10547</v>
      </c>
      <c r="H26" s="150">
        <v>78233</v>
      </c>
      <c r="I26" s="150"/>
      <c r="J26" s="15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71"/>
      <c r="G27" s="99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>
        <v>2</v>
      </c>
      <c r="D28" s="48">
        <f t="shared" si="1"/>
        <v>1622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361570</v>
      </c>
      <c r="F29" s="111" t="s">
        <v>54</v>
      </c>
      <c r="G29" s="173"/>
      <c r="H29" s="133">
        <f>H15-H16-H17-H18-H19-H20-H22-H23-H24+H26+H27+H28</f>
        <v>307410.5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180</v>
      </c>
      <c r="H34" s="155">
        <f t="shared" ref="H34:H39" si="2">F34*G34</f>
        <v>180000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55">
        <f t="shared" si="2"/>
        <v>1000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437</v>
      </c>
      <c r="H37" s="155">
        <f t="shared" si="2"/>
        <v>43700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64</v>
      </c>
      <c r="H38" s="155">
        <f t="shared" si="2"/>
        <v>3200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>
        <v>6</v>
      </c>
      <c r="D42" s="12">
        <f>C42*2.25</f>
        <v>13.5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>
        <v>8</v>
      </c>
      <c r="D44" s="12">
        <f>C44*120</f>
        <v>960</v>
      </c>
      <c r="F44" s="37" t="s">
        <v>155</v>
      </c>
      <c r="G44" s="109" t="s">
        <v>156</v>
      </c>
      <c r="H44" s="150">
        <v>78233</v>
      </c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>
        <v>7</v>
      </c>
      <c r="D49" s="12">
        <f>C49*42</f>
        <v>294</v>
      </c>
      <c r="F49" s="131" t="s">
        <v>85</v>
      </c>
      <c r="G49" s="133">
        <f>H34+H35+H36+H37+H38+H39+H40+H41+G42+H44+H45+H46</f>
        <v>306133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>
        <v>11</v>
      </c>
      <c r="D50" s="12">
        <f>C50*1.5</f>
        <v>16.5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158</v>
      </c>
      <c r="G51" s="244">
        <f>G49-H29</f>
        <v>-1277.5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41899.5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46176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107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100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>
        <f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80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113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46176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115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109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121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>
        <f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113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7"/>
      <c r="G23" s="78"/>
      <c r="H23" s="181"/>
      <c r="I23" s="150"/>
      <c r="J23" s="15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79"/>
      <c r="H27" s="188"/>
      <c r="I27" s="189"/>
      <c r="J27" s="19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/>
      <c r="I34" s="156"/>
      <c r="J34" s="15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106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topLeftCell="A37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46177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370</v>
      </c>
      <c r="D6" s="13">
        <f t="shared" ref="D6:D28" si="1">C6*L6</f>
        <v>281570</v>
      </c>
      <c r="F6" s="218" t="s">
        <v>16</v>
      </c>
      <c r="G6" s="220" t="s">
        <v>99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50</v>
      </c>
      <c r="D7" s="13">
        <f t="shared" si="1"/>
        <v>39050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>
        <v>65</v>
      </c>
      <c r="D8" s="13">
        <f t="shared" si="1"/>
        <v>71045</v>
      </c>
      <c r="F8" s="226" t="s">
        <v>21</v>
      </c>
      <c r="G8" s="227" t="s">
        <v>117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117</v>
      </c>
      <c r="D9" s="13">
        <f t="shared" si="1"/>
        <v>85761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108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26</v>
      </c>
      <c r="D12" s="48">
        <f t="shared" si="1"/>
        <v>25792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10</v>
      </c>
      <c r="D13" s="48">
        <f t="shared" si="1"/>
        <v>3070</v>
      </c>
      <c r="F13" s="239" t="s">
        <v>36</v>
      </c>
      <c r="G13" s="203"/>
      <c r="H13" s="194">
        <f>D29</f>
        <v>508853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12</v>
      </c>
      <c r="D14" s="31">
        <f t="shared" si="1"/>
        <v>132</v>
      </c>
      <c r="F14" s="197" t="s">
        <v>38</v>
      </c>
      <c r="G14" s="198"/>
      <c r="H14" s="199">
        <f>D54</f>
        <v>82236.75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426616.25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v>3042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 t="s">
        <v>136</v>
      </c>
      <c r="G22" s="72">
        <v>10850</v>
      </c>
      <c r="H22" s="180">
        <v>62272</v>
      </c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6"/>
      <c r="G23" s="78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76"/>
      <c r="G24" s="78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74"/>
      <c r="G26" s="65"/>
      <c r="H26" s="150"/>
      <c r="I26" s="150"/>
      <c r="J26" s="15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71"/>
      <c r="G27" s="99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>
        <v>3</v>
      </c>
      <c r="D28" s="48">
        <f t="shared" si="1"/>
        <v>2433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508853</v>
      </c>
      <c r="F29" s="111" t="s">
        <v>54</v>
      </c>
      <c r="G29" s="173"/>
      <c r="H29" s="133">
        <f>H15-H16-H17-H18-H19-H20-H22-H23-H24+H26+H27+H28</f>
        <v>361302.25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23</v>
      </c>
      <c r="H34" s="155">
        <f t="shared" ref="H34:H39" si="2">F34*G34</f>
        <v>23000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55">
        <f t="shared" si="2"/>
        <v>3500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>
        <v>603</v>
      </c>
      <c r="D37" s="12">
        <f>C37*111</f>
        <v>66933</v>
      </c>
      <c r="F37" s="12">
        <v>100</v>
      </c>
      <c r="G37" s="39">
        <v>23</v>
      </c>
      <c r="H37" s="155">
        <f t="shared" si="2"/>
        <v>2300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9</v>
      </c>
      <c r="H38" s="155">
        <f t="shared" si="2"/>
        <v>450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>
        <v>9</v>
      </c>
      <c r="D42" s="12">
        <f>C42*2.25</f>
        <v>20.25</v>
      </c>
      <c r="F42" s="39" t="s">
        <v>78</v>
      </c>
      <c r="G42" s="155">
        <v>80</v>
      </c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>
        <v>68</v>
      </c>
      <c r="D44" s="12">
        <f>C44*120</f>
        <v>8160</v>
      </c>
      <c r="F44" s="37" t="s">
        <v>132</v>
      </c>
      <c r="G44" s="62" t="s">
        <v>159</v>
      </c>
      <c r="H44" s="150">
        <v>321116</v>
      </c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 t="s">
        <v>140</v>
      </c>
      <c r="G45" s="62"/>
      <c r="H45" s="150">
        <v>10122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360568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138</v>
      </c>
      <c r="G51" s="244">
        <f>G49-H29</f>
        <v>-734.25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82236.75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46177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297</v>
      </c>
      <c r="D6" s="13">
        <f t="shared" ref="D6:D28" si="1">C6*L6</f>
        <v>226017</v>
      </c>
      <c r="F6" s="218" t="s">
        <v>16</v>
      </c>
      <c r="G6" s="220" t="s">
        <v>107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1</v>
      </c>
      <c r="D7" s="13">
        <f t="shared" si="1"/>
        <v>781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100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23</v>
      </c>
      <c r="D9" s="13">
        <f t="shared" si="1"/>
        <v>16859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7</v>
      </c>
      <c r="D13" s="48">
        <f t="shared" si="1"/>
        <v>2149</v>
      </c>
      <c r="F13" s="239" t="s">
        <v>36</v>
      </c>
      <c r="G13" s="203"/>
      <c r="H13" s="194">
        <f>D29</f>
        <v>248406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41370.75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207035.25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64">
        <v>1896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248406</v>
      </c>
      <c r="F29" s="111" t="s">
        <v>54</v>
      </c>
      <c r="G29" s="173"/>
      <c r="H29" s="133">
        <f>H15-H16-H17-H18-H19-H20-H22-H23-H24+H26+H27</f>
        <v>205139.25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26</v>
      </c>
      <c r="H34" s="155">
        <f>F34*G34</f>
        <v>26000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>
        <v>105</v>
      </c>
      <c r="H35" s="155">
        <f>F35*G35</f>
        <v>52500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155">
        <f t="shared" si="2"/>
        <v>100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>
        <v>3</v>
      </c>
      <c r="D42" s="12">
        <f>C42*2.25</f>
        <v>6.75</v>
      </c>
      <c r="F42" s="39" t="s">
        <v>78</v>
      </c>
      <c r="G42" s="155">
        <v>85</v>
      </c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 t="s">
        <v>132</v>
      </c>
      <c r="G44" s="75" t="s">
        <v>164</v>
      </c>
      <c r="H44" s="150">
        <v>126406</v>
      </c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>
        <v>1</v>
      </c>
      <c r="D46" s="12">
        <f>C46*1.5</f>
        <v>1.5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>
        <v>9</v>
      </c>
      <c r="D49" s="12">
        <f>C49*42</f>
        <v>378</v>
      </c>
      <c r="F49" s="131" t="s">
        <v>85</v>
      </c>
      <c r="G49" s="133">
        <f>H34+H35+H36+H37+H38+H39+H40+H41+G42+H44+H45+H46</f>
        <v>205091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80">
        <v>1</v>
      </c>
      <c r="D50" s="12">
        <f>C50*1.5</f>
        <v>1.5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137</v>
      </c>
      <c r="G51" s="244">
        <f>G49-H29</f>
        <v>-48.25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41370.75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topLeftCell="A37" zoomScaleNormal="100" zoomScaleSheetLayoutView="85" workbookViewId="0">
      <selection activeCell="L58" sqref="L5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46177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539</v>
      </c>
      <c r="D6" s="13">
        <f t="shared" ref="D6:D28" si="1">C6*L6</f>
        <v>410179</v>
      </c>
      <c r="F6" s="218" t="s">
        <v>16</v>
      </c>
      <c r="G6" s="220" t="s">
        <v>115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20</v>
      </c>
      <c r="D7" s="13">
        <f t="shared" si="1"/>
        <v>15620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109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135</v>
      </c>
      <c r="D9" s="13">
        <f t="shared" si="1"/>
        <v>98955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121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>
        <v>20</v>
      </c>
      <c r="D11" s="13">
        <f t="shared" si="1"/>
        <v>23400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20</v>
      </c>
      <c r="D12" s="48">
        <f t="shared" si="1"/>
        <v>19840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24</v>
      </c>
      <c r="D13" s="48">
        <f t="shared" si="1"/>
        <v>7368</v>
      </c>
      <c r="F13" s="239" t="s">
        <v>36</v>
      </c>
      <c r="G13" s="203"/>
      <c r="H13" s="194">
        <f>D29</f>
        <v>582314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89697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492617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>
        <f>2+7</f>
        <v>9</v>
      </c>
      <c r="D16" s="48">
        <f t="shared" si="1"/>
        <v>5850</v>
      </c>
      <c r="F16" s="67" t="s">
        <v>41</v>
      </c>
      <c r="G16" s="66" t="s">
        <v>42</v>
      </c>
      <c r="H16" s="164">
        <f>924+306</f>
        <v>1230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148</v>
      </c>
      <c r="C27" s="10">
        <v>1</v>
      </c>
      <c r="D27" s="44">
        <f t="shared" si="1"/>
        <v>1102</v>
      </c>
      <c r="F27" s="25"/>
      <c r="G27" s="79"/>
      <c r="H27" s="188"/>
      <c r="I27" s="189"/>
      <c r="J27" s="190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582314</v>
      </c>
      <c r="F29" s="111" t="s">
        <v>54</v>
      </c>
      <c r="G29" s="173"/>
      <c r="H29" s="133">
        <f>H15-H16-H17-H18-H19-H20-H22-H23-H24+H26+H27</f>
        <v>491387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24</v>
      </c>
      <c r="H34" s="155">
        <f>F34*G34</f>
        <v>24000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</v>
      </c>
      <c r="H35" s="155">
        <f>F35*G35</f>
        <v>2000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>
        <v>19</v>
      </c>
      <c r="D36" s="12">
        <f>C36*1.5</f>
        <v>28.5</v>
      </c>
      <c r="F36" s="12">
        <v>200</v>
      </c>
      <c r="G36" s="37">
        <v>1</v>
      </c>
      <c r="H36" s="155">
        <f t="shared" ref="H36:H39" si="2">F36*G36</f>
        <v>200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>
        <v>756</v>
      </c>
      <c r="D37" s="12">
        <f>C37*111</f>
        <v>83916</v>
      </c>
      <c r="F37" s="12">
        <v>100</v>
      </c>
      <c r="G37" s="39">
        <v>59</v>
      </c>
      <c r="H37" s="155">
        <f t="shared" si="2"/>
        <v>5900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55">
        <f t="shared" si="2"/>
        <v>50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>
        <v>10</v>
      </c>
      <c r="D42" s="12">
        <f>C42*2.25</f>
        <v>22.5</v>
      </c>
      <c r="F42" s="39" t="s">
        <v>78</v>
      </c>
      <c r="G42" s="155">
        <v>30</v>
      </c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>
        <v>13</v>
      </c>
      <c r="D44" s="12">
        <f>C44*120</f>
        <v>1560</v>
      </c>
      <c r="F44" s="37" t="s">
        <v>155</v>
      </c>
      <c r="G44" s="75" t="s">
        <v>160</v>
      </c>
      <c r="H44" s="150">
        <v>30346</v>
      </c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 t="s">
        <v>155</v>
      </c>
      <c r="G45" s="75" t="s">
        <v>161</v>
      </c>
      <c r="H45" s="150">
        <v>328788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>
        <v>7</v>
      </c>
      <c r="D46" s="12">
        <f>C46*1.5</f>
        <v>10.5</v>
      </c>
      <c r="F46" s="37" t="s">
        <v>155</v>
      </c>
      <c r="G46" s="110" t="s">
        <v>162</v>
      </c>
      <c r="H46" s="150">
        <v>99736</v>
      </c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>
        <v>24</v>
      </c>
      <c r="D49" s="12">
        <f>C49*42</f>
        <v>1008</v>
      </c>
      <c r="F49" s="131" t="s">
        <v>85</v>
      </c>
      <c r="G49" s="133">
        <f>H34+H35+H36+H37+H38+H39+H40+H41+G42+H44+H45+H46</f>
        <v>491050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>
        <v>14</v>
      </c>
      <c r="D50" s="12">
        <f>C50*1.5</f>
        <v>21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163</v>
      </c>
      <c r="G51" s="244">
        <f>G49-H29</f>
        <v>-337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89697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7"/>
      <c r="G23" s="78"/>
      <c r="H23" s="181"/>
      <c r="I23" s="150"/>
      <c r="J23" s="15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79"/>
      <c r="H27" s="188"/>
      <c r="I27" s="189"/>
      <c r="J27" s="19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/>
      <c r="I34" s="156"/>
      <c r="J34" s="15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106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G36" sqref="G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46178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99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117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108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6"/>
      <c r="G23" s="78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76"/>
      <c r="G24" s="78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74"/>
      <c r="G26" s="65"/>
      <c r="H26" s="150"/>
      <c r="I26" s="150"/>
      <c r="J26" s="15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71"/>
      <c r="G27" s="99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H15-H16-H17-H18-H19-H20-H22-H23-H24+H26+H27+H28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46178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384</v>
      </c>
      <c r="D6" s="13">
        <f t="shared" ref="D6:D28" si="1">C6*L6</f>
        <v>292224</v>
      </c>
      <c r="F6" s="218" t="s">
        <v>16</v>
      </c>
      <c r="G6" s="220" t="s">
        <v>107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4</v>
      </c>
      <c r="D7" s="13">
        <f t="shared" si="1"/>
        <v>3124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100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6</v>
      </c>
      <c r="D9" s="13">
        <f t="shared" si="1"/>
        <v>4398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9</v>
      </c>
      <c r="D13" s="48">
        <f t="shared" si="1"/>
        <v>2763</v>
      </c>
      <c r="F13" s="239" t="s">
        <v>36</v>
      </c>
      <c r="G13" s="203"/>
      <c r="H13" s="194">
        <f>D29</f>
        <v>302509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39733.5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262775.5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v>1296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302509</v>
      </c>
      <c r="F29" s="111" t="s">
        <v>54</v>
      </c>
      <c r="G29" s="173"/>
      <c r="H29" s="133">
        <f>H15-H16-H17-H18-H19-H20-H22-H23-H24+H26+H27</f>
        <v>261479.5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90</v>
      </c>
      <c r="H34" s="155">
        <f>F34*G34</f>
        <v>90000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>
        <v>51</v>
      </c>
      <c r="H35" s="155">
        <f>F35*G35</f>
        <v>25500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55">
        <f t="shared" si="2"/>
        <v>100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55">
        <f t="shared" si="2"/>
        <v>40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>
        <v>77</v>
      </c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 t="s">
        <v>165</v>
      </c>
      <c r="G44" s="75" t="s">
        <v>166</v>
      </c>
      <c r="H44" s="150">
        <v>145825</v>
      </c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>
        <v>4</v>
      </c>
      <c r="D49" s="12">
        <f>C49*42</f>
        <v>168</v>
      </c>
      <c r="F49" s="131" t="s">
        <v>85</v>
      </c>
      <c r="G49" s="133">
        <f>H34+H35+H36+H37+H38+H39+H40+H41+G42+H44+H45+H46</f>
        <v>261542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80">
        <v>5</v>
      </c>
      <c r="D50" s="12">
        <f>C50*1.5</f>
        <v>7.5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113</v>
      </c>
      <c r="G51" s="141">
        <f>G49-H29</f>
        <v>62.5</v>
      </c>
      <c r="H51" s="142"/>
      <c r="I51" s="142"/>
      <c r="J51" s="1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39733.5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46178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389</v>
      </c>
      <c r="D6" s="13">
        <f t="shared" ref="D6:D28" si="1">C6*L6</f>
        <v>296029</v>
      </c>
      <c r="F6" s="218" t="s">
        <v>16</v>
      </c>
      <c r="G6" s="220" t="s">
        <v>170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20</v>
      </c>
      <c r="D7" s="13">
        <f t="shared" si="1"/>
        <v>15620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109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46</v>
      </c>
      <c r="D9" s="13">
        <f t="shared" si="1"/>
        <v>33718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2</v>
      </c>
      <c r="D10" s="13">
        <f t="shared" si="1"/>
        <v>2064</v>
      </c>
      <c r="F10" s="218" t="s">
        <v>26</v>
      </c>
      <c r="G10" s="233" t="s">
        <v>121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>
        <v>2</v>
      </c>
      <c r="D11" s="13">
        <f t="shared" si="1"/>
        <v>2340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f>4+1</f>
        <v>5</v>
      </c>
      <c r="D12" s="48">
        <f t="shared" si="1"/>
        <v>4960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8</v>
      </c>
      <c r="D13" s="48">
        <f t="shared" si="1"/>
        <v>2456</v>
      </c>
      <c r="F13" s="239" t="s">
        <v>36</v>
      </c>
      <c r="G13" s="203"/>
      <c r="H13" s="194">
        <f>D29</f>
        <v>357319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12</v>
      </c>
      <c r="D14" s="31">
        <f t="shared" si="1"/>
        <v>132</v>
      </c>
      <c r="F14" s="197" t="s">
        <v>38</v>
      </c>
      <c r="G14" s="198"/>
      <c r="H14" s="199">
        <f>D54</f>
        <v>52380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304939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v>1092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357319</v>
      </c>
      <c r="F29" s="111" t="s">
        <v>54</v>
      </c>
      <c r="G29" s="173"/>
      <c r="H29" s="133">
        <f>H15-H16-H17-H18-H19-H20-H22-H23-H24+H26+H27</f>
        <v>303847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103</v>
      </c>
      <c r="H34" s="155">
        <f>F34*G34</f>
        <v>103000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155">
        <f>F35*G35</f>
        <v>4500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55">
        <f t="shared" ref="H36:H39" si="2">F36*G36</f>
        <v>200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63</v>
      </c>
      <c r="H37" s="155">
        <f t="shared" si="2"/>
        <v>6300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1</v>
      </c>
      <c r="H38" s="155">
        <f t="shared" si="2"/>
        <v>50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>
        <v>8</v>
      </c>
      <c r="D42" s="12">
        <f>C42*2.25</f>
        <v>18</v>
      </c>
      <c r="F42" s="39" t="s">
        <v>78</v>
      </c>
      <c r="G42" s="155">
        <v>20</v>
      </c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>
        <v>5</v>
      </c>
      <c r="D44" s="12">
        <f>C44*120</f>
        <v>600</v>
      </c>
      <c r="F44" s="37" t="s">
        <v>167</v>
      </c>
      <c r="G44" s="75" t="s">
        <v>168</v>
      </c>
      <c r="H44" s="150">
        <v>69159</v>
      </c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>
        <v>1</v>
      </c>
      <c r="D45" s="12">
        <f>C45*84</f>
        <v>84</v>
      </c>
      <c r="F45" s="37" t="s">
        <v>132</v>
      </c>
      <c r="G45" s="75" t="s">
        <v>169</v>
      </c>
      <c r="H45" s="150">
        <v>119736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>
        <v>5</v>
      </c>
      <c r="D46" s="12">
        <f>C46*1.5</f>
        <v>7.5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302965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>
        <v>14</v>
      </c>
      <c r="D50" s="12">
        <f>C50*1.5</f>
        <v>21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137</v>
      </c>
      <c r="G51" s="244">
        <f>G49-H29</f>
        <v>-882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52380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7"/>
      <c r="G23" s="78"/>
      <c r="H23" s="181"/>
      <c r="I23" s="150"/>
      <c r="J23" s="15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79"/>
      <c r="H27" s="188"/>
      <c r="I27" s="189"/>
      <c r="J27" s="19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/>
      <c r="I34" s="156"/>
      <c r="J34" s="15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106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46179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99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117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108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6"/>
      <c r="G23" s="78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76"/>
      <c r="G24" s="78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74" t="s">
        <v>136</v>
      </c>
      <c r="G26" s="65">
        <v>10850</v>
      </c>
      <c r="H26" s="150">
        <v>62272</v>
      </c>
      <c r="I26" s="150"/>
      <c r="J26" s="15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71"/>
      <c r="G27" s="99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H15-H16-H17-H18-H19-H20-H22-H23-H24+H26+H27+H28</f>
        <v>62272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155">
        <f t="shared" ref="H34:H39" si="2">F34*G34</f>
        <v>62000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55">
        <f t="shared" si="2"/>
        <v>200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55">
        <f t="shared" si="2"/>
        <v>50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>
        <v>22</v>
      </c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62272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46179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107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100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>
        <f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80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113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46179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115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109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121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>
        <f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113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7"/>
      <c r="G23" s="78"/>
      <c r="H23" s="181"/>
      <c r="I23" s="150"/>
      <c r="J23" s="15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79"/>
      <c r="H27" s="188"/>
      <c r="I27" s="189"/>
      <c r="J27" s="19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/>
      <c r="I34" s="156"/>
      <c r="J34" s="15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106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46181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99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117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108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6"/>
      <c r="G23" s="78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76"/>
      <c r="G24" s="78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74"/>
      <c r="G26" s="65"/>
      <c r="H26" s="150"/>
      <c r="I26" s="150"/>
      <c r="J26" s="15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71"/>
      <c r="G27" s="99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H15-H16-H17-H18-H19-H20-H22-H23-H24+H26+H27+H28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46181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457</v>
      </c>
      <c r="D6" s="13">
        <f t="shared" ref="D6:D28" si="1">C6*L6</f>
        <v>347777</v>
      </c>
      <c r="F6" s="218" t="s">
        <v>16</v>
      </c>
      <c r="G6" s="220" t="s">
        <v>107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4</v>
      </c>
      <c r="D7" s="13">
        <f t="shared" si="1"/>
        <v>3124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100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33</v>
      </c>
      <c r="D9" s="13">
        <f t="shared" si="1"/>
        <v>24189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15</v>
      </c>
      <c r="D13" s="48">
        <f t="shared" si="1"/>
        <v>4605</v>
      </c>
      <c r="F13" s="239" t="s">
        <v>36</v>
      </c>
      <c r="G13" s="203"/>
      <c r="H13" s="194">
        <f>D29</f>
        <v>379695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56268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323427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v>2832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379695</v>
      </c>
      <c r="F29" s="111" t="s">
        <v>54</v>
      </c>
      <c r="G29" s="173"/>
      <c r="H29" s="133">
        <f>H15-H16-H17-H18-H19-H20-H22-H23-H24+H26+H27</f>
        <v>320595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151</v>
      </c>
      <c r="H34" s="155">
        <f>F34*G34</f>
        <v>151000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>
        <v>334</v>
      </c>
      <c r="H35" s="155">
        <f>F35*G35</f>
        <v>167000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>
        <v>495</v>
      </c>
      <c r="D37" s="12">
        <f>C37*111</f>
        <v>54945</v>
      </c>
      <c r="F37" s="12">
        <v>100</v>
      </c>
      <c r="G37" s="39">
        <v>7</v>
      </c>
      <c r="H37" s="155">
        <f t="shared" si="2"/>
        <v>700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155">
        <f t="shared" si="2"/>
        <v>250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55">
        <f t="shared" si="2"/>
        <v>20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>
        <v>8</v>
      </c>
      <c r="D42" s="12">
        <f>C42*2.25</f>
        <v>18</v>
      </c>
      <c r="F42" s="39" t="s">
        <v>78</v>
      </c>
      <c r="G42" s="155">
        <v>76</v>
      </c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>
        <v>15</v>
      </c>
      <c r="D49" s="12">
        <f>C49*42</f>
        <v>630</v>
      </c>
      <c r="F49" s="131" t="s">
        <v>85</v>
      </c>
      <c r="G49" s="133">
        <f>H34+H35+H36+H37+H38+H39+H40+H41+G42+H44+H45+H46</f>
        <v>319046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80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158</v>
      </c>
      <c r="G51" s="244">
        <f>G49-H29</f>
        <v>-1549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56268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46181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416</v>
      </c>
      <c r="D6" s="13">
        <f t="shared" ref="D6:D28" si="1">C6*L6</f>
        <v>316576</v>
      </c>
      <c r="F6" s="218" t="s">
        <v>16</v>
      </c>
      <c r="G6" s="220" t="s">
        <v>99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10</v>
      </c>
      <c r="D7" s="13">
        <f t="shared" si="1"/>
        <v>7810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109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76</v>
      </c>
      <c r="D9" s="13">
        <f t="shared" si="1"/>
        <v>55708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121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>
        <v>1</v>
      </c>
      <c r="D11" s="13">
        <f t="shared" si="1"/>
        <v>1170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5</v>
      </c>
      <c r="D12" s="48">
        <f t="shared" si="1"/>
        <v>4960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10</v>
      </c>
      <c r="D13" s="48">
        <f t="shared" si="1"/>
        <v>3070</v>
      </c>
      <c r="F13" s="239" t="s">
        <v>36</v>
      </c>
      <c r="G13" s="203"/>
      <c r="H13" s="194">
        <f>D29</f>
        <v>389426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12</v>
      </c>
      <c r="D14" s="31">
        <f t="shared" si="1"/>
        <v>132</v>
      </c>
      <c r="F14" s="197" t="s">
        <v>38</v>
      </c>
      <c r="G14" s="198"/>
      <c r="H14" s="199">
        <f>D54</f>
        <v>56689.5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332736.5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v>2478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389426</v>
      </c>
      <c r="F29" s="111" t="s">
        <v>54</v>
      </c>
      <c r="G29" s="173"/>
      <c r="H29" s="133">
        <f>H15-H16-H17-H18-H19-H20-H22-H23-H24+H26+H27</f>
        <v>330258.5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122</v>
      </c>
      <c r="H34" s="155">
        <f>F34*G34</f>
        <v>122000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155">
        <f>F35*G35</f>
        <v>30000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>
        <v>10</v>
      </c>
      <c r="D36" s="12">
        <f>C36*1.5</f>
        <v>15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52</v>
      </c>
      <c r="H37" s="155">
        <f t="shared" si="2"/>
        <v>5200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18</v>
      </c>
      <c r="H38" s="155">
        <f t="shared" si="2"/>
        <v>900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>
        <v>22</v>
      </c>
      <c r="D42" s="12">
        <f>C42*2.25</f>
        <v>49.5</v>
      </c>
      <c r="F42" s="39" t="s">
        <v>78</v>
      </c>
      <c r="G42" s="155">
        <v>204</v>
      </c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>
        <v>3</v>
      </c>
      <c r="D44" s="12">
        <f>C44*120</f>
        <v>360</v>
      </c>
      <c r="F44" s="37" t="s">
        <v>132</v>
      </c>
      <c r="G44" s="62" t="s">
        <v>174</v>
      </c>
      <c r="H44" s="150">
        <v>164463</v>
      </c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>
        <v>1</v>
      </c>
      <c r="D45" s="12">
        <f>C45*84</f>
        <v>84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>
        <v>8</v>
      </c>
      <c r="D46" s="12">
        <f>C46*1.5</f>
        <v>12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>
        <v>5</v>
      </c>
      <c r="D49" s="12">
        <f>C49*42</f>
        <v>210</v>
      </c>
      <c r="F49" s="131" t="s">
        <v>85</v>
      </c>
      <c r="G49" s="133">
        <f>H34+H35+H36+H37+H38+H39+H40+H41+G42+H44+H45+H46</f>
        <v>322767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>
        <v>7</v>
      </c>
      <c r="D50" s="12">
        <f>C50*1.5</f>
        <v>10.5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158</v>
      </c>
      <c r="G51" s="244">
        <f>G49-H29</f>
        <v>-7491.5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56689.5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7"/>
      <c r="G23" s="78"/>
      <c r="H23" s="181"/>
      <c r="I23" s="150"/>
      <c r="J23" s="15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79"/>
      <c r="H27" s="188"/>
      <c r="I27" s="189"/>
      <c r="J27" s="19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/>
      <c r="I34" s="156"/>
      <c r="J34" s="15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106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46182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339</v>
      </c>
      <c r="D6" s="13">
        <f t="shared" ref="D6:D28" si="1">C6*L6</f>
        <v>257979</v>
      </c>
      <c r="F6" s="218" t="s">
        <v>16</v>
      </c>
      <c r="G6" s="220" t="s">
        <v>99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9</v>
      </c>
      <c r="D7" s="13">
        <f t="shared" si="1"/>
        <v>7029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117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20</v>
      </c>
      <c r="D9" s="13">
        <f t="shared" si="1"/>
        <v>14660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108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f>1+1</f>
        <v>2</v>
      </c>
      <c r="D12" s="48">
        <f t="shared" si="1"/>
        <v>1984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2</v>
      </c>
      <c r="D13" s="48">
        <f t="shared" si="1"/>
        <v>614</v>
      </c>
      <c r="F13" s="239" t="s">
        <v>36</v>
      </c>
      <c r="G13" s="203"/>
      <c r="H13" s="194">
        <f>D29</f>
        <v>284998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12</v>
      </c>
      <c r="D14" s="31">
        <f t="shared" si="1"/>
        <v>132</v>
      </c>
      <c r="F14" s="197" t="s">
        <v>38</v>
      </c>
      <c r="G14" s="198"/>
      <c r="H14" s="199">
        <f>D54</f>
        <v>35218.5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249779.5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6"/>
      <c r="G23" s="78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76"/>
      <c r="G24" s="78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74"/>
      <c r="G26" s="65"/>
      <c r="H26" s="150"/>
      <c r="I26" s="150"/>
      <c r="J26" s="15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71"/>
      <c r="G27" s="99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284998</v>
      </c>
      <c r="F29" s="111" t="s">
        <v>54</v>
      </c>
      <c r="G29" s="173"/>
      <c r="H29" s="133">
        <f>H15-H16-H17-H18-H19-H20-H22-H23-H24+H26+H27+H28</f>
        <v>249779.5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129</v>
      </c>
      <c r="H34" s="155">
        <f t="shared" ref="H34:H39" si="2">F34*G34</f>
        <v>129000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155">
        <f t="shared" si="2"/>
        <v>36500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>
        <v>300</v>
      </c>
      <c r="D37" s="12">
        <f>C37*111</f>
        <v>33300</v>
      </c>
      <c r="F37" s="12">
        <v>100</v>
      </c>
      <c r="G37" s="39">
        <v>36</v>
      </c>
      <c r="H37" s="155">
        <f t="shared" si="2"/>
        <v>3600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18</v>
      </c>
      <c r="H38" s="155">
        <f t="shared" si="2"/>
        <v>900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55">
        <f t="shared" si="2"/>
        <v>20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>
        <v>58</v>
      </c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>
        <v>2</v>
      </c>
      <c r="D44" s="12">
        <f>C44*120</f>
        <v>240</v>
      </c>
      <c r="F44" s="37" t="s">
        <v>155</v>
      </c>
      <c r="G44" s="109" t="s">
        <v>156</v>
      </c>
      <c r="H44" s="150">
        <v>67000</v>
      </c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 t="s">
        <v>140</v>
      </c>
      <c r="G45" s="62"/>
      <c r="H45" s="150">
        <v>12350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>
        <v>2</v>
      </c>
      <c r="D49" s="12">
        <f>C49*42</f>
        <v>84</v>
      </c>
      <c r="F49" s="131" t="s">
        <v>85</v>
      </c>
      <c r="G49" s="133">
        <f>H34+H35+H36+H37+H38+H39+H40+H41+G42+H44+H45+H46</f>
        <v>249428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>
        <v>21</v>
      </c>
      <c r="D50" s="12">
        <f>C50*1.5</f>
        <v>31.5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158</v>
      </c>
      <c r="G51" s="244">
        <f>G49-H29</f>
        <v>-351.5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35218.5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topLeftCell="A25" zoomScaleNormal="100" zoomScaleSheetLayoutView="85" workbookViewId="0">
      <selection activeCell="M57" sqref="M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46182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323</v>
      </c>
      <c r="D6" s="13">
        <f t="shared" ref="D6:D28" si="1">C6*L6</f>
        <v>245803</v>
      </c>
      <c r="F6" s="218" t="s">
        <v>16</v>
      </c>
      <c r="G6" s="220" t="s">
        <v>107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3</v>
      </c>
      <c r="D7" s="13">
        <f t="shared" si="1"/>
        <v>2343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100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50</v>
      </c>
      <c r="D9" s="13">
        <f t="shared" si="1"/>
        <v>36650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5</v>
      </c>
      <c r="D10" s="13">
        <f t="shared" si="1"/>
        <v>5160</v>
      </c>
      <c r="F10" s="218" t="s">
        <v>26</v>
      </c>
      <c r="G10" s="233" t="s">
        <v>101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1</v>
      </c>
      <c r="D12" s="48">
        <f t="shared" si="1"/>
        <v>992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12</v>
      </c>
      <c r="D13" s="48">
        <f t="shared" si="1"/>
        <v>3684</v>
      </c>
      <c r="F13" s="239" t="s">
        <v>36</v>
      </c>
      <c r="G13" s="203"/>
      <c r="H13" s="194">
        <f>D29</f>
        <v>296582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46258.5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250323.5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64">
        <v>2070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296582</v>
      </c>
      <c r="F29" s="111" t="s">
        <v>54</v>
      </c>
      <c r="G29" s="173"/>
      <c r="H29" s="133">
        <f>H15-H16-H17-H18-H19-H20-H22-H23-H24+H26+H27</f>
        <v>248253.5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3">
        <v>18</v>
      </c>
      <c r="H34" s="155">
        <f>F34*G34</f>
        <v>18000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55">
        <f>F35*G35</f>
        <v>5000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>
        <v>386</v>
      </c>
      <c r="D37" s="12">
        <f>C37*111</f>
        <v>42846</v>
      </c>
      <c r="F37" s="12">
        <v>100</v>
      </c>
      <c r="G37" s="39">
        <v>1</v>
      </c>
      <c r="H37" s="155">
        <f t="shared" si="2"/>
        <v>100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>
        <v>20</v>
      </c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175</v>
      </c>
      <c r="H44" s="150">
        <v>224866</v>
      </c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>
        <v>1</v>
      </c>
      <c r="D45" s="12">
        <f>C45*84</f>
        <v>84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>
        <v>1</v>
      </c>
      <c r="D49" s="12">
        <f>C49*42</f>
        <v>42</v>
      </c>
      <c r="F49" s="131" t="s">
        <v>85</v>
      </c>
      <c r="G49" s="133">
        <f>H34+H35+H36+H37+H38+H39+H40+H41+G42+H44+H45+H46</f>
        <v>247986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80">
        <v>1</v>
      </c>
      <c r="D50" s="12">
        <f>C50*1.5</f>
        <v>1.5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158</v>
      </c>
      <c r="G51" s="244">
        <f>G49-H29</f>
        <v>-267.5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46258.5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topLeftCell="A34" zoomScaleNormal="100" zoomScaleSheetLayoutView="85" workbookViewId="0">
      <selection activeCell="L64" sqref="L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46182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490</v>
      </c>
      <c r="D6" s="13">
        <f t="shared" ref="D6:D28" si="1">C6*L6</f>
        <v>372890</v>
      </c>
      <c r="F6" s="218" t="s">
        <v>16</v>
      </c>
      <c r="G6" s="220" t="s">
        <v>142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27</v>
      </c>
      <c r="D7" s="13">
        <f t="shared" si="1"/>
        <v>21087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>
        <v>1</v>
      </c>
      <c r="D8" s="13">
        <f t="shared" si="1"/>
        <v>1093</v>
      </c>
      <c r="F8" s="226" t="s">
        <v>21</v>
      </c>
      <c r="G8" s="227" t="s">
        <v>109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108</v>
      </c>
      <c r="D9" s="13">
        <f t="shared" si="1"/>
        <v>79164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5</v>
      </c>
      <c r="D10" s="13">
        <f t="shared" si="1"/>
        <v>5160</v>
      </c>
      <c r="F10" s="218" t="s">
        <v>26</v>
      </c>
      <c r="G10" s="233" t="s">
        <v>121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f>7+2</f>
        <v>9</v>
      </c>
      <c r="D12" s="48">
        <f t="shared" si="1"/>
        <v>8928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19</v>
      </c>
      <c r="D13" s="48">
        <f t="shared" si="1"/>
        <v>5833</v>
      </c>
      <c r="F13" s="239" t="s">
        <v>36</v>
      </c>
      <c r="G13" s="203"/>
      <c r="H13" s="194">
        <f>D29</f>
        <v>494155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67279.5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426875.5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v>3288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494155</v>
      </c>
      <c r="F29" s="111" t="s">
        <v>54</v>
      </c>
      <c r="G29" s="173"/>
      <c r="H29" s="133">
        <f>H15-H16-H17-H18-H19-H20-H22-H23-H24+H26+H27</f>
        <v>423587.5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30</v>
      </c>
      <c r="H34" s="155">
        <f>F34*G34</f>
        <v>30000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55">
        <f>F35*G35</f>
        <v>29500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>
        <v>562</v>
      </c>
      <c r="D37" s="12">
        <f>C37*111</f>
        <v>62382</v>
      </c>
      <c r="F37" s="12">
        <v>100</v>
      </c>
      <c r="G37" s="39">
        <v>8</v>
      </c>
      <c r="H37" s="155">
        <f t="shared" si="2"/>
        <v>800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55">
        <f t="shared" si="2"/>
        <v>150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55">
        <f t="shared" si="2"/>
        <v>20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>
        <v>8</v>
      </c>
      <c r="D42" s="12">
        <f>C42*2.25</f>
        <v>18</v>
      </c>
      <c r="F42" s="39" t="s">
        <v>78</v>
      </c>
      <c r="G42" s="155">
        <v>42</v>
      </c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>
        <v>7</v>
      </c>
      <c r="D44" s="12">
        <f>C44*120</f>
        <v>840</v>
      </c>
      <c r="F44" s="37" t="s">
        <v>155</v>
      </c>
      <c r="G44" s="75" t="s">
        <v>176</v>
      </c>
      <c r="H44" s="150">
        <v>129945</v>
      </c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>
        <v>4</v>
      </c>
      <c r="D45" s="12">
        <f>C45*84</f>
        <v>336</v>
      </c>
      <c r="F45" s="37" t="s">
        <v>155</v>
      </c>
      <c r="G45" s="75" t="s">
        <v>177</v>
      </c>
      <c r="H45" s="150">
        <v>233114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>
        <v>4</v>
      </c>
      <c r="D46" s="12">
        <f>C46*1.5</f>
        <v>6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>
        <v>5</v>
      </c>
      <c r="D49" s="12">
        <f>C49*42</f>
        <v>210</v>
      </c>
      <c r="F49" s="131" t="s">
        <v>85</v>
      </c>
      <c r="G49" s="133">
        <f>H34+H35+H36+H37+H38+H39+H40+H41+G42+H44+H45+H46</f>
        <v>423571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>
        <v>22</v>
      </c>
      <c r="D50" s="12">
        <f>C50*1.5</f>
        <v>33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158</v>
      </c>
      <c r="G51" s="244">
        <f>G49-H29</f>
        <v>-16.5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67279.5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7"/>
      <c r="G23" s="78"/>
      <c r="H23" s="181"/>
      <c r="I23" s="150"/>
      <c r="J23" s="15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79"/>
      <c r="H27" s="188"/>
      <c r="I27" s="189"/>
      <c r="J27" s="19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/>
      <c r="I34" s="156"/>
      <c r="J34" s="15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106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46183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312</v>
      </c>
      <c r="D6" s="13">
        <f t="shared" ref="D6:D28" si="1">C6*L6</f>
        <v>237432</v>
      </c>
      <c r="F6" s="218" t="s">
        <v>16</v>
      </c>
      <c r="G6" s="220" t="s">
        <v>99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8</v>
      </c>
      <c r="D7" s="13">
        <f t="shared" si="1"/>
        <v>6248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117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15</v>
      </c>
      <c r="D9" s="13">
        <f t="shared" si="1"/>
        <v>10995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108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1</v>
      </c>
      <c r="D12" s="48">
        <f t="shared" si="1"/>
        <v>992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262429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37573.5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>
        <v>2</v>
      </c>
      <c r="D15" s="31">
        <f t="shared" si="1"/>
        <v>1240</v>
      </c>
      <c r="F15" s="202" t="s">
        <v>39</v>
      </c>
      <c r="G15" s="203"/>
      <c r="H15" s="204">
        <f>H13-H14</f>
        <v>224855.5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>
        <f>2+4</f>
        <v>6</v>
      </c>
      <c r="D16" s="48">
        <f t="shared" si="1"/>
        <v>3900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6"/>
      <c r="G23" s="78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76"/>
      <c r="G24" s="78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74"/>
      <c r="G26" s="65"/>
      <c r="H26" s="150"/>
      <c r="I26" s="150"/>
      <c r="J26" s="15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71"/>
      <c r="G27" s="99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>
        <v>2</v>
      </c>
      <c r="D28" s="48">
        <f t="shared" si="1"/>
        <v>1622</v>
      </c>
      <c r="F28" s="101"/>
      <c r="G28" s="61"/>
      <c r="H28" s="191"/>
      <c r="I28" s="192"/>
      <c r="J28" s="193"/>
      <c r="L28" s="47"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262429</v>
      </c>
      <c r="F29" s="111" t="s">
        <v>54</v>
      </c>
      <c r="G29" s="173"/>
      <c r="H29" s="133">
        <f>H15-H16-H17-H18-H19-H20-H22-H23-H24+H26+H27+H28</f>
        <v>224855.5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54</v>
      </c>
      <c r="H34" s="155">
        <f t="shared" ref="H34:H39" si="2">F34*G34</f>
        <v>54000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155">
        <f t="shared" si="2"/>
        <v>7000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55">
        <f t="shared" si="2"/>
        <v>200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18</v>
      </c>
      <c r="H37" s="155">
        <f t="shared" si="2"/>
        <v>1800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</v>
      </c>
      <c r="H38" s="155">
        <f t="shared" si="2"/>
        <v>100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55">
        <f t="shared" si="2"/>
        <v>20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>
        <v>4</v>
      </c>
      <c r="D42" s="12">
        <f>C42*2.25</f>
        <v>9</v>
      </c>
      <c r="F42" s="39" t="s">
        <v>78</v>
      </c>
      <c r="G42" s="155">
        <v>60</v>
      </c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>
        <v>2</v>
      </c>
      <c r="D44" s="12">
        <f>C44*120</f>
        <v>240</v>
      </c>
      <c r="F44" s="37" t="s">
        <v>140</v>
      </c>
      <c r="G44" s="62"/>
      <c r="H44" s="150">
        <v>11360</v>
      </c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>
        <v>1</v>
      </c>
      <c r="D45" s="12">
        <f>C45*84</f>
        <v>84</v>
      </c>
      <c r="F45" s="37" t="s">
        <v>165</v>
      </c>
      <c r="G45" s="110" t="s">
        <v>182</v>
      </c>
      <c r="H45" s="150">
        <v>150130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10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33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8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11"/>
      <c r="D49" s="12">
        <f>C49*42</f>
        <v>0</v>
      </c>
      <c r="F49" s="131" t="s">
        <v>85</v>
      </c>
      <c r="G49" s="133">
        <f>H34+H35+H36+H37+H38+H39+H40+H41+G42+H44+H45+H46</f>
        <v>224670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138</v>
      </c>
      <c r="G51" s="244">
        <f>G49-H29</f>
        <v>-185.5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37573.5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46183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107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100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>
        <f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80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113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46183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338</v>
      </c>
      <c r="D6" s="13">
        <f t="shared" ref="D6:D28" si="1">C6*L6</f>
        <v>257218</v>
      </c>
      <c r="F6" s="218" t="s">
        <v>16</v>
      </c>
      <c r="G6" s="220" t="s">
        <v>142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1</v>
      </c>
      <c r="D7" s="13">
        <f t="shared" si="1"/>
        <v>781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109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14</v>
      </c>
      <c r="D9" s="13">
        <f t="shared" si="1"/>
        <v>10262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121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5</v>
      </c>
      <c r="D12" s="48">
        <f t="shared" si="1"/>
        <v>4960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10</v>
      </c>
      <c r="D13" s="48">
        <f t="shared" si="1"/>
        <v>3070</v>
      </c>
      <c r="F13" s="239" t="s">
        <v>36</v>
      </c>
      <c r="G13" s="203"/>
      <c r="H13" s="194">
        <f>D29</f>
        <v>297741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41929.5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255811.5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>
        <f>17+16</f>
        <v>33</v>
      </c>
      <c r="D16" s="48">
        <f t="shared" si="1"/>
        <v>21450</v>
      </c>
      <c r="F16" s="67" t="s">
        <v>41</v>
      </c>
      <c r="G16" s="66" t="s">
        <v>42</v>
      </c>
      <c r="H16" s="164">
        <v>1296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297741</v>
      </c>
      <c r="F29" s="111" t="s">
        <v>54</v>
      </c>
      <c r="G29" s="173"/>
      <c r="H29" s="133">
        <f>H15-H16-H17-H18-H19-H20-H22-H23-H24+H26+H27</f>
        <v>254515.5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107</v>
      </c>
      <c r="H34" s="155">
        <f>F34*G34</f>
        <v>107000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>
        <v>12</v>
      </c>
      <c r="H35" s="155">
        <f>F35*G35</f>
        <v>6000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>
        <v>343</v>
      </c>
      <c r="D37" s="12">
        <f>C37*111</f>
        <v>38073</v>
      </c>
      <c r="F37" s="12">
        <v>100</v>
      </c>
      <c r="G37" s="39">
        <v>1</v>
      </c>
      <c r="H37" s="155">
        <f t="shared" si="2"/>
        <v>100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1</v>
      </c>
      <c r="H38" s="155">
        <f t="shared" si="2"/>
        <v>50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 t="s">
        <v>155</v>
      </c>
      <c r="G44" s="75" t="s">
        <v>179</v>
      </c>
      <c r="H44" s="150">
        <v>140790</v>
      </c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>
        <v>3</v>
      </c>
      <c r="D45" s="12">
        <f>C45*84</f>
        <v>252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>
        <v>13</v>
      </c>
      <c r="D46" s="12">
        <f>C46*1.5</f>
        <v>19.5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>
        <v>8</v>
      </c>
      <c r="D49" s="12">
        <f>C49*42</f>
        <v>336</v>
      </c>
      <c r="F49" s="131" t="s">
        <v>85</v>
      </c>
      <c r="G49" s="133">
        <f>H34+H35+H36+H37+H38+H39+H40+H41+G42+H44+H45+H46</f>
        <v>253940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>
        <v>22</v>
      </c>
      <c r="D50" s="12">
        <f>C50*1.5</f>
        <v>33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180</v>
      </c>
      <c r="G51" s="244">
        <f>G49-H29</f>
        <v>-575.5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41929.5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181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7"/>
      <c r="G23" s="78"/>
      <c r="H23" s="181"/>
      <c r="I23" s="150"/>
      <c r="J23" s="15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79"/>
      <c r="H27" s="188"/>
      <c r="I27" s="189"/>
      <c r="J27" s="19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4"/>
      <c r="G28" s="61"/>
      <c r="H28" s="191"/>
      <c r="I28" s="192"/>
      <c r="J28" s="19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/>
      <c r="I34" s="156"/>
      <c r="J34" s="15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106" t="s">
        <v>82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106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46184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99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117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108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6"/>
      <c r="G23" s="78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76"/>
      <c r="G24" s="78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74"/>
      <c r="G26" s="65"/>
      <c r="H26" s="150"/>
      <c r="I26" s="150"/>
      <c r="J26" s="15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71"/>
      <c r="G27" s="106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4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H15-H16-H17-H18-H19-H20-H22-H23-H24+H26+H27+H28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106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46184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265</v>
      </c>
      <c r="D6" s="13">
        <f t="shared" ref="D6:D28" si="1">C6*L6</f>
        <v>201665</v>
      </c>
      <c r="F6" s="218" t="s">
        <v>16</v>
      </c>
      <c r="G6" s="220" t="s">
        <v>107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100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108</v>
      </c>
      <c r="D9" s="13">
        <f t="shared" si="1"/>
        <v>79164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15</v>
      </c>
      <c r="D13" s="48">
        <f t="shared" si="1"/>
        <v>4605</v>
      </c>
      <c r="F13" s="239" t="s">
        <v>36</v>
      </c>
      <c r="G13" s="203"/>
      <c r="H13" s="194">
        <f>D29</f>
        <v>286866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12</v>
      </c>
      <c r="D14" s="31">
        <f t="shared" si="1"/>
        <v>132</v>
      </c>
      <c r="F14" s="197" t="s">
        <v>38</v>
      </c>
      <c r="G14" s="198"/>
      <c r="H14" s="199">
        <f>D54</f>
        <v>41175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245691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64">
        <v>1932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4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286866</v>
      </c>
      <c r="F29" s="111" t="s">
        <v>54</v>
      </c>
      <c r="G29" s="173"/>
      <c r="H29" s="133">
        <f>H15-H16-H17-H18-H19-H20-H22-H23-H24+H26+H27</f>
        <v>243759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155">
        <f>F34*G34</f>
        <v>138000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155">
        <f>F35*G35</f>
        <v>105500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>
        <v>33</v>
      </c>
      <c r="D38" s="12">
        <f>C38*84</f>
        <v>2772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106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>
        <v>9</v>
      </c>
      <c r="D49" s="12">
        <f>C49*42</f>
        <v>378</v>
      </c>
      <c r="F49" s="131" t="s">
        <v>85</v>
      </c>
      <c r="G49" s="133">
        <f>H34+H35+H36+H37+H38+H39+H40+H41+G42+H44+H45+H46</f>
        <v>243500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80">
        <v>3</v>
      </c>
      <c r="D50" s="12">
        <f>C50*1.5</f>
        <v>4.5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158</v>
      </c>
      <c r="G51" s="244">
        <f>G49-H29</f>
        <v>-259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41175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topLeftCell="A34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46184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269</v>
      </c>
      <c r="D6" s="13">
        <f t="shared" ref="D6:D28" si="1">C6*L6</f>
        <v>204709</v>
      </c>
      <c r="F6" s="218" t="s">
        <v>16</v>
      </c>
      <c r="G6" s="220" t="s">
        <v>99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11</v>
      </c>
      <c r="D7" s="13">
        <f t="shared" si="1"/>
        <v>8591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>
        <v>26</v>
      </c>
      <c r="D8" s="13">
        <f t="shared" si="1"/>
        <v>28418</v>
      </c>
      <c r="F8" s="226" t="s">
        <v>21</v>
      </c>
      <c r="G8" s="227" t="s">
        <v>109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53</v>
      </c>
      <c r="D9" s="13">
        <f t="shared" si="1"/>
        <v>38849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121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>
        <v>5</v>
      </c>
      <c r="D11" s="13">
        <f t="shared" si="1"/>
        <v>5850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2</v>
      </c>
      <c r="D12" s="48">
        <f t="shared" si="1"/>
        <v>1984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2</v>
      </c>
      <c r="D13" s="48">
        <f t="shared" si="1"/>
        <v>614</v>
      </c>
      <c r="F13" s="239" t="s">
        <v>36</v>
      </c>
      <c r="G13" s="203"/>
      <c r="H13" s="194">
        <f>D29</f>
        <v>291580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12</v>
      </c>
      <c r="D14" s="31">
        <f t="shared" si="1"/>
        <v>132</v>
      </c>
      <c r="F14" s="197" t="s">
        <v>38</v>
      </c>
      <c r="G14" s="198"/>
      <c r="H14" s="199">
        <f>D54</f>
        <v>43789.5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247790.5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v>1242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>
        <v>50</v>
      </c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 t="s">
        <v>136</v>
      </c>
      <c r="G22" s="72">
        <v>10938</v>
      </c>
      <c r="H22" s="180">
        <v>35098</v>
      </c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>
        <v>3</v>
      </c>
      <c r="D28" s="48">
        <f t="shared" si="1"/>
        <v>2433</v>
      </c>
      <c r="F28" s="104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291580</v>
      </c>
      <c r="F29" s="111" t="s">
        <v>54</v>
      </c>
      <c r="G29" s="173"/>
      <c r="H29" s="133">
        <f>H15-H16-H17-H18-H19-H20-H22-H23-H24+H26+H27</f>
        <v>211400.5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83</v>
      </c>
      <c r="H34" s="155">
        <f>F34*G34</f>
        <v>83000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55">
        <f>F35*G35</f>
        <v>20000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2</v>
      </c>
      <c r="H38" s="155">
        <f t="shared" si="2"/>
        <v>100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>
        <v>2</v>
      </c>
      <c r="D42" s="12">
        <f>C42*2.25</f>
        <v>4.5</v>
      </c>
      <c r="F42" s="39" t="s">
        <v>78</v>
      </c>
      <c r="G42" s="155">
        <v>26</v>
      </c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106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>
        <v>33</v>
      </c>
      <c r="D44" s="12">
        <f>C44*120</f>
        <v>3960</v>
      </c>
      <c r="F44" s="37" t="s">
        <v>132</v>
      </c>
      <c r="G44" s="62" t="s">
        <v>183</v>
      </c>
      <c r="H44" s="150">
        <v>97440</v>
      </c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 t="s">
        <v>140</v>
      </c>
      <c r="G45" s="75"/>
      <c r="H45" s="150">
        <v>17976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>
        <v>15</v>
      </c>
      <c r="D46" s="12">
        <f>C46*1.5</f>
        <v>22.5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218542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>
        <v>16</v>
      </c>
      <c r="D50" s="12">
        <f>C50*1.5</f>
        <v>24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113</v>
      </c>
      <c r="G51" s="141">
        <f>G49-H29</f>
        <v>7141.5</v>
      </c>
      <c r="H51" s="142"/>
      <c r="I51" s="142"/>
      <c r="J51" s="1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43789.5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7"/>
      <c r="G23" s="78"/>
      <c r="H23" s="181"/>
      <c r="I23" s="150"/>
      <c r="J23" s="15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79"/>
      <c r="H27" s="188"/>
      <c r="I27" s="189"/>
      <c r="J27" s="19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4"/>
      <c r="G28" s="61"/>
      <c r="H28" s="191"/>
      <c r="I28" s="192"/>
      <c r="J28" s="19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/>
      <c r="I34" s="156"/>
      <c r="J34" s="15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106" t="s">
        <v>82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106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46185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99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117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108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6"/>
      <c r="G23" s="78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76"/>
      <c r="G24" s="78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74"/>
      <c r="G26" s="65"/>
      <c r="H26" s="150"/>
      <c r="I26" s="150"/>
      <c r="J26" s="15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71"/>
      <c r="G27" s="106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4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H15-H16-H17-H18-H19-H20-H22-H23-H24+H26+H27+H28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106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46185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107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100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4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>
        <f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106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80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113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N28" sqref="N2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46185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115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109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121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4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>
        <f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106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113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7"/>
      <c r="G23" s="78"/>
      <c r="H23" s="181"/>
      <c r="I23" s="150"/>
      <c r="J23" s="15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79"/>
      <c r="H27" s="188"/>
      <c r="I27" s="189"/>
      <c r="J27" s="19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4"/>
      <c r="G28" s="61"/>
      <c r="H28" s="191"/>
      <c r="I28" s="192"/>
      <c r="J28" s="19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/>
      <c r="I34" s="156"/>
      <c r="J34" s="15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106" t="s">
        <v>82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106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46186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99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117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108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6"/>
      <c r="G23" s="78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76"/>
      <c r="G24" s="78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74"/>
      <c r="G26" s="65"/>
      <c r="H26" s="150"/>
      <c r="I26" s="150"/>
      <c r="J26" s="15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71"/>
      <c r="G27" s="106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4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H15-H16-H17-H18-H19-H20-H22-H23-H24+H26+H27+H28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106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46185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107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100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4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>
        <f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106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80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113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46185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115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109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121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4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>
        <f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106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113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7"/>
      <c r="G23" s="78"/>
      <c r="H23" s="181"/>
      <c r="I23" s="150"/>
      <c r="J23" s="15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79"/>
      <c r="H27" s="188"/>
      <c r="I27" s="189"/>
      <c r="J27" s="19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4"/>
      <c r="G28" s="61"/>
      <c r="H28" s="191"/>
      <c r="I28" s="192"/>
      <c r="J28" s="19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/>
      <c r="I34" s="156"/>
      <c r="J34" s="15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106" t="s">
        <v>82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106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46188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99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117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108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6"/>
      <c r="G23" s="78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76"/>
      <c r="G24" s="78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74"/>
      <c r="G26" s="65"/>
      <c r="H26" s="150"/>
      <c r="I26" s="150"/>
      <c r="J26" s="15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71"/>
      <c r="G27" s="106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4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H15-H16-H17-H18-H19-H20-H22-H23-H24+H26+H27+H28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106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topLeftCell="A31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46188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107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100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4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>
        <f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106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80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113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46188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115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109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121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4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>
        <f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106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113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NO TRIP </vt:lpstr>
      <vt:lpstr>06,03 R3 NO TRIP</vt:lpstr>
      <vt:lpstr>(4)</vt:lpstr>
      <vt:lpstr>06,04 R1 </vt:lpstr>
      <vt:lpstr>06,04 R2 </vt:lpstr>
      <vt:lpstr>06,04 R3  </vt:lpstr>
      <vt:lpstr>(5)</vt:lpstr>
      <vt:lpstr>06,05 R1 NO TRIP</vt:lpstr>
      <vt:lpstr>06,05 R2 </vt:lpstr>
      <vt:lpstr>06,05 R3  </vt:lpstr>
      <vt:lpstr>(6)</vt:lpstr>
      <vt:lpstr>06,06 R1 COLLECTION</vt:lpstr>
      <vt:lpstr>06,06 R2 NO TRIP</vt:lpstr>
      <vt:lpstr>06,06 R3 NO TRIP </vt:lpstr>
      <vt:lpstr>(8)</vt:lpstr>
      <vt:lpstr>06,08 R1 NO TRIP</vt:lpstr>
      <vt:lpstr>06,08 R2</vt:lpstr>
      <vt:lpstr>06,08 R3</vt:lpstr>
      <vt:lpstr>(9)</vt:lpstr>
      <vt:lpstr>06,09 R1</vt:lpstr>
      <vt:lpstr>06,09 R2 </vt:lpstr>
      <vt:lpstr>06,09 R3 </vt:lpstr>
      <vt:lpstr>(10)</vt:lpstr>
      <vt:lpstr>06,10 R1 </vt:lpstr>
      <vt:lpstr>06,10 R2 NO TRIP  </vt:lpstr>
      <vt:lpstr>06,10 R3 </vt:lpstr>
      <vt:lpstr>(11)</vt:lpstr>
      <vt:lpstr>06,11 R1 NO TRIP</vt:lpstr>
      <vt:lpstr>06,11 R2 </vt:lpstr>
      <vt:lpstr>06,11 R3</vt:lpstr>
      <vt:lpstr>(12)</vt:lpstr>
      <vt:lpstr>06,12 R1  </vt:lpstr>
      <vt:lpstr>06,12 R2  </vt:lpstr>
      <vt:lpstr>06,12 R3 </vt:lpstr>
      <vt:lpstr>(13)</vt:lpstr>
      <vt:lpstr>06,13 R1 </vt:lpstr>
      <vt:lpstr>06,13 R2 </vt:lpstr>
      <vt:lpstr>06,13 R3 </vt:lpstr>
      <vt:lpstr>(15)</vt:lpstr>
      <vt:lpstr>06,15 R1</vt:lpstr>
      <vt:lpstr>06,15 R2</vt:lpstr>
      <vt:lpstr>06,15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NO TRIP '!Print_Area</vt:lpstr>
      <vt:lpstr>'06,03 R3 NO TRIP'!Print_Area</vt:lpstr>
      <vt:lpstr>'06,04 R1 '!Print_Area</vt:lpstr>
      <vt:lpstr>'06,04 R2 '!Print_Area</vt:lpstr>
      <vt:lpstr>'06,04 R3  '!Print_Area</vt:lpstr>
      <vt:lpstr>'06,05 R1 NO TRIP'!Print_Area</vt:lpstr>
      <vt:lpstr>'06,05 R2 '!Print_Area</vt:lpstr>
      <vt:lpstr>'06,05 R3  '!Print_Area</vt:lpstr>
      <vt:lpstr>'06,06 R1 COLLECTION'!Print_Area</vt:lpstr>
      <vt:lpstr>'06,06 R2 NO TRIP'!Print_Area</vt:lpstr>
      <vt:lpstr>'06,06 R3 NO TRIP '!Print_Area</vt:lpstr>
      <vt:lpstr>'06,08 R1 NO TRIP'!Print_Area</vt:lpstr>
      <vt:lpstr>'06,08 R2'!Print_Area</vt:lpstr>
      <vt:lpstr>'06,08 R3'!Print_Area</vt:lpstr>
      <vt:lpstr>'06,09 R1'!Print_Area</vt:lpstr>
      <vt:lpstr>'06,09 R2 '!Print_Area</vt:lpstr>
      <vt:lpstr>'06,09 R3 '!Print_Area</vt:lpstr>
      <vt:lpstr>'06,10 R1 '!Print_Area</vt:lpstr>
      <vt:lpstr>'06,10 R2 NO TRIP  '!Print_Area</vt:lpstr>
      <vt:lpstr>'06,10 R3 '!Print_Area</vt:lpstr>
      <vt:lpstr>'06,11 R1 NO TRIP'!Print_Area</vt:lpstr>
      <vt:lpstr>'06,11 R2 '!Print_Area</vt:lpstr>
      <vt:lpstr>'06,11 R3'!Print_Area</vt:lpstr>
      <vt:lpstr>'06,12 R1  '!Print_Area</vt:lpstr>
      <vt:lpstr>'06,12 R2  '!Print_Area</vt:lpstr>
      <vt:lpstr>'06,12 R3 '!Print_Area</vt:lpstr>
      <vt:lpstr>'06,13 R1 '!Print_Area</vt:lpstr>
      <vt:lpstr>'06,13 R2 '!Print_Area</vt:lpstr>
      <vt:lpstr>'06,13 R3 '!Print_Area</vt:lpstr>
      <vt:lpstr>'06,15 R1'!Print_Area</vt:lpstr>
      <vt:lpstr>'06,15 R2'!Print_Area</vt:lpstr>
      <vt:lpstr>'06,15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2026-06-11T23:59:35Z</cp:lastPrinted>
  <dcterms:created xsi:type="dcterms:W3CDTF">2024-09-01T23:36:50Z</dcterms:created>
  <dcterms:modified xsi:type="dcterms:W3CDTF">2026-06-12T00:00:09Z</dcterms:modified>
</cp:coreProperties>
</file>