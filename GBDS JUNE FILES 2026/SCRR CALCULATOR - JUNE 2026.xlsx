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AE1A94E-18C6-4D58-8750-1441787919B8}" xr6:coauthVersionLast="45" xr6:coauthVersionMax="47" xr10:uidLastSave="{00000000-0000-0000-0000-000000000000}"/>
  <bookViews>
    <workbookView xWindow="-120" yWindow="-120" windowWidth="29040" windowHeight="15840" firstSheet="5" activeTab="6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" sheetId="2113" r:id="rId12"/>
    <sheet name="06,03 R3 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 " sheetId="2120" r:id="rId19"/>
    <sheet name="06,05 R2 " sheetId="2121" r:id="rId20"/>
    <sheet name="06,05 R3  " sheetId="2122" r:id="rId21"/>
    <sheet name="(6)" sheetId="2123" r:id="rId22"/>
    <sheet name="06,06 R1 " sheetId="2127" r:id="rId23"/>
    <sheet name="06,06 R2 " sheetId="2125" r:id="rId24"/>
    <sheet name="06,06 R3 " sheetId="2126" r:id="rId25"/>
    <sheet name="(8)" sheetId="2132" r:id="rId26"/>
    <sheet name="06,07 R1 (2)" sheetId="2133" r:id="rId27"/>
    <sheet name="06,07 R2  (2)" sheetId="2134" r:id="rId28"/>
    <sheet name="06,07 R3  (2)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'!$A$1:$J$60</definedName>
    <definedName name="_xlnm.Print_Area" localSheetId="12">'06,03 R3 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 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'!$A$1:$J$60</definedName>
    <definedName name="_xlnm.Print_Area" localSheetId="23">'06,06 R2 '!$A$1:$J$60</definedName>
    <definedName name="_xlnm.Print_Area" localSheetId="24">'06,06 R3 '!$A$1:$J$60</definedName>
    <definedName name="_xlnm.Print_Area" localSheetId="26">'06,07 R1 (2)'!$A$1:$J$60</definedName>
    <definedName name="_xlnm.Print_Area" localSheetId="27">'06,07 R2  (2)'!$A$1:$J$60</definedName>
    <definedName name="_xlnm.Print_Area" localSheetId="28">'06,07 R3  (2)'!$A$1:$J$60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G49" i="2139" s="1"/>
  <c r="D34" i="2139"/>
  <c r="D54" i="2139" s="1"/>
  <c r="H14" i="2139" s="1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D54" i="2138"/>
  <c r="H14" i="2138" s="1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D54" i="2137" s="1"/>
  <c r="H14" i="2137" s="1"/>
  <c r="R35" i="2137"/>
  <c r="L18" i="2137" s="1"/>
  <c r="D18" i="2137" s="1"/>
  <c r="H35" i="2137"/>
  <c r="D35" i="2137"/>
  <c r="R34" i="2137"/>
  <c r="H34" i="2137"/>
  <c r="G49" i="2137" s="1"/>
  <c r="D34" i="2137"/>
  <c r="R33" i="2137"/>
  <c r="R32" i="2137"/>
  <c r="R31" i="2137"/>
  <c r="R30" i="2137"/>
  <c r="R29" i="2137"/>
  <c r="R28" i="2137"/>
  <c r="L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G49" i="2135" s="1"/>
  <c r="D34" i="2135"/>
  <c r="D54" i="2135" s="1"/>
  <c r="H14" i="2135" s="1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G49" i="2134" s="1"/>
  <c r="D34" i="2134"/>
  <c r="D54" i="2134" s="1"/>
  <c r="H14" i="2134" s="1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G49" i="2131" s="1"/>
  <c r="D34" i="2131"/>
  <c r="D54" i="2131" s="1"/>
  <c r="H14" i="2131" s="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D54" i="2130" s="1"/>
  <c r="H14" i="2130" s="1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D29" i="2130" s="1"/>
  <c r="H13" i="2130" s="1"/>
  <c r="H15" i="2130" s="1"/>
  <c r="H29" i="2130" s="1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G49" i="2129" s="1"/>
  <c r="D34" i="2129"/>
  <c r="D54" i="2129" s="1"/>
  <c r="H14" i="2129" s="1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G49" i="2127" s="1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D54" i="2122"/>
  <c r="H14" i="2122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G49" i="2122" s="1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G49" i="2121" s="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D54" i="2121" s="1"/>
  <c r="H14" i="2121" s="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G49" i="2118" s="1"/>
  <c r="D34" i="2118"/>
  <c r="D54" i="2118" s="1"/>
  <c r="H14" i="2118" s="1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L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G49" i="2117" s="1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D54" i="2117" s="1"/>
  <c r="H14" i="2117" s="1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G49" i="2116" s="1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D54" i="2116" s="1"/>
  <c r="H14" i="2116" s="1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D29" i="2116" s="1"/>
  <c r="H13" i="2116" s="1"/>
  <c r="H15" i="2116" s="1"/>
  <c r="H29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D54" i="2112" s="1"/>
  <c r="H14" i="2112" s="1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D54" i="2110" l="1"/>
  <c r="H14" i="2110" s="1"/>
  <c r="G49" i="2110"/>
  <c r="G49" i="2109"/>
  <c r="D54" i="2109"/>
  <c r="H14" i="2109" s="1"/>
  <c r="G49" i="2108"/>
  <c r="D54" i="2108"/>
  <c r="H14" i="2108" s="1"/>
  <c r="D29" i="2139"/>
  <c r="H13" i="2139" s="1"/>
  <c r="H15" i="2139" s="1"/>
  <c r="H29" i="2139" s="1"/>
  <c r="G51" i="2139" s="1"/>
  <c r="D29" i="2138"/>
  <c r="H13" i="2138" s="1"/>
  <c r="H15" i="2138" s="1"/>
  <c r="H29" i="2138" s="1"/>
  <c r="G51" i="2138" s="1"/>
  <c r="D29" i="2137"/>
  <c r="H13" i="2137" s="1"/>
  <c r="H15" i="2137" s="1"/>
  <c r="H29" i="2137" s="1"/>
  <c r="G51" i="2137" s="1"/>
  <c r="D29" i="2135"/>
  <c r="H13" i="2135" s="1"/>
  <c r="H15" i="2135" s="1"/>
  <c r="H29" i="2135" s="1"/>
  <c r="G51" i="2135" s="1"/>
  <c r="D29" i="2134"/>
  <c r="H13" i="2134" s="1"/>
  <c r="H15" i="2134" s="1"/>
  <c r="H29" i="2134" s="1"/>
  <c r="G51" i="2134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H15" i="2131" s="1"/>
  <c r="H29" i="2131" s="1"/>
  <c r="G51" i="2131" s="1"/>
  <c r="G51" i="2130"/>
  <c r="D29" i="2129"/>
  <c r="H13" i="2129" s="1"/>
  <c r="H15" i="2129" s="1"/>
  <c r="H29" i="2129" s="1"/>
  <c r="G51" i="2129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G51" i="2116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10" l="1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<sst xmlns="http://schemas.openxmlformats.org/spreadsheetml/2006/main" count="6983" uniqueCount="155">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</sst>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20186-313F-4B0E-9DA9-9E1EB975F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6961A-11BA-43E0-9982-2DFCF7EB2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8B736-A340-4316-BF14-0267197AA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9F843-1848-4A49-A70F-2A43E187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6F9A6-3299-4370-92D5-2FD376932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9E0BB-2087-415E-99A6-15BFB688E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9C207-0E3E-42C1-A1FE-176F548F8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2B1D4-4EE7-408D-AFD9-FB0EBB987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5F853-DEA1-4FB6-81C5-E30733589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C98A8-E2D9-4EDB-A7B8-C1953DECB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4F6500-3FF9-4D6A-A7FE-FC89D5DFF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19628-CEFA-4756-A719-BEF3368F0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87B547-975A-481B-8D6E-F99003258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F0EE-A4EF-4C4D-B2CA-47B05BFAD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3E4E3C-8F01-4826-A6B4-98ECAD022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848ED-8DE9-47FF-BC89-3B9DC6566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89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87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46174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570</v>
      </c>
      <c r="D6" s="13">
        <f t="shared" ref="D6:D28" si="1">C6*L6</f>
        <v>433770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10</v>
      </c>
      <c r="D7" s="13">
        <f t="shared" si="1"/>
        <v>7810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99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13</v>
      </c>
      <c r="D9" s="13">
        <f t="shared" si="1"/>
        <v>9529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10</v>
      </c>
      <c r="D10" s="13">
        <f t="shared" si="1"/>
        <v>10320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10</v>
      </c>
      <c r="D12" s="48">
        <f t="shared" si="1"/>
        <v>9920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6</v>
      </c>
      <c r="D13" s="48">
        <f t="shared" si="1"/>
        <v>1842</v>
      </c>
      <c r="F13" s="237" t="s">
        <v>36</v>
      </c>
      <c r="G13" s="201"/>
      <c r="H13" s="192">
        <f>D29</f>
        <v>475222.5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54630.75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420591.75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>
        <v>2760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38"/>
      <c r="I23" s="239"/>
      <c r="J23" s="23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48">
        <v>68780</v>
      </c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4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475222.5</v>
      </c>
      <c r="F29" s="109" t="s">
        <v>54</v>
      </c>
      <c r="G29" s="171"/>
      <c r="H29" s="131">
        <f>H15-H16-H17-H18-H19-H20-H22-H23-H24+H26+H27+H28</f>
        <v>486611.75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53">
        <f t="shared" ref="H34:H39" si="2">F34*G34</f>
        <v>116000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53">
        <f t="shared" si="2"/>
        <v>4500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53">
        <f t="shared" si="2"/>
        <v>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3">
        <v>80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4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48">
        <v>317788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8">
        <v>13533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107" t="s">
        <v>135</v>
      </c>
      <c r="H46" s="148">
        <v>33800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26</v>
      </c>
      <c r="D49" s="12">
        <f>C49*42</f>
        <v>1092</v>
      </c>
      <c r="F49" s="129" t="s">
        <v>85</v>
      </c>
      <c r="G49" s="131">
        <f>H34+H35+H36+H37+H38+H39+H40+H41+G42+H44+H45+H46</f>
        <v>485901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19</v>
      </c>
      <c r="D50" s="12">
        <f>C50*1.5</f>
        <v>28.5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138</v>
      </c>
      <c r="G51" s="242">
        <f>G49-H29</f>
        <v>-710.75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22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46174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275</v>
      </c>
      <c r="D6" s="13">
        <f t="shared" ref="D6:D28" si="1">C6*L6</f>
        <v>209275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6</v>
      </c>
      <c r="D7" s="13">
        <f t="shared" si="1"/>
        <v>4686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40</v>
      </c>
      <c r="D9" s="13">
        <f t="shared" si="1"/>
        <v>29320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1</v>
      </c>
      <c r="D11" s="13">
        <f t="shared" si="1"/>
        <v>1170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3</v>
      </c>
      <c r="D13" s="48">
        <f t="shared" si="1"/>
        <v>921</v>
      </c>
      <c r="F13" s="237" t="s">
        <v>36</v>
      </c>
      <c r="G13" s="201"/>
      <c r="H13" s="192">
        <f>D29</f>
        <v>247146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36182.25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210963.75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2">
        <v>696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247146</v>
      </c>
      <c r="F29" s="109" t="s">
        <v>54</v>
      </c>
      <c r="G29" s="171"/>
      <c r="H29" s="131">
        <f>H15-H16-H17-H18-H19-H20-H22-H23-H24+H26+H27</f>
        <v>210267.75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53">
        <f>F34*G34</f>
        <v>186000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53">
        <f>F35*G35</f>
        <v>23500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53">
        <f t="shared" si="2"/>
        <v>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3">
        <v>242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4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2</v>
      </c>
      <c r="D44" s="12">
        <f>C44*120</f>
        <v>240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210092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3</v>
      </c>
      <c r="D50" s="12">
        <f>C50*1.5</f>
        <v>4.5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137</v>
      </c>
      <c r="G51" s="242">
        <f>G49-H29</f>
        <v>-175.75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46174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307</v>
      </c>
      <c r="D6" s="13">
        <f t="shared" ref="D6:D28" si="1">C6*L6</f>
        <v>233627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6</v>
      </c>
      <c r="D7" s="13">
        <f t="shared" si="1"/>
        <v>4686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25</v>
      </c>
      <c r="D9" s="13">
        <f t="shared" si="1"/>
        <v>18325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1</v>
      </c>
      <c r="D10" s="13">
        <f t="shared" si="1"/>
        <v>1032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2</v>
      </c>
      <c r="D11" s="13">
        <f t="shared" si="1"/>
        <v>2340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3</v>
      </c>
      <c r="D12" s="48">
        <f t="shared" si="1"/>
        <v>2976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266056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58272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207784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f>588+504</f>
        <v>1092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266056</v>
      </c>
      <c r="F29" s="109" t="s">
        <v>54</v>
      </c>
      <c r="G29" s="171"/>
      <c r="H29" s="131">
        <f>H15-H16-H17-H18-H19-H20-H22-H23-H24+H26+H27</f>
        <v>206692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53">
        <f>F34*G34</f>
        <v>73000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53">
        <f>F35*G35</f>
        <v>55500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53">
        <f t="shared" si="2"/>
        <v>12100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53">
        <f t="shared" si="2"/>
        <v>3050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53">
        <f t="shared" si="2"/>
        <v>20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3">
        <v>401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4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48">
        <v>55389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140</v>
      </c>
      <c r="G45" s="75"/>
      <c r="H45" s="148">
        <v>1032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</v>
      </c>
      <c r="D46" s="12">
        <f>C46*1.5</f>
        <v>1.5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2</v>
      </c>
      <c r="D49" s="12">
        <f>C49*42</f>
        <v>84</v>
      </c>
      <c r="F49" s="129" t="s">
        <v>85</v>
      </c>
      <c r="G49" s="131">
        <f>H34+H35+H36+H37+H38+H39+H40+H41+G42+H44+H45+H46</f>
        <v>200692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13</v>
      </c>
      <c r="D50" s="12">
        <f>C50*1.5</f>
        <v>19.5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141</v>
      </c>
      <c r="G51" s="242">
        <f>G49-H29</f>
        <v>-6000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6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8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46175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304</v>
      </c>
      <c r="D6" s="13">
        <f t="shared" ref="D6:D28" si="1">C6*L6</f>
        <v>231344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2</v>
      </c>
      <c r="D7" s="13">
        <f t="shared" si="1"/>
        <v>1562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11</v>
      </c>
      <c r="D9" s="13">
        <f t="shared" si="1"/>
        <v>8063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1</v>
      </c>
      <c r="D10" s="13">
        <f t="shared" si="1"/>
        <v>1032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242753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35565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207188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42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242753</v>
      </c>
      <c r="F29" s="109" t="s">
        <v>54</v>
      </c>
      <c r="G29" s="171"/>
      <c r="H29" s="131">
        <f>H15-H16-H17-H18-H19-H20-H22-H23-H24+H26+H27+H28</f>
        <v>207146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53">
        <f t="shared" ref="H34:H39" si="2">F34*G34</f>
        <v>114000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3">
        <f t="shared" si="2"/>
        <v>22000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53">
        <f t="shared" si="2"/>
        <v>400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53">
        <f t="shared" si="2"/>
        <v>1900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3">
        <f t="shared" si="2"/>
        <v>40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124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140</v>
      </c>
      <c r="G44" s="62"/>
      <c r="H44" s="148">
        <v>55000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48">
        <v>13650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</v>
      </c>
      <c r="D46" s="12">
        <f>C46*1.5</f>
        <v>1.5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207264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6</v>
      </c>
      <c r="D50" s="12">
        <f>C50*1.5</f>
        <v>9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144</v>
      </c>
      <c r="G51" s="250">
        <f>G49-H29</f>
        <v>118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46175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330</v>
      </c>
      <c r="D6" s="13">
        <f t="shared" ref="D6:D28" si="1">C6*L6</f>
        <v>251130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</v>
      </c>
      <c r="D9" s="13">
        <f t="shared" si="1"/>
        <v>733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1</v>
      </c>
      <c r="D10" s="13">
        <f t="shared" si="1"/>
        <v>1032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13</v>
      </c>
      <c r="D13" s="48">
        <f t="shared" si="1"/>
        <v>3991</v>
      </c>
      <c r="F13" s="237" t="s">
        <v>36</v>
      </c>
      <c r="G13" s="201"/>
      <c r="H13" s="192">
        <f>D29</f>
        <v>256886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37893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218993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1944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256886</v>
      </c>
      <c r="F29" s="109" t="s">
        <v>54</v>
      </c>
      <c r="G29" s="171"/>
      <c r="H29" s="131">
        <f>H15-H16-H17-H18-H19-H20-H22-H23-H24+H26+H27</f>
        <v>217049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53">
        <f>F34*G34</f>
        <v>102000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53">
        <f>F35*G35</f>
        <v>114500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53">
        <f t="shared" si="2"/>
        <v>100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3">
        <f t="shared" si="2"/>
        <v>20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14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11</v>
      </c>
      <c r="D49" s="12">
        <f>C49*42</f>
        <v>462</v>
      </c>
      <c r="F49" s="129" t="s">
        <v>85</v>
      </c>
      <c r="G49" s="131">
        <f>H34+H35+H36+H37+H38+H39+H40+H41+G42+H44+H45+H46</f>
        <v>216834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2</v>
      </c>
      <c r="D50" s="12">
        <f>C50*1.5</f>
        <v>3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141</v>
      </c>
      <c r="G51" s="242">
        <f>G49-H29</f>
        <v>-215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46175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8">
        <v>346</v>
      </c>
      <c r="D6" s="13">
        <f t="shared" ref="D6:D28" si="1">C6*L6</f>
        <v>263306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8">
        <v>20</v>
      </c>
      <c r="D7" s="13">
        <f t="shared" si="1"/>
        <v>15620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8">
        <v>1</v>
      </c>
      <c r="D8" s="13">
        <f t="shared" si="1"/>
        <v>1093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8">
        <v>74</v>
      </c>
      <c r="D9" s="13">
        <f t="shared" si="1"/>
        <v>54242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8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8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8">
        <f>10+10+2</f>
        <v>22</v>
      </c>
      <c r="D12" s="48">
        <f t="shared" si="1"/>
        <v>21824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8">
        <v>1</v>
      </c>
      <c r="D13" s="48">
        <f t="shared" si="1"/>
        <v>307</v>
      </c>
      <c r="F13" s="237" t="s">
        <v>36</v>
      </c>
      <c r="G13" s="201"/>
      <c r="H13" s="192">
        <f>D29</f>
        <v>403944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8"/>
      <c r="D14" s="31">
        <f t="shared" si="1"/>
        <v>0</v>
      </c>
      <c r="F14" s="195" t="s">
        <v>38</v>
      </c>
      <c r="G14" s="196"/>
      <c r="H14" s="197">
        <f>D54</f>
        <v>72575.25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8">
        <f>10</f>
        <v>10</v>
      </c>
      <c r="D15" s="31">
        <f t="shared" si="1"/>
        <v>6200</v>
      </c>
      <c r="F15" s="200" t="s">
        <v>39</v>
      </c>
      <c r="G15" s="201"/>
      <c r="H15" s="202">
        <f>H13-H14</f>
        <v>331368.75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2">
        <v>918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48">
        <v>50</v>
      </c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148</v>
      </c>
      <c r="C22" s="108">
        <v>1</v>
      </c>
      <c r="D22" s="48">
        <f t="shared" si="1"/>
        <v>1102</v>
      </c>
      <c r="F22" s="76"/>
      <c r="G22" s="72"/>
      <c r="H22" s="178"/>
      <c r="I22" s="178"/>
      <c r="J22" s="178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149</v>
      </c>
      <c r="C23" s="108">
        <v>1</v>
      </c>
      <c r="D23" s="48">
        <f t="shared" si="1"/>
        <v>1204</v>
      </c>
      <c r="F23" s="77"/>
      <c r="G23" s="78"/>
      <c r="H23" s="249"/>
      <c r="I23" s="178"/>
      <c r="J23" s="178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150</v>
      </c>
      <c r="C24" s="108">
        <v>1</v>
      </c>
      <c r="D24" s="48">
        <f t="shared" si="1"/>
        <v>1582</v>
      </c>
      <c r="F24" s="38"/>
      <c r="G24" s="37"/>
      <c r="H24" s="179"/>
      <c r="I24" s="148"/>
      <c r="J24" s="148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152</v>
      </c>
      <c r="C26" s="108">
        <v>1</v>
      </c>
      <c r="D26" s="48">
        <f t="shared" si="1"/>
        <v>1277</v>
      </c>
      <c r="F26" s="64"/>
      <c r="G26" s="59"/>
      <c r="H26" s="183"/>
      <c r="I26" s="184"/>
      <c r="J26" s="18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153</v>
      </c>
      <c r="C27" s="108">
        <v>2</v>
      </c>
      <c r="D27" s="44">
        <f t="shared" si="1"/>
        <v>3334</v>
      </c>
      <c r="F27" s="25"/>
      <c r="G27" s="79"/>
      <c r="H27" s="186"/>
      <c r="I27" s="187"/>
      <c r="J27" s="18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403944</v>
      </c>
      <c r="F29" s="109" t="s">
        <v>54</v>
      </c>
      <c r="G29" s="171"/>
      <c r="H29" s="131">
        <f>H15-H16-H17-H18-H19-H20-H22-H23-H24+H26+H27</f>
        <v>330400.75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53">
        <f>F35*G35</f>
        <v>6500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53">
        <f t="shared" si="2"/>
        <v>3000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3">
        <v>38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48">
        <v>98416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48">
        <v>221673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10</v>
      </c>
      <c r="D46" s="12">
        <f>C46*1.5</f>
        <v>15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329777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5</v>
      </c>
      <c r="D50" s="12">
        <f>C50*1.5</f>
        <v>7.5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154</v>
      </c>
      <c r="G51" s="242">
        <f>G49-H29</f>
        <v>-623.75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1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46176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46176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46176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1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46177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46177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zoomScaleNormal="100" zoomScaleSheetLayoutView="85" workbookViewId="0">
      <selection activeCell="M28" sqref="M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46177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1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46178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46178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46178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1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46179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46179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zoomScaleNormal="100" zoomScaleSheetLayoutView="85" workbookViewId="0">
      <selection activeCell="M30" sqref="M3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46179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1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46181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46181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46181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1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46182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46182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46182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1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46183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46183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U20" sqref="U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46183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1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4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46184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106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46184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46184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4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46185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106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46185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46185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4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46186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106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46185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46185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4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46188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117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71"/>
      <c r="G27" s="106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46188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46188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115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121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119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118</v>
      </c>
      <c r="C23" s="10"/>
      <c r="D23" s="48">
        <f t="shared" si="1"/>
        <v>0</v>
      </c>
      <c r="F23" s="77"/>
      <c r="G23" s="78"/>
      <c r="H23" s="249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125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126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127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4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6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113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</vt:lpstr>
      <vt:lpstr>06,03 R3 </vt:lpstr>
      <vt:lpstr>(4)</vt:lpstr>
      <vt:lpstr>06,04 R1 </vt:lpstr>
      <vt:lpstr>06,04 R2 </vt:lpstr>
      <vt:lpstr>06,04 R3  </vt:lpstr>
      <vt:lpstr>(5)</vt:lpstr>
      <vt:lpstr>06,05 R1  </vt:lpstr>
      <vt:lpstr>06,05 R2 </vt:lpstr>
      <vt:lpstr>06,05 R3  </vt:lpstr>
      <vt:lpstr>(6)</vt:lpstr>
      <vt:lpstr>06,06 R1 </vt:lpstr>
      <vt:lpstr>06,06 R2 </vt:lpstr>
      <vt:lpstr>06,06 R3 </vt:lpstr>
      <vt:lpstr>(8)</vt:lpstr>
      <vt:lpstr>06,07 R1 (2)</vt:lpstr>
      <vt:lpstr>06,07 R2  (2)</vt:lpstr>
      <vt:lpstr>06,07 R3  (2)</vt:lpstr>
      <vt:lpstr>(9)</vt:lpstr>
      <vt:lpstr>06,09 R1</vt:lpstr>
      <vt:lpstr>06,09 R2 </vt:lpstr>
      <vt:lpstr>06,09 R3 </vt:lpstr>
      <vt:lpstr>(10)</vt:lpstr>
      <vt:lpstr>06,10 R1 </vt:lpstr>
      <vt:lpstr>06,10 R2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'!Print_Area</vt:lpstr>
      <vt:lpstr>'06,03 R3 '!Print_Area</vt:lpstr>
      <vt:lpstr>'06,04 R1 '!Print_Area</vt:lpstr>
      <vt:lpstr>'06,04 R2 '!Print_Area</vt:lpstr>
      <vt:lpstr>'06,04 R3  '!Print_Area</vt:lpstr>
      <vt:lpstr>'06,05 R1  '!Print_Area</vt:lpstr>
      <vt:lpstr>'06,05 R2 '!Print_Area</vt:lpstr>
      <vt:lpstr>'06,05 R3  '!Print_Area</vt:lpstr>
      <vt:lpstr>'06,06 R1 '!Print_Area</vt:lpstr>
      <vt:lpstr>'06,06 R2 '!Print_Area</vt:lpstr>
      <vt:lpstr>'06,06 R3 '!Print_Area</vt:lpstr>
      <vt:lpstr>'06,07 R1 (2)'!Print_Area</vt:lpstr>
      <vt:lpstr>'06,07 R2  (2)'!Print_Area</vt:lpstr>
      <vt:lpstr>'06,07 R3  (2)'!Print_Area</vt:lpstr>
      <vt:lpstr>'06,09 R1'!Print_Area</vt:lpstr>
      <vt:lpstr>'06,09 R2 '!Print_Area</vt:lpstr>
      <vt:lpstr>'06,09 R3 '!Print_Area</vt:lpstr>
      <vt:lpstr>'06,10 R1 '!Print_Area</vt:lpstr>
      <vt:lpstr>'06,10 R2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2026-06-03T01:11:50Z</cp:lastPrinted>
  <dcterms:created xsi:type="dcterms:W3CDTF">2024-09-01T23:36:50Z</dcterms:created>
  <dcterms:modified xsi:type="dcterms:W3CDTF">2026-06-03T01:13:21Z</dcterms:modified>
</cp:coreProperties>
</file>