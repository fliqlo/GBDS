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9FE6221-8293-4A00-A2EF-BE4BEAFA2136}" xr6:coauthVersionLast="45" xr6:coauthVersionMax="47" xr10:uidLastSave="{00000000-0000-0000-0000-000000000000}"/>
  <bookViews>
    <workbookView xWindow="-120" yWindow="-120" windowWidth="29040" windowHeight="15840" firstSheet="67" activeTab="74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81" l="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G49" i="2181" s="1"/>
  <c r="D36" i="2181"/>
  <c r="R35" i="2181"/>
  <c r="H35" i="2181"/>
  <c r="D35" i="2181"/>
  <c r="R34" i="2181"/>
  <c r="L12" i="2181" s="1"/>
  <c r="D12" i="2181" s="1"/>
  <c r="H34" i="2181"/>
  <c r="D34" i="2181"/>
  <c r="D54" i="2181" s="1"/>
  <c r="H14" i="2181" s="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D29" i="2181" s="1"/>
  <c r="H13" i="2181" s="1"/>
  <c r="H15" i="2181" s="1"/>
  <c r="H29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G49" i="2180" s="1"/>
  <c r="D34" i="2180"/>
  <c r="D54" i="2180" s="1"/>
  <c r="H14" i="2180" s="1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D54" i="2179"/>
  <c r="H14" i="2179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G49" i="2177" s="1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G49" i="2176" s="1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G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D54" i="2177" l="1"/>
  <c r="H14" i="2177" s="1"/>
  <c r="D54" i="2176"/>
  <c r="H14" i="2176" s="1"/>
  <c r="D54" i="2175"/>
  <c r="H14" i="2175" s="1"/>
  <c r="G51" i="2181"/>
  <c r="D29" i="2180"/>
  <c r="H13" i="2180" s="1"/>
  <c r="H15" i="2180" s="1"/>
  <c r="H29" i="2180" s="1"/>
  <c r="G51" i="2180"/>
  <c r="D29" i="2179"/>
  <c r="H13" i="2179" s="1"/>
  <c r="H15" i="2179" s="1"/>
  <c r="H29" i="2179" s="1"/>
  <c r="G51" i="2179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G51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77" l="1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<sst xmlns="http://schemas.openxmlformats.org/spreadsheetml/2006/main" count="10557" uniqueCount="212">
  <si>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</si>
  <si>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</si>
  <si>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</si>
  <si>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</si>
  <si>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</si>
  <si>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</si>
  <si>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</si>
  <si>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</si>
  <si>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</si>
  <si>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</si>
  <si>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</si>
  <si>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</si>
  <si>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</si>
  <si>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</si>
  <si>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</si>
  <si>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</si>
  <si>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</si>
  <si>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</si>
  <si>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</si>
  <si>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</si>
  <si>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</si>
  <si>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</si>
  <si>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</si>
  <si>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</si>
  <si>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</si>
  <si>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</si>
  <si>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</si>
  <si>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</si>
  <si>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</si>
  <si>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</si>
  <si>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</si>
  <si>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</si>
  <si>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</si>
  <si>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</si>
  <si>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</si>
  <si>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</si>
  <si>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</si>
  <si>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</si>
  <si>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</si>
  <si>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</si>
  <si>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</si>
  <si>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</si>
  <si>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</si>
  <si>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</si>
  <si>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</si>
  <si>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</si>
  <si>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</si>
  <si>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</si>
  <si>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</si>
  <si>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</si>
  <si>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</si>
  <si>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</si>
  <si>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</si>
  <si>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</si>
  <si>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</si>
  <si>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</si>
  <si>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</si>
  <si>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</si>
  <si>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</si>
  <si>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</si>
  <si>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</si>
  <si>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</si>
  <si>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</si>
  <si>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</si>
  <si>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</si>
  <si>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</si>
  <si>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</si>
  <si>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</si>
  <si>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</si>
  <si>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</si>
  <si>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</si>
  <si>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</si>
  <si>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</si>
  <si>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</si>
  <si>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</si>
  <si>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</si>
  <si>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</si>
  <si>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</si>
  <si>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</si>
  <si>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</si>
  <si>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</si>
  <si>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</si>
  <si>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</si>
  <si>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</si>
  <si>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</si>
  <si>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</si>
  <si>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</si>
  <si>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</si>
  <si>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</si>
  <si>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</si>
  <si>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</si>
  <si>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</si>
  <si>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</si>
  <si>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</si>
  <si>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</si>
  <si>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</si>
  <si>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</si>
  <si>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</si>
  <si>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</si>
  <si>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</si>
  <si>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</si>
  <si>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</si>
  <si>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</si>
  <si>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</si>
  <si>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</si>
  <si>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</si>
  <si>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</si>
  <si>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</si>
  <si>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</si>
  <si>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</si>
  <si>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</si>
  <si>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</si>
  <si>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</si>
  <si>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</si>
  <si>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</si>
  <si>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</si>
  <si>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</si>
  <si>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</si>
  <si>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</si>
  <si>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</si>
  <si>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</si>
  <si>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</si>
  <si>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</si>
  <si>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</si>
  <si>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</si>
  <si>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</si>
  <si>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</si>
  <si>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</si>
  <si>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</si>
  <si>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</si>
  <si>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</si>
  <si>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</si>
  <si>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</si>
  <si>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</si>
  <si>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</si>
  <si>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</si>
  <si>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</si>
  <si>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</si>
  <si>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</si>
  <si>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</si>
  <si>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</si>
  <si>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</si>
  <si>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</si>
  <si>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</si>
  <si>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</si>
  <si>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</si>
  <si>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</si>
  <si>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</si>
  <si>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</si>
  <si>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</si>
  <si>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</si>
  <si>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</si>
  <si>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</si>
  <si>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</si>
  <si>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</si>
  <si>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</si>
  <si>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</si>
  <si>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</si>
  <si>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</si>
  <si>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</si>
  <si>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</si>
  <si>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</si>
  <si>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</si>
  <si>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</si>
  <si>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</si>
  <si>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</si>
  <si>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</si>
  <si>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</si>
  <si>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</si>
  <si>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</si>
  <si>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</si>
  <si>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</si>
  <si>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</si>
  <si>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</si>
  <si>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</si>
  <si>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</si>
  <si>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</si>
  <si>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</si>
  <si>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</si>
  <si>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</si>
  <si>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</si>
  <si>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</si>
  <si>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</si>
  <si>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</si>
  <si>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</si>
  <si>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</si>
  <si>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</si>
  <si>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</si>
  <si>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</si>
  <si>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</si>
  <si>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</si>
  <si>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</si>
  <si>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</si>
  <si>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</si>
  <si>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</si>
  <si>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</si>
  <si>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</si>
  <si>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</si>
  <si>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</si>
  <si>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</si>
  <si>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</si>
  <si>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</si>
  <si>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</si>
  <si>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</si>
  <si>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</si>
  <si>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</si>
  <si>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</si>
  <si>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</si>
  <si>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</si>
  <si>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</si>
  <si>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</si>
  <si>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PODIOTAN,AIR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</si>
</sst>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7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570</v>
      </c>
      <c r="D6" s="13">
        <f t="shared" ref="D6:D28" si="1">C6*L6</f>
        <v>433770</v>
      </c>
      <c r="F6" s="234" t="s">
        <v>16</v>
      </c>
      <c r="G6" s="236" t="s">
        <v>142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99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10</v>
      </c>
      <c r="D12" s="48">
        <f t="shared" si="1"/>
        <v>9920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475222.5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54630.75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420591.75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2760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56"/>
      <c r="I23" s="257"/>
      <c r="J23" s="25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66">
        <v>68780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4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475222.5</v>
      </c>
      <c r="F29" s="127" t="s">
        <v>54</v>
      </c>
      <c r="G29" s="189"/>
      <c r="H29" s="149">
        <f>H15-H16-H17-H18-H19-H20-H22-H23-H24+H26+H27+H28</f>
        <v>486611.75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71">
        <f t="shared" ref="H34:H39" si="2">F34*G34</f>
        <v>116000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71">
        <f t="shared" si="2"/>
        <v>4500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80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4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66">
        <v>317788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66">
        <v>13533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107" t="s">
        <v>135</v>
      </c>
      <c r="H46" s="166">
        <v>33800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26</v>
      </c>
      <c r="D49" s="12">
        <f>C49*42</f>
        <v>1092</v>
      </c>
      <c r="F49" s="147" t="s">
        <v>85</v>
      </c>
      <c r="G49" s="149">
        <f>H34+H35+H36+H37+H38+H39+H40+H41+G42+H44+H45+H46</f>
        <v>485901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19</v>
      </c>
      <c r="D50" s="12">
        <f>C50*1.5</f>
        <v>28.5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138</v>
      </c>
      <c r="G51" s="260">
        <f>G49-H29</f>
        <v>-710.75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275</v>
      </c>
      <c r="D6" s="13">
        <f t="shared" ref="D6:D28" si="1">C6*L6</f>
        <v>209275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40</v>
      </c>
      <c r="D9" s="13">
        <f t="shared" si="1"/>
        <v>29320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255" t="s">
        <v>36</v>
      </c>
      <c r="G13" s="219"/>
      <c r="H13" s="210">
        <f>D29</f>
        <v>247146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36182.25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210963.75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696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247146</v>
      </c>
      <c r="F29" s="127" t="s">
        <v>54</v>
      </c>
      <c r="G29" s="189"/>
      <c r="H29" s="149">
        <f>H15-H16-H17-H18-H19-H20-H22-H23-H24+H26+H27</f>
        <v>210267.75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71">
        <f>F34*G34</f>
        <v>186000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71">
        <f>F35*G35</f>
        <v>23500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71">
        <f t="shared" si="2"/>
        <v>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242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4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210092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137</v>
      </c>
      <c r="G51" s="260">
        <f>G49-H29</f>
        <v>-175.75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307</v>
      </c>
      <c r="D6" s="13">
        <f t="shared" ref="D6:D28" si="1">C6*L6</f>
        <v>233627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266056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58272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207784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588+504</f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266056</v>
      </c>
      <c r="F29" s="127" t="s">
        <v>54</v>
      </c>
      <c r="G29" s="189"/>
      <c r="H29" s="149">
        <f>H15-H16-H17-H18-H19-H20-H22-H23-H24+H26+H27</f>
        <v>206692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71">
        <f>F34*G34</f>
        <v>73000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71">
        <f>F35*G35</f>
        <v>55500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71">
        <f t="shared" si="2"/>
        <v>12100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71">
        <f t="shared" si="2"/>
        <v>3050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>
        <v>401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4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66">
        <v>55389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140</v>
      </c>
      <c r="G45" s="75"/>
      <c r="H45" s="166">
        <v>1032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</v>
      </c>
      <c r="D46" s="12">
        <f>C46*1.5</f>
        <v>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200692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141</v>
      </c>
      <c r="G51" s="260">
        <f>G49-H29</f>
        <v>-6000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8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304</v>
      </c>
      <c r="D6" s="13">
        <f t="shared" ref="D6:D28" si="1">C6*L6</f>
        <v>231344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</v>
      </c>
      <c r="D9" s="13">
        <f t="shared" si="1"/>
        <v>8063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242753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35565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207188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242753</v>
      </c>
      <c r="F29" s="127" t="s">
        <v>54</v>
      </c>
      <c r="G29" s="189"/>
      <c r="H29" s="149">
        <f>H15-H16-H17-H18-H19-H20-H22-H23-H24+H26+H27+H28</f>
        <v>207146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71">
        <f t="shared" ref="H34:H39" si="2">F34*G34</f>
        <v>114000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1">
        <f t="shared" si="2"/>
        <v>22000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71">
        <f t="shared" si="2"/>
        <v>400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71">
        <f t="shared" si="2"/>
        <v>1900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124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140</v>
      </c>
      <c r="G44" s="62"/>
      <c r="H44" s="166">
        <v>55000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66">
        <v>13650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207264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144</v>
      </c>
      <c r="G51" s="268">
        <f>G49-H29</f>
        <v>118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330</v>
      </c>
      <c r="D6" s="13">
        <f t="shared" ref="D6:D28" si="1">C6*L6</f>
        <v>251130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</v>
      </c>
      <c r="D9" s="13">
        <f t="shared" si="1"/>
        <v>733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256886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37893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218993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256886</v>
      </c>
      <c r="F29" s="127" t="s">
        <v>54</v>
      </c>
      <c r="G29" s="189"/>
      <c r="H29" s="149">
        <f>H15-H16-H17-H18-H19-H20-H22-H23-H24+H26+H27</f>
        <v>217049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71">
        <f>F34*G34</f>
        <v>102000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71">
        <f>F35*G35</f>
        <v>114500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11</v>
      </c>
      <c r="D49" s="12">
        <f>C49*42</f>
        <v>462</v>
      </c>
      <c r="F49" s="147" t="s">
        <v>85</v>
      </c>
      <c r="G49" s="149">
        <f>H34+H35+H36+H37+H38+H39+H40+H41+G42+H44+H45+H46</f>
        <v>216834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2</v>
      </c>
      <c r="D50" s="12">
        <f>C50*1.5</f>
        <v>3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141</v>
      </c>
      <c r="G51" s="260">
        <f>G49-H29</f>
        <v>-215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8">
        <v>346</v>
      </c>
      <c r="D6" s="13">
        <f t="shared" ref="D6:D28" si="1">C6*L6</f>
        <v>263306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8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8">
        <v>1</v>
      </c>
      <c r="D8" s="13">
        <f t="shared" si="1"/>
        <v>1093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8">
        <v>74</v>
      </c>
      <c r="D9" s="13">
        <f t="shared" si="1"/>
        <v>54242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8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8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8">
        <f>10+10+2</f>
        <v>22</v>
      </c>
      <c r="D12" s="48">
        <f t="shared" si="1"/>
        <v>21824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8">
        <v>1</v>
      </c>
      <c r="D13" s="48">
        <f t="shared" si="1"/>
        <v>307</v>
      </c>
      <c r="F13" s="255" t="s">
        <v>36</v>
      </c>
      <c r="G13" s="219"/>
      <c r="H13" s="210">
        <f>D29</f>
        <v>403944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8"/>
      <c r="D14" s="31">
        <f t="shared" si="1"/>
        <v>0</v>
      </c>
      <c r="F14" s="213" t="s">
        <v>38</v>
      </c>
      <c r="G14" s="214"/>
      <c r="H14" s="215">
        <f>D54</f>
        <v>72575.25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8">
        <f>10</f>
        <v>10</v>
      </c>
      <c r="D15" s="31">
        <f t="shared" si="1"/>
        <v>6200</v>
      </c>
      <c r="F15" s="218" t="s">
        <v>39</v>
      </c>
      <c r="G15" s="219"/>
      <c r="H15" s="220">
        <f>H13-H14</f>
        <v>331368.75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0">
        <v>918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148</v>
      </c>
      <c r="C22" s="108">
        <v>1</v>
      </c>
      <c r="D22" s="48">
        <f t="shared" si="1"/>
        <v>1102</v>
      </c>
      <c r="F22" s="76"/>
      <c r="G22" s="72"/>
      <c r="H22" s="196"/>
      <c r="I22" s="196"/>
      <c r="J22" s="196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149</v>
      </c>
      <c r="C23" s="108">
        <v>1</v>
      </c>
      <c r="D23" s="48">
        <f t="shared" si="1"/>
        <v>1204</v>
      </c>
      <c r="F23" s="77"/>
      <c r="G23" s="78"/>
      <c r="H23" s="267"/>
      <c r="I23" s="196"/>
      <c r="J23" s="196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150</v>
      </c>
      <c r="C24" s="108">
        <v>1</v>
      </c>
      <c r="D24" s="48">
        <f t="shared" si="1"/>
        <v>1582</v>
      </c>
      <c r="F24" s="38"/>
      <c r="G24" s="37"/>
      <c r="H24" s="197"/>
      <c r="I24" s="166"/>
      <c r="J24" s="166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1"/>
      <c r="I26" s="202"/>
      <c r="J26" s="20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153</v>
      </c>
      <c r="C27" s="108">
        <v>2</v>
      </c>
      <c r="D27" s="44">
        <f t="shared" si="1"/>
        <v>3334</v>
      </c>
      <c r="F27" s="25"/>
      <c r="G27" s="79"/>
      <c r="H27" s="204"/>
      <c r="I27" s="205"/>
      <c r="J27" s="20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403944</v>
      </c>
      <c r="F29" s="127" t="s">
        <v>54</v>
      </c>
      <c r="G29" s="189"/>
      <c r="H29" s="149">
        <f>H15-H16-H17-H18-H19-H20-H22-H23-H24+H26+H27</f>
        <v>330400.75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71">
        <f>F35*G35</f>
        <v>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71">
        <f t="shared" si="2"/>
        <v>3000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38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66">
        <v>98416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66">
        <v>221673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10</v>
      </c>
      <c r="D46" s="12">
        <f>C46*1.5</f>
        <v>15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329777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5</v>
      </c>
      <c r="D50" s="12">
        <f>C50*1.5</f>
        <v>7.5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154</v>
      </c>
      <c r="G51" s="260">
        <f>G49-H29</f>
        <v>-623.75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441</v>
      </c>
      <c r="D6" s="13">
        <f t="shared" ref="D6:D28" si="1">C6*L6</f>
        <v>335601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361570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41899.5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319670.5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96">
        <v>88549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66">
        <v>78233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361570</v>
      </c>
      <c r="F29" s="127" t="s">
        <v>54</v>
      </c>
      <c r="G29" s="189"/>
      <c r="H29" s="149">
        <f>H15-H16-H17-H18-H19-H20-H22-H23-H24+H26+H27+H28</f>
        <v>307410.5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71">
        <f t="shared" ref="H34:H39" si="2">F34*G34</f>
        <v>180000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71">
        <f t="shared" si="2"/>
        <v>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71">
        <f t="shared" si="2"/>
        <v>43700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71">
        <f t="shared" si="2"/>
        <v>3200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66">
        <v>78233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306133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-1277.5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370</v>
      </c>
      <c r="D6" s="13">
        <f t="shared" ref="D6:D28" si="1">C6*L6</f>
        <v>281570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50</v>
      </c>
      <c r="D7" s="13">
        <f t="shared" si="1"/>
        <v>39050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65</v>
      </c>
      <c r="D8" s="13">
        <f t="shared" si="1"/>
        <v>71045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117</v>
      </c>
      <c r="D9" s="13">
        <f t="shared" si="1"/>
        <v>85761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26</v>
      </c>
      <c r="D12" s="48">
        <f t="shared" si="1"/>
        <v>25792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508853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82236.75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426616.25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3042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96">
        <v>62272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508853</v>
      </c>
      <c r="F29" s="127" t="s">
        <v>54</v>
      </c>
      <c r="G29" s="189"/>
      <c r="H29" s="149">
        <f>H15-H16-H17-H18-H19-H20-H22-H23-H24+H26+H27+H28</f>
        <v>361302.25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71">
        <f t="shared" ref="H34:H39" si="2">F34*G34</f>
        <v>23000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1">
        <f t="shared" si="2"/>
        <v>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71">
        <f t="shared" si="2"/>
        <v>2300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71">
        <f t="shared" si="2"/>
        <v>450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1">
        <v>80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66">
        <v>321116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140</v>
      </c>
      <c r="G45" s="62"/>
      <c r="H45" s="166">
        <v>10122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360568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138</v>
      </c>
      <c r="G51" s="260">
        <f>G49-H29</f>
        <v>-734.25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297</v>
      </c>
      <c r="D6" s="13">
        <f t="shared" ref="D6:D28" si="1">C6*L6</f>
        <v>226017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23</v>
      </c>
      <c r="D9" s="13">
        <f t="shared" si="1"/>
        <v>16859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248406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41370.75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207035.25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>
        <v>1896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248406</v>
      </c>
      <c r="F29" s="127" t="s">
        <v>54</v>
      </c>
      <c r="G29" s="189"/>
      <c r="H29" s="149">
        <f>H15-H16-H17-H18-H19-H20-H22-H23-H24+H26+H27</f>
        <v>205139.25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71">
        <f>F34*G34</f>
        <v>26000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71">
        <f>F35*G35</f>
        <v>52500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171">
        <v>85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66">
        <v>126406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</v>
      </c>
      <c r="D46" s="12">
        <f>C46*1.5</f>
        <v>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205091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137</v>
      </c>
      <c r="G51" s="260">
        <f>G49-H29</f>
        <v>-48.25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539</v>
      </c>
      <c r="D6" s="13">
        <f t="shared" ref="D6:D28" si="1">C6*L6</f>
        <v>410179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135</v>
      </c>
      <c r="D9" s="13">
        <f t="shared" si="1"/>
        <v>98955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20</v>
      </c>
      <c r="D11" s="13">
        <f t="shared" si="1"/>
        <v>23400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20</v>
      </c>
      <c r="D12" s="48">
        <f t="shared" si="1"/>
        <v>19840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24</v>
      </c>
      <c r="D13" s="48">
        <f t="shared" si="1"/>
        <v>7368</v>
      </c>
      <c r="F13" s="255" t="s">
        <v>36</v>
      </c>
      <c r="G13" s="219"/>
      <c r="H13" s="210">
        <f>D29</f>
        <v>582314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89697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492617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0">
        <f>924+306</f>
        <v>1230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148</v>
      </c>
      <c r="C27" s="10">
        <v>1</v>
      </c>
      <c r="D27" s="44">
        <f t="shared" si="1"/>
        <v>1102</v>
      </c>
      <c r="F27" s="25"/>
      <c r="G27" s="79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582314</v>
      </c>
      <c r="F29" s="127" t="s">
        <v>54</v>
      </c>
      <c r="G29" s="189"/>
      <c r="H29" s="149">
        <f>H15-H16-H17-H18-H19-H20-H22-H23-H24+H26+H27</f>
        <v>491387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71">
        <f>F34*G34</f>
        <v>24000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71">
        <f>F35*G35</f>
        <v>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71">
        <f t="shared" si="2"/>
        <v>5900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>
        <v>30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66">
        <v>30346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66">
        <v>328788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66">
        <v>99736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24</v>
      </c>
      <c r="D49" s="12">
        <f>C49*42</f>
        <v>1008</v>
      </c>
      <c r="F49" s="147" t="s">
        <v>85</v>
      </c>
      <c r="G49" s="149">
        <f>H34+H35+H36+H37+H38+H39+H40+H41+G42+H44+H45+H46</f>
        <v>491050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163</v>
      </c>
      <c r="G51" s="260">
        <f>G49-H29</f>
        <v>-337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384</v>
      </c>
      <c r="D6" s="13">
        <f t="shared" ref="D6:D28" si="1">C6*L6</f>
        <v>292224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</v>
      </c>
      <c r="D9" s="13">
        <f t="shared" si="1"/>
        <v>4398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302509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39733.5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262775.5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302509</v>
      </c>
      <c r="F29" s="127" t="s">
        <v>54</v>
      </c>
      <c r="G29" s="189"/>
      <c r="H29" s="149">
        <f>H15-H16-H17-H18-H19-H20-H22-H23-H24+H26+H27</f>
        <v>261479.5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71">
        <f>F34*G34</f>
        <v>90000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71">
        <f>F35*G35</f>
        <v>25500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77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66">
        <v>145825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261542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5</v>
      </c>
      <c r="D50" s="12">
        <f>C50*1.5</f>
        <v>7.5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62.5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389</v>
      </c>
      <c r="D6" s="13">
        <f t="shared" ref="D6:D28" si="1">C6*L6</f>
        <v>296029</v>
      </c>
      <c r="F6" s="234" t="s">
        <v>16</v>
      </c>
      <c r="G6" s="236" t="s">
        <v>170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46</v>
      </c>
      <c r="D9" s="13">
        <f t="shared" si="1"/>
        <v>33718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4+1</f>
        <v>5</v>
      </c>
      <c r="D12" s="48">
        <f t="shared" si="1"/>
        <v>4960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357319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52380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304939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357319</v>
      </c>
      <c r="F29" s="127" t="s">
        <v>54</v>
      </c>
      <c r="G29" s="189"/>
      <c r="H29" s="149">
        <f>H15-H16-H17-H18-H19-H20-H22-H23-H24+H26+H27</f>
        <v>303847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71">
        <f>F34*G34</f>
        <v>103000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71">
        <f>F35*G35</f>
        <v>4500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71">
        <f t="shared" si="2"/>
        <v>6300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20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66">
        <v>69159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66">
        <v>119736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5</v>
      </c>
      <c r="D46" s="12">
        <f>C46*1.5</f>
        <v>7.5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302965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137</v>
      </c>
      <c r="G51" s="260">
        <f>G49-H29</f>
        <v>-882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46179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66">
        <v>62272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62272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71">
        <f t="shared" ref="H34:H39" si="2">F34*G34</f>
        <v>62000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22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62272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46179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46179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457</v>
      </c>
      <c r="D6" s="13">
        <f t="shared" ref="D6:D28" si="1">C6*L6</f>
        <v>347777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33</v>
      </c>
      <c r="D9" s="13">
        <f t="shared" si="1"/>
        <v>24189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379695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56268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323427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2832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379695</v>
      </c>
      <c r="F29" s="127" t="s">
        <v>54</v>
      </c>
      <c r="G29" s="189"/>
      <c r="H29" s="149">
        <f>H15-H16-H17-H18-H19-H20-H22-H23-H24+H26+H27</f>
        <v>320595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71">
        <f>F34*G34</f>
        <v>151000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71">
        <f>F35*G35</f>
        <v>167000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71">
        <f t="shared" si="2"/>
        <v>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76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15</v>
      </c>
      <c r="D49" s="12">
        <f>C49*42</f>
        <v>630</v>
      </c>
      <c r="F49" s="147" t="s">
        <v>85</v>
      </c>
      <c r="G49" s="149">
        <f>H34+H35+H36+H37+H38+H39+H40+H41+G42+H44+H45+H46</f>
        <v>319046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-1549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416</v>
      </c>
      <c r="D6" s="13">
        <f t="shared" ref="D6:D28" si="1">C6*L6</f>
        <v>316576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76</v>
      </c>
      <c r="D9" s="13">
        <f t="shared" si="1"/>
        <v>55708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4960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389426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56689.5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332736.5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2478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389426</v>
      </c>
      <c r="F29" s="127" t="s">
        <v>54</v>
      </c>
      <c r="G29" s="189"/>
      <c r="H29" s="149">
        <f>H15-H16-H17-H18-H19-H20-H22-H23-H24+H26+H27</f>
        <v>330258.5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71">
        <f>F34*G34</f>
        <v>122000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71">
        <f>F35*G35</f>
        <v>30000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71">
        <f t="shared" si="2"/>
        <v>5200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71">
        <f t="shared" si="2"/>
        <v>900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22</v>
      </c>
      <c r="D42" s="12">
        <f>C42*2.25</f>
        <v>49.5</v>
      </c>
      <c r="F42" s="39" t="s">
        <v>78</v>
      </c>
      <c r="G42" s="171">
        <v>204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66">
        <v>164463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8</v>
      </c>
      <c r="D46" s="12">
        <f>C46*1.5</f>
        <v>12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322767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-7491.5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339</v>
      </c>
      <c r="D6" s="13">
        <f t="shared" ref="D6:D28" si="1">C6*L6</f>
        <v>257979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9</v>
      </c>
      <c r="D7" s="13">
        <f t="shared" si="1"/>
        <v>7029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255" t="s">
        <v>36</v>
      </c>
      <c r="G13" s="219"/>
      <c r="H13" s="210">
        <f>D29</f>
        <v>284998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35218.5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249779.5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284998</v>
      </c>
      <c r="F29" s="127" t="s">
        <v>54</v>
      </c>
      <c r="G29" s="189"/>
      <c r="H29" s="149">
        <f>H15-H16-H17-H18-H19-H20-H22-H23-H24+H26+H27+H28</f>
        <v>249779.5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71">
        <f t="shared" ref="H34:H39" si="2">F34*G34</f>
        <v>129000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1">
        <f t="shared" si="2"/>
        <v>36500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71">
        <f t="shared" si="2"/>
        <v>3600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71">
        <f t="shared" si="2"/>
        <v>900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58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66">
        <v>67000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140</v>
      </c>
      <c r="G45" s="62"/>
      <c r="H45" s="166">
        <v>12350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249428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21</v>
      </c>
      <c r="D50" s="12">
        <f>C50*1.5</f>
        <v>31.5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-351.5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323</v>
      </c>
      <c r="D6" s="13">
        <f t="shared" ref="D6:D28" si="1">C6*L6</f>
        <v>245803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296582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46258.5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250323.5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2070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296582</v>
      </c>
      <c r="F29" s="127" t="s">
        <v>54</v>
      </c>
      <c r="G29" s="189"/>
      <c r="H29" s="149">
        <f>H15-H16-H17-H18-H19-H20-H22-H23-H24+H26+H27</f>
        <v>248253.5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71">
        <f>F34*G34</f>
        <v>18000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71">
        <f>F35*G35</f>
        <v>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20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66">
        <v>224866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247986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-267.5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490</v>
      </c>
      <c r="D6" s="13">
        <f t="shared" ref="D6:D28" si="1">C6*L6</f>
        <v>372890</v>
      </c>
      <c r="F6" s="234" t="s">
        <v>16</v>
      </c>
      <c r="G6" s="236" t="s">
        <v>142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27</v>
      </c>
      <c r="D7" s="13">
        <f t="shared" si="1"/>
        <v>21087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7+2</f>
        <v>9</v>
      </c>
      <c r="D12" s="48">
        <f t="shared" si="1"/>
        <v>8928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19</v>
      </c>
      <c r="D13" s="48">
        <f t="shared" si="1"/>
        <v>5833</v>
      </c>
      <c r="F13" s="255" t="s">
        <v>36</v>
      </c>
      <c r="G13" s="219"/>
      <c r="H13" s="210">
        <f>D29</f>
        <v>494155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67279.5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426875.5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3288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494155</v>
      </c>
      <c r="F29" s="127" t="s">
        <v>54</v>
      </c>
      <c r="G29" s="189"/>
      <c r="H29" s="149">
        <f>H15-H16-H17-H18-H19-H20-H22-H23-H24+H26+H27</f>
        <v>423587.5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71">
        <f>F34*G34</f>
        <v>30000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1">
        <f>F35*G35</f>
        <v>29500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71">
        <f t="shared" si="2"/>
        <v>800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42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66">
        <v>129945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66">
        <v>233114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4</v>
      </c>
      <c r="D46" s="12">
        <f>C46*1.5</f>
        <v>6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423571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-16.5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312</v>
      </c>
      <c r="D6" s="13">
        <f t="shared" ref="D6:D28" si="1">C6*L6</f>
        <v>237432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262429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37573.5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224855.5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9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262429</v>
      </c>
      <c r="F29" s="127" t="s">
        <v>54</v>
      </c>
      <c r="G29" s="189"/>
      <c r="H29" s="149">
        <f>H15-H16-H17-H18-H19-H20-H22-H23-H24+H26+H27+H28</f>
        <v>224855.5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71">
        <f t="shared" ref="H34:H39" si="2">F34*G34</f>
        <v>54000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71">
        <f t="shared" si="2"/>
        <v>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71">
        <f t="shared" si="2"/>
        <v>1800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60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66">
        <v>11360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66">
        <v>150130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1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33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8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11"/>
      <c r="D49" s="12">
        <f>C49*42</f>
        <v>0</v>
      </c>
      <c r="F49" s="147" t="s">
        <v>85</v>
      </c>
      <c r="G49" s="149">
        <f>H34+H35+H36+H37+H38+H39+H40+H41+G42+H44+H45+H46</f>
        <v>224670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138</v>
      </c>
      <c r="G51" s="260">
        <f>G49-H29</f>
        <v>-185.5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338</v>
      </c>
      <c r="D6" s="13">
        <f t="shared" ref="D6:D28" si="1">C6*L6</f>
        <v>257218</v>
      </c>
      <c r="F6" s="234" t="s">
        <v>16</v>
      </c>
      <c r="G6" s="236" t="s">
        <v>142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</v>
      </c>
      <c r="D9" s="13">
        <f t="shared" si="1"/>
        <v>10262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4960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297741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41929.5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255811.5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297741</v>
      </c>
      <c r="F29" s="127" t="s">
        <v>54</v>
      </c>
      <c r="G29" s="189"/>
      <c r="H29" s="149">
        <f>H15-H16-H17-H18-H19-H20-H22-H23-H24+H26+H27</f>
        <v>254515.5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71">
        <f>F34*G34</f>
        <v>107000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71">
        <f>F35*G35</f>
        <v>6000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66">
        <v>140790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3</v>
      </c>
      <c r="D45" s="12">
        <f>C45*84</f>
        <v>252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13</v>
      </c>
      <c r="D46" s="12">
        <f>C46*1.5</f>
        <v>19.5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253940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180</v>
      </c>
      <c r="G51" s="260">
        <f>G49-H29</f>
        <v>-575.5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265</v>
      </c>
      <c r="D6" s="13">
        <f t="shared" ref="D6:D28" si="1">C6*L6</f>
        <v>201665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286866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41175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245691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1932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286866</v>
      </c>
      <c r="F29" s="127" t="s">
        <v>54</v>
      </c>
      <c r="G29" s="189"/>
      <c r="H29" s="149">
        <f>H15-H16-H17-H18-H19-H20-H22-H23-H24+H26+H27</f>
        <v>243759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71">
        <f>F34*G34</f>
        <v>138000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71">
        <f>F35*G35</f>
        <v>105500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243500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-259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269</v>
      </c>
      <c r="D6" s="13">
        <f t="shared" ref="D6:D28" si="1">C6*L6</f>
        <v>204709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26</v>
      </c>
      <c r="D8" s="13">
        <f t="shared" si="1"/>
        <v>28418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53</v>
      </c>
      <c r="D9" s="13">
        <f t="shared" si="1"/>
        <v>38849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255" t="s">
        <v>36</v>
      </c>
      <c r="G13" s="219"/>
      <c r="H13" s="210">
        <f>D29</f>
        <v>291580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43789.5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247790.5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96">
        <v>35098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291580</v>
      </c>
      <c r="F29" s="127" t="s">
        <v>54</v>
      </c>
      <c r="G29" s="189"/>
      <c r="H29" s="149">
        <f>H15-H16-H17-H18-H19-H20-H22-H23-H24+H26+H27</f>
        <v>211400.5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71">
        <f>F34*G34</f>
        <v>83000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1">
        <f>F35*G35</f>
        <v>20000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26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66">
        <v>97440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140</v>
      </c>
      <c r="G45" s="75"/>
      <c r="H45" s="166">
        <v>17976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15</v>
      </c>
      <c r="D46" s="12">
        <f>C46*1.5</f>
        <v>22.5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218542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16</v>
      </c>
      <c r="D50" s="12">
        <f>C50*1.5</f>
        <v>24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7141.5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422</v>
      </c>
      <c r="D6" s="13">
        <f t="shared" ref="D6:D28" si="1">C6*L6</f>
        <v>321142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103</v>
      </c>
      <c r="D9" s="13">
        <f t="shared" si="1"/>
        <v>75499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410353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40264.5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>
        <f>3+1</f>
        <v>4</v>
      </c>
      <c r="D15" s="31">
        <f t="shared" si="1"/>
        <v>2480</v>
      </c>
      <c r="F15" s="218" t="s">
        <v>39</v>
      </c>
      <c r="G15" s="219"/>
      <c r="H15" s="220">
        <f>H13-H14</f>
        <v>370088.5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1074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96">
        <v>123065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410353</v>
      </c>
      <c r="F29" s="127" t="s">
        <v>54</v>
      </c>
      <c r="G29" s="189"/>
      <c r="H29" s="149">
        <f>H15-H16-H17-H18-H19-H20-H22-H23-H24+H26+H27+H28</f>
        <v>245949.5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71">
        <f t="shared" ref="H34:H39" si="2">F34*G34</f>
        <v>38000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71">
        <f t="shared" si="2"/>
        <v>22500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71">
        <f t="shared" si="2"/>
        <v>450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12</v>
      </c>
      <c r="D42" s="12">
        <f>C42*2.25</f>
        <v>27</v>
      </c>
      <c r="F42" s="39" t="s">
        <v>78</v>
      </c>
      <c r="G42" s="171">
        <v>16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66">
        <v>134999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66">
        <v>45000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66">
        <v>4550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245615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-334.5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277</v>
      </c>
      <c r="D6" s="13">
        <f t="shared" ref="D6:D28" si="1">C6*L6</f>
        <v>210797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68</v>
      </c>
      <c r="D9" s="13">
        <f t="shared" si="1"/>
        <v>49844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273580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46170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227410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v>1140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273580</v>
      </c>
      <c r="F29" s="127" t="s">
        <v>54</v>
      </c>
      <c r="G29" s="189"/>
      <c r="H29" s="149">
        <f>H15-H16-H17-H18-H19-H20-H22-H23-H24+H26+H27</f>
        <v>226270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71">
        <f>F34*G34</f>
        <v>85000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71">
        <f>F35*G35</f>
        <v>15000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71">
        <f t="shared" si="2"/>
        <v>6600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41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66">
        <v>119356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225997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-273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4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66">
        <v>123065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14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123065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4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66">
        <v>123065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123065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322</v>
      </c>
      <c r="D6" s="13">
        <f t="shared" ref="D6:D28" si="1">C6*L6</f>
        <v>245042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111</v>
      </c>
      <c r="D9" s="13">
        <f t="shared" si="1"/>
        <v>81363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337138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68018.25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269119.75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2430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>
        <v>125.84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66">
        <v>35098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337138</v>
      </c>
      <c r="F29" s="127" t="s">
        <v>54</v>
      </c>
      <c r="G29" s="189"/>
      <c r="H29" s="149">
        <f>H15-H16-H17-H18-H19-H20-H22-H23-H24+H26+H27+H28</f>
        <v>301661.90999999997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71">
        <f t="shared" ref="H34:H39" si="2">F34*G34</f>
        <v>58000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71">
        <f t="shared" si="2"/>
        <v>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71">
        <f t="shared" si="2"/>
        <v>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71">
        <v>48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66">
        <v>183077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66">
        <v>57853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23</v>
      </c>
      <c r="D46" s="12">
        <f>C46*1.5</f>
        <v>34.5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300948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190</v>
      </c>
      <c r="G51" s="260">
        <f>G49-H29</f>
        <v>-713.90999999997439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379</v>
      </c>
      <c r="D6" s="13">
        <f t="shared" ref="D6:D28" si="1">C6*L6</f>
        <v>288419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</v>
      </c>
      <c r="D9" s="13">
        <f t="shared" si="1"/>
        <v>4398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301187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45102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256085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2316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301187</v>
      </c>
      <c r="F29" s="127" t="s">
        <v>54</v>
      </c>
      <c r="G29" s="189"/>
      <c r="H29" s="149">
        <f>H15-H16-H17-H18-H19-H20-H22-H23-H24+H26+H27</f>
        <v>253769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71">
        <f>F34*G34</f>
        <v>77000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71">
        <f>F35*G35</f>
        <v>176500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71">
        <f t="shared" si="2"/>
        <v>250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44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253794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25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483</v>
      </c>
      <c r="D6" s="13">
        <f t="shared" ref="D6:D28" si="1">C6*L6</f>
        <v>367563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162</v>
      </c>
      <c r="D9" s="13">
        <f t="shared" si="1"/>
        <v>118746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23</v>
      </c>
      <c r="D13" s="48">
        <f t="shared" si="1"/>
        <v>7061</v>
      </c>
      <c r="F13" s="255" t="s">
        <v>36</v>
      </c>
      <c r="G13" s="219"/>
      <c r="H13" s="210">
        <f>D29</f>
        <v>510083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51577.5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458505.5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828+726</f>
        <v>1554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510083</v>
      </c>
      <c r="F29" s="127" t="s">
        <v>54</v>
      </c>
      <c r="G29" s="189"/>
      <c r="H29" s="149">
        <f>H15-H16-H17-H18-H19-H20-H22-H23-H24+H26+H27</f>
        <v>456901.5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71">
        <f>F34*G34</f>
        <v>49000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71">
        <f>F35*G35</f>
        <v>1500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71">
        <f t="shared" si="2"/>
        <v>3500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25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66">
        <v>89622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66">
        <v>78268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66">
        <v>235016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456931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17</v>
      </c>
      <c r="D50" s="12">
        <f>C50*1.5</f>
        <v>25.5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29.5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46189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583</v>
      </c>
      <c r="D6" s="13">
        <f t="shared" ref="D6:D28" si="1">C6*L6</f>
        <v>443663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121</v>
      </c>
      <c r="D9" s="13">
        <f t="shared" si="1"/>
        <v>88693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550495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102604.5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447890.5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96">
        <v>261949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56">
        <v>93725</v>
      </c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66">
        <v>88549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550495</v>
      </c>
      <c r="F29" s="127" t="s">
        <v>54</v>
      </c>
      <c r="G29" s="189"/>
      <c r="H29" s="149">
        <f>H15-H16-H17-H18-H19-H20-H22-H23-H24+H26+H27+H28</f>
        <v>178173.5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71">
        <f t="shared" ref="H34:H39" si="2">F34*G34</f>
        <v>40000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71">
        <f t="shared" si="2"/>
        <v>13000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71">
        <f t="shared" si="2"/>
        <v>5300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114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66">
        <v>80000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66">
        <v>38726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177190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138</v>
      </c>
      <c r="G51" s="260">
        <f>G49-H29</f>
        <v>-983.5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46189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318</v>
      </c>
      <c r="D6" s="13">
        <f t="shared" ref="D6:D28" si="1">C6*L6</f>
        <v>241998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</v>
      </c>
      <c r="D9" s="13">
        <f t="shared" si="1"/>
        <v>2932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252546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37899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214647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252546</v>
      </c>
      <c r="F29" s="127" t="s">
        <v>54</v>
      </c>
      <c r="G29" s="189"/>
      <c r="H29" s="149">
        <f>H15-H16-H17-H18-H19-H20-H22-H23-H24+H26+H27</f>
        <v>213315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71">
        <f>F34*G34</f>
        <v>55000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71">
        <f>F35*G35</f>
        <v>13500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49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66">
        <v>144678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213727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19</v>
      </c>
      <c r="D50" s="12">
        <f>C50*1.5</f>
        <v>28.5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412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46189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648</v>
      </c>
      <c r="D6" s="13">
        <f t="shared" ref="D6:D28" si="1">C6*L6</f>
        <v>493128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18</v>
      </c>
      <c r="D7" s="13">
        <f t="shared" si="1"/>
        <v>14058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40</v>
      </c>
      <c r="D9" s="13">
        <f t="shared" si="1"/>
        <v>29320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15</v>
      </c>
      <c r="D11" s="13">
        <f t="shared" si="1"/>
        <v>17550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17+5</f>
        <v>22</v>
      </c>
      <c r="D12" s="48">
        <f t="shared" si="1"/>
        <v>21824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22</v>
      </c>
      <c r="D13" s="48">
        <f t="shared" si="1"/>
        <v>6754</v>
      </c>
      <c r="F13" s="255" t="s">
        <v>36</v>
      </c>
      <c r="G13" s="219"/>
      <c r="H13" s="210">
        <f>D29</f>
        <v>586130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85962.75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500167.25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1296+720</f>
        <v>2016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586130</v>
      </c>
      <c r="F29" s="127" t="s">
        <v>54</v>
      </c>
      <c r="G29" s="189"/>
      <c r="H29" s="149">
        <f>H15-H16-H17-H18-H19-H20-H22-H23-H24+H26+H27</f>
        <v>498151.25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71">
        <f>F34*G34</f>
        <v>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66">
        <v>80689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66">
        <v>2061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66">
        <v>140400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155</v>
      </c>
      <c r="G47" s="110" t="s">
        <v>200</v>
      </c>
      <c r="H47" s="166">
        <v>271017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18</v>
      </c>
      <c r="D49" s="12">
        <f>C49*42</f>
        <v>756</v>
      </c>
      <c r="F49" s="147" t="s">
        <v>85</v>
      </c>
      <c r="G49" s="149">
        <f>H34+H35+H36+H37+H38+H39+H40+H41+G42+H44+H45+H46+H47</f>
        <v>499167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1015.75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335</v>
      </c>
      <c r="D6" s="13">
        <f t="shared" ref="D6:D28" si="1">C6*L6</f>
        <v>254935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</v>
      </c>
      <c r="D9" s="13">
        <f t="shared" si="1"/>
        <v>8796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265398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38468.25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226929.75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1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265398</v>
      </c>
      <c r="F29" s="127" t="s">
        <v>54</v>
      </c>
      <c r="G29" s="189"/>
      <c r="H29" s="149">
        <f>H15-H16-H17-H18-H19-H20-H22-H23-H24+H26+H27+H28</f>
        <v>226929.75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71">
        <f t="shared" ref="H34:H39" si="2">F34*G34</f>
        <v>122000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71">
        <f t="shared" si="2"/>
        <v>34000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71">
        <f t="shared" si="2"/>
        <v>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59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66">
        <v>60000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140</v>
      </c>
      <c r="G45" s="62"/>
      <c r="H45" s="166">
        <v>9694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226653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18</v>
      </c>
      <c r="D50" s="12">
        <f>C50*1.5</f>
        <v>27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-276.75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292</v>
      </c>
      <c r="D6" s="13">
        <f t="shared" ref="D6:D28" si="1">C6*L6</f>
        <v>222212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238898.5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34831.5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204067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238898.5</v>
      </c>
      <c r="F29" s="127" t="s">
        <v>54</v>
      </c>
      <c r="G29" s="189"/>
      <c r="H29" s="149">
        <f>H15-H16-H17-H18-H19-H20-H22-H23-H24+H26+H27</f>
        <v>202771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71">
        <f>F34*G34</f>
        <v>145000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71">
        <f>F35*G35</f>
        <v>51500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71">
        <f t="shared" si="2"/>
        <v>3500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71">
        <f t="shared" si="2"/>
        <v>2050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449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13</v>
      </c>
      <c r="D46" s="12">
        <f>C46*1.5</f>
        <v>19.5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202519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16</v>
      </c>
      <c r="D50" s="12">
        <f>C50*1.5</f>
        <v>24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-252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452</v>
      </c>
      <c r="D6" s="13">
        <f t="shared" ref="D6:D28" si="1">C6*L6</f>
        <v>343972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58</v>
      </c>
      <c r="D9" s="13">
        <f t="shared" si="1"/>
        <v>42514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3096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403382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59484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343898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654+786+678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403382</v>
      </c>
      <c r="F29" s="127" t="s">
        <v>54</v>
      </c>
      <c r="G29" s="189"/>
      <c r="H29" s="149">
        <f>H15-H16-H17-H18-H19-H20-H22-H23-H24+H26+H27</f>
        <v>341730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71">
        <f>F34*G34</f>
        <v>107000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71">
        <f>F35*G35</f>
        <v>71000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71">
        <f t="shared" si="2"/>
        <v>1800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>
        <v>111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66">
        <v>85945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66">
        <v>72690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6</v>
      </c>
      <c r="D49" s="12">
        <f>C49*42</f>
        <v>252</v>
      </c>
      <c r="F49" s="147" t="s">
        <v>85</v>
      </c>
      <c r="G49" s="149">
        <f>H34+H35+H36+H37+H38+H39+H40+H41+G42+H44+H45+H46</f>
        <v>338646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-3084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431</v>
      </c>
      <c r="D6" s="13">
        <f t="shared" ref="D6:D28" si="1">C6*L6</f>
        <v>327991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70</v>
      </c>
      <c r="D8" s="13">
        <f t="shared" si="1"/>
        <v>76510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407264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65709.75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341554.25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196">
        <v>68110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1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407264</v>
      </c>
      <c r="F29" s="127" t="s">
        <v>54</v>
      </c>
      <c r="G29" s="189"/>
      <c r="H29" s="149">
        <f>H15-H16-H17-H18-H19-H20-H22-H23-H24+H26+H27+H28</f>
        <v>272148.25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71">
        <f t="shared" ref="H34:H39" si="2">F34*G34</f>
        <v>41000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71">
        <f t="shared" si="2"/>
        <v>82500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1">
        <v>101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66">
        <f>148000</f>
        <v>148000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21</v>
      </c>
      <c r="D46" s="12">
        <f>C46*1.5</f>
        <v>31.5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271641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-507.25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262</v>
      </c>
      <c r="D6" s="13">
        <f t="shared" ref="D6:D28" si="1">C6*L6</f>
        <v>199382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230743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32746.5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197996.5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230743</v>
      </c>
      <c r="F29" s="127" t="s">
        <v>54</v>
      </c>
      <c r="G29" s="189"/>
      <c r="H29" s="149">
        <f>H15-H16-H17-H18-H19-H20-H22-H23-H24+H26+H27</f>
        <v>196904.5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71">
        <f>F34*G34</f>
        <v>42000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1">
        <f>F35*G35</f>
        <v>21000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71">
        <f t="shared" si="2"/>
        <v>10000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71">
        <f t="shared" si="2"/>
        <v>1600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66">
        <v>122242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196857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4</v>
      </c>
      <c r="D50" s="12">
        <f>C50*1.5</f>
        <v>6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-47.5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520</v>
      </c>
      <c r="D6" s="13">
        <f t="shared" ref="D6:D28" si="1">C6*L6</f>
        <v>395720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</v>
      </c>
      <c r="D9" s="13">
        <f t="shared" si="1"/>
        <v>1466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403373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67381.5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335991.5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654+312+1296+648</f>
        <v>2910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403373</v>
      </c>
      <c r="F29" s="127" t="s">
        <v>54</v>
      </c>
      <c r="G29" s="189"/>
      <c r="H29" s="149">
        <f>H15-H16-H17-H18-H19-H20-H22-H23-H24+H26+H27</f>
        <v>333081.5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71">
        <f>F34*G34</f>
        <v>84000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71">
        <f>F35*G35</f>
        <v>5500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1">
        <f t="shared" ref="H36:H39" si="2">F36*G36</f>
        <v>600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71">
        <f t="shared" si="2"/>
        <v>400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4899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66">
        <v>70468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66">
        <v>140020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66">
        <v>28290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334577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1495.5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66">
        <v>261949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18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261949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66">
        <v>261949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261949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312</v>
      </c>
      <c r="D6" s="13">
        <f t="shared" ref="D6:D28" si="1">C6*L6</f>
        <v>237432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251255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34557.75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216697.25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251255</v>
      </c>
      <c r="F29" s="127" t="s">
        <v>54</v>
      </c>
      <c r="G29" s="189"/>
      <c r="H29" s="149">
        <f>H15-H16-H17-H18-H19-H20-H22-H23-H24+H26+H27</f>
        <v>216049.25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71">
        <f>F34*G34</f>
        <v>179000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71">
        <f>F35*G35</f>
        <v>34000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71">
        <f t="shared" si="2"/>
        <v>600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188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215288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158</v>
      </c>
      <c r="G51" s="260">
        <f>G49-H29</f>
        <v>-761.25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379</v>
      </c>
      <c r="D6" s="13">
        <f t="shared" ref="D6:D28" si="1">C6*L6</f>
        <v>288419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35</v>
      </c>
      <c r="D9" s="13">
        <f t="shared" si="1"/>
        <v>25655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327175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50172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277003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900+798+420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327175</v>
      </c>
      <c r="F29" s="127" t="s">
        <v>54</v>
      </c>
      <c r="G29" s="189"/>
      <c r="H29" s="149">
        <f>H15-H16-H17-H18-H19-H20-H22-H23-H24+H26+H27</f>
        <v>274885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71">
        <f>F34*G34</f>
        <v>132000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71">
        <f>F35*G35</f>
        <v>42500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1">
        <f t="shared" ref="H36:H39" si="2">F36*G36</f>
        <v>400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71">
        <f t="shared" si="2"/>
        <v>2300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15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8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66">
        <v>98385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275620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735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9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166">
        <v>68110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19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68110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171">
        <f t="shared" ref="H34:H39" si="2">F34*G34</f>
        <v>67000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71">
        <f t="shared" si="2"/>
        <v>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68110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9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5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topLeftCell="A21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298</v>
      </c>
      <c r="D6" s="13">
        <f t="shared" ref="D6:D28" si="1">C6*L6</f>
        <v>226778</v>
      </c>
      <c r="F6" s="234" t="s">
        <v>16</v>
      </c>
      <c r="G6" s="236" t="s">
        <v>211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56</v>
      </c>
      <c r="D7" s="13">
        <f t="shared" si="1"/>
        <v>43736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</v>
      </c>
      <c r="D8" s="13">
        <f t="shared" si="1"/>
        <v>5465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</v>
      </c>
      <c r="D9" s="13">
        <f t="shared" si="1"/>
        <v>3665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11</v>
      </c>
      <c r="D10" s="13">
        <f t="shared" si="1"/>
        <v>11352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302668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45939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256729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23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302668</v>
      </c>
      <c r="F29" s="127" t="s">
        <v>54</v>
      </c>
      <c r="G29" s="189"/>
      <c r="H29" s="149">
        <f>H15-H16-H17-H18-H19-H20-H22-H23-H24+H26+H27+H28</f>
        <v>256729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4</v>
      </c>
      <c r="D46" s="12">
        <f>C46*1.5</f>
        <v>6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47</v>
      </c>
      <c r="D49" s="12">
        <f>C49*42</f>
        <v>1974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37</v>
      </c>
      <c r="D50" s="12">
        <f>C50*1.5</f>
        <v>55.5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-256729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topLeftCell="A18" zoomScaleNormal="100" zoomScaleSheetLayoutView="85" workbookViewId="0">
      <selection activeCell="C50" sqref="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328</v>
      </c>
      <c r="D6" s="13">
        <f t="shared" ref="D6:D28" si="1">C6*L6</f>
        <v>249608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262664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37476.75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225187.25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262664</v>
      </c>
      <c r="F29" s="127" t="s">
        <v>54</v>
      </c>
      <c r="G29" s="189"/>
      <c r="H29" s="149">
        <f>H15-H16-H17-H18-H19-H20-H22-H23-H24+H26+H27</f>
        <v>225187.25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-225187.25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abSelected="1" topLeftCell="A18" zoomScaleNormal="100" zoomScaleSheetLayoutView="85" workbookViewId="0">
      <selection activeCell="F28" sqref="F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300</v>
      </c>
      <c r="D6" s="13">
        <f t="shared" ref="D6:D28" si="1">C6*L6</f>
        <v>228300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13</v>
      </c>
      <c r="D7" s="13">
        <f t="shared" si="1"/>
        <v>10153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71</v>
      </c>
      <c r="D9" s="13">
        <f t="shared" si="1"/>
        <v>52043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294801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37740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257061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294801</v>
      </c>
      <c r="F29" s="127" t="s">
        <v>54</v>
      </c>
      <c r="G29" s="189"/>
      <c r="H29" s="149">
        <f>H15-H16-H17-H18-H19-H20-H22-H23-H24+H26+H27</f>
        <v>257061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>
        <v>12</v>
      </c>
      <c r="D46" s="12">
        <f>C46*1.5</f>
        <v>18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-257061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5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117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6"/>
      <c r="G23" s="78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76"/>
      <c r="G24" s="78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74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71"/>
      <c r="G27" s="123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80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46196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115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109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119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118</v>
      </c>
      <c r="C23" s="10"/>
      <c r="D23" s="48">
        <f t="shared" si="1"/>
        <v>0</v>
      </c>
      <c r="F23" s="77"/>
      <c r="G23" s="78"/>
      <c r="H23" s="267"/>
      <c r="I23" s="196"/>
      <c r="J23" s="19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125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5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3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5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5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0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112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113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2026-06-22T00:58:43Z</cp:lastPrinted>
  <dcterms:created xsi:type="dcterms:W3CDTF">2024-09-01T23:36:50Z</dcterms:created>
  <dcterms:modified xsi:type="dcterms:W3CDTF">2026-06-22T08:29:29Z</dcterms:modified>
</cp:coreProperties>
</file>