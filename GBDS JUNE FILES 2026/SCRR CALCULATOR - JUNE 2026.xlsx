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FCCC89A-3823-4108-B258-0BB1EF0CA320}" xr6:coauthVersionLast="45" xr6:coauthVersionMax="47" xr10:uidLastSave="{00000000-0000-0000-0000-000000000000}"/>
  <bookViews>
    <workbookView xWindow="-120" yWindow="-120" windowWidth="29040" windowHeight="15840" firstSheet="69" activeTab="78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82">'06,24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2179" l="1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G49" i="2185" s="1"/>
  <c r="D34" i="2185"/>
  <c r="D54" i="2185" s="1"/>
  <c r="H14" i="2185" s="1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G49" i="2184" s="1"/>
  <c r="D34" i="2184"/>
  <c r="D54" i="2184" s="1"/>
  <c r="H14" i="2184" s="1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G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D54" i="2183" s="1"/>
  <c r="H14" i="2183" s="1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D29" i="2185" l="1"/>
  <c r="H13" i="2185" s="1"/>
  <c r="H15" i="2185" s="1"/>
  <c r="H29" i="2185" s="1"/>
  <c r="G51" i="2185"/>
  <c r="D29" i="2184"/>
  <c r="H13" i="2184" s="1"/>
  <c r="H15" i="2184" s="1"/>
  <c r="H29" i="2184" s="1"/>
  <c r="G51" i="2184" s="1"/>
  <c r="D29" i="2183"/>
  <c r="H13" i="2183" s="1"/>
  <c r="H15" i="2183" s="1"/>
  <c r="H29" i="2183" s="1"/>
  <c r="G51" i="2183"/>
  <c r="D29" i="2182"/>
  <c r="H13" i="2182" s="1"/>
  <c r="H15" i="2182" s="1"/>
  <c r="H29" i="2182" s="1"/>
  <c r="G51" i="2182" s="1"/>
  <c r="H16" i="2176"/>
  <c r="H16" i="2177"/>
  <c r="R52" i="2181" l="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<sst xmlns="http://schemas.openxmlformats.org/spreadsheetml/2006/main" count="11110" uniqueCount="218">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</sst>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89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87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570</v>
      </c>
      <c r="D6" s="13">
        <f t="shared" ref="D6:D28" si="1">C6*L6</f>
        <v>433770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99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</v>
      </c>
      <c r="D9" s="13">
        <f t="shared" si="1"/>
        <v>9529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10</v>
      </c>
      <c r="D10" s="13">
        <f t="shared" si="1"/>
        <v>10320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10</v>
      </c>
      <c r="D12" s="48">
        <f t="shared" si="1"/>
        <v>9920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170" t="s">
        <v>36</v>
      </c>
      <c r="G13" s="171"/>
      <c r="H13" s="172">
        <f>D29</f>
        <v>475222.5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54630.75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420591.75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2760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66"/>
      <c r="I23" s="267"/>
      <c r="J23" s="26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09">
        <v>68780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4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475222.5</v>
      </c>
      <c r="F29" s="193" t="s">
        <v>54</v>
      </c>
      <c r="G29" s="194"/>
      <c r="H29" s="197">
        <f>H15-H16-H17-H18-H19-H20-H22-H23-H24+H26+H27+H28</f>
        <v>486611.75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25">
        <f t="shared" ref="H34:H39" si="2">F34*G34</f>
        <v>116000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25">
        <f t="shared" si="2"/>
        <v>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25">
        <f t="shared" si="2"/>
        <v>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80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09">
        <v>317788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09">
        <v>13533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107" t="s">
        <v>135</v>
      </c>
      <c r="H46" s="209">
        <v>33800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26</v>
      </c>
      <c r="D49" s="12">
        <f>C49*42</f>
        <v>1092</v>
      </c>
      <c r="F49" s="250" t="s">
        <v>85</v>
      </c>
      <c r="G49" s="197">
        <f>H34+H35+H36+H37+H38+H39+H40+H41+G42+H44+H45+H46</f>
        <v>485901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-710.75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275</v>
      </c>
      <c r="D6" s="13">
        <f t="shared" ref="D6:D28" si="1">C6*L6</f>
        <v>209275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40</v>
      </c>
      <c r="D9" s="13">
        <f t="shared" si="1"/>
        <v>29320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1170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3</v>
      </c>
      <c r="D13" s="48">
        <f t="shared" si="1"/>
        <v>921</v>
      </c>
      <c r="F13" s="170" t="s">
        <v>36</v>
      </c>
      <c r="G13" s="171"/>
      <c r="H13" s="172">
        <f>D29</f>
        <v>247146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36182.25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210963.75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696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247146</v>
      </c>
      <c r="F29" s="193" t="s">
        <v>54</v>
      </c>
      <c r="G29" s="194"/>
      <c r="H29" s="197">
        <f>H15-H16-H17-H18-H19-H20-H22-H23-H24+H26+H27</f>
        <v>210267.75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25">
        <f>F34*G34</f>
        <v>186000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25">
        <f>F35*G35</f>
        <v>23500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242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210092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-175.75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307</v>
      </c>
      <c r="D6" s="13">
        <f t="shared" ref="D6:D28" si="1">C6*L6</f>
        <v>233627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25</v>
      </c>
      <c r="D9" s="13">
        <f t="shared" si="1"/>
        <v>18325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3</v>
      </c>
      <c r="D12" s="48">
        <f t="shared" si="1"/>
        <v>2976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266056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58272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207784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588+504</f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266056</v>
      </c>
      <c r="F29" s="193" t="s">
        <v>54</v>
      </c>
      <c r="G29" s="194"/>
      <c r="H29" s="197">
        <f>H15-H16-H17-H18-H19-H20-H22-H23-H24+H26+H27</f>
        <v>206692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25">
        <f>F34*G34</f>
        <v>73000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25">
        <f>F35*G35</f>
        <v>55500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25">
        <f t="shared" si="2"/>
        <v>12100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25">
        <f t="shared" si="2"/>
        <v>3050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401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09">
        <v>55389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75"/>
      <c r="H45" s="209">
        <v>1032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200692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141</v>
      </c>
      <c r="G51" s="260">
        <f>G49-H29</f>
        <v>-6000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304</v>
      </c>
      <c r="D6" s="13">
        <f t="shared" ref="D6:D28" si="1">C6*L6</f>
        <v>231344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1562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</v>
      </c>
      <c r="D9" s="13">
        <f t="shared" si="1"/>
        <v>8063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242753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35565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1</v>
      </c>
      <c r="D15" s="31">
        <f t="shared" si="1"/>
        <v>620</v>
      </c>
      <c r="F15" s="180" t="s">
        <v>39</v>
      </c>
      <c r="G15" s="171"/>
      <c r="H15" s="181">
        <f>H13-H14</f>
        <v>207188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242753</v>
      </c>
      <c r="F29" s="193" t="s">
        <v>54</v>
      </c>
      <c r="G29" s="194"/>
      <c r="H29" s="197">
        <f>H15-H16-H17-H18-H19-H20-H22-H23-H24+H26+H27+H28</f>
        <v>207146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25">
        <f t="shared" ref="H34:H39" si="2">F34*G34</f>
        <v>114000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5">
        <f t="shared" si="2"/>
        <v>22000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25">
        <f t="shared" si="2"/>
        <v>400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25">
        <f t="shared" si="2"/>
        <v>1900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124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140</v>
      </c>
      <c r="G44" s="62"/>
      <c r="H44" s="209">
        <v>55000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09">
        <v>13650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207264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6</v>
      </c>
      <c r="D50" s="12">
        <f>C50*1.5</f>
        <v>9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144</v>
      </c>
      <c r="G51" s="272">
        <f>G49-H29</f>
        <v>118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330</v>
      </c>
      <c r="D6" s="13">
        <f t="shared" ref="D6:D28" si="1">C6*L6</f>
        <v>251130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</v>
      </c>
      <c r="D9" s="13">
        <f t="shared" si="1"/>
        <v>733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256886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37893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218993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1944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256886</v>
      </c>
      <c r="F29" s="193" t="s">
        <v>54</v>
      </c>
      <c r="G29" s="194"/>
      <c r="H29" s="197">
        <f>H15-H16-H17-H18-H19-H20-H22-H23-H24+H26+H27</f>
        <v>217049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25">
        <f>F34*G34</f>
        <v>102000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25">
        <f>F35*G35</f>
        <v>114500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11</v>
      </c>
      <c r="D49" s="12">
        <f>C49*42</f>
        <v>462</v>
      </c>
      <c r="F49" s="250" t="s">
        <v>85</v>
      </c>
      <c r="G49" s="197">
        <f>H34+H35+H36+H37+H38+H39+H40+H41+G42+H44+H45+H46</f>
        <v>216834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141</v>
      </c>
      <c r="G51" s="260">
        <f>G49-H29</f>
        <v>-215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8">
        <v>346</v>
      </c>
      <c r="D6" s="13">
        <f t="shared" ref="D6:D28" si="1">C6*L6</f>
        <v>263306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8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8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8">
        <v>74</v>
      </c>
      <c r="D9" s="13">
        <f t="shared" si="1"/>
        <v>54242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8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8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8">
        <f>10+10+2</f>
        <v>22</v>
      </c>
      <c r="D12" s="48">
        <f t="shared" si="1"/>
        <v>21824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8">
        <v>1</v>
      </c>
      <c r="D13" s="48">
        <f t="shared" si="1"/>
        <v>307</v>
      </c>
      <c r="F13" s="170" t="s">
        <v>36</v>
      </c>
      <c r="G13" s="171"/>
      <c r="H13" s="172">
        <f>D29</f>
        <v>403944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8"/>
      <c r="D14" s="31">
        <f t="shared" si="1"/>
        <v>0</v>
      </c>
      <c r="F14" s="175" t="s">
        <v>38</v>
      </c>
      <c r="G14" s="176"/>
      <c r="H14" s="177">
        <f>D54</f>
        <v>72575.25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8">
        <f>10</f>
        <v>10</v>
      </c>
      <c r="D15" s="31">
        <f t="shared" si="1"/>
        <v>6200</v>
      </c>
      <c r="F15" s="180" t="s">
        <v>39</v>
      </c>
      <c r="G15" s="171"/>
      <c r="H15" s="181">
        <f>H13-H14</f>
        <v>331368.75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4">
        <v>918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148</v>
      </c>
      <c r="C22" s="108">
        <v>1</v>
      </c>
      <c r="D22" s="48">
        <f t="shared" si="1"/>
        <v>1102</v>
      </c>
      <c r="F22" s="76"/>
      <c r="G22" s="72"/>
      <c r="H22" s="207"/>
      <c r="I22" s="207"/>
      <c r="J22" s="20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71"/>
      <c r="I23" s="207"/>
      <c r="J23" s="20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150</v>
      </c>
      <c r="C24" s="108">
        <v>1</v>
      </c>
      <c r="D24" s="48">
        <f t="shared" si="1"/>
        <v>1582</v>
      </c>
      <c r="F24" s="38"/>
      <c r="G24" s="37"/>
      <c r="H24" s="208"/>
      <c r="I24" s="209"/>
      <c r="J24" s="20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152</v>
      </c>
      <c r="C26" s="108">
        <v>1</v>
      </c>
      <c r="D26" s="48">
        <f t="shared" si="1"/>
        <v>1277</v>
      </c>
      <c r="F26" s="64"/>
      <c r="G26" s="59"/>
      <c r="H26" s="213"/>
      <c r="I26" s="214"/>
      <c r="J26" s="21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153</v>
      </c>
      <c r="C27" s="108">
        <v>2</v>
      </c>
      <c r="D27" s="44">
        <f t="shared" si="1"/>
        <v>3334</v>
      </c>
      <c r="F27" s="25"/>
      <c r="G27" s="79"/>
      <c r="H27" s="216"/>
      <c r="I27" s="217"/>
      <c r="J27" s="21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403944</v>
      </c>
      <c r="F29" s="193" t="s">
        <v>54</v>
      </c>
      <c r="G29" s="194"/>
      <c r="H29" s="197">
        <f>H15-H16-H17-H18-H19-H20-H22-H23-H24+H26+H27</f>
        <v>330400.75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25">
        <f>F35*G35</f>
        <v>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25">
        <f t="shared" si="2"/>
        <v>3000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38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09">
        <v>98416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09">
        <v>221673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10</v>
      </c>
      <c r="D46" s="12">
        <f>C46*1.5</f>
        <v>15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329777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5</v>
      </c>
      <c r="D50" s="12">
        <f>C50*1.5</f>
        <v>7.5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154</v>
      </c>
      <c r="G51" s="260">
        <f>G49-H29</f>
        <v>-623.75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441</v>
      </c>
      <c r="D6" s="13">
        <f t="shared" ref="D6:D28" si="1">C6*L6</f>
        <v>335601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361570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41899.5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2</v>
      </c>
      <c r="D15" s="31">
        <f t="shared" si="1"/>
        <v>1240</v>
      </c>
      <c r="F15" s="180" t="s">
        <v>39</v>
      </c>
      <c r="G15" s="171"/>
      <c r="H15" s="181">
        <f>H13-H14</f>
        <v>319670.5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4">
        <v>1944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07">
        <v>88549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09">
        <v>78233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361570</v>
      </c>
      <c r="F29" s="193" t="s">
        <v>54</v>
      </c>
      <c r="G29" s="194"/>
      <c r="H29" s="197">
        <f>H15-H16-H17-H18-H19-H20-H22-H23-H24+H26+H27+H28</f>
        <v>307410.5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25">
        <f t="shared" ref="H34:H39" si="2">F34*G34</f>
        <v>180000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25">
        <f t="shared" si="2"/>
        <v>43700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25">
        <f t="shared" si="2"/>
        <v>3200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09">
        <v>78233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306133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-1277.5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370</v>
      </c>
      <c r="D6" s="13">
        <f t="shared" ref="D6:D28" si="1">C6*L6</f>
        <v>281570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50</v>
      </c>
      <c r="D7" s="13">
        <f t="shared" si="1"/>
        <v>39050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65</v>
      </c>
      <c r="D8" s="13">
        <f t="shared" si="1"/>
        <v>71045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117</v>
      </c>
      <c r="D9" s="13">
        <f t="shared" si="1"/>
        <v>85761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26</v>
      </c>
      <c r="D12" s="48">
        <f t="shared" si="1"/>
        <v>25792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508853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82236.75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426616.25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3042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07">
        <v>62272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508853</v>
      </c>
      <c r="F29" s="193" t="s">
        <v>54</v>
      </c>
      <c r="G29" s="194"/>
      <c r="H29" s="197">
        <f>H15-H16-H17-H18-H19-H20-H22-H23-H24+H26+H27+H28</f>
        <v>361302.25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25">
        <f t="shared" ref="H34:H39" si="2">F34*G34</f>
        <v>23000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5">
        <f t="shared" si="2"/>
        <v>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25">
        <f t="shared" si="2"/>
        <v>2300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25">
        <f t="shared" si="2"/>
        <v>450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5">
        <v>80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09">
        <v>321116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10122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360568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-734.25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297</v>
      </c>
      <c r="D6" s="13">
        <f t="shared" ref="D6:D28" si="1">C6*L6</f>
        <v>226017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23</v>
      </c>
      <c r="D9" s="13">
        <f t="shared" si="1"/>
        <v>16859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248406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41370.75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207035.25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4">
        <v>1896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248406</v>
      </c>
      <c r="F29" s="193" t="s">
        <v>54</v>
      </c>
      <c r="G29" s="194"/>
      <c r="H29" s="197">
        <f>H15-H16-H17-H18-H19-H20-H22-H23-H24+H26+H27</f>
        <v>205139.25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25">
        <f>F34*G34</f>
        <v>26000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25">
        <f>F35*G35</f>
        <v>52500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3</v>
      </c>
      <c r="D42" s="12">
        <f>C42*2.25</f>
        <v>6.75</v>
      </c>
      <c r="F42" s="39" t="s">
        <v>78</v>
      </c>
      <c r="G42" s="225">
        <v>85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09">
        <v>126406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205091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-48.25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539</v>
      </c>
      <c r="D6" s="13">
        <f t="shared" ref="D6:D28" si="1">C6*L6</f>
        <v>410179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135</v>
      </c>
      <c r="D9" s="13">
        <f t="shared" si="1"/>
        <v>98955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20</v>
      </c>
      <c r="D11" s="13">
        <f t="shared" si="1"/>
        <v>23400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20</v>
      </c>
      <c r="D12" s="48">
        <f t="shared" si="1"/>
        <v>19840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24</v>
      </c>
      <c r="D13" s="48">
        <f t="shared" si="1"/>
        <v>7368</v>
      </c>
      <c r="F13" s="170" t="s">
        <v>36</v>
      </c>
      <c r="G13" s="171"/>
      <c r="H13" s="172">
        <f>D29</f>
        <v>582314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89697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492617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4">
        <f>924+306</f>
        <v>1230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148</v>
      </c>
      <c r="C27" s="10">
        <v>1</v>
      </c>
      <c r="D27" s="44">
        <f t="shared" si="1"/>
        <v>1102</v>
      </c>
      <c r="F27" s="25"/>
      <c r="G27" s="79"/>
      <c r="H27" s="216"/>
      <c r="I27" s="217"/>
      <c r="J27" s="21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582314</v>
      </c>
      <c r="F29" s="193" t="s">
        <v>54</v>
      </c>
      <c r="G29" s="194"/>
      <c r="H29" s="197">
        <f>H15-H16-H17-H18-H19-H20-H22-H23-H24+H26+H27</f>
        <v>491387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25">
        <f>F34*G34</f>
        <v>24000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25">
        <f>F35*G35</f>
        <v>2000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25">
        <f t="shared" si="2"/>
        <v>5900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30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09">
        <v>30346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09">
        <v>328788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09">
        <v>99736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24</v>
      </c>
      <c r="D49" s="12">
        <f>C49*42</f>
        <v>1008</v>
      </c>
      <c r="F49" s="250" t="s">
        <v>85</v>
      </c>
      <c r="G49" s="197">
        <f>H34+H35+H36+H37+H38+H39+H40+H41+G42+H44+H45+H46</f>
        <v>491050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14</v>
      </c>
      <c r="D50" s="12">
        <f>C50*1.5</f>
        <v>21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163</v>
      </c>
      <c r="G51" s="260">
        <f>G49-H29</f>
        <v>-337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384</v>
      </c>
      <c r="D6" s="13">
        <f t="shared" ref="D6:D28" si="1">C6*L6</f>
        <v>292224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302509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39733.5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262775.5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302509</v>
      </c>
      <c r="F29" s="193" t="s">
        <v>54</v>
      </c>
      <c r="G29" s="194"/>
      <c r="H29" s="197">
        <f>H15-H16-H17-H18-H19-H20-H22-H23-H24+H26+H27</f>
        <v>261479.5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25">
        <f>F34*G34</f>
        <v>90000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25">
        <f>F35*G35</f>
        <v>25500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77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09">
        <v>145825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261542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5</v>
      </c>
      <c r="D50" s="12">
        <f>C50*1.5</f>
        <v>7.5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62.5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389</v>
      </c>
      <c r="D6" s="13">
        <f t="shared" ref="D6:D28" si="1">C6*L6</f>
        <v>296029</v>
      </c>
      <c r="F6" s="148" t="s">
        <v>16</v>
      </c>
      <c r="G6" s="150" t="s">
        <v>170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20</v>
      </c>
      <c r="D7" s="13">
        <f t="shared" si="1"/>
        <v>15620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46</v>
      </c>
      <c r="D9" s="13">
        <f t="shared" si="1"/>
        <v>33718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4+1</f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357319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52380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304939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357319</v>
      </c>
      <c r="F29" s="193" t="s">
        <v>54</v>
      </c>
      <c r="G29" s="194"/>
      <c r="H29" s="197">
        <f>H15-H16-H17-H18-H19-H20-H22-H23-H24+H26+H27</f>
        <v>303847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25">
        <f>F34*G34</f>
        <v>103000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5">
        <f>F35*G35</f>
        <v>4500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25">
        <f t="shared" si="2"/>
        <v>6300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20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09">
        <v>69159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09">
        <v>119736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5</v>
      </c>
      <c r="D46" s="12">
        <f>C46*1.5</f>
        <v>7.5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302965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14</v>
      </c>
      <c r="D50" s="12">
        <f>C50*1.5</f>
        <v>21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137</v>
      </c>
      <c r="G51" s="260">
        <f>G49-H29</f>
        <v>-882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09">
        <v>62272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62272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5">
        <f t="shared" ref="H34:H39" si="2">F34*G34</f>
        <v>62000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5">
        <f t="shared" si="2"/>
        <v>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62272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46179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457</v>
      </c>
      <c r="D6" s="13">
        <f t="shared" ref="D6:D28" si="1">C6*L6</f>
        <v>347777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33</v>
      </c>
      <c r="D9" s="13">
        <f t="shared" si="1"/>
        <v>24189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379695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56268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323427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2832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379695</v>
      </c>
      <c r="F29" s="193" t="s">
        <v>54</v>
      </c>
      <c r="G29" s="194"/>
      <c r="H29" s="197">
        <f>H15-H16-H17-H18-H19-H20-H22-H23-H24+H26+H27</f>
        <v>320595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25">
        <f>F34*G34</f>
        <v>151000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25">
        <f>F35*G35</f>
        <v>167000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76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15</v>
      </c>
      <c r="D49" s="12">
        <f>C49*42</f>
        <v>630</v>
      </c>
      <c r="F49" s="250" t="s">
        <v>85</v>
      </c>
      <c r="G49" s="197">
        <f>H34+H35+H36+H37+H38+H39+H40+H41+G42+H44+H45+H46</f>
        <v>319046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-1549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416</v>
      </c>
      <c r="D6" s="13">
        <f t="shared" ref="D6:D28" si="1">C6*L6</f>
        <v>316576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76</v>
      </c>
      <c r="D9" s="13">
        <f t="shared" si="1"/>
        <v>55708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1170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389426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56689.5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332736.5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2478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389426</v>
      </c>
      <c r="F29" s="193" t="s">
        <v>54</v>
      </c>
      <c r="G29" s="194"/>
      <c r="H29" s="197">
        <f>H15-H16-H17-H18-H19-H20-H22-H23-H24+H26+H27</f>
        <v>330258.5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25">
        <f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5">
        <f>F35*G35</f>
        <v>30000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25">
        <f t="shared" si="2"/>
        <v>5200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25">
        <f t="shared" si="2"/>
        <v>900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25">
        <v>204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09">
        <v>164463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8</v>
      </c>
      <c r="D46" s="12">
        <f>C46*1.5</f>
        <v>12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322767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7</v>
      </c>
      <c r="D50" s="12">
        <f>C50*1.5</f>
        <v>10.5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-7491.5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339</v>
      </c>
      <c r="D6" s="13">
        <f t="shared" ref="D6:D28" si="1">C6*L6</f>
        <v>257979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9</v>
      </c>
      <c r="D7" s="13">
        <f t="shared" si="1"/>
        <v>7029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</v>
      </c>
      <c r="D13" s="48">
        <f t="shared" si="1"/>
        <v>614</v>
      </c>
      <c r="F13" s="170" t="s">
        <v>36</v>
      </c>
      <c r="G13" s="171"/>
      <c r="H13" s="172">
        <f>D29</f>
        <v>284998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35218.5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249779.5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284998</v>
      </c>
      <c r="F29" s="193" t="s">
        <v>54</v>
      </c>
      <c r="G29" s="194"/>
      <c r="H29" s="197">
        <f>H15-H16-H17-H18-H19-H20-H22-H23-H24+H26+H27+H28</f>
        <v>249779.5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25">
        <f t="shared" ref="H34:H39" si="2">F34*G34</f>
        <v>129000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5">
        <f t="shared" si="2"/>
        <v>36500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25">
        <f t="shared" si="2"/>
        <v>3600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25">
        <f t="shared" si="2"/>
        <v>900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58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09">
        <v>67000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12350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249428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21</v>
      </c>
      <c r="D50" s="12">
        <f>C50*1.5</f>
        <v>31.5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-351.5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323</v>
      </c>
      <c r="D6" s="13">
        <f t="shared" ref="D6:D28" si="1">C6*L6</f>
        <v>245803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3</v>
      </c>
      <c r="D7" s="13">
        <f t="shared" si="1"/>
        <v>2343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50</v>
      </c>
      <c r="D9" s="13">
        <f t="shared" si="1"/>
        <v>36650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296582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46258.5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250323.5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4">
        <v>2070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296582</v>
      </c>
      <c r="F29" s="193" t="s">
        <v>54</v>
      </c>
      <c r="G29" s="194"/>
      <c r="H29" s="197">
        <f>H15-H16-H17-H18-H19-H20-H22-H23-H24+H26+H27</f>
        <v>248253.5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25">
        <f>F34*G34</f>
        <v>18000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5">
        <f>F35*G35</f>
        <v>5000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09">
        <v>224866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247986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-267.5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490</v>
      </c>
      <c r="D6" s="13">
        <f t="shared" ref="D6:D28" si="1">C6*L6</f>
        <v>372890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27</v>
      </c>
      <c r="D7" s="13">
        <f t="shared" si="1"/>
        <v>21087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7+2</f>
        <v>9</v>
      </c>
      <c r="D12" s="48">
        <f t="shared" si="1"/>
        <v>8928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19</v>
      </c>
      <c r="D13" s="48">
        <f t="shared" si="1"/>
        <v>5833</v>
      </c>
      <c r="F13" s="170" t="s">
        <v>36</v>
      </c>
      <c r="G13" s="171"/>
      <c r="H13" s="172">
        <f>D29</f>
        <v>494155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67279.5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426875.5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3288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494155</v>
      </c>
      <c r="F29" s="193" t="s">
        <v>54</v>
      </c>
      <c r="G29" s="194"/>
      <c r="H29" s="197">
        <f>H15-H16-H17-H18-H19-H20-H22-H23-H24+H26+H27</f>
        <v>423587.5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25">
        <f>F34*G34</f>
        <v>30000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5">
        <f>F35*G35</f>
        <v>29500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25">
        <f t="shared" si="2"/>
        <v>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5">
        <f t="shared" si="2"/>
        <v>150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42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09">
        <v>129945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09">
        <v>233114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4</v>
      </c>
      <c r="D46" s="12">
        <f>C46*1.5</f>
        <v>6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423571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22</v>
      </c>
      <c r="D50" s="12">
        <f>C50*1.5</f>
        <v>33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-16.5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312</v>
      </c>
      <c r="D6" s="13">
        <f t="shared" ref="D6:D28" si="1">C6*L6</f>
        <v>237432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15</v>
      </c>
      <c r="D9" s="13">
        <f t="shared" si="1"/>
        <v>10995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262429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37573.5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2</v>
      </c>
      <c r="D15" s="31">
        <f t="shared" si="1"/>
        <v>1240</v>
      </c>
      <c r="F15" s="180" t="s">
        <v>39</v>
      </c>
      <c r="G15" s="171"/>
      <c r="H15" s="181">
        <f>H13-H14</f>
        <v>224855.5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9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262429</v>
      </c>
      <c r="F29" s="193" t="s">
        <v>54</v>
      </c>
      <c r="G29" s="194"/>
      <c r="H29" s="197">
        <f>H15-H16-H17-H18-H19-H20-H22-H23-H24+H26+H27+H28</f>
        <v>224855.5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25">
        <f t="shared" ref="H34:H39" si="2">F34*G34</f>
        <v>54000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25">
        <f t="shared" si="2"/>
        <v>7000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si="2"/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25">
        <f t="shared" si="2"/>
        <v>1800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4</v>
      </c>
      <c r="D42" s="12">
        <f>C42*2.25</f>
        <v>9</v>
      </c>
      <c r="F42" s="39" t="s">
        <v>78</v>
      </c>
      <c r="G42" s="225">
        <v>60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09">
        <v>11360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09">
        <v>150130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1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33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8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11"/>
      <c r="D49" s="12">
        <f>C49*42</f>
        <v>0</v>
      </c>
      <c r="F49" s="250" t="s">
        <v>85</v>
      </c>
      <c r="G49" s="197">
        <f>H34+H35+H36+H37+H38+H39+H40+H41+G42+H44+H45+H46</f>
        <v>224670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-185.5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338</v>
      </c>
      <c r="D6" s="13">
        <f t="shared" ref="D6:D28" si="1">C6*L6</f>
        <v>257218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14</v>
      </c>
      <c r="D9" s="13">
        <f t="shared" si="1"/>
        <v>10262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297741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41929.5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255811.5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297741</v>
      </c>
      <c r="F29" s="193" t="s">
        <v>54</v>
      </c>
      <c r="G29" s="194"/>
      <c r="H29" s="197">
        <f>H15-H16-H17-H18-H19-H20-H22-H23-H24+H26+H27</f>
        <v>254515.5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25">
        <f>F34*G34</f>
        <v>107000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25">
        <f>F35*G35</f>
        <v>6000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9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09">
        <v>140790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3</v>
      </c>
      <c r="D45" s="12">
        <f>C45*84</f>
        <v>252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13</v>
      </c>
      <c r="D46" s="12">
        <f>C46*1.5</f>
        <v>19.5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253940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22</v>
      </c>
      <c r="D50" s="12">
        <f>C50*1.5</f>
        <v>33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180</v>
      </c>
      <c r="G51" s="260">
        <f>G49-H29</f>
        <v>-575.5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265</v>
      </c>
      <c r="D6" s="13">
        <f t="shared" ref="D6:D28" si="1">C6*L6</f>
        <v>201665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286866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41175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245691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1932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286866</v>
      </c>
      <c r="F29" s="193" t="s">
        <v>54</v>
      </c>
      <c r="G29" s="194"/>
      <c r="H29" s="197">
        <f>H15-H16-H17-H18-H19-H20-H22-H23-H24+H26+H27</f>
        <v>243759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25">
        <f>F34*G34</f>
        <v>138000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5">
        <f>F35*G35</f>
        <v>105500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243500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-259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46184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269</v>
      </c>
      <c r="D6" s="13">
        <f t="shared" ref="D6:D28" si="1">C6*L6</f>
        <v>204709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11</v>
      </c>
      <c r="D7" s="13">
        <f t="shared" si="1"/>
        <v>8591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26</v>
      </c>
      <c r="D8" s="13">
        <f t="shared" si="1"/>
        <v>28418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53</v>
      </c>
      <c r="D9" s="13">
        <f t="shared" si="1"/>
        <v>38849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5</v>
      </c>
      <c r="D11" s="13">
        <f t="shared" si="1"/>
        <v>5850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</v>
      </c>
      <c r="D13" s="48">
        <f t="shared" si="1"/>
        <v>614</v>
      </c>
      <c r="F13" s="170" t="s">
        <v>36</v>
      </c>
      <c r="G13" s="171"/>
      <c r="H13" s="172">
        <f>D29</f>
        <v>291580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43789.5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247790.5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1242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07">
        <v>35098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291580</v>
      </c>
      <c r="F29" s="193" t="s">
        <v>54</v>
      </c>
      <c r="G29" s="194"/>
      <c r="H29" s="197">
        <f>H15-H16-H17-H18-H19-H20-H22-H23-H24+H26+H27</f>
        <v>211400.5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25">
        <f>F34*G34</f>
        <v>83000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5">
        <f>F35*G35</f>
        <v>20000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26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09">
        <v>97440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75"/>
      <c r="H45" s="209">
        <v>17976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15</v>
      </c>
      <c r="D46" s="12">
        <f>C46*1.5</f>
        <v>22.5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218542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16</v>
      </c>
      <c r="D50" s="12">
        <f>C50*1.5</f>
        <v>24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7141.5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422</v>
      </c>
      <c r="D6" s="13">
        <f t="shared" ref="D6:D28" si="1">C6*L6</f>
        <v>321142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103</v>
      </c>
      <c r="D9" s="13">
        <f t="shared" si="1"/>
        <v>75499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410353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40264.5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f>3+1</f>
        <v>4</v>
      </c>
      <c r="D15" s="31">
        <f t="shared" si="1"/>
        <v>2480</v>
      </c>
      <c r="F15" s="180" t="s">
        <v>39</v>
      </c>
      <c r="G15" s="171"/>
      <c r="H15" s="181">
        <f>H13-H14</f>
        <v>370088.5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1074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07">
        <v>123065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410353</v>
      </c>
      <c r="F29" s="193" t="s">
        <v>54</v>
      </c>
      <c r="G29" s="194"/>
      <c r="H29" s="197">
        <f>H15-H16-H17-H18-H19-H20-H22-H23-H24+H26+H27+H28</f>
        <v>245949.5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25">
        <f t="shared" ref="H34:H39" si="2">F34*G34</f>
        <v>38000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5">
        <f t="shared" si="2"/>
        <v>22500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25">
        <f t="shared" si="2"/>
        <v>450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12</v>
      </c>
      <c r="D42" s="12">
        <f>C42*2.25</f>
        <v>27</v>
      </c>
      <c r="F42" s="39" t="s">
        <v>78</v>
      </c>
      <c r="G42" s="225">
        <v>16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09">
        <v>134999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09">
        <v>45000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09">
        <v>4550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245615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-334.5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277</v>
      </c>
      <c r="D6" s="13">
        <f t="shared" ref="D6:D28" si="1">C6*L6</f>
        <v>210797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68</v>
      </c>
      <c r="D9" s="13">
        <f t="shared" si="1"/>
        <v>49844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273580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46170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v>1</v>
      </c>
      <c r="D15" s="31">
        <f t="shared" si="1"/>
        <v>620</v>
      </c>
      <c r="F15" s="180" t="s">
        <v>39</v>
      </c>
      <c r="G15" s="171"/>
      <c r="H15" s="181">
        <f>H13-H14</f>
        <v>227410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4">
        <v>1140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273580</v>
      </c>
      <c r="F29" s="193" t="s">
        <v>54</v>
      </c>
      <c r="G29" s="194"/>
      <c r="H29" s="197">
        <f>H15-H16-H17-H18-H19-H20-H22-H23-H24+H26+H27</f>
        <v>226270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25">
        <f>F34*G34</f>
        <v>85000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5">
        <f>F35*G35</f>
        <v>15000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25">
        <f t="shared" si="2"/>
        <v>6600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41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09">
        <v>119356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5</v>
      </c>
      <c r="D49" s="12">
        <f>C49*42</f>
        <v>210</v>
      </c>
      <c r="F49" s="250" t="s">
        <v>85</v>
      </c>
      <c r="G49" s="197">
        <f>H34+H35+H36+H37+H38+H39+H40+H41+G42+H44+H45+H46</f>
        <v>225997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-273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2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4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09">
        <v>123065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4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123065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4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09">
        <v>123065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123065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322</v>
      </c>
      <c r="D6" s="13">
        <f t="shared" ref="D6:D28" si="1">C6*L6</f>
        <v>245042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111</v>
      </c>
      <c r="D9" s="13">
        <f t="shared" si="1"/>
        <v>81363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337138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68018.25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269119.75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2430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>
        <v>125.84</v>
      </c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09">
        <v>35098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337138</v>
      </c>
      <c r="F29" s="193" t="s">
        <v>54</v>
      </c>
      <c r="G29" s="194"/>
      <c r="H29" s="197">
        <f>H15-H16-H17-H18-H19-H20-H22-H23-H24+H26+H27+H28</f>
        <v>301661.90999999997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25">
        <f t="shared" ref="H34:H39" si="2">F34*G34</f>
        <v>58000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25">
        <v>48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09">
        <v>183077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09">
        <v>57853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23</v>
      </c>
      <c r="D46" s="12">
        <f>C46*1.5</f>
        <v>34.5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2</v>
      </c>
      <c r="D49" s="12">
        <f>C49*42</f>
        <v>84</v>
      </c>
      <c r="F49" s="250" t="s">
        <v>85</v>
      </c>
      <c r="G49" s="197">
        <f>H34+H35+H36+H37+H38+H39+H40+H41+G42+H44+H45+H46</f>
        <v>300948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190</v>
      </c>
      <c r="G51" s="260">
        <f>G49-H29</f>
        <v>-713.90999999997439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379</v>
      </c>
      <c r="D6" s="13">
        <f t="shared" ref="D6:D28" si="1">C6*L6</f>
        <v>288419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170" t="s">
        <v>36</v>
      </c>
      <c r="G13" s="171"/>
      <c r="H13" s="172">
        <f>D29</f>
        <v>301187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45102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256085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2316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301187</v>
      </c>
      <c r="F29" s="193" t="s">
        <v>54</v>
      </c>
      <c r="G29" s="194"/>
      <c r="H29" s="197">
        <f>H15-H16-H17-H18-H19-H20-H22-H23-H24+H26+H27</f>
        <v>253769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25">
        <f>F34*G34</f>
        <v>77000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25">
        <f>F35*G35</f>
        <v>176500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25">
        <f t="shared" si="2"/>
        <v>250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44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9</v>
      </c>
      <c r="D49" s="12">
        <f>C49*42</f>
        <v>378</v>
      </c>
      <c r="F49" s="250" t="s">
        <v>85</v>
      </c>
      <c r="G49" s="197">
        <f>H34+H35+H36+H37+H38+H39+H40+H41+G42+H44+H45+H46</f>
        <v>253794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46188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483</v>
      </c>
      <c r="D6" s="13">
        <f t="shared" ref="D6:D28" si="1">C6*L6</f>
        <v>367563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162</v>
      </c>
      <c r="D9" s="13">
        <f t="shared" si="1"/>
        <v>118746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3+1</f>
        <v>4</v>
      </c>
      <c r="D12" s="48">
        <f t="shared" si="1"/>
        <v>3968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23</v>
      </c>
      <c r="D13" s="48">
        <f t="shared" si="1"/>
        <v>7061</v>
      </c>
      <c r="F13" s="170" t="s">
        <v>36</v>
      </c>
      <c r="G13" s="171"/>
      <c r="H13" s="172">
        <f>D29</f>
        <v>510083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51577.5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458505.5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4">
        <f>828+726</f>
        <v>1554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510083</v>
      </c>
      <c r="F29" s="193" t="s">
        <v>54</v>
      </c>
      <c r="G29" s="194"/>
      <c r="H29" s="197">
        <f>H15-H16-H17-H18-H19-H20-H22-H23-H24+H26+H27</f>
        <v>456901.5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25">
        <f>F34*G34</f>
        <v>49000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5">
        <f>F35*G35</f>
        <v>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25">
        <f t="shared" si="2"/>
        <v>3500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25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09">
        <v>89622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09">
        <v>78268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09">
        <v>235016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456931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17</v>
      </c>
      <c r="D50" s="12">
        <f>C50*1.5</f>
        <v>25.5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29.5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583</v>
      </c>
      <c r="D6" s="13">
        <f t="shared" ref="D6:D28" si="1">C6*L6</f>
        <v>443663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8</v>
      </c>
      <c r="D7" s="13">
        <f t="shared" si="1"/>
        <v>6248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121</v>
      </c>
      <c r="D9" s="13">
        <f t="shared" si="1"/>
        <v>88693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2340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550495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102604.5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447890.5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2592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07">
        <v>261949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66">
        <v>93725</v>
      </c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09">
        <v>88549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06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550495</v>
      </c>
      <c r="F29" s="193" t="s">
        <v>54</v>
      </c>
      <c r="G29" s="194"/>
      <c r="H29" s="197">
        <f>H15-H16-H17-H18-H19-H20-H22-H23-H24+H26+H27+H28</f>
        <v>178173.5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25">
        <f t="shared" ref="H34:H39" si="2">F34*G34</f>
        <v>40000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5">
        <f t="shared" si="2"/>
        <v>13000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25">
        <f t="shared" si="2"/>
        <v>5300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114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09">
        <v>80000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09">
        <v>38726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177190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138</v>
      </c>
      <c r="G51" s="260">
        <f>G49-H29</f>
        <v>-983.5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318</v>
      </c>
      <c r="D6" s="13">
        <f t="shared" ref="D6:D28" si="1">C6*L6</f>
        <v>241998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7</v>
      </c>
      <c r="D7" s="13">
        <f t="shared" si="1"/>
        <v>5467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</v>
      </c>
      <c r="D9" s="13">
        <f t="shared" si="1"/>
        <v>2932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252546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37899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214647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1332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252546</v>
      </c>
      <c r="F29" s="193" t="s">
        <v>54</v>
      </c>
      <c r="G29" s="194"/>
      <c r="H29" s="197">
        <f>H15-H16-H17-H18-H19-H20-H22-H23-H24+H26+H27</f>
        <v>213315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5">
        <f>F34*G34</f>
        <v>55000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5">
        <f>F35*G35</f>
        <v>13500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25">
        <f t="shared" si="2"/>
        <v>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225">
        <v>49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09">
        <v>144678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213727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19</v>
      </c>
      <c r="D50" s="12">
        <f>C50*1.5</f>
        <v>28.5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412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46189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648</v>
      </c>
      <c r="D6" s="13">
        <f t="shared" ref="D6:D28" si="1">C6*L6</f>
        <v>493128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18</v>
      </c>
      <c r="D7" s="13">
        <f t="shared" si="1"/>
        <v>14058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40</v>
      </c>
      <c r="D9" s="13">
        <f t="shared" si="1"/>
        <v>29320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15</v>
      </c>
      <c r="D11" s="13">
        <f t="shared" si="1"/>
        <v>17550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17+5</f>
        <v>22</v>
      </c>
      <c r="D12" s="48">
        <f t="shared" si="1"/>
        <v>21824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22</v>
      </c>
      <c r="D13" s="48">
        <f t="shared" si="1"/>
        <v>6754</v>
      </c>
      <c r="F13" s="170" t="s">
        <v>36</v>
      </c>
      <c r="G13" s="171"/>
      <c r="H13" s="172">
        <f>D29</f>
        <v>586130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85962.75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500167.25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1296+720</f>
        <v>2016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586130</v>
      </c>
      <c r="F29" s="193" t="s">
        <v>54</v>
      </c>
      <c r="G29" s="194"/>
      <c r="H29" s="197">
        <f>H15-H16-H17-H18-H19-H20-H22-H23-H24+H26+H27</f>
        <v>498151.25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25">
        <f>F34*G34</f>
        <v>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</v>
      </c>
      <c r="D42" s="12">
        <f>C42*2.25</f>
        <v>2.25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06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09">
        <v>80689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09">
        <v>2061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09">
        <v>140400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37" t="s">
        <v>155</v>
      </c>
      <c r="G47" s="110" t="s">
        <v>200</v>
      </c>
      <c r="H47" s="209">
        <v>271017</v>
      </c>
      <c r="I47" s="209"/>
      <c r="J47" s="209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18</v>
      </c>
      <c r="D49" s="12">
        <f>C49*42</f>
        <v>756</v>
      </c>
      <c r="F49" s="250" t="s">
        <v>85</v>
      </c>
      <c r="G49" s="197">
        <f>H34+H35+H36+H37+H38+H39+H40+H41+G42+H44+H45+H46+H47</f>
        <v>499167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1015.75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335</v>
      </c>
      <c r="D6" s="13">
        <f t="shared" ref="D6:D28" si="1">C6*L6</f>
        <v>254935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12</v>
      </c>
      <c r="D9" s="13">
        <f t="shared" si="1"/>
        <v>8796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5</v>
      </c>
      <c r="D13" s="48">
        <f t="shared" si="1"/>
        <v>1535</v>
      </c>
      <c r="F13" s="170" t="s">
        <v>36</v>
      </c>
      <c r="G13" s="171"/>
      <c r="H13" s="172">
        <f>D29</f>
        <v>265398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38468.25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226929.75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265398</v>
      </c>
      <c r="F29" s="193" t="s">
        <v>54</v>
      </c>
      <c r="G29" s="194"/>
      <c r="H29" s="197">
        <f>H15-H16-H17-H18-H19-H20-H22-H23-H24+H26+H27+H28</f>
        <v>226929.75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25">
        <f t="shared" ref="H34:H39" si="2"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5">
        <f t="shared" si="2"/>
        <v>34000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5">
        <f t="shared" si="2"/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25">
        <f t="shared" si="2"/>
        <v>700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</v>
      </c>
      <c r="D42" s="12">
        <f>C42*2.25</f>
        <v>2.25</v>
      </c>
      <c r="F42" s="39" t="s">
        <v>78</v>
      </c>
      <c r="G42" s="225">
        <v>59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09">
        <v>60000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140</v>
      </c>
      <c r="G45" s="62"/>
      <c r="H45" s="209">
        <v>9694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226653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18</v>
      </c>
      <c r="D50" s="12">
        <f>C50*1.5</f>
        <v>27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-276.75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292</v>
      </c>
      <c r="D6" s="13">
        <f t="shared" ref="D6:D28" si="1">C6*L6</f>
        <v>222212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15</v>
      </c>
      <c r="D9" s="13">
        <f t="shared" si="1"/>
        <v>10995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238898.5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34831.5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204067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238898.5</v>
      </c>
      <c r="F29" s="193" t="s">
        <v>54</v>
      </c>
      <c r="G29" s="194"/>
      <c r="H29" s="197">
        <f>H15-H16-H17-H18-H19-H20-H22-H23-H24+H26+H27</f>
        <v>202771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25">
        <f>F34*G34</f>
        <v>145000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25">
        <f>F35*G35</f>
        <v>51500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25">
        <f t="shared" si="2"/>
        <v>3500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25">
        <f t="shared" si="2"/>
        <v>2050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449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</v>
      </c>
      <c r="D44" s="12">
        <f>C44*120</f>
        <v>120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13</v>
      </c>
      <c r="D46" s="12">
        <f>C46*1.5</f>
        <v>19.5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202519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16</v>
      </c>
      <c r="D50" s="12">
        <f>C50*1.5</f>
        <v>24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-252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46190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452</v>
      </c>
      <c r="D6" s="13">
        <f t="shared" ref="D6:D28" si="1">C6*L6</f>
        <v>343972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58</v>
      </c>
      <c r="D9" s="13">
        <f t="shared" si="1"/>
        <v>42514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3</v>
      </c>
      <c r="D10" s="13">
        <f t="shared" si="1"/>
        <v>3096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15</v>
      </c>
      <c r="D13" s="48">
        <f t="shared" si="1"/>
        <v>4605</v>
      </c>
      <c r="F13" s="170" t="s">
        <v>36</v>
      </c>
      <c r="G13" s="171"/>
      <c r="H13" s="172">
        <f>D29</f>
        <v>403382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59484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343898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654+786+678</f>
        <v>2118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403382</v>
      </c>
      <c r="F29" s="193" t="s">
        <v>54</v>
      </c>
      <c r="G29" s="194"/>
      <c r="H29" s="197">
        <f>H15-H16-H17-H18-H19-H20-H22-H23-H24+H26+H27</f>
        <v>341730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25">
        <f>F34*G34</f>
        <v>107000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25">
        <f>F35*G35</f>
        <v>71000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25">
        <f t="shared" si="2"/>
        <v>1800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111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09">
        <v>85945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09">
        <v>72690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6</v>
      </c>
      <c r="D49" s="12">
        <f>C49*42</f>
        <v>252</v>
      </c>
      <c r="F49" s="250" t="s">
        <v>85</v>
      </c>
      <c r="G49" s="197">
        <f>H34+H35+H36+H37+H38+H39+H40+H41+G42+H44+H45+H46</f>
        <v>338646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7</v>
      </c>
      <c r="D50" s="12">
        <f>C50*1.5</f>
        <v>10.5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-3084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431</v>
      </c>
      <c r="D6" s="13">
        <f t="shared" ref="D6:D28" si="1">C6*L6</f>
        <v>327991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70</v>
      </c>
      <c r="D8" s="13">
        <f t="shared" si="1"/>
        <v>76510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407264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65709.75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341554.25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1296</f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07">
        <v>68110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407264</v>
      </c>
      <c r="F29" s="193" t="s">
        <v>54</v>
      </c>
      <c r="G29" s="194"/>
      <c r="H29" s="197">
        <f>H15-H16-H17-H18-H19-H20-H22-H23-H24+H26+H27+H28</f>
        <v>272148.25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25">
        <f t="shared" ref="H34:H39" si="2">F34*G34</f>
        <v>41000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25">
        <f t="shared" si="2"/>
        <v>82500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5">
        <f t="shared" si="2"/>
        <v>40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5">
        <v>101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09">
        <f>148000</f>
        <v>148000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21</v>
      </c>
      <c r="D46" s="12">
        <f>C46*1.5</f>
        <v>31.5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10</v>
      </c>
      <c r="D49" s="12">
        <f>C49*42</f>
        <v>420</v>
      </c>
      <c r="F49" s="250" t="s">
        <v>85</v>
      </c>
      <c r="G49" s="197">
        <f>H34+H35+H36+H37+H38+H39+H40+H41+G42+H44+H45+H46</f>
        <v>271641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-507.25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262</v>
      </c>
      <c r="D6" s="13">
        <f t="shared" ref="D6:D28" si="1">C6*L6</f>
        <v>199382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2+1</f>
        <v>3</v>
      </c>
      <c r="D12" s="48">
        <f t="shared" si="1"/>
        <v>2976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230743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32746.5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197996.5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1092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230743</v>
      </c>
      <c r="F29" s="193" t="s">
        <v>54</v>
      </c>
      <c r="G29" s="194"/>
      <c r="H29" s="197">
        <f>H15-H16-H17-H18-H19-H20-H22-H23-H24+H26+H27</f>
        <v>196904.5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25">
        <f>F34*G34</f>
        <v>42000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5">
        <f>F35*G35</f>
        <v>21000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25">
        <f t="shared" si="2"/>
        <v>10000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25">
        <f t="shared" si="2"/>
        <v>1600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09">
        <v>122242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196857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4</v>
      </c>
      <c r="D50" s="12">
        <f>C50*1.5</f>
        <v>6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-47.5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46191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520</v>
      </c>
      <c r="D6" s="13">
        <f t="shared" ref="D6:D28" si="1">C6*L6</f>
        <v>395720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</v>
      </c>
      <c r="D9" s="13">
        <f t="shared" si="1"/>
        <v>1466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403373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67381.5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335991.5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654+312+1296+648</f>
        <v>2910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403373</v>
      </c>
      <c r="F29" s="193" t="s">
        <v>54</v>
      </c>
      <c r="G29" s="194"/>
      <c r="H29" s="197">
        <f>H15-H16-H17-H18-H19-H20-H22-H23-H24+H26+H27</f>
        <v>333081.5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25">
        <f>F34*G34</f>
        <v>84000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5">
        <f>F35*G35</f>
        <v>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5">
        <f t="shared" ref="H36:H39" si="2">F36*G36</f>
        <v>600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25">
        <f t="shared" si="2"/>
        <v>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25">
        <f t="shared" si="2"/>
        <v>400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4</v>
      </c>
      <c r="D42" s="12">
        <f>C42*2.25</f>
        <v>9</v>
      </c>
      <c r="F42" s="39" t="s">
        <v>78</v>
      </c>
      <c r="G42" s="225">
        <v>4899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09">
        <v>70468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09">
        <v>140020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09">
        <v>28290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7</v>
      </c>
      <c r="D49" s="12">
        <f>C49*42</f>
        <v>294</v>
      </c>
      <c r="F49" s="250" t="s">
        <v>85</v>
      </c>
      <c r="G49" s="197">
        <f>H34+H35+H36+H37+H38+H39+H40+H41+G42+H44+H45+H46</f>
        <v>334577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13</v>
      </c>
      <c r="D50" s="12">
        <f>C50*1.5</f>
        <v>19.5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1495.5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09">
        <v>261949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8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261949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09">
        <v>261949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261949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312</v>
      </c>
      <c r="D6" s="13">
        <f t="shared" ref="D6:D28" si="1">C6*L6</f>
        <v>237432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251255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34557.75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216697.25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648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251255</v>
      </c>
      <c r="F29" s="193" t="s">
        <v>54</v>
      </c>
      <c r="G29" s="194"/>
      <c r="H29" s="197">
        <f>H15-H16-H17-H18-H19-H20-H22-H23-H24+H26+H27</f>
        <v>216049.25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25">
        <f>F34*G34</f>
        <v>179000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5">
        <f>F35*G35</f>
        <v>34000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5">
        <f t="shared" ref="H36:H39" si="2">F36*G36</f>
        <v>200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25">
        <f t="shared" si="2"/>
        <v>1300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25">
        <f t="shared" si="2"/>
        <v>600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5">
        <v>188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215288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-761.25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46192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379</v>
      </c>
      <c r="D6" s="13">
        <f t="shared" ref="D6:D28" si="1">C6*L6</f>
        <v>288419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10</v>
      </c>
      <c r="D7" s="13">
        <f t="shared" si="1"/>
        <v>7810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35</v>
      </c>
      <c r="D9" s="13">
        <f t="shared" si="1"/>
        <v>25655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13</v>
      </c>
      <c r="D13" s="48">
        <f t="shared" si="1"/>
        <v>3991</v>
      </c>
      <c r="F13" s="170" t="s">
        <v>36</v>
      </c>
      <c r="G13" s="171"/>
      <c r="H13" s="172">
        <f>D29</f>
        <v>327175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50172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277003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4">
        <f>900+798+420</f>
        <v>2118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327175</v>
      </c>
      <c r="F29" s="193" t="s">
        <v>54</v>
      </c>
      <c r="G29" s="194"/>
      <c r="H29" s="197">
        <f>H15-H16-H17-H18-H19-H20-H22-H23-H24+H26+H27</f>
        <v>274885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25">
        <f>F34*G34</f>
        <v>132000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5">
        <f>F35*G35</f>
        <v>42500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5">
        <f t="shared" ref="H36:H39" si="2">F36*G36</f>
        <v>400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25">
        <f t="shared" si="2"/>
        <v>2300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15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8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09">
        <v>98385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</v>
      </c>
      <c r="D49" s="12">
        <f>C49*42</f>
        <v>42</v>
      </c>
      <c r="F49" s="250" t="s">
        <v>85</v>
      </c>
      <c r="G49" s="197">
        <f>H34+H35+H36+H37+H38+H39+H40+H41+G42+H44+H45+H46</f>
        <v>275620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</v>
      </c>
      <c r="D50" s="12">
        <f>C50*1.5</f>
        <v>4.5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735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09">
        <v>68110</v>
      </c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19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68110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25">
        <f t="shared" ref="H34:H39" si="2">F34*G34</f>
        <v>67000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5">
        <f t="shared" si="2"/>
        <v>1000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5">
        <f t="shared" si="2"/>
        <v>100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10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68110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46193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19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298</v>
      </c>
      <c r="D6" s="13">
        <f t="shared" ref="D6:D28" si="1">C6*L6</f>
        <v>226778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56</v>
      </c>
      <c r="D7" s="13">
        <f t="shared" si="1"/>
        <v>43736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5</v>
      </c>
      <c r="D8" s="13">
        <f t="shared" si="1"/>
        <v>5465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</v>
      </c>
      <c r="D9" s="13">
        <f t="shared" si="1"/>
        <v>3665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11</v>
      </c>
      <c r="D10" s="13">
        <f t="shared" si="1"/>
        <v>11352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5</v>
      </c>
      <c r="D11" s="13">
        <f t="shared" si="1"/>
        <v>5850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9</v>
      </c>
      <c r="D13" s="48">
        <f t="shared" si="1"/>
        <v>2763</v>
      </c>
      <c r="F13" s="170" t="s">
        <v>36</v>
      </c>
      <c r="G13" s="171"/>
      <c r="H13" s="172">
        <f>D29</f>
        <v>302668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45939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256729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v>1728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23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302668</v>
      </c>
      <c r="F29" s="193" t="s">
        <v>54</v>
      </c>
      <c r="G29" s="194"/>
      <c r="H29" s="197">
        <f>H15-H16-H17-H18-H19-H20-H22-H23-H24+H26+H27+H28</f>
        <v>255001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25">
        <f t="shared" ref="H34:H39" si="2">F34*G34</f>
        <v>52000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25">
        <f t="shared" si="2"/>
        <v>9500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2</v>
      </c>
      <c r="D42" s="12">
        <f>C42*2.25</f>
        <v>4.5</v>
      </c>
      <c r="F42" s="39" t="s">
        <v>78</v>
      </c>
      <c r="G42" s="225">
        <v>31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09">
        <v>193299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4</v>
      </c>
      <c r="D46" s="12">
        <f>C46*1.5</f>
        <v>6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47</v>
      </c>
      <c r="D49" s="12">
        <f>C49*42</f>
        <v>1974</v>
      </c>
      <c r="F49" s="250" t="s">
        <v>85</v>
      </c>
      <c r="G49" s="197">
        <f>H34+H35+H36+H37+H38+H39+H40+H41+G42+H44+H45+H46</f>
        <v>254830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37</v>
      </c>
      <c r="D50" s="12">
        <f>C50*1.5</f>
        <v>55.5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-171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328</v>
      </c>
      <c r="D6" s="13">
        <f t="shared" ref="D6:D28" si="1">C6*L6</f>
        <v>249608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</v>
      </c>
      <c r="D7" s="13">
        <f t="shared" si="1"/>
        <v>781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1093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</v>
      </c>
      <c r="D9" s="13">
        <f t="shared" si="1"/>
        <v>7330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170" t="s">
        <v>36</v>
      </c>
      <c r="G13" s="171"/>
      <c r="H13" s="172">
        <f>D29</f>
        <v>262664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37476.75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225187.25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4">
        <f>1296</f>
        <v>1296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262664</v>
      </c>
      <c r="F29" s="193" t="s">
        <v>54</v>
      </c>
      <c r="G29" s="194"/>
      <c r="H29" s="197">
        <f>H15-H16-H17-H18-H19-H20-H22-H23-H24+H26+H27</f>
        <v>223891.25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25">
        <f>F34*G34</f>
        <v>175000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25">
        <f>F35*G35</f>
        <v>45500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25">
        <f t="shared" si="2"/>
        <v>1000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5">
        <f t="shared" si="2"/>
        <v>50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5">
        <f t="shared" si="2"/>
        <v>20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5">
        <v>2305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</v>
      </c>
      <c r="D44" s="12">
        <f>C44*120</f>
        <v>120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10</v>
      </c>
      <c r="D49" s="12">
        <f>C49*42</f>
        <v>420</v>
      </c>
      <c r="F49" s="250" t="s">
        <v>85</v>
      </c>
      <c r="G49" s="197">
        <f>H34+H35+H36+H37+H38+H39+H40+H41+G42+H44+H45+H46</f>
        <v>223875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1</v>
      </c>
      <c r="D50" s="12">
        <f>C50*1.5</f>
        <v>1.5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-16.25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46195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300</v>
      </c>
      <c r="D6" s="13">
        <f t="shared" ref="D6:D28" si="1">C6*L6</f>
        <v>228300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13</v>
      </c>
      <c r="D7" s="13">
        <f t="shared" si="1"/>
        <v>10153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71</v>
      </c>
      <c r="D9" s="13">
        <f t="shared" si="1"/>
        <v>52043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1032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170" t="s">
        <v>36</v>
      </c>
      <c r="G13" s="171"/>
      <c r="H13" s="172">
        <f>D29</f>
        <v>294801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75" t="s">
        <v>38</v>
      </c>
      <c r="G14" s="176"/>
      <c r="H14" s="177">
        <f>D54</f>
        <v>37740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257061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f>1044+150+654+42</f>
        <v>1890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>
        <v>50</v>
      </c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294801</v>
      </c>
      <c r="F29" s="193" t="s">
        <v>54</v>
      </c>
      <c r="G29" s="194"/>
      <c r="H29" s="197">
        <f>H15-H16-H17-H18-H19-H20-H22-H23-H24+H26+H27</f>
        <v>255121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25">
        <f>F34*G34</f>
        <v>42000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25">
        <f>F35*G35</f>
        <v>16500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25">
        <f t="shared" si="2"/>
        <v>2500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25">
        <f t="shared" si="2"/>
        <v>700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5">
        <v>67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09">
        <v>117994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09">
        <v>71401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12</v>
      </c>
      <c r="D46" s="12">
        <f>C46*1.5</f>
        <v>18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251162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11</v>
      </c>
      <c r="D50" s="12">
        <f>C50*1.5</f>
        <v>16.5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-3959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459</v>
      </c>
      <c r="D6" s="13">
        <f t="shared" ref="D6:D28" si="1">C6*L6</f>
        <v>349299</v>
      </c>
      <c r="F6" s="148" t="s">
        <v>16</v>
      </c>
      <c r="G6" s="150" t="s">
        <v>142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99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6</v>
      </c>
      <c r="D9" s="13">
        <f t="shared" si="1"/>
        <v>4398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12</v>
      </c>
      <c r="D11" s="13">
        <f t="shared" si="1"/>
        <v>14040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992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170" t="s">
        <v>36</v>
      </c>
      <c r="G13" s="171"/>
      <c r="H13" s="172">
        <f>D29</f>
        <v>379402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37230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>
        <f>1+1</f>
        <v>2</v>
      </c>
      <c r="D15" s="31">
        <f t="shared" si="1"/>
        <v>1240</v>
      </c>
      <c r="F15" s="180" t="s">
        <v>39</v>
      </c>
      <c r="G15" s="171"/>
      <c r="H15" s="181">
        <f>H13-H14</f>
        <v>342172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2652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23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2</v>
      </c>
      <c r="D28" s="48">
        <f t="shared" si="1"/>
        <v>1622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379402</v>
      </c>
      <c r="F29" s="193" t="s">
        <v>54</v>
      </c>
      <c r="G29" s="194"/>
      <c r="H29" s="197">
        <f>H15-H16-H17-H18-H19-H20-H22-H23-H24+H26+H27+H28</f>
        <v>339520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25">
        <f t="shared" ref="H34:H39" si="2">F34*G34</f>
        <v>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88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09">
        <v>309113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09">
        <v>10350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09">
        <v>12619</v>
      </c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339470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15</v>
      </c>
      <c r="D50" s="12">
        <f>C50*1.5</f>
        <v>22.5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158</v>
      </c>
      <c r="G51" s="260">
        <f>G49-H29</f>
        <v>-50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277</v>
      </c>
      <c r="D6" s="13">
        <f t="shared" ref="D6:D28" si="1">C6*L6</f>
        <v>210797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3124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14660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170" t="s">
        <v>36</v>
      </c>
      <c r="G13" s="171"/>
      <c r="H13" s="172">
        <f>D29</f>
        <v>231037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35286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195751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1440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231037</v>
      </c>
      <c r="F29" s="193" t="s">
        <v>54</v>
      </c>
      <c r="G29" s="194"/>
      <c r="H29" s="197">
        <f>H15-H16-H17-H18-H19-H20-H22-H23-H24+H26+H27</f>
        <v>194311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25">
        <f>F34*G34</f>
        <v>37000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5">
        <f>F35*G35</f>
        <v>1500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25">
        <f t="shared" si="2"/>
        <v>300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>
        <v>64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09">
        <v>155670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8</v>
      </c>
      <c r="D49" s="12">
        <f>C49*42</f>
        <v>336</v>
      </c>
      <c r="F49" s="250" t="s">
        <v>85</v>
      </c>
      <c r="G49" s="197">
        <f>H34+H35+H36+H37+H38+H39+H40+H41+G42+H44+H45+H46</f>
        <v>194534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223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46196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536</v>
      </c>
      <c r="D6" s="13">
        <f t="shared" ref="D6:D28" si="1">C6*L6</f>
        <v>407896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51</v>
      </c>
      <c r="D7" s="13">
        <f t="shared" si="1"/>
        <v>39831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10</v>
      </c>
      <c r="D8" s="13">
        <f t="shared" si="1"/>
        <v>10930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108</v>
      </c>
      <c r="D9" s="13">
        <f t="shared" si="1"/>
        <v>79164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5</v>
      </c>
      <c r="D10" s="13">
        <f t="shared" si="1"/>
        <v>5160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12</v>
      </c>
      <c r="D11" s="13">
        <f t="shared" si="1"/>
        <v>14040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4+1</f>
        <v>5</v>
      </c>
      <c r="D12" s="48">
        <f t="shared" si="1"/>
        <v>4960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20</v>
      </c>
      <c r="D13" s="48">
        <f t="shared" si="1"/>
        <v>6140</v>
      </c>
      <c r="F13" s="170" t="s">
        <v>36</v>
      </c>
      <c r="G13" s="171"/>
      <c r="H13" s="172">
        <f>D29</f>
        <v>570554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83077.5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487476.5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>
        <v>3240</v>
      </c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3</v>
      </c>
      <c r="D28" s="48">
        <f t="shared" si="1"/>
        <v>2433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570554</v>
      </c>
      <c r="F29" s="193" t="s">
        <v>54</v>
      </c>
      <c r="G29" s="194"/>
      <c r="H29" s="197">
        <f>H15-H16-H17-H18-H19-H20-H22-H23-H24+H26+H27</f>
        <v>484236.5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25">
        <f>F34*G34</f>
        <v>122000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25">
        <f>F35*G35</f>
        <v>4000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25">
        <f t="shared" si="2"/>
        <v>1400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5">
        <f t="shared" si="2"/>
        <v>100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6</v>
      </c>
      <c r="D42" s="12">
        <f>C42*2.25</f>
        <v>13.5</v>
      </c>
      <c r="F42" s="39" t="s">
        <v>78</v>
      </c>
      <c r="G42" s="225">
        <v>3</v>
      </c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23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09">
        <v>142126</v>
      </c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09">
        <v>222234</v>
      </c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>
        <v>11</v>
      </c>
      <c r="D46" s="12">
        <f>C46*1.5</f>
        <v>16.5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>
        <v>4</v>
      </c>
      <c r="D49" s="12">
        <f>C49*42</f>
        <v>168</v>
      </c>
      <c r="F49" s="250" t="s">
        <v>85</v>
      </c>
      <c r="G49" s="197">
        <f>H34+H35+H36+H37+H38+H39+H40+H41+G42+H44+H45+H46</f>
        <v>491863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>
        <v>2</v>
      </c>
      <c r="D50" s="12">
        <f>C50*1.5</f>
        <v>3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7626.5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2" t="s">
        <v>7</v>
      </c>
      <c r="B4" s="133"/>
      <c r="C4" s="133"/>
      <c r="D4" s="134"/>
      <c r="F4" s="135" t="s">
        <v>8</v>
      </c>
      <c r="G4" s="137"/>
      <c r="H4" s="139" t="s">
        <v>9</v>
      </c>
      <c r="I4" s="141"/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148" t="s">
        <v>16</v>
      </c>
      <c r="G6" s="150"/>
      <c r="H6" s="151"/>
      <c r="I6" s="151"/>
      <c r="J6" s="15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156" t="s">
        <v>21</v>
      </c>
      <c r="G8" s="158"/>
      <c r="H8" s="159"/>
      <c r="I8" s="159"/>
      <c r="J8" s="16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148" t="s">
        <v>26</v>
      </c>
      <c r="G10" s="164"/>
      <c r="H10" s="165"/>
      <c r="I10" s="165"/>
      <c r="J10" s="166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7"/>
      <c r="G23" s="78"/>
      <c r="H23" s="208"/>
      <c r="I23" s="209"/>
      <c r="J23" s="20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208"/>
      <c r="I24" s="209"/>
      <c r="J24" s="20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28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/>
      <c r="I34" s="226"/>
      <c r="J34" s="22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/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/>
      <c r="I36" s="226"/>
      <c r="J36" s="22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/>
      <c r="I37" s="226"/>
      <c r="J37" s="22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/>
      <c r="I38" s="226"/>
      <c r="J38" s="22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/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P43" s="4"/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P44" s="4"/>
      <c r="Q44" s="4"/>
      <c r="R44" s="5"/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P50" s="4"/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106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1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99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117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108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6"/>
      <c r="G23" s="78"/>
      <c r="H23" s="266"/>
      <c r="I23" s="267"/>
      <c r="J23" s="2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76"/>
      <c r="G24" s="78"/>
      <c r="H24" s="266"/>
      <c r="I24" s="267"/>
      <c r="J24" s="2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74"/>
      <c r="G26" s="65"/>
      <c r="H26" s="209"/>
      <c r="I26" s="209"/>
      <c r="J26" s="20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71"/>
      <c r="G27" s="130"/>
      <c r="H27" s="268"/>
      <c r="I27" s="269"/>
      <c r="J27" s="26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H15-H16-H17-H18-H19-H20-H22-H23-H24+H26+H27+H28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5">
        <f t="shared" ref="H34:H39" si="2"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 t="shared" si="2"/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si="2"/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62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62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129</v>
      </c>
      <c r="G51" s="272">
        <f>G49-H29</f>
        <v>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2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107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100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101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80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1" t="s">
        <v>1</v>
      </c>
      <c r="O1" s="13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2" t="s">
        <v>7</v>
      </c>
      <c r="B4" s="133"/>
      <c r="C4" s="133"/>
      <c r="D4" s="134"/>
      <c r="F4" s="135" t="s">
        <v>8</v>
      </c>
      <c r="G4" s="137">
        <v>3</v>
      </c>
      <c r="H4" s="139" t="s">
        <v>9</v>
      </c>
      <c r="I4" s="141">
        <v>46197</v>
      </c>
      <c r="J4" s="1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136"/>
      <c r="G5" s="138"/>
      <c r="H5" s="140"/>
      <c r="I5" s="143"/>
      <c r="J5" s="1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148" t="s">
        <v>16</v>
      </c>
      <c r="G6" s="150" t="s">
        <v>115</v>
      </c>
      <c r="H6" s="151"/>
      <c r="I6" s="151"/>
      <c r="J6" s="15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149"/>
      <c r="G7" s="153"/>
      <c r="H7" s="154"/>
      <c r="I7" s="154"/>
      <c r="J7" s="15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156" t="s">
        <v>21</v>
      </c>
      <c r="G8" s="158" t="s">
        <v>109</v>
      </c>
      <c r="H8" s="159"/>
      <c r="I8" s="159"/>
      <c r="J8" s="16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149"/>
      <c r="G9" s="161"/>
      <c r="H9" s="162"/>
      <c r="I9" s="162"/>
      <c r="J9" s="16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148" t="s">
        <v>26</v>
      </c>
      <c r="G10" s="164" t="s">
        <v>121</v>
      </c>
      <c r="H10" s="165"/>
      <c r="I10" s="165"/>
      <c r="J10" s="166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149"/>
      <c r="G11" s="161"/>
      <c r="H11" s="162"/>
      <c r="I11" s="162"/>
      <c r="J11" s="16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167" t="s">
        <v>33</v>
      </c>
      <c r="G12" s="168"/>
      <c r="H12" s="168"/>
      <c r="I12" s="168"/>
      <c r="J12" s="16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170" t="s">
        <v>36</v>
      </c>
      <c r="G13" s="171"/>
      <c r="H13" s="172">
        <f>D29</f>
        <v>0</v>
      </c>
      <c r="I13" s="173"/>
      <c r="J13" s="17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75" t="s">
        <v>38</v>
      </c>
      <c r="G14" s="176"/>
      <c r="H14" s="177">
        <f>D54</f>
        <v>0</v>
      </c>
      <c r="I14" s="178"/>
      <c r="J14" s="17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119</v>
      </c>
      <c r="C15" s="10"/>
      <c r="D15" s="31">
        <f t="shared" si="1"/>
        <v>0</v>
      </c>
      <c r="F15" s="180" t="s">
        <v>39</v>
      </c>
      <c r="G15" s="171"/>
      <c r="H15" s="181">
        <f>H13-H14</f>
        <v>0</v>
      </c>
      <c r="I15" s="182"/>
      <c r="J15" s="18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4"/>
      <c r="I16" s="184"/>
      <c r="J16" s="18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7"/>
      <c r="I17" s="157"/>
      <c r="J17" s="15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7"/>
      <c r="I18" s="157"/>
      <c r="J18" s="15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0"/>
      <c r="I19" s="270"/>
      <c r="J19" s="2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4"/>
      <c r="I20" s="184"/>
      <c r="J20" s="18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118</v>
      </c>
      <c r="C23" s="10"/>
      <c r="D23" s="48">
        <f t="shared" si="1"/>
        <v>0</v>
      </c>
      <c r="F23" s="77"/>
      <c r="G23" s="78"/>
      <c r="H23" s="271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125</v>
      </c>
      <c r="C24" s="10"/>
      <c r="D24" s="48">
        <f t="shared" si="1"/>
        <v>0</v>
      </c>
      <c r="F24" s="38"/>
      <c r="G24" s="37"/>
      <c r="H24" s="208"/>
      <c r="I24" s="209"/>
      <c r="J24" s="20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5" t="s">
        <v>36</v>
      </c>
      <c r="B29" s="186"/>
      <c r="C29" s="187"/>
      <c r="D29" s="191">
        <f>SUM(D6:D28)</f>
        <v>0</v>
      </c>
      <c r="F29" s="193" t="s">
        <v>54</v>
      </c>
      <c r="G29" s="194"/>
      <c r="H29" s="197">
        <f>H15-H16-H17-H18-H19-H20-H22-H23-H24+H26+H27</f>
        <v>0</v>
      </c>
      <c r="I29" s="198"/>
      <c r="J29" s="19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8"/>
      <c r="B30" s="189"/>
      <c r="C30" s="190"/>
      <c r="D30" s="192"/>
      <c r="F30" s="195"/>
      <c r="G30" s="196"/>
      <c r="H30" s="200"/>
      <c r="I30" s="201"/>
      <c r="J30" s="20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2" t="s">
        <v>57</v>
      </c>
      <c r="B32" s="133"/>
      <c r="C32" s="133"/>
      <c r="D32" s="134"/>
      <c r="F32" s="222" t="s">
        <v>58</v>
      </c>
      <c r="G32" s="223"/>
      <c r="H32" s="223"/>
      <c r="I32" s="223"/>
      <c r="J32" s="22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2" t="s">
        <v>13</v>
      </c>
      <c r="I33" s="223"/>
      <c r="J33" s="22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5">
        <f>F34*G34</f>
        <v>0</v>
      </c>
      <c r="I34" s="226"/>
      <c r="J34" s="22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225">
        <f>F35*G35</f>
        <v>0</v>
      </c>
      <c r="I35" s="226"/>
      <c r="J35" s="22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225">
        <f t="shared" ref="H36:H39" si="2">F36*G36</f>
        <v>0</v>
      </c>
      <c r="I36" s="226"/>
      <c r="J36" s="22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5">
        <f t="shared" si="2"/>
        <v>0</v>
      </c>
      <c r="I37" s="226"/>
      <c r="J37" s="22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225">
        <f t="shared" si="2"/>
        <v>0</v>
      </c>
      <c r="I38" s="226"/>
      <c r="J38" s="22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225">
        <f t="shared" si="2"/>
        <v>0</v>
      </c>
      <c r="I39" s="226"/>
      <c r="J39" s="22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5"/>
      <c r="I40" s="226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225"/>
      <c r="I41" s="226"/>
      <c r="J41" s="22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225"/>
      <c r="H42" s="226"/>
      <c r="I42" s="226"/>
      <c r="J42" s="22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8" t="s">
        <v>80</v>
      </c>
      <c r="C43" s="11"/>
      <c r="D43" s="12"/>
      <c r="F43" s="59" t="s">
        <v>81</v>
      </c>
      <c r="G43" s="130" t="s">
        <v>82</v>
      </c>
      <c r="H43" s="231" t="s">
        <v>13</v>
      </c>
      <c r="I43" s="232"/>
      <c r="J43" s="23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9"/>
      <c r="B44" s="27" t="s">
        <v>65</v>
      </c>
      <c r="C44" s="10"/>
      <c r="D44" s="12">
        <f>C44*120</f>
        <v>0</v>
      </c>
      <c r="F44" s="37"/>
      <c r="G44" s="75"/>
      <c r="H44" s="209"/>
      <c r="I44" s="209"/>
      <c r="J44" s="20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9"/>
      <c r="B45" s="27" t="s">
        <v>67</v>
      </c>
      <c r="C45" s="33"/>
      <c r="D45" s="12">
        <f>C45*84</f>
        <v>0</v>
      </c>
      <c r="F45" s="37"/>
      <c r="G45" s="75"/>
      <c r="H45" s="209"/>
      <c r="I45" s="209"/>
      <c r="J45" s="209"/>
      <c r="K45" s="21"/>
      <c r="P45" s="4"/>
      <c r="Q45" s="4"/>
      <c r="R45" s="5"/>
    </row>
    <row r="46" spans="1:18" ht="15.75" x14ac:dyDescent="0.25">
      <c r="A46" s="229"/>
      <c r="B46" s="49" t="s">
        <v>69</v>
      </c>
      <c r="C46" s="80"/>
      <c r="D46" s="12">
        <f>C46*1.5</f>
        <v>0</v>
      </c>
      <c r="F46" s="37"/>
      <c r="G46" s="62"/>
      <c r="H46" s="234"/>
      <c r="I46" s="234"/>
      <c r="J46" s="234"/>
      <c r="K46" s="21"/>
      <c r="P46" s="4"/>
      <c r="Q46" s="4"/>
      <c r="R46" s="5"/>
    </row>
    <row r="47" spans="1:18" ht="15.75" x14ac:dyDescent="0.25">
      <c r="A47" s="230"/>
      <c r="B47" s="27"/>
      <c r="C47" s="11"/>
      <c r="D47" s="12"/>
      <c r="F47" s="59"/>
      <c r="G47" s="59"/>
      <c r="H47" s="235"/>
      <c r="I47" s="236"/>
      <c r="J47" s="237"/>
      <c r="K47" s="21"/>
      <c r="P47" s="4"/>
      <c r="Q47" s="4"/>
      <c r="R47" s="5"/>
    </row>
    <row r="48" spans="1:18" ht="15" customHeight="1" x14ac:dyDescent="0.25">
      <c r="A48" s="228" t="s">
        <v>32</v>
      </c>
      <c r="B48" s="27" t="s">
        <v>65</v>
      </c>
      <c r="C48" s="10"/>
      <c r="D48" s="12">
        <f>C48*78</f>
        <v>0</v>
      </c>
      <c r="F48" s="59"/>
      <c r="G48" s="59"/>
      <c r="H48" s="235"/>
      <c r="I48" s="236"/>
      <c r="J48" s="23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9"/>
      <c r="B49" s="29" t="s">
        <v>67</v>
      </c>
      <c r="C49" s="33"/>
      <c r="D49" s="12">
        <f>C49*42</f>
        <v>0</v>
      </c>
      <c r="F49" s="250" t="s">
        <v>85</v>
      </c>
      <c r="G49" s="197">
        <f>H34+H35+H36+H37+H38+H39+H40+H41+G42+H44+H45+H46</f>
        <v>0</v>
      </c>
      <c r="H49" s="198"/>
      <c r="I49" s="198"/>
      <c r="J49" s="19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9"/>
      <c r="B50" s="32" t="s">
        <v>69</v>
      </c>
      <c r="C50" s="11"/>
      <c r="D50" s="12">
        <f>C50*1.5</f>
        <v>0</v>
      </c>
      <c r="F50" s="251"/>
      <c r="G50" s="200"/>
      <c r="H50" s="201"/>
      <c r="I50" s="201"/>
      <c r="J50" s="202"/>
      <c r="O50" t="s">
        <v>112</v>
      </c>
      <c r="P50" s="4">
        <v>1204</v>
      </c>
      <c r="Q50" s="4"/>
      <c r="R50" s="5"/>
    </row>
    <row r="51" spans="1:18" ht="15" customHeight="1" x14ac:dyDescent="0.25">
      <c r="A51" s="229"/>
      <c r="B51" s="27"/>
      <c r="C51" s="10"/>
      <c r="D51" s="31"/>
      <c r="F51" s="252" t="s">
        <v>113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9"/>
      <c r="B52" s="29"/>
      <c r="C52" s="33"/>
      <c r="D52" s="45"/>
      <c r="F52" s="25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3" t="s">
        <v>89</v>
      </c>
      <c r="B54" s="238"/>
      <c r="C54" s="239"/>
      <c r="D54" s="24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5"/>
      <c r="B55" s="240"/>
      <c r="C55" s="241"/>
      <c r="D55" s="24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4" t="s">
        <v>90</v>
      </c>
      <c r="B58" s="245"/>
      <c r="C58" s="245"/>
      <c r="D58" s="246"/>
      <c r="F58" s="244" t="s">
        <v>91</v>
      </c>
      <c r="G58" s="245"/>
      <c r="H58" s="245"/>
      <c r="I58" s="245"/>
      <c r="J58" s="246"/>
    </row>
    <row r="59" spans="1:18" x14ac:dyDescent="0.25">
      <c r="A59" s="247"/>
      <c r="B59" s="248"/>
      <c r="C59" s="248"/>
      <c r="D59" s="249"/>
      <c r="F59" s="247"/>
      <c r="G59" s="248"/>
      <c r="H59" s="248"/>
      <c r="I59" s="248"/>
      <c r="J59" s="24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83</vt:i4>
      </vt:variant>
      <vt:variant>
        <vt:lpstr>Named Ranges</vt:lpstr>
      </vt:variant>
      <vt:variant>
        <vt:i4>82</vt:i4>
      </vt:variant>
    </vt:vector>
  </HeadingPairs>
  <TitlesOfParts>
    <vt:vector size="16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2026-06-23T23:57:29Z</cp:lastPrinted>
  <dcterms:created xsi:type="dcterms:W3CDTF">2024-09-01T23:36:50Z</dcterms:created>
  <dcterms:modified xsi:type="dcterms:W3CDTF">2026-06-24T00:09:39Z</dcterms:modified>
</cp:coreProperties>
</file>