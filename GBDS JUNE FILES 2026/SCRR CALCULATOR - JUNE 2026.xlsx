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JUNE FILES 2026\"/>
    </mc:Choice>
  </mc:AlternateContent>
  <xr:revisionPtr revIDLastSave="0" documentId="13_ncr:1_{006A9446-00F4-41BB-9BB3-33BE26276D74}" xr6:coauthVersionLast="45" xr6:coauthVersionMax="47" xr10:uidLastSave="{00000000-0000-0000-0000-000000000000}"/>
  <bookViews>
    <workbookView xWindow="-120" yWindow="-120" windowWidth="29040" windowHeight="15840" firstSheet="22" activeTab="27" xr2:uid="{00000000-000D-0000-FFFF-FFFF00000000}"/>
  </bookViews>
  <sheets>
    <sheet name="(JUNE 2026)" sheetId="814" r:id="rId1"/>
    <sheet name="(01)" sheetId="2086" r:id="rId2"/>
    <sheet name="06,01 R1" sheetId="2087" r:id="rId3"/>
    <sheet name="06,01 R2" sheetId="2088" r:id="rId4"/>
    <sheet name="06,01 R3" sheetId="2089" r:id="rId5"/>
    <sheet name="(2)" sheetId="2107" r:id="rId6"/>
    <sheet name="06,02 R1 " sheetId="2108" r:id="rId7"/>
    <sheet name="06,02 R2 " sheetId="2109" r:id="rId8"/>
    <sheet name="06,02 R3" sheetId="2110" r:id="rId9"/>
    <sheet name="(3)" sheetId="2111" r:id="rId10"/>
    <sheet name="06,03 R1 " sheetId="2112" r:id="rId11"/>
    <sheet name="06,03 R2 NO TRIP " sheetId="2113" r:id="rId12"/>
    <sheet name="06,03 R3 NO TRIP" sheetId="2114" r:id="rId13"/>
    <sheet name="(4)" sheetId="2115" r:id="rId14"/>
    <sheet name="06,04 R1 " sheetId="2116" r:id="rId15"/>
    <sheet name="06,04 R2 " sheetId="2117" r:id="rId16"/>
    <sheet name="06,04 R3  " sheetId="2118" r:id="rId17"/>
    <sheet name="(5)" sheetId="2119" r:id="rId18"/>
    <sheet name="06,05 R1 NO TRIP" sheetId="2120" r:id="rId19"/>
    <sheet name="06,05 R2 " sheetId="2121" r:id="rId20"/>
    <sheet name="06,05 R3  " sheetId="2122" r:id="rId21"/>
    <sheet name="(6)" sheetId="2123" r:id="rId22"/>
    <sheet name="06,06 R1 COLLECTION" sheetId="2127" r:id="rId23"/>
    <sheet name="06,06 R2 NO TRIP" sheetId="2125" r:id="rId24"/>
    <sheet name="06,06 R3 NO TRIP " sheetId="2126" r:id="rId25"/>
    <sheet name="(8)" sheetId="2132" r:id="rId26"/>
    <sheet name="06,08 R1 NO TRIP" sheetId="2133" r:id="rId27"/>
    <sheet name="06,08 R2" sheetId="2134" r:id="rId28"/>
    <sheet name="06,08 R3" sheetId="2135" r:id="rId29"/>
    <sheet name="(9)" sheetId="2128" r:id="rId30"/>
    <sheet name="06,09 R1" sheetId="2129" r:id="rId31"/>
    <sheet name="06,09 R2 " sheetId="2130" r:id="rId32"/>
    <sheet name="06,09 R3 " sheetId="2131" r:id="rId33"/>
    <sheet name="(10)" sheetId="2136" r:id="rId34"/>
    <sheet name="06,10 R1 " sheetId="2137" r:id="rId35"/>
    <sheet name="06,10 R2  " sheetId="2138" r:id="rId36"/>
    <sheet name="06,10 R3 " sheetId="2139" r:id="rId37"/>
    <sheet name="(11)" sheetId="2140" r:id="rId38"/>
    <sheet name="06,11 R1 " sheetId="2141" r:id="rId39"/>
    <sheet name="06,11 R2 " sheetId="2142" r:id="rId40"/>
    <sheet name="06,11 R3" sheetId="2143" r:id="rId41"/>
    <sheet name="(12)" sheetId="2144" r:id="rId42"/>
    <sheet name="06,12 R1  " sheetId="2145" r:id="rId43"/>
    <sheet name="06,12 R2  " sheetId="2146" r:id="rId44"/>
    <sheet name="06,12 R3 " sheetId="2147" r:id="rId45"/>
    <sheet name="(13)" sheetId="2148" r:id="rId46"/>
    <sheet name="06,13 R1 " sheetId="2149" r:id="rId47"/>
    <sheet name="06,13 R2 " sheetId="2150" r:id="rId48"/>
    <sheet name="06,13 R3 " sheetId="2151" r:id="rId49"/>
    <sheet name="(15)" sheetId="2152" r:id="rId50"/>
    <sheet name="06,15 R1" sheetId="2153" r:id="rId51"/>
    <sheet name="06,15 R2" sheetId="2154" r:id="rId52"/>
    <sheet name="06,15 R3" sheetId="2155" r:id="rId53"/>
  </sheets>
  <definedNames>
    <definedName name="_xlnm.Print_Area" localSheetId="1">'(01)'!$A$1:$J$60</definedName>
    <definedName name="_xlnm.Print_Area" localSheetId="33">'(10)'!$A$1:$J$60</definedName>
    <definedName name="_xlnm.Print_Area" localSheetId="37">'(11)'!$A$1:$J$60</definedName>
    <definedName name="_xlnm.Print_Area" localSheetId="41">'(12)'!$A$1:$J$60</definedName>
    <definedName name="_xlnm.Print_Area" localSheetId="45">'(13)'!$A$1:$J$60</definedName>
    <definedName name="_xlnm.Print_Area" localSheetId="49">'(15)'!$A$1:$J$60</definedName>
    <definedName name="_xlnm.Print_Area" localSheetId="5">'(2)'!$A$1:$J$60</definedName>
    <definedName name="_xlnm.Print_Area" localSheetId="9">'(3)'!$A$1:$J$60</definedName>
    <definedName name="_xlnm.Print_Area" localSheetId="13">'(4)'!$A$1:$J$60</definedName>
    <definedName name="_xlnm.Print_Area" localSheetId="17">'(5)'!$A$1:$J$60</definedName>
    <definedName name="_xlnm.Print_Area" localSheetId="21">'(6)'!$A$1:$J$60</definedName>
    <definedName name="_xlnm.Print_Area" localSheetId="25">'(8)'!$A$1:$J$60</definedName>
    <definedName name="_xlnm.Print_Area" localSheetId="29">'(9)'!$A$1:$J$60</definedName>
    <definedName name="_xlnm.Print_Area" localSheetId="2">'06,01 R1'!$A$1:$J$60</definedName>
    <definedName name="_xlnm.Print_Area" localSheetId="3">'06,01 R2'!$A$1:$J$60</definedName>
    <definedName name="_xlnm.Print_Area" localSheetId="4">'06,01 R3'!$A$1:$J$60</definedName>
    <definedName name="_xlnm.Print_Area" localSheetId="6">'06,02 R1 '!$A$1:$J$60</definedName>
    <definedName name="_xlnm.Print_Area" localSheetId="7">'06,02 R2 '!$A$1:$J$60</definedName>
    <definedName name="_xlnm.Print_Area" localSheetId="8">'06,02 R3'!$A$1:$J$60</definedName>
    <definedName name="_xlnm.Print_Area" localSheetId="10">'06,03 R1 '!$A$1:$J$60</definedName>
    <definedName name="_xlnm.Print_Area" localSheetId="11">'06,03 R2 NO TRIP '!$A$1:$J$60</definedName>
    <definedName name="_xlnm.Print_Area" localSheetId="12">'06,03 R3 NO TRIP'!$A$1:$J$60</definedName>
    <definedName name="_xlnm.Print_Area" localSheetId="14">'06,04 R1 '!$A$1:$J$60</definedName>
    <definedName name="_xlnm.Print_Area" localSheetId="15">'06,04 R2 '!$A$1:$J$60</definedName>
    <definedName name="_xlnm.Print_Area" localSheetId="16">'06,04 R3  '!$A$1:$J$60</definedName>
    <definedName name="_xlnm.Print_Area" localSheetId="18">'06,05 R1 NO TRIP'!$A$1:$J$60</definedName>
    <definedName name="_xlnm.Print_Area" localSheetId="19">'06,05 R2 '!$A$1:$J$60</definedName>
    <definedName name="_xlnm.Print_Area" localSheetId="20">'06,05 R3  '!$A$1:$J$60</definedName>
    <definedName name="_xlnm.Print_Area" localSheetId="22">'06,06 R1 COLLECTION'!$A$1:$J$60</definedName>
    <definedName name="_xlnm.Print_Area" localSheetId="23">'06,06 R2 NO TRIP'!$A$1:$J$60</definedName>
    <definedName name="_xlnm.Print_Area" localSheetId="24">'06,06 R3 NO TRIP '!$A$1:$J$60</definedName>
    <definedName name="_xlnm.Print_Area" localSheetId="26">'06,08 R1 NO TRIP'!$A$1:$J$60</definedName>
    <definedName name="_xlnm.Print_Area" localSheetId="27">'06,08 R2'!$A$1:$J$60</definedName>
    <definedName name="_xlnm.Print_Area" localSheetId="28">'06,08 R3'!$A$1:$J$60</definedName>
    <definedName name="_xlnm.Print_Area" localSheetId="30">'06,09 R1'!$A$1:$J$60</definedName>
    <definedName name="_xlnm.Print_Area" localSheetId="31">'06,09 R2 '!$A$1:$J$60</definedName>
    <definedName name="_xlnm.Print_Area" localSheetId="32">'06,09 R3 '!$A$1:$J$60</definedName>
    <definedName name="_xlnm.Print_Area" localSheetId="34">'06,10 R1 '!$A$1:$J$60</definedName>
    <definedName name="_xlnm.Print_Area" localSheetId="35">'06,10 R2  '!$A$1:$J$60</definedName>
    <definedName name="_xlnm.Print_Area" localSheetId="36">'06,10 R3 '!$A$1:$J$60</definedName>
    <definedName name="_xlnm.Print_Area" localSheetId="38">'06,11 R1 '!$A$1:$J$60</definedName>
    <definedName name="_xlnm.Print_Area" localSheetId="39">'06,11 R2 '!$A$1:$J$60</definedName>
    <definedName name="_xlnm.Print_Area" localSheetId="40">'06,11 R3'!$A$1:$J$60</definedName>
    <definedName name="_xlnm.Print_Area" localSheetId="42">'06,12 R1  '!$A$1:$J$60</definedName>
    <definedName name="_xlnm.Print_Area" localSheetId="43">'06,12 R2  '!$A$1:$J$60</definedName>
    <definedName name="_xlnm.Print_Area" localSheetId="44">'06,12 R3 '!$A$1:$J$60</definedName>
    <definedName name="_xlnm.Print_Area" localSheetId="46">'06,13 R1 '!$A$1:$J$60</definedName>
    <definedName name="_xlnm.Print_Area" localSheetId="47">'06,13 R2 '!$A$1:$J$60</definedName>
    <definedName name="_xlnm.Print_Area" localSheetId="48">'06,13 R3 '!$A$1:$J$60</definedName>
    <definedName name="_xlnm.Print_Area" localSheetId="50">'06,15 R1'!$A$1:$J$60</definedName>
    <definedName name="_xlnm.Print_Area" localSheetId="51">'06,15 R2'!$A$1:$J$60</definedName>
    <definedName name="_xlnm.Print_Area" localSheetId="52">'06,15 R3'!$A$1:$J$60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2" i="2122" l="1"/>
  <c r="C16" i="2117" l="1"/>
  <c r="C16" i="2118" l="1"/>
  <c r="H16" i="2118"/>
  <c r="L27" i="2118" l="1"/>
  <c r="C16" i="2112" l="1"/>
  <c r="L25" i="2110" l="1"/>
  <c r="C17" i="2110" l="1"/>
  <c r="L21" i="2110"/>
  <c r="C18" i="2110"/>
  <c r="C12" i="2110"/>
  <c r="L26" i="2110"/>
  <c r="C16" i="2110"/>
  <c r="C15" i="2110"/>
  <c r="L24" i="2110" l="1"/>
  <c r="H16" i="2089" l="1"/>
  <c r="L23" i="2087"/>
  <c r="L21" i="2087"/>
  <c r="R52" i="2155" l="1"/>
  <c r="R51" i="2155"/>
  <c r="D50" i="2155"/>
  <c r="R49" i="2155"/>
  <c r="D49" i="2155"/>
  <c r="R48" i="2155"/>
  <c r="D48" i="2155"/>
  <c r="D46" i="2155"/>
  <c r="D45" i="2155"/>
  <c r="R44" i="2155"/>
  <c r="L28" i="2155" s="1"/>
  <c r="D28" i="2155" s="1"/>
  <c r="D44" i="2155"/>
  <c r="R42" i="2155"/>
  <c r="D42" i="2155"/>
  <c r="R41" i="2155"/>
  <c r="L7" i="2155" s="1"/>
  <c r="D7" i="2155" s="1"/>
  <c r="D41" i="2155"/>
  <c r="R40" i="2155"/>
  <c r="D40" i="2155"/>
  <c r="R39" i="2155"/>
  <c r="H39" i="2155"/>
  <c r="D39" i="2155"/>
  <c r="R38" i="2155"/>
  <c r="H38" i="2155"/>
  <c r="D38" i="2155"/>
  <c r="R37" i="2155"/>
  <c r="H37" i="2155"/>
  <c r="D37" i="2155"/>
  <c r="R36" i="2155"/>
  <c r="H36" i="2155"/>
  <c r="D36" i="2155"/>
  <c r="R35" i="2155"/>
  <c r="H35" i="2155"/>
  <c r="D35" i="2155"/>
  <c r="R34" i="2155"/>
  <c r="L12" i="2155" s="1"/>
  <c r="D12" i="2155" s="1"/>
  <c r="H34" i="2155"/>
  <c r="G49" i="2155" s="1"/>
  <c r="D34" i="2155"/>
  <c r="D54" i="2155" s="1"/>
  <c r="H14" i="2155" s="1"/>
  <c r="R33" i="2155"/>
  <c r="L19" i="2155" s="1"/>
  <c r="D19" i="2155" s="1"/>
  <c r="R32" i="2155"/>
  <c r="L11" i="2155" s="1"/>
  <c r="D11" i="2155" s="1"/>
  <c r="R31" i="2155"/>
  <c r="R30" i="2155"/>
  <c r="R29" i="2155"/>
  <c r="R28" i="2155"/>
  <c r="R27" i="2155"/>
  <c r="L27" i="2155"/>
  <c r="D27" i="2155"/>
  <c r="R26" i="2155"/>
  <c r="L26" i="2155"/>
  <c r="D26" i="2155"/>
  <c r="R25" i="2155"/>
  <c r="L25" i="2155"/>
  <c r="D25" i="2155" s="1"/>
  <c r="R24" i="2155"/>
  <c r="L24" i="2155"/>
  <c r="D24" i="2155"/>
  <c r="R23" i="2155"/>
  <c r="L23" i="2155"/>
  <c r="D23" i="2155" s="1"/>
  <c r="R22" i="2155"/>
  <c r="L22" i="2155"/>
  <c r="D22" i="2155" s="1"/>
  <c r="R21" i="2155"/>
  <c r="L21" i="2155"/>
  <c r="D21" i="2155" s="1"/>
  <c r="R20" i="2155"/>
  <c r="L20" i="2155"/>
  <c r="D20" i="2155" s="1"/>
  <c r="R19" i="2155"/>
  <c r="R18" i="2155"/>
  <c r="L18" i="2155"/>
  <c r="D18" i="2155" s="1"/>
  <c r="R17" i="2155"/>
  <c r="L17" i="2155"/>
  <c r="D17" i="2155" s="1"/>
  <c r="R16" i="2155"/>
  <c r="R15" i="2155"/>
  <c r="L15" i="2155"/>
  <c r="D15" i="2155" s="1"/>
  <c r="R14" i="2155"/>
  <c r="D14" i="2155"/>
  <c r="R13" i="2155"/>
  <c r="D13" i="2155"/>
  <c r="R12" i="2155"/>
  <c r="R11" i="2155"/>
  <c r="L10" i="2155"/>
  <c r="D10" i="2155"/>
  <c r="L9" i="2155"/>
  <c r="D9" i="2155" s="1"/>
  <c r="L8" i="2155"/>
  <c r="D8" i="2155" s="1"/>
  <c r="R6" i="2155"/>
  <c r="L16" i="2155" s="1"/>
  <c r="D16" i="2155" s="1"/>
  <c r="L6" i="2155"/>
  <c r="D6" i="2155" s="1"/>
  <c r="R5" i="2155"/>
  <c r="R4" i="2155"/>
  <c r="R52" i="2154"/>
  <c r="R51" i="2154"/>
  <c r="D50" i="2154"/>
  <c r="R49" i="2154"/>
  <c r="D49" i="2154"/>
  <c r="R48" i="2154"/>
  <c r="D48" i="2154"/>
  <c r="D46" i="2154"/>
  <c r="D45" i="2154"/>
  <c r="R44" i="2154"/>
  <c r="D44" i="2154"/>
  <c r="R42" i="2154"/>
  <c r="L6" i="2154" s="1"/>
  <c r="D6" i="2154" s="1"/>
  <c r="D42" i="2154"/>
  <c r="R41" i="2154"/>
  <c r="L7" i="2154" s="1"/>
  <c r="D7" i="2154" s="1"/>
  <c r="D41" i="2154"/>
  <c r="R40" i="2154"/>
  <c r="D40" i="2154"/>
  <c r="R39" i="2154"/>
  <c r="H39" i="2154"/>
  <c r="D39" i="2154"/>
  <c r="R38" i="2154"/>
  <c r="L9" i="2154" s="1"/>
  <c r="D9" i="2154" s="1"/>
  <c r="H38" i="2154"/>
  <c r="D38" i="2154"/>
  <c r="R37" i="2154"/>
  <c r="H37" i="2154"/>
  <c r="D37" i="2154"/>
  <c r="R36" i="2154"/>
  <c r="L10" i="2154" s="1"/>
  <c r="D10" i="2154" s="1"/>
  <c r="H36" i="2154"/>
  <c r="D36" i="2154"/>
  <c r="R35" i="2154"/>
  <c r="L18" i="2154" s="1"/>
  <c r="D18" i="2154" s="1"/>
  <c r="H35" i="2154"/>
  <c r="G49" i="2154" s="1"/>
  <c r="D35" i="2154"/>
  <c r="D54" i="2154" s="1"/>
  <c r="H14" i="2154" s="1"/>
  <c r="R34" i="2154"/>
  <c r="H34" i="2154"/>
  <c r="D34" i="2154"/>
  <c r="R33" i="2154"/>
  <c r="L19" i="2154" s="1"/>
  <c r="D19" i="2154" s="1"/>
  <c r="R32" i="2154"/>
  <c r="R31" i="2154"/>
  <c r="R30" i="2154"/>
  <c r="R29" i="2154"/>
  <c r="R28" i="2154"/>
  <c r="L28" i="2154"/>
  <c r="D28" i="2154"/>
  <c r="R27" i="2154"/>
  <c r="L27" i="2154"/>
  <c r="D27" i="2154" s="1"/>
  <c r="R26" i="2154"/>
  <c r="L26" i="2154"/>
  <c r="D26" i="2154"/>
  <c r="R25" i="2154"/>
  <c r="L25" i="2154"/>
  <c r="D25" i="2154" s="1"/>
  <c r="R24" i="2154"/>
  <c r="L24" i="2154"/>
  <c r="D24" i="2154"/>
  <c r="R23" i="2154"/>
  <c r="L23" i="2154"/>
  <c r="D23" i="2154"/>
  <c r="R22" i="2154"/>
  <c r="L22" i="2154"/>
  <c r="D22" i="2154"/>
  <c r="R21" i="2154"/>
  <c r="L17" i="2154" s="1"/>
  <c r="D17" i="2154" s="1"/>
  <c r="D21" i="2154"/>
  <c r="R20" i="2154"/>
  <c r="L20" i="2154"/>
  <c r="D20" i="2154"/>
  <c r="R19" i="2154"/>
  <c r="R18" i="2154"/>
  <c r="R17" i="2154"/>
  <c r="R16" i="2154"/>
  <c r="L16" i="2154"/>
  <c r="D16" i="2154" s="1"/>
  <c r="R15" i="2154"/>
  <c r="R14" i="2154"/>
  <c r="D14" i="2154"/>
  <c r="R13" i="2154"/>
  <c r="D13" i="2154"/>
  <c r="R12" i="2154"/>
  <c r="L12" i="2154"/>
  <c r="D12" i="2154"/>
  <c r="R11" i="2154"/>
  <c r="L11" i="2154"/>
  <c r="D11" i="2154" s="1"/>
  <c r="L8" i="2154"/>
  <c r="D8" i="2154" s="1"/>
  <c r="R6" i="2154"/>
  <c r="R5" i="2154"/>
  <c r="R4" i="2154"/>
  <c r="L15" i="2154" s="1"/>
  <c r="D15" i="2154" s="1"/>
  <c r="R52" i="2153"/>
  <c r="R51" i="2153"/>
  <c r="D50" i="2153"/>
  <c r="R49" i="2153"/>
  <c r="D49" i="2153"/>
  <c r="R48" i="2153"/>
  <c r="D48" i="2153"/>
  <c r="D46" i="2153"/>
  <c r="D45" i="2153"/>
  <c r="R44" i="2153"/>
  <c r="D44" i="2153"/>
  <c r="R42" i="2153"/>
  <c r="L6" i="2153" s="1"/>
  <c r="D6" i="2153" s="1"/>
  <c r="D42" i="2153"/>
  <c r="R41" i="2153"/>
  <c r="L7" i="2153" s="1"/>
  <c r="D7" i="2153" s="1"/>
  <c r="D41" i="2153"/>
  <c r="R40" i="2153"/>
  <c r="L8" i="2153" s="1"/>
  <c r="D8" i="2153" s="1"/>
  <c r="D40" i="2153"/>
  <c r="R39" i="2153"/>
  <c r="H39" i="2153"/>
  <c r="D39" i="2153"/>
  <c r="R38" i="2153"/>
  <c r="H38" i="2153"/>
  <c r="D38" i="2153"/>
  <c r="R37" i="2153"/>
  <c r="H37" i="2153"/>
  <c r="D37" i="2153"/>
  <c r="R36" i="2153"/>
  <c r="L10" i="2153" s="1"/>
  <c r="D10" i="2153" s="1"/>
  <c r="H36" i="2153"/>
  <c r="G49" i="2153" s="1"/>
  <c r="D36" i="2153"/>
  <c r="D54" i="2153" s="1"/>
  <c r="H14" i="2153" s="1"/>
  <c r="R35" i="2153"/>
  <c r="L18" i="2153" s="1"/>
  <c r="D18" i="2153" s="1"/>
  <c r="H35" i="2153"/>
  <c r="D35" i="2153"/>
  <c r="R34" i="2153"/>
  <c r="H34" i="2153"/>
  <c r="D34" i="2153"/>
  <c r="R33" i="2153"/>
  <c r="R32" i="2153"/>
  <c r="R31" i="2153"/>
  <c r="R30" i="2153"/>
  <c r="R29" i="2153"/>
  <c r="R28" i="2153"/>
  <c r="L28" i="2153"/>
  <c r="D28" i="2153"/>
  <c r="R27" i="2153"/>
  <c r="L27" i="2153"/>
  <c r="D27" i="2153"/>
  <c r="R26" i="2153"/>
  <c r="L26" i="2153"/>
  <c r="D26" i="2153"/>
  <c r="R25" i="2153"/>
  <c r="L25" i="2153"/>
  <c r="D25" i="2153"/>
  <c r="R24" i="2153"/>
  <c r="L24" i="2153"/>
  <c r="D24" i="2153"/>
  <c r="R23" i="2153"/>
  <c r="L23" i="2153"/>
  <c r="D23" i="2153"/>
  <c r="R22" i="2153"/>
  <c r="L20" i="2153" s="1"/>
  <c r="D20" i="2153" s="1"/>
  <c r="L22" i="2153"/>
  <c r="D22" i="2153" s="1"/>
  <c r="R21" i="2153"/>
  <c r="L21" i="2153"/>
  <c r="D21" i="2153" s="1"/>
  <c r="R20" i="2153"/>
  <c r="R19" i="2153"/>
  <c r="L19" i="2153"/>
  <c r="D19" i="2153" s="1"/>
  <c r="R18" i="2153"/>
  <c r="R17" i="2153"/>
  <c r="L17" i="2153"/>
  <c r="D17" i="2153" s="1"/>
  <c r="R16" i="2153"/>
  <c r="L16" i="2153"/>
  <c r="D16" i="2153" s="1"/>
  <c r="R15" i="2153"/>
  <c r="R14" i="2153"/>
  <c r="D14" i="2153"/>
  <c r="R13" i="2153"/>
  <c r="D13" i="2153"/>
  <c r="R12" i="2153"/>
  <c r="L12" i="2153"/>
  <c r="D12" i="2153"/>
  <c r="R11" i="2153"/>
  <c r="L11" i="2153"/>
  <c r="D11" i="2153" s="1"/>
  <c r="L9" i="2153"/>
  <c r="D9" i="2153" s="1"/>
  <c r="R6" i="2153"/>
  <c r="R5" i="2153"/>
  <c r="R4" i="2153"/>
  <c r="L15" i="2153" s="1"/>
  <c r="D15" i="2153" s="1"/>
  <c r="R52" i="2152"/>
  <c r="R51" i="2152"/>
  <c r="D50" i="2152"/>
  <c r="R49" i="2152"/>
  <c r="G49" i="2152"/>
  <c r="D49" i="2152"/>
  <c r="R48" i="2152"/>
  <c r="D48" i="2152"/>
  <c r="D46" i="2152"/>
  <c r="D45" i="2152"/>
  <c r="D44" i="2152"/>
  <c r="R42" i="2152"/>
  <c r="D42" i="2152"/>
  <c r="R41" i="2152"/>
  <c r="D41" i="2152"/>
  <c r="R40" i="2152"/>
  <c r="D40" i="2152"/>
  <c r="R39" i="2152"/>
  <c r="D39" i="2152"/>
  <c r="R38" i="2152"/>
  <c r="L9" i="2152" s="1"/>
  <c r="D9" i="2152" s="1"/>
  <c r="D38" i="2152"/>
  <c r="R37" i="2152"/>
  <c r="D37" i="2152"/>
  <c r="R36" i="2152"/>
  <c r="L10" i="2152" s="1"/>
  <c r="D10" i="2152" s="1"/>
  <c r="D36" i="2152"/>
  <c r="R35" i="2152"/>
  <c r="D35" i="2152"/>
  <c r="R34" i="2152"/>
  <c r="D34" i="2152"/>
  <c r="D54" i="2152" s="1"/>
  <c r="H14" i="2152" s="1"/>
  <c r="R33" i="2152"/>
  <c r="L23" i="2152" s="1"/>
  <c r="D23" i="2152" s="1"/>
  <c r="R32" i="2152"/>
  <c r="R31" i="2152"/>
  <c r="R30" i="2152"/>
  <c r="R29" i="2152"/>
  <c r="R28" i="2152"/>
  <c r="L16" i="2152" s="1"/>
  <c r="D16" i="2152" s="1"/>
  <c r="D28" i="2152"/>
  <c r="R27" i="2152"/>
  <c r="D27" i="2152"/>
  <c r="R26" i="2152"/>
  <c r="L26" i="2152"/>
  <c r="D26" i="2152"/>
  <c r="R25" i="2152"/>
  <c r="L25" i="2152"/>
  <c r="D25" i="2152" s="1"/>
  <c r="R24" i="2152"/>
  <c r="D24" i="2152"/>
  <c r="R23" i="2152"/>
  <c r="R22" i="2152"/>
  <c r="L22" i="2152"/>
  <c r="D22" i="2152" s="1"/>
  <c r="R21" i="2152"/>
  <c r="D21" i="2152"/>
  <c r="R20" i="2152"/>
  <c r="L20" i="2152"/>
  <c r="D20" i="2152"/>
  <c r="R19" i="2152"/>
  <c r="L19" i="2152"/>
  <c r="D19" i="2152" s="1"/>
  <c r="R18" i="2152"/>
  <c r="D18" i="2152"/>
  <c r="R17" i="2152"/>
  <c r="D17" i="2152"/>
  <c r="R16" i="2152"/>
  <c r="S15" i="2152"/>
  <c r="R15" i="2152"/>
  <c r="D15" i="2152"/>
  <c r="S14" i="2152"/>
  <c r="R14" i="2152"/>
  <c r="D14" i="2152"/>
  <c r="R13" i="2152"/>
  <c r="D13" i="2152"/>
  <c r="R12" i="2152"/>
  <c r="L12" i="2152"/>
  <c r="D12" i="2152"/>
  <c r="R11" i="2152"/>
  <c r="L11" i="2152"/>
  <c r="D11" i="2152" s="1"/>
  <c r="L8" i="2152"/>
  <c r="D8" i="2152" s="1"/>
  <c r="L7" i="2152"/>
  <c r="D7" i="2152" s="1"/>
  <c r="R6" i="2152"/>
  <c r="L6" i="2152"/>
  <c r="D6" i="2152" s="1"/>
  <c r="D29" i="2152" s="1"/>
  <c r="H13" i="2152" s="1"/>
  <c r="H15" i="2152" s="1"/>
  <c r="H29" i="2152" s="1"/>
  <c r="R5" i="2152"/>
  <c r="R4" i="2152"/>
  <c r="R52" i="2151"/>
  <c r="R51" i="2151"/>
  <c r="D50" i="2151"/>
  <c r="R49" i="2151"/>
  <c r="G49" i="2151"/>
  <c r="D49" i="2151"/>
  <c r="R48" i="2151"/>
  <c r="D48" i="2151"/>
  <c r="D46" i="2151"/>
  <c r="D45" i="2151"/>
  <c r="R44" i="2151"/>
  <c r="D44" i="2151"/>
  <c r="R42" i="2151"/>
  <c r="D42" i="2151"/>
  <c r="R41" i="2151"/>
  <c r="D41" i="2151"/>
  <c r="R40" i="2151"/>
  <c r="D40" i="2151"/>
  <c r="R39" i="2151"/>
  <c r="H39" i="2151"/>
  <c r="D39" i="2151"/>
  <c r="R38" i="2151"/>
  <c r="H38" i="2151"/>
  <c r="D38" i="2151"/>
  <c r="R37" i="2151"/>
  <c r="H37" i="2151"/>
  <c r="D37" i="2151"/>
  <c r="R36" i="2151"/>
  <c r="L10" i="2151" s="1"/>
  <c r="D10" i="2151" s="1"/>
  <c r="H36" i="2151"/>
  <c r="D36" i="2151"/>
  <c r="R35" i="2151"/>
  <c r="L18" i="2151" s="1"/>
  <c r="D18" i="2151" s="1"/>
  <c r="H35" i="2151"/>
  <c r="D35" i="2151"/>
  <c r="R34" i="2151"/>
  <c r="H34" i="2151"/>
  <c r="D34" i="2151"/>
  <c r="D54" i="2151" s="1"/>
  <c r="H14" i="2151" s="1"/>
  <c r="R33" i="2151"/>
  <c r="L19" i="2151" s="1"/>
  <c r="D19" i="2151" s="1"/>
  <c r="R32" i="2151"/>
  <c r="L11" i="2151" s="1"/>
  <c r="D11" i="2151" s="1"/>
  <c r="R31" i="2151"/>
  <c r="R30" i="2151"/>
  <c r="R29" i="2151"/>
  <c r="R28" i="2151"/>
  <c r="L28" i="2151"/>
  <c r="D28" i="2151"/>
  <c r="R27" i="2151"/>
  <c r="L27" i="2151"/>
  <c r="D27" i="2151"/>
  <c r="R26" i="2151"/>
  <c r="L26" i="2151"/>
  <c r="D26" i="2151"/>
  <c r="R25" i="2151"/>
  <c r="L25" i="2151"/>
  <c r="D25" i="2151" s="1"/>
  <c r="R24" i="2151"/>
  <c r="L24" i="2151"/>
  <c r="D24" i="2151" s="1"/>
  <c r="R23" i="2151"/>
  <c r="L23" i="2151"/>
  <c r="D23" i="2151" s="1"/>
  <c r="R22" i="2151"/>
  <c r="L22" i="2151"/>
  <c r="D22" i="2151" s="1"/>
  <c r="R21" i="2151"/>
  <c r="L21" i="2151"/>
  <c r="D21" i="2151"/>
  <c r="R20" i="2151"/>
  <c r="L20" i="2151"/>
  <c r="D20" i="2151" s="1"/>
  <c r="R19" i="2151"/>
  <c r="R18" i="2151"/>
  <c r="R17" i="2151"/>
  <c r="L17" i="2151"/>
  <c r="D17" i="2151" s="1"/>
  <c r="R16" i="2151"/>
  <c r="L16" i="2151"/>
  <c r="D16" i="2151" s="1"/>
  <c r="R15" i="2151"/>
  <c r="L15" i="2151"/>
  <c r="D15" i="2151"/>
  <c r="R14" i="2151"/>
  <c r="D14" i="2151"/>
  <c r="R13" i="2151"/>
  <c r="D13" i="2151"/>
  <c r="R12" i="2151"/>
  <c r="L12" i="2151"/>
  <c r="D12" i="2151" s="1"/>
  <c r="R11" i="2151"/>
  <c r="L9" i="2151"/>
  <c r="D9" i="2151" s="1"/>
  <c r="L8" i="2151"/>
  <c r="D8" i="2151" s="1"/>
  <c r="L7" i="2151"/>
  <c r="D7" i="2151" s="1"/>
  <c r="R6" i="2151"/>
  <c r="L6" i="2151"/>
  <c r="D6" i="2151" s="1"/>
  <c r="R5" i="2151"/>
  <c r="R4" i="2151"/>
  <c r="R52" i="2150"/>
  <c r="R51" i="2150"/>
  <c r="D50" i="2150"/>
  <c r="R49" i="2150"/>
  <c r="G49" i="2150"/>
  <c r="D49" i="2150"/>
  <c r="R48" i="2150"/>
  <c r="D48" i="2150"/>
  <c r="D46" i="2150"/>
  <c r="D45" i="2150"/>
  <c r="R44" i="2150"/>
  <c r="D44" i="2150"/>
  <c r="R42" i="2150"/>
  <c r="D42" i="2150"/>
  <c r="R41" i="2150"/>
  <c r="L7" i="2150" s="1"/>
  <c r="D7" i="2150" s="1"/>
  <c r="D41" i="2150"/>
  <c r="R40" i="2150"/>
  <c r="D40" i="2150"/>
  <c r="R39" i="2150"/>
  <c r="H39" i="2150"/>
  <c r="D39" i="2150"/>
  <c r="R38" i="2150"/>
  <c r="H38" i="2150"/>
  <c r="D38" i="2150"/>
  <c r="R37" i="2150"/>
  <c r="H37" i="2150"/>
  <c r="D37" i="2150"/>
  <c r="R36" i="2150"/>
  <c r="H36" i="2150"/>
  <c r="D36" i="2150"/>
  <c r="R35" i="2150"/>
  <c r="L18" i="2150" s="1"/>
  <c r="D18" i="2150" s="1"/>
  <c r="H35" i="2150"/>
  <c r="D35" i="2150"/>
  <c r="R34" i="2150"/>
  <c r="L12" i="2150" s="1"/>
  <c r="D12" i="2150" s="1"/>
  <c r="H34" i="2150"/>
  <c r="D34" i="2150"/>
  <c r="D54" i="2150" s="1"/>
  <c r="H14" i="2150" s="1"/>
  <c r="R33" i="2150"/>
  <c r="L19" i="2150" s="1"/>
  <c r="D19" i="2150" s="1"/>
  <c r="R32" i="2150"/>
  <c r="L11" i="2150" s="1"/>
  <c r="D11" i="2150" s="1"/>
  <c r="R31" i="2150"/>
  <c r="R30" i="2150"/>
  <c r="R29" i="2150"/>
  <c r="R28" i="2150"/>
  <c r="L28" i="2150"/>
  <c r="D28" i="2150"/>
  <c r="R27" i="2150"/>
  <c r="L27" i="2150"/>
  <c r="D27" i="2150"/>
  <c r="R26" i="2150"/>
  <c r="L26" i="2150"/>
  <c r="D26" i="2150"/>
  <c r="R25" i="2150"/>
  <c r="L25" i="2150"/>
  <c r="D25" i="2150" s="1"/>
  <c r="R24" i="2150"/>
  <c r="L24" i="2150"/>
  <c r="D24" i="2150"/>
  <c r="R23" i="2150"/>
  <c r="L23" i="2150"/>
  <c r="D23" i="2150" s="1"/>
  <c r="R22" i="2150"/>
  <c r="L22" i="2150"/>
  <c r="D22" i="2150" s="1"/>
  <c r="R21" i="2150"/>
  <c r="L17" i="2150" s="1"/>
  <c r="D17" i="2150" s="1"/>
  <c r="D21" i="2150"/>
  <c r="R20" i="2150"/>
  <c r="L20" i="2150"/>
  <c r="D20" i="2150"/>
  <c r="R19" i="2150"/>
  <c r="R18" i="2150"/>
  <c r="R17" i="2150"/>
  <c r="R16" i="2150"/>
  <c r="R15" i="2150"/>
  <c r="L15" i="2150"/>
  <c r="D15" i="2150"/>
  <c r="R14" i="2150"/>
  <c r="D14" i="2150"/>
  <c r="R13" i="2150"/>
  <c r="D13" i="2150"/>
  <c r="R12" i="2150"/>
  <c r="R11" i="2150"/>
  <c r="L10" i="2150"/>
  <c r="D10" i="2150"/>
  <c r="L9" i="2150"/>
  <c r="D9" i="2150"/>
  <c r="L8" i="2150"/>
  <c r="D8" i="2150" s="1"/>
  <c r="R6" i="2150"/>
  <c r="L16" i="2150" s="1"/>
  <c r="D16" i="2150" s="1"/>
  <c r="L6" i="2150"/>
  <c r="D6" i="2150"/>
  <c r="R5" i="2150"/>
  <c r="R4" i="2150"/>
  <c r="R52" i="2149"/>
  <c r="R51" i="2149"/>
  <c r="D50" i="2149"/>
  <c r="R49" i="2149"/>
  <c r="G49" i="2149"/>
  <c r="D49" i="2149"/>
  <c r="R48" i="2149"/>
  <c r="D48" i="2149"/>
  <c r="D46" i="2149"/>
  <c r="D45" i="2149"/>
  <c r="R44" i="2149"/>
  <c r="L28" i="2149" s="1"/>
  <c r="D28" i="2149" s="1"/>
  <c r="D44" i="2149"/>
  <c r="R42" i="2149"/>
  <c r="D42" i="2149"/>
  <c r="R41" i="2149"/>
  <c r="L7" i="2149" s="1"/>
  <c r="D7" i="2149" s="1"/>
  <c r="D41" i="2149"/>
  <c r="R40" i="2149"/>
  <c r="L8" i="2149" s="1"/>
  <c r="D8" i="2149" s="1"/>
  <c r="D40" i="2149"/>
  <c r="R39" i="2149"/>
  <c r="H39" i="2149"/>
  <c r="D39" i="2149"/>
  <c r="R38" i="2149"/>
  <c r="H38" i="2149"/>
  <c r="D38" i="2149"/>
  <c r="R37" i="2149"/>
  <c r="H37" i="2149"/>
  <c r="D37" i="2149"/>
  <c r="R36" i="2149"/>
  <c r="H36" i="2149"/>
  <c r="D36" i="2149"/>
  <c r="R35" i="2149"/>
  <c r="H35" i="2149"/>
  <c r="D35" i="2149"/>
  <c r="R34" i="2149"/>
  <c r="L12" i="2149" s="1"/>
  <c r="D12" i="2149" s="1"/>
  <c r="H34" i="2149"/>
  <c r="D34" i="2149"/>
  <c r="D54" i="2149" s="1"/>
  <c r="H14" i="2149" s="1"/>
  <c r="R33" i="2149"/>
  <c r="L19" i="2149" s="1"/>
  <c r="D19" i="2149" s="1"/>
  <c r="R32" i="2149"/>
  <c r="R31" i="2149"/>
  <c r="R30" i="2149"/>
  <c r="R29" i="2149"/>
  <c r="R28" i="2149"/>
  <c r="R27" i="2149"/>
  <c r="L27" i="2149"/>
  <c r="D27" i="2149"/>
  <c r="R26" i="2149"/>
  <c r="L26" i="2149"/>
  <c r="D26" i="2149"/>
  <c r="R25" i="2149"/>
  <c r="L25" i="2149"/>
  <c r="D25" i="2149" s="1"/>
  <c r="R24" i="2149"/>
  <c r="L24" i="2149"/>
  <c r="D24" i="2149"/>
  <c r="R23" i="2149"/>
  <c r="L23" i="2149"/>
  <c r="D23" i="2149"/>
  <c r="R22" i="2149"/>
  <c r="L22" i="2149"/>
  <c r="D22" i="2149"/>
  <c r="R21" i="2149"/>
  <c r="L17" i="2149" s="1"/>
  <c r="D17" i="2149" s="1"/>
  <c r="L21" i="2149"/>
  <c r="D21" i="2149" s="1"/>
  <c r="R20" i="2149"/>
  <c r="L20" i="2149"/>
  <c r="D20" i="2149" s="1"/>
  <c r="R19" i="2149"/>
  <c r="R18" i="2149"/>
  <c r="L18" i="2149"/>
  <c r="D18" i="2149" s="1"/>
  <c r="R17" i="2149"/>
  <c r="R16" i="2149"/>
  <c r="L16" i="2149"/>
  <c r="D16" i="2149" s="1"/>
  <c r="R15" i="2149"/>
  <c r="L15" i="2149"/>
  <c r="D15" i="2149" s="1"/>
  <c r="R14" i="2149"/>
  <c r="D14" i="2149"/>
  <c r="R13" i="2149"/>
  <c r="D13" i="2149"/>
  <c r="R12" i="2149"/>
  <c r="R11" i="2149"/>
  <c r="L11" i="2149"/>
  <c r="D11" i="2149" s="1"/>
  <c r="L10" i="2149"/>
  <c r="D10" i="2149"/>
  <c r="L9" i="2149"/>
  <c r="D9" i="2149" s="1"/>
  <c r="R6" i="2149"/>
  <c r="L6" i="2149"/>
  <c r="D6" i="2149" s="1"/>
  <c r="R5" i="2149"/>
  <c r="R4" i="2149"/>
  <c r="R52" i="2148"/>
  <c r="R51" i="2148"/>
  <c r="D50" i="2148"/>
  <c r="R49" i="2148"/>
  <c r="G49" i="2148"/>
  <c r="D49" i="2148"/>
  <c r="R48" i="2148"/>
  <c r="D48" i="2148"/>
  <c r="D46" i="2148"/>
  <c r="D45" i="2148"/>
  <c r="D44" i="2148"/>
  <c r="R42" i="2148"/>
  <c r="L6" i="2148" s="1"/>
  <c r="D6" i="2148" s="1"/>
  <c r="D42" i="2148"/>
  <c r="R41" i="2148"/>
  <c r="L7" i="2148" s="1"/>
  <c r="D7" i="2148" s="1"/>
  <c r="D41" i="2148"/>
  <c r="R40" i="2148"/>
  <c r="D40" i="2148"/>
  <c r="R39" i="2148"/>
  <c r="D39" i="2148"/>
  <c r="R38" i="2148"/>
  <c r="L9" i="2148" s="1"/>
  <c r="D9" i="2148" s="1"/>
  <c r="D38" i="2148"/>
  <c r="R37" i="2148"/>
  <c r="D37" i="2148"/>
  <c r="R36" i="2148"/>
  <c r="L10" i="2148" s="1"/>
  <c r="D10" i="2148" s="1"/>
  <c r="D36" i="2148"/>
  <c r="R35" i="2148"/>
  <c r="D35" i="2148"/>
  <c r="R34" i="2148"/>
  <c r="L12" i="2148" s="1"/>
  <c r="D12" i="2148" s="1"/>
  <c r="D34" i="2148"/>
  <c r="D54" i="2148" s="1"/>
  <c r="H14" i="2148" s="1"/>
  <c r="R33" i="2148"/>
  <c r="L23" i="2148" s="1"/>
  <c r="D23" i="2148" s="1"/>
  <c r="R32" i="2148"/>
  <c r="R31" i="2148"/>
  <c r="R30" i="2148"/>
  <c r="R29" i="2148"/>
  <c r="R28" i="2148"/>
  <c r="D28" i="2148"/>
  <c r="R27" i="2148"/>
  <c r="D27" i="2148"/>
  <c r="R26" i="2148"/>
  <c r="L26" i="2148"/>
  <c r="D26" i="2148"/>
  <c r="R25" i="2148"/>
  <c r="L25" i="2148"/>
  <c r="D25" i="2148"/>
  <c r="R24" i="2148"/>
  <c r="D24" i="2148"/>
  <c r="R23" i="2148"/>
  <c r="R22" i="2148"/>
  <c r="L22" i="2148"/>
  <c r="D22" i="2148"/>
  <c r="R21" i="2148"/>
  <c r="D21" i="2148"/>
  <c r="R20" i="2148"/>
  <c r="L20" i="2148"/>
  <c r="D20" i="2148"/>
  <c r="R19" i="2148"/>
  <c r="L19" i="2148"/>
  <c r="D19" i="2148"/>
  <c r="R18" i="2148"/>
  <c r="D18" i="2148"/>
  <c r="R17" i="2148"/>
  <c r="D17" i="2148"/>
  <c r="R16" i="2148"/>
  <c r="L16" i="2148"/>
  <c r="D16" i="2148" s="1"/>
  <c r="S15" i="2148"/>
  <c r="R15" i="2148"/>
  <c r="D15" i="2148"/>
  <c r="S14" i="2148"/>
  <c r="R14" i="2148"/>
  <c r="D14" i="2148"/>
  <c r="R13" i="2148"/>
  <c r="D13" i="2148"/>
  <c r="R12" i="2148"/>
  <c r="R11" i="2148"/>
  <c r="L11" i="2148"/>
  <c r="D11" i="2148"/>
  <c r="L8" i="2148"/>
  <c r="D8" i="2148"/>
  <c r="R6" i="2148"/>
  <c r="R5" i="2148"/>
  <c r="R4" i="2148"/>
  <c r="R52" i="2147"/>
  <c r="R51" i="2147"/>
  <c r="D50" i="2147"/>
  <c r="R49" i="2147"/>
  <c r="D49" i="2147"/>
  <c r="R48" i="2147"/>
  <c r="D48" i="2147"/>
  <c r="D46" i="2147"/>
  <c r="D45" i="2147"/>
  <c r="R44" i="2147"/>
  <c r="L28" i="2147" s="1"/>
  <c r="D28" i="2147" s="1"/>
  <c r="D44" i="2147"/>
  <c r="R42" i="2147"/>
  <c r="D42" i="2147"/>
  <c r="R41" i="2147"/>
  <c r="D41" i="2147"/>
  <c r="R40" i="2147"/>
  <c r="L8" i="2147" s="1"/>
  <c r="D8" i="2147" s="1"/>
  <c r="D40" i="2147"/>
  <c r="R39" i="2147"/>
  <c r="H39" i="2147"/>
  <c r="D39" i="2147"/>
  <c r="R38" i="2147"/>
  <c r="H38" i="2147"/>
  <c r="D38" i="2147"/>
  <c r="R37" i="2147"/>
  <c r="H37" i="2147"/>
  <c r="D37" i="2147"/>
  <c r="R36" i="2147"/>
  <c r="H36" i="2147"/>
  <c r="D36" i="2147"/>
  <c r="R35" i="2147"/>
  <c r="L18" i="2147" s="1"/>
  <c r="D18" i="2147" s="1"/>
  <c r="H35" i="2147"/>
  <c r="D35" i="2147"/>
  <c r="R34" i="2147"/>
  <c r="L12" i="2147" s="1"/>
  <c r="D12" i="2147" s="1"/>
  <c r="H34" i="2147"/>
  <c r="G49" i="2147" s="1"/>
  <c r="D34" i="2147"/>
  <c r="D54" i="2147" s="1"/>
  <c r="H14" i="2147" s="1"/>
  <c r="R33" i="2147"/>
  <c r="L19" i="2147" s="1"/>
  <c r="D19" i="2147" s="1"/>
  <c r="R32" i="2147"/>
  <c r="R31" i="2147"/>
  <c r="R30" i="2147"/>
  <c r="R29" i="2147"/>
  <c r="R28" i="2147"/>
  <c r="R27" i="2147"/>
  <c r="L27" i="2147"/>
  <c r="D27" i="2147" s="1"/>
  <c r="R26" i="2147"/>
  <c r="L26" i="2147"/>
  <c r="D26" i="2147" s="1"/>
  <c r="R25" i="2147"/>
  <c r="L25" i="2147"/>
  <c r="D25" i="2147" s="1"/>
  <c r="R24" i="2147"/>
  <c r="L24" i="2147"/>
  <c r="D24" i="2147" s="1"/>
  <c r="R23" i="2147"/>
  <c r="L23" i="2147"/>
  <c r="D23" i="2147" s="1"/>
  <c r="R22" i="2147"/>
  <c r="L22" i="2147"/>
  <c r="D22" i="2147"/>
  <c r="R21" i="2147"/>
  <c r="L17" i="2147" s="1"/>
  <c r="D17" i="2147" s="1"/>
  <c r="L21" i="2147"/>
  <c r="D21" i="2147"/>
  <c r="R20" i="2147"/>
  <c r="L20" i="2147"/>
  <c r="D20" i="2147"/>
  <c r="R19" i="2147"/>
  <c r="R18" i="2147"/>
  <c r="R17" i="2147"/>
  <c r="R16" i="2147"/>
  <c r="L16" i="2147"/>
  <c r="D16" i="2147"/>
  <c r="R15" i="2147"/>
  <c r="L15" i="2147"/>
  <c r="D15" i="2147"/>
  <c r="R14" i="2147"/>
  <c r="D14" i="2147"/>
  <c r="R13" i="2147"/>
  <c r="D13" i="2147"/>
  <c r="R12" i="2147"/>
  <c r="R11" i="2147"/>
  <c r="L11" i="2147"/>
  <c r="D11" i="2147"/>
  <c r="L10" i="2147"/>
  <c r="D10" i="2147" s="1"/>
  <c r="L9" i="2147"/>
  <c r="D9" i="2147"/>
  <c r="L7" i="2147"/>
  <c r="D7" i="2147" s="1"/>
  <c r="R6" i="2147"/>
  <c r="L6" i="2147"/>
  <c r="D6" i="2147" s="1"/>
  <c r="R5" i="2147"/>
  <c r="R4" i="2147"/>
  <c r="R52" i="2146"/>
  <c r="R51" i="2146"/>
  <c r="D50" i="2146"/>
  <c r="R49" i="2146"/>
  <c r="G49" i="2146"/>
  <c r="D49" i="2146"/>
  <c r="R48" i="2146"/>
  <c r="D48" i="2146"/>
  <c r="D46" i="2146"/>
  <c r="D45" i="2146"/>
  <c r="R44" i="2146"/>
  <c r="L28" i="2146" s="1"/>
  <c r="D28" i="2146" s="1"/>
  <c r="D44" i="2146"/>
  <c r="R42" i="2146"/>
  <c r="D42" i="2146"/>
  <c r="R41" i="2146"/>
  <c r="L7" i="2146" s="1"/>
  <c r="D7" i="2146" s="1"/>
  <c r="D41" i="2146"/>
  <c r="R40" i="2146"/>
  <c r="D40" i="2146"/>
  <c r="R39" i="2146"/>
  <c r="H39" i="2146"/>
  <c r="D39" i="2146"/>
  <c r="R38" i="2146"/>
  <c r="H38" i="2146"/>
  <c r="D38" i="2146"/>
  <c r="R37" i="2146"/>
  <c r="H37" i="2146"/>
  <c r="D37" i="2146"/>
  <c r="R36" i="2146"/>
  <c r="H36" i="2146"/>
  <c r="D36" i="2146"/>
  <c r="R35" i="2146"/>
  <c r="L18" i="2146" s="1"/>
  <c r="D18" i="2146" s="1"/>
  <c r="H35" i="2146"/>
  <c r="D35" i="2146"/>
  <c r="R34" i="2146"/>
  <c r="L12" i="2146" s="1"/>
  <c r="D12" i="2146" s="1"/>
  <c r="H34" i="2146"/>
  <c r="D34" i="2146"/>
  <c r="D54" i="2146" s="1"/>
  <c r="H14" i="2146" s="1"/>
  <c r="R33" i="2146"/>
  <c r="L19" i="2146" s="1"/>
  <c r="D19" i="2146" s="1"/>
  <c r="R32" i="2146"/>
  <c r="L11" i="2146" s="1"/>
  <c r="D11" i="2146" s="1"/>
  <c r="R31" i="2146"/>
  <c r="R30" i="2146"/>
  <c r="R29" i="2146"/>
  <c r="R28" i="2146"/>
  <c r="R27" i="2146"/>
  <c r="L27" i="2146"/>
  <c r="D27" i="2146"/>
  <c r="R26" i="2146"/>
  <c r="L26" i="2146"/>
  <c r="D26" i="2146"/>
  <c r="R25" i="2146"/>
  <c r="L25" i="2146"/>
  <c r="D25" i="2146"/>
  <c r="R24" i="2146"/>
  <c r="L24" i="2146"/>
  <c r="D24" i="2146"/>
  <c r="R23" i="2146"/>
  <c r="L23" i="2146"/>
  <c r="D23" i="2146" s="1"/>
  <c r="R22" i="2146"/>
  <c r="L22" i="2146"/>
  <c r="D22" i="2146" s="1"/>
  <c r="R21" i="2146"/>
  <c r="D21" i="2146"/>
  <c r="R20" i="2146"/>
  <c r="L20" i="2146"/>
  <c r="D20" i="2146"/>
  <c r="R19" i="2146"/>
  <c r="R18" i="2146"/>
  <c r="R17" i="2146"/>
  <c r="L17" i="2146"/>
  <c r="D17" i="2146"/>
  <c r="R16" i="2146"/>
  <c r="R15" i="2146"/>
  <c r="L15" i="2146"/>
  <c r="D15" i="2146"/>
  <c r="R14" i="2146"/>
  <c r="D14" i="2146"/>
  <c r="R13" i="2146"/>
  <c r="D13" i="2146"/>
  <c r="R12" i="2146"/>
  <c r="R11" i="2146"/>
  <c r="L10" i="2146"/>
  <c r="D10" i="2146"/>
  <c r="L9" i="2146"/>
  <c r="D9" i="2146"/>
  <c r="L8" i="2146"/>
  <c r="D8" i="2146"/>
  <c r="R6" i="2146"/>
  <c r="L16" i="2146" s="1"/>
  <c r="D16" i="2146" s="1"/>
  <c r="L6" i="2146"/>
  <c r="D6" i="2146" s="1"/>
  <c r="R5" i="2146"/>
  <c r="R4" i="2146"/>
  <c r="R52" i="2145"/>
  <c r="R51" i="2145"/>
  <c r="D50" i="2145"/>
  <c r="R49" i="2145"/>
  <c r="G49" i="2145"/>
  <c r="D49" i="2145"/>
  <c r="R48" i="2145"/>
  <c r="D48" i="2145"/>
  <c r="D46" i="2145"/>
  <c r="D45" i="2145"/>
  <c r="R44" i="2145"/>
  <c r="L28" i="2145" s="1"/>
  <c r="D28" i="2145" s="1"/>
  <c r="D44" i="2145"/>
  <c r="R42" i="2145"/>
  <c r="D42" i="2145"/>
  <c r="R41" i="2145"/>
  <c r="D41" i="2145"/>
  <c r="R40" i="2145"/>
  <c r="L8" i="2145" s="1"/>
  <c r="D8" i="2145" s="1"/>
  <c r="D40" i="2145"/>
  <c r="R39" i="2145"/>
  <c r="H39" i="2145"/>
  <c r="D39" i="2145"/>
  <c r="R38" i="2145"/>
  <c r="L9" i="2145" s="1"/>
  <c r="D9" i="2145" s="1"/>
  <c r="H38" i="2145"/>
  <c r="D38" i="2145"/>
  <c r="R37" i="2145"/>
  <c r="H37" i="2145"/>
  <c r="D37" i="2145"/>
  <c r="R36" i="2145"/>
  <c r="H36" i="2145"/>
  <c r="D36" i="2145"/>
  <c r="R35" i="2145"/>
  <c r="H35" i="2145"/>
  <c r="D35" i="2145"/>
  <c r="R34" i="2145"/>
  <c r="H34" i="2145"/>
  <c r="D34" i="2145"/>
  <c r="D54" i="2145" s="1"/>
  <c r="H14" i="2145" s="1"/>
  <c r="R33" i="2145"/>
  <c r="L19" i="2145" s="1"/>
  <c r="D19" i="2145" s="1"/>
  <c r="R32" i="2145"/>
  <c r="L11" i="2145" s="1"/>
  <c r="D11" i="2145" s="1"/>
  <c r="R31" i="2145"/>
  <c r="R30" i="2145"/>
  <c r="R29" i="2145"/>
  <c r="R28" i="2145"/>
  <c r="R27" i="2145"/>
  <c r="L27" i="2145"/>
  <c r="D27" i="2145"/>
  <c r="R26" i="2145"/>
  <c r="L26" i="2145"/>
  <c r="D26" i="2145"/>
  <c r="R25" i="2145"/>
  <c r="L25" i="2145"/>
  <c r="D25" i="2145" s="1"/>
  <c r="R24" i="2145"/>
  <c r="L24" i="2145"/>
  <c r="D24" i="2145"/>
  <c r="R23" i="2145"/>
  <c r="L23" i="2145"/>
  <c r="D23" i="2145" s="1"/>
  <c r="R22" i="2145"/>
  <c r="L22" i="2145"/>
  <c r="D22" i="2145" s="1"/>
  <c r="R21" i="2145"/>
  <c r="L21" i="2145"/>
  <c r="D21" i="2145"/>
  <c r="R20" i="2145"/>
  <c r="L20" i="2145"/>
  <c r="D20" i="2145"/>
  <c r="R19" i="2145"/>
  <c r="R18" i="2145"/>
  <c r="L18" i="2145"/>
  <c r="D18" i="2145" s="1"/>
  <c r="R17" i="2145"/>
  <c r="L17" i="2145"/>
  <c r="D17" i="2145" s="1"/>
  <c r="R16" i="2145"/>
  <c r="R15" i="2145"/>
  <c r="L15" i="2145"/>
  <c r="D15" i="2145"/>
  <c r="R14" i="2145"/>
  <c r="D14" i="2145"/>
  <c r="R13" i="2145"/>
  <c r="D13" i="2145"/>
  <c r="R12" i="2145"/>
  <c r="L12" i="2145"/>
  <c r="D12" i="2145" s="1"/>
  <c r="R11" i="2145"/>
  <c r="L10" i="2145"/>
  <c r="D10" i="2145"/>
  <c r="L7" i="2145"/>
  <c r="D7" i="2145"/>
  <c r="R6" i="2145"/>
  <c r="L16" i="2145" s="1"/>
  <c r="D16" i="2145" s="1"/>
  <c r="L6" i="2145"/>
  <c r="D6" i="2145" s="1"/>
  <c r="R5" i="2145"/>
  <c r="R4" i="2145"/>
  <c r="R52" i="2144"/>
  <c r="R51" i="2144"/>
  <c r="D50" i="2144"/>
  <c r="R49" i="2144"/>
  <c r="G49" i="2144"/>
  <c r="D49" i="2144"/>
  <c r="R48" i="2144"/>
  <c r="D48" i="2144"/>
  <c r="D46" i="2144"/>
  <c r="D45" i="2144"/>
  <c r="D44" i="2144"/>
  <c r="R42" i="2144"/>
  <c r="L6" i="2144" s="1"/>
  <c r="D6" i="2144" s="1"/>
  <c r="D42" i="2144"/>
  <c r="R41" i="2144"/>
  <c r="D41" i="2144"/>
  <c r="R40" i="2144"/>
  <c r="D40" i="2144"/>
  <c r="R39" i="2144"/>
  <c r="D39" i="2144"/>
  <c r="R38" i="2144"/>
  <c r="L9" i="2144" s="1"/>
  <c r="D9" i="2144" s="1"/>
  <c r="D38" i="2144"/>
  <c r="R37" i="2144"/>
  <c r="D37" i="2144"/>
  <c r="R36" i="2144"/>
  <c r="D36" i="2144"/>
  <c r="R35" i="2144"/>
  <c r="D35" i="2144"/>
  <c r="R34" i="2144"/>
  <c r="L12" i="2144" s="1"/>
  <c r="D12" i="2144" s="1"/>
  <c r="D34" i="2144"/>
  <c r="D54" i="2144" s="1"/>
  <c r="H14" i="2144" s="1"/>
  <c r="R33" i="2144"/>
  <c r="L23" i="2144" s="1"/>
  <c r="D23" i="2144" s="1"/>
  <c r="R32" i="2144"/>
  <c r="L11" i="2144" s="1"/>
  <c r="D11" i="2144" s="1"/>
  <c r="R31" i="2144"/>
  <c r="R30" i="2144"/>
  <c r="R29" i="2144"/>
  <c r="R28" i="2144"/>
  <c r="D28" i="2144"/>
  <c r="R27" i="2144"/>
  <c r="D27" i="2144"/>
  <c r="R26" i="2144"/>
  <c r="L26" i="2144"/>
  <c r="D26" i="2144"/>
  <c r="R25" i="2144"/>
  <c r="L25" i="2144"/>
  <c r="D25" i="2144" s="1"/>
  <c r="R24" i="2144"/>
  <c r="D24" i="2144"/>
  <c r="R23" i="2144"/>
  <c r="R22" i="2144"/>
  <c r="L22" i="2144"/>
  <c r="D22" i="2144" s="1"/>
  <c r="R21" i="2144"/>
  <c r="D21" i="2144"/>
  <c r="R20" i="2144"/>
  <c r="L20" i="2144"/>
  <c r="D20" i="2144"/>
  <c r="R19" i="2144"/>
  <c r="L19" i="2144"/>
  <c r="D19" i="2144" s="1"/>
  <c r="R18" i="2144"/>
  <c r="D18" i="2144"/>
  <c r="R17" i="2144"/>
  <c r="D17" i="2144"/>
  <c r="R16" i="2144"/>
  <c r="L16" i="2144"/>
  <c r="D16" i="2144" s="1"/>
  <c r="S15" i="2144"/>
  <c r="R15" i="2144"/>
  <c r="D15" i="2144"/>
  <c r="S14" i="2144"/>
  <c r="R14" i="2144"/>
  <c r="D14" i="2144"/>
  <c r="R13" i="2144"/>
  <c r="D13" i="2144"/>
  <c r="R12" i="2144"/>
  <c r="R11" i="2144"/>
  <c r="L10" i="2144"/>
  <c r="D10" i="2144" s="1"/>
  <c r="L8" i="2144"/>
  <c r="D8" i="2144"/>
  <c r="L7" i="2144"/>
  <c r="D7" i="2144" s="1"/>
  <c r="R6" i="2144"/>
  <c r="R5" i="2144"/>
  <c r="R4" i="2144"/>
  <c r="R52" i="2143"/>
  <c r="R51" i="2143"/>
  <c r="D50" i="2143"/>
  <c r="R49" i="2143"/>
  <c r="D49" i="2143"/>
  <c r="R48" i="2143"/>
  <c r="D48" i="2143"/>
  <c r="D46" i="2143"/>
  <c r="D45" i="2143"/>
  <c r="R44" i="2143"/>
  <c r="L28" i="2143" s="1"/>
  <c r="D28" i="2143" s="1"/>
  <c r="D44" i="2143"/>
  <c r="R42" i="2143"/>
  <c r="D42" i="2143"/>
  <c r="R41" i="2143"/>
  <c r="D41" i="2143"/>
  <c r="R40" i="2143"/>
  <c r="L8" i="2143" s="1"/>
  <c r="D8" i="2143" s="1"/>
  <c r="D40" i="2143"/>
  <c r="R39" i="2143"/>
  <c r="H39" i="2143"/>
  <c r="D39" i="2143"/>
  <c r="R38" i="2143"/>
  <c r="H38" i="2143"/>
  <c r="D38" i="2143"/>
  <c r="R37" i="2143"/>
  <c r="H37" i="2143"/>
  <c r="D37" i="2143"/>
  <c r="R36" i="2143"/>
  <c r="H36" i="2143"/>
  <c r="D36" i="2143"/>
  <c r="R35" i="2143"/>
  <c r="H35" i="2143"/>
  <c r="D35" i="2143"/>
  <c r="R34" i="2143"/>
  <c r="L12" i="2143" s="1"/>
  <c r="D12" i="2143" s="1"/>
  <c r="H34" i="2143"/>
  <c r="G49" i="2143" s="1"/>
  <c r="D34" i="2143"/>
  <c r="D54" i="2143" s="1"/>
  <c r="H14" i="2143" s="1"/>
  <c r="R33" i="2143"/>
  <c r="L19" i="2143" s="1"/>
  <c r="D19" i="2143" s="1"/>
  <c r="R32" i="2143"/>
  <c r="R31" i="2143"/>
  <c r="R30" i="2143"/>
  <c r="R29" i="2143"/>
  <c r="R28" i="2143"/>
  <c r="R27" i="2143"/>
  <c r="L27" i="2143"/>
  <c r="D27" i="2143"/>
  <c r="R26" i="2143"/>
  <c r="L26" i="2143"/>
  <c r="D26" i="2143" s="1"/>
  <c r="R25" i="2143"/>
  <c r="L25" i="2143"/>
  <c r="D25" i="2143" s="1"/>
  <c r="R24" i="2143"/>
  <c r="L24" i="2143"/>
  <c r="D24" i="2143"/>
  <c r="R23" i="2143"/>
  <c r="L23" i="2143"/>
  <c r="D23" i="2143"/>
  <c r="R22" i="2143"/>
  <c r="L22" i="2143"/>
  <c r="D22" i="2143"/>
  <c r="R21" i="2143"/>
  <c r="L17" i="2143" s="1"/>
  <c r="D17" i="2143" s="1"/>
  <c r="L21" i="2143"/>
  <c r="D21" i="2143"/>
  <c r="R20" i="2143"/>
  <c r="L20" i="2143"/>
  <c r="D20" i="2143" s="1"/>
  <c r="R19" i="2143"/>
  <c r="R18" i="2143"/>
  <c r="L18" i="2143"/>
  <c r="D18" i="2143" s="1"/>
  <c r="R17" i="2143"/>
  <c r="R16" i="2143"/>
  <c r="R15" i="2143"/>
  <c r="L15" i="2143"/>
  <c r="D15" i="2143" s="1"/>
  <c r="R14" i="2143"/>
  <c r="D14" i="2143"/>
  <c r="R13" i="2143"/>
  <c r="D13" i="2143"/>
  <c r="R12" i="2143"/>
  <c r="R11" i="2143"/>
  <c r="L11" i="2143"/>
  <c r="D11" i="2143"/>
  <c r="L10" i="2143"/>
  <c r="D10" i="2143"/>
  <c r="L9" i="2143"/>
  <c r="D9" i="2143" s="1"/>
  <c r="L7" i="2143"/>
  <c r="D7" i="2143"/>
  <c r="R6" i="2143"/>
  <c r="L16" i="2143" s="1"/>
  <c r="D16" i="2143" s="1"/>
  <c r="L6" i="2143"/>
  <c r="D6" i="2143"/>
  <c r="R5" i="2143"/>
  <c r="R4" i="2143"/>
  <c r="R52" i="2142"/>
  <c r="R51" i="2142"/>
  <c r="D50" i="2142"/>
  <c r="R49" i="2142"/>
  <c r="G49" i="2142"/>
  <c r="D49" i="2142"/>
  <c r="R48" i="2142"/>
  <c r="D48" i="2142"/>
  <c r="D46" i="2142"/>
  <c r="D45" i="2142"/>
  <c r="R44" i="2142"/>
  <c r="L28" i="2142" s="1"/>
  <c r="D28" i="2142" s="1"/>
  <c r="D44" i="2142"/>
  <c r="R42" i="2142"/>
  <c r="D42" i="2142"/>
  <c r="R41" i="2142"/>
  <c r="D41" i="2142"/>
  <c r="R40" i="2142"/>
  <c r="D40" i="2142"/>
  <c r="R39" i="2142"/>
  <c r="H39" i="2142"/>
  <c r="D39" i="2142"/>
  <c r="R38" i="2142"/>
  <c r="L9" i="2142" s="1"/>
  <c r="D9" i="2142" s="1"/>
  <c r="H38" i="2142"/>
  <c r="D38" i="2142"/>
  <c r="R37" i="2142"/>
  <c r="H37" i="2142"/>
  <c r="D37" i="2142"/>
  <c r="R36" i="2142"/>
  <c r="L10" i="2142" s="1"/>
  <c r="D10" i="2142" s="1"/>
  <c r="H36" i="2142"/>
  <c r="D36" i="2142"/>
  <c r="R35" i="2142"/>
  <c r="H35" i="2142"/>
  <c r="D35" i="2142"/>
  <c r="R34" i="2142"/>
  <c r="H34" i="2142"/>
  <c r="D34" i="2142"/>
  <c r="D54" i="2142" s="1"/>
  <c r="H14" i="2142" s="1"/>
  <c r="R33" i="2142"/>
  <c r="L19" i="2142" s="1"/>
  <c r="D19" i="2142" s="1"/>
  <c r="R32" i="2142"/>
  <c r="L11" i="2142" s="1"/>
  <c r="D11" i="2142" s="1"/>
  <c r="R31" i="2142"/>
  <c r="R30" i="2142"/>
  <c r="R29" i="2142"/>
  <c r="R28" i="2142"/>
  <c r="R27" i="2142"/>
  <c r="L27" i="2142"/>
  <c r="D27" i="2142"/>
  <c r="R26" i="2142"/>
  <c r="L26" i="2142"/>
  <c r="D26" i="2142"/>
  <c r="R25" i="2142"/>
  <c r="L25" i="2142"/>
  <c r="D25" i="2142" s="1"/>
  <c r="R24" i="2142"/>
  <c r="L24" i="2142"/>
  <c r="D24" i="2142"/>
  <c r="R23" i="2142"/>
  <c r="L23" i="2142"/>
  <c r="D23" i="2142" s="1"/>
  <c r="R22" i="2142"/>
  <c r="L20" i="2142" s="1"/>
  <c r="D20" i="2142" s="1"/>
  <c r="L22" i="2142"/>
  <c r="D22" i="2142" s="1"/>
  <c r="R21" i="2142"/>
  <c r="D21" i="2142"/>
  <c r="R20" i="2142"/>
  <c r="R19" i="2142"/>
  <c r="R18" i="2142"/>
  <c r="L18" i="2142"/>
  <c r="D18" i="2142"/>
  <c r="R17" i="2142"/>
  <c r="L17" i="2142"/>
  <c r="D17" i="2142"/>
  <c r="R16" i="2142"/>
  <c r="R15" i="2142"/>
  <c r="R14" i="2142"/>
  <c r="D14" i="2142"/>
  <c r="R13" i="2142"/>
  <c r="D13" i="2142"/>
  <c r="R12" i="2142"/>
  <c r="L12" i="2142"/>
  <c r="D12" i="2142"/>
  <c r="R11" i="2142"/>
  <c r="L8" i="2142"/>
  <c r="D8" i="2142" s="1"/>
  <c r="L7" i="2142"/>
  <c r="D7" i="2142"/>
  <c r="R6" i="2142"/>
  <c r="L16" i="2142" s="1"/>
  <c r="D16" i="2142" s="1"/>
  <c r="L6" i="2142"/>
  <c r="D6" i="2142" s="1"/>
  <c r="R5" i="2142"/>
  <c r="R4" i="2142"/>
  <c r="L15" i="2142" s="1"/>
  <c r="D15" i="2142" s="1"/>
  <c r="R52" i="2141"/>
  <c r="R51" i="2141"/>
  <c r="D50" i="2141"/>
  <c r="R49" i="2141"/>
  <c r="D49" i="2141"/>
  <c r="R48" i="2141"/>
  <c r="D48" i="2141"/>
  <c r="D46" i="2141"/>
  <c r="D45" i="2141"/>
  <c r="R44" i="2141"/>
  <c r="L28" i="2141" s="1"/>
  <c r="D28" i="2141" s="1"/>
  <c r="D44" i="2141"/>
  <c r="R42" i="2141"/>
  <c r="D42" i="2141"/>
  <c r="R41" i="2141"/>
  <c r="D41" i="2141"/>
  <c r="R40" i="2141"/>
  <c r="D40" i="2141"/>
  <c r="R39" i="2141"/>
  <c r="H39" i="2141"/>
  <c r="D39" i="2141"/>
  <c r="R38" i="2141"/>
  <c r="L9" i="2141" s="1"/>
  <c r="D9" i="2141" s="1"/>
  <c r="H38" i="2141"/>
  <c r="D38" i="2141"/>
  <c r="R37" i="2141"/>
  <c r="H37" i="2141"/>
  <c r="G49" i="2141" s="1"/>
  <c r="D37" i="2141"/>
  <c r="R36" i="2141"/>
  <c r="H36" i="2141"/>
  <c r="D36" i="2141"/>
  <c r="R35" i="2141"/>
  <c r="H35" i="2141"/>
  <c r="D35" i="2141"/>
  <c r="R34" i="2141"/>
  <c r="L12" i="2141" s="1"/>
  <c r="D12" i="2141" s="1"/>
  <c r="H34" i="2141"/>
  <c r="D34" i="2141"/>
  <c r="D54" i="2141" s="1"/>
  <c r="H14" i="2141" s="1"/>
  <c r="R33" i="2141"/>
  <c r="R32" i="2141"/>
  <c r="L11" i="2141" s="1"/>
  <c r="D11" i="2141" s="1"/>
  <c r="R31" i="2141"/>
  <c r="R30" i="2141"/>
  <c r="R29" i="2141"/>
  <c r="R28" i="2141"/>
  <c r="R27" i="2141"/>
  <c r="L27" i="2141"/>
  <c r="D27" i="2141"/>
  <c r="R26" i="2141"/>
  <c r="L26" i="2141"/>
  <c r="D26" i="2141"/>
  <c r="R25" i="2141"/>
  <c r="L25" i="2141"/>
  <c r="D25" i="2141"/>
  <c r="R24" i="2141"/>
  <c r="L24" i="2141"/>
  <c r="D24" i="2141"/>
  <c r="R23" i="2141"/>
  <c r="L23" i="2141"/>
  <c r="D23" i="2141"/>
  <c r="R22" i="2141"/>
  <c r="L22" i="2141"/>
  <c r="D22" i="2141"/>
  <c r="R21" i="2141"/>
  <c r="L17" i="2141" s="1"/>
  <c r="D17" i="2141" s="1"/>
  <c r="L21" i="2141"/>
  <c r="D21" i="2141"/>
  <c r="R20" i="2141"/>
  <c r="L20" i="2141"/>
  <c r="D20" i="2141"/>
  <c r="R19" i="2141"/>
  <c r="L19" i="2141"/>
  <c r="D19" i="2141"/>
  <c r="R18" i="2141"/>
  <c r="L18" i="2141"/>
  <c r="D18" i="2141" s="1"/>
  <c r="R17" i="2141"/>
  <c r="R16" i="2141"/>
  <c r="R15" i="2141"/>
  <c r="L15" i="2141"/>
  <c r="D15" i="2141"/>
  <c r="R14" i="2141"/>
  <c r="D14" i="2141"/>
  <c r="R13" i="2141"/>
  <c r="D13" i="2141"/>
  <c r="R12" i="2141"/>
  <c r="R11" i="2141"/>
  <c r="L10" i="2141"/>
  <c r="D10" i="2141"/>
  <c r="L8" i="2141"/>
  <c r="D8" i="2141"/>
  <c r="L7" i="2141"/>
  <c r="D7" i="2141"/>
  <c r="R6" i="2141"/>
  <c r="L16" i="2141" s="1"/>
  <c r="D16" i="2141" s="1"/>
  <c r="L6" i="2141"/>
  <c r="D6" i="2141" s="1"/>
  <c r="R5" i="2141"/>
  <c r="R4" i="2141"/>
  <c r="R52" i="2140"/>
  <c r="R51" i="2140"/>
  <c r="D50" i="2140"/>
  <c r="R49" i="2140"/>
  <c r="G49" i="2140"/>
  <c r="D49" i="2140"/>
  <c r="R48" i="2140"/>
  <c r="D48" i="2140"/>
  <c r="D46" i="2140"/>
  <c r="D45" i="2140"/>
  <c r="D44" i="2140"/>
  <c r="R42" i="2140"/>
  <c r="L6" i="2140" s="1"/>
  <c r="D6" i="2140" s="1"/>
  <c r="D42" i="2140"/>
  <c r="R41" i="2140"/>
  <c r="L7" i="2140" s="1"/>
  <c r="D7" i="2140" s="1"/>
  <c r="D41" i="2140"/>
  <c r="R40" i="2140"/>
  <c r="D40" i="2140"/>
  <c r="R39" i="2140"/>
  <c r="D39" i="2140"/>
  <c r="R38" i="2140"/>
  <c r="D38" i="2140"/>
  <c r="R37" i="2140"/>
  <c r="D37" i="2140"/>
  <c r="R36" i="2140"/>
  <c r="D36" i="2140"/>
  <c r="R35" i="2140"/>
  <c r="D35" i="2140"/>
  <c r="R34" i="2140"/>
  <c r="L12" i="2140" s="1"/>
  <c r="D12" i="2140" s="1"/>
  <c r="D34" i="2140"/>
  <c r="D54" i="2140" s="1"/>
  <c r="H14" i="2140" s="1"/>
  <c r="R33" i="2140"/>
  <c r="L23" i="2140" s="1"/>
  <c r="D23" i="2140" s="1"/>
  <c r="R32" i="2140"/>
  <c r="L11" i="2140" s="1"/>
  <c r="D11" i="2140" s="1"/>
  <c r="R31" i="2140"/>
  <c r="R30" i="2140"/>
  <c r="R29" i="2140"/>
  <c r="R28" i="2140"/>
  <c r="D28" i="2140"/>
  <c r="R27" i="2140"/>
  <c r="D27" i="2140"/>
  <c r="R26" i="2140"/>
  <c r="L26" i="2140"/>
  <c r="D26" i="2140"/>
  <c r="R25" i="2140"/>
  <c r="L25" i="2140"/>
  <c r="D25" i="2140"/>
  <c r="R24" i="2140"/>
  <c r="D24" i="2140"/>
  <c r="R23" i="2140"/>
  <c r="R22" i="2140"/>
  <c r="L22" i="2140"/>
  <c r="D22" i="2140" s="1"/>
  <c r="R21" i="2140"/>
  <c r="D21" i="2140"/>
  <c r="R20" i="2140"/>
  <c r="L20" i="2140"/>
  <c r="D20" i="2140"/>
  <c r="R19" i="2140"/>
  <c r="L19" i="2140"/>
  <c r="D19" i="2140"/>
  <c r="R18" i="2140"/>
  <c r="D18" i="2140"/>
  <c r="R17" i="2140"/>
  <c r="D17" i="2140"/>
  <c r="R16" i="2140"/>
  <c r="L16" i="2140"/>
  <c r="D16" i="2140" s="1"/>
  <c r="S15" i="2140"/>
  <c r="R15" i="2140"/>
  <c r="D15" i="2140"/>
  <c r="S14" i="2140"/>
  <c r="R14" i="2140"/>
  <c r="D14" i="2140"/>
  <c r="R13" i="2140"/>
  <c r="D13" i="2140"/>
  <c r="R12" i="2140"/>
  <c r="R11" i="2140"/>
  <c r="L10" i="2140"/>
  <c r="D10" i="2140" s="1"/>
  <c r="L9" i="2140"/>
  <c r="D9" i="2140" s="1"/>
  <c r="L8" i="2140"/>
  <c r="D8" i="2140"/>
  <c r="R6" i="2140"/>
  <c r="R5" i="2140"/>
  <c r="R4" i="2140"/>
  <c r="D29" i="2155" l="1"/>
  <c r="H13" i="2155" s="1"/>
  <c r="H15" i="2155" s="1"/>
  <c r="H29" i="2155" s="1"/>
  <c r="G51" i="2155"/>
  <c r="D29" i="2154"/>
  <c r="H13" i="2154" s="1"/>
  <c r="H15" i="2154" s="1"/>
  <c r="H29" i="2154" s="1"/>
  <c r="G51" i="2154" s="1"/>
  <c r="D29" i="2153"/>
  <c r="H13" i="2153" s="1"/>
  <c r="H15" i="2153" s="1"/>
  <c r="H29" i="2153" s="1"/>
  <c r="G51" i="2153" s="1"/>
  <c r="G51" i="2152"/>
  <c r="D29" i="2151"/>
  <c r="H13" i="2151" s="1"/>
  <c r="H15" i="2151" s="1"/>
  <c r="H29" i="2151" s="1"/>
  <c r="G51" i="2151"/>
  <c r="G51" i="2150"/>
  <c r="D29" i="2150"/>
  <c r="H13" i="2150" s="1"/>
  <c r="H15" i="2150" s="1"/>
  <c r="H29" i="2150" s="1"/>
  <c r="D29" i="2149"/>
  <c r="H13" i="2149" s="1"/>
  <c r="H15" i="2149" s="1"/>
  <c r="H29" i="2149" s="1"/>
  <c r="G51" i="2149" s="1"/>
  <c r="D29" i="2148"/>
  <c r="H13" i="2148" s="1"/>
  <c r="H15" i="2148" s="1"/>
  <c r="H29" i="2148" s="1"/>
  <c r="G51" i="2148" s="1"/>
  <c r="D29" i="2147"/>
  <c r="H13" i="2147" s="1"/>
  <c r="H15" i="2147" s="1"/>
  <c r="H29" i="2147" s="1"/>
  <c r="G51" i="2147"/>
  <c r="D29" i="2146"/>
  <c r="H13" i="2146" s="1"/>
  <c r="H15" i="2146" s="1"/>
  <c r="H29" i="2146" s="1"/>
  <c r="G51" i="2146" s="1"/>
  <c r="D29" i="2145"/>
  <c r="H13" i="2145" s="1"/>
  <c r="H15" i="2145" s="1"/>
  <c r="H29" i="2145" s="1"/>
  <c r="G51" i="2145" s="1"/>
  <c r="D29" i="2144"/>
  <c r="H13" i="2144" s="1"/>
  <c r="H15" i="2144" s="1"/>
  <c r="H29" i="2144" s="1"/>
  <c r="G51" i="2144" s="1"/>
  <c r="D29" i="2143"/>
  <c r="H13" i="2143" s="1"/>
  <c r="H15" i="2143" s="1"/>
  <c r="H29" i="2143" s="1"/>
  <c r="G51" i="2143"/>
  <c r="D29" i="2142"/>
  <c r="H13" i="2142" s="1"/>
  <c r="H15" i="2142" s="1"/>
  <c r="H29" i="2142" s="1"/>
  <c r="G51" i="2142" s="1"/>
  <c r="D29" i="2141"/>
  <c r="H13" i="2141" s="1"/>
  <c r="H15" i="2141" s="1"/>
  <c r="H29" i="2141" s="1"/>
  <c r="G51" i="2141"/>
  <c r="D29" i="2140"/>
  <c r="H13" i="2140" s="1"/>
  <c r="H15" i="2140" s="1"/>
  <c r="H29" i="2140" s="1"/>
  <c r="G51" i="2140" s="1"/>
  <c r="R52" i="2139"/>
  <c r="R51" i="2139"/>
  <c r="D50" i="2139"/>
  <c r="R49" i="2139"/>
  <c r="D49" i="2139"/>
  <c r="R48" i="2139"/>
  <c r="D48" i="2139"/>
  <c r="D46" i="2139"/>
  <c r="D45" i="2139"/>
  <c r="R44" i="2139"/>
  <c r="D44" i="2139"/>
  <c r="R42" i="2139"/>
  <c r="D42" i="2139"/>
  <c r="R41" i="2139"/>
  <c r="D41" i="2139"/>
  <c r="R40" i="2139"/>
  <c r="L8" i="2139" s="1"/>
  <c r="D8" i="2139" s="1"/>
  <c r="D40" i="2139"/>
  <c r="R39" i="2139"/>
  <c r="H39" i="2139"/>
  <c r="D39" i="2139"/>
  <c r="R38" i="2139"/>
  <c r="L9" i="2139" s="1"/>
  <c r="D9" i="2139" s="1"/>
  <c r="H38" i="2139"/>
  <c r="D38" i="2139"/>
  <c r="R37" i="2139"/>
  <c r="H37" i="2139"/>
  <c r="D37" i="2139"/>
  <c r="R36" i="2139"/>
  <c r="H36" i="2139"/>
  <c r="D36" i="2139"/>
  <c r="R35" i="2139"/>
  <c r="L18" i="2139" s="1"/>
  <c r="D18" i="2139" s="1"/>
  <c r="H35" i="2139"/>
  <c r="D35" i="2139"/>
  <c r="R34" i="2139"/>
  <c r="H34" i="2139"/>
  <c r="G49" i="2139" s="1"/>
  <c r="D34" i="2139"/>
  <c r="D54" i="2139" s="1"/>
  <c r="H14" i="2139" s="1"/>
  <c r="R33" i="2139"/>
  <c r="R32" i="2139"/>
  <c r="L11" i="2139" s="1"/>
  <c r="D11" i="2139" s="1"/>
  <c r="R31" i="2139"/>
  <c r="R30" i="2139"/>
  <c r="R29" i="2139"/>
  <c r="R28" i="2139"/>
  <c r="L28" i="2139"/>
  <c r="D28" i="2139"/>
  <c r="R27" i="2139"/>
  <c r="L27" i="2139"/>
  <c r="D27" i="2139" s="1"/>
  <c r="R26" i="2139"/>
  <c r="L26" i="2139"/>
  <c r="D26" i="2139" s="1"/>
  <c r="R25" i="2139"/>
  <c r="L25" i="2139"/>
  <c r="D25" i="2139" s="1"/>
  <c r="R24" i="2139"/>
  <c r="L24" i="2139"/>
  <c r="D24" i="2139"/>
  <c r="R23" i="2139"/>
  <c r="L23" i="2139"/>
  <c r="D23" i="2139" s="1"/>
  <c r="R22" i="2139"/>
  <c r="L20" i="2139" s="1"/>
  <c r="D20" i="2139" s="1"/>
  <c r="L22" i="2139"/>
  <c r="D22" i="2139"/>
  <c r="R21" i="2139"/>
  <c r="L21" i="2139"/>
  <c r="D21" i="2139" s="1"/>
  <c r="R20" i="2139"/>
  <c r="R19" i="2139"/>
  <c r="L19" i="2139"/>
  <c r="D19" i="2139" s="1"/>
  <c r="R18" i="2139"/>
  <c r="R17" i="2139"/>
  <c r="L17" i="2139"/>
  <c r="D17" i="2139" s="1"/>
  <c r="R16" i="2139"/>
  <c r="L16" i="2139"/>
  <c r="D16" i="2139"/>
  <c r="R15" i="2139"/>
  <c r="L15" i="2139"/>
  <c r="D15" i="2139"/>
  <c r="R14" i="2139"/>
  <c r="D14" i="2139"/>
  <c r="R13" i="2139"/>
  <c r="D13" i="2139"/>
  <c r="R12" i="2139"/>
  <c r="L12" i="2139"/>
  <c r="D12" i="2139" s="1"/>
  <c r="R11" i="2139"/>
  <c r="L10" i="2139"/>
  <c r="D10" i="2139" s="1"/>
  <c r="L7" i="2139"/>
  <c r="D7" i="2139"/>
  <c r="R6" i="2139"/>
  <c r="L6" i="2139"/>
  <c r="D6" i="2139" s="1"/>
  <c r="R5" i="2139"/>
  <c r="R4" i="2139"/>
  <c r="D54" i="2138"/>
  <c r="H14" i="2138" s="1"/>
  <c r="R52" i="2138"/>
  <c r="R51" i="2138"/>
  <c r="D50" i="2138"/>
  <c r="R49" i="2138"/>
  <c r="D49" i="2138"/>
  <c r="R48" i="2138"/>
  <c r="D48" i="2138"/>
  <c r="D46" i="2138"/>
  <c r="D45" i="2138"/>
  <c r="R44" i="2138"/>
  <c r="D44" i="2138"/>
  <c r="R42" i="2138"/>
  <c r="L6" i="2138" s="1"/>
  <c r="D6" i="2138" s="1"/>
  <c r="D42" i="2138"/>
  <c r="R41" i="2138"/>
  <c r="L7" i="2138" s="1"/>
  <c r="D7" i="2138" s="1"/>
  <c r="D41" i="2138"/>
  <c r="R40" i="2138"/>
  <c r="L8" i="2138" s="1"/>
  <c r="D8" i="2138" s="1"/>
  <c r="D40" i="2138"/>
  <c r="R39" i="2138"/>
  <c r="H39" i="2138"/>
  <c r="D39" i="2138"/>
  <c r="R38" i="2138"/>
  <c r="L9" i="2138" s="1"/>
  <c r="D9" i="2138" s="1"/>
  <c r="H38" i="2138"/>
  <c r="D38" i="2138"/>
  <c r="R37" i="2138"/>
  <c r="H37" i="2138"/>
  <c r="D37" i="2138"/>
  <c r="R36" i="2138"/>
  <c r="L10" i="2138" s="1"/>
  <c r="D10" i="2138" s="1"/>
  <c r="H36" i="2138"/>
  <c r="D36" i="2138"/>
  <c r="R35" i="2138"/>
  <c r="L18" i="2138" s="1"/>
  <c r="D18" i="2138" s="1"/>
  <c r="H35" i="2138"/>
  <c r="D35" i="2138"/>
  <c r="R34" i="2138"/>
  <c r="H34" i="2138"/>
  <c r="G49" i="2138" s="1"/>
  <c r="D34" i="2138"/>
  <c r="R33" i="2138"/>
  <c r="R32" i="2138"/>
  <c r="L11" i="2138" s="1"/>
  <c r="D11" i="2138" s="1"/>
  <c r="R31" i="2138"/>
  <c r="R30" i="2138"/>
  <c r="R29" i="2138"/>
  <c r="R28" i="2138"/>
  <c r="L28" i="2138"/>
  <c r="D28" i="2138"/>
  <c r="R27" i="2138"/>
  <c r="L27" i="2138"/>
  <c r="D27" i="2138"/>
  <c r="R26" i="2138"/>
  <c r="L26" i="2138"/>
  <c r="D26" i="2138" s="1"/>
  <c r="R25" i="2138"/>
  <c r="L25" i="2138"/>
  <c r="D25" i="2138"/>
  <c r="R24" i="2138"/>
  <c r="L24" i="2138"/>
  <c r="D24" i="2138"/>
  <c r="R23" i="2138"/>
  <c r="L23" i="2138"/>
  <c r="D23" i="2138" s="1"/>
  <c r="R22" i="2138"/>
  <c r="L20" i="2138" s="1"/>
  <c r="D20" i="2138" s="1"/>
  <c r="L22" i="2138"/>
  <c r="D22" i="2138" s="1"/>
  <c r="R21" i="2138"/>
  <c r="D21" i="2138"/>
  <c r="R20" i="2138"/>
  <c r="R19" i="2138"/>
  <c r="L19" i="2138"/>
  <c r="D19" i="2138" s="1"/>
  <c r="R18" i="2138"/>
  <c r="R17" i="2138"/>
  <c r="L17" i="2138"/>
  <c r="D17" i="2138"/>
  <c r="R16" i="2138"/>
  <c r="R15" i="2138"/>
  <c r="R14" i="2138"/>
  <c r="D14" i="2138"/>
  <c r="R13" i="2138"/>
  <c r="D13" i="2138"/>
  <c r="R12" i="2138"/>
  <c r="L12" i="2138"/>
  <c r="D12" i="2138"/>
  <c r="R11" i="2138"/>
  <c r="R6" i="2138"/>
  <c r="L16" i="2138" s="1"/>
  <c r="D16" i="2138" s="1"/>
  <c r="R5" i="2138"/>
  <c r="R4" i="2138"/>
  <c r="L15" i="2138" s="1"/>
  <c r="D15" i="2138" s="1"/>
  <c r="R52" i="2137"/>
  <c r="R51" i="2137"/>
  <c r="D50" i="2137"/>
  <c r="R49" i="2137"/>
  <c r="D49" i="2137"/>
  <c r="R48" i="2137"/>
  <c r="D48" i="2137"/>
  <c r="D46" i="2137"/>
  <c r="D45" i="2137"/>
  <c r="R44" i="2137"/>
  <c r="D44" i="2137"/>
  <c r="R42" i="2137"/>
  <c r="L6" i="2137" s="1"/>
  <c r="D6" i="2137" s="1"/>
  <c r="D42" i="2137"/>
  <c r="R41" i="2137"/>
  <c r="L7" i="2137" s="1"/>
  <c r="D7" i="2137" s="1"/>
  <c r="D41" i="2137"/>
  <c r="R40" i="2137"/>
  <c r="D40" i="2137"/>
  <c r="R39" i="2137"/>
  <c r="H39" i="2137"/>
  <c r="D39" i="2137"/>
  <c r="R38" i="2137"/>
  <c r="H38" i="2137"/>
  <c r="D38" i="2137"/>
  <c r="R37" i="2137"/>
  <c r="H37" i="2137"/>
  <c r="D37" i="2137"/>
  <c r="R36" i="2137"/>
  <c r="H36" i="2137"/>
  <c r="D36" i="2137"/>
  <c r="D54" i="2137" s="1"/>
  <c r="H14" i="2137" s="1"/>
  <c r="R35" i="2137"/>
  <c r="L18" i="2137" s="1"/>
  <c r="D18" i="2137" s="1"/>
  <c r="H35" i="2137"/>
  <c r="D35" i="2137"/>
  <c r="R34" i="2137"/>
  <c r="H34" i="2137"/>
  <c r="G49" i="2137" s="1"/>
  <c r="D34" i="2137"/>
  <c r="R33" i="2137"/>
  <c r="R32" i="2137"/>
  <c r="R31" i="2137"/>
  <c r="R30" i="2137"/>
  <c r="R29" i="2137"/>
  <c r="R28" i="2137"/>
  <c r="L28" i="2137"/>
  <c r="D28" i="2137"/>
  <c r="R27" i="2137"/>
  <c r="L27" i="2137"/>
  <c r="D27" i="2137"/>
  <c r="R26" i="2137"/>
  <c r="L26" i="2137"/>
  <c r="D26" i="2137" s="1"/>
  <c r="R25" i="2137"/>
  <c r="L25" i="2137"/>
  <c r="D25" i="2137"/>
  <c r="R24" i="2137"/>
  <c r="L24" i="2137"/>
  <c r="D24" i="2137"/>
  <c r="R23" i="2137"/>
  <c r="L23" i="2137"/>
  <c r="D23" i="2137"/>
  <c r="R22" i="2137"/>
  <c r="L20" i="2137" s="1"/>
  <c r="D20" i="2137" s="1"/>
  <c r="L22" i="2137"/>
  <c r="D22" i="2137" s="1"/>
  <c r="R21" i="2137"/>
  <c r="L21" i="2137"/>
  <c r="D21" i="2137"/>
  <c r="R20" i="2137"/>
  <c r="R19" i="2137"/>
  <c r="L19" i="2137"/>
  <c r="D19" i="2137"/>
  <c r="R18" i="2137"/>
  <c r="R17" i="2137"/>
  <c r="L17" i="2137"/>
  <c r="D17" i="2137"/>
  <c r="R16" i="2137"/>
  <c r="R15" i="2137"/>
  <c r="R14" i="2137"/>
  <c r="D14" i="2137"/>
  <c r="R13" i="2137"/>
  <c r="D13" i="2137"/>
  <c r="R12" i="2137"/>
  <c r="L12" i="2137"/>
  <c r="D12" i="2137" s="1"/>
  <c r="R11" i="2137"/>
  <c r="L11" i="2137"/>
  <c r="D11" i="2137"/>
  <c r="L10" i="2137"/>
  <c r="D10" i="2137" s="1"/>
  <c r="L9" i="2137"/>
  <c r="D9" i="2137" s="1"/>
  <c r="L8" i="2137"/>
  <c r="D8" i="2137"/>
  <c r="R6" i="2137"/>
  <c r="L16" i="2137" s="1"/>
  <c r="D16" i="2137" s="1"/>
  <c r="R5" i="2137"/>
  <c r="R4" i="2137"/>
  <c r="L15" i="2137" s="1"/>
  <c r="D15" i="2137" s="1"/>
  <c r="D54" i="2136"/>
  <c r="H14" i="2136" s="1"/>
  <c r="R52" i="2136"/>
  <c r="R51" i="2136"/>
  <c r="D50" i="2136"/>
  <c r="R49" i="2136"/>
  <c r="G49" i="2136"/>
  <c r="D49" i="2136"/>
  <c r="R48" i="2136"/>
  <c r="D48" i="2136"/>
  <c r="D46" i="2136"/>
  <c r="D45" i="2136"/>
  <c r="D44" i="2136"/>
  <c r="R42" i="2136"/>
  <c r="D42" i="2136"/>
  <c r="R41" i="2136"/>
  <c r="L7" i="2136" s="1"/>
  <c r="D7" i="2136" s="1"/>
  <c r="D41" i="2136"/>
  <c r="R40" i="2136"/>
  <c r="L8" i="2136" s="1"/>
  <c r="D8" i="2136" s="1"/>
  <c r="D40" i="2136"/>
  <c r="R39" i="2136"/>
  <c r="D39" i="2136"/>
  <c r="R38" i="2136"/>
  <c r="D38" i="2136"/>
  <c r="R37" i="2136"/>
  <c r="D37" i="2136"/>
  <c r="R36" i="2136"/>
  <c r="L10" i="2136" s="1"/>
  <c r="D10" i="2136" s="1"/>
  <c r="D36" i="2136"/>
  <c r="R35" i="2136"/>
  <c r="L19" i="2136" s="1"/>
  <c r="D19" i="2136" s="1"/>
  <c r="D35" i="2136"/>
  <c r="R34" i="2136"/>
  <c r="D34" i="2136"/>
  <c r="R33" i="2136"/>
  <c r="R32" i="2136"/>
  <c r="L11" i="2136" s="1"/>
  <c r="D11" i="2136" s="1"/>
  <c r="R31" i="2136"/>
  <c r="R30" i="2136"/>
  <c r="R29" i="2136"/>
  <c r="R28" i="2136"/>
  <c r="D28" i="2136"/>
  <c r="R27" i="2136"/>
  <c r="D27" i="2136"/>
  <c r="R26" i="2136"/>
  <c r="L26" i="2136"/>
  <c r="D26" i="2136" s="1"/>
  <c r="R25" i="2136"/>
  <c r="L25" i="2136"/>
  <c r="D25" i="2136"/>
  <c r="R24" i="2136"/>
  <c r="D24" i="2136"/>
  <c r="R23" i="2136"/>
  <c r="L23" i="2136"/>
  <c r="D23" i="2136" s="1"/>
  <c r="R22" i="2136"/>
  <c r="L22" i="2136"/>
  <c r="D22" i="2136" s="1"/>
  <c r="R21" i="2136"/>
  <c r="D21" i="2136"/>
  <c r="R20" i="2136"/>
  <c r="L20" i="2136"/>
  <c r="D20" i="2136" s="1"/>
  <c r="R19" i="2136"/>
  <c r="R18" i="2136"/>
  <c r="D18" i="2136"/>
  <c r="R17" i="2136"/>
  <c r="D17" i="2136"/>
  <c r="R16" i="2136"/>
  <c r="L16" i="2136"/>
  <c r="D16" i="2136" s="1"/>
  <c r="S15" i="2136"/>
  <c r="R15" i="2136"/>
  <c r="D15" i="2136"/>
  <c r="S14" i="2136"/>
  <c r="R14" i="2136"/>
  <c r="D14" i="2136"/>
  <c r="R13" i="2136"/>
  <c r="D13" i="2136"/>
  <c r="R12" i="2136"/>
  <c r="L12" i="2136"/>
  <c r="D12" i="2136" s="1"/>
  <c r="R11" i="2136"/>
  <c r="L9" i="2136"/>
  <c r="D9" i="2136" s="1"/>
  <c r="R6" i="2136"/>
  <c r="L6" i="2136"/>
  <c r="D6" i="2136" s="1"/>
  <c r="D29" i="2136" s="1"/>
  <c r="H13" i="2136" s="1"/>
  <c r="H15" i="2136" s="1"/>
  <c r="H29" i="2136" s="1"/>
  <c r="G51" i="2136" s="1"/>
  <c r="R5" i="2136"/>
  <c r="R4" i="2136"/>
  <c r="R52" i="2135"/>
  <c r="R51" i="2135"/>
  <c r="D50" i="2135"/>
  <c r="R49" i="2135"/>
  <c r="D49" i="2135"/>
  <c r="R48" i="2135"/>
  <c r="D48" i="2135"/>
  <c r="D46" i="2135"/>
  <c r="D45" i="2135"/>
  <c r="R44" i="2135"/>
  <c r="L28" i="2135" s="1"/>
  <c r="D28" i="2135" s="1"/>
  <c r="D44" i="2135"/>
  <c r="R42" i="2135"/>
  <c r="D42" i="2135"/>
  <c r="R41" i="2135"/>
  <c r="D41" i="2135"/>
  <c r="R40" i="2135"/>
  <c r="L8" i="2135" s="1"/>
  <c r="D8" i="2135" s="1"/>
  <c r="D40" i="2135"/>
  <c r="R39" i="2135"/>
  <c r="H39" i="2135"/>
  <c r="D39" i="2135"/>
  <c r="R38" i="2135"/>
  <c r="L9" i="2135" s="1"/>
  <c r="D9" i="2135" s="1"/>
  <c r="H38" i="2135"/>
  <c r="D38" i="2135"/>
  <c r="R37" i="2135"/>
  <c r="H37" i="2135"/>
  <c r="D37" i="2135"/>
  <c r="R36" i="2135"/>
  <c r="H36" i="2135"/>
  <c r="D36" i="2135"/>
  <c r="R35" i="2135"/>
  <c r="H35" i="2135"/>
  <c r="D35" i="2135"/>
  <c r="R34" i="2135"/>
  <c r="L12" i="2135" s="1"/>
  <c r="D12" i="2135" s="1"/>
  <c r="H34" i="2135"/>
  <c r="D34" i="2135"/>
  <c r="R33" i="2135"/>
  <c r="L19" i="2135" s="1"/>
  <c r="D19" i="2135" s="1"/>
  <c r="R32" i="2135"/>
  <c r="L11" i="2135" s="1"/>
  <c r="D11" i="2135" s="1"/>
  <c r="R31" i="2135"/>
  <c r="R30" i="2135"/>
  <c r="R29" i="2135"/>
  <c r="R28" i="2135"/>
  <c r="R27" i="2135"/>
  <c r="L27" i="2135"/>
  <c r="D27" i="2135"/>
  <c r="R26" i="2135"/>
  <c r="L26" i="2135"/>
  <c r="D26" i="2135" s="1"/>
  <c r="R25" i="2135"/>
  <c r="L25" i="2135"/>
  <c r="D25" i="2135" s="1"/>
  <c r="R24" i="2135"/>
  <c r="L24" i="2135"/>
  <c r="D24" i="2135"/>
  <c r="R23" i="2135"/>
  <c r="L23" i="2135"/>
  <c r="D23" i="2135"/>
  <c r="R22" i="2135"/>
  <c r="L20" i="2135" s="1"/>
  <c r="D20" i="2135" s="1"/>
  <c r="L22" i="2135"/>
  <c r="D22" i="2135" s="1"/>
  <c r="R21" i="2135"/>
  <c r="L21" i="2135"/>
  <c r="D21" i="2135" s="1"/>
  <c r="R20" i="2135"/>
  <c r="R19" i="2135"/>
  <c r="R18" i="2135"/>
  <c r="L18" i="2135"/>
  <c r="D18" i="2135" s="1"/>
  <c r="R17" i="2135"/>
  <c r="L17" i="2135"/>
  <c r="D17" i="2135" s="1"/>
  <c r="R16" i="2135"/>
  <c r="R15" i="2135"/>
  <c r="L15" i="2135"/>
  <c r="D15" i="2135"/>
  <c r="R14" i="2135"/>
  <c r="D14" i="2135"/>
  <c r="R13" i="2135"/>
  <c r="D13" i="2135"/>
  <c r="R12" i="2135"/>
  <c r="R11" i="2135"/>
  <c r="L10" i="2135"/>
  <c r="D10" i="2135" s="1"/>
  <c r="L7" i="2135"/>
  <c r="D7" i="2135"/>
  <c r="R6" i="2135"/>
  <c r="L16" i="2135" s="1"/>
  <c r="D16" i="2135" s="1"/>
  <c r="L6" i="2135"/>
  <c r="D6" i="2135" s="1"/>
  <c r="R5" i="2135"/>
  <c r="R4" i="2135"/>
  <c r="R52" i="2134"/>
  <c r="R51" i="2134"/>
  <c r="D50" i="2134"/>
  <c r="R49" i="2134"/>
  <c r="D49" i="2134"/>
  <c r="R48" i="2134"/>
  <c r="D48" i="2134"/>
  <c r="D46" i="2134"/>
  <c r="D45" i="2134"/>
  <c r="R44" i="2134"/>
  <c r="L28" i="2134" s="1"/>
  <c r="D28" i="2134" s="1"/>
  <c r="D44" i="2134"/>
  <c r="R42" i="2134"/>
  <c r="D42" i="2134"/>
  <c r="R41" i="2134"/>
  <c r="D41" i="2134"/>
  <c r="R40" i="2134"/>
  <c r="D40" i="2134"/>
  <c r="R39" i="2134"/>
  <c r="H39" i="2134"/>
  <c r="D39" i="2134"/>
  <c r="R38" i="2134"/>
  <c r="H38" i="2134"/>
  <c r="D38" i="2134"/>
  <c r="R37" i="2134"/>
  <c r="H37" i="2134"/>
  <c r="D37" i="2134"/>
  <c r="R36" i="2134"/>
  <c r="L10" i="2134" s="1"/>
  <c r="D10" i="2134" s="1"/>
  <c r="H36" i="2134"/>
  <c r="D36" i="2134"/>
  <c r="R35" i="2134"/>
  <c r="H35" i="2134"/>
  <c r="D35" i="2134"/>
  <c r="R34" i="2134"/>
  <c r="L12" i="2134" s="1"/>
  <c r="D12" i="2134" s="1"/>
  <c r="H34" i="2134"/>
  <c r="D34" i="2134"/>
  <c r="R33" i="2134"/>
  <c r="L19" i="2134" s="1"/>
  <c r="D19" i="2134" s="1"/>
  <c r="R32" i="2134"/>
  <c r="R31" i="2134"/>
  <c r="R30" i="2134"/>
  <c r="R29" i="2134"/>
  <c r="R28" i="2134"/>
  <c r="R27" i="2134"/>
  <c r="L27" i="2134"/>
  <c r="D27" i="2134"/>
  <c r="R26" i="2134"/>
  <c r="L26" i="2134"/>
  <c r="D26" i="2134"/>
  <c r="R25" i="2134"/>
  <c r="L25" i="2134"/>
  <c r="D25" i="2134" s="1"/>
  <c r="R24" i="2134"/>
  <c r="L24" i="2134"/>
  <c r="D24" i="2134" s="1"/>
  <c r="R23" i="2134"/>
  <c r="L23" i="2134"/>
  <c r="D23" i="2134" s="1"/>
  <c r="R22" i="2134"/>
  <c r="L22" i="2134"/>
  <c r="D22" i="2134"/>
  <c r="R21" i="2134"/>
  <c r="L17" i="2134" s="1"/>
  <c r="D17" i="2134" s="1"/>
  <c r="D21" i="2134"/>
  <c r="R20" i="2134"/>
  <c r="L20" i="2134"/>
  <c r="D20" i="2134" s="1"/>
  <c r="R19" i="2134"/>
  <c r="R18" i="2134"/>
  <c r="L18" i="2134"/>
  <c r="D18" i="2134"/>
  <c r="R17" i="2134"/>
  <c r="R16" i="2134"/>
  <c r="L16" i="2134"/>
  <c r="D16" i="2134"/>
  <c r="R15" i="2134"/>
  <c r="L15" i="2134"/>
  <c r="D15" i="2134" s="1"/>
  <c r="R14" i="2134"/>
  <c r="D14" i="2134"/>
  <c r="R13" i="2134"/>
  <c r="D13" i="2134"/>
  <c r="R12" i="2134"/>
  <c r="R11" i="2134"/>
  <c r="L11" i="2134"/>
  <c r="D11" i="2134"/>
  <c r="L9" i="2134"/>
  <c r="D9" i="2134" s="1"/>
  <c r="L8" i="2134"/>
  <c r="D8" i="2134" s="1"/>
  <c r="L7" i="2134"/>
  <c r="D7" i="2134"/>
  <c r="R6" i="2134"/>
  <c r="L6" i="2134"/>
  <c r="D6" i="2134"/>
  <c r="R5" i="2134"/>
  <c r="R4" i="2134"/>
  <c r="R52" i="2133"/>
  <c r="R51" i="2133"/>
  <c r="D50" i="2133"/>
  <c r="R49" i="2133"/>
  <c r="D49" i="2133"/>
  <c r="R48" i="2133"/>
  <c r="D48" i="2133"/>
  <c r="D46" i="2133"/>
  <c r="D45" i="2133"/>
  <c r="R44" i="2133"/>
  <c r="L28" i="2133" s="1"/>
  <c r="D28" i="2133" s="1"/>
  <c r="D44" i="2133"/>
  <c r="R42" i="2133"/>
  <c r="D42" i="2133"/>
  <c r="R41" i="2133"/>
  <c r="D41" i="2133"/>
  <c r="R40" i="2133"/>
  <c r="L8" i="2133" s="1"/>
  <c r="D8" i="2133" s="1"/>
  <c r="D40" i="2133"/>
  <c r="R39" i="2133"/>
  <c r="H39" i="2133"/>
  <c r="D39" i="2133"/>
  <c r="R38" i="2133"/>
  <c r="H38" i="2133"/>
  <c r="D38" i="2133"/>
  <c r="R37" i="2133"/>
  <c r="H37" i="2133"/>
  <c r="D37" i="2133"/>
  <c r="R36" i="2133"/>
  <c r="L10" i="2133" s="1"/>
  <c r="D10" i="2133" s="1"/>
  <c r="H36" i="2133"/>
  <c r="D36" i="2133"/>
  <c r="R35" i="2133"/>
  <c r="H35" i="2133"/>
  <c r="D35" i="2133"/>
  <c r="R34" i="2133"/>
  <c r="H34" i="2133"/>
  <c r="G49" i="2133" s="1"/>
  <c r="D34" i="2133"/>
  <c r="D54" i="2133" s="1"/>
  <c r="H14" i="2133" s="1"/>
  <c r="R33" i="2133"/>
  <c r="R32" i="2133"/>
  <c r="R31" i="2133"/>
  <c r="R30" i="2133"/>
  <c r="R29" i="2133"/>
  <c r="R28" i="2133"/>
  <c r="R27" i="2133"/>
  <c r="L27" i="2133"/>
  <c r="D27" i="2133" s="1"/>
  <c r="R26" i="2133"/>
  <c r="L26" i="2133"/>
  <c r="D26" i="2133"/>
  <c r="R25" i="2133"/>
  <c r="L25" i="2133"/>
  <c r="D25" i="2133" s="1"/>
  <c r="R24" i="2133"/>
  <c r="L24" i="2133"/>
  <c r="D24" i="2133" s="1"/>
  <c r="R23" i="2133"/>
  <c r="L23" i="2133"/>
  <c r="D23" i="2133" s="1"/>
  <c r="R22" i="2133"/>
  <c r="L20" i="2133" s="1"/>
  <c r="D20" i="2133" s="1"/>
  <c r="L22" i="2133"/>
  <c r="D22" i="2133"/>
  <c r="R21" i="2133"/>
  <c r="L21" i="2133"/>
  <c r="D21" i="2133" s="1"/>
  <c r="R20" i="2133"/>
  <c r="R19" i="2133"/>
  <c r="L19" i="2133"/>
  <c r="D19" i="2133" s="1"/>
  <c r="R18" i="2133"/>
  <c r="L18" i="2133"/>
  <c r="D18" i="2133"/>
  <c r="R17" i="2133"/>
  <c r="L17" i="2133"/>
  <c r="D17" i="2133" s="1"/>
  <c r="R16" i="2133"/>
  <c r="R15" i="2133"/>
  <c r="L15" i="2133"/>
  <c r="D15" i="2133" s="1"/>
  <c r="R14" i="2133"/>
  <c r="D14" i="2133"/>
  <c r="R13" i="2133"/>
  <c r="D13" i="2133"/>
  <c r="R12" i="2133"/>
  <c r="L12" i="2133"/>
  <c r="D12" i="2133" s="1"/>
  <c r="R11" i="2133"/>
  <c r="L11" i="2133"/>
  <c r="D11" i="2133"/>
  <c r="L9" i="2133"/>
  <c r="D9" i="2133"/>
  <c r="L7" i="2133"/>
  <c r="D7" i="2133" s="1"/>
  <c r="R6" i="2133"/>
  <c r="L16" i="2133" s="1"/>
  <c r="D16" i="2133" s="1"/>
  <c r="L6" i="2133"/>
  <c r="D6" i="2133" s="1"/>
  <c r="R5" i="2133"/>
  <c r="R4" i="2133"/>
  <c r="R52" i="2132"/>
  <c r="R51" i="2132"/>
  <c r="D50" i="2132"/>
  <c r="R49" i="2132"/>
  <c r="G49" i="2132"/>
  <c r="D49" i="2132"/>
  <c r="R48" i="2132"/>
  <c r="D48" i="2132"/>
  <c r="D46" i="2132"/>
  <c r="D45" i="2132"/>
  <c r="D44" i="2132"/>
  <c r="R42" i="2132"/>
  <c r="L6" i="2132" s="1"/>
  <c r="D6" i="2132" s="1"/>
  <c r="D42" i="2132"/>
  <c r="R41" i="2132"/>
  <c r="D41" i="2132"/>
  <c r="R40" i="2132"/>
  <c r="D40" i="2132"/>
  <c r="R39" i="2132"/>
  <c r="D39" i="2132"/>
  <c r="R38" i="2132"/>
  <c r="L9" i="2132" s="1"/>
  <c r="D9" i="2132" s="1"/>
  <c r="D38" i="2132"/>
  <c r="R37" i="2132"/>
  <c r="D37" i="2132"/>
  <c r="R36" i="2132"/>
  <c r="L10" i="2132" s="1"/>
  <c r="D10" i="2132" s="1"/>
  <c r="D36" i="2132"/>
  <c r="R35" i="2132"/>
  <c r="D35" i="2132"/>
  <c r="R34" i="2132"/>
  <c r="L12" i="2132" s="1"/>
  <c r="D12" i="2132" s="1"/>
  <c r="D34" i="2132"/>
  <c r="D54" i="2132" s="1"/>
  <c r="H14" i="2132" s="1"/>
  <c r="R33" i="2132"/>
  <c r="L23" i="2132" s="1"/>
  <c r="D23" i="2132" s="1"/>
  <c r="R32" i="2132"/>
  <c r="L11" i="2132" s="1"/>
  <c r="D11" i="2132" s="1"/>
  <c r="R31" i="2132"/>
  <c r="R30" i="2132"/>
  <c r="R29" i="2132"/>
  <c r="R28" i="2132"/>
  <c r="D28" i="2132"/>
  <c r="R27" i="2132"/>
  <c r="D27" i="2132"/>
  <c r="R26" i="2132"/>
  <c r="L26" i="2132"/>
  <c r="D26" i="2132"/>
  <c r="R25" i="2132"/>
  <c r="L25" i="2132"/>
  <c r="D25" i="2132" s="1"/>
  <c r="R24" i="2132"/>
  <c r="D24" i="2132"/>
  <c r="R23" i="2132"/>
  <c r="R22" i="2132"/>
  <c r="L22" i="2132"/>
  <c r="D22" i="2132"/>
  <c r="R21" i="2132"/>
  <c r="D21" i="2132"/>
  <c r="R20" i="2132"/>
  <c r="L20" i="2132"/>
  <c r="D20" i="2132"/>
  <c r="R19" i="2132"/>
  <c r="L19" i="2132"/>
  <c r="D19" i="2132" s="1"/>
  <c r="R18" i="2132"/>
  <c r="D18" i="2132"/>
  <c r="R17" i="2132"/>
  <c r="D17" i="2132"/>
  <c r="R16" i="2132"/>
  <c r="L16" i="2132"/>
  <c r="D16" i="2132" s="1"/>
  <c r="S15" i="2132"/>
  <c r="R15" i="2132"/>
  <c r="D15" i="2132"/>
  <c r="S14" i="2132"/>
  <c r="R14" i="2132"/>
  <c r="D14" i="2132"/>
  <c r="R13" i="2132"/>
  <c r="D13" i="2132"/>
  <c r="R12" i="2132"/>
  <c r="R11" i="2132"/>
  <c r="L8" i="2132"/>
  <c r="D8" i="2132"/>
  <c r="L7" i="2132"/>
  <c r="D7" i="2132" s="1"/>
  <c r="R6" i="2132"/>
  <c r="R5" i="2132"/>
  <c r="R4" i="2132"/>
  <c r="R52" i="2131"/>
  <c r="R51" i="2131"/>
  <c r="D50" i="2131"/>
  <c r="R49" i="2131"/>
  <c r="D49" i="2131"/>
  <c r="R48" i="2131"/>
  <c r="D48" i="2131"/>
  <c r="D46" i="2131"/>
  <c r="D45" i="2131"/>
  <c r="R44" i="2131"/>
  <c r="D44" i="2131"/>
  <c r="R42" i="2131"/>
  <c r="L6" i="2131" s="1"/>
  <c r="D6" i="2131" s="1"/>
  <c r="D42" i="2131"/>
  <c r="R41" i="2131"/>
  <c r="D41" i="2131"/>
  <c r="R40" i="2131"/>
  <c r="D40" i="2131"/>
  <c r="R39" i="2131"/>
  <c r="H39" i="2131"/>
  <c r="D39" i="2131"/>
  <c r="R38" i="2131"/>
  <c r="H38" i="2131"/>
  <c r="D38" i="2131"/>
  <c r="R37" i="2131"/>
  <c r="H37" i="2131"/>
  <c r="D37" i="2131"/>
  <c r="R36" i="2131"/>
  <c r="H36" i="2131"/>
  <c r="D36" i="2131"/>
  <c r="R35" i="2131"/>
  <c r="H35" i="2131"/>
  <c r="D35" i="2131"/>
  <c r="R34" i="2131"/>
  <c r="H34" i="2131"/>
  <c r="G49" i="2131" s="1"/>
  <c r="D34" i="2131"/>
  <c r="D54" i="2131" s="1"/>
  <c r="H14" i="2131" s="1"/>
  <c r="R33" i="2131"/>
  <c r="L19" i="2131" s="1"/>
  <c r="D19" i="2131" s="1"/>
  <c r="R32" i="2131"/>
  <c r="L11" i="2131" s="1"/>
  <c r="D11" i="2131" s="1"/>
  <c r="R31" i="2131"/>
  <c r="R30" i="2131"/>
  <c r="R29" i="2131"/>
  <c r="R28" i="2131"/>
  <c r="L28" i="2131"/>
  <c r="D28" i="2131"/>
  <c r="R27" i="2131"/>
  <c r="L27" i="2131"/>
  <c r="D27" i="2131" s="1"/>
  <c r="R26" i="2131"/>
  <c r="L26" i="2131"/>
  <c r="D26" i="2131" s="1"/>
  <c r="R25" i="2131"/>
  <c r="L25" i="2131"/>
  <c r="D25" i="2131" s="1"/>
  <c r="R24" i="2131"/>
  <c r="L24" i="2131"/>
  <c r="D24" i="2131" s="1"/>
  <c r="R23" i="2131"/>
  <c r="L23" i="2131"/>
  <c r="D23" i="2131"/>
  <c r="R22" i="2131"/>
  <c r="L20" i="2131" s="1"/>
  <c r="D20" i="2131" s="1"/>
  <c r="L22" i="2131"/>
  <c r="D22" i="2131"/>
  <c r="R21" i="2131"/>
  <c r="L21" i="2131"/>
  <c r="D21" i="2131"/>
  <c r="R20" i="2131"/>
  <c r="R19" i="2131"/>
  <c r="R18" i="2131"/>
  <c r="L18" i="2131"/>
  <c r="D18" i="2131" s="1"/>
  <c r="R17" i="2131"/>
  <c r="L17" i="2131"/>
  <c r="D17" i="2131" s="1"/>
  <c r="R16" i="2131"/>
  <c r="R15" i="2131"/>
  <c r="L15" i="2131"/>
  <c r="D15" i="2131"/>
  <c r="R14" i="2131"/>
  <c r="D14" i="2131"/>
  <c r="R13" i="2131"/>
  <c r="D13" i="2131"/>
  <c r="R12" i="2131"/>
  <c r="L12" i="2131"/>
  <c r="D12" i="2131" s="1"/>
  <c r="R11" i="2131"/>
  <c r="L10" i="2131"/>
  <c r="D10" i="2131" s="1"/>
  <c r="L9" i="2131"/>
  <c r="D9" i="2131" s="1"/>
  <c r="L8" i="2131"/>
  <c r="D8" i="2131"/>
  <c r="L7" i="2131"/>
  <c r="D7" i="2131" s="1"/>
  <c r="R6" i="2131"/>
  <c r="L16" i="2131" s="1"/>
  <c r="D16" i="2131" s="1"/>
  <c r="R5" i="2131"/>
  <c r="R4" i="2131"/>
  <c r="R52" i="2130"/>
  <c r="R51" i="2130"/>
  <c r="D50" i="2130"/>
  <c r="R49" i="2130"/>
  <c r="D49" i="2130"/>
  <c r="R48" i="2130"/>
  <c r="D48" i="2130"/>
  <c r="D46" i="2130"/>
  <c r="D45" i="2130"/>
  <c r="R44" i="2130"/>
  <c r="L28" i="2130" s="1"/>
  <c r="D28" i="2130" s="1"/>
  <c r="D44" i="2130"/>
  <c r="R42" i="2130"/>
  <c r="D42" i="2130"/>
  <c r="R41" i="2130"/>
  <c r="D41" i="2130"/>
  <c r="R40" i="2130"/>
  <c r="L8" i="2130" s="1"/>
  <c r="D8" i="2130" s="1"/>
  <c r="D40" i="2130"/>
  <c r="R39" i="2130"/>
  <c r="H39" i="2130"/>
  <c r="D39" i="2130"/>
  <c r="R38" i="2130"/>
  <c r="L9" i="2130" s="1"/>
  <c r="D9" i="2130" s="1"/>
  <c r="H38" i="2130"/>
  <c r="D38" i="2130"/>
  <c r="R37" i="2130"/>
  <c r="H37" i="2130"/>
  <c r="D37" i="2130"/>
  <c r="R36" i="2130"/>
  <c r="H36" i="2130"/>
  <c r="D36" i="2130"/>
  <c r="R35" i="2130"/>
  <c r="H35" i="2130"/>
  <c r="D35" i="2130"/>
  <c r="R34" i="2130"/>
  <c r="L12" i="2130" s="1"/>
  <c r="D12" i="2130" s="1"/>
  <c r="H34" i="2130"/>
  <c r="G49" i="2130" s="1"/>
  <c r="D34" i="2130"/>
  <c r="D54" i="2130" s="1"/>
  <c r="H14" i="2130" s="1"/>
  <c r="R33" i="2130"/>
  <c r="L19" i="2130" s="1"/>
  <c r="D19" i="2130" s="1"/>
  <c r="R32" i="2130"/>
  <c r="R31" i="2130"/>
  <c r="R30" i="2130"/>
  <c r="R29" i="2130"/>
  <c r="R28" i="2130"/>
  <c r="R27" i="2130"/>
  <c r="L27" i="2130"/>
  <c r="D27" i="2130"/>
  <c r="R26" i="2130"/>
  <c r="L26" i="2130"/>
  <c r="D26" i="2130" s="1"/>
  <c r="R25" i="2130"/>
  <c r="L25" i="2130"/>
  <c r="D25" i="2130" s="1"/>
  <c r="R24" i="2130"/>
  <c r="L24" i="2130"/>
  <c r="D24" i="2130" s="1"/>
  <c r="R23" i="2130"/>
  <c r="L23" i="2130"/>
  <c r="D23" i="2130" s="1"/>
  <c r="R22" i="2130"/>
  <c r="L20" i="2130" s="1"/>
  <c r="D20" i="2130" s="1"/>
  <c r="L22" i="2130"/>
  <c r="D22" i="2130"/>
  <c r="R21" i="2130"/>
  <c r="L17" i="2130" s="1"/>
  <c r="D17" i="2130" s="1"/>
  <c r="D21" i="2130"/>
  <c r="R20" i="2130"/>
  <c r="R19" i="2130"/>
  <c r="R18" i="2130"/>
  <c r="L18" i="2130"/>
  <c r="D18" i="2130"/>
  <c r="R17" i="2130"/>
  <c r="R16" i="2130"/>
  <c r="L16" i="2130"/>
  <c r="D16" i="2130"/>
  <c r="R15" i="2130"/>
  <c r="L15" i="2130"/>
  <c r="D15" i="2130" s="1"/>
  <c r="R14" i="2130"/>
  <c r="D14" i="2130"/>
  <c r="R13" i="2130"/>
  <c r="D13" i="2130"/>
  <c r="R12" i="2130"/>
  <c r="R11" i="2130"/>
  <c r="L11" i="2130"/>
  <c r="D11" i="2130"/>
  <c r="L10" i="2130"/>
  <c r="D10" i="2130"/>
  <c r="L7" i="2130"/>
  <c r="D7" i="2130"/>
  <c r="R6" i="2130"/>
  <c r="L6" i="2130"/>
  <c r="D6" i="2130"/>
  <c r="D29" i="2130" s="1"/>
  <c r="H13" i="2130" s="1"/>
  <c r="H15" i="2130" s="1"/>
  <c r="H29" i="2130" s="1"/>
  <c r="R5" i="2130"/>
  <c r="R4" i="2130"/>
  <c r="R52" i="2129"/>
  <c r="R51" i="2129"/>
  <c r="D50" i="2129"/>
  <c r="R49" i="2129"/>
  <c r="D49" i="2129"/>
  <c r="R48" i="2129"/>
  <c r="D48" i="2129"/>
  <c r="D46" i="2129"/>
  <c r="D45" i="2129"/>
  <c r="R44" i="2129"/>
  <c r="L28" i="2129" s="1"/>
  <c r="D28" i="2129" s="1"/>
  <c r="D44" i="2129"/>
  <c r="R42" i="2129"/>
  <c r="D42" i="2129"/>
  <c r="R41" i="2129"/>
  <c r="D41" i="2129"/>
  <c r="R40" i="2129"/>
  <c r="L8" i="2129" s="1"/>
  <c r="D8" i="2129" s="1"/>
  <c r="D40" i="2129"/>
  <c r="R39" i="2129"/>
  <c r="H39" i="2129"/>
  <c r="D39" i="2129"/>
  <c r="R38" i="2129"/>
  <c r="H38" i="2129"/>
  <c r="D38" i="2129"/>
  <c r="R37" i="2129"/>
  <c r="H37" i="2129"/>
  <c r="D37" i="2129"/>
  <c r="R36" i="2129"/>
  <c r="H36" i="2129"/>
  <c r="D36" i="2129"/>
  <c r="R35" i="2129"/>
  <c r="H35" i="2129"/>
  <c r="D35" i="2129"/>
  <c r="R34" i="2129"/>
  <c r="H34" i="2129"/>
  <c r="G49" i="2129" s="1"/>
  <c r="D34" i="2129"/>
  <c r="D54" i="2129" s="1"/>
  <c r="H14" i="2129" s="1"/>
  <c r="R33" i="2129"/>
  <c r="L19" i="2129" s="1"/>
  <c r="D19" i="2129" s="1"/>
  <c r="R32" i="2129"/>
  <c r="R31" i="2129"/>
  <c r="R30" i="2129"/>
  <c r="R29" i="2129"/>
  <c r="R28" i="2129"/>
  <c r="R27" i="2129"/>
  <c r="L27" i="2129"/>
  <c r="D27" i="2129" s="1"/>
  <c r="R26" i="2129"/>
  <c r="L26" i="2129"/>
  <c r="D26" i="2129"/>
  <c r="R25" i="2129"/>
  <c r="L25" i="2129"/>
  <c r="D25" i="2129" s="1"/>
  <c r="R24" i="2129"/>
  <c r="L24" i="2129"/>
  <c r="D24" i="2129" s="1"/>
  <c r="R23" i="2129"/>
  <c r="L23" i="2129"/>
  <c r="D23" i="2129" s="1"/>
  <c r="R22" i="2129"/>
  <c r="L22" i="2129"/>
  <c r="D22" i="2129"/>
  <c r="R21" i="2129"/>
  <c r="L21" i="2129"/>
  <c r="D21" i="2129" s="1"/>
  <c r="R20" i="2129"/>
  <c r="L20" i="2129"/>
  <c r="D20" i="2129" s="1"/>
  <c r="R19" i="2129"/>
  <c r="R18" i="2129"/>
  <c r="L18" i="2129"/>
  <c r="D18" i="2129" s="1"/>
  <c r="R17" i="2129"/>
  <c r="L17" i="2129"/>
  <c r="D17" i="2129" s="1"/>
  <c r="R16" i="2129"/>
  <c r="L16" i="2129"/>
  <c r="D16" i="2129"/>
  <c r="R15" i="2129"/>
  <c r="L15" i="2129"/>
  <c r="D15" i="2129" s="1"/>
  <c r="R14" i="2129"/>
  <c r="D14" i="2129"/>
  <c r="R13" i="2129"/>
  <c r="D13" i="2129"/>
  <c r="R12" i="2129"/>
  <c r="L12" i="2129"/>
  <c r="D12" i="2129" s="1"/>
  <c r="R11" i="2129"/>
  <c r="L11" i="2129"/>
  <c r="D11" i="2129"/>
  <c r="L10" i="2129"/>
  <c r="D10" i="2129"/>
  <c r="L9" i="2129"/>
  <c r="D9" i="2129" s="1"/>
  <c r="L7" i="2129"/>
  <c r="D7" i="2129" s="1"/>
  <c r="R6" i="2129"/>
  <c r="L6" i="2129"/>
  <c r="D6" i="2129" s="1"/>
  <c r="R5" i="2129"/>
  <c r="R4" i="2129"/>
  <c r="R52" i="2128"/>
  <c r="R51" i="2128"/>
  <c r="D50" i="2128"/>
  <c r="R49" i="2128"/>
  <c r="G49" i="2128"/>
  <c r="D49" i="2128"/>
  <c r="R48" i="2128"/>
  <c r="D48" i="2128"/>
  <c r="D46" i="2128"/>
  <c r="D45" i="2128"/>
  <c r="D44" i="2128"/>
  <c r="R42" i="2128"/>
  <c r="D42" i="2128"/>
  <c r="R41" i="2128"/>
  <c r="L7" i="2128" s="1"/>
  <c r="D7" i="2128" s="1"/>
  <c r="D41" i="2128"/>
  <c r="R40" i="2128"/>
  <c r="L8" i="2128" s="1"/>
  <c r="D8" i="2128" s="1"/>
  <c r="D40" i="2128"/>
  <c r="R39" i="2128"/>
  <c r="D39" i="2128"/>
  <c r="R38" i="2128"/>
  <c r="L9" i="2128" s="1"/>
  <c r="D9" i="2128" s="1"/>
  <c r="D38" i="2128"/>
  <c r="R37" i="2128"/>
  <c r="D37" i="2128"/>
  <c r="R36" i="2128"/>
  <c r="L10" i="2128" s="1"/>
  <c r="D10" i="2128" s="1"/>
  <c r="D36" i="2128"/>
  <c r="D54" i="2128" s="1"/>
  <c r="H14" i="2128" s="1"/>
  <c r="R35" i="2128"/>
  <c r="L19" i="2128" s="1"/>
  <c r="D19" i="2128" s="1"/>
  <c r="D35" i="2128"/>
  <c r="R34" i="2128"/>
  <c r="L12" i="2128" s="1"/>
  <c r="D12" i="2128" s="1"/>
  <c r="D34" i="2128"/>
  <c r="R33" i="2128"/>
  <c r="L23" i="2128" s="1"/>
  <c r="D23" i="2128" s="1"/>
  <c r="R32" i="2128"/>
  <c r="R31" i="2128"/>
  <c r="R30" i="2128"/>
  <c r="R29" i="2128"/>
  <c r="R28" i="2128"/>
  <c r="D28" i="2128"/>
  <c r="R27" i="2128"/>
  <c r="D27" i="2128"/>
  <c r="R26" i="2128"/>
  <c r="L26" i="2128"/>
  <c r="D26" i="2128" s="1"/>
  <c r="R25" i="2128"/>
  <c r="L25" i="2128"/>
  <c r="D25" i="2128"/>
  <c r="R24" i="2128"/>
  <c r="D24" i="2128"/>
  <c r="R23" i="2128"/>
  <c r="R22" i="2128"/>
  <c r="L22" i="2128"/>
  <c r="D22" i="2128" s="1"/>
  <c r="R21" i="2128"/>
  <c r="D21" i="2128"/>
  <c r="R20" i="2128"/>
  <c r="L20" i="2128"/>
  <c r="D20" i="2128" s="1"/>
  <c r="R19" i="2128"/>
  <c r="R18" i="2128"/>
  <c r="D18" i="2128"/>
  <c r="R17" i="2128"/>
  <c r="D17" i="2128"/>
  <c r="R16" i="2128"/>
  <c r="L16" i="2128"/>
  <c r="D16" i="2128" s="1"/>
  <c r="S15" i="2128"/>
  <c r="R15" i="2128"/>
  <c r="D15" i="2128"/>
  <c r="S14" i="2128"/>
  <c r="R14" i="2128"/>
  <c r="D14" i="2128"/>
  <c r="R13" i="2128"/>
  <c r="D13" i="2128"/>
  <c r="R12" i="2128"/>
  <c r="R11" i="2128"/>
  <c r="L11" i="2128"/>
  <c r="D11" i="2128" s="1"/>
  <c r="R6" i="2128"/>
  <c r="L6" i="2128"/>
  <c r="D6" i="2128"/>
  <c r="R5" i="2128"/>
  <c r="R4" i="2128"/>
  <c r="R52" i="2127"/>
  <c r="R51" i="2127"/>
  <c r="D50" i="2127"/>
  <c r="R49" i="2127"/>
  <c r="D49" i="2127"/>
  <c r="R48" i="2127"/>
  <c r="D48" i="2127"/>
  <c r="D46" i="2127"/>
  <c r="D45" i="2127"/>
  <c r="R44" i="2127"/>
  <c r="D44" i="2127"/>
  <c r="R42" i="2127"/>
  <c r="L6" i="2127" s="1"/>
  <c r="D6" i="2127" s="1"/>
  <c r="D42" i="2127"/>
  <c r="R41" i="2127"/>
  <c r="D41" i="2127"/>
  <c r="R40" i="2127"/>
  <c r="L8" i="2127" s="1"/>
  <c r="D8" i="2127" s="1"/>
  <c r="D40" i="2127"/>
  <c r="R39" i="2127"/>
  <c r="H39" i="2127"/>
  <c r="D39" i="2127"/>
  <c r="R38" i="2127"/>
  <c r="H38" i="2127"/>
  <c r="D38" i="2127"/>
  <c r="R37" i="2127"/>
  <c r="H37" i="2127"/>
  <c r="D37" i="2127"/>
  <c r="R36" i="2127"/>
  <c r="L10" i="2127" s="1"/>
  <c r="D10" i="2127" s="1"/>
  <c r="H36" i="2127"/>
  <c r="D36" i="2127"/>
  <c r="R35" i="2127"/>
  <c r="H35" i="2127"/>
  <c r="D35" i="2127"/>
  <c r="R34" i="2127"/>
  <c r="H34" i="2127"/>
  <c r="D34" i="2127"/>
  <c r="D54" i="2127" s="1"/>
  <c r="H14" i="2127" s="1"/>
  <c r="R33" i="2127"/>
  <c r="L19" i="2127" s="1"/>
  <c r="D19" i="2127" s="1"/>
  <c r="R32" i="2127"/>
  <c r="R31" i="2127"/>
  <c r="R30" i="2127"/>
  <c r="R29" i="2127"/>
  <c r="R28" i="2127"/>
  <c r="L28" i="2127"/>
  <c r="D28" i="2127"/>
  <c r="R27" i="2127"/>
  <c r="L27" i="2127"/>
  <c r="D27" i="2127"/>
  <c r="R26" i="2127"/>
  <c r="L26" i="2127"/>
  <c r="D26" i="2127"/>
  <c r="R25" i="2127"/>
  <c r="L25" i="2127"/>
  <c r="D25" i="2127" s="1"/>
  <c r="R24" i="2127"/>
  <c r="L24" i="2127"/>
  <c r="D24" i="2127"/>
  <c r="R23" i="2127"/>
  <c r="L23" i="2127"/>
  <c r="D23" i="2127"/>
  <c r="R22" i="2127"/>
  <c r="L20" i="2127" s="1"/>
  <c r="D20" i="2127" s="1"/>
  <c r="L22" i="2127"/>
  <c r="D22" i="2127"/>
  <c r="R21" i="2127"/>
  <c r="L21" i="2127"/>
  <c r="D21" i="2127" s="1"/>
  <c r="R20" i="2127"/>
  <c r="R19" i="2127"/>
  <c r="R18" i="2127"/>
  <c r="L18" i="2127"/>
  <c r="D18" i="2127" s="1"/>
  <c r="R17" i="2127"/>
  <c r="L17" i="2127"/>
  <c r="D17" i="2127" s="1"/>
  <c r="R16" i="2127"/>
  <c r="L16" i="2127"/>
  <c r="D16" i="2127" s="1"/>
  <c r="R15" i="2127"/>
  <c r="L15" i="2127"/>
  <c r="D15" i="2127" s="1"/>
  <c r="R14" i="2127"/>
  <c r="D14" i="2127"/>
  <c r="R13" i="2127"/>
  <c r="D13" i="2127"/>
  <c r="R12" i="2127"/>
  <c r="L12" i="2127"/>
  <c r="D12" i="2127" s="1"/>
  <c r="R11" i="2127"/>
  <c r="L11" i="2127"/>
  <c r="D11" i="2127" s="1"/>
  <c r="L9" i="2127"/>
  <c r="D9" i="2127" s="1"/>
  <c r="L7" i="2127"/>
  <c r="D7" i="2127"/>
  <c r="R6" i="2127"/>
  <c r="R5" i="2127"/>
  <c r="R4" i="2127"/>
  <c r="R52" i="2126"/>
  <c r="R51" i="2126"/>
  <c r="D50" i="2126"/>
  <c r="R49" i="2126"/>
  <c r="D49" i="2126"/>
  <c r="R48" i="2126"/>
  <c r="D48" i="2126"/>
  <c r="D46" i="2126"/>
  <c r="D45" i="2126"/>
  <c r="R44" i="2126"/>
  <c r="L28" i="2126" s="1"/>
  <c r="D28" i="2126" s="1"/>
  <c r="D44" i="2126"/>
  <c r="R42" i="2126"/>
  <c r="D42" i="2126"/>
  <c r="R41" i="2126"/>
  <c r="L7" i="2126" s="1"/>
  <c r="D7" i="2126" s="1"/>
  <c r="D41" i="2126"/>
  <c r="R40" i="2126"/>
  <c r="D40" i="2126"/>
  <c r="R39" i="2126"/>
  <c r="H39" i="2126"/>
  <c r="D39" i="2126"/>
  <c r="R38" i="2126"/>
  <c r="L9" i="2126" s="1"/>
  <c r="D9" i="2126" s="1"/>
  <c r="H38" i="2126"/>
  <c r="D38" i="2126"/>
  <c r="R37" i="2126"/>
  <c r="H37" i="2126"/>
  <c r="D37" i="2126"/>
  <c r="R36" i="2126"/>
  <c r="H36" i="2126"/>
  <c r="D36" i="2126"/>
  <c r="R35" i="2126"/>
  <c r="L18" i="2126" s="1"/>
  <c r="D18" i="2126" s="1"/>
  <c r="H35" i="2126"/>
  <c r="D35" i="2126"/>
  <c r="R34" i="2126"/>
  <c r="L12" i="2126" s="1"/>
  <c r="D12" i="2126" s="1"/>
  <c r="H34" i="2126"/>
  <c r="G49" i="2126" s="1"/>
  <c r="D34" i="2126"/>
  <c r="D54" i="2126" s="1"/>
  <c r="H14" i="2126" s="1"/>
  <c r="R33" i="2126"/>
  <c r="R32" i="2126"/>
  <c r="L11" i="2126" s="1"/>
  <c r="D11" i="2126" s="1"/>
  <c r="R31" i="2126"/>
  <c r="R30" i="2126"/>
  <c r="R29" i="2126"/>
  <c r="R28" i="2126"/>
  <c r="R27" i="2126"/>
  <c r="L27" i="2126"/>
  <c r="D27" i="2126" s="1"/>
  <c r="R26" i="2126"/>
  <c r="L26" i="2126"/>
  <c r="D26" i="2126" s="1"/>
  <c r="R25" i="2126"/>
  <c r="L25" i="2126"/>
  <c r="D25" i="2126" s="1"/>
  <c r="R24" i="2126"/>
  <c r="L24" i="2126"/>
  <c r="D24" i="2126"/>
  <c r="R23" i="2126"/>
  <c r="L23" i="2126"/>
  <c r="D23" i="2126"/>
  <c r="R22" i="2126"/>
  <c r="L22" i="2126"/>
  <c r="D22" i="2126" s="1"/>
  <c r="R21" i="2126"/>
  <c r="L17" i="2126" s="1"/>
  <c r="D17" i="2126" s="1"/>
  <c r="L21" i="2126"/>
  <c r="D21" i="2126" s="1"/>
  <c r="R20" i="2126"/>
  <c r="L20" i="2126"/>
  <c r="D20" i="2126"/>
  <c r="R19" i="2126"/>
  <c r="L19" i="2126"/>
  <c r="D19" i="2126" s="1"/>
  <c r="R18" i="2126"/>
  <c r="R17" i="2126"/>
  <c r="R16" i="2126"/>
  <c r="R15" i="2126"/>
  <c r="R14" i="2126"/>
  <c r="D14" i="2126"/>
  <c r="R13" i="2126"/>
  <c r="D13" i="2126"/>
  <c r="R12" i="2126"/>
  <c r="R11" i="2126"/>
  <c r="L10" i="2126"/>
  <c r="D10" i="2126" s="1"/>
  <c r="L8" i="2126"/>
  <c r="D8" i="2126" s="1"/>
  <c r="R6" i="2126"/>
  <c r="L16" i="2126" s="1"/>
  <c r="D16" i="2126" s="1"/>
  <c r="L6" i="2126"/>
  <c r="D6" i="2126"/>
  <c r="R5" i="2126"/>
  <c r="R4" i="2126"/>
  <c r="L15" i="2126" s="1"/>
  <c r="D15" i="2126" s="1"/>
  <c r="R52" i="2125"/>
  <c r="R51" i="2125"/>
  <c r="D50" i="2125"/>
  <c r="R49" i="2125"/>
  <c r="D49" i="2125"/>
  <c r="R48" i="2125"/>
  <c r="D48" i="2125"/>
  <c r="D46" i="2125"/>
  <c r="D45" i="2125"/>
  <c r="R44" i="2125"/>
  <c r="L28" i="2125" s="1"/>
  <c r="D28" i="2125" s="1"/>
  <c r="D44" i="2125"/>
  <c r="R42" i="2125"/>
  <c r="D42" i="2125"/>
  <c r="R41" i="2125"/>
  <c r="D41" i="2125"/>
  <c r="R40" i="2125"/>
  <c r="D40" i="2125"/>
  <c r="R39" i="2125"/>
  <c r="H39" i="2125"/>
  <c r="D39" i="2125"/>
  <c r="R38" i="2125"/>
  <c r="H38" i="2125"/>
  <c r="D38" i="2125"/>
  <c r="R37" i="2125"/>
  <c r="H37" i="2125"/>
  <c r="D37" i="2125"/>
  <c r="R36" i="2125"/>
  <c r="H36" i="2125"/>
  <c r="D36" i="2125"/>
  <c r="R35" i="2125"/>
  <c r="H35" i="2125"/>
  <c r="D35" i="2125"/>
  <c r="R34" i="2125"/>
  <c r="L12" i="2125" s="1"/>
  <c r="D12" i="2125" s="1"/>
  <c r="H34" i="2125"/>
  <c r="G49" i="2125" s="1"/>
  <c r="D34" i="2125"/>
  <c r="D54" i="2125" s="1"/>
  <c r="H14" i="2125" s="1"/>
  <c r="R33" i="2125"/>
  <c r="R32" i="2125"/>
  <c r="L11" i="2125" s="1"/>
  <c r="D11" i="2125" s="1"/>
  <c r="R31" i="2125"/>
  <c r="R30" i="2125"/>
  <c r="R29" i="2125"/>
  <c r="R28" i="2125"/>
  <c r="R27" i="2125"/>
  <c r="L27" i="2125"/>
  <c r="D27" i="2125" s="1"/>
  <c r="R26" i="2125"/>
  <c r="L26" i="2125"/>
  <c r="D26" i="2125"/>
  <c r="R25" i="2125"/>
  <c r="L25" i="2125"/>
  <c r="D25" i="2125" s="1"/>
  <c r="R24" i="2125"/>
  <c r="L24" i="2125"/>
  <c r="D24" i="2125" s="1"/>
  <c r="R23" i="2125"/>
  <c r="L23" i="2125"/>
  <c r="D23" i="2125"/>
  <c r="R22" i="2125"/>
  <c r="L20" i="2125" s="1"/>
  <c r="D20" i="2125" s="1"/>
  <c r="L22" i="2125"/>
  <c r="D22" i="2125" s="1"/>
  <c r="R21" i="2125"/>
  <c r="L17" i="2125" s="1"/>
  <c r="D17" i="2125" s="1"/>
  <c r="D21" i="2125"/>
  <c r="R20" i="2125"/>
  <c r="R19" i="2125"/>
  <c r="L19" i="2125"/>
  <c r="D19" i="2125" s="1"/>
  <c r="R18" i="2125"/>
  <c r="L18" i="2125"/>
  <c r="D18" i="2125"/>
  <c r="R17" i="2125"/>
  <c r="R16" i="2125"/>
  <c r="R15" i="2125"/>
  <c r="R14" i="2125"/>
  <c r="D14" i="2125"/>
  <c r="R13" i="2125"/>
  <c r="D13" i="2125"/>
  <c r="R12" i="2125"/>
  <c r="R11" i="2125"/>
  <c r="L10" i="2125"/>
  <c r="D10" i="2125" s="1"/>
  <c r="L9" i="2125"/>
  <c r="D9" i="2125" s="1"/>
  <c r="L8" i="2125"/>
  <c r="D8" i="2125" s="1"/>
  <c r="L7" i="2125"/>
  <c r="D7" i="2125" s="1"/>
  <c r="R6" i="2125"/>
  <c r="L16" i="2125" s="1"/>
  <c r="D16" i="2125" s="1"/>
  <c r="L6" i="2125"/>
  <c r="D6" i="2125" s="1"/>
  <c r="R5" i="2125"/>
  <c r="R4" i="2125"/>
  <c r="L15" i="2125" s="1"/>
  <c r="D15" i="2125" s="1"/>
  <c r="R52" i="2123"/>
  <c r="R51" i="2123"/>
  <c r="D50" i="2123"/>
  <c r="R49" i="2123"/>
  <c r="G49" i="2123"/>
  <c r="D49" i="2123"/>
  <c r="R48" i="2123"/>
  <c r="D48" i="2123"/>
  <c r="D46" i="2123"/>
  <c r="D45" i="2123"/>
  <c r="D44" i="2123"/>
  <c r="R42" i="2123"/>
  <c r="D42" i="2123"/>
  <c r="R41" i="2123"/>
  <c r="L7" i="2123" s="1"/>
  <c r="D7" i="2123" s="1"/>
  <c r="D41" i="2123"/>
  <c r="R40" i="2123"/>
  <c r="L8" i="2123" s="1"/>
  <c r="D8" i="2123" s="1"/>
  <c r="D40" i="2123"/>
  <c r="R39" i="2123"/>
  <c r="D39" i="2123"/>
  <c r="R38" i="2123"/>
  <c r="D38" i="2123"/>
  <c r="R37" i="2123"/>
  <c r="D37" i="2123"/>
  <c r="R36" i="2123"/>
  <c r="L10" i="2123" s="1"/>
  <c r="D10" i="2123" s="1"/>
  <c r="D36" i="2123"/>
  <c r="R35" i="2123"/>
  <c r="D35" i="2123"/>
  <c r="R34" i="2123"/>
  <c r="D34" i="2123"/>
  <c r="D54" i="2123" s="1"/>
  <c r="H14" i="2123" s="1"/>
  <c r="R33" i="2123"/>
  <c r="L23" i="2123" s="1"/>
  <c r="D23" i="2123" s="1"/>
  <c r="R32" i="2123"/>
  <c r="R31" i="2123"/>
  <c r="R30" i="2123"/>
  <c r="R29" i="2123"/>
  <c r="R28" i="2123"/>
  <c r="D28" i="2123"/>
  <c r="R27" i="2123"/>
  <c r="D27" i="2123"/>
  <c r="R26" i="2123"/>
  <c r="L26" i="2123"/>
  <c r="D26" i="2123"/>
  <c r="R25" i="2123"/>
  <c r="L25" i="2123"/>
  <c r="D25" i="2123"/>
  <c r="R24" i="2123"/>
  <c r="D24" i="2123"/>
  <c r="R23" i="2123"/>
  <c r="R22" i="2123"/>
  <c r="L22" i="2123"/>
  <c r="D22" i="2123"/>
  <c r="R21" i="2123"/>
  <c r="D21" i="2123"/>
  <c r="R20" i="2123"/>
  <c r="L20" i="2123"/>
  <c r="D20" i="2123"/>
  <c r="R19" i="2123"/>
  <c r="L19" i="2123"/>
  <c r="D19" i="2123"/>
  <c r="R18" i="2123"/>
  <c r="D18" i="2123"/>
  <c r="R17" i="2123"/>
  <c r="D17" i="2123"/>
  <c r="R16" i="2123"/>
  <c r="L16" i="2123"/>
  <c r="D16" i="2123" s="1"/>
  <c r="S15" i="2123"/>
  <c r="R15" i="2123"/>
  <c r="D15" i="2123"/>
  <c r="S14" i="2123"/>
  <c r="R14" i="2123"/>
  <c r="D14" i="2123"/>
  <c r="R13" i="2123"/>
  <c r="D13" i="2123"/>
  <c r="R12" i="2123"/>
  <c r="L12" i="2123"/>
  <c r="D12" i="2123" s="1"/>
  <c r="R11" i="2123"/>
  <c r="L11" i="2123"/>
  <c r="D11" i="2123"/>
  <c r="L9" i="2123"/>
  <c r="D9" i="2123" s="1"/>
  <c r="R6" i="2123"/>
  <c r="L6" i="2123"/>
  <c r="D6" i="2123" s="1"/>
  <c r="R5" i="2123"/>
  <c r="R4" i="2123"/>
  <c r="R52" i="2122"/>
  <c r="R51" i="2122"/>
  <c r="D50" i="2122"/>
  <c r="R49" i="2122"/>
  <c r="D49" i="2122"/>
  <c r="R48" i="2122"/>
  <c r="D48" i="2122"/>
  <c r="D46" i="2122"/>
  <c r="D45" i="2122"/>
  <c r="R44" i="2122"/>
  <c r="D44" i="2122"/>
  <c r="R42" i="2122"/>
  <c r="L6" i="2122" s="1"/>
  <c r="D6" i="2122" s="1"/>
  <c r="D42" i="2122"/>
  <c r="R41" i="2122"/>
  <c r="L7" i="2122" s="1"/>
  <c r="D7" i="2122" s="1"/>
  <c r="D41" i="2122"/>
  <c r="R40" i="2122"/>
  <c r="L8" i="2122" s="1"/>
  <c r="D8" i="2122" s="1"/>
  <c r="D40" i="2122"/>
  <c r="R39" i="2122"/>
  <c r="H39" i="2122"/>
  <c r="D39" i="2122"/>
  <c r="R38" i="2122"/>
  <c r="H38" i="2122"/>
  <c r="D38" i="2122"/>
  <c r="R37" i="2122"/>
  <c r="H37" i="2122"/>
  <c r="D37" i="2122"/>
  <c r="R36" i="2122"/>
  <c r="L10" i="2122" s="1"/>
  <c r="D10" i="2122" s="1"/>
  <c r="H36" i="2122"/>
  <c r="D36" i="2122"/>
  <c r="R35" i="2122"/>
  <c r="L18" i="2122" s="1"/>
  <c r="D18" i="2122" s="1"/>
  <c r="H35" i="2122"/>
  <c r="D35" i="2122"/>
  <c r="R34" i="2122"/>
  <c r="H34" i="2122"/>
  <c r="D34" i="2122"/>
  <c r="R33" i="2122"/>
  <c r="R32" i="2122"/>
  <c r="R31" i="2122"/>
  <c r="R30" i="2122"/>
  <c r="R29" i="2122"/>
  <c r="R28" i="2122"/>
  <c r="L28" i="2122"/>
  <c r="D28" i="2122"/>
  <c r="R27" i="2122"/>
  <c r="L27" i="2122"/>
  <c r="D27" i="2122"/>
  <c r="R26" i="2122"/>
  <c r="L26" i="2122"/>
  <c r="D26" i="2122"/>
  <c r="R25" i="2122"/>
  <c r="L25" i="2122"/>
  <c r="D25" i="2122"/>
  <c r="R24" i="2122"/>
  <c r="L24" i="2122"/>
  <c r="D24" i="2122" s="1"/>
  <c r="R23" i="2122"/>
  <c r="L23" i="2122"/>
  <c r="D23" i="2122"/>
  <c r="R22" i="2122"/>
  <c r="L20" i="2122" s="1"/>
  <c r="D20" i="2122" s="1"/>
  <c r="L22" i="2122"/>
  <c r="D22" i="2122" s="1"/>
  <c r="R21" i="2122"/>
  <c r="L21" i="2122"/>
  <c r="D21" i="2122" s="1"/>
  <c r="R20" i="2122"/>
  <c r="R19" i="2122"/>
  <c r="L19" i="2122"/>
  <c r="D19" i="2122"/>
  <c r="R18" i="2122"/>
  <c r="R17" i="2122"/>
  <c r="L17" i="2122"/>
  <c r="D17" i="2122"/>
  <c r="R16" i="2122"/>
  <c r="L16" i="2122"/>
  <c r="D16" i="2122" s="1"/>
  <c r="R15" i="2122"/>
  <c r="R14" i="2122"/>
  <c r="D14" i="2122"/>
  <c r="R13" i="2122"/>
  <c r="D13" i="2122"/>
  <c r="R12" i="2122"/>
  <c r="L12" i="2122"/>
  <c r="D12" i="2122"/>
  <c r="R11" i="2122"/>
  <c r="L11" i="2122"/>
  <c r="D11" i="2122" s="1"/>
  <c r="L9" i="2122"/>
  <c r="D9" i="2122" s="1"/>
  <c r="R6" i="2122"/>
  <c r="R5" i="2122"/>
  <c r="R4" i="2122"/>
  <c r="L15" i="2122" s="1"/>
  <c r="D15" i="2122" s="1"/>
  <c r="R52" i="2121"/>
  <c r="R51" i="2121"/>
  <c r="D50" i="2121"/>
  <c r="R49" i="2121"/>
  <c r="D49" i="2121"/>
  <c r="R48" i="2121"/>
  <c r="D48" i="2121"/>
  <c r="D46" i="2121"/>
  <c r="D45" i="2121"/>
  <c r="R44" i="2121"/>
  <c r="L28" i="2121" s="1"/>
  <c r="D28" i="2121" s="1"/>
  <c r="D44" i="2121"/>
  <c r="R42" i="2121"/>
  <c r="D42" i="2121"/>
  <c r="R41" i="2121"/>
  <c r="D41" i="2121"/>
  <c r="R40" i="2121"/>
  <c r="L8" i="2121" s="1"/>
  <c r="D8" i="2121" s="1"/>
  <c r="D40" i="2121"/>
  <c r="R39" i="2121"/>
  <c r="H39" i="2121"/>
  <c r="D39" i="2121"/>
  <c r="R38" i="2121"/>
  <c r="H38" i="2121"/>
  <c r="D38" i="2121"/>
  <c r="R37" i="2121"/>
  <c r="H37" i="2121"/>
  <c r="D37" i="2121"/>
  <c r="R36" i="2121"/>
  <c r="L10" i="2121" s="1"/>
  <c r="D10" i="2121" s="1"/>
  <c r="H36" i="2121"/>
  <c r="D36" i="2121"/>
  <c r="R35" i="2121"/>
  <c r="L18" i="2121" s="1"/>
  <c r="D18" i="2121" s="1"/>
  <c r="H35" i="2121"/>
  <c r="D35" i="2121"/>
  <c r="R34" i="2121"/>
  <c r="H34" i="2121"/>
  <c r="D34" i="2121"/>
  <c r="R33" i="2121"/>
  <c r="L19" i="2121" s="1"/>
  <c r="D19" i="2121" s="1"/>
  <c r="R32" i="2121"/>
  <c r="R31" i="2121"/>
  <c r="R30" i="2121"/>
  <c r="R29" i="2121"/>
  <c r="R28" i="2121"/>
  <c r="R27" i="2121"/>
  <c r="L27" i="2121"/>
  <c r="D27" i="2121" s="1"/>
  <c r="R26" i="2121"/>
  <c r="L26" i="2121"/>
  <c r="D26" i="2121"/>
  <c r="R25" i="2121"/>
  <c r="L25" i="2121"/>
  <c r="D25" i="2121"/>
  <c r="R24" i="2121"/>
  <c r="L24" i="2121"/>
  <c r="D24" i="2121" s="1"/>
  <c r="R23" i="2121"/>
  <c r="L23" i="2121"/>
  <c r="D23" i="2121" s="1"/>
  <c r="R22" i="2121"/>
  <c r="L22" i="2121"/>
  <c r="D22" i="2121" s="1"/>
  <c r="R21" i="2121"/>
  <c r="L17" i="2121" s="1"/>
  <c r="D17" i="2121" s="1"/>
  <c r="D21" i="2121"/>
  <c r="R20" i="2121"/>
  <c r="L20" i="2121"/>
  <c r="D20" i="2121"/>
  <c r="R19" i="2121"/>
  <c r="R18" i="2121"/>
  <c r="R17" i="2121"/>
  <c r="R16" i="2121"/>
  <c r="R15" i="2121"/>
  <c r="L15" i="2121"/>
  <c r="D15" i="2121"/>
  <c r="R14" i="2121"/>
  <c r="D14" i="2121"/>
  <c r="R13" i="2121"/>
  <c r="D13" i="2121"/>
  <c r="R12" i="2121"/>
  <c r="L12" i="2121"/>
  <c r="D12" i="2121"/>
  <c r="R11" i="2121"/>
  <c r="L11" i="2121"/>
  <c r="D11" i="2121" s="1"/>
  <c r="L9" i="2121"/>
  <c r="D9" i="2121"/>
  <c r="L7" i="2121"/>
  <c r="D7" i="2121"/>
  <c r="R6" i="2121"/>
  <c r="L16" i="2121" s="1"/>
  <c r="D16" i="2121" s="1"/>
  <c r="L6" i="2121"/>
  <c r="D6" i="2121" s="1"/>
  <c r="R5" i="2121"/>
  <c r="R4" i="2121"/>
  <c r="R52" i="2120"/>
  <c r="R51" i="2120"/>
  <c r="D50" i="2120"/>
  <c r="R49" i="2120"/>
  <c r="D49" i="2120"/>
  <c r="R48" i="2120"/>
  <c r="D48" i="2120"/>
  <c r="D46" i="2120"/>
  <c r="D45" i="2120"/>
  <c r="R44" i="2120"/>
  <c r="L28" i="2120" s="1"/>
  <c r="D28" i="2120" s="1"/>
  <c r="D44" i="2120"/>
  <c r="R42" i="2120"/>
  <c r="D42" i="2120"/>
  <c r="R41" i="2120"/>
  <c r="D41" i="2120"/>
  <c r="R40" i="2120"/>
  <c r="L8" i="2120" s="1"/>
  <c r="D8" i="2120" s="1"/>
  <c r="D40" i="2120"/>
  <c r="R39" i="2120"/>
  <c r="H39" i="2120"/>
  <c r="D39" i="2120"/>
  <c r="R38" i="2120"/>
  <c r="H38" i="2120"/>
  <c r="D38" i="2120"/>
  <c r="R37" i="2120"/>
  <c r="H37" i="2120"/>
  <c r="D37" i="2120"/>
  <c r="R36" i="2120"/>
  <c r="H36" i="2120"/>
  <c r="D36" i="2120"/>
  <c r="R35" i="2120"/>
  <c r="H35" i="2120"/>
  <c r="D35" i="2120"/>
  <c r="R34" i="2120"/>
  <c r="H34" i="2120"/>
  <c r="G49" i="2120" s="1"/>
  <c r="D34" i="2120"/>
  <c r="D54" i="2120" s="1"/>
  <c r="H14" i="2120" s="1"/>
  <c r="R33" i="2120"/>
  <c r="L19" i="2120" s="1"/>
  <c r="D19" i="2120" s="1"/>
  <c r="R32" i="2120"/>
  <c r="R31" i="2120"/>
  <c r="R30" i="2120"/>
  <c r="R29" i="2120"/>
  <c r="R28" i="2120"/>
  <c r="R27" i="2120"/>
  <c r="L27" i="2120"/>
  <c r="D27" i="2120"/>
  <c r="R26" i="2120"/>
  <c r="L26" i="2120"/>
  <c r="D26" i="2120"/>
  <c r="R25" i="2120"/>
  <c r="L25" i="2120"/>
  <c r="D25" i="2120" s="1"/>
  <c r="R24" i="2120"/>
  <c r="L24" i="2120"/>
  <c r="D24" i="2120" s="1"/>
  <c r="R23" i="2120"/>
  <c r="L23" i="2120"/>
  <c r="D23" i="2120" s="1"/>
  <c r="R22" i="2120"/>
  <c r="L20" i="2120" s="1"/>
  <c r="D20" i="2120" s="1"/>
  <c r="L22" i="2120"/>
  <c r="D22" i="2120"/>
  <c r="R21" i="2120"/>
  <c r="L21" i="2120"/>
  <c r="D21" i="2120" s="1"/>
  <c r="R20" i="2120"/>
  <c r="R19" i="2120"/>
  <c r="R18" i="2120"/>
  <c r="L18" i="2120"/>
  <c r="D18" i="2120" s="1"/>
  <c r="R17" i="2120"/>
  <c r="L17" i="2120"/>
  <c r="D17" i="2120" s="1"/>
  <c r="R16" i="2120"/>
  <c r="L16" i="2120"/>
  <c r="D16" i="2120" s="1"/>
  <c r="R15" i="2120"/>
  <c r="L15" i="2120"/>
  <c r="D15" i="2120" s="1"/>
  <c r="R14" i="2120"/>
  <c r="D14" i="2120"/>
  <c r="R13" i="2120"/>
  <c r="D13" i="2120"/>
  <c r="R12" i="2120"/>
  <c r="L12" i="2120"/>
  <c r="D12" i="2120" s="1"/>
  <c r="R11" i="2120"/>
  <c r="L11" i="2120"/>
  <c r="D11" i="2120" s="1"/>
  <c r="L10" i="2120"/>
  <c r="D10" i="2120"/>
  <c r="L9" i="2120"/>
  <c r="D9" i="2120" s="1"/>
  <c r="L7" i="2120"/>
  <c r="D7" i="2120" s="1"/>
  <c r="R6" i="2120"/>
  <c r="L6" i="2120"/>
  <c r="D6" i="2120" s="1"/>
  <c r="R5" i="2120"/>
  <c r="R4" i="2120"/>
  <c r="R52" i="2119"/>
  <c r="R51" i="2119"/>
  <c r="D50" i="2119"/>
  <c r="R49" i="2119"/>
  <c r="G49" i="2119"/>
  <c r="D49" i="2119"/>
  <c r="R48" i="2119"/>
  <c r="D48" i="2119"/>
  <c r="D46" i="2119"/>
  <c r="D45" i="2119"/>
  <c r="D44" i="2119"/>
  <c r="R42" i="2119"/>
  <c r="D42" i="2119"/>
  <c r="R41" i="2119"/>
  <c r="L7" i="2119" s="1"/>
  <c r="D7" i="2119" s="1"/>
  <c r="D41" i="2119"/>
  <c r="R40" i="2119"/>
  <c r="D40" i="2119"/>
  <c r="R39" i="2119"/>
  <c r="D39" i="2119"/>
  <c r="R38" i="2119"/>
  <c r="D38" i="2119"/>
  <c r="R37" i="2119"/>
  <c r="D37" i="2119"/>
  <c r="R36" i="2119"/>
  <c r="D36" i="2119"/>
  <c r="R35" i="2119"/>
  <c r="L19" i="2119" s="1"/>
  <c r="D19" i="2119" s="1"/>
  <c r="D35" i="2119"/>
  <c r="D54" i="2119" s="1"/>
  <c r="H14" i="2119" s="1"/>
  <c r="R34" i="2119"/>
  <c r="D34" i="2119"/>
  <c r="R33" i="2119"/>
  <c r="L23" i="2119" s="1"/>
  <c r="D23" i="2119" s="1"/>
  <c r="R32" i="2119"/>
  <c r="R31" i="2119"/>
  <c r="R30" i="2119"/>
  <c r="R29" i="2119"/>
  <c r="R28" i="2119"/>
  <c r="D28" i="2119"/>
  <c r="R27" i="2119"/>
  <c r="D27" i="2119"/>
  <c r="R26" i="2119"/>
  <c r="L26" i="2119"/>
  <c r="D26" i="2119"/>
  <c r="R25" i="2119"/>
  <c r="L25" i="2119"/>
  <c r="D25" i="2119"/>
  <c r="R24" i="2119"/>
  <c r="D24" i="2119"/>
  <c r="R23" i="2119"/>
  <c r="R22" i="2119"/>
  <c r="L22" i="2119"/>
  <c r="D22" i="2119" s="1"/>
  <c r="R21" i="2119"/>
  <c r="D21" i="2119"/>
  <c r="R20" i="2119"/>
  <c r="L20" i="2119"/>
  <c r="D20" i="2119"/>
  <c r="R19" i="2119"/>
  <c r="R18" i="2119"/>
  <c r="D18" i="2119"/>
  <c r="R17" i="2119"/>
  <c r="D17" i="2119"/>
  <c r="R16" i="2119"/>
  <c r="L16" i="2119"/>
  <c r="D16" i="2119" s="1"/>
  <c r="S15" i="2119"/>
  <c r="R15" i="2119"/>
  <c r="D15" i="2119"/>
  <c r="S14" i="2119"/>
  <c r="R14" i="2119"/>
  <c r="D14" i="2119"/>
  <c r="R13" i="2119"/>
  <c r="D13" i="2119"/>
  <c r="R12" i="2119"/>
  <c r="L12" i="2119"/>
  <c r="D12" i="2119"/>
  <c r="R11" i="2119"/>
  <c r="L11" i="2119"/>
  <c r="D11" i="2119" s="1"/>
  <c r="L10" i="2119"/>
  <c r="D10" i="2119" s="1"/>
  <c r="L9" i="2119"/>
  <c r="D9" i="2119" s="1"/>
  <c r="L8" i="2119"/>
  <c r="D8" i="2119" s="1"/>
  <c r="R6" i="2119"/>
  <c r="L6" i="2119"/>
  <c r="D6" i="2119"/>
  <c r="D29" i="2119" s="1"/>
  <c r="H13" i="2119" s="1"/>
  <c r="H15" i="2119" s="1"/>
  <c r="H29" i="2119" s="1"/>
  <c r="R5" i="2119"/>
  <c r="R4" i="2119"/>
  <c r="R52" i="2118"/>
  <c r="R51" i="2118"/>
  <c r="D50" i="2118"/>
  <c r="R49" i="2118"/>
  <c r="D49" i="2118"/>
  <c r="R48" i="2118"/>
  <c r="D48" i="2118"/>
  <c r="D46" i="2118"/>
  <c r="D45" i="2118"/>
  <c r="R44" i="2118"/>
  <c r="L28" i="2118" s="1"/>
  <c r="D28" i="2118" s="1"/>
  <c r="D44" i="2118"/>
  <c r="R42" i="2118"/>
  <c r="D42" i="2118"/>
  <c r="R41" i="2118"/>
  <c r="D41" i="2118"/>
  <c r="R40" i="2118"/>
  <c r="L8" i="2118" s="1"/>
  <c r="D8" i="2118" s="1"/>
  <c r="D40" i="2118"/>
  <c r="R39" i="2118"/>
  <c r="H39" i="2118"/>
  <c r="D39" i="2118"/>
  <c r="R38" i="2118"/>
  <c r="H38" i="2118"/>
  <c r="D38" i="2118"/>
  <c r="R37" i="2118"/>
  <c r="H37" i="2118"/>
  <c r="D37" i="2118"/>
  <c r="R36" i="2118"/>
  <c r="H36" i="2118"/>
  <c r="D36" i="2118"/>
  <c r="R35" i="2118"/>
  <c r="H35" i="2118"/>
  <c r="D35" i="2118"/>
  <c r="R34" i="2118"/>
  <c r="L12" i="2118" s="1"/>
  <c r="D12" i="2118" s="1"/>
  <c r="H34" i="2118"/>
  <c r="D34" i="2118"/>
  <c r="R33" i="2118"/>
  <c r="L19" i="2118" s="1"/>
  <c r="D19" i="2118" s="1"/>
  <c r="R32" i="2118"/>
  <c r="L11" i="2118" s="1"/>
  <c r="D11" i="2118" s="1"/>
  <c r="R31" i="2118"/>
  <c r="R30" i="2118"/>
  <c r="R29" i="2118"/>
  <c r="R28" i="2118"/>
  <c r="R27" i="2118"/>
  <c r="D27" i="2118"/>
  <c r="R26" i="2118"/>
  <c r="L26" i="2118"/>
  <c r="D26" i="2118"/>
  <c r="R25" i="2118"/>
  <c r="L25" i="2118"/>
  <c r="D25" i="2118" s="1"/>
  <c r="R24" i="2118"/>
  <c r="L24" i="2118"/>
  <c r="D24" i="2118" s="1"/>
  <c r="R23" i="2118"/>
  <c r="L23" i="2118"/>
  <c r="D23" i="2118" s="1"/>
  <c r="R22" i="2118"/>
  <c r="L22" i="2118"/>
  <c r="D22" i="2118"/>
  <c r="R21" i="2118"/>
  <c r="L21" i="2118"/>
  <c r="D21" i="2118" s="1"/>
  <c r="R20" i="2118"/>
  <c r="L20" i="2118"/>
  <c r="D20" i="2118" s="1"/>
  <c r="R19" i="2118"/>
  <c r="R18" i="2118"/>
  <c r="L18" i="2118"/>
  <c r="D18" i="2118"/>
  <c r="R17" i="2118"/>
  <c r="L17" i="2118"/>
  <c r="D17" i="2118" s="1"/>
  <c r="R16" i="2118"/>
  <c r="R15" i="2118"/>
  <c r="L15" i="2118"/>
  <c r="D15" i="2118" s="1"/>
  <c r="R14" i="2118"/>
  <c r="D14" i="2118"/>
  <c r="R13" i="2118"/>
  <c r="D13" i="2118"/>
  <c r="R12" i="2118"/>
  <c r="R11" i="2118"/>
  <c r="L10" i="2118"/>
  <c r="D10" i="2118"/>
  <c r="L9" i="2118"/>
  <c r="D9" i="2118" s="1"/>
  <c r="L7" i="2118"/>
  <c r="D7" i="2118" s="1"/>
  <c r="R6" i="2118"/>
  <c r="L16" i="2118" s="1"/>
  <c r="D16" i="2118" s="1"/>
  <c r="L6" i="2118"/>
  <c r="D6" i="2118" s="1"/>
  <c r="R5" i="2118"/>
  <c r="R4" i="2118"/>
  <c r="R52" i="2117"/>
  <c r="R51" i="2117"/>
  <c r="D50" i="2117"/>
  <c r="R49" i="2117"/>
  <c r="D49" i="2117"/>
  <c r="R48" i="2117"/>
  <c r="D48" i="2117"/>
  <c r="D46" i="2117"/>
  <c r="D45" i="2117"/>
  <c r="R44" i="2117"/>
  <c r="L28" i="2117" s="1"/>
  <c r="D28" i="2117" s="1"/>
  <c r="D44" i="2117"/>
  <c r="R42" i="2117"/>
  <c r="D42" i="2117"/>
  <c r="R41" i="2117"/>
  <c r="L7" i="2117" s="1"/>
  <c r="D7" i="2117" s="1"/>
  <c r="D41" i="2117"/>
  <c r="R40" i="2117"/>
  <c r="D40" i="2117"/>
  <c r="R39" i="2117"/>
  <c r="H39" i="2117"/>
  <c r="D39" i="2117"/>
  <c r="R38" i="2117"/>
  <c r="H38" i="2117"/>
  <c r="D38" i="2117"/>
  <c r="R37" i="2117"/>
  <c r="H37" i="2117"/>
  <c r="D37" i="2117"/>
  <c r="R36" i="2117"/>
  <c r="L10" i="2117" s="1"/>
  <c r="D10" i="2117" s="1"/>
  <c r="H36" i="2117"/>
  <c r="D36" i="2117"/>
  <c r="R35" i="2117"/>
  <c r="L18" i="2117" s="1"/>
  <c r="D18" i="2117" s="1"/>
  <c r="H35" i="2117"/>
  <c r="D35" i="2117"/>
  <c r="R34" i="2117"/>
  <c r="L12" i="2117" s="1"/>
  <c r="D12" i="2117" s="1"/>
  <c r="H34" i="2117"/>
  <c r="D34" i="2117"/>
  <c r="R33" i="2117"/>
  <c r="R32" i="2117"/>
  <c r="L11" i="2117" s="1"/>
  <c r="D11" i="2117" s="1"/>
  <c r="R31" i="2117"/>
  <c r="R30" i="2117"/>
  <c r="R29" i="2117"/>
  <c r="R28" i="2117"/>
  <c r="R27" i="2117"/>
  <c r="L27" i="2117"/>
  <c r="D27" i="2117"/>
  <c r="R26" i="2117"/>
  <c r="L26" i="2117"/>
  <c r="D26" i="2117"/>
  <c r="R25" i="2117"/>
  <c r="L25" i="2117"/>
  <c r="D25" i="2117"/>
  <c r="R24" i="2117"/>
  <c r="L24" i="2117"/>
  <c r="D24" i="2117" s="1"/>
  <c r="R23" i="2117"/>
  <c r="L23" i="2117"/>
  <c r="D23" i="2117" s="1"/>
  <c r="R22" i="2117"/>
  <c r="L22" i="2117"/>
  <c r="D22" i="2117" s="1"/>
  <c r="R21" i="2117"/>
  <c r="L17" i="2117" s="1"/>
  <c r="D17" i="2117" s="1"/>
  <c r="D21" i="2117"/>
  <c r="R20" i="2117"/>
  <c r="L20" i="2117"/>
  <c r="D20" i="2117" s="1"/>
  <c r="R19" i="2117"/>
  <c r="L19" i="2117"/>
  <c r="D19" i="2117" s="1"/>
  <c r="R18" i="2117"/>
  <c r="R17" i="2117"/>
  <c r="R16" i="2117"/>
  <c r="R15" i="2117"/>
  <c r="L15" i="2117"/>
  <c r="D15" i="2117"/>
  <c r="R14" i="2117"/>
  <c r="D14" i="2117"/>
  <c r="R13" i="2117"/>
  <c r="D13" i="2117"/>
  <c r="R12" i="2117"/>
  <c r="R11" i="2117"/>
  <c r="L9" i="2117"/>
  <c r="D9" i="2117" s="1"/>
  <c r="L8" i="2117"/>
  <c r="D8" i="2117"/>
  <c r="R6" i="2117"/>
  <c r="L16" i="2117" s="1"/>
  <c r="D16" i="2117" s="1"/>
  <c r="L6" i="2117"/>
  <c r="D6" i="2117"/>
  <c r="R5" i="2117"/>
  <c r="R4" i="2117"/>
  <c r="R52" i="2116"/>
  <c r="R51" i="2116"/>
  <c r="D50" i="2116"/>
  <c r="R49" i="2116"/>
  <c r="D49" i="2116"/>
  <c r="R48" i="2116"/>
  <c r="D48" i="2116"/>
  <c r="D46" i="2116"/>
  <c r="D45" i="2116"/>
  <c r="R44" i="2116"/>
  <c r="L28" i="2116" s="1"/>
  <c r="D28" i="2116" s="1"/>
  <c r="D44" i="2116"/>
  <c r="R42" i="2116"/>
  <c r="D42" i="2116"/>
  <c r="R41" i="2116"/>
  <c r="L7" i="2116" s="1"/>
  <c r="D7" i="2116" s="1"/>
  <c r="D41" i="2116"/>
  <c r="R40" i="2116"/>
  <c r="D40" i="2116"/>
  <c r="R39" i="2116"/>
  <c r="H39" i="2116"/>
  <c r="D39" i="2116"/>
  <c r="R38" i="2116"/>
  <c r="H38" i="2116"/>
  <c r="D38" i="2116"/>
  <c r="R37" i="2116"/>
  <c r="H37" i="2116"/>
  <c r="D37" i="2116"/>
  <c r="R36" i="2116"/>
  <c r="H36" i="2116"/>
  <c r="D36" i="2116"/>
  <c r="R35" i="2116"/>
  <c r="L18" i="2116" s="1"/>
  <c r="D18" i="2116" s="1"/>
  <c r="H35" i="2116"/>
  <c r="D35" i="2116"/>
  <c r="R34" i="2116"/>
  <c r="H34" i="2116"/>
  <c r="D34" i="2116"/>
  <c r="R33" i="2116"/>
  <c r="L19" i="2116" s="1"/>
  <c r="D19" i="2116" s="1"/>
  <c r="R32" i="2116"/>
  <c r="L11" i="2116" s="1"/>
  <c r="D11" i="2116" s="1"/>
  <c r="R31" i="2116"/>
  <c r="R30" i="2116"/>
  <c r="R29" i="2116"/>
  <c r="R28" i="2116"/>
  <c r="R27" i="2116"/>
  <c r="L27" i="2116"/>
  <c r="D27" i="2116"/>
  <c r="R26" i="2116"/>
  <c r="L26" i="2116"/>
  <c r="D26" i="2116"/>
  <c r="R25" i="2116"/>
  <c r="L25" i="2116"/>
  <c r="D25" i="2116"/>
  <c r="R24" i="2116"/>
  <c r="L24" i="2116"/>
  <c r="D24" i="2116" s="1"/>
  <c r="R23" i="2116"/>
  <c r="L23" i="2116"/>
  <c r="D23" i="2116" s="1"/>
  <c r="R22" i="2116"/>
  <c r="L22" i="2116"/>
  <c r="D22" i="2116" s="1"/>
  <c r="R21" i="2116"/>
  <c r="L21" i="2116"/>
  <c r="D21" i="2116"/>
  <c r="R20" i="2116"/>
  <c r="L20" i="2116"/>
  <c r="D20" i="2116" s="1"/>
  <c r="R19" i="2116"/>
  <c r="R18" i="2116"/>
  <c r="R17" i="2116"/>
  <c r="L17" i="2116"/>
  <c r="D17" i="2116"/>
  <c r="R16" i="2116"/>
  <c r="R15" i="2116"/>
  <c r="L15" i="2116"/>
  <c r="D15" i="2116" s="1"/>
  <c r="R14" i="2116"/>
  <c r="D14" i="2116"/>
  <c r="R13" i="2116"/>
  <c r="D13" i="2116"/>
  <c r="R12" i="2116"/>
  <c r="L12" i="2116"/>
  <c r="D12" i="2116"/>
  <c r="R11" i="2116"/>
  <c r="L10" i="2116"/>
  <c r="D10" i="2116"/>
  <c r="L9" i="2116"/>
  <c r="D9" i="2116" s="1"/>
  <c r="L8" i="2116"/>
  <c r="D8" i="2116" s="1"/>
  <c r="R6" i="2116"/>
  <c r="L16" i="2116" s="1"/>
  <c r="D16" i="2116" s="1"/>
  <c r="L6" i="2116"/>
  <c r="D6" i="2116" s="1"/>
  <c r="R5" i="2116"/>
  <c r="R4" i="2116"/>
  <c r="R52" i="2115"/>
  <c r="R51" i="2115"/>
  <c r="D50" i="2115"/>
  <c r="R49" i="2115"/>
  <c r="G49" i="2115"/>
  <c r="D49" i="2115"/>
  <c r="R48" i="2115"/>
  <c r="D48" i="2115"/>
  <c r="D46" i="2115"/>
  <c r="D45" i="2115"/>
  <c r="D44" i="2115"/>
  <c r="R42" i="2115"/>
  <c r="L6" i="2115" s="1"/>
  <c r="D6" i="2115" s="1"/>
  <c r="D42" i="2115"/>
  <c r="R41" i="2115"/>
  <c r="L7" i="2115" s="1"/>
  <c r="D7" i="2115" s="1"/>
  <c r="D41" i="2115"/>
  <c r="R40" i="2115"/>
  <c r="L8" i="2115" s="1"/>
  <c r="D8" i="2115" s="1"/>
  <c r="D40" i="2115"/>
  <c r="R39" i="2115"/>
  <c r="D39" i="2115"/>
  <c r="R38" i="2115"/>
  <c r="L9" i="2115" s="1"/>
  <c r="D9" i="2115" s="1"/>
  <c r="D38" i="2115"/>
  <c r="R37" i="2115"/>
  <c r="D37" i="2115"/>
  <c r="R36" i="2115"/>
  <c r="L10" i="2115" s="1"/>
  <c r="D10" i="2115" s="1"/>
  <c r="D36" i="2115"/>
  <c r="R35" i="2115"/>
  <c r="L19" i="2115" s="1"/>
  <c r="D19" i="2115" s="1"/>
  <c r="D35" i="2115"/>
  <c r="R34" i="2115"/>
  <c r="D34" i="2115"/>
  <c r="D54" i="2115" s="1"/>
  <c r="H14" i="2115" s="1"/>
  <c r="R33" i="2115"/>
  <c r="R32" i="2115"/>
  <c r="R31" i="2115"/>
  <c r="R30" i="2115"/>
  <c r="R29" i="2115"/>
  <c r="R28" i="2115"/>
  <c r="D28" i="2115"/>
  <c r="R27" i="2115"/>
  <c r="D27" i="2115"/>
  <c r="R26" i="2115"/>
  <c r="L26" i="2115"/>
  <c r="D26" i="2115" s="1"/>
  <c r="R25" i="2115"/>
  <c r="L25" i="2115"/>
  <c r="D25" i="2115"/>
  <c r="R24" i="2115"/>
  <c r="D24" i="2115"/>
  <c r="R23" i="2115"/>
  <c r="L23" i="2115"/>
  <c r="D23" i="2115"/>
  <c r="R22" i="2115"/>
  <c r="L22" i="2115"/>
  <c r="D22" i="2115" s="1"/>
  <c r="R21" i="2115"/>
  <c r="D21" i="2115"/>
  <c r="R20" i="2115"/>
  <c r="L20" i="2115"/>
  <c r="D20" i="2115" s="1"/>
  <c r="R19" i="2115"/>
  <c r="R18" i="2115"/>
  <c r="D18" i="2115"/>
  <c r="R17" i="2115"/>
  <c r="D17" i="2115"/>
  <c r="R16" i="2115"/>
  <c r="L16" i="2115"/>
  <c r="D16" i="2115" s="1"/>
  <c r="S15" i="2115"/>
  <c r="R15" i="2115"/>
  <c r="D15" i="2115"/>
  <c r="S14" i="2115"/>
  <c r="R14" i="2115"/>
  <c r="D14" i="2115"/>
  <c r="R13" i="2115"/>
  <c r="D13" i="2115"/>
  <c r="R12" i="2115"/>
  <c r="L12" i="2115"/>
  <c r="D12" i="2115"/>
  <c r="R11" i="2115"/>
  <c r="L11" i="2115"/>
  <c r="D11" i="2115" s="1"/>
  <c r="R6" i="2115"/>
  <c r="R5" i="2115"/>
  <c r="R4" i="2115"/>
  <c r="R52" i="2114"/>
  <c r="R51" i="2114"/>
  <c r="D50" i="2114"/>
  <c r="R49" i="2114"/>
  <c r="D49" i="2114"/>
  <c r="R48" i="2114"/>
  <c r="D48" i="2114"/>
  <c r="D46" i="2114"/>
  <c r="D45" i="2114"/>
  <c r="R44" i="2114"/>
  <c r="L28" i="2114" s="1"/>
  <c r="D28" i="2114" s="1"/>
  <c r="D44" i="2114"/>
  <c r="R42" i="2114"/>
  <c r="L6" i="2114" s="1"/>
  <c r="D6" i="2114" s="1"/>
  <c r="D42" i="2114"/>
  <c r="R41" i="2114"/>
  <c r="D41" i="2114"/>
  <c r="R40" i="2114"/>
  <c r="L8" i="2114" s="1"/>
  <c r="D8" i="2114" s="1"/>
  <c r="D40" i="2114"/>
  <c r="R39" i="2114"/>
  <c r="H39" i="2114"/>
  <c r="D39" i="2114"/>
  <c r="R38" i="2114"/>
  <c r="H38" i="2114"/>
  <c r="D38" i="2114"/>
  <c r="R37" i="2114"/>
  <c r="H37" i="2114"/>
  <c r="D37" i="2114"/>
  <c r="R36" i="2114"/>
  <c r="H36" i="2114"/>
  <c r="D36" i="2114"/>
  <c r="R35" i="2114"/>
  <c r="H35" i="2114"/>
  <c r="D35" i="2114"/>
  <c r="R34" i="2114"/>
  <c r="L12" i="2114" s="1"/>
  <c r="D12" i="2114" s="1"/>
  <c r="H34" i="2114"/>
  <c r="G49" i="2114" s="1"/>
  <c r="D34" i="2114"/>
  <c r="D54" i="2114" s="1"/>
  <c r="H14" i="2114" s="1"/>
  <c r="R33" i="2114"/>
  <c r="R32" i="2114"/>
  <c r="R31" i="2114"/>
  <c r="R30" i="2114"/>
  <c r="R29" i="2114"/>
  <c r="R28" i="2114"/>
  <c r="R27" i="2114"/>
  <c r="L27" i="2114"/>
  <c r="D27" i="2114"/>
  <c r="R26" i="2114"/>
  <c r="L26" i="2114"/>
  <c r="D26" i="2114" s="1"/>
  <c r="R25" i="2114"/>
  <c r="L25" i="2114"/>
  <c r="D25" i="2114"/>
  <c r="R24" i="2114"/>
  <c r="L24" i="2114"/>
  <c r="D24" i="2114"/>
  <c r="R23" i="2114"/>
  <c r="L23" i="2114"/>
  <c r="D23" i="2114"/>
  <c r="R22" i="2114"/>
  <c r="L20" i="2114" s="1"/>
  <c r="D20" i="2114" s="1"/>
  <c r="L22" i="2114"/>
  <c r="D22" i="2114"/>
  <c r="R21" i="2114"/>
  <c r="L21" i="2114"/>
  <c r="D21" i="2114"/>
  <c r="R20" i="2114"/>
  <c r="R19" i="2114"/>
  <c r="L19" i="2114"/>
  <c r="D19" i="2114" s="1"/>
  <c r="R18" i="2114"/>
  <c r="L18" i="2114"/>
  <c r="D18" i="2114" s="1"/>
  <c r="R17" i="2114"/>
  <c r="L17" i="2114"/>
  <c r="D17" i="2114" s="1"/>
  <c r="R16" i="2114"/>
  <c r="L16" i="2114"/>
  <c r="D16" i="2114"/>
  <c r="R15" i="2114"/>
  <c r="L15" i="2114"/>
  <c r="D15" i="2114"/>
  <c r="R14" i="2114"/>
  <c r="D14" i="2114"/>
  <c r="R13" i="2114"/>
  <c r="D13" i="2114"/>
  <c r="R12" i="2114"/>
  <c r="R11" i="2114"/>
  <c r="L11" i="2114"/>
  <c r="D11" i="2114"/>
  <c r="L10" i="2114"/>
  <c r="D10" i="2114" s="1"/>
  <c r="L9" i="2114"/>
  <c r="D9" i="2114" s="1"/>
  <c r="L7" i="2114"/>
  <c r="D7" i="2114"/>
  <c r="R6" i="2114"/>
  <c r="R5" i="2114"/>
  <c r="R4" i="2114"/>
  <c r="R52" i="2113"/>
  <c r="R51" i="2113"/>
  <c r="D50" i="2113"/>
  <c r="R49" i="2113"/>
  <c r="D49" i="2113"/>
  <c r="R48" i="2113"/>
  <c r="D48" i="2113"/>
  <c r="D46" i="2113"/>
  <c r="D45" i="2113"/>
  <c r="R44" i="2113"/>
  <c r="D44" i="2113"/>
  <c r="R42" i="2113"/>
  <c r="D42" i="2113"/>
  <c r="R41" i="2113"/>
  <c r="D41" i="2113"/>
  <c r="R40" i="2113"/>
  <c r="D40" i="2113"/>
  <c r="R39" i="2113"/>
  <c r="H39" i="2113"/>
  <c r="D39" i="2113"/>
  <c r="R38" i="2113"/>
  <c r="L9" i="2113" s="1"/>
  <c r="D9" i="2113" s="1"/>
  <c r="H38" i="2113"/>
  <c r="D38" i="2113"/>
  <c r="R37" i="2113"/>
  <c r="H37" i="2113"/>
  <c r="D37" i="2113"/>
  <c r="R36" i="2113"/>
  <c r="H36" i="2113"/>
  <c r="D36" i="2113"/>
  <c r="R35" i="2113"/>
  <c r="H35" i="2113"/>
  <c r="D35" i="2113"/>
  <c r="R34" i="2113"/>
  <c r="L12" i="2113" s="1"/>
  <c r="D12" i="2113" s="1"/>
  <c r="H34" i="2113"/>
  <c r="G49" i="2113" s="1"/>
  <c r="D34" i="2113"/>
  <c r="D54" i="2113" s="1"/>
  <c r="H14" i="2113" s="1"/>
  <c r="R33" i="2113"/>
  <c r="L19" i="2113" s="1"/>
  <c r="D19" i="2113" s="1"/>
  <c r="R32" i="2113"/>
  <c r="L11" i="2113" s="1"/>
  <c r="D11" i="2113" s="1"/>
  <c r="R31" i="2113"/>
  <c r="R30" i="2113"/>
  <c r="R29" i="2113"/>
  <c r="R28" i="2113"/>
  <c r="L28" i="2113"/>
  <c r="D28" i="2113"/>
  <c r="R27" i="2113"/>
  <c r="L27" i="2113"/>
  <c r="D27" i="2113"/>
  <c r="R26" i="2113"/>
  <c r="L26" i="2113"/>
  <c r="D26" i="2113" s="1"/>
  <c r="R25" i="2113"/>
  <c r="L25" i="2113"/>
  <c r="D25" i="2113" s="1"/>
  <c r="R24" i="2113"/>
  <c r="L24" i="2113"/>
  <c r="D24" i="2113"/>
  <c r="R23" i="2113"/>
  <c r="L23" i="2113"/>
  <c r="D23" i="2113" s="1"/>
  <c r="R22" i="2113"/>
  <c r="L22" i="2113"/>
  <c r="D22" i="2113"/>
  <c r="R21" i="2113"/>
  <c r="L17" i="2113" s="1"/>
  <c r="D17" i="2113" s="1"/>
  <c r="D21" i="2113"/>
  <c r="R20" i="2113"/>
  <c r="L20" i="2113"/>
  <c r="D20" i="2113" s="1"/>
  <c r="R19" i="2113"/>
  <c r="R18" i="2113"/>
  <c r="L18" i="2113"/>
  <c r="D18" i="2113" s="1"/>
  <c r="R17" i="2113"/>
  <c r="R16" i="2113"/>
  <c r="R15" i="2113"/>
  <c r="L15" i="2113"/>
  <c r="D15" i="2113" s="1"/>
  <c r="R14" i="2113"/>
  <c r="D14" i="2113"/>
  <c r="R13" i="2113"/>
  <c r="D13" i="2113"/>
  <c r="R12" i="2113"/>
  <c r="R11" i="2113"/>
  <c r="L10" i="2113"/>
  <c r="D10" i="2113"/>
  <c r="L8" i="2113"/>
  <c r="D8" i="2113" s="1"/>
  <c r="L7" i="2113"/>
  <c r="D7" i="2113" s="1"/>
  <c r="R6" i="2113"/>
  <c r="L16" i="2113" s="1"/>
  <c r="D16" i="2113" s="1"/>
  <c r="L6" i="2113"/>
  <c r="D6" i="2113"/>
  <c r="R5" i="2113"/>
  <c r="R4" i="2113"/>
  <c r="R52" i="2112"/>
  <c r="R51" i="2112"/>
  <c r="D50" i="2112"/>
  <c r="R49" i="2112"/>
  <c r="D49" i="2112"/>
  <c r="R48" i="2112"/>
  <c r="D48" i="2112"/>
  <c r="D46" i="2112"/>
  <c r="D45" i="2112"/>
  <c r="R44" i="2112"/>
  <c r="L28" i="2112" s="1"/>
  <c r="D28" i="2112" s="1"/>
  <c r="D44" i="2112"/>
  <c r="R42" i="2112"/>
  <c r="D42" i="2112"/>
  <c r="R41" i="2112"/>
  <c r="D41" i="2112"/>
  <c r="R40" i="2112"/>
  <c r="L8" i="2112" s="1"/>
  <c r="D8" i="2112" s="1"/>
  <c r="D40" i="2112"/>
  <c r="R39" i="2112"/>
  <c r="H39" i="2112"/>
  <c r="D39" i="2112"/>
  <c r="R38" i="2112"/>
  <c r="L9" i="2112" s="1"/>
  <c r="D9" i="2112" s="1"/>
  <c r="H38" i="2112"/>
  <c r="D38" i="2112"/>
  <c r="R37" i="2112"/>
  <c r="H37" i="2112"/>
  <c r="D37" i="2112"/>
  <c r="R36" i="2112"/>
  <c r="L10" i="2112" s="1"/>
  <c r="D10" i="2112" s="1"/>
  <c r="H36" i="2112"/>
  <c r="D36" i="2112"/>
  <c r="R35" i="2112"/>
  <c r="H35" i="2112"/>
  <c r="D35" i="2112"/>
  <c r="R34" i="2112"/>
  <c r="H34" i="2112"/>
  <c r="D34" i="2112"/>
  <c r="R33" i="2112"/>
  <c r="L19" i="2112" s="1"/>
  <c r="D19" i="2112" s="1"/>
  <c r="R32" i="2112"/>
  <c r="L11" i="2112" s="1"/>
  <c r="D11" i="2112" s="1"/>
  <c r="R31" i="2112"/>
  <c r="R30" i="2112"/>
  <c r="R29" i="2112"/>
  <c r="R28" i="2112"/>
  <c r="R27" i="2112"/>
  <c r="L27" i="2112"/>
  <c r="D27" i="2112"/>
  <c r="R26" i="2112"/>
  <c r="L26" i="2112"/>
  <c r="D26" i="2112"/>
  <c r="R25" i="2112"/>
  <c r="L25" i="2112"/>
  <c r="D25" i="2112" s="1"/>
  <c r="R24" i="2112"/>
  <c r="L24" i="2112"/>
  <c r="D24" i="2112"/>
  <c r="R23" i="2112"/>
  <c r="L23" i="2112"/>
  <c r="D23" i="2112" s="1"/>
  <c r="R22" i="2112"/>
  <c r="L22" i="2112"/>
  <c r="D22" i="2112"/>
  <c r="R21" i="2112"/>
  <c r="L21" i="2112"/>
  <c r="D21" i="2112"/>
  <c r="R20" i="2112"/>
  <c r="L20" i="2112"/>
  <c r="D20" i="2112"/>
  <c r="R19" i="2112"/>
  <c r="R18" i="2112"/>
  <c r="L18" i="2112"/>
  <c r="D18" i="2112"/>
  <c r="R17" i="2112"/>
  <c r="L17" i="2112"/>
  <c r="D17" i="2112" s="1"/>
  <c r="R16" i="2112"/>
  <c r="R15" i="2112"/>
  <c r="L15" i="2112"/>
  <c r="D15" i="2112"/>
  <c r="R14" i="2112"/>
  <c r="D14" i="2112"/>
  <c r="R13" i="2112"/>
  <c r="D13" i="2112"/>
  <c r="R12" i="2112"/>
  <c r="L12" i="2112"/>
  <c r="D12" i="2112" s="1"/>
  <c r="R11" i="2112"/>
  <c r="L7" i="2112"/>
  <c r="D7" i="2112"/>
  <c r="R6" i="2112"/>
  <c r="L16" i="2112" s="1"/>
  <c r="D16" i="2112" s="1"/>
  <c r="L6" i="2112"/>
  <c r="D6" i="2112" s="1"/>
  <c r="R5" i="2112"/>
  <c r="R4" i="2112"/>
  <c r="R52" i="2111"/>
  <c r="R51" i="2111"/>
  <c r="D50" i="2111"/>
  <c r="R49" i="2111"/>
  <c r="G49" i="2111"/>
  <c r="D49" i="2111"/>
  <c r="R48" i="2111"/>
  <c r="D48" i="2111"/>
  <c r="D46" i="2111"/>
  <c r="D45" i="2111"/>
  <c r="D44" i="2111"/>
  <c r="R42" i="2111"/>
  <c r="D42" i="2111"/>
  <c r="R41" i="2111"/>
  <c r="L7" i="2111" s="1"/>
  <c r="D7" i="2111" s="1"/>
  <c r="D41" i="2111"/>
  <c r="R40" i="2111"/>
  <c r="L8" i="2111" s="1"/>
  <c r="D8" i="2111" s="1"/>
  <c r="D40" i="2111"/>
  <c r="R39" i="2111"/>
  <c r="D39" i="2111"/>
  <c r="R38" i="2111"/>
  <c r="L9" i="2111" s="1"/>
  <c r="D9" i="2111" s="1"/>
  <c r="D38" i="2111"/>
  <c r="R37" i="2111"/>
  <c r="D37" i="2111"/>
  <c r="R36" i="2111"/>
  <c r="L10" i="2111" s="1"/>
  <c r="D10" i="2111" s="1"/>
  <c r="D36" i="2111"/>
  <c r="R35" i="2111"/>
  <c r="L19" i="2111" s="1"/>
  <c r="D19" i="2111" s="1"/>
  <c r="D35" i="2111"/>
  <c r="D54" i="2111" s="1"/>
  <c r="H14" i="2111" s="1"/>
  <c r="R34" i="2111"/>
  <c r="D34" i="2111"/>
  <c r="R33" i="2111"/>
  <c r="R32" i="2111"/>
  <c r="L11" i="2111" s="1"/>
  <c r="D11" i="2111" s="1"/>
  <c r="R31" i="2111"/>
  <c r="R30" i="2111"/>
  <c r="R29" i="2111"/>
  <c r="R28" i="2111"/>
  <c r="D28" i="2111"/>
  <c r="R27" i="2111"/>
  <c r="D27" i="2111"/>
  <c r="R26" i="2111"/>
  <c r="L26" i="2111"/>
  <c r="D26" i="2111"/>
  <c r="R25" i="2111"/>
  <c r="L25" i="2111"/>
  <c r="D25" i="2111"/>
  <c r="R24" i="2111"/>
  <c r="D24" i="2111"/>
  <c r="R23" i="2111"/>
  <c r="L23" i="2111"/>
  <c r="D23" i="2111"/>
  <c r="R22" i="2111"/>
  <c r="L22" i="2111"/>
  <c r="D22" i="2111" s="1"/>
  <c r="R21" i="2111"/>
  <c r="D21" i="2111"/>
  <c r="R20" i="2111"/>
  <c r="L20" i="2111"/>
  <c r="D20" i="2111"/>
  <c r="R19" i="2111"/>
  <c r="R18" i="2111"/>
  <c r="D18" i="2111"/>
  <c r="R17" i="2111"/>
  <c r="D17" i="2111"/>
  <c r="R16" i="2111"/>
  <c r="L16" i="2111"/>
  <c r="D16" i="2111" s="1"/>
  <c r="S15" i="2111"/>
  <c r="R15" i="2111"/>
  <c r="D15" i="2111"/>
  <c r="S14" i="2111"/>
  <c r="R14" i="2111"/>
  <c r="D14" i="2111"/>
  <c r="R13" i="2111"/>
  <c r="D13" i="2111"/>
  <c r="R12" i="2111"/>
  <c r="L12" i="2111"/>
  <c r="D12" i="2111"/>
  <c r="R11" i="2111"/>
  <c r="R6" i="2111"/>
  <c r="L6" i="2111"/>
  <c r="D6" i="2111"/>
  <c r="R5" i="2111"/>
  <c r="R4" i="2111"/>
  <c r="R52" i="2110"/>
  <c r="R51" i="2110"/>
  <c r="D50" i="2110"/>
  <c r="R49" i="2110"/>
  <c r="D49" i="2110"/>
  <c r="R48" i="2110"/>
  <c r="D48" i="2110"/>
  <c r="D46" i="2110"/>
  <c r="D45" i="2110"/>
  <c r="R44" i="2110"/>
  <c r="L28" i="2110" s="1"/>
  <c r="D28" i="2110" s="1"/>
  <c r="D44" i="2110"/>
  <c r="R42" i="2110"/>
  <c r="D42" i="2110"/>
  <c r="R41" i="2110"/>
  <c r="D41" i="2110"/>
  <c r="R40" i="2110"/>
  <c r="D40" i="2110"/>
  <c r="R39" i="2110"/>
  <c r="H39" i="2110"/>
  <c r="D39" i="2110"/>
  <c r="R38" i="2110"/>
  <c r="L9" i="2110" s="1"/>
  <c r="D9" i="2110" s="1"/>
  <c r="H38" i="2110"/>
  <c r="D38" i="2110"/>
  <c r="R37" i="2110"/>
  <c r="H37" i="2110"/>
  <c r="D37" i="2110"/>
  <c r="R36" i="2110"/>
  <c r="H36" i="2110"/>
  <c r="D36" i="2110"/>
  <c r="R35" i="2110"/>
  <c r="L18" i="2110" s="1"/>
  <c r="D18" i="2110" s="1"/>
  <c r="H35" i="2110"/>
  <c r="D35" i="2110"/>
  <c r="R34" i="2110"/>
  <c r="H34" i="2110"/>
  <c r="D34" i="2110"/>
  <c r="R33" i="2110"/>
  <c r="R32" i="2110"/>
  <c r="L11" i="2110" s="1"/>
  <c r="D11" i="2110" s="1"/>
  <c r="R31" i="2110"/>
  <c r="R30" i="2110"/>
  <c r="R29" i="2110"/>
  <c r="R28" i="2110"/>
  <c r="R27" i="2110"/>
  <c r="D27" i="2110"/>
  <c r="R26" i="2110"/>
  <c r="D26" i="2110"/>
  <c r="R25" i="2110"/>
  <c r="D25" i="2110"/>
  <c r="R24" i="2110"/>
  <c r="D24" i="2110"/>
  <c r="R23" i="2110"/>
  <c r="D23" i="2110"/>
  <c r="R22" i="2110"/>
  <c r="D22" i="2110"/>
  <c r="R21" i="2110"/>
  <c r="L17" i="2110" s="1"/>
  <c r="D17" i="2110" s="1"/>
  <c r="D21" i="2110"/>
  <c r="R20" i="2110"/>
  <c r="L20" i="2110"/>
  <c r="D20" i="2110"/>
  <c r="R19" i="2110"/>
  <c r="L19" i="2110"/>
  <c r="D19" i="2110"/>
  <c r="R18" i="2110"/>
  <c r="R17" i="2110"/>
  <c r="R16" i="2110"/>
  <c r="L16" i="2110"/>
  <c r="D16" i="2110" s="1"/>
  <c r="R15" i="2110"/>
  <c r="L15" i="2110"/>
  <c r="D15" i="2110"/>
  <c r="R14" i="2110"/>
  <c r="D14" i="2110"/>
  <c r="R13" i="2110"/>
  <c r="D13" i="2110"/>
  <c r="R12" i="2110"/>
  <c r="L12" i="2110"/>
  <c r="D12" i="2110"/>
  <c r="R11" i="2110"/>
  <c r="L10" i="2110"/>
  <c r="D10" i="2110"/>
  <c r="L8" i="2110"/>
  <c r="D8" i="2110"/>
  <c r="L7" i="2110"/>
  <c r="D7" i="2110" s="1"/>
  <c r="R6" i="2110"/>
  <c r="L6" i="2110"/>
  <c r="D6" i="2110" s="1"/>
  <c r="R5" i="2110"/>
  <c r="R4" i="2110"/>
  <c r="R52" i="2109"/>
  <c r="R51" i="2109"/>
  <c r="D50" i="2109"/>
  <c r="R49" i="2109"/>
  <c r="D49" i="2109"/>
  <c r="R48" i="2109"/>
  <c r="D48" i="2109"/>
  <c r="D46" i="2109"/>
  <c r="D45" i="2109"/>
  <c r="R44" i="2109"/>
  <c r="L28" i="2109" s="1"/>
  <c r="D28" i="2109" s="1"/>
  <c r="D44" i="2109"/>
  <c r="R42" i="2109"/>
  <c r="D42" i="2109"/>
  <c r="R41" i="2109"/>
  <c r="D41" i="2109"/>
  <c r="R40" i="2109"/>
  <c r="D40" i="2109"/>
  <c r="R39" i="2109"/>
  <c r="H39" i="2109"/>
  <c r="D39" i="2109"/>
  <c r="R38" i="2109"/>
  <c r="H38" i="2109"/>
  <c r="D38" i="2109"/>
  <c r="R37" i="2109"/>
  <c r="H37" i="2109"/>
  <c r="D37" i="2109"/>
  <c r="R36" i="2109"/>
  <c r="L10" i="2109" s="1"/>
  <c r="D10" i="2109" s="1"/>
  <c r="H36" i="2109"/>
  <c r="D36" i="2109"/>
  <c r="R35" i="2109"/>
  <c r="H35" i="2109"/>
  <c r="D35" i="2109"/>
  <c r="R34" i="2109"/>
  <c r="L12" i="2109" s="1"/>
  <c r="D12" i="2109" s="1"/>
  <c r="H34" i="2109"/>
  <c r="D34" i="2109"/>
  <c r="R33" i="2109"/>
  <c r="L19" i="2109" s="1"/>
  <c r="D19" i="2109" s="1"/>
  <c r="R32" i="2109"/>
  <c r="L11" i="2109" s="1"/>
  <c r="D11" i="2109" s="1"/>
  <c r="R31" i="2109"/>
  <c r="R30" i="2109"/>
  <c r="R29" i="2109"/>
  <c r="R28" i="2109"/>
  <c r="R27" i="2109"/>
  <c r="L27" i="2109"/>
  <c r="D27" i="2109"/>
  <c r="R26" i="2109"/>
  <c r="L26" i="2109"/>
  <c r="D26" i="2109"/>
  <c r="R25" i="2109"/>
  <c r="L25" i="2109"/>
  <c r="D25" i="2109" s="1"/>
  <c r="R24" i="2109"/>
  <c r="L24" i="2109"/>
  <c r="D24" i="2109"/>
  <c r="R23" i="2109"/>
  <c r="L23" i="2109"/>
  <c r="D23" i="2109" s="1"/>
  <c r="R22" i="2109"/>
  <c r="L20" i="2109" s="1"/>
  <c r="D20" i="2109" s="1"/>
  <c r="L22" i="2109"/>
  <c r="D22" i="2109"/>
  <c r="R21" i="2109"/>
  <c r="D21" i="2109"/>
  <c r="R20" i="2109"/>
  <c r="R19" i="2109"/>
  <c r="R18" i="2109"/>
  <c r="L18" i="2109"/>
  <c r="D18" i="2109"/>
  <c r="R17" i="2109"/>
  <c r="L17" i="2109"/>
  <c r="D17" i="2109"/>
  <c r="R16" i="2109"/>
  <c r="R15" i="2109"/>
  <c r="R14" i="2109"/>
  <c r="D14" i="2109"/>
  <c r="R13" i="2109"/>
  <c r="D13" i="2109"/>
  <c r="R12" i="2109"/>
  <c r="R11" i="2109"/>
  <c r="L9" i="2109"/>
  <c r="D9" i="2109" s="1"/>
  <c r="L8" i="2109"/>
  <c r="D8" i="2109" s="1"/>
  <c r="L7" i="2109"/>
  <c r="D7" i="2109"/>
  <c r="R6" i="2109"/>
  <c r="L16" i="2109" s="1"/>
  <c r="D16" i="2109" s="1"/>
  <c r="L6" i="2109"/>
  <c r="D6" i="2109"/>
  <c r="R5" i="2109"/>
  <c r="R4" i="2109"/>
  <c r="L15" i="2109" s="1"/>
  <c r="D15" i="2109" s="1"/>
  <c r="R52" i="2108"/>
  <c r="R51" i="2108"/>
  <c r="D50" i="2108"/>
  <c r="R49" i="2108"/>
  <c r="D49" i="2108"/>
  <c r="R48" i="2108"/>
  <c r="D48" i="2108"/>
  <c r="D46" i="2108"/>
  <c r="D45" i="2108"/>
  <c r="R44" i="2108"/>
  <c r="D44" i="2108"/>
  <c r="R42" i="2108"/>
  <c r="D42" i="2108"/>
  <c r="R41" i="2108"/>
  <c r="D41" i="2108"/>
  <c r="R40" i="2108"/>
  <c r="L8" i="2108" s="1"/>
  <c r="D8" i="2108" s="1"/>
  <c r="D40" i="2108"/>
  <c r="R39" i="2108"/>
  <c r="H39" i="2108"/>
  <c r="D39" i="2108"/>
  <c r="R38" i="2108"/>
  <c r="L9" i="2108" s="1"/>
  <c r="D9" i="2108" s="1"/>
  <c r="H38" i="2108"/>
  <c r="D38" i="2108"/>
  <c r="R37" i="2108"/>
  <c r="H37" i="2108"/>
  <c r="D37" i="2108"/>
  <c r="R36" i="2108"/>
  <c r="H36" i="2108"/>
  <c r="D36" i="2108"/>
  <c r="R35" i="2108"/>
  <c r="H35" i="2108"/>
  <c r="D35" i="2108"/>
  <c r="R34" i="2108"/>
  <c r="H34" i="2108"/>
  <c r="D34" i="2108"/>
  <c r="R33" i="2108"/>
  <c r="R32" i="2108"/>
  <c r="R31" i="2108"/>
  <c r="R30" i="2108"/>
  <c r="R29" i="2108"/>
  <c r="R28" i="2108"/>
  <c r="L28" i="2108"/>
  <c r="D28" i="2108"/>
  <c r="R27" i="2108"/>
  <c r="L27" i="2108"/>
  <c r="D27" i="2108"/>
  <c r="R26" i="2108"/>
  <c r="L26" i="2108"/>
  <c r="D26" i="2108" s="1"/>
  <c r="R25" i="2108"/>
  <c r="L25" i="2108"/>
  <c r="D25" i="2108" s="1"/>
  <c r="R24" i="2108"/>
  <c r="L24" i="2108"/>
  <c r="D24" i="2108"/>
  <c r="R23" i="2108"/>
  <c r="L23" i="2108"/>
  <c r="D23" i="2108"/>
  <c r="R22" i="2108"/>
  <c r="L20" i="2108" s="1"/>
  <c r="D20" i="2108" s="1"/>
  <c r="L22" i="2108"/>
  <c r="D22" i="2108"/>
  <c r="R21" i="2108"/>
  <c r="L21" i="2108"/>
  <c r="D21" i="2108"/>
  <c r="R20" i="2108"/>
  <c r="R19" i="2108"/>
  <c r="L19" i="2108"/>
  <c r="D19" i="2108"/>
  <c r="R18" i="2108"/>
  <c r="L18" i="2108"/>
  <c r="D18" i="2108"/>
  <c r="R17" i="2108"/>
  <c r="L17" i="2108"/>
  <c r="D17" i="2108" s="1"/>
  <c r="R16" i="2108"/>
  <c r="R15" i="2108"/>
  <c r="R14" i="2108"/>
  <c r="D14" i="2108"/>
  <c r="R13" i="2108"/>
  <c r="D13" i="2108"/>
  <c r="R12" i="2108"/>
  <c r="L12" i="2108"/>
  <c r="D12" i="2108" s="1"/>
  <c r="R11" i="2108"/>
  <c r="L11" i="2108"/>
  <c r="D11" i="2108"/>
  <c r="L10" i="2108"/>
  <c r="D10" i="2108" s="1"/>
  <c r="L7" i="2108"/>
  <c r="D7" i="2108"/>
  <c r="R6" i="2108"/>
  <c r="L16" i="2108" s="1"/>
  <c r="D16" i="2108" s="1"/>
  <c r="L6" i="2108"/>
  <c r="D6" i="2108"/>
  <c r="R5" i="2108"/>
  <c r="R4" i="2108"/>
  <c r="L15" i="2108" s="1"/>
  <c r="D15" i="2108" s="1"/>
  <c r="G49" i="2135" l="1"/>
  <c r="G49" i="2134"/>
  <c r="D54" i="2135"/>
  <c r="H14" i="2135" s="1"/>
  <c r="D54" i="2134"/>
  <c r="H14" i="2134" s="1"/>
  <c r="G49" i="2127"/>
  <c r="G49" i="2122"/>
  <c r="G49" i="2121"/>
  <c r="D54" i="2122"/>
  <c r="H14" i="2122" s="1"/>
  <c r="D54" i="2121"/>
  <c r="H14" i="2121" s="1"/>
  <c r="D54" i="2117"/>
  <c r="H14" i="2117" s="1"/>
  <c r="G49" i="2117"/>
  <c r="G49" i="2118"/>
  <c r="G49" i="2116"/>
  <c r="D54" i="2118"/>
  <c r="H14" i="2118" s="1"/>
  <c r="D54" i="2116"/>
  <c r="H14" i="2116" s="1"/>
  <c r="D29" i="2116"/>
  <c r="H13" i="2116" s="1"/>
  <c r="D54" i="2112"/>
  <c r="H14" i="2112" s="1"/>
  <c r="G49" i="2112"/>
  <c r="D54" i="2110"/>
  <c r="H14" i="2110" s="1"/>
  <c r="G49" i="2110"/>
  <c r="G49" i="2109"/>
  <c r="D54" i="2109"/>
  <c r="H14" i="2109" s="1"/>
  <c r="G49" i="2108"/>
  <c r="D54" i="2108"/>
  <c r="H14" i="2108" s="1"/>
  <c r="D29" i="2139"/>
  <c r="H13" i="2139" s="1"/>
  <c r="H15" i="2139" s="1"/>
  <c r="H29" i="2139" s="1"/>
  <c r="G51" i="2139" s="1"/>
  <c r="D29" i="2138"/>
  <c r="H13" i="2138" s="1"/>
  <c r="H15" i="2138" s="1"/>
  <c r="H29" i="2138" s="1"/>
  <c r="G51" i="2138" s="1"/>
  <c r="D29" i="2137"/>
  <c r="H13" i="2137" s="1"/>
  <c r="H15" i="2137" s="1"/>
  <c r="H29" i="2137" s="1"/>
  <c r="G51" i="2137" s="1"/>
  <c r="D29" i="2135"/>
  <c r="H13" i="2135" s="1"/>
  <c r="D29" i="2134"/>
  <c r="H13" i="2134" s="1"/>
  <c r="D29" i="2133"/>
  <c r="H13" i="2133" s="1"/>
  <c r="H15" i="2133" s="1"/>
  <c r="H29" i="2133" s="1"/>
  <c r="G51" i="2133"/>
  <c r="D29" i="2132"/>
  <c r="H13" i="2132" s="1"/>
  <c r="H15" i="2132" s="1"/>
  <c r="H29" i="2132" s="1"/>
  <c r="G51" i="2132" s="1"/>
  <c r="D29" i="2131"/>
  <c r="H13" i="2131" s="1"/>
  <c r="H15" i="2131" s="1"/>
  <c r="H29" i="2131" s="1"/>
  <c r="G51" i="2131" s="1"/>
  <c r="G51" i="2130"/>
  <c r="D29" i="2129"/>
  <c r="H13" i="2129" s="1"/>
  <c r="H15" i="2129" s="1"/>
  <c r="H29" i="2129" s="1"/>
  <c r="G51" i="2129"/>
  <c r="D29" i="2128"/>
  <c r="H13" i="2128" s="1"/>
  <c r="H15" i="2128" s="1"/>
  <c r="H29" i="2128" s="1"/>
  <c r="G51" i="2128" s="1"/>
  <c r="D29" i="2127"/>
  <c r="H13" i="2127" s="1"/>
  <c r="H15" i="2127" s="1"/>
  <c r="H29" i="2127" s="1"/>
  <c r="G51" i="2127" s="1"/>
  <c r="D29" i="2126"/>
  <c r="H13" i="2126" s="1"/>
  <c r="H15" i="2126" s="1"/>
  <c r="H29" i="2126" s="1"/>
  <c r="G51" i="2126" s="1"/>
  <c r="D29" i="2125"/>
  <c r="H13" i="2125" s="1"/>
  <c r="H15" i="2125" s="1"/>
  <c r="H29" i="2125" s="1"/>
  <c r="G51" i="2125" s="1"/>
  <c r="D29" i="2123"/>
  <c r="H13" i="2123" s="1"/>
  <c r="H15" i="2123" s="1"/>
  <c r="H29" i="2123" s="1"/>
  <c r="G51" i="2123" s="1"/>
  <c r="D29" i="2122"/>
  <c r="H13" i="2122" s="1"/>
  <c r="D29" i="2121"/>
  <c r="H13" i="2121" s="1"/>
  <c r="D29" i="2120"/>
  <c r="H13" i="2120" s="1"/>
  <c r="H15" i="2120" s="1"/>
  <c r="H29" i="2120" s="1"/>
  <c r="G51" i="2120"/>
  <c r="G51" i="2119"/>
  <c r="D29" i="2118"/>
  <c r="H13" i="2118" s="1"/>
  <c r="D29" i="2117"/>
  <c r="H13" i="2117" s="1"/>
  <c r="D29" i="2115"/>
  <c r="H13" i="2115" s="1"/>
  <c r="H15" i="2115" s="1"/>
  <c r="H29" i="2115" s="1"/>
  <c r="G51" i="2115" s="1"/>
  <c r="D29" i="2114"/>
  <c r="H13" i="2114" s="1"/>
  <c r="H15" i="2114" s="1"/>
  <c r="H29" i="2114" s="1"/>
  <c r="G51" i="2114"/>
  <c r="D29" i="2113"/>
  <c r="H13" i="2113" s="1"/>
  <c r="H15" i="2113" s="1"/>
  <c r="H29" i="2113" s="1"/>
  <c r="G51" i="2113" s="1"/>
  <c r="D29" i="2112"/>
  <c r="H13" i="2112" s="1"/>
  <c r="D29" i="2111"/>
  <c r="H13" i="2111" s="1"/>
  <c r="H15" i="2111" s="1"/>
  <c r="H29" i="2111" s="1"/>
  <c r="G51" i="2111" s="1"/>
  <c r="D29" i="2110"/>
  <c r="H13" i="2110" s="1"/>
  <c r="D29" i="2109"/>
  <c r="H13" i="2109" s="1"/>
  <c r="D29" i="2108"/>
  <c r="H13" i="2108" s="1"/>
  <c r="R52" i="2107"/>
  <c r="R51" i="2107"/>
  <c r="D50" i="2107"/>
  <c r="R49" i="2107"/>
  <c r="G49" i="2107"/>
  <c r="D49" i="2107"/>
  <c r="R48" i="2107"/>
  <c r="D48" i="2107"/>
  <c r="D46" i="2107"/>
  <c r="D45" i="2107"/>
  <c r="D44" i="2107"/>
  <c r="R42" i="2107"/>
  <c r="D42" i="2107"/>
  <c r="R41" i="2107"/>
  <c r="L7" i="2107" s="1"/>
  <c r="D7" i="2107" s="1"/>
  <c r="D41" i="2107"/>
  <c r="R40" i="2107"/>
  <c r="L8" i="2107" s="1"/>
  <c r="D8" i="2107" s="1"/>
  <c r="D40" i="2107"/>
  <c r="R39" i="2107"/>
  <c r="D39" i="2107"/>
  <c r="R38" i="2107"/>
  <c r="L9" i="2107" s="1"/>
  <c r="D9" i="2107" s="1"/>
  <c r="D38" i="2107"/>
  <c r="D54" i="2107" s="1"/>
  <c r="H14" i="2107" s="1"/>
  <c r="R37" i="2107"/>
  <c r="D37" i="2107"/>
  <c r="R36" i="2107"/>
  <c r="L10" i="2107" s="1"/>
  <c r="D10" i="2107" s="1"/>
  <c r="D36" i="2107"/>
  <c r="R35" i="2107"/>
  <c r="D35" i="2107"/>
  <c r="R34" i="2107"/>
  <c r="L12" i="2107" s="1"/>
  <c r="D12" i="2107" s="1"/>
  <c r="D34" i="2107"/>
  <c r="R33" i="2107"/>
  <c r="L23" i="2107" s="1"/>
  <c r="D23" i="2107" s="1"/>
  <c r="R32" i="2107"/>
  <c r="R31" i="2107"/>
  <c r="R30" i="2107"/>
  <c r="R29" i="2107"/>
  <c r="R28" i="2107"/>
  <c r="L16" i="2107" s="1"/>
  <c r="D16" i="2107" s="1"/>
  <c r="D28" i="2107"/>
  <c r="R27" i="2107"/>
  <c r="D27" i="2107"/>
  <c r="R26" i="2107"/>
  <c r="L26" i="2107"/>
  <c r="D26" i="2107" s="1"/>
  <c r="R25" i="2107"/>
  <c r="L25" i="2107"/>
  <c r="D25" i="2107"/>
  <c r="R24" i="2107"/>
  <c r="D24" i="2107"/>
  <c r="R23" i="2107"/>
  <c r="R22" i="2107"/>
  <c r="L22" i="2107"/>
  <c r="D22" i="2107" s="1"/>
  <c r="R21" i="2107"/>
  <c r="D21" i="2107"/>
  <c r="R20" i="2107"/>
  <c r="L20" i="2107"/>
  <c r="D20" i="2107"/>
  <c r="R19" i="2107"/>
  <c r="L19" i="2107"/>
  <c r="D19" i="2107"/>
  <c r="R18" i="2107"/>
  <c r="D18" i="2107"/>
  <c r="R17" i="2107"/>
  <c r="D17" i="2107"/>
  <c r="R16" i="2107"/>
  <c r="S15" i="2107"/>
  <c r="R15" i="2107"/>
  <c r="D15" i="2107"/>
  <c r="S14" i="2107"/>
  <c r="R14" i="2107"/>
  <c r="D14" i="2107"/>
  <c r="R13" i="2107"/>
  <c r="D13" i="2107"/>
  <c r="R12" i="2107"/>
  <c r="R11" i="2107"/>
  <c r="L11" i="2107"/>
  <c r="D11" i="2107" s="1"/>
  <c r="R6" i="2107"/>
  <c r="L6" i="2107"/>
  <c r="D6" i="2107" s="1"/>
  <c r="R5" i="2107"/>
  <c r="R4" i="2107"/>
  <c r="H15" i="2135" l="1"/>
  <c r="H29" i="2135" s="1"/>
  <c r="G51" i="2135" s="1"/>
  <c r="H15" i="2134"/>
  <c r="H29" i="2134" s="1"/>
  <c r="G51" i="2134" s="1"/>
  <c r="H15" i="2122"/>
  <c r="H29" i="2122" s="1"/>
  <c r="G51" i="2122" s="1"/>
  <c r="H15" i="2121"/>
  <c r="H29" i="2121" s="1"/>
  <c r="G51" i="2121" s="1"/>
  <c r="H15" i="2117"/>
  <c r="H29" i="2117" s="1"/>
  <c r="G51" i="2117" s="1"/>
  <c r="H15" i="2118"/>
  <c r="H29" i="2118" s="1"/>
  <c r="G51" i="2118" s="1"/>
  <c r="H15" i="2116"/>
  <c r="H29" i="2116" s="1"/>
  <c r="G51" i="2116" s="1"/>
  <c r="H15" i="2112"/>
  <c r="H29" i="2112" s="1"/>
  <c r="G51" i="2112" s="1"/>
  <c r="H15" i="2110"/>
  <c r="H29" i="2110" s="1"/>
  <c r="G51" i="2110" s="1"/>
  <c r="H15" i="2109"/>
  <c r="H29" i="2109" s="1"/>
  <c r="G51" i="2109" s="1"/>
  <c r="H15" i="2108"/>
  <c r="H29" i="2108" s="1"/>
  <c r="G51" i="2108" s="1"/>
  <c r="D29" i="2107"/>
  <c r="H13" i="2107" s="1"/>
  <c r="H15" i="2107" s="1"/>
  <c r="H29" i="2107" s="1"/>
  <c r="G51" i="2107"/>
  <c r="R52" i="2089"/>
  <c r="R51" i="2089"/>
  <c r="D50" i="2089"/>
  <c r="R49" i="2089"/>
  <c r="D49" i="2089"/>
  <c r="R48" i="2089"/>
  <c r="D48" i="2089"/>
  <c r="D46" i="2089"/>
  <c r="D45" i="2089"/>
  <c r="R44" i="2089"/>
  <c r="D44" i="2089"/>
  <c r="R42" i="2089"/>
  <c r="L6" i="2089" s="1"/>
  <c r="D6" i="2089" s="1"/>
  <c r="D42" i="2089"/>
  <c r="R41" i="2089"/>
  <c r="D41" i="2089"/>
  <c r="R40" i="2089"/>
  <c r="D40" i="2089"/>
  <c r="R39" i="2089"/>
  <c r="H39" i="2089"/>
  <c r="D39" i="2089"/>
  <c r="R38" i="2089"/>
  <c r="L9" i="2089" s="1"/>
  <c r="D9" i="2089" s="1"/>
  <c r="H38" i="2089"/>
  <c r="D38" i="2089"/>
  <c r="R37" i="2089"/>
  <c r="H37" i="2089"/>
  <c r="D37" i="2089"/>
  <c r="R36" i="2089"/>
  <c r="L10" i="2089" s="1"/>
  <c r="D10" i="2089" s="1"/>
  <c r="H36" i="2089"/>
  <c r="D36" i="2089"/>
  <c r="R35" i="2089"/>
  <c r="H35" i="2089"/>
  <c r="D35" i="2089"/>
  <c r="R34" i="2089"/>
  <c r="H34" i="2089"/>
  <c r="D34" i="2089"/>
  <c r="R33" i="2089"/>
  <c r="R32" i="2089"/>
  <c r="L11" i="2089" s="1"/>
  <c r="D11" i="2089" s="1"/>
  <c r="R31" i="2089"/>
  <c r="R30" i="2089"/>
  <c r="R29" i="2089"/>
  <c r="R28" i="2089"/>
  <c r="L28" i="2089"/>
  <c r="D28" i="2089"/>
  <c r="R27" i="2089"/>
  <c r="L27" i="2089"/>
  <c r="D27" i="2089" s="1"/>
  <c r="R26" i="2089"/>
  <c r="L26" i="2089"/>
  <c r="D26" i="2089" s="1"/>
  <c r="R25" i="2089"/>
  <c r="L25" i="2089"/>
  <c r="D25" i="2089"/>
  <c r="R24" i="2089"/>
  <c r="L24" i="2089"/>
  <c r="D24" i="2089"/>
  <c r="R23" i="2089"/>
  <c r="L23" i="2089"/>
  <c r="D23" i="2089"/>
  <c r="R22" i="2089"/>
  <c r="L20" i="2089" s="1"/>
  <c r="D20" i="2089" s="1"/>
  <c r="L22" i="2089"/>
  <c r="D22" i="2089"/>
  <c r="R21" i="2089"/>
  <c r="L21" i="2089"/>
  <c r="D21" i="2089"/>
  <c r="R20" i="2089"/>
  <c r="R19" i="2089"/>
  <c r="L19" i="2089"/>
  <c r="D19" i="2089"/>
  <c r="R18" i="2089"/>
  <c r="L18" i="2089"/>
  <c r="D18" i="2089"/>
  <c r="R17" i="2089"/>
  <c r="L17" i="2089"/>
  <c r="D17" i="2089" s="1"/>
  <c r="R16" i="2089"/>
  <c r="R15" i="2089"/>
  <c r="L15" i="2089"/>
  <c r="D15" i="2089"/>
  <c r="R14" i="2089"/>
  <c r="D14" i="2089"/>
  <c r="R13" i="2089"/>
  <c r="D13" i="2089"/>
  <c r="R12" i="2089"/>
  <c r="L12" i="2089"/>
  <c r="D12" i="2089" s="1"/>
  <c r="R11" i="2089"/>
  <c r="L8" i="2089"/>
  <c r="D8" i="2089"/>
  <c r="L7" i="2089"/>
  <c r="D7" i="2089"/>
  <c r="R6" i="2089"/>
  <c r="L16" i="2089" s="1"/>
  <c r="D16" i="2089" s="1"/>
  <c r="R5" i="2089"/>
  <c r="R4" i="2089"/>
  <c r="R52" i="2088"/>
  <c r="R51" i="2088"/>
  <c r="D50" i="2088"/>
  <c r="R49" i="2088"/>
  <c r="D49" i="2088"/>
  <c r="R48" i="2088"/>
  <c r="D48" i="2088"/>
  <c r="D46" i="2088"/>
  <c r="D45" i="2088"/>
  <c r="R44" i="2088"/>
  <c r="L28" i="2088" s="1"/>
  <c r="D28" i="2088" s="1"/>
  <c r="D44" i="2088"/>
  <c r="R42" i="2088"/>
  <c r="L6" i="2088" s="1"/>
  <c r="D6" i="2088" s="1"/>
  <c r="D42" i="2088"/>
  <c r="R41" i="2088"/>
  <c r="L7" i="2088" s="1"/>
  <c r="D7" i="2088" s="1"/>
  <c r="D41" i="2088"/>
  <c r="R40" i="2088"/>
  <c r="D40" i="2088"/>
  <c r="R39" i="2088"/>
  <c r="H39" i="2088"/>
  <c r="D39" i="2088"/>
  <c r="R38" i="2088"/>
  <c r="H38" i="2088"/>
  <c r="D38" i="2088"/>
  <c r="R37" i="2088"/>
  <c r="H37" i="2088"/>
  <c r="D37" i="2088"/>
  <c r="R36" i="2088"/>
  <c r="L10" i="2088" s="1"/>
  <c r="D10" i="2088" s="1"/>
  <c r="H36" i="2088"/>
  <c r="D36" i="2088"/>
  <c r="R35" i="2088"/>
  <c r="L18" i="2088" s="1"/>
  <c r="D18" i="2088" s="1"/>
  <c r="H35" i="2088"/>
  <c r="D35" i="2088"/>
  <c r="R34" i="2088"/>
  <c r="H34" i="2088"/>
  <c r="D34" i="2088"/>
  <c r="R33" i="2088"/>
  <c r="L19" i="2088" s="1"/>
  <c r="D19" i="2088" s="1"/>
  <c r="R32" i="2088"/>
  <c r="L11" i="2088" s="1"/>
  <c r="D11" i="2088" s="1"/>
  <c r="R31" i="2088"/>
  <c r="R30" i="2088"/>
  <c r="R29" i="2088"/>
  <c r="R28" i="2088"/>
  <c r="R27" i="2088"/>
  <c r="L27" i="2088"/>
  <c r="D27" i="2088" s="1"/>
  <c r="R26" i="2088"/>
  <c r="L26" i="2088"/>
  <c r="D26" i="2088"/>
  <c r="R25" i="2088"/>
  <c r="L25" i="2088"/>
  <c r="D25" i="2088"/>
  <c r="R24" i="2088"/>
  <c r="L24" i="2088"/>
  <c r="D24" i="2088"/>
  <c r="R23" i="2088"/>
  <c r="L23" i="2088"/>
  <c r="D23" i="2088"/>
  <c r="R22" i="2088"/>
  <c r="L20" i="2088" s="1"/>
  <c r="D20" i="2088" s="1"/>
  <c r="L22" i="2088"/>
  <c r="D22" i="2088" s="1"/>
  <c r="R21" i="2088"/>
  <c r="D21" i="2088"/>
  <c r="R20" i="2088"/>
  <c r="R19" i="2088"/>
  <c r="R18" i="2088"/>
  <c r="R17" i="2088"/>
  <c r="L17" i="2088"/>
  <c r="D17" i="2088"/>
  <c r="R16" i="2088"/>
  <c r="R15" i="2088"/>
  <c r="R14" i="2088"/>
  <c r="D14" i="2088"/>
  <c r="R13" i="2088"/>
  <c r="D13" i="2088"/>
  <c r="R12" i="2088"/>
  <c r="L12" i="2088"/>
  <c r="D12" i="2088"/>
  <c r="R11" i="2088"/>
  <c r="L9" i="2088"/>
  <c r="D9" i="2088"/>
  <c r="L8" i="2088"/>
  <c r="D8" i="2088" s="1"/>
  <c r="R6" i="2088"/>
  <c r="L16" i="2088" s="1"/>
  <c r="D16" i="2088" s="1"/>
  <c r="R5" i="2088"/>
  <c r="R4" i="2088"/>
  <c r="L15" i="2088" s="1"/>
  <c r="D15" i="2088" s="1"/>
  <c r="R52" i="2087"/>
  <c r="R51" i="2087"/>
  <c r="D50" i="2087"/>
  <c r="R49" i="2087"/>
  <c r="D49" i="2087"/>
  <c r="R48" i="2087"/>
  <c r="D48" i="2087"/>
  <c r="D46" i="2087"/>
  <c r="D45" i="2087"/>
  <c r="R44" i="2087"/>
  <c r="L28" i="2087" s="1"/>
  <c r="D28" i="2087" s="1"/>
  <c r="D44" i="2087"/>
  <c r="R42" i="2087"/>
  <c r="D42" i="2087"/>
  <c r="R41" i="2087"/>
  <c r="D41" i="2087"/>
  <c r="R40" i="2087"/>
  <c r="L8" i="2087" s="1"/>
  <c r="D8" i="2087" s="1"/>
  <c r="D40" i="2087"/>
  <c r="R39" i="2087"/>
  <c r="H39" i="2087"/>
  <c r="D39" i="2087"/>
  <c r="R38" i="2087"/>
  <c r="H38" i="2087"/>
  <c r="D38" i="2087"/>
  <c r="R37" i="2087"/>
  <c r="H37" i="2087"/>
  <c r="D37" i="2087"/>
  <c r="R36" i="2087"/>
  <c r="L10" i="2087" s="1"/>
  <c r="D10" i="2087" s="1"/>
  <c r="H36" i="2087"/>
  <c r="D36" i="2087"/>
  <c r="R35" i="2087"/>
  <c r="H35" i="2087"/>
  <c r="D35" i="2087"/>
  <c r="R34" i="2087"/>
  <c r="H34" i="2087"/>
  <c r="D34" i="2087"/>
  <c r="R33" i="2087"/>
  <c r="L19" i="2087" s="1"/>
  <c r="D19" i="2087" s="1"/>
  <c r="R32" i="2087"/>
  <c r="R31" i="2087"/>
  <c r="R30" i="2087"/>
  <c r="R29" i="2087"/>
  <c r="R28" i="2087"/>
  <c r="R27" i="2087"/>
  <c r="L27" i="2087"/>
  <c r="D27" i="2087"/>
  <c r="R26" i="2087"/>
  <c r="L26" i="2087"/>
  <c r="D26" i="2087"/>
  <c r="R25" i="2087"/>
  <c r="L25" i="2087"/>
  <c r="D25" i="2087"/>
  <c r="R24" i="2087"/>
  <c r="L24" i="2087"/>
  <c r="D24" i="2087"/>
  <c r="R23" i="2087"/>
  <c r="D23" i="2087"/>
  <c r="R22" i="2087"/>
  <c r="L22" i="2087"/>
  <c r="D22" i="2087"/>
  <c r="R21" i="2087"/>
  <c r="D21" i="2087"/>
  <c r="R20" i="2087"/>
  <c r="L20" i="2087"/>
  <c r="D20" i="2087"/>
  <c r="R19" i="2087"/>
  <c r="R18" i="2087"/>
  <c r="L18" i="2087"/>
  <c r="D18" i="2087" s="1"/>
  <c r="R17" i="2087"/>
  <c r="L17" i="2087"/>
  <c r="D17" i="2087"/>
  <c r="R16" i="2087"/>
  <c r="R15" i="2087"/>
  <c r="L15" i="2087"/>
  <c r="D15" i="2087" s="1"/>
  <c r="R14" i="2087"/>
  <c r="D14" i="2087"/>
  <c r="R13" i="2087"/>
  <c r="D13" i="2087"/>
  <c r="R12" i="2087"/>
  <c r="L12" i="2087"/>
  <c r="D12" i="2087"/>
  <c r="R11" i="2087"/>
  <c r="L11" i="2087"/>
  <c r="D11" i="2087"/>
  <c r="L9" i="2087"/>
  <c r="D9" i="2087"/>
  <c r="L7" i="2087"/>
  <c r="D7" i="2087"/>
  <c r="R6" i="2087"/>
  <c r="L16" i="2087" s="1"/>
  <c r="D16" i="2087" s="1"/>
  <c r="L6" i="2087"/>
  <c r="D6" i="2087"/>
  <c r="R5" i="2087"/>
  <c r="R4" i="2087"/>
  <c r="G49" i="2089" l="1"/>
  <c r="D54" i="2089"/>
  <c r="H14" i="2089" s="1"/>
  <c r="D29" i="2089"/>
  <c r="H13" i="2089" s="1"/>
  <c r="G49" i="2088"/>
  <c r="D54" i="2088"/>
  <c r="H14" i="2088" s="1"/>
  <c r="G49" i="2087"/>
  <c r="D54" i="2087"/>
  <c r="H14" i="2087" s="1"/>
  <c r="D29" i="2087"/>
  <c r="H13" i="2087" s="1"/>
  <c r="D29" i="2088"/>
  <c r="H13" i="2088" s="1"/>
  <c r="H15" i="2089" l="1"/>
  <c r="H29" i="2089" s="1"/>
  <c r="G51" i="2089" s="1"/>
  <c r="H15" i="2088"/>
  <c r="H29" i="2088" s="1"/>
  <c r="G51" i="2088" s="1"/>
  <c r="H15" i="2087"/>
  <c r="H29" i="2087" s="1"/>
  <c r="G51" i="2087" s="1"/>
  <c r="R52" i="2086"/>
  <c r="R51" i="2086"/>
  <c r="D50" i="2086"/>
  <c r="R49" i="2086"/>
  <c r="G49" i="2086"/>
  <c r="D49" i="2086"/>
  <c r="R48" i="2086"/>
  <c r="D48" i="2086"/>
  <c r="D46" i="2086"/>
  <c r="D45" i="2086"/>
  <c r="D44" i="2086"/>
  <c r="R42" i="2086"/>
  <c r="L6" i="2086" s="1"/>
  <c r="D6" i="2086" s="1"/>
  <c r="D42" i="2086"/>
  <c r="R41" i="2086"/>
  <c r="L7" i="2086" s="1"/>
  <c r="D7" i="2086" s="1"/>
  <c r="D41" i="2086"/>
  <c r="R40" i="2086"/>
  <c r="D40" i="2086"/>
  <c r="R39" i="2086"/>
  <c r="D39" i="2086"/>
  <c r="R38" i="2086"/>
  <c r="L9" i="2086" s="1"/>
  <c r="D9" i="2086" s="1"/>
  <c r="D38" i="2086"/>
  <c r="R37" i="2086"/>
  <c r="D37" i="2086"/>
  <c r="R36" i="2086"/>
  <c r="D36" i="2086"/>
  <c r="D54" i="2086" s="1"/>
  <c r="H14" i="2086" s="1"/>
  <c r="R35" i="2086"/>
  <c r="D35" i="2086"/>
  <c r="R34" i="2086"/>
  <c r="D34" i="2086"/>
  <c r="R33" i="2086"/>
  <c r="R32" i="2086"/>
  <c r="R31" i="2086"/>
  <c r="R30" i="2086"/>
  <c r="R29" i="2086"/>
  <c r="R28" i="2086"/>
  <c r="D28" i="2086"/>
  <c r="R27" i="2086"/>
  <c r="D27" i="2086"/>
  <c r="R26" i="2086"/>
  <c r="L26" i="2086"/>
  <c r="D26" i="2086"/>
  <c r="R25" i="2086"/>
  <c r="L25" i="2086"/>
  <c r="D25" i="2086"/>
  <c r="R24" i="2086"/>
  <c r="D24" i="2086"/>
  <c r="R23" i="2086"/>
  <c r="L23" i="2086"/>
  <c r="D23" i="2086"/>
  <c r="R22" i="2086"/>
  <c r="L22" i="2086"/>
  <c r="D22" i="2086"/>
  <c r="R21" i="2086"/>
  <c r="D21" i="2086"/>
  <c r="R20" i="2086"/>
  <c r="L20" i="2086"/>
  <c r="D20" i="2086"/>
  <c r="R19" i="2086"/>
  <c r="L19" i="2086"/>
  <c r="D19" i="2086"/>
  <c r="R18" i="2086"/>
  <c r="D18" i="2086"/>
  <c r="R17" i="2086"/>
  <c r="D17" i="2086"/>
  <c r="R16" i="2086"/>
  <c r="L16" i="2086"/>
  <c r="D16" i="2086" s="1"/>
  <c r="S15" i="2086"/>
  <c r="R15" i="2086"/>
  <c r="D15" i="2086"/>
  <c r="S14" i="2086"/>
  <c r="R14" i="2086"/>
  <c r="D14" i="2086"/>
  <c r="R13" i="2086"/>
  <c r="D13" i="2086"/>
  <c r="R12" i="2086"/>
  <c r="L12" i="2086"/>
  <c r="D12" i="2086"/>
  <c r="R11" i="2086"/>
  <c r="L11" i="2086"/>
  <c r="D11" i="2086"/>
  <c r="L10" i="2086"/>
  <c r="D10" i="2086" s="1"/>
  <c r="L8" i="2086"/>
  <c r="D8" i="2086"/>
  <c r="R6" i="2086"/>
  <c r="R5" i="2086"/>
  <c r="R4" i="2086"/>
  <c r="D29" i="2086" l="1"/>
  <c r="H13" i="2086" s="1"/>
  <c r="H15" i="2086" s="1"/>
  <c r="H29" i="2086" s="1"/>
  <c r="G51" i="2086" s="1"/>
</calcChain>
</file>

<file path=xl/sharedStrings.xml><?xml version="1.0" encoding="utf-8"?>
<sst xmlns="http://schemas.openxmlformats.org/spreadsheetml/2006/main" count="7008" uniqueCount="175">
  <si>
    <t>GUILLERMO BEVERAGE DISTRIBUTION SERVICES</t>
  </si>
  <si>
    <t>PRODUCTS</t>
  </si>
  <si>
    <t>SELLING PRICE</t>
  </si>
  <si>
    <t>EMPTIES</t>
  </si>
  <si>
    <t>TOTAL</t>
  </si>
  <si>
    <t>SALES AND CASH REMITTANCE REPORT</t>
  </si>
  <si>
    <t>NON-ALCOHOLIC BEVERAGES</t>
  </si>
  <si>
    <t>SALES</t>
  </si>
  <si>
    <t xml:space="preserve">ROUTE # </t>
  </si>
  <si>
    <t>DATE:</t>
  </si>
  <si>
    <t>CALI PINEAPPLE 330ml</t>
  </si>
  <si>
    <t>PRODUCT</t>
  </si>
  <si>
    <t># OF CASES</t>
  </si>
  <si>
    <t>AMOUNT</t>
  </si>
  <si>
    <t>CALI ICE APPLE 330ml</t>
  </si>
  <si>
    <t>RH1000</t>
  </si>
  <si>
    <t>DSP</t>
  </si>
  <si>
    <t>CALI PINEAPPLE CAN 330ml</t>
  </si>
  <si>
    <t>RH500</t>
  </si>
  <si>
    <t>CALI ICE APPLE CAN 330ml</t>
  </si>
  <si>
    <t>RH330</t>
  </si>
  <si>
    <t>DRIVER</t>
  </si>
  <si>
    <t>CALI 10 DIET CAN 330ml</t>
  </si>
  <si>
    <t>PP1000</t>
  </si>
  <si>
    <t>MAGNOLIA</t>
  </si>
  <si>
    <t>PP320</t>
  </si>
  <si>
    <t>TRUCKMAN</t>
  </si>
  <si>
    <t>FRUIT DRINK GRAPE 250ml</t>
  </si>
  <si>
    <t>SML330</t>
  </si>
  <si>
    <t>FRUIT DRINK ORANGE 250ml</t>
  </si>
  <si>
    <t>FB330</t>
  </si>
  <si>
    <t>HEALTHTEA APPLE 250ml</t>
  </si>
  <si>
    <t>MHT</t>
  </si>
  <si>
    <t>CASH REMITTANCE COMPUTATION</t>
  </si>
  <si>
    <t>HEALTHTEA LEMON 250ml</t>
  </si>
  <si>
    <t>MHT BOTTLE</t>
  </si>
  <si>
    <t>TOTAL SALES</t>
  </si>
  <si>
    <t>HEALTHTEA STRAWBERRY 250ml</t>
  </si>
  <si>
    <t>LESS: CONTAINERS RETURNED</t>
  </si>
  <si>
    <t>GROSS SALES</t>
  </si>
  <si>
    <t>ALCO BEVERAGES</t>
  </si>
  <si>
    <t>LESS:</t>
  </si>
  <si>
    <t>DISCOUNT</t>
  </si>
  <si>
    <t>PREMIUM ALL MALT 330ml</t>
  </si>
  <si>
    <t>TCS</t>
  </si>
  <si>
    <t>PREMIUM ALL MALT CAN 330ml</t>
  </si>
  <si>
    <t>COL</t>
  </si>
  <si>
    <t>KIRIN 330ml</t>
  </si>
  <si>
    <t>KIRIN CAN 330ml</t>
  </si>
  <si>
    <t>TOLL, FEES</t>
  </si>
  <si>
    <t>CERVEZA BLANCA CAN 330ml</t>
  </si>
  <si>
    <t>SUPERDRY 330ml</t>
  </si>
  <si>
    <t>SUPERDRY CAN 330ml</t>
  </si>
  <si>
    <t>CERVEZA NEGRA 330ml</t>
  </si>
  <si>
    <t>NET SALES
AMOUNT TO BE REMITTED:</t>
  </si>
  <si>
    <t>SAN MIGUEL CHOCOLATE LAGER CAN 330ml</t>
  </si>
  <si>
    <t>SAN MIG ZERO 330ml</t>
  </si>
  <si>
    <t>CONTAINERS RETURNED</t>
  </si>
  <si>
    <t>CASH BREAKDOWN</t>
  </si>
  <si>
    <t>SAN MIG LIGHT 330ml</t>
  </si>
  <si>
    <t>QTY</t>
  </si>
  <si>
    <t>PESOS</t>
  </si>
  <si>
    <t>NO. OF PCS.</t>
  </si>
  <si>
    <t>SAN MIG LIGHT CAN 330ml</t>
  </si>
  <si>
    <t>PP</t>
  </si>
  <si>
    <t>COMPLETE</t>
  </si>
  <si>
    <t>FLAVORED BEER APL/LEM/LYC 330ml</t>
  </si>
  <si>
    <t>SHELL</t>
  </si>
  <si>
    <t>FLAVORED BEER CAN APL/LEM/LY 330ml</t>
  </si>
  <si>
    <t>BOTTLES</t>
  </si>
  <si>
    <t>PALE PILSEN 320ml</t>
  </si>
  <si>
    <t>RHL/PL/GEK</t>
  </si>
  <si>
    <t>PALE PILSEN 330ml</t>
  </si>
  <si>
    <t>PALE PILSEN 1000ml</t>
  </si>
  <si>
    <t>PALE PILSEN Can 330ml</t>
  </si>
  <si>
    <t>RHP</t>
  </si>
  <si>
    <t>RED HORSE 330ml</t>
  </si>
  <si>
    <t>RED HORSE 500ml</t>
  </si>
  <si>
    <t>COINS</t>
  </si>
  <si>
    <t>RED HORSE 1000ml</t>
  </si>
  <si>
    <t>FBA/SML/RHS</t>
  </si>
  <si>
    <t>BANK</t>
  </si>
  <si>
    <t>CHECK NO.</t>
  </si>
  <si>
    <t>RED HORSE CAN 330ml</t>
  </si>
  <si>
    <t>SAN MIG FREE</t>
  </si>
  <si>
    <t>TOTAL REMITTANCE</t>
  </si>
  <si>
    <t>GOLD EAGLE 320ml</t>
  </si>
  <si>
    <t>GOLD EAGLE 1000ml</t>
  </si>
  <si>
    <t>SAN MIG HARD SELTZER 330ml</t>
  </si>
  <si>
    <t>TOTAL CONTAINERS RETURNED</t>
  </si>
  <si>
    <t>DEALER SALES PERSONEL
NAME AND SIGNATURE</t>
  </si>
  <si>
    <t>CHECKED BY: WIC/CLERK
NAME AND SIGNATURE</t>
  </si>
  <si>
    <t>RHSL</t>
  </si>
  <si>
    <t>S.I. NO.</t>
  </si>
  <si>
    <t>LESS: CREDIT</t>
  </si>
  <si>
    <t>ADD: COLLECTION</t>
  </si>
  <si>
    <t>CHOCO LAGER CAN</t>
  </si>
  <si>
    <t>RED HORSE 500 CAN</t>
  </si>
  <si>
    <t>RED HORSE SUPER 1000</t>
  </si>
  <si>
    <t>DANDAYO, RONNEL</t>
  </si>
  <si>
    <t>ENCLONAR, JEROME</t>
  </si>
  <si>
    <t>SALIG, JOVANI</t>
  </si>
  <si>
    <t>OTHERS/PROMO</t>
  </si>
  <si>
    <t>RHS BOTT.</t>
  </si>
  <si>
    <t>RHSL BOTT.</t>
  </si>
  <si>
    <t>SMLC/PPC/RHC</t>
  </si>
  <si>
    <t>SHORT / OVER</t>
  </si>
  <si>
    <t>PORMENTO, ESTEMARK</t>
  </si>
  <si>
    <t>BAOC, PRECILLANO</t>
  </si>
  <si>
    <t>GOMORA, JURLAN</t>
  </si>
  <si>
    <t>CC/CIC/C10C</t>
  </si>
  <si>
    <t>SAN MIG FREE 330ml</t>
  </si>
  <si>
    <t>SAN MIG HARD SELTZER CAN 330ml</t>
  </si>
  <si>
    <r>
      <t xml:space="preserve">SHORT / </t>
    </r>
    <r>
      <rPr>
        <u/>
        <sz val="11"/>
        <rFont val="Calibri"/>
        <family val="2"/>
        <scheme val="minor"/>
      </rPr>
      <t>OVER</t>
    </r>
  </si>
  <si>
    <t xml:space="preserve">                           RONNEL DANDAYO</t>
  </si>
  <si>
    <t>GICA, GRACE</t>
  </si>
  <si>
    <t xml:space="preserve">                            GRACE B. GICA</t>
  </si>
  <si>
    <t>SALIG, JULIVEN</t>
  </si>
  <si>
    <t>PP BOTT.</t>
  </si>
  <si>
    <t>CB/CIB</t>
  </si>
  <si>
    <t>PAMB/CBB/SDB/CNB</t>
  </si>
  <si>
    <t>RACAZA, ALEXANDER</t>
  </si>
  <si>
    <t>FBAC/FBLC/FBLYC</t>
  </si>
  <si>
    <t>PAMC/CBC/SDC/CLC</t>
  </si>
  <si>
    <t>SMLB BOTT.</t>
  </si>
  <si>
    <t>FB BOTT</t>
  </si>
  <si>
    <t>RHP BOTT.</t>
  </si>
  <si>
    <t>SMFB BOTT.</t>
  </si>
  <si>
    <t>RH500C</t>
  </si>
  <si>
    <r>
      <rPr>
        <sz val="11"/>
        <color theme="1"/>
        <rFont val="Calibri"/>
        <family val="2"/>
        <scheme val="minor"/>
      </rPr>
      <t>SHORT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/ OVER</t>
    </r>
  </si>
  <si>
    <t>CB BOTT</t>
  </si>
  <si>
    <t>PL BOTT.</t>
  </si>
  <si>
    <t>BDO</t>
  </si>
  <si>
    <t>150203</t>
  </si>
  <si>
    <t>120727</t>
  </si>
  <si>
    <t xml:space="preserve"> BANK TRANSFER</t>
  </si>
  <si>
    <t>SOUND CHECK</t>
  </si>
  <si>
    <r>
      <rPr>
        <u/>
        <sz val="11"/>
        <color rgb="FFFF0000"/>
        <rFont val="Calibri"/>
        <family val="2"/>
        <scheme val="minor"/>
      </rPr>
      <t>(SHORT)</t>
    </r>
    <r>
      <rPr>
        <sz val="11"/>
        <rFont val="Calibri"/>
        <family val="2"/>
        <scheme val="minor"/>
      </rPr>
      <t xml:space="preserve"> / OVER</t>
    </r>
  </si>
  <si>
    <r>
      <rPr>
        <u/>
        <sz val="11"/>
        <color rgb="FFFF0000"/>
        <rFont val="Calibri"/>
        <family val="2"/>
        <scheme val="minor"/>
      </rPr>
      <t>(SHORT)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/ OVER</t>
    </r>
  </si>
  <si>
    <t>56834</t>
  </si>
  <si>
    <t>G-CASH</t>
  </si>
  <si>
    <r>
      <rPr>
        <u/>
        <sz val="11"/>
        <color rgb="FFFF0000"/>
        <rFont val="Calibri"/>
        <family val="2"/>
        <scheme val="minor"/>
      </rPr>
      <t xml:space="preserve">(SHORT) </t>
    </r>
    <r>
      <rPr>
        <sz val="11"/>
        <rFont val="Calibri"/>
        <family val="2"/>
        <scheme val="minor"/>
      </rPr>
      <t>/ OVER</t>
    </r>
  </si>
  <si>
    <t>PODIOTAN, AIR JOHN</t>
  </si>
  <si>
    <t xml:space="preserve">                           AIR JOHN PODIOTAN</t>
  </si>
  <si>
    <r>
      <rPr>
        <sz val="11"/>
        <color theme="1"/>
        <rFont val="Calibri"/>
        <family val="2"/>
        <scheme val="minor"/>
      </rPr>
      <t>SHORT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/ </t>
    </r>
    <r>
      <rPr>
        <u/>
        <sz val="11"/>
        <rFont val="Calibri"/>
        <family val="2"/>
        <scheme val="minor"/>
      </rPr>
      <t>OVER</t>
    </r>
  </si>
  <si>
    <t>43081</t>
  </si>
  <si>
    <t>51713</t>
  </si>
  <si>
    <t xml:space="preserve">PPG </t>
  </si>
  <si>
    <t>SMFC</t>
  </si>
  <si>
    <t>HSC</t>
  </si>
  <si>
    <t>MGYZ</t>
  </si>
  <si>
    <t>KRB</t>
  </si>
  <si>
    <t>SMZB</t>
  </si>
  <si>
    <t>SML500C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</si>
  <si>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>)</t>
    </r>
    <r>
      <rPr>
        <sz val="11"/>
        <rFont val="Calibri"/>
        <family val="2"/>
        <scheme val="minor"/>
      </rPr>
      <t xml:space="preserve"> / OVER</t>
    </r>
  </si>
  <si>
    <t>PNB</t>
  </si>
  <si>
    <t>BANK TRANSFER</t>
  </si>
  <si>
    <t>BALWARTE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</si>
  <si>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 xml:space="preserve">) </t>
    </r>
    <r>
      <rPr>
        <sz val="11"/>
        <rFont val="Calibri"/>
        <family val="2"/>
        <scheme val="minor"/>
      </rPr>
      <t>/ OVER</t>
    </r>
  </si>
  <si>
    <t>150836</t>
  </si>
  <si>
    <t>2000006089</t>
  </si>
  <si>
    <t>2000003113</t>
  </si>
  <si>
    <t>2000008115</t>
  </si>
  <si>
    <r>
      <rPr>
        <u/>
        <sz val="11"/>
        <color rgb="FFFF0000"/>
        <rFont val="Calibri"/>
        <family val="2"/>
        <scheme val="minor"/>
      </rPr>
      <t>(SHORT)</t>
    </r>
    <r>
      <rPr>
        <sz val="11"/>
        <rFont val="Calibri"/>
        <family val="2"/>
        <scheme val="minor"/>
      </rPr>
      <t xml:space="preserve"> / </t>
    </r>
    <r>
      <rPr>
        <u/>
        <sz val="11"/>
        <rFont val="Calibri"/>
        <family val="2"/>
        <scheme val="minor"/>
      </rPr>
      <t>OVER</t>
    </r>
  </si>
  <si>
    <t>150598</t>
  </si>
  <si>
    <t>PSBC</t>
  </si>
  <si>
    <t>2130020946</t>
  </si>
  <si>
    <t>1ST VB</t>
  </si>
  <si>
    <t>5089432</t>
  </si>
  <si>
    <t>43089</t>
  </si>
  <si>
    <t>DANDAYO,RONNEL</t>
  </si>
  <si>
    <t xml:space="preserve">                            RONNEL DANDAYO</t>
  </si>
  <si>
    <t xml:space="preserve">                        ESTEMARK PORMENTO</t>
  </si>
  <si>
    <t xml:space="preserve">                         RONNEL DANDAYO</t>
  </si>
  <si>
    <t>43093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</si>
</sst>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[$-3409]mmmm\ dd\,\ yyyy;@"/>
    <numFmt numFmtId="165" formatCode="_-&quot;₱&quot;* #,##0.00_-;\-&quot;₱&quot;* \(#,##0.00\)_-;_-&quot;₱&quot;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8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43" fontId="0" fillId="0" borderId="0" xfId="1" applyFont="1"/>
    <xf numFmtId="43" fontId="0" fillId="2" borderId="0" xfId="0" applyNumberFormat="1" applyFill="1"/>
    <xf numFmtId="43" fontId="0" fillId="4" borderId="1" xfId="0" applyNumberFormat="1" applyFill="1" applyBorder="1"/>
    <xf numFmtId="0" fontId="0" fillId="2" borderId="1" xfId="0" applyFill="1" applyBorder="1"/>
    <xf numFmtId="0" fontId="0" fillId="0" borderId="3" xfId="0" applyBorder="1"/>
    <xf numFmtId="0" fontId="0" fillId="0" borderId="10" xfId="0" applyBorder="1" applyAlignment="1">
      <alignment horizontal="center"/>
    </xf>
    <xf numFmtId="0" fontId="4" fillId="0" borderId="16" xfId="0" applyFont="1" applyBorder="1"/>
    <xf numFmtId="0" fontId="4" fillId="0" borderId="12" xfId="0" applyFont="1" applyBorder="1"/>
    <xf numFmtId="43" fontId="4" fillId="0" borderId="16" xfId="1" applyFont="1" applyBorder="1"/>
    <xf numFmtId="43" fontId="4" fillId="0" borderId="22" xfId="1" applyFont="1" applyBorder="1"/>
    <xf numFmtId="0" fontId="0" fillId="0" borderId="16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22" xfId="0" applyBorder="1"/>
    <xf numFmtId="0" fontId="0" fillId="0" borderId="18" xfId="0" applyBorder="1"/>
    <xf numFmtId="0" fontId="0" fillId="0" borderId="10" xfId="0" applyBorder="1"/>
    <xf numFmtId="0" fontId="0" fillId="0" borderId="32" xfId="0" applyBorder="1"/>
    <xf numFmtId="0" fontId="0" fillId="0" borderId="36" xfId="0" applyBorder="1"/>
    <xf numFmtId="0" fontId="0" fillId="0" borderId="37" xfId="0" applyBorder="1"/>
    <xf numFmtId="0" fontId="0" fillId="0" borderId="24" xfId="0" applyBorder="1"/>
    <xf numFmtId="0" fontId="0" fillId="0" borderId="41" xfId="0" applyBorder="1"/>
    <xf numFmtId="0" fontId="0" fillId="0" borderId="16" xfId="0" applyBorder="1" applyAlignment="1">
      <alignment horizontal="center"/>
    </xf>
    <xf numFmtId="0" fontId="3" fillId="3" borderId="40" xfId="0" applyFont="1" applyFill="1" applyBorder="1"/>
    <xf numFmtId="0" fontId="3" fillId="3" borderId="16" xfId="0" applyFont="1" applyFill="1" applyBorder="1"/>
    <xf numFmtId="0" fontId="3" fillId="3" borderId="23" xfId="0" applyFont="1" applyFill="1" applyBorder="1"/>
    <xf numFmtId="0" fontId="3" fillId="3" borderId="41" xfId="0" applyFont="1" applyFill="1" applyBorder="1"/>
    <xf numFmtId="43" fontId="4" fillId="0" borderId="18" xfId="1" applyFont="1" applyBorder="1"/>
    <xf numFmtId="43" fontId="4" fillId="0" borderId="42" xfId="1" applyFont="1" applyBorder="1"/>
    <xf numFmtId="0" fontId="3" fillId="3" borderId="12" xfId="0" applyFont="1" applyFill="1" applyBorder="1"/>
    <xf numFmtId="0" fontId="4" fillId="0" borderId="29" xfId="0" applyFont="1" applyBorder="1"/>
    <xf numFmtId="0" fontId="0" fillId="0" borderId="40" xfId="0" applyBorder="1"/>
    <xf numFmtId="0" fontId="0" fillId="0" borderId="27" xfId="0" applyBorder="1"/>
    <xf numFmtId="0" fontId="0" fillId="0" borderId="29" xfId="0" applyBorder="1"/>
    <xf numFmtId="0" fontId="4" fillId="0" borderId="16" xfId="0" applyFont="1" applyBorder="1" applyAlignment="1">
      <alignment horizontal="right"/>
    </xf>
    <xf numFmtId="0" fontId="0" fillId="0" borderId="16" xfId="0" applyBorder="1" applyAlignment="1">
      <alignment horizontal="right"/>
    </xf>
    <xf numFmtId="0" fontId="4" fillId="0" borderId="18" xfId="0" applyFont="1" applyBorder="1" applyAlignment="1">
      <alignment horizontal="right"/>
    </xf>
    <xf numFmtId="0" fontId="4" fillId="0" borderId="43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28" xfId="0" applyFont="1" applyBorder="1" applyAlignment="1">
      <alignment horizontal="right"/>
    </xf>
    <xf numFmtId="0" fontId="0" fillId="0" borderId="42" xfId="0" applyBorder="1"/>
    <xf numFmtId="43" fontId="4" fillId="0" borderId="40" xfId="1" applyFont="1" applyBorder="1"/>
    <xf numFmtId="43" fontId="4" fillId="0" borderId="21" xfId="1" applyFont="1" applyBorder="1"/>
    <xf numFmtId="0" fontId="0" fillId="0" borderId="21" xfId="0" applyBorder="1"/>
    <xf numFmtId="43" fontId="0" fillId="2" borderId="1" xfId="0" applyNumberFormat="1" applyFill="1" applyBorder="1"/>
    <xf numFmtId="43" fontId="4" fillId="0" borderId="23" xfId="1" applyFont="1" applyBorder="1"/>
    <xf numFmtId="0" fontId="3" fillId="3" borderId="10" xfId="0" applyFont="1" applyFill="1" applyBorder="1"/>
    <xf numFmtId="0" fontId="0" fillId="0" borderId="43" xfId="0" applyBorder="1"/>
    <xf numFmtId="0" fontId="4" fillId="0" borderId="21" xfId="0" applyFont="1" applyBorder="1"/>
    <xf numFmtId="0" fontId="4" fillId="0" borderId="10" xfId="0" applyFont="1" applyBorder="1"/>
    <xf numFmtId="0" fontId="4" fillId="0" borderId="18" xfId="0" applyFont="1" applyBorder="1"/>
    <xf numFmtId="0" fontId="4" fillId="0" borderId="27" xfId="0" applyFont="1" applyBorder="1"/>
    <xf numFmtId="0" fontId="0" fillId="0" borderId="0" xfId="0" applyAlignment="1">
      <alignment horizontal="center"/>
    </xf>
    <xf numFmtId="0" fontId="0" fillId="3" borderId="21" xfId="0" applyFill="1" applyBorder="1"/>
    <xf numFmtId="0" fontId="0" fillId="3" borderId="18" xfId="0" applyFill="1" applyBorder="1"/>
    <xf numFmtId="43" fontId="4" fillId="0" borderId="12" xfId="1" applyFont="1" applyBorder="1"/>
    <xf numFmtId="0" fontId="4" fillId="0" borderId="16" xfId="0" applyFont="1" applyBorder="1" applyAlignment="1">
      <alignment horizontal="center"/>
    </xf>
    <xf numFmtId="0" fontId="9" fillId="0" borderId="10" xfId="0" applyFont="1" applyBorder="1" applyAlignment="1">
      <alignment horizontal="left" vertical="center"/>
    </xf>
    <xf numFmtId="0" fontId="10" fillId="0" borderId="40" xfId="0" applyFont="1" applyBorder="1" applyAlignment="1">
      <alignment horizontal="left"/>
    </xf>
    <xf numFmtId="49" fontId="4" fillId="0" borderId="16" xfId="0" applyNumberFormat="1" applyFont="1" applyBorder="1" applyAlignment="1">
      <alignment horizontal="right"/>
    </xf>
    <xf numFmtId="0" fontId="4" fillId="0" borderId="23" xfId="0" applyFont="1" applyBorder="1"/>
    <xf numFmtId="0" fontId="9" fillId="0" borderId="1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11" fillId="0" borderId="28" xfId="0" applyFont="1" applyBorder="1" applyAlignment="1">
      <alignment horizontal="left"/>
    </xf>
    <xf numFmtId="0" fontId="11" fillId="3" borderId="10" xfId="0" applyFont="1" applyFill="1" applyBorder="1"/>
    <xf numFmtId="0" fontId="11" fillId="0" borderId="43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4" fillId="0" borderId="41" xfId="0" applyFont="1" applyBorder="1" applyAlignment="1">
      <alignment horizontal="left"/>
    </xf>
    <xf numFmtId="0" fontId="16" fillId="0" borderId="16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5" fillId="0" borderId="43" xfId="0" applyFont="1" applyBorder="1" applyAlignment="1">
      <alignment horizontal="right"/>
    </xf>
    <xf numFmtId="0" fontId="17" fillId="0" borderId="10" xfId="0" applyFont="1" applyBorder="1" applyAlignment="1">
      <alignment horizontal="center"/>
    </xf>
    <xf numFmtId="49" fontId="0" fillId="0" borderId="16" xfId="0" applyNumberFormat="1" applyBorder="1" applyAlignment="1">
      <alignment horizontal="right"/>
    </xf>
    <xf numFmtId="0" fontId="18" fillId="0" borderId="10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4" fillId="0" borderId="36" xfId="0" applyFont="1" applyBorder="1"/>
    <xf numFmtId="4" fontId="12" fillId="0" borderId="28" xfId="0" applyNumberFormat="1" applyFont="1" applyBorder="1" applyAlignment="1">
      <alignment horizontal="center"/>
    </xf>
    <xf numFmtId="0" fontId="22" fillId="0" borderId="16" xfId="0" applyFont="1" applyBorder="1"/>
    <xf numFmtId="0" fontId="21" fillId="0" borderId="21" xfId="0" applyFont="1" applyBorder="1"/>
    <xf numFmtId="0" fontId="21" fillId="0" borderId="0" xfId="0" applyFont="1"/>
    <xf numFmtId="0" fontId="21" fillId="0" borderId="10" xfId="0" applyFont="1" applyBorder="1"/>
    <xf numFmtId="0" fontId="21" fillId="0" borderId="16" xfId="0" applyFont="1" applyBorder="1"/>
    <xf numFmtId="0" fontId="4" fillId="0" borderId="2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49" fontId="21" fillId="0" borderId="16" xfId="0" applyNumberFormat="1" applyFont="1" applyBorder="1" applyAlignment="1">
      <alignment horizontal="left"/>
    </xf>
    <xf numFmtId="0" fontId="4" fillId="0" borderId="16" xfId="0" applyFont="1" applyFill="1" applyBorder="1"/>
    <xf numFmtId="49" fontId="21" fillId="0" borderId="16" xfId="0" applyNumberFormat="1" applyFont="1" applyBorder="1" applyAlignment="1">
      <alignment horizontal="right"/>
    </xf>
    <xf numFmtId="49" fontId="0" fillId="0" borderId="16" xfId="0" applyNumberFormat="1" applyFont="1" applyBorder="1" applyAlignment="1">
      <alignment horizontal="right"/>
    </xf>
    <xf numFmtId="0" fontId="0" fillId="0" borderId="6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25" xfId="0" applyBorder="1" applyAlignment="1">
      <alignment horizontal="right" vertical="center" wrapText="1"/>
    </xf>
    <xf numFmtId="0" fontId="0" fillId="0" borderId="30" xfId="0" applyBorder="1" applyAlignment="1">
      <alignment horizontal="right" vertical="center" wrapText="1"/>
    </xf>
    <xf numFmtId="0" fontId="0" fillId="0" borderId="26" xfId="0" applyBorder="1" applyAlignment="1">
      <alignment horizontal="right" vertical="center" wrapText="1"/>
    </xf>
    <xf numFmtId="43" fontId="13" fillId="0" borderId="8" xfId="1" applyFont="1" applyBorder="1" applyAlignment="1">
      <alignment horizontal="left" vertical="center"/>
    </xf>
    <xf numFmtId="43" fontId="13" fillId="0" borderId="17" xfId="1" applyFont="1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textRotation="90"/>
    </xf>
    <xf numFmtId="0" fontId="5" fillId="3" borderId="21" xfId="0" applyFont="1" applyFill="1" applyBorder="1" applyAlignment="1">
      <alignment horizontal="center" vertical="center" textRotation="90"/>
    </xf>
    <xf numFmtId="0" fontId="5" fillId="3" borderId="18" xfId="0" applyFont="1" applyFill="1" applyBorder="1" applyAlignment="1">
      <alignment horizontal="center" vertical="center" textRotation="90"/>
    </xf>
    <xf numFmtId="0" fontId="4" fillId="0" borderId="12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0" fillId="0" borderId="46" xfId="0" applyBorder="1" applyAlignment="1">
      <alignment horizontal="right" wrapText="1"/>
    </xf>
    <xf numFmtId="0" fontId="0" fillId="0" borderId="34" xfId="0" applyBorder="1" applyAlignment="1">
      <alignment horizontal="right" wrapText="1"/>
    </xf>
    <xf numFmtId="44" fontId="8" fillId="0" borderId="33" xfId="0" applyNumberFormat="1" applyFont="1" applyBorder="1" applyAlignment="1">
      <alignment horizontal="left" vertical="center"/>
    </xf>
    <xf numFmtId="44" fontId="8" fillId="0" borderId="2" xfId="0" applyNumberFormat="1" applyFont="1" applyBorder="1" applyAlignment="1">
      <alignment horizontal="left" vertical="center"/>
    </xf>
    <xf numFmtId="44" fontId="8" fillId="0" borderId="38" xfId="0" applyNumberFormat="1" applyFont="1" applyBorder="1" applyAlignment="1">
      <alignment horizontal="left" vertical="center"/>
    </xf>
    <xf numFmtId="44" fontId="8" fillId="0" borderId="25" xfId="0" applyNumberFormat="1" applyFont="1" applyBorder="1" applyAlignment="1">
      <alignment horizontal="left" vertical="center"/>
    </xf>
    <xf numFmtId="44" fontId="8" fillId="0" borderId="30" xfId="0" applyNumberFormat="1" applyFont="1" applyBorder="1" applyAlignment="1">
      <alignment horizontal="left" vertical="center"/>
    </xf>
    <xf numFmtId="44" fontId="8" fillId="0" borderId="26" xfId="0" applyNumberFormat="1" applyFont="1" applyBorder="1" applyAlignment="1">
      <alignment horizontal="left" vertical="center"/>
    </xf>
    <xf numFmtId="0" fontId="3" fillId="0" borderId="1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right" vertical="center" wrapText="1"/>
    </xf>
    <xf numFmtId="165" fontId="19" fillId="0" borderId="6" xfId="0" applyNumberFormat="1" applyFont="1" applyBorder="1" applyAlignment="1">
      <alignment horizontal="left" vertical="center"/>
    </xf>
    <xf numFmtId="165" fontId="19" fillId="0" borderId="4" xfId="0" applyNumberFormat="1" applyFont="1" applyBorder="1" applyAlignment="1">
      <alignment horizontal="left" vertical="center"/>
    </xf>
    <xf numFmtId="165" fontId="19" fillId="0" borderId="7" xfId="0" applyNumberFormat="1" applyFont="1" applyBorder="1" applyAlignment="1">
      <alignment horizontal="left" vertical="center"/>
    </xf>
    <xf numFmtId="165" fontId="19" fillId="0" borderId="50" xfId="0" applyNumberFormat="1" applyFont="1" applyBorder="1" applyAlignment="1">
      <alignment horizontal="left" vertical="center"/>
    </xf>
    <xf numFmtId="165" fontId="19" fillId="0" borderId="51" xfId="0" applyNumberFormat="1" applyFont="1" applyBorder="1" applyAlignment="1">
      <alignment horizontal="left" vertical="center"/>
    </xf>
    <xf numFmtId="165" fontId="19" fillId="0" borderId="52" xfId="0" applyNumberFormat="1" applyFont="1" applyBorder="1" applyAlignment="1">
      <alignment horizontal="left" vertical="center"/>
    </xf>
    <xf numFmtId="0" fontId="4" fillId="0" borderId="2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4" fontId="4" fillId="0" borderId="16" xfId="0" applyNumberFormat="1" applyFont="1" applyBorder="1" applyAlignment="1">
      <alignment horizontal="center"/>
    </xf>
    <xf numFmtId="0" fontId="5" fillId="3" borderId="8" xfId="0" applyFont="1" applyFill="1" applyBorder="1" applyAlignment="1">
      <alignment horizontal="center" vertical="center" textRotation="90"/>
    </xf>
    <xf numFmtId="0" fontId="5" fillId="3" borderId="13" xfId="0" applyFont="1" applyFill="1" applyBorder="1" applyAlignment="1">
      <alignment horizontal="center" vertical="center" textRotation="90"/>
    </xf>
    <xf numFmtId="0" fontId="5" fillId="3" borderId="17" xfId="0" applyFont="1" applyFill="1" applyBorder="1" applyAlignment="1">
      <alignment horizontal="center" vertical="center" textRotation="90"/>
    </xf>
    <xf numFmtId="4" fontId="4" fillId="0" borderId="11" xfId="0" applyNumberFormat="1" applyFont="1" applyBorder="1" applyAlignment="1">
      <alignment horizontal="right"/>
    </xf>
    <xf numFmtId="4" fontId="4" fillId="0" borderId="14" xfId="0" applyNumberFormat="1" applyFont="1" applyBorder="1" applyAlignment="1">
      <alignment horizontal="right"/>
    </xf>
    <xf numFmtId="4" fontId="4" fillId="0" borderId="19" xfId="0" applyNumberFormat="1" applyFont="1" applyBorder="1" applyAlignment="1">
      <alignment horizontal="right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44" fontId="12" fillId="3" borderId="16" xfId="0" applyNumberFormat="1" applyFont="1" applyFill="1" applyBorder="1" applyAlignment="1">
      <alignment horizontal="center"/>
    </xf>
    <xf numFmtId="0" fontId="0" fillId="0" borderId="6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30" xfId="0" applyBorder="1" applyAlignment="1">
      <alignment horizontal="right" vertical="center"/>
    </xf>
    <xf numFmtId="0" fontId="0" fillId="0" borderId="26" xfId="0" applyBorder="1" applyAlignment="1">
      <alignment horizontal="right" vertical="center"/>
    </xf>
    <xf numFmtId="43" fontId="4" fillId="0" borderId="45" xfId="1" applyFont="1" applyBorder="1" applyAlignment="1">
      <alignment horizontal="left" vertical="center"/>
    </xf>
    <xf numFmtId="43" fontId="4" fillId="0" borderId="44" xfId="1" applyFont="1" applyBorder="1" applyAlignment="1">
      <alignment horizontal="left" vertical="center"/>
    </xf>
    <xf numFmtId="0" fontId="0" fillId="0" borderId="9" xfId="0" applyBorder="1" applyAlignment="1">
      <alignment horizontal="right" vertical="center" wrapText="1"/>
    </xf>
    <xf numFmtId="0" fontId="0" fillId="0" borderId="35" xfId="0" applyBorder="1" applyAlignment="1">
      <alignment horizontal="right" vertical="center" wrapText="1"/>
    </xf>
    <xf numFmtId="0" fontId="0" fillId="3" borderId="16" xfId="0" applyFill="1" applyBorder="1" applyAlignment="1">
      <alignment horizontal="center"/>
    </xf>
    <xf numFmtId="44" fontId="11" fillId="3" borderId="16" xfId="0" applyNumberFormat="1" applyFont="1" applyFill="1" applyBorder="1" applyAlignment="1">
      <alignment horizontal="right"/>
    </xf>
    <xf numFmtId="0" fontId="11" fillId="0" borderId="32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4" fontId="12" fillId="0" borderId="16" xfId="0" applyNumberFormat="1" applyFont="1" applyBorder="1" applyAlignment="1">
      <alignment horizontal="right"/>
    </xf>
    <xf numFmtId="4" fontId="4" fillId="0" borderId="23" xfId="0" applyNumberFormat="1" applyFont="1" applyBorder="1" applyAlignment="1">
      <alignment horizontal="right"/>
    </xf>
    <xf numFmtId="44" fontId="4" fillId="0" borderId="27" xfId="0" applyNumberFormat="1" applyFont="1" applyBorder="1" applyAlignment="1">
      <alignment horizontal="center"/>
    </xf>
    <xf numFmtId="44" fontId="4" fillId="0" borderId="41" xfId="0" applyNumberFormat="1" applyFont="1" applyBorder="1" applyAlignment="1">
      <alignment horizontal="center"/>
    </xf>
    <xf numFmtId="44" fontId="4" fillId="0" borderId="22" xfId="0" applyNumberFormat="1" applyFont="1" applyBorder="1" applyAlignment="1">
      <alignment horizontal="center"/>
    </xf>
    <xf numFmtId="44" fontId="4" fillId="0" borderId="12" xfId="0" applyNumberFormat="1" applyFont="1" applyBorder="1" applyAlignment="1">
      <alignment horizontal="right"/>
    </xf>
    <xf numFmtId="44" fontId="4" fillId="0" borderId="28" xfId="0" applyNumberFormat="1" applyFont="1" applyBorder="1" applyAlignment="1">
      <alignment horizontal="right"/>
    </xf>
    <xf numFmtId="44" fontId="4" fillId="0" borderId="23" xfId="0" applyNumberFormat="1" applyFont="1" applyBorder="1" applyAlignment="1">
      <alignment horizontal="right"/>
    </xf>
    <xf numFmtId="44" fontId="4" fillId="0" borderId="11" xfId="0" applyNumberFormat="1" applyFont="1" applyBorder="1" applyAlignment="1">
      <alignment horizontal="right"/>
    </xf>
    <xf numFmtId="44" fontId="4" fillId="0" borderId="14" xfId="0" applyNumberFormat="1" applyFont="1" applyBorder="1" applyAlignment="1">
      <alignment horizontal="right"/>
    </xf>
    <xf numFmtId="44" fontId="4" fillId="0" borderId="19" xfId="0" applyNumberFormat="1" applyFont="1" applyBorder="1" applyAlignment="1">
      <alignment horizontal="right"/>
    </xf>
    <xf numFmtId="44" fontId="4" fillId="0" borderId="47" xfId="0" applyNumberFormat="1" applyFont="1" applyBorder="1" applyAlignment="1">
      <alignment horizontal="right"/>
    </xf>
    <xf numFmtId="44" fontId="4" fillId="0" borderId="48" xfId="0" applyNumberFormat="1" applyFont="1" applyBorder="1" applyAlignment="1">
      <alignment horizontal="right"/>
    </xf>
    <xf numFmtId="44" fontId="4" fillId="0" borderId="49" xfId="0" applyNumberFormat="1" applyFont="1" applyBorder="1" applyAlignment="1">
      <alignment horizontal="right"/>
    </xf>
    <xf numFmtId="43" fontId="4" fillId="0" borderId="12" xfId="1" applyFont="1" applyBorder="1" applyAlignment="1">
      <alignment horizontal="left"/>
    </xf>
    <xf numFmtId="43" fontId="4" fillId="0" borderId="28" xfId="1" applyFont="1" applyBorder="1" applyAlignment="1">
      <alignment horizontal="left"/>
    </xf>
    <xf numFmtId="43" fontId="4" fillId="0" borderId="23" xfId="1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43" fontId="12" fillId="0" borderId="12" xfId="1" applyFont="1" applyBorder="1" applyAlignment="1">
      <alignment horizontal="left"/>
    </xf>
    <xf numFmtId="43" fontId="12" fillId="0" borderId="28" xfId="1" applyFont="1" applyBorder="1" applyAlignment="1">
      <alignment horizontal="left"/>
    </xf>
    <xf numFmtId="43" fontId="12" fillId="0" borderId="23" xfId="1" applyFont="1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3" xfId="0" applyBorder="1" applyAlignment="1">
      <alignment horizontal="left"/>
    </xf>
    <xf numFmtId="43" fontId="6" fillId="0" borderId="27" xfId="1" applyFont="1" applyBorder="1" applyAlignment="1">
      <alignment horizontal="right"/>
    </xf>
    <xf numFmtId="43" fontId="6" fillId="0" borderId="41" xfId="1" applyFont="1" applyBorder="1" applyAlignment="1">
      <alignment horizontal="right"/>
    </xf>
    <xf numFmtId="43" fontId="6" fillId="0" borderId="22" xfId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2" xfId="0" applyBorder="1" applyAlignment="1">
      <alignment horizontal="left"/>
    </xf>
    <xf numFmtId="4" fontId="12" fillId="0" borderId="23" xfId="0" applyNumberFormat="1" applyFont="1" applyBorder="1"/>
    <xf numFmtId="4" fontId="12" fillId="0" borderId="16" xfId="0" applyNumberFormat="1" applyFont="1" applyBorder="1"/>
    <xf numFmtId="4" fontId="4" fillId="0" borderId="23" xfId="0" applyNumberFormat="1" applyFont="1" applyBorder="1"/>
    <xf numFmtId="4" fontId="4" fillId="0" borderId="16" xfId="0" applyNumberFormat="1" applyFont="1" applyBorder="1"/>
    <xf numFmtId="165" fontId="23" fillId="0" borderId="6" xfId="0" applyNumberFormat="1" applyFont="1" applyBorder="1" applyAlignment="1">
      <alignment horizontal="left" vertical="center"/>
    </xf>
    <xf numFmtId="165" fontId="23" fillId="0" borderId="4" xfId="0" applyNumberFormat="1" applyFont="1" applyBorder="1" applyAlignment="1">
      <alignment horizontal="left" vertical="center"/>
    </xf>
    <xf numFmtId="165" fontId="23" fillId="0" borderId="7" xfId="0" applyNumberFormat="1" applyFont="1" applyBorder="1" applyAlignment="1">
      <alignment horizontal="left" vertical="center"/>
    </xf>
    <xf numFmtId="165" fontId="23" fillId="0" borderId="50" xfId="0" applyNumberFormat="1" applyFont="1" applyBorder="1" applyAlignment="1">
      <alignment horizontal="left" vertical="center"/>
    </xf>
    <xf numFmtId="165" fontId="23" fillId="0" borderId="51" xfId="0" applyNumberFormat="1" applyFont="1" applyBorder="1" applyAlignment="1">
      <alignment horizontal="left" vertical="center"/>
    </xf>
    <xf numFmtId="165" fontId="23" fillId="0" borderId="52" xfId="0" applyNumberFormat="1" applyFont="1" applyBorder="1" applyAlignment="1">
      <alignment horizontal="left" vertical="center"/>
    </xf>
    <xf numFmtId="44" fontId="12" fillId="3" borderId="16" xfId="0" applyNumberFormat="1" applyFont="1" applyFill="1" applyBorder="1" applyAlignment="1">
      <alignment horizontal="right"/>
    </xf>
    <xf numFmtId="4" fontId="12" fillId="0" borderId="23" xfId="0" applyNumberFormat="1" applyFont="1" applyBorder="1" applyAlignment="1">
      <alignment horizontal="right"/>
    </xf>
    <xf numFmtId="165" fontId="8" fillId="0" borderId="6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5" fontId="8" fillId="0" borderId="7" xfId="0" applyNumberFormat="1" applyFont="1" applyBorder="1" applyAlignment="1">
      <alignment horizontal="left" vertical="center"/>
    </xf>
    <xf numFmtId="165" fontId="8" fillId="0" borderId="50" xfId="0" applyNumberFormat="1" applyFont="1" applyBorder="1" applyAlignment="1">
      <alignment horizontal="left" vertical="center"/>
    </xf>
    <xf numFmtId="165" fontId="8" fillId="0" borderId="51" xfId="0" applyNumberFormat="1" applyFont="1" applyBorder="1" applyAlignment="1">
      <alignment horizontal="left" vertical="center"/>
    </xf>
    <xf numFmtId="165" fontId="8" fillId="0" borderId="52" xfId="0" applyNumberFormat="1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5C9F51-92B1-4D81-89A5-79AB9722C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972696-EF49-4A69-A96D-48B11D9C4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46</xdr:row>
      <xdr:rowOff>129855</xdr:rowOff>
    </xdr:from>
    <xdr:to>
      <xdr:col>3</xdr:col>
      <xdr:colOff>1228725</xdr:colOff>
      <xdr:row>66</xdr:row>
      <xdr:rowOff>3872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6AC297-3553-41CA-8431-26E9B15AD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9111930"/>
          <a:ext cx="2800350" cy="37316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5B6B48-98D6-4FC7-91A8-CC7FE988D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E35F63-64DD-49B8-A47B-66AB8DB57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D17397-4B18-422D-987F-D9B07015E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133350</xdr:rowOff>
    </xdr:from>
    <xdr:to>
      <xdr:col>3</xdr:col>
      <xdr:colOff>1181100</xdr:colOff>
      <xdr:row>66</xdr:row>
      <xdr:rowOff>7367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08EE23-9807-4939-8782-CDFC4F4FB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15425"/>
          <a:ext cx="2800350" cy="373164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210B45-69F0-40B6-A71C-B3C53CCE0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11DE24-F3B1-4258-8A6E-E58823E8B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C84782-0407-4746-A5B5-E2D6E1C24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46</xdr:row>
      <xdr:rowOff>142875</xdr:rowOff>
    </xdr:from>
    <xdr:to>
      <xdr:col>3</xdr:col>
      <xdr:colOff>1133475</xdr:colOff>
      <xdr:row>66</xdr:row>
      <xdr:rowOff>16892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2FFD0C-69D0-4230-87ED-E63181675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9124950"/>
          <a:ext cx="2800350" cy="373164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F9EAA3-E133-4DCB-BF91-C97FDEC74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E9F02B-7F5A-4D87-B0FA-24B0C1275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E1A965-6079-4CD7-B332-17B091FA8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46</xdr:row>
      <xdr:rowOff>142875</xdr:rowOff>
    </xdr:from>
    <xdr:to>
      <xdr:col>3</xdr:col>
      <xdr:colOff>1219200</xdr:colOff>
      <xdr:row>66</xdr:row>
      <xdr:rowOff>16892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BF290B-1956-4B46-A50D-602265534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124950"/>
          <a:ext cx="2800350" cy="373164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880B96-AC6A-4ED7-B3C9-8EBF880F7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D92EB5-1E3C-4DFC-9D2A-61696F0FD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7DF647-63BB-4681-B263-384F063FE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46</xdr:row>
      <xdr:rowOff>152400</xdr:rowOff>
    </xdr:from>
    <xdr:to>
      <xdr:col>3</xdr:col>
      <xdr:colOff>1152525</xdr:colOff>
      <xdr:row>66</xdr:row>
      <xdr:rowOff>26417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06A348-7582-46FC-8ABF-C2E206CEA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9134475"/>
          <a:ext cx="2800350" cy="373164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54</xdr:row>
      <xdr:rowOff>104775</xdr:rowOff>
    </xdr:from>
    <xdr:to>
      <xdr:col>3</xdr:col>
      <xdr:colOff>533400</xdr:colOff>
      <xdr:row>58</xdr:row>
      <xdr:rowOff>1458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287DA7-40C5-45A3-8310-EBB8644AC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95300" y="10658475"/>
          <a:ext cx="1847850" cy="65868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04F89A-4C56-4D27-849B-889514C3F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A68B97-95E6-4681-8043-ABA98F58E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46</xdr:row>
      <xdr:rowOff>171450</xdr:rowOff>
    </xdr:from>
    <xdr:to>
      <xdr:col>3</xdr:col>
      <xdr:colOff>1200150</xdr:colOff>
      <xdr:row>66</xdr:row>
      <xdr:rowOff>45467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EEE5F1-6E9C-42D2-9F35-BB9B14A5D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9153525"/>
          <a:ext cx="2800350" cy="373164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8101C7-7CB1-44E8-A25D-58C4B4961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3AD32D-79DC-4105-9D42-15939A1B2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1E8CAC-51BC-436B-9BDD-C10308D25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46</xdr:row>
      <xdr:rowOff>161925</xdr:rowOff>
    </xdr:from>
    <xdr:to>
      <xdr:col>3</xdr:col>
      <xdr:colOff>1200150</xdr:colOff>
      <xdr:row>66</xdr:row>
      <xdr:rowOff>35942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C08841-04CB-4AF7-B3EB-F532AD9BA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238126</xdr:colOff>
      <xdr:row>54</xdr:row>
      <xdr:rowOff>105352</xdr:rowOff>
    </xdr:from>
    <xdr:to>
      <xdr:col>3</xdr:col>
      <xdr:colOff>466726</xdr:colOff>
      <xdr:row>58</xdr:row>
      <xdr:rowOff>2035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1B8E27-A9A5-4F89-BAF6-EBB954EA6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28626" y="10659052"/>
          <a:ext cx="1847850" cy="65868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4BF723-4369-483A-AB2E-16E567667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0174D9-1B44-4331-982D-E1918D944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142875</xdr:rowOff>
    </xdr:from>
    <xdr:to>
      <xdr:col>3</xdr:col>
      <xdr:colOff>1181100</xdr:colOff>
      <xdr:row>66</xdr:row>
      <xdr:rowOff>16892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CAC406-9B93-47D7-A358-580614E67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24950"/>
          <a:ext cx="2800350" cy="3731642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4C98A8-E2D9-4EDB-A7B8-C1953DECB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540F82-230C-4D8D-863E-8C6DAEDEB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450176-86C6-4053-8DD4-551DFF42B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46</xdr:row>
      <xdr:rowOff>142875</xdr:rowOff>
    </xdr:from>
    <xdr:to>
      <xdr:col>3</xdr:col>
      <xdr:colOff>1152525</xdr:colOff>
      <xdr:row>66</xdr:row>
      <xdr:rowOff>16892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D36929-BA15-411B-BFE5-77319A732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9124950"/>
          <a:ext cx="2800350" cy="3731642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B19628-CEFA-4756-A719-BEF3368F0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1FB72C-72DD-4886-9B7D-07EA21F3B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B109B2-EF2C-4421-8042-E235F17F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152400</xdr:rowOff>
    </xdr:from>
    <xdr:to>
      <xdr:col>3</xdr:col>
      <xdr:colOff>1181100</xdr:colOff>
      <xdr:row>66</xdr:row>
      <xdr:rowOff>26417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5652C5-7CBF-440D-8B9E-AF4572C13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34475"/>
          <a:ext cx="2800350" cy="3731642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40E566-44A4-488C-A4C3-E3FA838E6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47EB07-5713-4624-BC93-3836CA8D9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48CC11-9871-436E-82DF-6CC7C5EBB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46</xdr:row>
      <xdr:rowOff>161925</xdr:rowOff>
    </xdr:from>
    <xdr:to>
      <xdr:col>3</xdr:col>
      <xdr:colOff>1200150</xdr:colOff>
      <xdr:row>66</xdr:row>
      <xdr:rowOff>35942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6B907A-D95F-4571-A38D-A28CADDBE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180D63-C24A-4EAB-B6BC-C35CA44AD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46CFC7-28E1-4ED0-AF03-71D3F531D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03A075-5BC4-44F9-AF04-0D921D09B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161925</xdr:rowOff>
    </xdr:from>
    <xdr:to>
      <xdr:col>3</xdr:col>
      <xdr:colOff>1181100</xdr:colOff>
      <xdr:row>66</xdr:row>
      <xdr:rowOff>35942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98F31F-DCCE-4E76-B7B6-B441705EA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144000"/>
          <a:ext cx="2800350" cy="3731642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A1F95A-6580-4985-9115-56F0DF65E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03EC68-47D4-4AE6-9819-E46BC4818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859D9E-8E9D-47D5-8132-1A45D8368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46</xdr:row>
      <xdr:rowOff>190500</xdr:rowOff>
    </xdr:from>
    <xdr:to>
      <xdr:col>3</xdr:col>
      <xdr:colOff>1171575</xdr:colOff>
      <xdr:row>66</xdr:row>
      <xdr:rowOff>64517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2845CB-BA0C-489E-940B-BE35E9FAC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9172575"/>
          <a:ext cx="2800350" cy="3731642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FAE62A-2AD1-4B4A-8B8D-1C29F9397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2826-7E98-4473-9814-1B8909A373CC}">
  <dimension ref="A1"/>
  <sheetViews>
    <sheetView workbookViewId="0">
      <selection activeCell="K25" sqref="K25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7E892-0B5C-4E84-8213-D4BEBB407C9A}">
  <dimension ref="A1:S59"/>
  <sheetViews>
    <sheetView zoomScaleNormal="100" zoomScaleSheetLayoutView="85" workbookViewId="0">
      <selection activeCell="G54" sqref="G5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7" t="s">
        <v>1</v>
      </c>
      <c r="O1" s="207"/>
      <c r="P1" s="88" t="s">
        <v>2</v>
      </c>
      <c r="Q1" s="88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8" t="s">
        <v>7</v>
      </c>
      <c r="B4" s="159"/>
      <c r="C4" s="159"/>
      <c r="D4" s="160"/>
      <c r="F4" s="208" t="s">
        <v>8</v>
      </c>
      <c r="G4" s="210"/>
      <c r="H4" s="212" t="s">
        <v>9</v>
      </c>
      <c r="I4" s="214"/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3"/>
      <c r="B6" s="16"/>
      <c r="C6" s="10"/>
      <c r="D6" s="13">
        <f t="shared" ref="D6:D28" si="1">C6*L6</f>
        <v>0</v>
      </c>
      <c r="F6" s="218" t="s">
        <v>16</v>
      </c>
      <c r="G6" s="220"/>
      <c r="H6" s="221"/>
      <c r="I6" s="221"/>
      <c r="J6" s="22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3"/>
      <c r="B7" s="16"/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3"/>
      <c r="B8" s="16"/>
      <c r="C8" s="10"/>
      <c r="D8" s="13">
        <f t="shared" si="1"/>
        <v>0</v>
      </c>
      <c r="F8" s="226" t="s">
        <v>21</v>
      </c>
      <c r="G8" s="227"/>
      <c r="H8" s="228"/>
      <c r="I8" s="228"/>
      <c r="J8" s="22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3"/>
      <c r="B9" s="16"/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3"/>
      <c r="C10" s="10"/>
      <c r="D10" s="13">
        <f t="shared" si="1"/>
        <v>0</v>
      </c>
      <c r="F10" s="218" t="s">
        <v>26</v>
      </c>
      <c r="G10" s="233"/>
      <c r="H10" s="234"/>
      <c r="I10" s="234"/>
      <c r="J10" s="235"/>
      <c r="K10" s="8"/>
      <c r="L10" s="6">
        <f>R36</f>
        <v>972</v>
      </c>
      <c r="P10" s="4"/>
      <c r="Q10" s="4"/>
      <c r="R10" s="5"/>
    </row>
    <row r="11" spans="1:19" ht="15.75" x14ac:dyDescent="0.25">
      <c r="A11" s="153"/>
      <c r="B11" s="17"/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3"/>
      <c r="B12" s="17"/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3"/>
      <c r="B13" s="17"/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3"/>
      <c r="B14" s="14"/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3"/>
      <c r="B15" s="14"/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3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19"/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14"/>
      <c r="C19" s="10"/>
      <c r="D19" s="48">
        <f t="shared" si="1"/>
        <v>0</v>
      </c>
      <c r="F19" s="56"/>
      <c r="G19" s="68" t="s">
        <v>49</v>
      </c>
      <c r="H19" s="176"/>
      <c r="I19" s="176"/>
      <c r="J19" s="17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3"/>
      <c r="B20" s="46"/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3"/>
      <c r="B22" s="46"/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/>
      <c r="C23" s="10"/>
      <c r="D23" s="48">
        <f t="shared" si="1"/>
        <v>0</v>
      </c>
      <c r="F23" s="77"/>
      <c r="G23" s="78"/>
      <c r="H23" s="181"/>
      <c r="I23" s="150"/>
      <c r="J23" s="150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/>
      <c r="C24" s="10"/>
      <c r="D24" s="48">
        <f t="shared" si="1"/>
        <v>0</v>
      </c>
      <c r="F24" s="38"/>
      <c r="G24" s="37"/>
      <c r="H24" s="181"/>
      <c r="I24" s="150"/>
      <c r="J24" s="150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/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3"/>
      <c r="B27" s="14"/>
      <c r="C27" s="10"/>
      <c r="D27" s="44">
        <f t="shared" si="1"/>
        <v>0</v>
      </c>
      <c r="F27" s="25"/>
      <c r="G27" s="79"/>
      <c r="H27" s="188"/>
      <c r="I27" s="189"/>
      <c r="J27" s="19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/>
      <c r="C28" s="10"/>
      <c r="D28" s="48">
        <f t="shared" si="1"/>
        <v>0</v>
      </c>
      <c r="F28" s="89"/>
      <c r="G28" s="61"/>
      <c r="H28" s="191"/>
      <c r="I28" s="192"/>
      <c r="J28" s="19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0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55"/>
      <c r="I34" s="156"/>
      <c r="J34" s="157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/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/>
      <c r="I36" s="156"/>
      <c r="J36" s="157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/>
      <c r="I37" s="156"/>
      <c r="J37" s="157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/>
      <c r="I38" s="156"/>
      <c r="J38" s="157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/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87" t="s">
        <v>82</v>
      </c>
      <c r="H43" s="147" t="s">
        <v>13</v>
      </c>
      <c r="I43" s="148"/>
      <c r="J43" s="149"/>
      <c r="K43" s="21"/>
      <c r="P43" s="4"/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75"/>
      <c r="H44" s="150"/>
      <c r="I44" s="150"/>
      <c r="J44" s="150"/>
      <c r="K44" s="21"/>
      <c r="P44" s="4"/>
      <c r="Q44" s="4"/>
      <c r="R44" s="5"/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/>
      <c r="D50" s="12">
        <f>C50*1.5</f>
        <v>0</v>
      </c>
      <c r="F50" s="132"/>
      <c r="G50" s="136"/>
      <c r="H50" s="137"/>
      <c r="I50" s="137"/>
      <c r="J50" s="138"/>
      <c r="P50" s="4"/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106</v>
      </c>
      <c r="G51" s="141">
        <f>G49-H29</f>
        <v>0</v>
      </c>
      <c r="H51" s="142"/>
      <c r="I51" s="142"/>
      <c r="J51" s="143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6"/>
      <c r="B52" s="29"/>
      <c r="C52" s="33"/>
      <c r="D52" s="45"/>
      <c r="F52" s="140"/>
      <c r="G52" s="144"/>
      <c r="H52" s="145"/>
      <c r="I52" s="145"/>
      <c r="J52" s="14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AEBBA-D316-42F4-9EC3-07F8BAADED3C}">
  <dimension ref="A1:R59"/>
  <sheetViews>
    <sheetView topLeftCell="A34" zoomScaleNormal="100" zoomScaleSheetLayoutView="85" workbookViewId="0">
      <selection activeCell="D64" sqref="D6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1</v>
      </c>
      <c r="H4" s="212" t="s">
        <v>9</v>
      </c>
      <c r="I4" s="214">
        <v>46174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>
        <v>570</v>
      </c>
      <c r="D6" s="13">
        <f t="shared" ref="D6:D28" si="1">C6*L6</f>
        <v>433770</v>
      </c>
      <c r="F6" s="218" t="s">
        <v>16</v>
      </c>
      <c r="G6" s="220" t="s">
        <v>142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>
        <v>10</v>
      </c>
      <c r="D7" s="13">
        <f t="shared" si="1"/>
        <v>7810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99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>
        <v>13</v>
      </c>
      <c r="D9" s="13">
        <f t="shared" si="1"/>
        <v>9529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>
        <v>10</v>
      </c>
      <c r="D10" s="13">
        <f t="shared" si="1"/>
        <v>10320</v>
      </c>
      <c r="F10" s="218" t="s">
        <v>26</v>
      </c>
      <c r="G10" s="233" t="s">
        <v>108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>
        <v>10</v>
      </c>
      <c r="D12" s="48">
        <f t="shared" si="1"/>
        <v>9920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>
        <v>6</v>
      </c>
      <c r="D13" s="48">
        <f t="shared" si="1"/>
        <v>1842</v>
      </c>
      <c r="F13" s="239" t="s">
        <v>36</v>
      </c>
      <c r="G13" s="203"/>
      <c r="H13" s="194">
        <f>D29</f>
        <v>475222.5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>
        <v>12</v>
      </c>
      <c r="D14" s="31">
        <f t="shared" si="1"/>
        <v>132</v>
      </c>
      <c r="F14" s="197" t="s">
        <v>38</v>
      </c>
      <c r="G14" s="198"/>
      <c r="H14" s="199">
        <f>D54</f>
        <v>54630.75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420591.75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>
        <v>2</v>
      </c>
      <c r="D16" s="48">
        <f t="shared" si="1"/>
        <v>1300</v>
      </c>
      <c r="F16" s="67" t="s">
        <v>41</v>
      </c>
      <c r="G16" s="66" t="s">
        <v>42</v>
      </c>
      <c r="H16" s="164">
        <v>2760</v>
      </c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164"/>
      <c r="I19" s="164"/>
      <c r="J19" s="164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130</v>
      </c>
      <c r="C21" s="10">
        <v>22</v>
      </c>
      <c r="D21" s="48">
        <f t="shared" si="1"/>
        <v>491.33333333333331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f>500/24+1.5</f>
        <v>22.333333333333332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131</v>
      </c>
      <c r="C23" s="10">
        <v>1</v>
      </c>
      <c r="D23" s="48">
        <f t="shared" si="1"/>
        <v>108.16666666666667</v>
      </c>
      <c r="F23" s="76"/>
      <c r="G23" s="78"/>
      <c r="H23" s="240"/>
      <c r="I23" s="241"/>
      <c r="J23" s="241"/>
      <c r="L23" s="47">
        <f>622/6+4.5</f>
        <v>108.16666666666667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76"/>
      <c r="G24" s="78"/>
      <c r="H24" s="240"/>
      <c r="I24" s="241"/>
      <c r="J24" s="24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74" t="s">
        <v>136</v>
      </c>
      <c r="G26" s="65">
        <v>10819</v>
      </c>
      <c r="H26" s="150">
        <v>68780</v>
      </c>
      <c r="I26" s="150"/>
      <c r="J26" s="15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71"/>
      <c r="G27" s="94"/>
      <c r="H27" s="242"/>
      <c r="I27" s="243"/>
      <c r="J27" s="24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92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475222.5</v>
      </c>
      <c r="F29" s="111" t="s">
        <v>54</v>
      </c>
      <c r="G29" s="173"/>
      <c r="H29" s="133">
        <f>H15-H16-H17-H18-H19-H20-H22-H23-H24+H26+H27+H28</f>
        <v>486611.75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3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>
        <v>2</v>
      </c>
      <c r="D34" s="30">
        <f>C34*120</f>
        <v>240</v>
      </c>
      <c r="F34" s="12">
        <v>1000</v>
      </c>
      <c r="G34" s="40">
        <v>116</v>
      </c>
      <c r="H34" s="155">
        <f t="shared" ref="H34:H39" si="2">F34*G34</f>
        <v>116000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>
        <v>9</v>
      </c>
      <c r="H35" s="155">
        <f t="shared" si="2"/>
        <v>4500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>
        <v>4</v>
      </c>
      <c r="D36" s="12">
        <f>C36*1.5</f>
        <v>6</v>
      </c>
      <c r="F36" s="12">
        <v>200</v>
      </c>
      <c r="G36" s="37"/>
      <c r="H36" s="155">
        <f t="shared" si="2"/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>
        <v>440</v>
      </c>
      <c r="D37" s="12">
        <f>C37*111</f>
        <v>48840</v>
      </c>
      <c r="F37" s="12">
        <v>100</v>
      </c>
      <c r="G37" s="39">
        <v>2</v>
      </c>
      <c r="H37" s="155">
        <f t="shared" si="2"/>
        <v>200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>
        <v>6</v>
      </c>
      <c r="D38" s="12">
        <f>C38*84</f>
        <v>504</v>
      </c>
      <c r="F38" s="30">
        <v>50</v>
      </c>
      <c r="G38" s="39"/>
      <c r="H38" s="155">
        <f t="shared" si="2"/>
        <v>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>
        <v>1</v>
      </c>
      <c r="D39" s="31">
        <f>C39*4.5</f>
        <v>4.5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>
        <v>8</v>
      </c>
      <c r="D40" s="12">
        <f>C40*111</f>
        <v>888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>
        <v>7</v>
      </c>
      <c r="D42" s="12">
        <f>C42*2.25</f>
        <v>15.75</v>
      </c>
      <c r="F42" s="39" t="s">
        <v>78</v>
      </c>
      <c r="G42" s="155">
        <v>80</v>
      </c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4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>
        <v>14</v>
      </c>
      <c r="D44" s="12">
        <f>C44*120</f>
        <v>1680</v>
      </c>
      <c r="F44" s="37" t="s">
        <v>132</v>
      </c>
      <c r="G44" s="62" t="s">
        <v>133</v>
      </c>
      <c r="H44" s="150">
        <v>317788</v>
      </c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 t="s">
        <v>132</v>
      </c>
      <c r="G45" s="62" t="s">
        <v>134</v>
      </c>
      <c r="H45" s="150">
        <v>13533</v>
      </c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107" t="s">
        <v>135</v>
      </c>
      <c r="H46" s="150">
        <v>33800</v>
      </c>
      <c r="I46" s="150"/>
      <c r="J46" s="150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>
        <v>16</v>
      </c>
      <c r="D48" s="12">
        <f>C48*78</f>
        <v>1248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>
        <v>26</v>
      </c>
      <c r="D49" s="12">
        <f>C49*42</f>
        <v>1092</v>
      </c>
      <c r="F49" s="131" t="s">
        <v>85</v>
      </c>
      <c r="G49" s="133">
        <f>H34+H35+H36+H37+H38+H39+H40+H41+G42+H44+H45+H46</f>
        <v>485901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>
        <v>19</v>
      </c>
      <c r="D50" s="12">
        <f>C50*1.5</f>
        <v>28.5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138</v>
      </c>
      <c r="G51" s="244">
        <f>G49-H29</f>
        <v>-710.75</v>
      </c>
      <c r="H51" s="245"/>
      <c r="I51" s="245"/>
      <c r="J51" s="246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247"/>
      <c r="H52" s="248"/>
      <c r="I52" s="248"/>
      <c r="J52" s="24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54630.75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0300-D5DF-4ECC-B875-3DCA2AF990E5}">
  <dimension ref="A1:R59"/>
  <sheetViews>
    <sheetView topLeftCell="A40" zoomScaleNormal="100" zoomScaleSheetLayoutView="85" workbookViewId="0">
      <selection activeCell="C70" sqref="C70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2</v>
      </c>
      <c r="H4" s="212" t="s">
        <v>9</v>
      </c>
      <c r="I4" s="214">
        <v>46174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>
        <v>275</v>
      </c>
      <c r="D6" s="13">
        <f t="shared" ref="D6:D28" si="1">C6*L6</f>
        <v>209275</v>
      </c>
      <c r="F6" s="218" t="s">
        <v>16</v>
      </c>
      <c r="G6" s="220" t="s">
        <v>107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>
        <v>6</v>
      </c>
      <c r="D7" s="13">
        <f t="shared" si="1"/>
        <v>4686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100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>
        <v>40</v>
      </c>
      <c r="D9" s="13">
        <f t="shared" si="1"/>
        <v>29320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/>
      <c r="D10" s="13">
        <f t="shared" si="1"/>
        <v>0</v>
      </c>
      <c r="F10" s="218" t="s">
        <v>26</v>
      </c>
      <c r="G10" s="233" t="s">
        <v>101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>
        <v>1</v>
      </c>
      <c r="D11" s="13">
        <f t="shared" si="1"/>
        <v>1170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>
        <v>1</v>
      </c>
      <c r="D12" s="48">
        <f t="shared" si="1"/>
        <v>992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>
        <v>3</v>
      </c>
      <c r="D13" s="48">
        <f t="shared" si="1"/>
        <v>921</v>
      </c>
      <c r="F13" s="239" t="s">
        <v>36</v>
      </c>
      <c r="G13" s="203"/>
      <c r="H13" s="194">
        <f>D29</f>
        <v>247146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>
        <v>12</v>
      </c>
      <c r="D14" s="31">
        <f t="shared" si="1"/>
        <v>132</v>
      </c>
      <c r="F14" s="197" t="s">
        <v>38</v>
      </c>
      <c r="G14" s="198"/>
      <c r="H14" s="199">
        <f>D54</f>
        <v>36182.25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210963.75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>
        <v>1</v>
      </c>
      <c r="D16" s="48">
        <f t="shared" si="1"/>
        <v>650</v>
      </c>
      <c r="F16" s="67" t="s">
        <v>41</v>
      </c>
      <c r="G16" s="66" t="s">
        <v>42</v>
      </c>
      <c r="H16" s="164">
        <v>696</v>
      </c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50"/>
      <c r="I19" s="250"/>
      <c r="J19" s="250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128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7"/>
      <c r="G23" s="78"/>
      <c r="H23" s="251"/>
      <c r="I23" s="180"/>
      <c r="J23" s="18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38"/>
      <c r="G24" s="37"/>
      <c r="H24" s="181"/>
      <c r="I24" s="150"/>
      <c r="J24" s="15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25"/>
      <c r="G27" s="79"/>
      <c r="H27" s="188"/>
      <c r="I27" s="189"/>
      <c r="J27" s="19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92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247146</v>
      </c>
      <c r="F29" s="111" t="s">
        <v>54</v>
      </c>
      <c r="G29" s="173"/>
      <c r="H29" s="133">
        <f>H15-H16-H17-H18-H19-H20-H22-H23-H24+H26+H27</f>
        <v>210267.75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3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186</v>
      </c>
      <c r="H34" s="155">
        <f>F34*G34</f>
        <v>186000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>
        <v>47</v>
      </c>
      <c r="H35" s="155">
        <f>F35*G35</f>
        <v>23500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>
        <v>4</v>
      </c>
      <c r="D36" s="12">
        <f>C36*1.5</f>
        <v>6</v>
      </c>
      <c r="F36" s="12">
        <v>200</v>
      </c>
      <c r="G36" s="37"/>
      <c r="H36" s="155">
        <f t="shared" ref="H36:H39" si="2">F36*G36</f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>
        <v>312</v>
      </c>
      <c r="D37" s="12">
        <f>C37*111</f>
        <v>34632</v>
      </c>
      <c r="F37" s="12">
        <v>100</v>
      </c>
      <c r="G37" s="39">
        <v>3</v>
      </c>
      <c r="H37" s="155">
        <f t="shared" si="2"/>
        <v>300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>
        <v>6</v>
      </c>
      <c r="D38" s="12">
        <f>C38*84</f>
        <v>504</v>
      </c>
      <c r="F38" s="30">
        <v>50</v>
      </c>
      <c r="G38" s="39">
        <v>1</v>
      </c>
      <c r="H38" s="155">
        <f t="shared" si="2"/>
        <v>50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>
        <v>4</v>
      </c>
      <c r="D39" s="31">
        <f>C39*4.5</f>
        <v>18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>
        <v>4</v>
      </c>
      <c r="D40" s="12">
        <f>C40*111</f>
        <v>444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>
        <v>7</v>
      </c>
      <c r="D42" s="12">
        <f>C42*2.25</f>
        <v>15.75</v>
      </c>
      <c r="F42" s="39" t="s">
        <v>78</v>
      </c>
      <c r="G42" s="155">
        <v>242</v>
      </c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4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>
        <v>2</v>
      </c>
      <c r="D44" s="12">
        <f>C44*120</f>
        <v>240</v>
      </c>
      <c r="F44" s="37"/>
      <c r="G44" s="75"/>
      <c r="H44" s="150"/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>
        <v>3</v>
      </c>
      <c r="D48" s="12">
        <f>C48*78</f>
        <v>234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210092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80">
        <v>3</v>
      </c>
      <c r="D50" s="12">
        <f>C50*1.5</f>
        <v>4.5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137</v>
      </c>
      <c r="G51" s="244">
        <f>G49-H29</f>
        <v>-175.75</v>
      </c>
      <c r="H51" s="245"/>
      <c r="I51" s="245"/>
      <c r="J51" s="246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247"/>
      <c r="H52" s="248"/>
      <c r="I52" s="248"/>
      <c r="J52" s="24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36182.25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172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5910C-4766-4062-B66C-D11AF49AE199}">
  <dimension ref="A1:R59"/>
  <sheetViews>
    <sheetView topLeftCell="A28" zoomScaleNormal="100" zoomScaleSheetLayoutView="85" workbookViewId="0">
      <selection activeCell="F51" sqref="F51:F52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3</v>
      </c>
      <c r="H4" s="212" t="s">
        <v>9</v>
      </c>
      <c r="I4" s="214">
        <v>46174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>
        <v>307</v>
      </c>
      <c r="D6" s="13">
        <f t="shared" ref="D6:D28" si="1">C6*L6</f>
        <v>233627</v>
      </c>
      <c r="F6" s="218" t="s">
        <v>16</v>
      </c>
      <c r="G6" s="220" t="s">
        <v>115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>
        <v>6</v>
      </c>
      <c r="D7" s="13">
        <f t="shared" si="1"/>
        <v>4686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109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>
        <v>25</v>
      </c>
      <c r="D9" s="13">
        <f t="shared" si="1"/>
        <v>18325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>
        <v>1</v>
      </c>
      <c r="D10" s="13">
        <f t="shared" si="1"/>
        <v>1032</v>
      </c>
      <c r="F10" s="218" t="s">
        <v>26</v>
      </c>
      <c r="G10" s="233" t="s">
        <v>121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>
        <v>2</v>
      </c>
      <c r="D11" s="13">
        <f t="shared" si="1"/>
        <v>2340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>
        <v>3</v>
      </c>
      <c r="D12" s="48">
        <f t="shared" si="1"/>
        <v>2976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>
        <v>10</v>
      </c>
      <c r="D13" s="48">
        <f t="shared" si="1"/>
        <v>3070</v>
      </c>
      <c r="F13" s="239" t="s">
        <v>36</v>
      </c>
      <c r="G13" s="203"/>
      <c r="H13" s="194">
        <f>D29</f>
        <v>266056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/>
      <c r="D14" s="31">
        <f t="shared" si="1"/>
        <v>0</v>
      </c>
      <c r="F14" s="197" t="s">
        <v>38</v>
      </c>
      <c r="G14" s="198"/>
      <c r="H14" s="199">
        <f>D54</f>
        <v>58272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207784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>
        <f>588+504</f>
        <v>1092</v>
      </c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50"/>
      <c r="I19" s="250"/>
      <c r="J19" s="250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124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7"/>
      <c r="G23" s="78"/>
      <c r="H23" s="251"/>
      <c r="I23" s="180"/>
      <c r="J23" s="18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38"/>
      <c r="G24" s="37"/>
      <c r="H24" s="181"/>
      <c r="I24" s="150"/>
      <c r="J24" s="15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25"/>
      <c r="G27" s="79"/>
      <c r="H27" s="188"/>
      <c r="I27" s="189"/>
      <c r="J27" s="19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92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266056</v>
      </c>
      <c r="F29" s="111" t="s">
        <v>54</v>
      </c>
      <c r="G29" s="173"/>
      <c r="H29" s="133">
        <f>H15-H16-H17-H18-H19-H20-H22-H23-H24+H26+H27</f>
        <v>206692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3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73</v>
      </c>
      <c r="H34" s="155">
        <f>F34*G34</f>
        <v>73000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>
        <v>111</v>
      </c>
      <c r="H35" s="155">
        <f>F35*G35</f>
        <v>55500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>
        <v>1</v>
      </c>
      <c r="H36" s="155">
        <f t="shared" ref="H36:H39" si="2">F36*G36</f>
        <v>200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>
        <v>506</v>
      </c>
      <c r="D37" s="12">
        <f>C37*111</f>
        <v>56166</v>
      </c>
      <c r="F37" s="12">
        <v>100</v>
      </c>
      <c r="G37" s="39">
        <v>121</v>
      </c>
      <c r="H37" s="155">
        <f t="shared" si="2"/>
        <v>12100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>
        <v>61</v>
      </c>
      <c r="H38" s="155">
        <f t="shared" si="2"/>
        <v>3050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>
        <v>1</v>
      </c>
      <c r="D39" s="31">
        <f>C39*4.5</f>
        <v>4.5</v>
      </c>
      <c r="F39" s="12">
        <v>20</v>
      </c>
      <c r="G39" s="37">
        <v>1</v>
      </c>
      <c r="H39" s="155">
        <f t="shared" si="2"/>
        <v>20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>
        <v>10</v>
      </c>
      <c r="D40" s="12">
        <f>C40*111</f>
        <v>1110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>
        <v>10</v>
      </c>
      <c r="D42" s="12">
        <f>C42*2.25</f>
        <v>22.5</v>
      </c>
      <c r="F42" s="39" t="s">
        <v>78</v>
      </c>
      <c r="G42" s="155">
        <v>401</v>
      </c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4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>
        <v>2</v>
      </c>
      <c r="D44" s="12">
        <f>C44*120</f>
        <v>240</v>
      </c>
      <c r="F44" s="37" t="s">
        <v>132</v>
      </c>
      <c r="G44" s="75" t="s">
        <v>139</v>
      </c>
      <c r="H44" s="150">
        <v>55389</v>
      </c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 t="s">
        <v>140</v>
      </c>
      <c r="G45" s="75"/>
      <c r="H45" s="150">
        <v>1032</v>
      </c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>
        <v>1</v>
      </c>
      <c r="D46" s="12">
        <f>C46*1.5</f>
        <v>1.5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>
        <v>8</v>
      </c>
      <c r="D48" s="12">
        <f>C48*78</f>
        <v>624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>
        <v>2</v>
      </c>
      <c r="D49" s="12">
        <f>C49*42</f>
        <v>84</v>
      </c>
      <c r="F49" s="131" t="s">
        <v>85</v>
      </c>
      <c r="G49" s="133">
        <f>H34+H35+H36+H37+H38+H39+H40+H41+G42+H44+H45+H46</f>
        <v>200692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>
        <v>13</v>
      </c>
      <c r="D50" s="12">
        <f>C50*1.5</f>
        <v>19.5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141</v>
      </c>
      <c r="G51" s="244">
        <f>G49-H29</f>
        <v>-6000</v>
      </c>
      <c r="H51" s="245"/>
      <c r="I51" s="245"/>
      <c r="J51" s="246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247"/>
      <c r="H52" s="248"/>
      <c r="I52" s="248"/>
      <c r="J52" s="24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58272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21B5A-F7CB-4BCE-9108-E31933DEA22A}">
  <dimension ref="A1:S59"/>
  <sheetViews>
    <sheetView zoomScaleNormal="100" zoomScaleSheetLayoutView="85" workbookViewId="0">
      <selection activeCell="G54" sqref="G5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7" t="s">
        <v>1</v>
      </c>
      <c r="O1" s="207"/>
      <c r="P1" s="95" t="s">
        <v>2</v>
      </c>
      <c r="Q1" s="9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8" t="s">
        <v>7</v>
      </c>
      <c r="B4" s="159"/>
      <c r="C4" s="159"/>
      <c r="D4" s="160"/>
      <c r="F4" s="208" t="s">
        <v>8</v>
      </c>
      <c r="G4" s="210"/>
      <c r="H4" s="212" t="s">
        <v>9</v>
      </c>
      <c r="I4" s="214"/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3"/>
      <c r="B6" s="16"/>
      <c r="C6" s="10"/>
      <c r="D6" s="13">
        <f t="shared" ref="D6:D28" si="1">C6*L6</f>
        <v>0</v>
      </c>
      <c r="F6" s="218" t="s">
        <v>16</v>
      </c>
      <c r="G6" s="220"/>
      <c r="H6" s="221"/>
      <c r="I6" s="221"/>
      <c r="J6" s="22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3"/>
      <c r="B7" s="16"/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3"/>
      <c r="B8" s="16"/>
      <c r="C8" s="10"/>
      <c r="D8" s="13">
        <f t="shared" si="1"/>
        <v>0</v>
      </c>
      <c r="F8" s="226" t="s">
        <v>21</v>
      </c>
      <c r="G8" s="227"/>
      <c r="H8" s="228"/>
      <c r="I8" s="228"/>
      <c r="J8" s="22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3"/>
      <c r="B9" s="16"/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3"/>
      <c r="C10" s="10"/>
      <c r="D10" s="13">
        <f t="shared" si="1"/>
        <v>0</v>
      </c>
      <c r="F10" s="218" t="s">
        <v>26</v>
      </c>
      <c r="G10" s="233"/>
      <c r="H10" s="234"/>
      <c r="I10" s="234"/>
      <c r="J10" s="235"/>
      <c r="K10" s="8"/>
      <c r="L10" s="6">
        <f>R36</f>
        <v>972</v>
      </c>
      <c r="P10" s="4"/>
      <c r="Q10" s="4"/>
      <c r="R10" s="5"/>
    </row>
    <row r="11" spans="1:19" ht="15.75" x14ac:dyDescent="0.25">
      <c r="A11" s="153"/>
      <c r="B11" s="17"/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3"/>
      <c r="B12" s="17"/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3"/>
      <c r="B13" s="17"/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3"/>
      <c r="B14" s="14"/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3"/>
      <c r="B15" s="14"/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3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19"/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14"/>
      <c r="C19" s="10"/>
      <c r="D19" s="48">
        <f t="shared" si="1"/>
        <v>0</v>
      </c>
      <c r="F19" s="56"/>
      <c r="G19" s="68" t="s">
        <v>49</v>
      </c>
      <c r="H19" s="176"/>
      <c r="I19" s="176"/>
      <c r="J19" s="17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3"/>
      <c r="B20" s="46"/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3"/>
      <c r="B22" s="46"/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/>
      <c r="C23" s="10"/>
      <c r="D23" s="48">
        <f t="shared" si="1"/>
        <v>0</v>
      </c>
      <c r="F23" s="77"/>
      <c r="G23" s="78"/>
      <c r="H23" s="181"/>
      <c r="I23" s="150"/>
      <c r="J23" s="150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/>
      <c r="C24" s="10"/>
      <c r="D24" s="48">
        <f t="shared" si="1"/>
        <v>0</v>
      </c>
      <c r="F24" s="38"/>
      <c r="G24" s="37"/>
      <c r="H24" s="181"/>
      <c r="I24" s="150"/>
      <c r="J24" s="150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/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3"/>
      <c r="B27" s="14"/>
      <c r="C27" s="10"/>
      <c r="D27" s="44">
        <f t="shared" si="1"/>
        <v>0</v>
      </c>
      <c r="F27" s="25"/>
      <c r="G27" s="79"/>
      <c r="H27" s="188"/>
      <c r="I27" s="189"/>
      <c r="J27" s="19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/>
      <c r="C28" s="10"/>
      <c r="D28" s="48">
        <f t="shared" si="1"/>
        <v>0</v>
      </c>
      <c r="F28" s="96"/>
      <c r="G28" s="61"/>
      <c r="H28" s="191"/>
      <c r="I28" s="192"/>
      <c r="J28" s="19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7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55"/>
      <c r="I34" s="156"/>
      <c r="J34" s="157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/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/>
      <c r="I36" s="156"/>
      <c r="J36" s="157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/>
      <c r="I37" s="156"/>
      <c r="J37" s="157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/>
      <c r="I38" s="156"/>
      <c r="J38" s="157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/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8" t="s">
        <v>82</v>
      </c>
      <c r="H43" s="147" t="s">
        <v>13</v>
      </c>
      <c r="I43" s="148"/>
      <c r="J43" s="149"/>
      <c r="K43" s="21"/>
      <c r="P43" s="4"/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75"/>
      <c r="H44" s="150"/>
      <c r="I44" s="150"/>
      <c r="J44" s="150"/>
      <c r="K44" s="21"/>
      <c r="P44" s="4"/>
      <c r="Q44" s="4"/>
      <c r="R44" s="5"/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/>
      <c r="D50" s="12">
        <f>C50*1.5</f>
        <v>0</v>
      </c>
      <c r="F50" s="132"/>
      <c r="G50" s="136"/>
      <c r="H50" s="137"/>
      <c r="I50" s="137"/>
      <c r="J50" s="138"/>
      <c r="P50" s="4"/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106</v>
      </c>
      <c r="G51" s="141">
        <f>G49-H29</f>
        <v>0</v>
      </c>
      <c r="H51" s="142"/>
      <c r="I51" s="142"/>
      <c r="J51" s="143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6"/>
      <c r="B52" s="29"/>
      <c r="C52" s="33"/>
      <c r="D52" s="45"/>
      <c r="F52" s="140"/>
      <c r="G52" s="144"/>
      <c r="H52" s="145"/>
      <c r="I52" s="145"/>
      <c r="J52" s="14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5552-2C84-434D-85E9-BD7B20B7AB9C}">
  <dimension ref="A1:R59"/>
  <sheetViews>
    <sheetView topLeftCell="A34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1</v>
      </c>
      <c r="H4" s="212" t="s">
        <v>9</v>
      </c>
      <c r="I4" s="214">
        <v>46175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>
        <v>304</v>
      </c>
      <c r="D6" s="13">
        <f t="shared" ref="D6:D28" si="1">C6*L6</f>
        <v>231344</v>
      </c>
      <c r="F6" s="218" t="s">
        <v>16</v>
      </c>
      <c r="G6" s="220" t="s">
        <v>99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>
        <v>2</v>
      </c>
      <c r="D7" s="13">
        <f t="shared" si="1"/>
        <v>1562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117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>
        <v>11</v>
      </c>
      <c r="D9" s="13">
        <f t="shared" si="1"/>
        <v>8063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>
        <v>1</v>
      </c>
      <c r="D10" s="13">
        <f t="shared" si="1"/>
        <v>1032</v>
      </c>
      <c r="F10" s="218" t="s">
        <v>26</v>
      </c>
      <c r="G10" s="233" t="s">
        <v>108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/>
      <c r="D13" s="48">
        <f t="shared" si="1"/>
        <v>0</v>
      </c>
      <c r="F13" s="239" t="s">
        <v>36</v>
      </c>
      <c r="G13" s="203"/>
      <c r="H13" s="194">
        <f>D29</f>
        <v>242753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>
        <v>12</v>
      </c>
      <c r="D14" s="31">
        <f t="shared" si="1"/>
        <v>132</v>
      </c>
      <c r="F14" s="197" t="s">
        <v>38</v>
      </c>
      <c r="G14" s="198"/>
      <c r="H14" s="199">
        <f>D54</f>
        <v>35565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>
        <v>1</v>
      </c>
      <c r="D15" s="31">
        <f t="shared" si="1"/>
        <v>620</v>
      </c>
      <c r="F15" s="202" t="s">
        <v>39</v>
      </c>
      <c r="G15" s="203"/>
      <c r="H15" s="204">
        <f>H13-H14</f>
        <v>207188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>
        <v>42</v>
      </c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164"/>
      <c r="I19" s="164"/>
      <c r="J19" s="164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124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6"/>
      <c r="G23" s="78"/>
      <c r="H23" s="240"/>
      <c r="I23" s="241"/>
      <c r="J23" s="241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76"/>
      <c r="G24" s="78"/>
      <c r="H24" s="240"/>
      <c r="I24" s="241"/>
      <c r="J24" s="24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74"/>
      <c r="G26" s="65"/>
      <c r="H26" s="150"/>
      <c r="I26" s="150"/>
      <c r="J26" s="15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71"/>
      <c r="G27" s="99"/>
      <c r="H27" s="242"/>
      <c r="I27" s="243"/>
      <c r="J27" s="24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1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242753</v>
      </c>
      <c r="F29" s="111" t="s">
        <v>54</v>
      </c>
      <c r="G29" s="173"/>
      <c r="H29" s="133">
        <f>H15-H16-H17-H18-H19-H20-H22-H23-H24+H26+H27+H28</f>
        <v>207146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2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114</v>
      </c>
      <c r="H34" s="155">
        <f t="shared" ref="H34:H39" si="2">F34*G34</f>
        <v>114000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>
        <v>44</v>
      </c>
      <c r="H35" s="155">
        <f t="shared" si="2"/>
        <v>22000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>
        <v>23</v>
      </c>
      <c r="D36" s="12">
        <f>C36*1.5</f>
        <v>34.5</v>
      </c>
      <c r="F36" s="12">
        <v>200</v>
      </c>
      <c r="G36" s="37">
        <v>2</v>
      </c>
      <c r="H36" s="155">
        <f t="shared" si="2"/>
        <v>400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>
        <v>312</v>
      </c>
      <c r="D37" s="12">
        <f>C37*111</f>
        <v>34632</v>
      </c>
      <c r="F37" s="12">
        <v>100</v>
      </c>
      <c r="G37" s="39">
        <v>19</v>
      </c>
      <c r="H37" s="155">
        <f t="shared" si="2"/>
        <v>1900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>
        <v>5</v>
      </c>
      <c r="D38" s="12">
        <f>C38*84</f>
        <v>420</v>
      </c>
      <c r="F38" s="30">
        <v>50</v>
      </c>
      <c r="G38" s="39">
        <v>3</v>
      </c>
      <c r="H38" s="155">
        <f t="shared" si="2"/>
        <v>150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>
        <v>2</v>
      </c>
      <c r="H39" s="155">
        <f t="shared" si="2"/>
        <v>40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>
        <v>2</v>
      </c>
      <c r="D40" s="12">
        <f>C40*111</f>
        <v>222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>
        <v>124</v>
      </c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9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 t="s">
        <v>140</v>
      </c>
      <c r="G44" s="62"/>
      <c r="H44" s="150">
        <v>55000</v>
      </c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>
        <v>2</v>
      </c>
      <c r="D45" s="12">
        <f>C45*84</f>
        <v>168</v>
      </c>
      <c r="F45" s="37" t="s">
        <v>140</v>
      </c>
      <c r="G45" s="62"/>
      <c r="H45" s="150">
        <v>13650</v>
      </c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>
        <v>1</v>
      </c>
      <c r="D46" s="12">
        <f>C46*1.5</f>
        <v>1.5</v>
      </c>
      <c r="F46" s="37"/>
      <c r="G46" s="62"/>
      <c r="H46" s="150"/>
      <c r="I46" s="150"/>
      <c r="J46" s="150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>
        <v>1</v>
      </c>
      <c r="D48" s="12">
        <f>C48*78</f>
        <v>78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207264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>
        <v>6</v>
      </c>
      <c r="D50" s="12">
        <f>C50*1.5</f>
        <v>9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144</v>
      </c>
      <c r="G51" s="252">
        <f>G49-H29</f>
        <v>118</v>
      </c>
      <c r="H51" s="253"/>
      <c r="I51" s="253"/>
      <c r="J51" s="254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255"/>
      <c r="H52" s="256"/>
      <c r="I52" s="256"/>
      <c r="J52" s="257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35565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114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A8269-5C15-46E2-9DAD-5811CFAA89FE}">
  <dimension ref="A1:R59"/>
  <sheetViews>
    <sheetView topLeftCell="A37" zoomScaleNormal="100" zoomScaleSheetLayoutView="85" workbookViewId="0">
      <selection activeCell="B57" sqref="B57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2</v>
      </c>
      <c r="H4" s="212" t="s">
        <v>9</v>
      </c>
      <c r="I4" s="214">
        <v>46175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>
        <v>330</v>
      </c>
      <c r="D6" s="13">
        <f t="shared" ref="D6:D28" si="1">C6*L6</f>
        <v>251130</v>
      </c>
      <c r="F6" s="218" t="s">
        <v>16</v>
      </c>
      <c r="G6" s="220" t="s">
        <v>107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100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>
        <v>1</v>
      </c>
      <c r="D9" s="13">
        <f t="shared" si="1"/>
        <v>733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>
        <v>1</v>
      </c>
      <c r="D10" s="13">
        <f t="shared" si="1"/>
        <v>1032</v>
      </c>
      <c r="F10" s="218" t="s">
        <v>26</v>
      </c>
      <c r="G10" s="233" t="s">
        <v>101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>
        <v>13</v>
      </c>
      <c r="D13" s="48">
        <f t="shared" si="1"/>
        <v>3991</v>
      </c>
      <c r="F13" s="239" t="s">
        <v>36</v>
      </c>
      <c r="G13" s="203"/>
      <c r="H13" s="194">
        <f>D29</f>
        <v>256886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/>
      <c r="D14" s="31">
        <f t="shared" si="1"/>
        <v>0</v>
      </c>
      <c r="F14" s="197" t="s">
        <v>38</v>
      </c>
      <c r="G14" s="198"/>
      <c r="H14" s="199">
        <f>D54</f>
        <v>37893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218993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>
        <v>1944</v>
      </c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50"/>
      <c r="I19" s="250"/>
      <c r="J19" s="250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128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7"/>
      <c r="G23" s="78"/>
      <c r="H23" s="251"/>
      <c r="I23" s="180"/>
      <c r="J23" s="18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38"/>
      <c r="G24" s="37"/>
      <c r="H24" s="181"/>
      <c r="I24" s="150"/>
      <c r="J24" s="15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25"/>
      <c r="G27" s="79"/>
      <c r="H27" s="188"/>
      <c r="I27" s="189"/>
      <c r="J27" s="19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1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256886</v>
      </c>
      <c r="F29" s="111" t="s">
        <v>54</v>
      </c>
      <c r="G29" s="173"/>
      <c r="H29" s="133">
        <f>H15-H16-H17-H18-H19-H20-H22-H23-H24+H26+H27</f>
        <v>217049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2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73">
        <v>102</v>
      </c>
      <c r="H34" s="155">
        <f>F34*G34</f>
        <v>102000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>
        <v>229</v>
      </c>
      <c r="H35" s="155">
        <f>F35*G35</f>
        <v>114500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>
        <v>1</v>
      </c>
      <c r="H36" s="155">
        <f t="shared" ref="H36:H39" si="2">F36*G36</f>
        <v>200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>
        <v>334</v>
      </c>
      <c r="D37" s="12">
        <f>C37*111</f>
        <v>37074</v>
      </c>
      <c r="F37" s="12">
        <v>100</v>
      </c>
      <c r="G37" s="39">
        <v>1</v>
      </c>
      <c r="H37" s="155">
        <f t="shared" si="2"/>
        <v>100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>
        <f t="shared" si="2"/>
        <v>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>
        <v>1</v>
      </c>
      <c r="H39" s="155">
        <f t="shared" si="2"/>
        <v>20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>
        <v>14</v>
      </c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9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75"/>
      <c r="H44" s="150"/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>
        <v>3</v>
      </c>
      <c r="D48" s="12">
        <f>C48*78</f>
        <v>234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>
        <v>11</v>
      </c>
      <c r="D49" s="12">
        <f>C49*42</f>
        <v>462</v>
      </c>
      <c r="F49" s="131" t="s">
        <v>85</v>
      </c>
      <c r="G49" s="133">
        <f>H34+H35+H36+H37+H38+H39+H40+H41+G42+H44+H45+H46</f>
        <v>216834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80">
        <v>2</v>
      </c>
      <c r="D50" s="12">
        <f>C50*1.5</f>
        <v>3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141</v>
      </c>
      <c r="G51" s="244">
        <f>G49-H29</f>
        <v>-215</v>
      </c>
      <c r="H51" s="245"/>
      <c r="I51" s="245"/>
      <c r="J51" s="246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247"/>
      <c r="H52" s="248"/>
      <c r="I52" s="248"/>
      <c r="J52" s="24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37893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172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40BF-D1FF-48D8-874F-7EF05E3C062C}">
  <dimension ref="A1:R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3</v>
      </c>
      <c r="H4" s="212" t="s">
        <v>9</v>
      </c>
      <c r="I4" s="214">
        <v>46175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8">
        <v>346</v>
      </c>
      <c r="D6" s="13">
        <f t="shared" ref="D6:D28" si="1">C6*L6</f>
        <v>263306</v>
      </c>
      <c r="F6" s="218" t="s">
        <v>16</v>
      </c>
      <c r="G6" s="220" t="s">
        <v>115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8">
        <v>20</v>
      </c>
      <c r="D7" s="13">
        <f t="shared" si="1"/>
        <v>15620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8">
        <v>1</v>
      </c>
      <c r="D8" s="13">
        <f t="shared" si="1"/>
        <v>1093</v>
      </c>
      <c r="F8" s="226" t="s">
        <v>21</v>
      </c>
      <c r="G8" s="227" t="s">
        <v>109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8">
        <v>74</v>
      </c>
      <c r="D9" s="13">
        <f t="shared" si="1"/>
        <v>54242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8"/>
      <c r="D10" s="13">
        <f t="shared" si="1"/>
        <v>0</v>
      </c>
      <c r="F10" s="218" t="s">
        <v>26</v>
      </c>
      <c r="G10" s="233" t="s">
        <v>121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8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8">
        <f>10+10+2</f>
        <v>22</v>
      </c>
      <c r="D12" s="48">
        <f t="shared" si="1"/>
        <v>21824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8">
        <v>1</v>
      </c>
      <c r="D13" s="48">
        <f t="shared" si="1"/>
        <v>307</v>
      </c>
      <c r="F13" s="239" t="s">
        <v>36</v>
      </c>
      <c r="G13" s="203"/>
      <c r="H13" s="194">
        <f>D29</f>
        <v>403944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8"/>
      <c r="D14" s="31">
        <f t="shared" si="1"/>
        <v>0</v>
      </c>
      <c r="F14" s="197" t="s">
        <v>38</v>
      </c>
      <c r="G14" s="198"/>
      <c r="H14" s="199">
        <f>D54</f>
        <v>72575.25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8">
        <f>10</f>
        <v>10</v>
      </c>
      <c r="D15" s="31">
        <f t="shared" si="1"/>
        <v>6200</v>
      </c>
      <c r="F15" s="202" t="s">
        <v>39</v>
      </c>
      <c r="G15" s="203"/>
      <c r="H15" s="204">
        <f>H13-H14</f>
        <v>331368.75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8">
        <f>5+2+5</f>
        <v>12</v>
      </c>
      <c r="D16" s="48">
        <f t="shared" si="1"/>
        <v>7800</v>
      </c>
      <c r="F16" s="67" t="s">
        <v>41</v>
      </c>
      <c r="G16" s="66" t="s">
        <v>42</v>
      </c>
      <c r="H16" s="164">
        <v>918</v>
      </c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8">
        <f>1+1+1+1</f>
        <v>4</v>
      </c>
      <c r="D17" s="48">
        <f t="shared" si="1"/>
        <v>6808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8">
        <f>2+2</f>
        <v>4</v>
      </c>
      <c r="D18" s="48">
        <f t="shared" si="1"/>
        <v>4408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6" t="s">
        <v>105</v>
      </c>
      <c r="C19" s="108">
        <v>1</v>
      </c>
      <c r="D19" s="48">
        <f t="shared" si="1"/>
        <v>1175</v>
      </c>
      <c r="F19" s="56"/>
      <c r="G19" s="68" t="s">
        <v>49</v>
      </c>
      <c r="H19" s="250">
        <v>50</v>
      </c>
      <c r="I19" s="250"/>
      <c r="J19" s="250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8">
        <v>1</v>
      </c>
      <c r="D20" s="13">
        <f t="shared" si="1"/>
        <v>1582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147</v>
      </c>
      <c r="C21" s="108">
        <v>1</v>
      </c>
      <c r="D21" s="48">
        <f t="shared" si="1"/>
        <v>1242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f>1122+120</f>
        <v>1242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148</v>
      </c>
      <c r="C22" s="108">
        <v>1</v>
      </c>
      <c r="D22" s="48">
        <f t="shared" si="1"/>
        <v>1102</v>
      </c>
      <c r="F22" s="76"/>
      <c r="G22" s="72"/>
      <c r="H22" s="180"/>
      <c r="I22" s="180"/>
      <c r="J22" s="180"/>
      <c r="L22" s="7">
        <v>1102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149</v>
      </c>
      <c r="C23" s="108">
        <v>1</v>
      </c>
      <c r="D23" s="48">
        <f t="shared" si="1"/>
        <v>1204</v>
      </c>
      <c r="F23" s="77"/>
      <c r="G23" s="78"/>
      <c r="H23" s="251"/>
      <c r="I23" s="180"/>
      <c r="J23" s="180"/>
      <c r="L23" s="47">
        <v>1204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150</v>
      </c>
      <c r="C24" s="108">
        <v>1</v>
      </c>
      <c r="D24" s="48">
        <f t="shared" si="1"/>
        <v>1582</v>
      </c>
      <c r="F24" s="38"/>
      <c r="G24" s="37"/>
      <c r="H24" s="181"/>
      <c r="I24" s="150"/>
      <c r="J24" s="150"/>
      <c r="L24" s="47">
        <f>1582</f>
        <v>1582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151</v>
      </c>
      <c r="C25" s="108">
        <v>1</v>
      </c>
      <c r="D25" s="48">
        <f t="shared" si="1"/>
        <v>1728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1728</f>
        <v>1728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152</v>
      </c>
      <c r="C26" s="108">
        <v>1</v>
      </c>
      <c r="D26" s="48">
        <f t="shared" si="1"/>
        <v>1277</v>
      </c>
      <c r="F26" s="64"/>
      <c r="G26" s="59"/>
      <c r="H26" s="185"/>
      <c r="I26" s="186"/>
      <c r="J26" s="187"/>
      <c r="L26" s="7">
        <f>1157+120</f>
        <v>1277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153</v>
      </c>
      <c r="C27" s="108">
        <v>2</v>
      </c>
      <c r="D27" s="44">
        <f t="shared" si="1"/>
        <v>3334</v>
      </c>
      <c r="F27" s="25"/>
      <c r="G27" s="79"/>
      <c r="H27" s="188"/>
      <c r="I27" s="189"/>
      <c r="J27" s="190"/>
      <c r="L27" s="7">
        <v>1667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8">
        <v>10</v>
      </c>
      <c r="D28" s="48">
        <f t="shared" si="1"/>
        <v>8110</v>
      </c>
      <c r="F28" s="101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403944</v>
      </c>
      <c r="F29" s="111" t="s">
        <v>54</v>
      </c>
      <c r="G29" s="173"/>
      <c r="H29" s="133">
        <f>H15-H16-H17-H18-H19-H20-H22-H23-H24+H26+H27</f>
        <v>330400.75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2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73"/>
      <c r="H34" s="155">
        <f>F34*G34</f>
        <v>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>
        <v>7</v>
      </c>
      <c r="D35" s="30">
        <f>C35*84</f>
        <v>588</v>
      </c>
      <c r="F35" s="58">
        <v>500</v>
      </c>
      <c r="G35" s="41">
        <v>13</v>
      </c>
      <c r="H35" s="155">
        <f>F35*G35</f>
        <v>6500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>
        <v>11</v>
      </c>
      <c r="D36" s="12">
        <f>C36*1.5</f>
        <v>16.5</v>
      </c>
      <c r="F36" s="12">
        <v>200</v>
      </c>
      <c r="G36" s="37"/>
      <c r="H36" s="155">
        <f t="shared" ref="H36:H39" si="2">F36*G36</f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>
        <v>278</v>
      </c>
      <c r="D37" s="12">
        <f>C37*111</f>
        <v>30858</v>
      </c>
      <c r="F37" s="12">
        <v>100</v>
      </c>
      <c r="G37" s="39">
        <v>30</v>
      </c>
      <c r="H37" s="155">
        <f t="shared" si="2"/>
        <v>3000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>
        <v>382</v>
      </c>
      <c r="D38" s="12">
        <f>C38*84</f>
        <v>32088</v>
      </c>
      <c r="F38" s="30">
        <v>50</v>
      </c>
      <c r="G38" s="39">
        <v>3</v>
      </c>
      <c r="H38" s="155">
        <f t="shared" si="2"/>
        <v>150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>
        <v>5</v>
      </c>
      <c r="D39" s="31">
        <f>C39*4.5</f>
        <v>22.5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>
        <v>32</v>
      </c>
      <c r="D41" s="12">
        <f>C41*84</f>
        <v>2688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>
        <v>7</v>
      </c>
      <c r="D42" s="12">
        <f>C42*2.25</f>
        <v>15.75</v>
      </c>
      <c r="F42" s="39" t="s">
        <v>78</v>
      </c>
      <c r="G42" s="155">
        <v>38</v>
      </c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9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>
        <v>3</v>
      </c>
      <c r="D44" s="12">
        <f>C44*120</f>
        <v>360</v>
      </c>
      <c r="F44" s="37" t="s">
        <v>132</v>
      </c>
      <c r="G44" s="75" t="s">
        <v>145</v>
      </c>
      <c r="H44" s="150">
        <v>98416</v>
      </c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>
        <v>69</v>
      </c>
      <c r="D45" s="12">
        <f>C45*84</f>
        <v>5796</v>
      </c>
      <c r="F45" s="37" t="s">
        <v>132</v>
      </c>
      <c r="G45" s="75" t="s">
        <v>146</v>
      </c>
      <c r="H45" s="150">
        <v>221673</v>
      </c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>
        <v>10</v>
      </c>
      <c r="D46" s="12">
        <f>C46*1.5</f>
        <v>15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329777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>
        <v>5</v>
      </c>
      <c r="D50" s="12">
        <f>C50*1.5</f>
        <v>7.5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154</v>
      </c>
      <c r="G51" s="244">
        <f>G49-H29</f>
        <v>-623.75</v>
      </c>
      <c r="H51" s="245"/>
      <c r="I51" s="245"/>
      <c r="J51" s="246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247"/>
      <c r="H52" s="248"/>
      <c r="I52" s="248"/>
      <c r="J52" s="24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72575.25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16274-D9C6-4DF3-A750-53BAD6AEC132}">
  <dimension ref="A1:S59"/>
  <sheetViews>
    <sheetView zoomScaleNormal="100" zoomScaleSheetLayoutView="85" workbookViewId="0">
      <selection activeCell="G54" sqref="G5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7" t="s">
        <v>1</v>
      </c>
      <c r="O1" s="207"/>
      <c r="P1" s="100" t="s">
        <v>2</v>
      </c>
      <c r="Q1" s="10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8" t="s">
        <v>7</v>
      </c>
      <c r="B4" s="159"/>
      <c r="C4" s="159"/>
      <c r="D4" s="160"/>
      <c r="F4" s="208" t="s">
        <v>8</v>
      </c>
      <c r="G4" s="210"/>
      <c r="H4" s="212" t="s">
        <v>9</v>
      </c>
      <c r="I4" s="214"/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3"/>
      <c r="B6" s="16"/>
      <c r="C6" s="10"/>
      <c r="D6" s="13">
        <f t="shared" ref="D6:D28" si="1">C6*L6</f>
        <v>0</v>
      </c>
      <c r="F6" s="218" t="s">
        <v>16</v>
      </c>
      <c r="G6" s="220"/>
      <c r="H6" s="221"/>
      <c r="I6" s="221"/>
      <c r="J6" s="22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3"/>
      <c r="B7" s="16"/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3"/>
      <c r="B8" s="16"/>
      <c r="C8" s="10"/>
      <c r="D8" s="13">
        <f t="shared" si="1"/>
        <v>0</v>
      </c>
      <c r="F8" s="226" t="s">
        <v>21</v>
      </c>
      <c r="G8" s="227"/>
      <c r="H8" s="228"/>
      <c r="I8" s="228"/>
      <c r="J8" s="22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3"/>
      <c r="B9" s="16"/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3"/>
      <c r="C10" s="10"/>
      <c r="D10" s="13">
        <f t="shared" si="1"/>
        <v>0</v>
      </c>
      <c r="F10" s="218" t="s">
        <v>26</v>
      </c>
      <c r="G10" s="233"/>
      <c r="H10" s="234"/>
      <c r="I10" s="234"/>
      <c r="J10" s="235"/>
      <c r="K10" s="8"/>
      <c r="L10" s="6">
        <f>R36</f>
        <v>972</v>
      </c>
      <c r="P10" s="4"/>
      <c r="Q10" s="4"/>
      <c r="R10" s="5"/>
    </row>
    <row r="11" spans="1:19" ht="15.75" x14ac:dyDescent="0.25">
      <c r="A11" s="153"/>
      <c r="B11" s="17"/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3"/>
      <c r="B12" s="17"/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3"/>
      <c r="B13" s="17"/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3"/>
      <c r="B14" s="14"/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3"/>
      <c r="B15" s="14"/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3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19"/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14"/>
      <c r="C19" s="10"/>
      <c r="D19" s="48">
        <f t="shared" si="1"/>
        <v>0</v>
      </c>
      <c r="F19" s="56"/>
      <c r="G19" s="68" t="s">
        <v>49</v>
      </c>
      <c r="H19" s="176"/>
      <c r="I19" s="176"/>
      <c r="J19" s="17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3"/>
      <c r="B20" s="46"/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3"/>
      <c r="B22" s="46"/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/>
      <c r="C23" s="10"/>
      <c r="D23" s="48">
        <f t="shared" si="1"/>
        <v>0</v>
      </c>
      <c r="F23" s="77"/>
      <c r="G23" s="78"/>
      <c r="H23" s="181"/>
      <c r="I23" s="150"/>
      <c r="J23" s="150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/>
      <c r="C24" s="10"/>
      <c r="D24" s="48">
        <f t="shared" si="1"/>
        <v>0</v>
      </c>
      <c r="F24" s="38"/>
      <c r="G24" s="37"/>
      <c r="H24" s="181"/>
      <c r="I24" s="150"/>
      <c r="J24" s="150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/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3"/>
      <c r="B27" s="14"/>
      <c r="C27" s="10"/>
      <c r="D27" s="44">
        <f t="shared" si="1"/>
        <v>0</v>
      </c>
      <c r="F27" s="25"/>
      <c r="G27" s="79"/>
      <c r="H27" s="188"/>
      <c r="I27" s="189"/>
      <c r="J27" s="19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/>
      <c r="C28" s="10"/>
      <c r="D28" s="48">
        <f t="shared" si="1"/>
        <v>0</v>
      </c>
      <c r="F28" s="101"/>
      <c r="G28" s="61"/>
      <c r="H28" s="191"/>
      <c r="I28" s="192"/>
      <c r="J28" s="19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2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55"/>
      <c r="I34" s="156"/>
      <c r="J34" s="157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/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/>
      <c r="I36" s="156"/>
      <c r="J36" s="157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/>
      <c r="I37" s="156"/>
      <c r="J37" s="157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/>
      <c r="I38" s="156"/>
      <c r="J38" s="157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/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9" t="s">
        <v>82</v>
      </c>
      <c r="H43" s="147" t="s">
        <v>13</v>
      </c>
      <c r="I43" s="148"/>
      <c r="J43" s="149"/>
      <c r="K43" s="21"/>
      <c r="P43" s="4"/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75"/>
      <c r="H44" s="150"/>
      <c r="I44" s="150"/>
      <c r="J44" s="150"/>
      <c r="K44" s="21"/>
      <c r="P44" s="4"/>
      <c r="Q44" s="4"/>
      <c r="R44" s="5"/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/>
      <c r="D50" s="12">
        <f>C50*1.5</f>
        <v>0</v>
      </c>
      <c r="F50" s="132"/>
      <c r="G50" s="136"/>
      <c r="H50" s="137"/>
      <c r="I50" s="137"/>
      <c r="J50" s="138"/>
      <c r="P50" s="4"/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106</v>
      </c>
      <c r="G51" s="141">
        <f>G49-H29</f>
        <v>0</v>
      </c>
      <c r="H51" s="142"/>
      <c r="I51" s="142"/>
      <c r="J51" s="143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6"/>
      <c r="B52" s="29"/>
      <c r="C52" s="33"/>
      <c r="D52" s="45"/>
      <c r="F52" s="140"/>
      <c r="G52" s="144"/>
      <c r="H52" s="145"/>
      <c r="I52" s="145"/>
      <c r="J52" s="14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008A8-7BD6-4FD4-AB39-31F263AFCBFF}">
  <dimension ref="A1:R59"/>
  <sheetViews>
    <sheetView topLeftCell="A36" zoomScaleNormal="100" zoomScaleSheetLayoutView="85" workbookViewId="0">
      <selection activeCell="C51" sqref="C5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1</v>
      </c>
      <c r="H4" s="212" t="s">
        <v>9</v>
      </c>
      <c r="I4" s="214">
        <v>46176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>
        <v>441</v>
      </c>
      <c r="D6" s="13">
        <f t="shared" ref="D6:D28" si="1">C6*L6</f>
        <v>335601</v>
      </c>
      <c r="F6" s="218" t="s">
        <v>16</v>
      </c>
      <c r="G6" s="220" t="s">
        <v>99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>
        <v>5</v>
      </c>
      <c r="D7" s="13">
        <f t="shared" si="1"/>
        <v>3905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>
        <v>1</v>
      </c>
      <c r="D8" s="13">
        <f t="shared" si="1"/>
        <v>1093</v>
      </c>
      <c r="F8" s="226" t="s">
        <v>21</v>
      </c>
      <c r="G8" s="227" t="s">
        <v>117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>
        <v>10</v>
      </c>
      <c r="D9" s="13">
        <f t="shared" si="1"/>
        <v>7330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>
        <v>1</v>
      </c>
      <c r="D10" s="13">
        <f t="shared" si="1"/>
        <v>1032</v>
      </c>
      <c r="F10" s="218" t="s">
        <v>26</v>
      </c>
      <c r="G10" s="233" t="s">
        <v>108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>
        <v>2</v>
      </c>
      <c r="D11" s="13">
        <f t="shared" si="1"/>
        <v>2340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>
        <v>2</v>
      </c>
      <c r="D12" s="48">
        <f t="shared" si="1"/>
        <v>1984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>
        <v>13</v>
      </c>
      <c r="D13" s="48">
        <f t="shared" si="1"/>
        <v>3991</v>
      </c>
      <c r="F13" s="239" t="s">
        <v>36</v>
      </c>
      <c r="G13" s="203"/>
      <c r="H13" s="194">
        <f>D29</f>
        <v>361570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>
        <v>12</v>
      </c>
      <c r="D14" s="31">
        <f t="shared" si="1"/>
        <v>132</v>
      </c>
      <c r="F14" s="197" t="s">
        <v>38</v>
      </c>
      <c r="G14" s="198"/>
      <c r="H14" s="199">
        <f>D54</f>
        <v>41899.5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>
        <v>2</v>
      </c>
      <c r="D15" s="31">
        <f t="shared" si="1"/>
        <v>1240</v>
      </c>
      <c r="F15" s="202" t="s">
        <v>39</v>
      </c>
      <c r="G15" s="203"/>
      <c r="H15" s="204">
        <f>H13-H14</f>
        <v>319670.5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>
        <f>1+1</f>
        <v>2</v>
      </c>
      <c r="D16" s="48">
        <f t="shared" si="1"/>
        <v>1300</v>
      </c>
      <c r="F16" s="67" t="s">
        <v>41</v>
      </c>
      <c r="G16" s="66" t="s">
        <v>42</v>
      </c>
      <c r="H16" s="164">
        <v>1944</v>
      </c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164"/>
      <c r="I19" s="164"/>
      <c r="J19" s="164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124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 t="s">
        <v>157</v>
      </c>
      <c r="G22" s="72">
        <v>10843</v>
      </c>
      <c r="H22" s="180">
        <v>88549</v>
      </c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6"/>
      <c r="G23" s="78"/>
      <c r="H23" s="240"/>
      <c r="I23" s="241"/>
      <c r="J23" s="241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76"/>
      <c r="G24" s="78"/>
      <c r="H24" s="240"/>
      <c r="I24" s="241"/>
      <c r="J24" s="24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74" t="s">
        <v>157</v>
      </c>
      <c r="G26" s="65">
        <v>10547</v>
      </c>
      <c r="H26" s="150">
        <v>78233</v>
      </c>
      <c r="I26" s="150"/>
      <c r="J26" s="15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71"/>
      <c r="G27" s="99"/>
      <c r="H27" s="242"/>
      <c r="I27" s="243"/>
      <c r="J27" s="24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>
        <v>2</v>
      </c>
      <c r="D28" s="48">
        <f t="shared" si="1"/>
        <v>1622</v>
      </c>
      <c r="F28" s="101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361570</v>
      </c>
      <c r="F29" s="111" t="s">
        <v>54</v>
      </c>
      <c r="G29" s="173"/>
      <c r="H29" s="133">
        <f>H15-H16-H17-H18-H19-H20-H22-H23-H24+H26+H27+H28</f>
        <v>307410.5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2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180</v>
      </c>
      <c r="H34" s="155">
        <f t="shared" ref="H34:H39" si="2">F34*G34</f>
        <v>180000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>
        <v>2</v>
      </c>
      <c r="H35" s="155">
        <f t="shared" si="2"/>
        <v>1000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>
        <f t="shared" si="2"/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>
        <v>351</v>
      </c>
      <c r="D37" s="12">
        <f>C37*111</f>
        <v>38961</v>
      </c>
      <c r="F37" s="12">
        <v>100</v>
      </c>
      <c r="G37" s="39">
        <v>437</v>
      </c>
      <c r="H37" s="155">
        <f t="shared" si="2"/>
        <v>43700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>
        <v>12</v>
      </c>
      <c r="D38" s="12">
        <f>C38*84</f>
        <v>1008</v>
      </c>
      <c r="F38" s="30">
        <v>50</v>
      </c>
      <c r="G38" s="39">
        <v>64</v>
      </c>
      <c r="H38" s="155">
        <f t="shared" si="2"/>
        <v>3200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>
        <v>3</v>
      </c>
      <c r="D39" s="31">
        <f>C39*4.5</f>
        <v>13.5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>
        <v>5</v>
      </c>
      <c r="D40" s="12">
        <f>C40*111</f>
        <v>555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>
        <v>6</v>
      </c>
      <c r="D42" s="12">
        <f>C42*2.25</f>
        <v>13.5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9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>
        <v>8</v>
      </c>
      <c r="D44" s="12">
        <f>C44*120</f>
        <v>960</v>
      </c>
      <c r="F44" s="37" t="s">
        <v>155</v>
      </c>
      <c r="G44" s="109" t="s">
        <v>156</v>
      </c>
      <c r="H44" s="150">
        <v>78233</v>
      </c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62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0"/>
      <c r="I46" s="150"/>
      <c r="J46" s="150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>
        <v>1</v>
      </c>
      <c r="D48" s="12">
        <f>C48*78</f>
        <v>78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>
        <v>7</v>
      </c>
      <c r="D49" s="12">
        <f>C49*42</f>
        <v>294</v>
      </c>
      <c r="F49" s="131" t="s">
        <v>85</v>
      </c>
      <c r="G49" s="133">
        <f>H34+H35+H36+H37+H38+H39+H40+H41+G42+H44+H45+H46</f>
        <v>306133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>
        <v>11</v>
      </c>
      <c r="D50" s="12">
        <f>C50*1.5</f>
        <v>16.5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158</v>
      </c>
      <c r="G51" s="244">
        <f>G49-H29</f>
        <v>-1277.5</v>
      </c>
      <c r="H51" s="245"/>
      <c r="I51" s="245"/>
      <c r="J51" s="246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247"/>
      <c r="H52" s="248"/>
      <c r="I52" s="248"/>
      <c r="J52" s="24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41899.5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114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119D6-AB60-483E-9247-34913FE9A1BE}">
  <dimension ref="A1:R59"/>
  <sheetViews>
    <sheetView topLeftCell="A28" zoomScaleNormal="100" zoomScaleSheetLayoutView="85" workbookViewId="0">
      <selection activeCell="B57" sqref="B57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2</v>
      </c>
      <c r="H4" s="212" t="s">
        <v>9</v>
      </c>
      <c r="I4" s="214">
        <v>46176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/>
      <c r="D6" s="13">
        <f t="shared" ref="D6:D28" si="1">C6*L6</f>
        <v>0</v>
      </c>
      <c r="F6" s="218" t="s">
        <v>16</v>
      </c>
      <c r="G6" s="220" t="s">
        <v>107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100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/>
      <c r="D10" s="13">
        <f t="shared" si="1"/>
        <v>0</v>
      </c>
      <c r="F10" s="218" t="s">
        <v>26</v>
      </c>
      <c r="G10" s="233" t="s">
        <v>101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50"/>
      <c r="I19" s="250"/>
      <c r="J19" s="250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128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7"/>
      <c r="G23" s="78"/>
      <c r="H23" s="251"/>
      <c r="I23" s="180"/>
      <c r="J23" s="18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38"/>
      <c r="G24" s="37"/>
      <c r="H24" s="181"/>
      <c r="I24" s="150"/>
      <c r="J24" s="15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25"/>
      <c r="G27" s="79"/>
      <c r="H27" s="188"/>
      <c r="I27" s="189"/>
      <c r="J27" s="19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1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2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55">
        <f>F34*G34</f>
        <v>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>
        <f>F35*G35</f>
        <v>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>
        <f t="shared" ref="H36:H39" si="2">F36*G36</f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>
        <f t="shared" si="2"/>
        <v>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>
        <f t="shared" si="2"/>
        <v>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9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75"/>
      <c r="H44" s="150"/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80"/>
      <c r="D50" s="12">
        <f>C50*1.5</f>
        <v>0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113</v>
      </c>
      <c r="G51" s="141">
        <f>G49-H29</f>
        <v>0</v>
      </c>
      <c r="H51" s="142"/>
      <c r="I51" s="142"/>
      <c r="J51" s="143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144"/>
      <c r="H52" s="145"/>
      <c r="I52" s="145"/>
      <c r="J52" s="14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172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603ED-621E-4A79-9D61-DD3BBCB2107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3</v>
      </c>
      <c r="H4" s="212" t="s">
        <v>9</v>
      </c>
      <c r="I4" s="214">
        <v>46176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/>
      <c r="D6" s="13">
        <f t="shared" ref="D6:D28" si="1">C6*L6</f>
        <v>0</v>
      </c>
      <c r="F6" s="218" t="s">
        <v>16</v>
      </c>
      <c r="G6" s="220" t="s">
        <v>115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109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/>
      <c r="D10" s="13">
        <f t="shared" si="1"/>
        <v>0</v>
      </c>
      <c r="F10" s="218" t="s">
        <v>26</v>
      </c>
      <c r="G10" s="233" t="s">
        <v>121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50"/>
      <c r="I19" s="250"/>
      <c r="J19" s="250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124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7"/>
      <c r="G23" s="78"/>
      <c r="H23" s="251"/>
      <c r="I23" s="180"/>
      <c r="J23" s="18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38"/>
      <c r="G24" s="37"/>
      <c r="H24" s="181"/>
      <c r="I24" s="150"/>
      <c r="J24" s="15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25"/>
      <c r="G27" s="79"/>
      <c r="H27" s="188"/>
      <c r="I27" s="189"/>
      <c r="J27" s="19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1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2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55">
        <f>F34*G34</f>
        <v>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>
        <f>F35*G35</f>
        <v>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>
        <f t="shared" ref="H36:H39" si="2">F36*G36</f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>
        <f t="shared" si="2"/>
        <v>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>
        <f t="shared" si="2"/>
        <v>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9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75"/>
      <c r="H44" s="150"/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/>
      <c r="D50" s="12">
        <f>C50*1.5</f>
        <v>0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113</v>
      </c>
      <c r="G51" s="141">
        <f>G49-H29</f>
        <v>0</v>
      </c>
      <c r="H51" s="142"/>
      <c r="I51" s="142"/>
      <c r="J51" s="143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144"/>
      <c r="H52" s="145"/>
      <c r="I52" s="145"/>
      <c r="J52" s="14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DAD88-DA0F-4B36-80DB-F867549639C9}">
  <dimension ref="A1:S59"/>
  <sheetViews>
    <sheetView zoomScaleNormal="100" zoomScaleSheetLayoutView="85" workbookViewId="0">
      <selection activeCell="G54" sqref="G5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7" t="s">
        <v>1</v>
      </c>
      <c r="O1" s="207"/>
      <c r="P1" s="100" t="s">
        <v>2</v>
      </c>
      <c r="Q1" s="10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8" t="s">
        <v>7</v>
      </c>
      <c r="B4" s="159"/>
      <c r="C4" s="159"/>
      <c r="D4" s="160"/>
      <c r="F4" s="208" t="s">
        <v>8</v>
      </c>
      <c r="G4" s="210"/>
      <c r="H4" s="212" t="s">
        <v>9</v>
      </c>
      <c r="I4" s="214"/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3"/>
      <c r="B6" s="16"/>
      <c r="C6" s="10"/>
      <c r="D6" s="13">
        <f t="shared" ref="D6:D28" si="1">C6*L6</f>
        <v>0</v>
      </c>
      <c r="F6" s="218" t="s">
        <v>16</v>
      </c>
      <c r="G6" s="220"/>
      <c r="H6" s="221"/>
      <c r="I6" s="221"/>
      <c r="J6" s="22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3"/>
      <c r="B7" s="16"/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3"/>
      <c r="B8" s="16"/>
      <c r="C8" s="10"/>
      <c r="D8" s="13">
        <f t="shared" si="1"/>
        <v>0</v>
      </c>
      <c r="F8" s="226" t="s">
        <v>21</v>
      </c>
      <c r="G8" s="227"/>
      <c r="H8" s="228"/>
      <c r="I8" s="228"/>
      <c r="J8" s="22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3"/>
      <c r="B9" s="16"/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3"/>
      <c r="C10" s="10"/>
      <c r="D10" s="13">
        <f t="shared" si="1"/>
        <v>0</v>
      </c>
      <c r="F10" s="218" t="s">
        <v>26</v>
      </c>
      <c r="G10" s="233"/>
      <c r="H10" s="234"/>
      <c r="I10" s="234"/>
      <c r="J10" s="235"/>
      <c r="K10" s="8"/>
      <c r="L10" s="6">
        <f>R36</f>
        <v>972</v>
      </c>
      <c r="P10" s="4"/>
      <c r="Q10" s="4"/>
      <c r="R10" s="5"/>
    </row>
    <row r="11" spans="1:19" ht="15.75" x14ac:dyDescent="0.25">
      <c r="A11" s="153"/>
      <c r="B11" s="17"/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3"/>
      <c r="B12" s="17"/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3"/>
      <c r="B13" s="17"/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3"/>
      <c r="B14" s="14"/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3"/>
      <c r="B15" s="14"/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3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19"/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14"/>
      <c r="C19" s="10"/>
      <c r="D19" s="48">
        <f t="shared" si="1"/>
        <v>0</v>
      </c>
      <c r="F19" s="56"/>
      <c r="G19" s="68" t="s">
        <v>49</v>
      </c>
      <c r="H19" s="176"/>
      <c r="I19" s="176"/>
      <c r="J19" s="17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3"/>
      <c r="B20" s="46"/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3"/>
      <c r="B22" s="46"/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/>
      <c r="C23" s="10"/>
      <c r="D23" s="48">
        <f t="shared" si="1"/>
        <v>0</v>
      </c>
      <c r="F23" s="77"/>
      <c r="G23" s="78"/>
      <c r="H23" s="181"/>
      <c r="I23" s="150"/>
      <c r="J23" s="150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/>
      <c r="C24" s="10"/>
      <c r="D24" s="48">
        <f t="shared" si="1"/>
        <v>0</v>
      </c>
      <c r="F24" s="38"/>
      <c r="G24" s="37"/>
      <c r="H24" s="181"/>
      <c r="I24" s="150"/>
      <c r="J24" s="150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/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3"/>
      <c r="B27" s="14"/>
      <c r="C27" s="10"/>
      <c r="D27" s="44">
        <f t="shared" si="1"/>
        <v>0</v>
      </c>
      <c r="F27" s="25"/>
      <c r="G27" s="79"/>
      <c r="H27" s="188"/>
      <c r="I27" s="189"/>
      <c r="J27" s="19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/>
      <c r="C28" s="10"/>
      <c r="D28" s="48">
        <f t="shared" si="1"/>
        <v>0</v>
      </c>
      <c r="F28" s="101"/>
      <c r="G28" s="61"/>
      <c r="H28" s="191"/>
      <c r="I28" s="192"/>
      <c r="J28" s="19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2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55"/>
      <c r="I34" s="156"/>
      <c r="J34" s="157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/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/>
      <c r="I36" s="156"/>
      <c r="J36" s="157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/>
      <c r="I37" s="156"/>
      <c r="J37" s="157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/>
      <c r="I38" s="156"/>
      <c r="J38" s="157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/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9" t="s">
        <v>82</v>
      </c>
      <c r="H43" s="147" t="s">
        <v>13</v>
      </c>
      <c r="I43" s="148"/>
      <c r="J43" s="149"/>
      <c r="K43" s="21"/>
      <c r="P43" s="4"/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75"/>
      <c r="H44" s="150"/>
      <c r="I44" s="150"/>
      <c r="J44" s="150"/>
      <c r="K44" s="21"/>
      <c r="P44" s="4"/>
      <c r="Q44" s="4"/>
      <c r="R44" s="5"/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/>
      <c r="D50" s="12">
        <f>C50*1.5</f>
        <v>0</v>
      </c>
      <c r="F50" s="132"/>
      <c r="G50" s="136"/>
      <c r="H50" s="137"/>
      <c r="I50" s="137"/>
      <c r="J50" s="138"/>
      <c r="P50" s="4"/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106</v>
      </c>
      <c r="G51" s="141">
        <f>G49-H29</f>
        <v>0</v>
      </c>
      <c r="H51" s="142"/>
      <c r="I51" s="142"/>
      <c r="J51" s="143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6"/>
      <c r="B52" s="29"/>
      <c r="C52" s="33"/>
      <c r="D52" s="45"/>
      <c r="F52" s="140"/>
      <c r="G52" s="144"/>
      <c r="H52" s="145"/>
      <c r="I52" s="145"/>
      <c r="J52" s="14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A62EF-4DDF-4599-8C20-CEA5C6D75910}">
  <dimension ref="A1:R59"/>
  <sheetViews>
    <sheetView topLeftCell="A37" zoomScaleNormal="100" zoomScaleSheetLayoutView="85" workbookViewId="0">
      <selection activeCell="N63" sqref="N63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1</v>
      </c>
      <c r="H4" s="212" t="s">
        <v>9</v>
      </c>
      <c r="I4" s="214">
        <v>46177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>
        <v>370</v>
      </c>
      <c r="D6" s="13">
        <f t="shared" ref="D6:D28" si="1">C6*L6</f>
        <v>281570</v>
      </c>
      <c r="F6" s="218" t="s">
        <v>16</v>
      </c>
      <c r="G6" s="220" t="s">
        <v>99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>
        <v>50</v>
      </c>
      <c r="D7" s="13">
        <f t="shared" si="1"/>
        <v>39050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>
        <v>65</v>
      </c>
      <c r="D8" s="13">
        <f t="shared" si="1"/>
        <v>71045</v>
      </c>
      <c r="F8" s="226" t="s">
        <v>21</v>
      </c>
      <c r="G8" s="227" t="s">
        <v>117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>
        <v>117</v>
      </c>
      <c r="D9" s="13">
        <f t="shared" si="1"/>
        <v>85761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/>
      <c r="D10" s="13">
        <f t="shared" si="1"/>
        <v>0</v>
      </c>
      <c r="F10" s="218" t="s">
        <v>26</v>
      </c>
      <c r="G10" s="233" t="s">
        <v>108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>
        <v>26</v>
      </c>
      <c r="D12" s="48">
        <f t="shared" si="1"/>
        <v>25792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>
        <v>10</v>
      </c>
      <c r="D13" s="48">
        <f t="shared" si="1"/>
        <v>3070</v>
      </c>
      <c r="F13" s="239" t="s">
        <v>36</v>
      </c>
      <c r="G13" s="203"/>
      <c r="H13" s="194">
        <f>D29</f>
        <v>508853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>
        <v>12</v>
      </c>
      <c r="D14" s="31">
        <f t="shared" si="1"/>
        <v>132</v>
      </c>
      <c r="F14" s="197" t="s">
        <v>38</v>
      </c>
      <c r="G14" s="198"/>
      <c r="H14" s="199">
        <f>D54</f>
        <v>82236.75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426616.25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>
        <v>3042</v>
      </c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164"/>
      <c r="I19" s="164"/>
      <c r="J19" s="164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124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 t="s">
        <v>136</v>
      </c>
      <c r="G22" s="72">
        <v>10850</v>
      </c>
      <c r="H22" s="180">
        <v>62272</v>
      </c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6"/>
      <c r="G23" s="78"/>
      <c r="H23" s="240"/>
      <c r="I23" s="241"/>
      <c r="J23" s="241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76"/>
      <c r="G24" s="78"/>
      <c r="H24" s="240"/>
      <c r="I24" s="241"/>
      <c r="J24" s="24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74"/>
      <c r="G26" s="65"/>
      <c r="H26" s="150"/>
      <c r="I26" s="150"/>
      <c r="J26" s="15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71"/>
      <c r="G27" s="99"/>
      <c r="H27" s="242"/>
      <c r="I27" s="243"/>
      <c r="J27" s="24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>
        <v>3</v>
      </c>
      <c r="D28" s="48">
        <f t="shared" si="1"/>
        <v>2433</v>
      </c>
      <c r="F28" s="101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508853</v>
      </c>
      <c r="F29" s="111" t="s">
        <v>54</v>
      </c>
      <c r="G29" s="173"/>
      <c r="H29" s="133">
        <f>H15-H16-H17-H18-H19-H20-H22-H23-H24+H26+H27+H28</f>
        <v>361302.25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2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23</v>
      </c>
      <c r="H34" s="155">
        <f t="shared" ref="H34:H39" si="2">F34*G34</f>
        <v>23000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>
        <v>7</v>
      </c>
      <c r="H35" s="155">
        <f t="shared" si="2"/>
        <v>3500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>
        <f t="shared" si="2"/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>
        <v>603</v>
      </c>
      <c r="D37" s="12">
        <f>C37*111</f>
        <v>66933</v>
      </c>
      <c r="F37" s="12">
        <v>100</v>
      </c>
      <c r="G37" s="39">
        <v>23</v>
      </c>
      <c r="H37" s="155">
        <f t="shared" si="2"/>
        <v>2300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>
        <v>7</v>
      </c>
      <c r="D38" s="12">
        <f>C38*84</f>
        <v>588</v>
      </c>
      <c r="F38" s="30">
        <v>50</v>
      </c>
      <c r="G38" s="39">
        <v>9</v>
      </c>
      <c r="H38" s="155">
        <f t="shared" si="2"/>
        <v>450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>
        <v>11</v>
      </c>
      <c r="D39" s="31">
        <f>C39*4.5</f>
        <v>49.5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>
        <v>50</v>
      </c>
      <c r="D40" s="12">
        <f>C40*111</f>
        <v>5550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>
        <v>9</v>
      </c>
      <c r="D42" s="12">
        <f>C42*2.25</f>
        <v>20.25</v>
      </c>
      <c r="F42" s="39" t="s">
        <v>78</v>
      </c>
      <c r="G42" s="155">
        <v>80</v>
      </c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9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>
        <v>68</v>
      </c>
      <c r="D44" s="12">
        <f>C44*120</f>
        <v>8160</v>
      </c>
      <c r="F44" s="37" t="s">
        <v>132</v>
      </c>
      <c r="G44" s="62" t="s">
        <v>159</v>
      </c>
      <c r="H44" s="150">
        <v>321116</v>
      </c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 t="s">
        <v>140</v>
      </c>
      <c r="G45" s="62"/>
      <c r="H45" s="150">
        <v>10122</v>
      </c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0"/>
      <c r="I46" s="150"/>
      <c r="J46" s="150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>
        <v>12</v>
      </c>
      <c r="D48" s="12">
        <f>C48*78</f>
        <v>936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360568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/>
      <c r="D50" s="12">
        <f>C50*1.5</f>
        <v>0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138</v>
      </c>
      <c r="G51" s="244">
        <f>G49-H29</f>
        <v>-734.25</v>
      </c>
      <c r="H51" s="245"/>
      <c r="I51" s="245"/>
      <c r="J51" s="246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247"/>
      <c r="H52" s="248"/>
      <c r="I52" s="248"/>
      <c r="J52" s="24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82236.75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114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4DC5A-FEE3-4212-9206-33811C254683}">
  <dimension ref="A1:R59"/>
  <sheetViews>
    <sheetView topLeftCell="A28" zoomScaleNormal="100" zoomScaleSheetLayoutView="85" workbookViewId="0">
      <selection activeCell="B57" sqref="B57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2</v>
      </c>
      <c r="H4" s="212" t="s">
        <v>9</v>
      </c>
      <c r="I4" s="214">
        <v>46177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>
        <v>297</v>
      </c>
      <c r="D6" s="13">
        <f t="shared" ref="D6:D28" si="1">C6*L6</f>
        <v>226017</v>
      </c>
      <c r="F6" s="218" t="s">
        <v>16</v>
      </c>
      <c r="G6" s="220" t="s">
        <v>107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>
        <v>1</v>
      </c>
      <c r="D7" s="13">
        <f t="shared" si="1"/>
        <v>781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100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>
        <v>23</v>
      </c>
      <c r="D9" s="13">
        <f t="shared" si="1"/>
        <v>16859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/>
      <c r="D10" s="13">
        <f t="shared" si="1"/>
        <v>0</v>
      </c>
      <c r="F10" s="218" t="s">
        <v>26</v>
      </c>
      <c r="G10" s="233" t="s">
        <v>101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>
        <v>7</v>
      </c>
      <c r="D13" s="48">
        <f t="shared" si="1"/>
        <v>2149</v>
      </c>
      <c r="F13" s="239" t="s">
        <v>36</v>
      </c>
      <c r="G13" s="203"/>
      <c r="H13" s="194">
        <f>D29</f>
        <v>248406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/>
      <c r="D14" s="31">
        <f t="shared" si="1"/>
        <v>0</v>
      </c>
      <c r="F14" s="197" t="s">
        <v>38</v>
      </c>
      <c r="G14" s="198"/>
      <c r="H14" s="199">
        <f>D54</f>
        <v>41370.75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207035.25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>
        <f>2+2</f>
        <v>4</v>
      </c>
      <c r="D16" s="48">
        <f t="shared" si="1"/>
        <v>2600</v>
      </c>
      <c r="F16" s="67" t="s">
        <v>41</v>
      </c>
      <c r="G16" s="66" t="s">
        <v>42</v>
      </c>
      <c r="H16" s="164">
        <v>1896</v>
      </c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50"/>
      <c r="I19" s="250"/>
      <c r="J19" s="250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128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7"/>
      <c r="G23" s="78"/>
      <c r="H23" s="251"/>
      <c r="I23" s="180"/>
      <c r="J23" s="18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38"/>
      <c r="G24" s="37"/>
      <c r="H24" s="181"/>
      <c r="I24" s="150"/>
      <c r="J24" s="15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25"/>
      <c r="G27" s="79"/>
      <c r="H27" s="188"/>
      <c r="I27" s="189"/>
      <c r="J27" s="19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1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248406</v>
      </c>
      <c r="F29" s="111" t="s">
        <v>54</v>
      </c>
      <c r="G29" s="173"/>
      <c r="H29" s="133">
        <f>H15-H16-H17-H18-H19-H20-H22-H23-H24+H26+H27</f>
        <v>205139.25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2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>
        <v>2</v>
      </c>
      <c r="D34" s="30">
        <f>C34*120</f>
        <v>240</v>
      </c>
      <c r="F34" s="12">
        <v>1000</v>
      </c>
      <c r="G34" s="73">
        <v>26</v>
      </c>
      <c r="H34" s="155">
        <f>F34*G34</f>
        <v>26000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>
        <v>105</v>
      </c>
      <c r="H35" s="155">
        <f>F35*G35</f>
        <v>52500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>
        <v>1</v>
      </c>
      <c r="D36" s="12">
        <f>C36*1.5</f>
        <v>1.5</v>
      </c>
      <c r="F36" s="12">
        <v>200</v>
      </c>
      <c r="G36" s="37"/>
      <c r="H36" s="155">
        <f t="shared" ref="H36:H39" si="2">F36*G36</f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>
        <v>353</v>
      </c>
      <c r="D37" s="12">
        <f>C37*111</f>
        <v>39183</v>
      </c>
      <c r="F37" s="12">
        <v>100</v>
      </c>
      <c r="G37" s="39"/>
      <c r="H37" s="155">
        <f t="shared" si="2"/>
        <v>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>
        <v>9</v>
      </c>
      <c r="D38" s="12">
        <f>C38*84</f>
        <v>756</v>
      </c>
      <c r="F38" s="30">
        <v>50</v>
      </c>
      <c r="G38" s="39">
        <v>2</v>
      </c>
      <c r="H38" s="155">
        <f t="shared" si="2"/>
        <v>100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>
        <v>3</v>
      </c>
      <c r="D39" s="31">
        <f>C39*4.5</f>
        <v>13.5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>
        <v>5</v>
      </c>
      <c r="D40" s="12">
        <f>C40*111</f>
        <v>555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>
        <v>3</v>
      </c>
      <c r="D42" s="12">
        <f>C42*2.25</f>
        <v>6.75</v>
      </c>
      <c r="F42" s="39" t="s">
        <v>78</v>
      </c>
      <c r="G42" s="155">
        <v>85</v>
      </c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9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 t="s">
        <v>132</v>
      </c>
      <c r="G44" s="75" t="s">
        <v>164</v>
      </c>
      <c r="H44" s="150">
        <v>126406</v>
      </c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>
        <v>1</v>
      </c>
      <c r="D46" s="12">
        <f>C46*1.5</f>
        <v>1.5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>
        <v>3</v>
      </c>
      <c r="D48" s="12">
        <f>C48*78</f>
        <v>234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>
        <v>9</v>
      </c>
      <c r="D49" s="12">
        <f>C49*42</f>
        <v>378</v>
      </c>
      <c r="F49" s="131" t="s">
        <v>85</v>
      </c>
      <c r="G49" s="133">
        <f>H34+H35+H36+H37+H38+H39+H40+H41+G42+H44+H45+H46</f>
        <v>205091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80">
        <v>1</v>
      </c>
      <c r="D50" s="12">
        <f>C50*1.5</f>
        <v>1.5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137</v>
      </c>
      <c r="G51" s="244">
        <f>G49-H29</f>
        <v>-48.25</v>
      </c>
      <c r="H51" s="245"/>
      <c r="I51" s="245"/>
      <c r="J51" s="246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247"/>
      <c r="H52" s="248"/>
      <c r="I52" s="248"/>
      <c r="J52" s="24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41370.75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172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710A-CE86-4A85-8418-0479340726B7}">
  <dimension ref="A1:R59"/>
  <sheetViews>
    <sheetView topLeftCell="A37" zoomScaleNormal="100" zoomScaleSheetLayoutView="85" workbookViewId="0">
      <selection activeCell="L58" sqref="L58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3</v>
      </c>
      <c r="H4" s="212" t="s">
        <v>9</v>
      </c>
      <c r="I4" s="214">
        <v>46177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>
        <v>539</v>
      </c>
      <c r="D6" s="13">
        <f t="shared" ref="D6:D28" si="1">C6*L6</f>
        <v>410179</v>
      </c>
      <c r="F6" s="218" t="s">
        <v>16</v>
      </c>
      <c r="G6" s="220" t="s">
        <v>115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>
        <v>20</v>
      </c>
      <c r="D7" s="13">
        <f t="shared" si="1"/>
        <v>15620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109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>
        <v>135</v>
      </c>
      <c r="D9" s="13">
        <f t="shared" si="1"/>
        <v>98955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/>
      <c r="D10" s="13">
        <f t="shared" si="1"/>
        <v>0</v>
      </c>
      <c r="F10" s="218" t="s">
        <v>26</v>
      </c>
      <c r="G10" s="233" t="s">
        <v>121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>
        <v>20</v>
      </c>
      <c r="D11" s="13">
        <f t="shared" si="1"/>
        <v>23400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>
        <v>20</v>
      </c>
      <c r="D12" s="48">
        <f t="shared" si="1"/>
        <v>19840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>
        <v>24</v>
      </c>
      <c r="D13" s="48">
        <f t="shared" si="1"/>
        <v>7368</v>
      </c>
      <c r="F13" s="239" t="s">
        <v>36</v>
      </c>
      <c r="G13" s="203"/>
      <c r="H13" s="194">
        <f>D29</f>
        <v>582314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/>
      <c r="D14" s="31">
        <f t="shared" si="1"/>
        <v>0</v>
      </c>
      <c r="F14" s="197" t="s">
        <v>38</v>
      </c>
      <c r="G14" s="198"/>
      <c r="H14" s="199">
        <f>D54</f>
        <v>89697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492617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>
        <f>2+7</f>
        <v>9</v>
      </c>
      <c r="D16" s="48">
        <f t="shared" si="1"/>
        <v>5850</v>
      </c>
      <c r="F16" s="67" t="s">
        <v>41</v>
      </c>
      <c r="G16" s="66" t="s">
        <v>42</v>
      </c>
      <c r="H16" s="164">
        <f>924+306</f>
        <v>1230</v>
      </c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50"/>
      <c r="I19" s="250"/>
      <c r="J19" s="250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124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7"/>
      <c r="G23" s="78"/>
      <c r="H23" s="251"/>
      <c r="I23" s="180"/>
      <c r="J23" s="18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38"/>
      <c r="G24" s="37"/>
      <c r="H24" s="181"/>
      <c r="I24" s="150"/>
      <c r="J24" s="15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148</v>
      </c>
      <c r="C27" s="10">
        <v>1</v>
      </c>
      <c r="D27" s="44">
        <f t="shared" si="1"/>
        <v>1102</v>
      </c>
      <c r="F27" s="25"/>
      <c r="G27" s="79"/>
      <c r="H27" s="188"/>
      <c r="I27" s="189"/>
      <c r="J27" s="190"/>
      <c r="L27" s="7">
        <f>1102</f>
        <v>1102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1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582314</v>
      </c>
      <c r="F29" s="111" t="s">
        <v>54</v>
      </c>
      <c r="G29" s="173"/>
      <c r="H29" s="133">
        <f>H15-H16-H17-H18-H19-H20-H22-H23-H24+H26+H27</f>
        <v>491387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2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>
        <v>3</v>
      </c>
      <c r="D34" s="30">
        <f>C34*120</f>
        <v>360</v>
      </c>
      <c r="F34" s="12">
        <v>1000</v>
      </c>
      <c r="G34" s="73">
        <v>24</v>
      </c>
      <c r="H34" s="155">
        <f>F34*G34</f>
        <v>24000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>
        <v>1</v>
      </c>
      <c r="D35" s="30">
        <f>C35*84</f>
        <v>84</v>
      </c>
      <c r="F35" s="58">
        <v>500</v>
      </c>
      <c r="G35" s="41">
        <v>4</v>
      </c>
      <c r="H35" s="155">
        <f>F35*G35</f>
        <v>2000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>
        <v>19</v>
      </c>
      <c r="D36" s="12">
        <f>C36*1.5</f>
        <v>28.5</v>
      </c>
      <c r="F36" s="12">
        <v>200</v>
      </c>
      <c r="G36" s="37">
        <v>1</v>
      </c>
      <c r="H36" s="155">
        <f t="shared" ref="H36:H39" si="2">F36*G36</f>
        <v>200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>
        <v>756</v>
      </c>
      <c r="D37" s="12">
        <f>C37*111</f>
        <v>83916</v>
      </c>
      <c r="F37" s="12">
        <v>100</v>
      </c>
      <c r="G37" s="39">
        <v>59</v>
      </c>
      <c r="H37" s="155">
        <f t="shared" si="2"/>
        <v>5900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>
        <v>2</v>
      </c>
      <c r="D38" s="12">
        <f>C38*84</f>
        <v>168</v>
      </c>
      <c r="F38" s="30">
        <v>50</v>
      </c>
      <c r="G38" s="39">
        <v>1</v>
      </c>
      <c r="H38" s="155">
        <f t="shared" si="2"/>
        <v>50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>
        <v>5</v>
      </c>
      <c r="D39" s="31">
        <f>C39*4.5</f>
        <v>22.5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>
        <v>14</v>
      </c>
      <c r="D40" s="12">
        <f>C40*111</f>
        <v>1554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>
        <v>10</v>
      </c>
      <c r="D42" s="12">
        <f>C42*2.25</f>
        <v>22.5</v>
      </c>
      <c r="F42" s="39" t="s">
        <v>78</v>
      </c>
      <c r="G42" s="155">
        <v>30</v>
      </c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9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>
        <v>13</v>
      </c>
      <c r="D44" s="12">
        <f>C44*120</f>
        <v>1560</v>
      </c>
      <c r="F44" s="37" t="s">
        <v>155</v>
      </c>
      <c r="G44" s="75" t="s">
        <v>160</v>
      </c>
      <c r="H44" s="150">
        <v>30346</v>
      </c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 t="s">
        <v>155</v>
      </c>
      <c r="G45" s="75" t="s">
        <v>161</v>
      </c>
      <c r="H45" s="150">
        <v>328788</v>
      </c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>
        <v>7</v>
      </c>
      <c r="D46" s="12">
        <f>C46*1.5</f>
        <v>10.5</v>
      </c>
      <c r="F46" s="37" t="s">
        <v>155</v>
      </c>
      <c r="G46" s="110" t="s">
        <v>162</v>
      </c>
      <c r="H46" s="150">
        <v>99736</v>
      </c>
      <c r="I46" s="150"/>
      <c r="J46" s="150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>
        <v>11</v>
      </c>
      <c r="D48" s="12">
        <f>C48*78</f>
        <v>858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>
        <v>24</v>
      </c>
      <c r="D49" s="12">
        <f>C49*42</f>
        <v>1008</v>
      </c>
      <c r="F49" s="131" t="s">
        <v>85</v>
      </c>
      <c r="G49" s="133">
        <f>H34+H35+H36+H37+H38+H39+H40+H41+G42+H44+H45+H46</f>
        <v>491050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>
        <v>14</v>
      </c>
      <c r="D50" s="12">
        <f>C50*1.5</f>
        <v>21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163</v>
      </c>
      <c r="G51" s="244">
        <f>G49-H29</f>
        <v>-337</v>
      </c>
      <c r="H51" s="245"/>
      <c r="I51" s="245"/>
      <c r="J51" s="246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247"/>
      <c r="H52" s="248"/>
      <c r="I52" s="248"/>
      <c r="J52" s="24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89697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40189-D465-4967-A348-0B7586C2B4F4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7" t="s">
        <v>1</v>
      </c>
      <c r="O1" s="207"/>
      <c r="P1" s="100" t="s">
        <v>2</v>
      </c>
      <c r="Q1" s="10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8" t="s">
        <v>7</v>
      </c>
      <c r="B4" s="159"/>
      <c r="C4" s="159"/>
      <c r="D4" s="160"/>
      <c r="F4" s="208" t="s">
        <v>8</v>
      </c>
      <c r="G4" s="210"/>
      <c r="H4" s="212" t="s">
        <v>9</v>
      </c>
      <c r="I4" s="214"/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3"/>
      <c r="B6" s="16"/>
      <c r="C6" s="10"/>
      <c r="D6" s="13">
        <f t="shared" ref="D6:D28" si="1">C6*L6</f>
        <v>0</v>
      </c>
      <c r="F6" s="218" t="s">
        <v>16</v>
      </c>
      <c r="G6" s="220"/>
      <c r="H6" s="221"/>
      <c r="I6" s="221"/>
      <c r="J6" s="22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3"/>
      <c r="B7" s="16"/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3"/>
      <c r="B8" s="16"/>
      <c r="C8" s="10"/>
      <c r="D8" s="13">
        <f t="shared" si="1"/>
        <v>0</v>
      </c>
      <c r="F8" s="226" t="s">
        <v>21</v>
      </c>
      <c r="G8" s="227"/>
      <c r="H8" s="228"/>
      <c r="I8" s="228"/>
      <c r="J8" s="22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3"/>
      <c r="B9" s="16"/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3"/>
      <c r="C10" s="10"/>
      <c r="D10" s="13">
        <f t="shared" si="1"/>
        <v>0</v>
      </c>
      <c r="F10" s="218" t="s">
        <v>26</v>
      </c>
      <c r="G10" s="233"/>
      <c r="H10" s="234"/>
      <c r="I10" s="234"/>
      <c r="J10" s="235"/>
      <c r="K10" s="8"/>
      <c r="L10" s="6">
        <f>R36</f>
        <v>972</v>
      </c>
      <c r="P10" s="4"/>
      <c r="Q10" s="4"/>
      <c r="R10" s="5"/>
    </row>
    <row r="11" spans="1:19" ht="15.75" x14ac:dyDescent="0.25">
      <c r="A11" s="153"/>
      <c r="B11" s="17"/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3"/>
      <c r="B12" s="17"/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3"/>
      <c r="B13" s="17"/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3"/>
      <c r="B14" s="14"/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3"/>
      <c r="B15" s="14"/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3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19"/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14"/>
      <c r="C19" s="10"/>
      <c r="D19" s="48">
        <f t="shared" si="1"/>
        <v>0</v>
      </c>
      <c r="F19" s="56"/>
      <c r="G19" s="68" t="s">
        <v>49</v>
      </c>
      <c r="H19" s="176"/>
      <c r="I19" s="176"/>
      <c r="J19" s="17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3"/>
      <c r="B20" s="46"/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3"/>
      <c r="B22" s="46"/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/>
      <c r="C23" s="10"/>
      <c r="D23" s="48">
        <f t="shared" si="1"/>
        <v>0</v>
      </c>
      <c r="F23" s="77"/>
      <c r="G23" s="78"/>
      <c r="H23" s="181"/>
      <c r="I23" s="150"/>
      <c r="J23" s="150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/>
      <c r="C24" s="10"/>
      <c r="D24" s="48">
        <f t="shared" si="1"/>
        <v>0</v>
      </c>
      <c r="F24" s="38"/>
      <c r="G24" s="37"/>
      <c r="H24" s="181"/>
      <c r="I24" s="150"/>
      <c r="J24" s="150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/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3"/>
      <c r="B27" s="14"/>
      <c r="C27" s="10"/>
      <c r="D27" s="44">
        <f t="shared" si="1"/>
        <v>0</v>
      </c>
      <c r="F27" s="25"/>
      <c r="G27" s="79"/>
      <c r="H27" s="188"/>
      <c r="I27" s="189"/>
      <c r="J27" s="19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/>
      <c r="C28" s="10"/>
      <c r="D28" s="48">
        <f t="shared" si="1"/>
        <v>0</v>
      </c>
      <c r="F28" s="101"/>
      <c r="G28" s="61"/>
      <c r="H28" s="191"/>
      <c r="I28" s="192"/>
      <c r="J28" s="19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2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55"/>
      <c r="I34" s="156"/>
      <c r="J34" s="157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/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/>
      <c r="I36" s="156"/>
      <c r="J36" s="157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/>
      <c r="I37" s="156"/>
      <c r="J37" s="157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/>
      <c r="I38" s="156"/>
      <c r="J38" s="157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/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9" t="s">
        <v>82</v>
      </c>
      <c r="H43" s="147" t="s">
        <v>13</v>
      </c>
      <c r="I43" s="148"/>
      <c r="J43" s="149"/>
      <c r="K43" s="21"/>
      <c r="P43" s="4"/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75"/>
      <c r="H44" s="150"/>
      <c r="I44" s="150"/>
      <c r="J44" s="150"/>
      <c r="K44" s="21"/>
      <c r="P44" s="4"/>
      <c r="Q44" s="4"/>
      <c r="R44" s="5"/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/>
      <c r="D50" s="12">
        <f>C50*1.5</f>
        <v>0</v>
      </c>
      <c r="F50" s="132"/>
      <c r="G50" s="136"/>
      <c r="H50" s="137"/>
      <c r="I50" s="137"/>
      <c r="J50" s="138"/>
      <c r="P50" s="4"/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106</v>
      </c>
      <c r="G51" s="141">
        <f>G49-H29</f>
        <v>0</v>
      </c>
      <c r="H51" s="142"/>
      <c r="I51" s="142"/>
      <c r="J51" s="143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6"/>
      <c r="B52" s="29"/>
      <c r="C52" s="33"/>
      <c r="D52" s="45"/>
      <c r="F52" s="140"/>
      <c r="G52" s="144"/>
      <c r="H52" s="145"/>
      <c r="I52" s="145"/>
      <c r="J52" s="14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7DD10-A8AA-46BD-BD11-3486487D218F}">
  <dimension ref="A1:R59"/>
  <sheetViews>
    <sheetView zoomScaleNormal="100" zoomScaleSheetLayoutView="85" workbookViewId="0">
      <selection activeCell="G36" sqref="G36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1</v>
      </c>
      <c r="H4" s="212" t="s">
        <v>9</v>
      </c>
      <c r="I4" s="214">
        <v>46178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/>
      <c r="D6" s="13">
        <f t="shared" ref="D6:D28" si="1">C6*L6</f>
        <v>0</v>
      </c>
      <c r="F6" s="218" t="s">
        <v>16</v>
      </c>
      <c r="G6" s="220" t="s">
        <v>99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117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/>
      <c r="D10" s="13">
        <f t="shared" si="1"/>
        <v>0</v>
      </c>
      <c r="F10" s="218" t="s">
        <v>26</v>
      </c>
      <c r="G10" s="233" t="s">
        <v>108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164"/>
      <c r="I19" s="164"/>
      <c r="J19" s="164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124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6"/>
      <c r="G23" s="78"/>
      <c r="H23" s="240"/>
      <c r="I23" s="241"/>
      <c r="J23" s="241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76"/>
      <c r="G24" s="78"/>
      <c r="H24" s="240"/>
      <c r="I24" s="241"/>
      <c r="J24" s="24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74"/>
      <c r="G26" s="65"/>
      <c r="H26" s="150"/>
      <c r="I26" s="150"/>
      <c r="J26" s="15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71"/>
      <c r="G27" s="99"/>
      <c r="H27" s="242"/>
      <c r="I27" s="243"/>
      <c r="J27" s="24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1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H15-H16-H17-H18-H19-H20-H22-H23-H24+H26+H27+H28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2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40"/>
      <c r="H34" s="155">
        <f t="shared" ref="H34:H39" si="2">F34*G34</f>
        <v>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>
        <f t="shared" si="2"/>
        <v>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>
        <f t="shared" si="2"/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>
        <f t="shared" si="2"/>
        <v>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>
        <f t="shared" si="2"/>
        <v>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9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62"/>
      <c r="H44" s="150"/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62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0"/>
      <c r="I46" s="150"/>
      <c r="J46" s="150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/>
      <c r="D50" s="12">
        <f>C50*1.5</f>
        <v>0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129</v>
      </c>
      <c r="G51" s="252">
        <f>G49-H29</f>
        <v>0</v>
      </c>
      <c r="H51" s="253"/>
      <c r="I51" s="253"/>
      <c r="J51" s="254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255"/>
      <c r="H52" s="256"/>
      <c r="I52" s="256"/>
      <c r="J52" s="257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114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B878-5D4A-486D-B0EB-E2633C3ADDEF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2</v>
      </c>
      <c r="H4" s="212" t="s">
        <v>9</v>
      </c>
      <c r="I4" s="214">
        <v>46178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>
        <v>384</v>
      </c>
      <c r="D6" s="13">
        <f t="shared" ref="D6:D28" si="1">C6*L6</f>
        <v>292224</v>
      </c>
      <c r="F6" s="218" t="s">
        <v>16</v>
      </c>
      <c r="G6" s="220" t="s">
        <v>107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>
        <v>4</v>
      </c>
      <c r="D7" s="13">
        <f t="shared" si="1"/>
        <v>3124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100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>
        <v>6</v>
      </c>
      <c r="D9" s="13">
        <f t="shared" si="1"/>
        <v>4398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/>
      <c r="D10" s="13">
        <f t="shared" si="1"/>
        <v>0</v>
      </c>
      <c r="F10" s="218" t="s">
        <v>26</v>
      </c>
      <c r="G10" s="233" t="s">
        <v>101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>
        <v>9</v>
      </c>
      <c r="D13" s="48">
        <f t="shared" si="1"/>
        <v>2763</v>
      </c>
      <c r="F13" s="239" t="s">
        <v>36</v>
      </c>
      <c r="G13" s="203"/>
      <c r="H13" s="194">
        <f>D29</f>
        <v>302509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/>
      <c r="D14" s="31">
        <f t="shared" si="1"/>
        <v>0</v>
      </c>
      <c r="F14" s="197" t="s">
        <v>38</v>
      </c>
      <c r="G14" s="198"/>
      <c r="H14" s="199">
        <f>D54</f>
        <v>39733.5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262775.5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>
        <v>1296</v>
      </c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50"/>
      <c r="I19" s="250"/>
      <c r="J19" s="250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128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7"/>
      <c r="G23" s="78"/>
      <c r="H23" s="251"/>
      <c r="I23" s="180"/>
      <c r="J23" s="18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38"/>
      <c r="G24" s="37"/>
      <c r="H24" s="181"/>
      <c r="I24" s="150"/>
      <c r="J24" s="15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25"/>
      <c r="G27" s="79"/>
      <c r="H27" s="188"/>
      <c r="I27" s="189"/>
      <c r="J27" s="19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1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302509</v>
      </c>
      <c r="F29" s="111" t="s">
        <v>54</v>
      </c>
      <c r="G29" s="173"/>
      <c r="H29" s="133">
        <f>H15-H16-H17-H18-H19-H20-H22-H23-H24+H26+H27</f>
        <v>261479.5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2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90</v>
      </c>
      <c r="H34" s="155">
        <f>F34*G34</f>
        <v>90000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>
        <v>51</v>
      </c>
      <c r="H35" s="155">
        <f>F35*G35</f>
        <v>25500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>
        <f t="shared" ref="H36:H39" si="2">F36*G36</f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>
        <v>348</v>
      </c>
      <c r="D37" s="12">
        <f>C37*111</f>
        <v>38628</v>
      </c>
      <c r="F37" s="12">
        <v>100</v>
      </c>
      <c r="G37" s="39"/>
      <c r="H37" s="155">
        <f t="shared" si="2"/>
        <v>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>
        <v>1</v>
      </c>
      <c r="D38" s="12">
        <f>C38*84</f>
        <v>84</v>
      </c>
      <c r="F38" s="30">
        <v>50</v>
      </c>
      <c r="G38" s="39">
        <v>2</v>
      </c>
      <c r="H38" s="155">
        <f t="shared" si="2"/>
        <v>100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>
        <v>2</v>
      </c>
      <c r="H39" s="155">
        <f t="shared" si="2"/>
        <v>40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>
        <v>2</v>
      </c>
      <c r="D40" s="12">
        <f>C40*111</f>
        <v>222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>
        <v>77</v>
      </c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9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 t="s">
        <v>165</v>
      </c>
      <c r="G44" s="75" t="s">
        <v>166</v>
      </c>
      <c r="H44" s="150">
        <v>145825</v>
      </c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>
        <v>8</v>
      </c>
      <c r="D48" s="12">
        <f>C48*78</f>
        <v>624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>
        <v>4</v>
      </c>
      <c r="D49" s="12">
        <f>C49*42</f>
        <v>168</v>
      </c>
      <c r="F49" s="131" t="s">
        <v>85</v>
      </c>
      <c r="G49" s="133">
        <f>H34+H35+H36+H37+H38+H39+H40+H41+G42+H44+H45+H46</f>
        <v>261542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80">
        <v>5</v>
      </c>
      <c r="D50" s="12">
        <f>C50*1.5</f>
        <v>7.5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113</v>
      </c>
      <c r="G51" s="141">
        <f>G49-H29</f>
        <v>62.5</v>
      </c>
      <c r="H51" s="142"/>
      <c r="I51" s="142"/>
      <c r="J51" s="143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144"/>
      <c r="H52" s="145"/>
      <c r="I52" s="145"/>
      <c r="J52" s="14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39733.5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172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1A631-B913-4B0D-B333-83CB1506264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3</v>
      </c>
      <c r="H4" s="212" t="s">
        <v>9</v>
      </c>
      <c r="I4" s="214">
        <v>46178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>
        <v>389</v>
      </c>
      <c r="D6" s="13">
        <f t="shared" ref="D6:D28" si="1">C6*L6</f>
        <v>296029</v>
      </c>
      <c r="F6" s="218" t="s">
        <v>16</v>
      </c>
      <c r="G6" s="220" t="s">
        <v>170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>
        <v>20</v>
      </c>
      <c r="D7" s="13">
        <f t="shared" si="1"/>
        <v>15620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109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>
        <v>46</v>
      </c>
      <c r="D9" s="13">
        <f t="shared" si="1"/>
        <v>33718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>
        <v>2</v>
      </c>
      <c r="D10" s="13">
        <f t="shared" si="1"/>
        <v>2064</v>
      </c>
      <c r="F10" s="218" t="s">
        <v>26</v>
      </c>
      <c r="G10" s="233" t="s">
        <v>121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>
        <v>2</v>
      </c>
      <c r="D11" s="13">
        <f t="shared" si="1"/>
        <v>2340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>
        <f>4+1</f>
        <v>5</v>
      </c>
      <c r="D12" s="48">
        <f t="shared" si="1"/>
        <v>4960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>
        <v>8</v>
      </c>
      <c r="D13" s="48">
        <f t="shared" si="1"/>
        <v>2456</v>
      </c>
      <c r="F13" s="239" t="s">
        <v>36</v>
      </c>
      <c r="G13" s="203"/>
      <c r="H13" s="194">
        <f>D29</f>
        <v>357319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>
        <v>12</v>
      </c>
      <c r="D14" s="31">
        <f t="shared" si="1"/>
        <v>132</v>
      </c>
      <c r="F14" s="197" t="s">
        <v>38</v>
      </c>
      <c r="G14" s="198"/>
      <c r="H14" s="199">
        <f>D54</f>
        <v>52380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304939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>
        <v>1092</v>
      </c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50"/>
      <c r="I19" s="250"/>
      <c r="J19" s="250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124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7"/>
      <c r="G23" s="78"/>
      <c r="H23" s="251"/>
      <c r="I23" s="180"/>
      <c r="J23" s="18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38"/>
      <c r="G24" s="37"/>
      <c r="H24" s="181"/>
      <c r="I24" s="150"/>
      <c r="J24" s="15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25"/>
      <c r="G27" s="79"/>
      <c r="H27" s="188"/>
      <c r="I27" s="189"/>
      <c r="J27" s="19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1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357319</v>
      </c>
      <c r="F29" s="111" t="s">
        <v>54</v>
      </c>
      <c r="G29" s="173"/>
      <c r="H29" s="133">
        <f>H15-H16-H17-H18-H19-H20-H22-H23-H24+H26+H27</f>
        <v>303847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2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>
        <v>5</v>
      </c>
      <c r="D34" s="30">
        <f>C34*120</f>
        <v>600</v>
      </c>
      <c r="F34" s="12">
        <v>1000</v>
      </c>
      <c r="G34" s="73">
        <v>103</v>
      </c>
      <c r="H34" s="155">
        <f>F34*G34</f>
        <v>103000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>
        <v>1</v>
      </c>
      <c r="D35" s="30">
        <f>C35*84</f>
        <v>84</v>
      </c>
      <c r="F35" s="58">
        <v>500</v>
      </c>
      <c r="G35" s="41">
        <v>9</v>
      </c>
      <c r="H35" s="155">
        <f>F35*G35</f>
        <v>4500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>
        <v>1</v>
      </c>
      <c r="H36" s="155">
        <f t="shared" ref="H36:H39" si="2">F36*G36</f>
        <v>200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>
        <v>421</v>
      </c>
      <c r="D37" s="12">
        <f>C37*111</f>
        <v>46731</v>
      </c>
      <c r="F37" s="12">
        <v>100</v>
      </c>
      <c r="G37" s="39">
        <v>63</v>
      </c>
      <c r="H37" s="155">
        <f t="shared" si="2"/>
        <v>6300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>
        <v>13</v>
      </c>
      <c r="D38" s="12">
        <f>C38*84</f>
        <v>1092</v>
      </c>
      <c r="F38" s="30">
        <v>50</v>
      </c>
      <c r="G38" s="39">
        <v>1</v>
      </c>
      <c r="H38" s="155">
        <f t="shared" si="2"/>
        <v>50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>
        <v>3</v>
      </c>
      <c r="D39" s="31">
        <f>C39*4.5</f>
        <v>13.5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>
        <v>19</v>
      </c>
      <c r="D40" s="12">
        <f>C40*111</f>
        <v>2109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>
        <v>8</v>
      </c>
      <c r="D42" s="12">
        <f>C42*2.25</f>
        <v>18</v>
      </c>
      <c r="F42" s="39" t="s">
        <v>78</v>
      </c>
      <c r="G42" s="155">
        <v>20</v>
      </c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9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>
        <v>5</v>
      </c>
      <c r="D44" s="12">
        <f>C44*120</f>
        <v>600</v>
      </c>
      <c r="F44" s="37" t="s">
        <v>167</v>
      </c>
      <c r="G44" s="75" t="s">
        <v>168</v>
      </c>
      <c r="H44" s="150">
        <v>69159</v>
      </c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>
        <v>1</v>
      </c>
      <c r="D45" s="12">
        <f>C45*84</f>
        <v>84</v>
      </c>
      <c r="F45" s="37" t="s">
        <v>132</v>
      </c>
      <c r="G45" s="75" t="s">
        <v>169</v>
      </c>
      <c r="H45" s="150">
        <v>119736</v>
      </c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>
        <v>5</v>
      </c>
      <c r="D46" s="12">
        <f>C46*1.5</f>
        <v>7.5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>
        <v>12</v>
      </c>
      <c r="D48" s="12">
        <f>C48*78</f>
        <v>936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302965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>
        <v>14</v>
      </c>
      <c r="D50" s="12">
        <f>C50*1.5</f>
        <v>21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137</v>
      </c>
      <c r="G51" s="244">
        <f>G49-H29</f>
        <v>-882</v>
      </c>
      <c r="H51" s="245"/>
      <c r="I51" s="245"/>
      <c r="J51" s="246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247"/>
      <c r="H52" s="248"/>
      <c r="I52" s="248"/>
      <c r="J52" s="24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52380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171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17099-48C1-4AB9-8DE1-CFCA6E12A1EA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7" t="s">
        <v>1</v>
      </c>
      <c r="O1" s="207"/>
      <c r="P1" s="100" t="s">
        <v>2</v>
      </c>
      <c r="Q1" s="10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8" t="s">
        <v>7</v>
      </c>
      <c r="B4" s="159"/>
      <c r="C4" s="159"/>
      <c r="D4" s="160"/>
      <c r="F4" s="208" t="s">
        <v>8</v>
      </c>
      <c r="G4" s="210"/>
      <c r="H4" s="212" t="s">
        <v>9</v>
      </c>
      <c r="I4" s="214"/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3"/>
      <c r="B6" s="16"/>
      <c r="C6" s="10"/>
      <c r="D6" s="13">
        <f t="shared" ref="D6:D28" si="1">C6*L6</f>
        <v>0</v>
      </c>
      <c r="F6" s="218" t="s">
        <v>16</v>
      </c>
      <c r="G6" s="220"/>
      <c r="H6" s="221"/>
      <c r="I6" s="221"/>
      <c r="J6" s="22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3"/>
      <c r="B7" s="16"/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3"/>
      <c r="B8" s="16"/>
      <c r="C8" s="10"/>
      <c r="D8" s="13">
        <f t="shared" si="1"/>
        <v>0</v>
      </c>
      <c r="F8" s="226" t="s">
        <v>21</v>
      </c>
      <c r="G8" s="227"/>
      <c r="H8" s="228"/>
      <c r="I8" s="228"/>
      <c r="J8" s="22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3"/>
      <c r="B9" s="16"/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3"/>
      <c r="C10" s="10"/>
      <c r="D10" s="13">
        <f t="shared" si="1"/>
        <v>0</v>
      </c>
      <c r="F10" s="218" t="s">
        <v>26</v>
      </c>
      <c r="G10" s="233"/>
      <c r="H10" s="234"/>
      <c r="I10" s="234"/>
      <c r="J10" s="235"/>
      <c r="K10" s="8"/>
      <c r="L10" s="6">
        <f>R36</f>
        <v>972</v>
      </c>
      <c r="P10" s="4"/>
      <c r="Q10" s="4"/>
      <c r="R10" s="5"/>
    </row>
    <row r="11" spans="1:19" ht="15.75" x14ac:dyDescent="0.25">
      <c r="A11" s="153"/>
      <c r="B11" s="17"/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3"/>
      <c r="B12" s="17"/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3"/>
      <c r="B13" s="17"/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3"/>
      <c r="B14" s="14"/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3"/>
      <c r="B15" s="14"/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3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19"/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14"/>
      <c r="C19" s="10"/>
      <c r="D19" s="48">
        <f t="shared" si="1"/>
        <v>0</v>
      </c>
      <c r="F19" s="56"/>
      <c r="G19" s="68" t="s">
        <v>49</v>
      </c>
      <c r="H19" s="176"/>
      <c r="I19" s="176"/>
      <c r="J19" s="17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3"/>
      <c r="B20" s="46"/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3"/>
      <c r="B22" s="46"/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/>
      <c r="C23" s="10"/>
      <c r="D23" s="48">
        <f t="shared" si="1"/>
        <v>0</v>
      </c>
      <c r="F23" s="77"/>
      <c r="G23" s="78"/>
      <c r="H23" s="181"/>
      <c r="I23" s="150"/>
      <c r="J23" s="150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/>
      <c r="C24" s="10"/>
      <c r="D24" s="48">
        <f t="shared" si="1"/>
        <v>0</v>
      </c>
      <c r="F24" s="38"/>
      <c r="G24" s="37"/>
      <c r="H24" s="181"/>
      <c r="I24" s="150"/>
      <c r="J24" s="150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/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3"/>
      <c r="B27" s="14"/>
      <c r="C27" s="10"/>
      <c r="D27" s="44">
        <f t="shared" si="1"/>
        <v>0</v>
      </c>
      <c r="F27" s="25"/>
      <c r="G27" s="79"/>
      <c r="H27" s="188"/>
      <c r="I27" s="189"/>
      <c r="J27" s="19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/>
      <c r="C28" s="10"/>
      <c r="D28" s="48">
        <f t="shared" si="1"/>
        <v>0</v>
      </c>
      <c r="F28" s="101"/>
      <c r="G28" s="61"/>
      <c r="H28" s="191"/>
      <c r="I28" s="192"/>
      <c r="J28" s="19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2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55"/>
      <c r="I34" s="156"/>
      <c r="J34" s="157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/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/>
      <c r="I36" s="156"/>
      <c r="J36" s="157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/>
      <c r="I37" s="156"/>
      <c r="J37" s="157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/>
      <c r="I38" s="156"/>
      <c r="J38" s="157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/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9" t="s">
        <v>82</v>
      </c>
      <c r="H43" s="147" t="s">
        <v>13</v>
      </c>
      <c r="I43" s="148"/>
      <c r="J43" s="149"/>
      <c r="K43" s="21"/>
      <c r="P43" s="4"/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75"/>
      <c r="H44" s="150"/>
      <c r="I44" s="150"/>
      <c r="J44" s="150"/>
      <c r="K44" s="21"/>
      <c r="P44" s="4"/>
      <c r="Q44" s="4"/>
      <c r="R44" s="5"/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/>
      <c r="D50" s="12">
        <f>C50*1.5</f>
        <v>0</v>
      </c>
      <c r="F50" s="132"/>
      <c r="G50" s="136"/>
      <c r="H50" s="137"/>
      <c r="I50" s="137"/>
      <c r="J50" s="138"/>
      <c r="P50" s="4"/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106</v>
      </c>
      <c r="G51" s="141">
        <f>G49-H29</f>
        <v>0</v>
      </c>
      <c r="H51" s="142"/>
      <c r="I51" s="142"/>
      <c r="J51" s="143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6"/>
      <c r="B52" s="29"/>
      <c r="C52" s="33"/>
      <c r="D52" s="45"/>
      <c r="F52" s="140"/>
      <c r="G52" s="144"/>
      <c r="H52" s="145"/>
      <c r="I52" s="145"/>
      <c r="J52" s="14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05E38-9FEB-4220-A304-1BDE55C2F912}">
  <dimension ref="A1:R59"/>
  <sheetViews>
    <sheetView topLeftCell="A37" zoomScaleNormal="100" zoomScaleSheetLayoutView="85" workbookViewId="0">
      <selection activeCell="B57" sqref="B57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1</v>
      </c>
      <c r="H4" s="212" t="s">
        <v>9</v>
      </c>
      <c r="I4" s="214">
        <v>46179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/>
      <c r="D6" s="13">
        <f t="shared" ref="D6:D28" si="1">C6*L6</f>
        <v>0</v>
      </c>
      <c r="F6" s="218" t="s">
        <v>16</v>
      </c>
      <c r="G6" s="220" t="s">
        <v>99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117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/>
      <c r="D10" s="13">
        <f t="shared" si="1"/>
        <v>0</v>
      </c>
      <c r="F10" s="218" t="s">
        <v>26</v>
      </c>
      <c r="G10" s="233" t="s">
        <v>108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164"/>
      <c r="I19" s="164"/>
      <c r="J19" s="164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124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6"/>
      <c r="G23" s="78"/>
      <c r="H23" s="240"/>
      <c r="I23" s="241"/>
      <c r="J23" s="241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76"/>
      <c r="G24" s="78"/>
      <c r="H24" s="240"/>
      <c r="I24" s="241"/>
      <c r="J24" s="24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74" t="s">
        <v>136</v>
      </c>
      <c r="G26" s="65">
        <v>10850</v>
      </c>
      <c r="H26" s="150">
        <v>62272</v>
      </c>
      <c r="I26" s="150"/>
      <c r="J26" s="15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71"/>
      <c r="G27" s="99"/>
      <c r="H27" s="242"/>
      <c r="I27" s="243"/>
      <c r="J27" s="24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1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H15-H16-H17-H18-H19-H20-H22-H23-H24+H26+H27+H28</f>
        <v>62272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2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62</v>
      </c>
      <c r="H34" s="155">
        <f t="shared" ref="H34:H39" si="2">F34*G34</f>
        <v>62000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>
        <f t="shared" si="2"/>
        <v>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>
        <f t="shared" si="2"/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>
        <v>2</v>
      </c>
      <c r="H37" s="155">
        <f t="shared" si="2"/>
        <v>200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>
        <v>1</v>
      </c>
      <c r="H38" s="155">
        <f t="shared" si="2"/>
        <v>50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>
        <v>22</v>
      </c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9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62"/>
      <c r="H44" s="150"/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62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0"/>
      <c r="I46" s="150"/>
      <c r="J46" s="150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62272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/>
      <c r="D50" s="12">
        <f>C50*1.5</f>
        <v>0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129</v>
      </c>
      <c r="G51" s="252">
        <f>G49-H29</f>
        <v>0</v>
      </c>
      <c r="H51" s="253"/>
      <c r="I51" s="253"/>
      <c r="J51" s="254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255"/>
      <c r="H52" s="256"/>
      <c r="I52" s="256"/>
      <c r="J52" s="257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114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99B0C-322E-48B7-9B4B-6300806FCF3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2</v>
      </c>
      <c r="H4" s="212" t="s">
        <v>9</v>
      </c>
      <c r="I4" s="214">
        <v>46179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/>
      <c r="D6" s="13">
        <f t="shared" ref="D6:D28" si="1">C6*L6</f>
        <v>0</v>
      </c>
      <c r="F6" s="218" t="s">
        <v>16</v>
      </c>
      <c r="G6" s="220" t="s">
        <v>107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100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/>
      <c r="D10" s="13">
        <f t="shared" si="1"/>
        <v>0</v>
      </c>
      <c r="F10" s="218" t="s">
        <v>26</v>
      </c>
      <c r="G10" s="233" t="s">
        <v>101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50"/>
      <c r="I19" s="250"/>
      <c r="J19" s="250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128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7"/>
      <c r="G23" s="78"/>
      <c r="H23" s="251"/>
      <c r="I23" s="180"/>
      <c r="J23" s="18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38"/>
      <c r="G24" s="37"/>
      <c r="H24" s="181"/>
      <c r="I24" s="150"/>
      <c r="J24" s="15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25"/>
      <c r="G27" s="79"/>
      <c r="H27" s="188"/>
      <c r="I27" s="189"/>
      <c r="J27" s="19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1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2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55">
        <f>F34*G34</f>
        <v>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>
        <f>F35*G35</f>
        <v>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>
        <f t="shared" ref="H36:H39" si="2">F36*G36</f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>
        <f t="shared" si="2"/>
        <v>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>
        <f t="shared" si="2"/>
        <v>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9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75"/>
      <c r="H44" s="150"/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80"/>
      <c r="D50" s="12">
        <f>C50*1.5</f>
        <v>0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113</v>
      </c>
      <c r="G51" s="141">
        <f>G49-H29</f>
        <v>0</v>
      </c>
      <c r="H51" s="142"/>
      <c r="I51" s="142"/>
      <c r="J51" s="143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144"/>
      <c r="H52" s="145"/>
      <c r="I52" s="145"/>
      <c r="J52" s="14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172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E8C9-59EB-4F59-95D5-B1F89CA82ECB}">
  <dimension ref="A1:R59"/>
  <sheetViews>
    <sheetView topLeftCell="A28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3</v>
      </c>
      <c r="H4" s="212" t="s">
        <v>9</v>
      </c>
      <c r="I4" s="214">
        <v>46179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/>
      <c r="D6" s="13">
        <f t="shared" ref="D6:D28" si="1">C6*L6</f>
        <v>0</v>
      </c>
      <c r="F6" s="218" t="s">
        <v>16</v>
      </c>
      <c r="G6" s="220" t="s">
        <v>115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109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/>
      <c r="D10" s="13">
        <f t="shared" si="1"/>
        <v>0</v>
      </c>
      <c r="F10" s="218" t="s">
        <v>26</v>
      </c>
      <c r="G10" s="233" t="s">
        <v>121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50"/>
      <c r="I19" s="250"/>
      <c r="J19" s="250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124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7"/>
      <c r="G23" s="78"/>
      <c r="H23" s="251"/>
      <c r="I23" s="180"/>
      <c r="J23" s="18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38"/>
      <c r="G24" s="37"/>
      <c r="H24" s="181"/>
      <c r="I24" s="150"/>
      <c r="J24" s="15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25"/>
      <c r="G27" s="79"/>
      <c r="H27" s="188"/>
      <c r="I27" s="189"/>
      <c r="J27" s="19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1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2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55">
        <f>F34*G34</f>
        <v>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>
        <f>F35*G35</f>
        <v>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>
        <f t="shared" ref="H36:H39" si="2">F36*G36</f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>
        <f t="shared" si="2"/>
        <v>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>
        <f t="shared" si="2"/>
        <v>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9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75"/>
      <c r="H44" s="150"/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/>
      <c r="D50" s="12">
        <f>C50*1.5</f>
        <v>0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113</v>
      </c>
      <c r="G51" s="141">
        <f>G49-H29</f>
        <v>0</v>
      </c>
      <c r="H51" s="142"/>
      <c r="I51" s="142"/>
      <c r="J51" s="143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144"/>
      <c r="H52" s="145"/>
      <c r="I52" s="145"/>
      <c r="J52" s="14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651FE-F86D-4E78-9CB8-C5B260A23C0A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7" t="s">
        <v>1</v>
      </c>
      <c r="O1" s="207"/>
      <c r="P1" s="100" t="s">
        <v>2</v>
      </c>
      <c r="Q1" s="10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8" t="s">
        <v>7</v>
      </c>
      <c r="B4" s="159"/>
      <c r="C4" s="159"/>
      <c r="D4" s="160"/>
      <c r="F4" s="208" t="s">
        <v>8</v>
      </c>
      <c r="G4" s="210"/>
      <c r="H4" s="212" t="s">
        <v>9</v>
      </c>
      <c r="I4" s="214"/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3"/>
      <c r="B6" s="16"/>
      <c r="C6" s="10"/>
      <c r="D6" s="13">
        <f t="shared" ref="D6:D28" si="1">C6*L6</f>
        <v>0</v>
      </c>
      <c r="F6" s="218" t="s">
        <v>16</v>
      </c>
      <c r="G6" s="220"/>
      <c r="H6" s="221"/>
      <c r="I6" s="221"/>
      <c r="J6" s="22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3"/>
      <c r="B7" s="16"/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3"/>
      <c r="B8" s="16"/>
      <c r="C8" s="10"/>
      <c r="D8" s="13">
        <f t="shared" si="1"/>
        <v>0</v>
      </c>
      <c r="F8" s="226" t="s">
        <v>21</v>
      </c>
      <c r="G8" s="227"/>
      <c r="H8" s="228"/>
      <c r="I8" s="228"/>
      <c r="J8" s="22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3"/>
      <c r="B9" s="16"/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3"/>
      <c r="C10" s="10"/>
      <c r="D10" s="13">
        <f t="shared" si="1"/>
        <v>0</v>
      </c>
      <c r="F10" s="218" t="s">
        <v>26</v>
      </c>
      <c r="G10" s="233"/>
      <c r="H10" s="234"/>
      <c r="I10" s="234"/>
      <c r="J10" s="235"/>
      <c r="K10" s="8"/>
      <c r="L10" s="6">
        <f>R36</f>
        <v>972</v>
      </c>
      <c r="P10" s="4"/>
      <c r="Q10" s="4"/>
      <c r="R10" s="5"/>
    </row>
    <row r="11" spans="1:19" ht="15.75" x14ac:dyDescent="0.25">
      <c r="A11" s="153"/>
      <c r="B11" s="17"/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3"/>
      <c r="B12" s="17"/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3"/>
      <c r="B13" s="17"/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3"/>
      <c r="B14" s="14"/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3"/>
      <c r="B15" s="14"/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3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19"/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14"/>
      <c r="C19" s="10"/>
      <c r="D19" s="48">
        <f t="shared" si="1"/>
        <v>0</v>
      </c>
      <c r="F19" s="56"/>
      <c r="G19" s="68" t="s">
        <v>49</v>
      </c>
      <c r="H19" s="176"/>
      <c r="I19" s="176"/>
      <c r="J19" s="17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3"/>
      <c r="B20" s="46"/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3"/>
      <c r="B22" s="46"/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/>
      <c r="C23" s="10"/>
      <c r="D23" s="48">
        <f t="shared" si="1"/>
        <v>0</v>
      </c>
      <c r="F23" s="77"/>
      <c r="G23" s="78"/>
      <c r="H23" s="181"/>
      <c r="I23" s="150"/>
      <c r="J23" s="150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/>
      <c r="C24" s="10"/>
      <c r="D24" s="48">
        <f t="shared" si="1"/>
        <v>0</v>
      </c>
      <c r="F24" s="38"/>
      <c r="G24" s="37"/>
      <c r="H24" s="181"/>
      <c r="I24" s="150"/>
      <c r="J24" s="150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/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3"/>
      <c r="B27" s="14"/>
      <c r="C27" s="10"/>
      <c r="D27" s="44">
        <f t="shared" si="1"/>
        <v>0</v>
      </c>
      <c r="F27" s="25"/>
      <c r="G27" s="79"/>
      <c r="H27" s="188"/>
      <c r="I27" s="189"/>
      <c r="J27" s="19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/>
      <c r="C28" s="10"/>
      <c r="D28" s="48">
        <f t="shared" si="1"/>
        <v>0</v>
      </c>
      <c r="F28" s="101"/>
      <c r="G28" s="61"/>
      <c r="H28" s="191"/>
      <c r="I28" s="192"/>
      <c r="J28" s="19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2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55"/>
      <c r="I34" s="156"/>
      <c r="J34" s="157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/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/>
      <c r="I36" s="156"/>
      <c r="J36" s="157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/>
      <c r="I37" s="156"/>
      <c r="J37" s="157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/>
      <c r="I38" s="156"/>
      <c r="J38" s="157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/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9" t="s">
        <v>82</v>
      </c>
      <c r="H43" s="147" t="s">
        <v>13</v>
      </c>
      <c r="I43" s="148"/>
      <c r="J43" s="149"/>
      <c r="K43" s="21"/>
      <c r="P43" s="4"/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75"/>
      <c r="H44" s="150"/>
      <c r="I44" s="150"/>
      <c r="J44" s="150"/>
      <c r="K44" s="21"/>
      <c r="P44" s="4"/>
      <c r="Q44" s="4"/>
      <c r="R44" s="5"/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/>
      <c r="D50" s="12">
        <f>C50*1.5</f>
        <v>0</v>
      </c>
      <c r="F50" s="132"/>
      <c r="G50" s="136"/>
      <c r="H50" s="137"/>
      <c r="I50" s="137"/>
      <c r="J50" s="138"/>
      <c r="P50" s="4"/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106</v>
      </c>
      <c r="G51" s="141">
        <f>G49-H29</f>
        <v>0</v>
      </c>
      <c r="H51" s="142"/>
      <c r="I51" s="142"/>
      <c r="J51" s="143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6"/>
      <c r="B52" s="29"/>
      <c r="C52" s="33"/>
      <c r="D52" s="45"/>
      <c r="F52" s="140"/>
      <c r="G52" s="144"/>
      <c r="H52" s="145"/>
      <c r="I52" s="145"/>
      <c r="J52" s="14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3DEFF-527F-43BE-B19C-0010A5A9817A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1</v>
      </c>
      <c r="H4" s="212" t="s">
        <v>9</v>
      </c>
      <c r="I4" s="214">
        <v>46181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/>
      <c r="D6" s="13">
        <f t="shared" ref="D6:D28" si="1">C6*L6</f>
        <v>0</v>
      </c>
      <c r="F6" s="218" t="s">
        <v>16</v>
      </c>
      <c r="G6" s="220" t="s">
        <v>99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117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/>
      <c r="D10" s="13">
        <f t="shared" si="1"/>
        <v>0</v>
      </c>
      <c r="F10" s="218" t="s">
        <v>26</v>
      </c>
      <c r="G10" s="233" t="s">
        <v>108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164"/>
      <c r="I19" s="164"/>
      <c r="J19" s="164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124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6"/>
      <c r="G23" s="78"/>
      <c r="H23" s="240"/>
      <c r="I23" s="241"/>
      <c r="J23" s="241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76"/>
      <c r="G24" s="78"/>
      <c r="H24" s="240"/>
      <c r="I24" s="241"/>
      <c r="J24" s="24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74"/>
      <c r="G26" s="65"/>
      <c r="H26" s="150"/>
      <c r="I26" s="150"/>
      <c r="J26" s="15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71"/>
      <c r="G27" s="99"/>
      <c r="H27" s="242"/>
      <c r="I27" s="243"/>
      <c r="J27" s="24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1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H15-H16-H17-H18-H19-H20-H22-H23-H24+H26+H27+H28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2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40"/>
      <c r="H34" s="155">
        <f t="shared" ref="H34:H39" si="2">F34*G34</f>
        <v>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>
        <f t="shared" si="2"/>
        <v>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>
        <f t="shared" si="2"/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>
        <f t="shared" si="2"/>
        <v>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>
        <f t="shared" si="2"/>
        <v>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9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62"/>
      <c r="H44" s="150"/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62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0"/>
      <c r="I46" s="150"/>
      <c r="J46" s="150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/>
      <c r="D50" s="12">
        <f>C50*1.5</f>
        <v>0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129</v>
      </c>
      <c r="G51" s="252">
        <f>G49-H29</f>
        <v>0</v>
      </c>
      <c r="H51" s="253"/>
      <c r="I51" s="253"/>
      <c r="J51" s="254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255"/>
      <c r="H52" s="256"/>
      <c r="I52" s="256"/>
      <c r="J52" s="257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114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0EF23-8C0D-4138-B964-08AD5AE13EA3}">
  <dimension ref="A1:R59"/>
  <sheetViews>
    <sheetView tabSelected="1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2</v>
      </c>
      <c r="H4" s="212" t="s">
        <v>9</v>
      </c>
      <c r="I4" s="214">
        <v>46181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>
        <v>457</v>
      </c>
      <c r="D6" s="13">
        <f t="shared" ref="D6:D28" si="1">C6*L6</f>
        <v>347777</v>
      </c>
      <c r="F6" s="218" t="s">
        <v>16</v>
      </c>
      <c r="G6" s="220" t="s">
        <v>107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>
        <v>4</v>
      </c>
      <c r="D7" s="13">
        <f t="shared" si="1"/>
        <v>3124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100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>
        <v>33</v>
      </c>
      <c r="D9" s="13">
        <f t="shared" si="1"/>
        <v>24189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/>
      <c r="D10" s="13">
        <f t="shared" si="1"/>
        <v>0</v>
      </c>
      <c r="F10" s="218" t="s">
        <v>26</v>
      </c>
      <c r="G10" s="233" t="s">
        <v>101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>
        <v>15</v>
      </c>
      <c r="D13" s="48">
        <f t="shared" si="1"/>
        <v>4605</v>
      </c>
      <c r="F13" s="239" t="s">
        <v>36</v>
      </c>
      <c r="G13" s="203"/>
      <c r="H13" s="194">
        <f>D29</f>
        <v>379695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/>
      <c r="D14" s="31">
        <f t="shared" si="1"/>
        <v>0</v>
      </c>
      <c r="F14" s="197" t="s">
        <v>38</v>
      </c>
      <c r="G14" s="198"/>
      <c r="H14" s="199">
        <f>D54</f>
        <v>56268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323427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>
        <v>2832</v>
      </c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50"/>
      <c r="I19" s="250"/>
      <c r="J19" s="250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128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7"/>
      <c r="G23" s="78"/>
      <c r="H23" s="251"/>
      <c r="I23" s="180"/>
      <c r="J23" s="18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38"/>
      <c r="G24" s="37"/>
      <c r="H24" s="181"/>
      <c r="I24" s="150"/>
      <c r="J24" s="15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25"/>
      <c r="G27" s="79"/>
      <c r="H27" s="188"/>
      <c r="I27" s="189"/>
      <c r="J27" s="19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1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379695</v>
      </c>
      <c r="F29" s="111" t="s">
        <v>54</v>
      </c>
      <c r="G29" s="173"/>
      <c r="H29" s="133">
        <f>H15-H16-H17-H18-H19-H20-H22-H23-H24+H26+H27</f>
        <v>320595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2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151</v>
      </c>
      <c r="H34" s="155">
        <f>F34*G34</f>
        <v>151000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>
        <v>334</v>
      </c>
      <c r="H35" s="155">
        <f>F35*G35</f>
        <v>167000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>
        <f t="shared" ref="H36:H39" si="2">F36*G36</f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>
        <v>495</v>
      </c>
      <c r="D37" s="12">
        <f>C37*111</f>
        <v>54945</v>
      </c>
      <c r="F37" s="12">
        <v>100</v>
      </c>
      <c r="G37" s="39">
        <v>7</v>
      </c>
      <c r="H37" s="155">
        <f t="shared" si="2"/>
        <v>700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>
        <v>1</v>
      </c>
      <c r="D38" s="12">
        <f>C38*84</f>
        <v>84</v>
      </c>
      <c r="F38" s="30">
        <v>50</v>
      </c>
      <c r="G38" s="39">
        <v>5</v>
      </c>
      <c r="H38" s="155">
        <f t="shared" si="2"/>
        <v>250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>
        <v>4</v>
      </c>
      <c r="D39" s="31">
        <f>C39*4.5</f>
        <v>18</v>
      </c>
      <c r="F39" s="12">
        <v>20</v>
      </c>
      <c r="G39" s="37">
        <v>1</v>
      </c>
      <c r="H39" s="155">
        <f t="shared" si="2"/>
        <v>20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>
        <v>3</v>
      </c>
      <c r="D40" s="12">
        <f>C40*111</f>
        <v>333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>
        <v>8</v>
      </c>
      <c r="D42" s="12">
        <f>C42*2.25</f>
        <v>18</v>
      </c>
      <c r="F42" s="39" t="s">
        <v>78</v>
      </c>
      <c r="G42" s="155">
        <v>76</v>
      </c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9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75"/>
      <c r="H44" s="150"/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>
        <v>2</v>
      </c>
      <c r="D48" s="12">
        <f>C48*78</f>
        <v>156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>
        <v>15</v>
      </c>
      <c r="D49" s="12">
        <f>C49*42</f>
        <v>630</v>
      </c>
      <c r="F49" s="131" t="s">
        <v>85</v>
      </c>
      <c r="G49" s="133">
        <f>H34+H35+H36+H37+H38+H39+H40+H41+G42+H44+H45+H46</f>
        <v>319046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80"/>
      <c r="D50" s="12">
        <f>C50*1.5</f>
        <v>0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158</v>
      </c>
      <c r="G51" s="244">
        <f>G49-H29</f>
        <v>-1549</v>
      </c>
      <c r="H51" s="245"/>
      <c r="I51" s="245"/>
      <c r="J51" s="246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247"/>
      <c r="H52" s="248"/>
      <c r="I52" s="248"/>
      <c r="J52" s="24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56268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172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D3B36-C091-4981-BB45-62747301CC83}">
  <dimension ref="A1:R59"/>
  <sheetViews>
    <sheetView zoomScaleNormal="100" zoomScaleSheetLayoutView="85" workbookViewId="0">
      <selection activeCell="G51" sqref="G51:J52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3</v>
      </c>
      <c r="H4" s="212" t="s">
        <v>9</v>
      </c>
      <c r="I4" s="214">
        <v>46181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>
        <v>416</v>
      </c>
      <c r="D6" s="13">
        <f t="shared" ref="D6:D28" si="1">C6*L6</f>
        <v>316576</v>
      </c>
      <c r="F6" s="218" t="s">
        <v>16</v>
      </c>
      <c r="G6" s="220" t="s">
        <v>99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>
        <v>10</v>
      </c>
      <c r="D7" s="13">
        <f t="shared" si="1"/>
        <v>7810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109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>
        <v>76</v>
      </c>
      <c r="D9" s="13">
        <f t="shared" si="1"/>
        <v>55708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/>
      <c r="D10" s="13">
        <f t="shared" si="1"/>
        <v>0</v>
      </c>
      <c r="F10" s="218" t="s">
        <v>26</v>
      </c>
      <c r="G10" s="233" t="s">
        <v>121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>
        <v>1</v>
      </c>
      <c r="D11" s="13">
        <f t="shared" si="1"/>
        <v>1170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>
        <v>5</v>
      </c>
      <c r="D12" s="48">
        <f t="shared" si="1"/>
        <v>4960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>
        <v>10</v>
      </c>
      <c r="D13" s="48">
        <f t="shared" si="1"/>
        <v>3070</v>
      </c>
      <c r="F13" s="239" t="s">
        <v>36</v>
      </c>
      <c r="G13" s="203"/>
      <c r="H13" s="194">
        <f>D29</f>
        <v>389426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>
        <v>12</v>
      </c>
      <c r="D14" s="31">
        <f t="shared" si="1"/>
        <v>132</v>
      </c>
      <c r="F14" s="197" t="s">
        <v>38</v>
      </c>
      <c r="G14" s="198"/>
      <c r="H14" s="199">
        <f>D54</f>
        <v>56689.5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332736.5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>
        <v>2478</v>
      </c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50"/>
      <c r="I19" s="250"/>
      <c r="J19" s="250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124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7"/>
      <c r="G23" s="78"/>
      <c r="H23" s="251"/>
      <c r="I23" s="180"/>
      <c r="J23" s="18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38"/>
      <c r="G24" s="37"/>
      <c r="H24" s="181"/>
      <c r="I24" s="150"/>
      <c r="J24" s="15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25"/>
      <c r="G27" s="79"/>
      <c r="H27" s="188"/>
      <c r="I27" s="189"/>
      <c r="J27" s="19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1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389426</v>
      </c>
      <c r="F29" s="111" t="s">
        <v>54</v>
      </c>
      <c r="G29" s="173"/>
      <c r="H29" s="133">
        <f>H15-H16-H17-H18-H19-H20-H22-H23-H24+H26+H27</f>
        <v>330258.5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2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>
        <v>122</v>
      </c>
      <c r="H34" s="155">
        <f>F34*G34</f>
        <v>122000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>
        <v>1</v>
      </c>
      <c r="D35" s="30">
        <f>C35*84</f>
        <v>84</v>
      </c>
      <c r="F35" s="58">
        <v>500</v>
      </c>
      <c r="G35" s="41">
        <v>60</v>
      </c>
      <c r="H35" s="155">
        <f>F35*G35</f>
        <v>30000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>
        <v>10</v>
      </c>
      <c r="D36" s="12">
        <f>C36*1.5</f>
        <v>15</v>
      </c>
      <c r="F36" s="12">
        <v>200</v>
      </c>
      <c r="G36" s="37"/>
      <c r="H36" s="155">
        <f t="shared" ref="H36:H39" si="2">F36*G36</f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>
        <v>467</v>
      </c>
      <c r="D37" s="12">
        <f>C37*111</f>
        <v>51837</v>
      </c>
      <c r="F37" s="12">
        <v>100</v>
      </c>
      <c r="G37" s="39">
        <v>52</v>
      </c>
      <c r="H37" s="155">
        <f t="shared" si="2"/>
        <v>5200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>
        <v>10</v>
      </c>
      <c r="D38" s="12">
        <f>C38*84</f>
        <v>840</v>
      </c>
      <c r="F38" s="30">
        <v>50</v>
      </c>
      <c r="G38" s="39">
        <v>18</v>
      </c>
      <c r="H38" s="155">
        <f t="shared" si="2"/>
        <v>900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>
        <v>5</v>
      </c>
      <c r="D39" s="31">
        <f>C39*4.5</f>
        <v>22.5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>
        <v>25</v>
      </c>
      <c r="D40" s="12">
        <f>C40*111</f>
        <v>2775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>
        <v>22</v>
      </c>
      <c r="D42" s="12">
        <f>C42*2.25</f>
        <v>49.5</v>
      </c>
      <c r="F42" s="39" t="s">
        <v>78</v>
      </c>
      <c r="G42" s="155">
        <v>204</v>
      </c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9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>
        <v>3</v>
      </c>
      <c r="D44" s="12">
        <f>C44*120</f>
        <v>360</v>
      </c>
      <c r="F44" s="37" t="s">
        <v>132</v>
      </c>
      <c r="G44" s="62" t="s">
        <v>174</v>
      </c>
      <c r="H44" s="150">
        <v>164463</v>
      </c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>
        <v>1</v>
      </c>
      <c r="D45" s="12">
        <f>C45*84</f>
        <v>84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>
        <v>8</v>
      </c>
      <c r="D46" s="12">
        <f>C46*1.5</f>
        <v>12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>
        <v>5</v>
      </c>
      <c r="D48" s="12">
        <f>C48*78</f>
        <v>390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>
        <v>5</v>
      </c>
      <c r="D49" s="12">
        <f>C49*42</f>
        <v>210</v>
      </c>
      <c r="F49" s="131" t="s">
        <v>85</v>
      </c>
      <c r="G49" s="133">
        <f>H34+H35+H36+H37+H38+H39+H40+H41+G42+H44+H45+H46</f>
        <v>322767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>
        <v>7</v>
      </c>
      <c r="D50" s="12">
        <f>C50*1.5</f>
        <v>10.5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158</v>
      </c>
      <c r="G51" s="244">
        <f>G49-H29</f>
        <v>-7491.5</v>
      </c>
      <c r="H51" s="245"/>
      <c r="I51" s="245"/>
      <c r="J51" s="246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247"/>
      <c r="H52" s="248"/>
      <c r="I52" s="248"/>
      <c r="J52" s="249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56689.5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173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C6EB1-AF3E-4268-8DB4-DF2088B102B1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7" t="s">
        <v>1</v>
      </c>
      <c r="O1" s="207"/>
      <c r="P1" s="100" t="s">
        <v>2</v>
      </c>
      <c r="Q1" s="10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8" t="s">
        <v>7</v>
      </c>
      <c r="B4" s="159"/>
      <c r="C4" s="159"/>
      <c r="D4" s="160"/>
      <c r="F4" s="208" t="s">
        <v>8</v>
      </c>
      <c r="G4" s="210"/>
      <c r="H4" s="212" t="s">
        <v>9</v>
      </c>
      <c r="I4" s="214"/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3"/>
      <c r="B6" s="16"/>
      <c r="C6" s="10"/>
      <c r="D6" s="13">
        <f t="shared" ref="D6:D28" si="1">C6*L6</f>
        <v>0</v>
      </c>
      <c r="F6" s="218" t="s">
        <v>16</v>
      </c>
      <c r="G6" s="220"/>
      <c r="H6" s="221"/>
      <c r="I6" s="221"/>
      <c r="J6" s="22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3"/>
      <c r="B7" s="16"/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3"/>
      <c r="B8" s="16"/>
      <c r="C8" s="10"/>
      <c r="D8" s="13">
        <f t="shared" si="1"/>
        <v>0</v>
      </c>
      <c r="F8" s="226" t="s">
        <v>21</v>
      </c>
      <c r="G8" s="227"/>
      <c r="H8" s="228"/>
      <c r="I8" s="228"/>
      <c r="J8" s="22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3"/>
      <c r="B9" s="16"/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3"/>
      <c r="C10" s="10"/>
      <c r="D10" s="13">
        <f t="shared" si="1"/>
        <v>0</v>
      </c>
      <c r="F10" s="218" t="s">
        <v>26</v>
      </c>
      <c r="G10" s="233"/>
      <c r="H10" s="234"/>
      <c r="I10" s="234"/>
      <c r="J10" s="235"/>
      <c r="K10" s="8"/>
      <c r="L10" s="6">
        <f>R36</f>
        <v>972</v>
      </c>
      <c r="P10" s="4"/>
      <c r="Q10" s="4"/>
      <c r="R10" s="5"/>
    </row>
    <row r="11" spans="1:19" ht="15.75" x14ac:dyDescent="0.25">
      <c r="A11" s="153"/>
      <c r="B11" s="17"/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3"/>
      <c r="B12" s="17"/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3"/>
      <c r="B13" s="17"/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3"/>
      <c r="B14" s="14"/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3"/>
      <c r="B15" s="14"/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3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19"/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14"/>
      <c r="C19" s="10"/>
      <c r="D19" s="48">
        <f t="shared" si="1"/>
        <v>0</v>
      </c>
      <c r="F19" s="56"/>
      <c r="G19" s="68" t="s">
        <v>49</v>
      </c>
      <c r="H19" s="176"/>
      <c r="I19" s="176"/>
      <c r="J19" s="17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3"/>
      <c r="B20" s="46"/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3"/>
      <c r="B22" s="46"/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/>
      <c r="C23" s="10"/>
      <c r="D23" s="48">
        <f t="shared" si="1"/>
        <v>0</v>
      </c>
      <c r="F23" s="77"/>
      <c r="G23" s="78"/>
      <c r="H23" s="181"/>
      <c r="I23" s="150"/>
      <c r="J23" s="150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/>
      <c r="C24" s="10"/>
      <c r="D24" s="48">
        <f t="shared" si="1"/>
        <v>0</v>
      </c>
      <c r="F24" s="38"/>
      <c r="G24" s="37"/>
      <c r="H24" s="181"/>
      <c r="I24" s="150"/>
      <c r="J24" s="150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/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3"/>
      <c r="B27" s="14"/>
      <c r="C27" s="10"/>
      <c r="D27" s="44">
        <f t="shared" si="1"/>
        <v>0</v>
      </c>
      <c r="F27" s="25"/>
      <c r="G27" s="79"/>
      <c r="H27" s="188"/>
      <c r="I27" s="189"/>
      <c r="J27" s="19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/>
      <c r="C28" s="10"/>
      <c r="D28" s="48">
        <f t="shared" si="1"/>
        <v>0</v>
      </c>
      <c r="F28" s="101"/>
      <c r="G28" s="61"/>
      <c r="H28" s="191"/>
      <c r="I28" s="192"/>
      <c r="J28" s="19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2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55"/>
      <c r="I34" s="156"/>
      <c r="J34" s="157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/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/>
      <c r="I36" s="156"/>
      <c r="J36" s="157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/>
      <c r="I37" s="156"/>
      <c r="J37" s="157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/>
      <c r="I38" s="156"/>
      <c r="J38" s="157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/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9" t="s">
        <v>82</v>
      </c>
      <c r="H43" s="147" t="s">
        <v>13</v>
      </c>
      <c r="I43" s="148"/>
      <c r="J43" s="149"/>
      <c r="K43" s="21"/>
      <c r="P43" s="4"/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75"/>
      <c r="H44" s="150"/>
      <c r="I44" s="150"/>
      <c r="J44" s="150"/>
      <c r="K44" s="21"/>
      <c r="P44" s="4"/>
      <c r="Q44" s="4"/>
      <c r="R44" s="5"/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/>
      <c r="D50" s="12">
        <f>C50*1.5</f>
        <v>0</v>
      </c>
      <c r="F50" s="132"/>
      <c r="G50" s="136"/>
      <c r="H50" s="137"/>
      <c r="I50" s="137"/>
      <c r="J50" s="138"/>
      <c r="P50" s="4"/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106</v>
      </c>
      <c r="G51" s="141">
        <f>G49-H29</f>
        <v>0</v>
      </c>
      <c r="H51" s="142"/>
      <c r="I51" s="142"/>
      <c r="J51" s="143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6"/>
      <c r="B52" s="29"/>
      <c r="C52" s="33"/>
      <c r="D52" s="45"/>
      <c r="F52" s="140"/>
      <c r="G52" s="144"/>
      <c r="H52" s="145"/>
      <c r="I52" s="145"/>
      <c r="J52" s="14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FE4E9-1FE8-4F3F-ACA7-1DA10B4A02DB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1</v>
      </c>
      <c r="H4" s="212" t="s">
        <v>9</v>
      </c>
      <c r="I4" s="214">
        <v>46182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/>
      <c r="D6" s="13">
        <f t="shared" ref="D6:D28" si="1">C6*L6</f>
        <v>0</v>
      </c>
      <c r="F6" s="218" t="s">
        <v>16</v>
      </c>
      <c r="G6" s="220" t="s">
        <v>99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117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/>
      <c r="D10" s="13">
        <f t="shared" si="1"/>
        <v>0</v>
      </c>
      <c r="F10" s="218" t="s">
        <v>26</v>
      </c>
      <c r="G10" s="233" t="s">
        <v>108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164"/>
      <c r="I19" s="164"/>
      <c r="J19" s="164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124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6"/>
      <c r="G23" s="78"/>
      <c r="H23" s="240"/>
      <c r="I23" s="241"/>
      <c r="J23" s="241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76"/>
      <c r="G24" s="78"/>
      <c r="H24" s="240"/>
      <c r="I24" s="241"/>
      <c r="J24" s="24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74"/>
      <c r="G26" s="65"/>
      <c r="H26" s="150"/>
      <c r="I26" s="150"/>
      <c r="J26" s="15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71"/>
      <c r="G27" s="99"/>
      <c r="H27" s="242"/>
      <c r="I27" s="243"/>
      <c r="J27" s="24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1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H15-H16-H17-H18-H19-H20-H22-H23-H24+H26+H27+H28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2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40"/>
      <c r="H34" s="155">
        <f t="shared" ref="H34:H39" si="2">F34*G34</f>
        <v>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>
        <f t="shared" si="2"/>
        <v>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>
        <f t="shared" si="2"/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>
        <f t="shared" si="2"/>
        <v>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>
        <f t="shared" si="2"/>
        <v>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9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62"/>
      <c r="H44" s="150"/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62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0"/>
      <c r="I46" s="150"/>
      <c r="J46" s="150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/>
      <c r="D50" s="12">
        <f>C50*1.5</f>
        <v>0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129</v>
      </c>
      <c r="G51" s="252">
        <f>G49-H29</f>
        <v>0</v>
      </c>
      <c r="H51" s="253"/>
      <c r="I51" s="253"/>
      <c r="J51" s="254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255"/>
      <c r="H52" s="256"/>
      <c r="I52" s="256"/>
      <c r="J52" s="257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114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81FFC-57F5-4046-A495-6C2AFA3D99E4}">
  <dimension ref="A1:R59"/>
  <sheetViews>
    <sheetView topLeftCell="A28" zoomScaleNormal="100" zoomScaleSheetLayoutView="85" workbookViewId="0">
      <selection activeCell="B57" sqref="B57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2</v>
      </c>
      <c r="H4" s="212" t="s">
        <v>9</v>
      </c>
      <c r="I4" s="214">
        <v>46182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/>
      <c r="D6" s="13">
        <f t="shared" ref="D6:D28" si="1">C6*L6</f>
        <v>0</v>
      </c>
      <c r="F6" s="218" t="s">
        <v>16</v>
      </c>
      <c r="G6" s="220" t="s">
        <v>107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100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/>
      <c r="D10" s="13">
        <f t="shared" si="1"/>
        <v>0</v>
      </c>
      <c r="F10" s="218" t="s">
        <v>26</v>
      </c>
      <c r="G10" s="233" t="s">
        <v>101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50"/>
      <c r="I19" s="250"/>
      <c r="J19" s="250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128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7"/>
      <c r="G23" s="78"/>
      <c r="H23" s="251"/>
      <c r="I23" s="180"/>
      <c r="J23" s="18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38"/>
      <c r="G24" s="37"/>
      <c r="H24" s="181"/>
      <c r="I24" s="150"/>
      <c r="J24" s="15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25"/>
      <c r="G27" s="79"/>
      <c r="H27" s="188"/>
      <c r="I27" s="189"/>
      <c r="J27" s="19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1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2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55">
        <f>F34*G34</f>
        <v>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>
        <f>F35*G35</f>
        <v>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>
        <f t="shared" ref="H36:H39" si="2">F36*G36</f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>
        <f t="shared" si="2"/>
        <v>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>
        <f t="shared" si="2"/>
        <v>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9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75"/>
      <c r="H44" s="150"/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80"/>
      <c r="D50" s="12">
        <f>C50*1.5</f>
        <v>0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113</v>
      </c>
      <c r="G51" s="141">
        <f>G49-H29</f>
        <v>0</v>
      </c>
      <c r="H51" s="142"/>
      <c r="I51" s="142"/>
      <c r="J51" s="143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144"/>
      <c r="H52" s="145"/>
      <c r="I52" s="145"/>
      <c r="J52" s="14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172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5F7AE-32C5-452C-AAE9-68EC1209A3F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3</v>
      </c>
      <c r="H4" s="212" t="s">
        <v>9</v>
      </c>
      <c r="I4" s="214">
        <v>46182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/>
      <c r="D6" s="13">
        <f t="shared" ref="D6:D28" si="1">C6*L6</f>
        <v>0</v>
      </c>
      <c r="F6" s="218" t="s">
        <v>16</v>
      </c>
      <c r="G6" s="220" t="s">
        <v>115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109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/>
      <c r="D10" s="13">
        <f t="shared" si="1"/>
        <v>0</v>
      </c>
      <c r="F10" s="218" t="s">
        <v>26</v>
      </c>
      <c r="G10" s="233" t="s">
        <v>121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50"/>
      <c r="I19" s="250"/>
      <c r="J19" s="250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124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7"/>
      <c r="G23" s="78"/>
      <c r="H23" s="251"/>
      <c r="I23" s="180"/>
      <c r="J23" s="18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38"/>
      <c r="G24" s="37"/>
      <c r="H24" s="181"/>
      <c r="I24" s="150"/>
      <c r="J24" s="15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25"/>
      <c r="G27" s="79"/>
      <c r="H27" s="188"/>
      <c r="I27" s="189"/>
      <c r="J27" s="19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1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2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55">
        <f>F34*G34</f>
        <v>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>
        <f>F35*G35</f>
        <v>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>
        <f t="shared" ref="H36:H39" si="2">F36*G36</f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>
        <f t="shared" si="2"/>
        <v>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>
        <f t="shared" si="2"/>
        <v>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9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75"/>
      <c r="H44" s="150"/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/>
      <c r="D50" s="12">
        <f>C50*1.5</f>
        <v>0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113</v>
      </c>
      <c r="G51" s="141">
        <f>G49-H29</f>
        <v>0</v>
      </c>
      <c r="H51" s="142"/>
      <c r="I51" s="142"/>
      <c r="J51" s="143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144"/>
      <c r="H52" s="145"/>
      <c r="I52" s="145"/>
      <c r="J52" s="14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3826-2DAB-44E2-951B-F359D94D7E5C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7" t="s">
        <v>1</v>
      </c>
      <c r="O1" s="207"/>
      <c r="P1" s="100" t="s">
        <v>2</v>
      </c>
      <c r="Q1" s="10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8" t="s">
        <v>7</v>
      </c>
      <c r="B4" s="159"/>
      <c r="C4" s="159"/>
      <c r="D4" s="160"/>
      <c r="F4" s="208" t="s">
        <v>8</v>
      </c>
      <c r="G4" s="210"/>
      <c r="H4" s="212" t="s">
        <v>9</v>
      </c>
      <c r="I4" s="214"/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3"/>
      <c r="B6" s="16"/>
      <c r="C6" s="10"/>
      <c r="D6" s="13">
        <f t="shared" ref="D6:D28" si="1">C6*L6</f>
        <v>0</v>
      </c>
      <c r="F6" s="218" t="s">
        <v>16</v>
      </c>
      <c r="G6" s="220"/>
      <c r="H6" s="221"/>
      <c r="I6" s="221"/>
      <c r="J6" s="22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3"/>
      <c r="B7" s="16"/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3"/>
      <c r="B8" s="16"/>
      <c r="C8" s="10"/>
      <c r="D8" s="13">
        <f t="shared" si="1"/>
        <v>0</v>
      </c>
      <c r="F8" s="226" t="s">
        <v>21</v>
      </c>
      <c r="G8" s="227"/>
      <c r="H8" s="228"/>
      <c r="I8" s="228"/>
      <c r="J8" s="22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3"/>
      <c r="B9" s="16"/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3"/>
      <c r="C10" s="10"/>
      <c r="D10" s="13">
        <f t="shared" si="1"/>
        <v>0</v>
      </c>
      <c r="F10" s="218" t="s">
        <v>26</v>
      </c>
      <c r="G10" s="233"/>
      <c r="H10" s="234"/>
      <c r="I10" s="234"/>
      <c r="J10" s="235"/>
      <c r="K10" s="8"/>
      <c r="L10" s="6">
        <f>R36</f>
        <v>972</v>
      </c>
      <c r="P10" s="4"/>
      <c r="Q10" s="4"/>
      <c r="R10" s="5"/>
    </row>
    <row r="11" spans="1:19" ht="15.75" x14ac:dyDescent="0.25">
      <c r="A11" s="153"/>
      <c r="B11" s="17"/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3"/>
      <c r="B12" s="17"/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3"/>
      <c r="B13" s="17"/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3"/>
      <c r="B14" s="14"/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3"/>
      <c r="B15" s="14"/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3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19"/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14"/>
      <c r="C19" s="10"/>
      <c r="D19" s="48">
        <f t="shared" si="1"/>
        <v>0</v>
      </c>
      <c r="F19" s="56"/>
      <c r="G19" s="68" t="s">
        <v>49</v>
      </c>
      <c r="H19" s="176"/>
      <c r="I19" s="176"/>
      <c r="J19" s="17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3"/>
      <c r="B20" s="46"/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3"/>
      <c r="B22" s="46"/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/>
      <c r="C23" s="10"/>
      <c r="D23" s="48">
        <f t="shared" si="1"/>
        <v>0</v>
      </c>
      <c r="F23" s="77"/>
      <c r="G23" s="78"/>
      <c r="H23" s="181"/>
      <c r="I23" s="150"/>
      <c r="J23" s="150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/>
      <c r="C24" s="10"/>
      <c r="D24" s="48">
        <f t="shared" si="1"/>
        <v>0</v>
      </c>
      <c r="F24" s="38"/>
      <c r="G24" s="37"/>
      <c r="H24" s="181"/>
      <c r="I24" s="150"/>
      <c r="J24" s="150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/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3"/>
      <c r="B27" s="14"/>
      <c r="C27" s="10"/>
      <c r="D27" s="44">
        <f t="shared" si="1"/>
        <v>0</v>
      </c>
      <c r="F27" s="25"/>
      <c r="G27" s="79"/>
      <c r="H27" s="188"/>
      <c r="I27" s="189"/>
      <c r="J27" s="19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/>
      <c r="C28" s="10"/>
      <c r="D28" s="48">
        <f t="shared" si="1"/>
        <v>0</v>
      </c>
      <c r="F28" s="101"/>
      <c r="G28" s="61"/>
      <c r="H28" s="191"/>
      <c r="I28" s="192"/>
      <c r="J28" s="19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2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55"/>
      <c r="I34" s="156"/>
      <c r="J34" s="157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/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/>
      <c r="I36" s="156"/>
      <c r="J36" s="157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/>
      <c r="I37" s="156"/>
      <c r="J37" s="157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/>
      <c r="I38" s="156"/>
      <c r="J38" s="157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/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9" t="s">
        <v>82</v>
      </c>
      <c r="H43" s="147" t="s">
        <v>13</v>
      </c>
      <c r="I43" s="148"/>
      <c r="J43" s="149"/>
      <c r="K43" s="21"/>
      <c r="P43" s="4"/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75"/>
      <c r="H44" s="150"/>
      <c r="I44" s="150"/>
      <c r="J44" s="150"/>
      <c r="K44" s="21"/>
      <c r="P44" s="4"/>
      <c r="Q44" s="4"/>
      <c r="R44" s="5"/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/>
      <c r="D50" s="12">
        <f>C50*1.5</f>
        <v>0</v>
      </c>
      <c r="F50" s="132"/>
      <c r="G50" s="136"/>
      <c r="H50" s="137"/>
      <c r="I50" s="137"/>
      <c r="J50" s="138"/>
      <c r="P50" s="4"/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106</v>
      </c>
      <c r="G51" s="141">
        <f>G49-H29</f>
        <v>0</v>
      </c>
      <c r="H51" s="142"/>
      <c r="I51" s="142"/>
      <c r="J51" s="143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6"/>
      <c r="B52" s="29"/>
      <c r="C52" s="33"/>
      <c r="D52" s="45"/>
      <c r="F52" s="140"/>
      <c r="G52" s="144"/>
      <c r="H52" s="145"/>
      <c r="I52" s="145"/>
      <c r="J52" s="14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D0EFB-94EB-4F08-B6B7-8A30824DE50E}">
  <dimension ref="A1:R59"/>
  <sheetViews>
    <sheetView zoomScaleNormal="100" zoomScaleSheetLayoutView="85" workbookViewId="0">
      <selection activeCell="M34" sqref="M3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1</v>
      </c>
      <c r="H4" s="212" t="s">
        <v>9</v>
      </c>
      <c r="I4" s="214">
        <v>46183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/>
      <c r="D6" s="13">
        <f t="shared" ref="D6:D28" si="1">C6*L6</f>
        <v>0</v>
      </c>
      <c r="F6" s="218" t="s">
        <v>16</v>
      </c>
      <c r="G6" s="220" t="s">
        <v>99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117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/>
      <c r="D10" s="13">
        <f t="shared" si="1"/>
        <v>0</v>
      </c>
      <c r="F10" s="218" t="s">
        <v>26</v>
      </c>
      <c r="G10" s="233" t="s">
        <v>108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164"/>
      <c r="I19" s="164"/>
      <c r="J19" s="164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124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6"/>
      <c r="G23" s="78"/>
      <c r="H23" s="240"/>
      <c r="I23" s="241"/>
      <c r="J23" s="241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76"/>
      <c r="G24" s="78"/>
      <c r="H24" s="240"/>
      <c r="I24" s="241"/>
      <c r="J24" s="24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74"/>
      <c r="G26" s="65"/>
      <c r="H26" s="150"/>
      <c r="I26" s="150"/>
      <c r="J26" s="15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71"/>
      <c r="G27" s="99"/>
      <c r="H27" s="242"/>
      <c r="I27" s="243"/>
      <c r="J27" s="24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1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H15-H16-H17-H18-H19-H20-H22-H23-H24+H26+H27+H28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2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40"/>
      <c r="H34" s="155">
        <f t="shared" ref="H34:H39" si="2">F34*G34</f>
        <v>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>
        <f t="shared" si="2"/>
        <v>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>
        <f t="shared" si="2"/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>
        <f t="shared" si="2"/>
        <v>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>
        <f t="shared" si="2"/>
        <v>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9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62"/>
      <c r="H44" s="150"/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62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0"/>
      <c r="I46" s="150"/>
      <c r="J46" s="150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/>
      <c r="D50" s="12">
        <f>C50*1.5</f>
        <v>0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129</v>
      </c>
      <c r="G51" s="252">
        <f>G49-H29</f>
        <v>0</v>
      </c>
      <c r="H51" s="253"/>
      <c r="I51" s="253"/>
      <c r="J51" s="254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255"/>
      <c r="H52" s="256"/>
      <c r="I52" s="256"/>
      <c r="J52" s="257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114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4701A-C8BE-4D0B-AA33-18B49BEDF36A}">
  <dimension ref="A1:R59"/>
  <sheetViews>
    <sheetView topLeftCell="A34" zoomScaleNormal="100" zoomScaleSheetLayoutView="85" workbookViewId="0">
      <selection activeCell="B57" sqref="B57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2</v>
      </c>
      <c r="H4" s="212" t="s">
        <v>9</v>
      </c>
      <c r="I4" s="214">
        <v>46183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/>
      <c r="D6" s="13">
        <f t="shared" ref="D6:D28" si="1">C6*L6</f>
        <v>0</v>
      </c>
      <c r="F6" s="218" t="s">
        <v>16</v>
      </c>
      <c r="G6" s="220" t="s">
        <v>107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100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/>
      <c r="D10" s="13">
        <f t="shared" si="1"/>
        <v>0</v>
      </c>
      <c r="F10" s="218" t="s">
        <v>26</v>
      </c>
      <c r="G10" s="233" t="s">
        <v>101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50"/>
      <c r="I19" s="250"/>
      <c r="J19" s="250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128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7"/>
      <c r="G23" s="78"/>
      <c r="H23" s="251"/>
      <c r="I23" s="180"/>
      <c r="J23" s="18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38"/>
      <c r="G24" s="37"/>
      <c r="H24" s="181"/>
      <c r="I24" s="150"/>
      <c r="J24" s="15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25"/>
      <c r="G27" s="79"/>
      <c r="H27" s="188"/>
      <c r="I27" s="189"/>
      <c r="J27" s="19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1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2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55">
        <f>F34*G34</f>
        <v>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>
        <f>F35*G35</f>
        <v>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>
        <f t="shared" ref="H36:H39" si="2">F36*G36</f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>
        <f t="shared" si="2"/>
        <v>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>
        <f t="shared" si="2"/>
        <v>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9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75"/>
      <c r="H44" s="150"/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80"/>
      <c r="D50" s="12">
        <f>C50*1.5</f>
        <v>0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113</v>
      </c>
      <c r="G51" s="141">
        <f>G49-H29</f>
        <v>0</v>
      </c>
      <c r="H51" s="142"/>
      <c r="I51" s="142"/>
      <c r="J51" s="143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144"/>
      <c r="H52" s="145"/>
      <c r="I52" s="145"/>
      <c r="J52" s="14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172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04DCD-753A-48DD-9791-A6ED4B4130CD}">
  <dimension ref="A1:R59"/>
  <sheetViews>
    <sheetView zoomScaleNormal="100" zoomScaleSheetLayoutView="85" workbookViewId="0">
      <selection activeCell="U20" sqref="U20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3</v>
      </c>
      <c r="H4" s="212" t="s">
        <v>9</v>
      </c>
      <c r="I4" s="214">
        <v>46183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/>
      <c r="D6" s="13">
        <f t="shared" ref="D6:D28" si="1">C6*L6</f>
        <v>0</v>
      </c>
      <c r="F6" s="218" t="s">
        <v>16</v>
      </c>
      <c r="G6" s="220" t="s">
        <v>115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109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/>
      <c r="D10" s="13">
        <f t="shared" si="1"/>
        <v>0</v>
      </c>
      <c r="F10" s="218" t="s">
        <v>26</v>
      </c>
      <c r="G10" s="233" t="s">
        <v>121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50"/>
      <c r="I19" s="250"/>
      <c r="J19" s="250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124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7"/>
      <c r="G23" s="78"/>
      <c r="H23" s="251"/>
      <c r="I23" s="180"/>
      <c r="J23" s="18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38"/>
      <c r="G24" s="37"/>
      <c r="H24" s="181"/>
      <c r="I24" s="150"/>
      <c r="J24" s="15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25"/>
      <c r="G27" s="79"/>
      <c r="H27" s="188"/>
      <c r="I27" s="189"/>
      <c r="J27" s="19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1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2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55">
        <f>F34*G34</f>
        <v>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>
        <f>F35*G35</f>
        <v>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>
        <f t="shared" ref="H36:H39" si="2">F36*G36</f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>
        <f t="shared" si="2"/>
        <v>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>
        <f t="shared" si="2"/>
        <v>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99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75"/>
      <c r="H44" s="150"/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/>
      <c r="D50" s="12">
        <f>C50*1.5</f>
        <v>0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113</v>
      </c>
      <c r="G51" s="141">
        <f>G49-H29</f>
        <v>0</v>
      </c>
      <c r="H51" s="142"/>
      <c r="I51" s="142"/>
      <c r="J51" s="143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144"/>
      <c r="H52" s="145"/>
      <c r="I52" s="145"/>
      <c r="J52" s="14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146B-A016-42CA-9F38-644908F1E97C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7" t="s">
        <v>1</v>
      </c>
      <c r="O1" s="207"/>
      <c r="P1" s="103" t="s">
        <v>2</v>
      </c>
      <c r="Q1" s="10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8" t="s">
        <v>7</v>
      </c>
      <c r="B4" s="159"/>
      <c r="C4" s="159"/>
      <c r="D4" s="160"/>
      <c r="F4" s="208" t="s">
        <v>8</v>
      </c>
      <c r="G4" s="210"/>
      <c r="H4" s="212" t="s">
        <v>9</v>
      </c>
      <c r="I4" s="214"/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3"/>
      <c r="B6" s="16"/>
      <c r="C6" s="10"/>
      <c r="D6" s="13">
        <f t="shared" ref="D6:D28" si="1">C6*L6</f>
        <v>0</v>
      </c>
      <c r="F6" s="218" t="s">
        <v>16</v>
      </c>
      <c r="G6" s="220"/>
      <c r="H6" s="221"/>
      <c r="I6" s="221"/>
      <c r="J6" s="22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3"/>
      <c r="B7" s="16"/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3"/>
      <c r="B8" s="16"/>
      <c r="C8" s="10"/>
      <c r="D8" s="13">
        <f t="shared" si="1"/>
        <v>0</v>
      </c>
      <c r="F8" s="226" t="s">
        <v>21</v>
      </c>
      <c r="G8" s="227"/>
      <c r="H8" s="228"/>
      <c r="I8" s="228"/>
      <c r="J8" s="22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3"/>
      <c r="B9" s="16"/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3"/>
      <c r="C10" s="10"/>
      <c r="D10" s="13">
        <f t="shared" si="1"/>
        <v>0</v>
      </c>
      <c r="F10" s="218" t="s">
        <v>26</v>
      </c>
      <c r="G10" s="233"/>
      <c r="H10" s="234"/>
      <c r="I10" s="234"/>
      <c r="J10" s="235"/>
      <c r="K10" s="8"/>
      <c r="L10" s="6">
        <f>R36</f>
        <v>972</v>
      </c>
      <c r="P10" s="4"/>
      <c r="Q10" s="4"/>
      <c r="R10" s="5"/>
    </row>
    <row r="11" spans="1:19" ht="15.75" x14ac:dyDescent="0.25">
      <c r="A11" s="153"/>
      <c r="B11" s="17"/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3"/>
      <c r="B12" s="17"/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3"/>
      <c r="B13" s="17"/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3"/>
      <c r="B14" s="14"/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3"/>
      <c r="B15" s="14"/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3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19"/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14"/>
      <c r="C19" s="10"/>
      <c r="D19" s="48">
        <f t="shared" si="1"/>
        <v>0</v>
      </c>
      <c r="F19" s="56"/>
      <c r="G19" s="68" t="s">
        <v>49</v>
      </c>
      <c r="H19" s="176"/>
      <c r="I19" s="176"/>
      <c r="J19" s="17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3"/>
      <c r="B20" s="46"/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3"/>
      <c r="B22" s="46"/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/>
      <c r="C23" s="10"/>
      <c r="D23" s="48">
        <f t="shared" si="1"/>
        <v>0</v>
      </c>
      <c r="F23" s="77"/>
      <c r="G23" s="78"/>
      <c r="H23" s="181"/>
      <c r="I23" s="150"/>
      <c r="J23" s="150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/>
      <c r="C24" s="10"/>
      <c r="D24" s="48">
        <f t="shared" si="1"/>
        <v>0</v>
      </c>
      <c r="F24" s="38"/>
      <c r="G24" s="37"/>
      <c r="H24" s="181"/>
      <c r="I24" s="150"/>
      <c r="J24" s="150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/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3"/>
      <c r="B27" s="14"/>
      <c r="C27" s="10"/>
      <c r="D27" s="44">
        <f t="shared" si="1"/>
        <v>0</v>
      </c>
      <c r="F27" s="25"/>
      <c r="G27" s="79"/>
      <c r="H27" s="188"/>
      <c r="I27" s="189"/>
      <c r="J27" s="19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/>
      <c r="C28" s="10"/>
      <c r="D28" s="48">
        <f t="shared" si="1"/>
        <v>0</v>
      </c>
      <c r="F28" s="104"/>
      <c r="G28" s="61"/>
      <c r="H28" s="191"/>
      <c r="I28" s="192"/>
      <c r="J28" s="19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5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55"/>
      <c r="I34" s="156"/>
      <c r="J34" s="157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/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/>
      <c r="I36" s="156"/>
      <c r="J36" s="157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/>
      <c r="I37" s="156"/>
      <c r="J37" s="157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/>
      <c r="I38" s="156"/>
      <c r="J38" s="157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/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106" t="s">
        <v>82</v>
      </c>
      <c r="H43" s="147" t="s">
        <v>13</v>
      </c>
      <c r="I43" s="148"/>
      <c r="J43" s="149"/>
      <c r="K43" s="21"/>
      <c r="P43" s="4"/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75"/>
      <c r="H44" s="150"/>
      <c r="I44" s="150"/>
      <c r="J44" s="150"/>
      <c r="K44" s="21"/>
      <c r="P44" s="4"/>
      <c r="Q44" s="4"/>
      <c r="R44" s="5"/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/>
      <c r="D50" s="12">
        <f>C50*1.5</f>
        <v>0</v>
      </c>
      <c r="F50" s="132"/>
      <c r="G50" s="136"/>
      <c r="H50" s="137"/>
      <c r="I50" s="137"/>
      <c r="J50" s="138"/>
      <c r="P50" s="4"/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106</v>
      </c>
      <c r="G51" s="141">
        <f>G49-H29</f>
        <v>0</v>
      </c>
      <c r="H51" s="142"/>
      <c r="I51" s="142"/>
      <c r="J51" s="143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6"/>
      <c r="B52" s="29"/>
      <c r="C52" s="33"/>
      <c r="D52" s="45"/>
      <c r="F52" s="140"/>
      <c r="G52" s="144"/>
      <c r="H52" s="145"/>
      <c r="I52" s="145"/>
      <c r="J52" s="14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2FB5F-FFC3-492B-861A-322686639109}">
  <dimension ref="A1:R59"/>
  <sheetViews>
    <sheetView zoomScaleNormal="100" zoomScaleSheetLayoutView="85" workbookViewId="0">
      <selection activeCell="M33" sqref="M33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1</v>
      </c>
      <c r="H4" s="212" t="s">
        <v>9</v>
      </c>
      <c r="I4" s="214">
        <v>46184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/>
      <c r="D6" s="13">
        <f t="shared" ref="D6:D28" si="1">C6*L6</f>
        <v>0</v>
      </c>
      <c r="F6" s="218" t="s">
        <v>16</v>
      </c>
      <c r="G6" s="220" t="s">
        <v>99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117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/>
      <c r="D10" s="13">
        <f t="shared" si="1"/>
        <v>0</v>
      </c>
      <c r="F10" s="218" t="s">
        <v>26</v>
      </c>
      <c r="G10" s="233" t="s">
        <v>108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164"/>
      <c r="I19" s="164"/>
      <c r="J19" s="164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124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6"/>
      <c r="G23" s="78"/>
      <c r="H23" s="240"/>
      <c r="I23" s="241"/>
      <c r="J23" s="241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76"/>
      <c r="G24" s="78"/>
      <c r="H24" s="240"/>
      <c r="I24" s="241"/>
      <c r="J24" s="24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74"/>
      <c r="G26" s="65"/>
      <c r="H26" s="150"/>
      <c r="I26" s="150"/>
      <c r="J26" s="15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71"/>
      <c r="G27" s="106"/>
      <c r="H27" s="242"/>
      <c r="I27" s="243"/>
      <c r="J27" s="24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4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H15-H16-H17-H18-H19-H20-H22-H23-H24+H26+H27+H28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5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40"/>
      <c r="H34" s="155">
        <f t="shared" ref="H34:H39" si="2">F34*G34</f>
        <v>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>
        <f t="shared" si="2"/>
        <v>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>
        <f t="shared" si="2"/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>
        <f t="shared" si="2"/>
        <v>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>
        <f t="shared" si="2"/>
        <v>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106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62"/>
      <c r="H44" s="150"/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62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0"/>
      <c r="I46" s="150"/>
      <c r="J46" s="150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/>
      <c r="D50" s="12">
        <f>C50*1.5</f>
        <v>0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129</v>
      </c>
      <c r="G51" s="252">
        <f>G49-H29</f>
        <v>0</v>
      </c>
      <c r="H51" s="253"/>
      <c r="I51" s="253"/>
      <c r="J51" s="254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255"/>
      <c r="H52" s="256"/>
      <c r="I52" s="256"/>
      <c r="J52" s="257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114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5BEE0-5CA6-422A-88EC-17D960ADF2BE}">
  <dimension ref="A1:R59"/>
  <sheetViews>
    <sheetView topLeftCell="A37" zoomScaleNormal="100" zoomScaleSheetLayoutView="85" workbookViewId="0">
      <selection activeCell="B57" sqref="B57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2</v>
      </c>
      <c r="H4" s="212" t="s">
        <v>9</v>
      </c>
      <c r="I4" s="214">
        <v>46184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/>
      <c r="D6" s="13">
        <f t="shared" ref="D6:D28" si="1">C6*L6</f>
        <v>0</v>
      </c>
      <c r="F6" s="218" t="s">
        <v>16</v>
      </c>
      <c r="G6" s="220" t="s">
        <v>107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100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/>
      <c r="D10" s="13">
        <f t="shared" si="1"/>
        <v>0</v>
      </c>
      <c r="F10" s="218" t="s">
        <v>26</v>
      </c>
      <c r="G10" s="233" t="s">
        <v>101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50"/>
      <c r="I19" s="250"/>
      <c r="J19" s="250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128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7"/>
      <c r="G23" s="78"/>
      <c r="H23" s="251"/>
      <c r="I23" s="180"/>
      <c r="J23" s="18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38"/>
      <c r="G24" s="37"/>
      <c r="H24" s="181"/>
      <c r="I24" s="150"/>
      <c r="J24" s="15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25"/>
      <c r="G27" s="79"/>
      <c r="H27" s="188"/>
      <c r="I27" s="189"/>
      <c r="J27" s="19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4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5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55">
        <f>F34*G34</f>
        <v>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>
        <f>F35*G35</f>
        <v>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>
        <f t="shared" ref="H36:H39" si="2">F36*G36</f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>
        <f t="shared" si="2"/>
        <v>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>
        <f t="shared" si="2"/>
        <v>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106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75"/>
      <c r="H44" s="150"/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80"/>
      <c r="D50" s="12">
        <f>C50*1.5</f>
        <v>0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113</v>
      </c>
      <c r="G51" s="141">
        <f>G49-H29</f>
        <v>0</v>
      </c>
      <c r="H51" s="142"/>
      <c r="I51" s="142"/>
      <c r="J51" s="143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144"/>
      <c r="H52" s="145"/>
      <c r="I52" s="145"/>
      <c r="J52" s="14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172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21DE8-261D-4456-91A8-E216D4EACED6}">
  <dimension ref="A1:R59"/>
  <sheetViews>
    <sheetView zoomScaleNormal="100" zoomScaleSheetLayoutView="85" workbookViewId="0">
      <selection activeCell="M31" sqref="M3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3</v>
      </c>
      <c r="H4" s="212" t="s">
        <v>9</v>
      </c>
      <c r="I4" s="214">
        <v>46184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/>
      <c r="D6" s="13">
        <f t="shared" ref="D6:D28" si="1">C6*L6</f>
        <v>0</v>
      </c>
      <c r="F6" s="218" t="s">
        <v>16</v>
      </c>
      <c r="G6" s="220" t="s">
        <v>115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109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/>
      <c r="D10" s="13">
        <f t="shared" si="1"/>
        <v>0</v>
      </c>
      <c r="F10" s="218" t="s">
        <v>26</v>
      </c>
      <c r="G10" s="233" t="s">
        <v>121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50"/>
      <c r="I19" s="250"/>
      <c r="J19" s="250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124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7"/>
      <c r="G23" s="78"/>
      <c r="H23" s="251"/>
      <c r="I23" s="180"/>
      <c r="J23" s="18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38"/>
      <c r="G24" s="37"/>
      <c r="H24" s="181"/>
      <c r="I24" s="150"/>
      <c r="J24" s="15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25"/>
      <c r="G27" s="79"/>
      <c r="H27" s="188"/>
      <c r="I27" s="189"/>
      <c r="J27" s="19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4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5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55">
        <f>F34*G34</f>
        <v>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>
        <f>F35*G35</f>
        <v>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>
        <f t="shared" ref="H36:H39" si="2">F36*G36</f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>
        <f t="shared" si="2"/>
        <v>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>
        <f t="shared" si="2"/>
        <v>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106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75"/>
      <c r="H44" s="150"/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/>
      <c r="D50" s="12">
        <f>C50*1.5</f>
        <v>0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113</v>
      </c>
      <c r="G51" s="141">
        <f>G49-H29</f>
        <v>0</v>
      </c>
      <c r="H51" s="142"/>
      <c r="I51" s="142"/>
      <c r="J51" s="143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144"/>
      <c r="H52" s="145"/>
      <c r="I52" s="145"/>
      <c r="J52" s="14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5A8CC-3D34-4E5F-A9F4-65A17F0BD4A8}">
  <dimension ref="A1:S59"/>
  <sheetViews>
    <sheetView zoomScaleNormal="100" zoomScaleSheetLayoutView="85" workbookViewId="0">
      <selection activeCell="M33" sqref="M33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7" t="s">
        <v>1</v>
      </c>
      <c r="O1" s="207"/>
      <c r="P1" s="103" t="s">
        <v>2</v>
      </c>
      <c r="Q1" s="10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8" t="s">
        <v>7</v>
      </c>
      <c r="B4" s="159"/>
      <c r="C4" s="159"/>
      <c r="D4" s="160"/>
      <c r="F4" s="208" t="s">
        <v>8</v>
      </c>
      <c r="G4" s="210"/>
      <c r="H4" s="212" t="s">
        <v>9</v>
      </c>
      <c r="I4" s="214"/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3"/>
      <c r="B6" s="16"/>
      <c r="C6" s="10"/>
      <c r="D6" s="13">
        <f t="shared" ref="D6:D28" si="1">C6*L6</f>
        <v>0</v>
      </c>
      <c r="F6" s="218" t="s">
        <v>16</v>
      </c>
      <c r="G6" s="220"/>
      <c r="H6" s="221"/>
      <c r="I6" s="221"/>
      <c r="J6" s="22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3"/>
      <c r="B7" s="16"/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3"/>
      <c r="B8" s="16"/>
      <c r="C8" s="10"/>
      <c r="D8" s="13">
        <f t="shared" si="1"/>
        <v>0</v>
      </c>
      <c r="F8" s="226" t="s">
        <v>21</v>
      </c>
      <c r="G8" s="227"/>
      <c r="H8" s="228"/>
      <c r="I8" s="228"/>
      <c r="J8" s="22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3"/>
      <c r="B9" s="16"/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3"/>
      <c r="C10" s="10"/>
      <c r="D10" s="13">
        <f t="shared" si="1"/>
        <v>0</v>
      </c>
      <c r="F10" s="218" t="s">
        <v>26</v>
      </c>
      <c r="G10" s="233"/>
      <c r="H10" s="234"/>
      <c r="I10" s="234"/>
      <c r="J10" s="235"/>
      <c r="K10" s="8"/>
      <c r="L10" s="6">
        <f>R36</f>
        <v>972</v>
      </c>
      <c r="P10" s="4"/>
      <c r="Q10" s="4"/>
      <c r="R10" s="5"/>
    </row>
    <row r="11" spans="1:19" ht="15.75" x14ac:dyDescent="0.25">
      <c r="A11" s="153"/>
      <c r="B11" s="17"/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3"/>
      <c r="B12" s="17"/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3"/>
      <c r="B13" s="17"/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3"/>
      <c r="B14" s="14"/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3"/>
      <c r="B15" s="14"/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3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19"/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14"/>
      <c r="C19" s="10"/>
      <c r="D19" s="48">
        <f t="shared" si="1"/>
        <v>0</v>
      </c>
      <c r="F19" s="56"/>
      <c r="G19" s="68" t="s">
        <v>49</v>
      </c>
      <c r="H19" s="176"/>
      <c r="I19" s="176"/>
      <c r="J19" s="17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3"/>
      <c r="B20" s="46"/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3"/>
      <c r="B22" s="46"/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/>
      <c r="C23" s="10"/>
      <c r="D23" s="48">
        <f t="shared" si="1"/>
        <v>0</v>
      </c>
      <c r="F23" s="77"/>
      <c r="G23" s="78"/>
      <c r="H23" s="181"/>
      <c r="I23" s="150"/>
      <c r="J23" s="150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/>
      <c r="C24" s="10"/>
      <c r="D24" s="48">
        <f t="shared" si="1"/>
        <v>0</v>
      </c>
      <c r="F24" s="38"/>
      <c r="G24" s="37"/>
      <c r="H24" s="181"/>
      <c r="I24" s="150"/>
      <c r="J24" s="150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/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3"/>
      <c r="B27" s="14"/>
      <c r="C27" s="10"/>
      <c r="D27" s="44">
        <f t="shared" si="1"/>
        <v>0</v>
      </c>
      <c r="F27" s="25"/>
      <c r="G27" s="79"/>
      <c r="H27" s="188"/>
      <c r="I27" s="189"/>
      <c r="J27" s="19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/>
      <c r="C28" s="10"/>
      <c r="D28" s="48">
        <f t="shared" si="1"/>
        <v>0</v>
      </c>
      <c r="F28" s="104"/>
      <c r="G28" s="61"/>
      <c r="H28" s="191"/>
      <c r="I28" s="192"/>
      <c r="J28" s="19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5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55"/>
      <c r="I34" s="156"/>
      <c r="J34" s="157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/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/>
      <c r="I36" s="156"/>
      <c r="J36" s="157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/>
      <c r="I37" s="156"/>
      <c r="J37" s="157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/>
      <c r="I38" s="156"/>
      <c r="J38" s="157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/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106" t="s">
        <v>82</v>
      </c>
      <c r="H43" s="147" t="s">
        <v>13</v>
      </c>
      <c r="I43" s="148"/>
      <c r="J43" s="149"/>
      <c r="K43" s="21"/>
      <c r="P43" s="4"/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75"/>
      <c r="H44" s="150"/>
      <c r="I44" s="150"/>
      <c r="J44" s="150"/>
      <c r="K44" s="21"/>
      <c r="P44" s="4"/>
      <c r="Q44" s="4"/>
      <c r="R44" s="5"/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/>
      <c r="D50" s="12">
        <f>C50*1.5</f>
        <v>0</v>
      </c>
      <c r="F50" s="132"/>
      <c r="G50" s="136"/>
      <c r="H50" s="137"/>
      <c r="I50" s="137"/>
      <c r="J50" s="138"/>
      <c r="P50" s="4"/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106</v>
      </c>
      <c r="G51" s="141">
        <f>G49-H29</f>
        <v>0</v>
      </c>
      <c r="H51" s="142"/>
      <c r="I51" s="142"/>
      <c r="J51" s="143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6"/>
      <c r="B52" s="29"/>
      <c r="C52" s="33"/>
      <c r="D52" s="45"/>
      <c r="F52" s="140"/>
      <c r="G52" s="144"/>
      <c r="H52" s="145"/>
      <c r="I52" s="145"/>
      <c r="J52" s="14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AFE3C-D593-4EA9-AC6D-5D0BDC7FCD74}">
  <dimension ref="A1:R59"/>
  <sheetViews>
    <sheetView zoomScaleNormal="100" zoomScaleSheetLayoutView="85" workbookViewId="0">
      <selection activeCell="M33" sqref="M33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1</v>
      </c>
      <c r="H4" s="212" t="s">
        <v>9</v>
      </c>
      <c r="I4" s="214">
        <v>46185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/>
      <c r="D6" s="13">
        <f t="shared" ref="D6:D28" si="1">C6*L6</f>
        <v>0</v>
      </c>
      <c r="F6" s="218" t="s">
        <v>16</v>
      </c>
      <c r="G6" s="220" t="s">
        <v>99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117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/>
      <c r="D10" s="13">
        <f t="shared" si="1"/>
        <v>0</v>
      </c>
      <c r="F10" s="218" t="s">
        <v>26</v>
      </c>
      <c r="G10" s="233" t="s">
        <v>108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164"/>
      <c r="I19" s="164"/>
      <c r="J19" s="164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124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6"/>
      <c r="G23" s="78"/>
      <c r="H23" s="240"/>
      <c r="I23" s="241"/>
      <c r="J23" s="241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76"/>
      <c r="G24" s="78"/>
      <c r="H24" s="240"/>
      <c r="I24" s="241"/>
      <c r="J24" s="24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74"/>
      <c r="G26" s="65"/>
      <c r="H26" s="150"/>
      <c r="I26" s="150"/>
      <c r="J26" s="15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71"/>
      <c r="G27" s="106"/>
      <c r="H27" s="242"/>
      <c r="I27" s="243"/>
      <c r="J27" s="24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4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H15-H16-H17-H18-H19-H20-H22-H23-H24+H26+H27+H28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5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40"/>
      <c r="H34" s="155">
        <f t="shared" ref="H34:H39" si="2">F34*G34</f>
        <v>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>
        <f t="shared" si="2"/>
        <v>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>
        <f t="shared" si="2"/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>
        <f t="shared" si="2"/>
        <v>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>
        <f t="shared" si="2"/>
        <v>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106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62"/>
      <c r="H44" s="150"/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62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0"/>
      <c r="I46" s="150"/>
      <c r="J46" s="150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/>
      <c r="D50" s="12">
        <f>C50*1.5</f>
        <v>0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129</v>
      </c>
      <c r="G51" s="252">
        <f>G49-H29</f>
        <v>0</v>
      </c>
      <c r="H51" s="253"/>
      <c r="I51" s="253"/>
      <c r="J51" s="254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255"/>
      <c r="H52" s="256"/>
      <c r="I52" s="256"/>
      <c r="J52" s="257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114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E2A24-9CEE-4C26-84A2-5D6F37E644CA}">
  <dimension ref="A1:R59"/>
  <sheetViews>
    <sheetView topLeftCell="A28" zoomScaleNormal="100" zoomScaleSheetLayoutView="85" workbookViewId="0">
      <selection activeCell="B57" sqref="B57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2</v>
      </c>
      <c r="H4" s="212" t="s">
        <v>9</v>
      </c>
      <c r="I4" s="214">
        <v>46185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/>
      <c r="D6" s="13">
        <f t="shared" ref="D6:D28" si="1">C6*L6</f>
        <v>0</v>
      </c>
      <c r="F6" s="218" t="s">
        <v>16</v>
      </c>
      <c r="G6" s="220" t="s">
        <v>107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100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/>
      <c r="D10" s="13">
        <f t="shared" si="1"/>
        <v>0</v>
      </c>
      <c r="F10" s="218" t="s">
        <v>26</v>
      </c>
      <c r="G10" s="233" t="s">
        <v>101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50"/>
      <c r="I19" s="250"/>
      <c r="J19" s="250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128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7"/>
      <c r="G23" s="78"/>
      <c r="H23" s="251"/>
      <c r="I23" s="180"/>
      <c r="J23" s="18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38"/>
      <c r="G24" s="37"/>
      <c r="H24" s="181"/>
      <c r="I24" s="150"/>
      <c r="J24" s="15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25"/>
      <c r="G27" s="79"/>
      <c r="H27" s="188"/>
      <c r="I27" s="189"/>
      <c r="J27" s="19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4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5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55">
        <f>F34*G34</f>
        <v>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>
        <f>F35*G35</f>
        <v>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>
        <f t="shared" ref="H36:H39" si="2">F36*G36</f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>
        <f t="shared" si="2"/>
        <v>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>
        <f t="shared" si="2"/>
        <v>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106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75"/>
      <c r="H44" s="150"/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80"/>
      <c r="D50" s="12">
        <f>C50*1.5</f>
        <v>0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113</v>
      </c>
      <c r="G51" s="141">
        <f>G49-H29</f>
        <v>0</v>
      </c>
      <c r="H51" s="142"/>
      <c r="I51" s="142"/>
      <c r="J51" s="143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144"/>
      <c r="H52" s="145"/>
      <c r="I52" s="145"/>
      <c r="J52" s="14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172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BC48-0951-457B-B2CA-8BB17711EB73}">
  <dimension ref="A1:R59"/>
  <sheetViews>
    <sheetView zoomScaleNormal="100" zoomScaleSheetLayoutView="85" workbookViewId="0">
      <selection activeCell="N28" sqref="N28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3</v>
      </c>
      <c r="H4" s="212" t="s">
        <v>9</v>
      </c>
      <c r="I4" s="214">
        <v>46185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/>
      <c r="D6" s="13">
        <f t="shared" ref="D6:D28" si="1">C6*L6</f>
        <v>0</v>
      </c>
      <c r="F6" s="218" t="s">
        <v>16</v>
      </c>
      <c r="G6" s="220" t="s">
        <v>115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109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/>
      <c r="D10" s="13">
        <f t="shared" si="1"/>
        <v>0</v>
      </c>
      <c r="F10" s="218" t="s">
        <v>26</v>
      </c>
      <c r="G10" s="233" t="s">
        <v>121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50"/>
      <c r="I19" s="250"/>
      <c r="J19" s="250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124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7"/>
      <c r="G23" s="78"/>
      <c r="H23" s="251"/>
      <c r="I23" s="180"/>
      <c r="J23" s="18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38"/>
      <c r="G24" s="37"/>
      <c r="H24" s="181"/>
      <c r="I24" s="150"/>
      <c r="J24" s="15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25"/>
      <c r="G27" s="79"/>
      <c r="H27" s="188"/>
      <c r="I27" s="189"/>
      <c r="J27" s="19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4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5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55">
        <f>F34*G34</f>
        <v>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>
        <f>F35*G35</f>
        <v>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>
        <f t="shared" ref="H36:H39" si="2">F36*G36</f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>
        <f t="shared" si="2"/>
        <v>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>
        <f t="shared" si="2"/>
        <v>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106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75"/>
      <c r="H44" s="150"/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/>
      <c r="D50" s="12">
        <f>C50*1.5</f>
        <v>0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113</v>
      </c>
      <c r="G51" s="141">
        <f>G49-H29</f>
        <v>0</v>
      </c>
      <c r="H51" s="142"/>
      <c r="I51" s="142"/>
      <c r="J51" s="143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144"/>
      <c r="H52" s="145"/>
      <c r="I52" s="145"/>
      <c r="J52" s="14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39B67-093E-4891-82D8-448E7D763F93}">
  <dimension ref="A1:S59"/>
  <sheetViews>
    <sheetView zoomScaleNormal="100" zoomScaleSheetLayoutView="85" workbookViewId="0">
      <selection activeCell="M33" sqref="M33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7" t="s">
        <v>1</v>
      </c>
      <c r="O1" s="207"/>
      <c r="P1" s="103" t="s">
        <v>2</v>
      </c>
      <c r="Q1" s="10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8" t="s">
        <v>7</v>
      </c>
      <c r="B4" s="159"/>
      <c r="C4" s="159"/>
      <c r="D4" s="160"/>
      <c r="F4" s="208" t="s">
        <v>8</v>
      </c>
      <c r="G4" s="210"/>
      <c r="H4" s="212" t="s">
        <v>9</v>
      </c>
      <c r="I4" s="214"/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3"/>
      <c r="B6" s="16"/>
      <c r="C6" s="10"/>
      <c r="D6" s="13">
        <f t="shared" ref="D6:D28" si="1">C6*L6</f>
        <v>0</v>
      </c>
      <c r="F6" s="218" t="s">
        <v>16</v>
      </c>
      <c r="G6" s="220"/>
      <c r="H6" s="221"/>
      <c r="I6" s="221"/>
      <c r="J6" s="22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3"/>
      <c r="B7" s="16"/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3"/>
      <c r="B8" s="16"/>
      <c r="C8" s="10"/>
      <c r="D8" s="13">
        <f t="shared" si="1"/>
        <v>0</v>
      </c>
      <c r="F8" s="226" t="s">
        <v>21</v>
      </c>
      <c r="G8" s="227"/>
      <c r="H8" s="228"/>
      <c r="I8" s="228"/>
      <c r="J8" s="22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3"/>
      <c r="B9" s="16"/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3"/>
      <c r="C10" s="10"/>
      <c r="D10" s="13">
        <f t="shared" si="1"/>
        <v>0</v>
      </c>
      <c r="F10" s="218" t="s">
        <v>26</v>
      </c>
      <c r="G10" s="233"/>
      <c r="H10" s="234"/>
      <c r="I10" s="234"/>
      <c r="J10" s="235"/>
      <c r="K10" s="8"/>
      <c r="L10" s="6">
        <f>R36</f>
        <v>972</v>
      </c>
      <c r="P10" s="4"/>
      <c r="Q10" s="4"/>
      <c r="R10" s="5"/>
    </row>
    <row r="11" spans="1:19" ht="15.75" x14ac:dyDescent="0.25">
      <c r="A11" s="153"/>
      <c r="B11" s="17"/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3"/>
      <c r="B12" s="17"/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3"/>
      <c r="B13" s="17"/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3"/>
      <c r="B14" s="14"/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3"/>
      <c r="B15" s="14"/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3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19"/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14"/>
      <c r="C19" s="10"/>
      <c r="D19" s="48">
        <f t="shared" si="1"/>
        <v>0</v>
      </c>
      <c r="F19" s="56"/>
      <c r="G19" s="68" t="s">
        <v>49</v>
      </c>
      <c r="H19" s="176"/>
      <c r="I19" s="176"/>
      <c r="J19" s="17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3"/>
      <c r="B20" s="46"/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3"/>
      <c r="B22" s="46"/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/>
      <c r="C23" s="10"/>
      <c r="D23" s="48">
        <f t="shared" si="1"/>
        <v>0</v>
      </c>
      <c r="F23" s="77"/>
      <c r="G23" s="78"/>
      <c r="H23" s="181"/>
      <c r="I23" s="150"/>
      <c r="J23" s="150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/>
      <c r="C24" s="10"/>
      <c r="D24" s="48">
        <f t="shared" si="1"/>
        <v>0</v>
      </c>
      <c r="F24" s="38"/>
      <c r="G24" s="37"/>
      <c r="H24" s="181"/>
      <c r="I24" s="150"/>
      <c r="J24" s="150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/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3"/>
      <c r="B27" s="14"/>
      <c r="C27" s="10"/>
      <c r="D27" s="44">
        <f t="shared" si="1"/>
        <v>0</v>
      </c>
      <c r="F27" s="25"/>
      <c r="G27" s="79"/>
      <c r="H27" s="188"/>
      <c r="I27" s="189"/>
      <c r="J27" s="19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/>
      <c r="C28" s="10"/>
      <c r="D28" s="48">
        <f t="shared" si="1"/>
        <v>0</v>
      </c>
      <c r="F28" s="104"/>
      <c r="G28" s="61"/>
      <c r="H28" s="191"/>
      <c r="I28" s="192"/>
      <c r="J28" s="19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5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55"/>
      <c r="I34" s="156"/>
      <c r="J34" s="157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/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/>
      <c r="I36" s="156"/>
      <c r="J36" s="157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/>
      <c r="I37" s="156"/>
      <c r="J37" s="157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/>
      <c r="I38" s="156"/>
      <c r="J38" s="157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/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106" t="s">
        <v>82</v>
      </c>
      <c r="H43" s="147" t="s">
        <v>13</v>
      </c>
      <c r="I43" s="148"/>
      <c r="J43" s="149"/>
      <c r="K43" s="21"/>
      <c r="P43" s="4"/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75"/>
      <c r="H44" s="150"/>
      <c r="I44" s="150"/>
      <c r="J44" s="150"/>
      <c r="K44" s="21"/>
      <c r="P44" s="4"/>
      <c r="Q44" s="4"/>
      <c r="R44" s="5"/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/>
      <c r="D50" s="12">
        <f>C50*1.5</f>
        <v>0</v>
      </c>
      <c r="F50" s="132"/>
      <c r="G50" s="136"/>
      <c r="H50" s="137"/>
      <c r="I50" s="137"/>
      <c r="J50" s="138"/>
      <c r="P50" s="4"/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106</v>
      </c>
      <c r="G51" s="141">
        <f>G49-H29</f>
        <v>0</v>
      </c>
      <c r="H51" s="142"/>
      <c r="I51" s="142"/>
      <c r="J51" s="143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6"/>
      <c r="B52" s="29"/>
      <c r="C52" s="33"/>
      <c r="D52" s="45"/>
      <c r="F52" s="140"/>
      <c r="G52" s="144"/>
      <c r="H52" s="145"/>
      <c r="I52" s="145"/>
      <c r="J52" s="14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E46F4-F846-48B6-B64A-3936176933CE}">
  <dimension ref="A1:R59"/>
  <sheetViews>
    <sheetView zoomScaleNormal="100" zoomScaleSheetLayoutView="85" workbookViewId="0">
      <selection activeCell="M33" sqref="M33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1</v>
      </c>
      <c r="H4" s="212" t="s">
        <v>9</v>
      </c>
      <c r="I4" s="214">
        <v>46186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/>
      <c r="D6" s="13">
        <f t="shared" ref="D6:D28" si="1">C6*L6</f>
        <v>0</v>
      </c>
      <c r="F6" s="218" t="s">
        <v>16</v>
      </c>
      <c r="G6" s="220" t="s">
        <v>99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117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/>
      <c r="D10" s="13">
        <f t="shared" si="1"/>
        <v>0</v>
      </c>
      <c r="F10" s="218" t="s">
        <v>26</v>
      </c>
      <c r="G10" s="233" t="s">
        <v>108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164"/>
      <c r="I19" s="164"/>
      <c r="J19" s="164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124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6"/>
      <c r="G23" s="78"/>
      <c r="H23" s="240"/>
      <c r="I23" s="241"/>
      <c r="J23" s="241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76"/>
      <c r="G24" s="78"/>
      <c r="H24" s="240"/>
      <c r="I24" s="241"/>
      <c r="J24" s="24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74"/>
      <c r="G26" s="65"/>
      <c r="H26" s="150"/>
      <c r="I26" s="150"/>
      <c r="J26" s="15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71"/>
      <c r="G27" s="106"/>
      <c r="H27" s="242"/>
      <c r="I27" s="243"/>
      <c r="J27" s="24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4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H15-H16-H17-H18-H19-H20-H22-H23-H24+H26+H27+H28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5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40"/>
      <c r="H34" s="155">
        <f t="shared" ref="H34:H39" si="2">F34*G34</f>
        <v>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>
        <f t="shared" si="2"/>
        <v>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>
        <f t="shared" si="2"/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>
        <f t="shared" si="2"/>
        <v>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>
        <f t="shared" si="2"/>
        <v>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106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62"/>
      <c r="H44" s="150"/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62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0"/>
      <c r="I46" s="150"/>
      <c r="J46" s="150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/>
      <c r="D50" s="12">
        <f>C50*1.5</f>
        <v>0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129</v>
      </c>
      <c r="G51" s="252">
        <f>G49-H29</f>
        <v>0</v>
      </c>
      <c r="H51" s="253"/>
      <c r="I51" s="253"/>
      <c r="J51" s="254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255"/>
      <c r="H52" s="256"/>
      <c r="I52" s="256"/>
      <c r="J52" s="257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114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1B74-47AA-4CE9-BB01-65ECFC6D833A}">
  <dimension ref="A1:R59"/>
  <sheetViews>
    <sheetView topLeftCell="A28" zoomScaleNormal="100" zoomScaleSheetLayoutView="85" workbookViewId="0">
      <selection activeCell="B57" sqref="B57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2</v>
      </c>
      <c r="H4" s="212" t="s">
        <v>9</v>
      </c>
      <c r="I4" s="214">
        <v>46185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/>
      <c r="D6" s="13">
        <f t="shared" ref="D6:D28" si="1">C6*L6</f>
        <v>0</v>
      </c>
      <c r="F6" s="218" t="s">
        <v>16</v>
      </c>
      <c r="G6" s="220" t="s">
        <v>107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100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/>
      <c r="D10" s="13">
        <f t="shared" si="1"/>
        <v>0</v>
      </c>
      <c r="F10" s="218" t="s">
        <v>26</v>
      </c>
      <c r="G10" s="233" t="s">
        <v>101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50"/>
      <c r="I19" s="250"/>
      <c r="J19" s="250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128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7"/>
      <c r="G23" s="78"/>
      <c r="H23" s="251"/>
      <c r="I23" s="180"/>
      <c r="J23" s="18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38"/>
      <c r="G24" s="37"/>
      <c r="H24" s="181"/>
      <c r="I24" s="150"/>
      <c r="J24" s="15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25"/>
      <c r="G27" s="79"/>
      <c r="H27" s="188"/>
      <c r="I27" s="189"/>
      <c r="J27" s="19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4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5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55">
        <f>F34*G34</f>
        <v>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>
        <f>F35*G35</f>
        <v>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>
        <f t="shared" ref="H36:H39" si="2">F36*G36</f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>
        <f t="shared" si="2"/>
        <v>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>
        <f t="shared" si="2"/>
        <v>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106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75"/>
      <c r="H44" s="150"/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80"/>
      <c r="D50" s="12">
        <f>C50*1.5</f>
        <v>0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113</v>
      </c>
      <c r="G51" s="141">
        <f>G49-H29</f>
        <v>0</v>
      </c>
      <c r="H51" s="142"/>
      <c r="I51" s="142"/>
      <c r="J51" s="143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144"/>
      <c r="H52" s="145"/>
      <c r="I52" s="145"/>
      <c r="J52" s="14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172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9679E-C6E6-41CF-A472-CBD3EBCCF548}">
  <dimension ref="A1:R59"/>
  <sheetViews>
    <sheetView zoomScaleNormal="100" zoomScaleSheetLayoutView="85" workbookViewId="0">
      <selection activeCell="M33" sqref="M33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3</v>
      </c>
      <c r="H4" s="212" t="s">
        <v>9</v>
      </c>
      <c r="I4" s="214">
        <v>46185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/>
      <c r="D6" s="13">
        <f t="shared" ref="D6:D28" si="1">C6*L6</f>
        <v>0</v>
      </c>
      <c r="F6" s="218" t="s">
        <v>16</v>
      </c>
      <c r="G6" s="220" t="s">
        <v>115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109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/>
      <c r="D10" s="13">
        <f t="shared" si="1"/>
        <v>0</v>
      </c>
      <c r="F10" s="218" t="s">
        <v>26</v>
      </c>
      <c r="G10" s="233" t="s">
        <v>121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50"/>
      <c r="I19" s="250"/>
      <c r="J19" s="250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124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7"/>
      <c r="G23" s="78"/>
      <c r="H23" s="251"/>
      <c r="I23" s="180"/>
      <c r="J23" s="18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38"/>
      <c r="G24" s="37"/>
      <c r="H24" s="181"/>
      <c r="I24" s="150"/>
      <c r="J24" s="15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25"/>
      <c r="G27" s="79"/>
      <c r="H27" s="188"/>
      <c r="I27" s="189"/>
      <c r="J27" s="19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4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5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55">
        <f>F34*G34</f>
        <v>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>
        <f>F35*G35</f>
        <v>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>
        <f t="shared" ref="H36:H39" si="2">F36*G36</f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>
        <f t="shared" si="2"/>
        <v>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>
        <f t="shared" si="2"/>
        <v>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106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75"/>
      <c r="H44" s="150"/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/>
      <c r="D50" s="12">
        <f>C50*1.5</f>
        <v>0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113</v>
      </c>
      <c r="G51" s="141">
        <f>G49-H29</f>
        <v>0</v>
      </c>
      <c r="H51" s="142"/>
      <c r="I51" s="142"/>
      <c r="J51" s="143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144"/>
      <c r="H52" s="145"/>
      <c r="I52" s="145"/>
      <c r="J52" s="14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C6A5C-4C8A-4F21-A99A-9C77C9DC1FA4}">
  <dimension ref="A1:S59"/>
  <sheetViews>
    <sheetView zoomScaleNormal="100" zoomScaleSheetLayoutView="85" workbookViewId="0">
      <selection activeCell="M33" sqref="M33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7" t="s">
        <v>1</v>
      </c>
      <c r="O1" s="207"/>
      <c r="P1" s="103" t="s">
        <v>2</v>
      </c>
      <c r="Q1" s="10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8" t="s">
        <v>7</v>
      </c>
      <c r="B4" s="159"/>
      <c r="C4" s="159"/>
      <c r="D4" s="160"/>
      <c r="F4" s="208" t="s">
        <v>8</v>
      </c>
      <c r="G4" s="210"/>
      <c r="H4" s="212" t="s">
        <v>9</v>
      </c>
      <c r="I4" s="214"/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3"/>
      <c r="B6" s="16"/>
      <c r="C6" s="10"/>
      <c r="D6" s="13">
        <f t="shared" ref="D6:D28" si="1">C6*L6</f>
        <v>0</v>
      </c>
      <c r="F6" s="218" t="s">
        <v>16</v>
      </c>
      <c r="G6" s="220"/>
      <c r="H6" s="221"/>
      <c r="I6" s="221"/>
      <c r="J6" s="222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3"/>
      <c r="B7" s="16"/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3"/>
      <c r="B8" s="16"/>
      <c r="C8" s="10"/>
      <c r="D8" s="13">
        <f t="shared" si="1"/>
        <v>0</v>
      </c>
      <c r="F8" s="226" t="s">
        <v>21</v>
      </c>
      <c r="G8" s="227"/>
      <c r="H8" s="228"/>
      <c r="I8" s="228"/>
      <c r="J8" s="22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3"/>
      <c r="B9" s="16"/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3"/>
      <c r="C10" s="10"/>
      <c r="D10" s="13">
        <f t="shared" si="1"/>
        <v>0</v>
      </c>
      <c r="F10" s="218" t="s">
        <v>26</v>
      </c>
      <c r="G10" s="233"/>
      <c r="H10" s="234"/>
      <c r="I10" s="234"/>
      <c r="J10" s="235"/>
      <c r="K10" s="8"/>
      <c r="L10" s="6">
        <f>R36</f>
        <v>972</v>
      </c>
      <c r="P10" s="4"/>
      <c r="Q10" s="4"/>
      <c r="R10" s="5"/>
    </row>
    <row r="11" spans="1:19" ht="15.75" x14ac:dyDescent="0.25">
      <c r="A11" s="153"/>
      <c r="B11" s="17"/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3"/>
      <c r="B12" s="17"/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3"/>
      <c r="B13" s="17"/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3"/>
      <c r="B14" s="14"/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3"/>
      <c r="B15" s="14"/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3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19"/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14"/>
      <c r="C19" s="10"/>
      <c r="D19" s="48">
        <f t="shared" si="1"/>
        <v>0</v>
      </c>
      <c r="F19" s="56"/>
      <c r="G19" s="68" t="s">
        <v>49</v>
      </c>
      <c r="H19" s="176"/>
      <c r="I19" s="176"/>
      <c r="J19" s="17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3"/>
      <c r="B20" s="46"/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/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3"/>
      <c r="B22" s="46"/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/>
      <c r="C23" s="10"/>
      <c r="D23" s="48">
        <f t="shared" si="1"/>
        <v>0</v>
      </c>
      <c r="F23" s="77"/>
      <c r="G23" s="78"/>
      <c r="H23" s="181"/>
      <c r="I23" s="150"/>
      <c r="J23" s="150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/>
      <c r="C24" s="10"/>
      <c r="D24" s="48">
        <f t="shared" si="1"/>
        <v>0</v>
      </c>
      <c r="F24" s="38"/>
      <c r="G24" s="37"/>
      <c r="H24" s="181"/>
      <c r="I24" s="150"/>
      <c r="J24" s="150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/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3"/>
      <c r="B27" s="14"/>
      <c r="C27" s="10"/>
      <c r="D27" s="44">
        <f t="shared" si="1"/>
        <v>0</v>
      </c>
      <c r="F27" s="25"/>
      <c r="G27" s="79"/>
      <c r="H27" s="188"/>
      <c r="I27" s="189"/>
      <c r="J27" s="190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/>
      <c r="C28" s="10"/>
      <c r="D28" s="48">
        <f t="shared" si="1"/>
        <v>0</v>
      </c>
      <c r="F28" s="104"/>
      <c r="G28" s="61"/>
      <c r="H28" s="191"/>
      <c r="I28" s="192"/>
      <c r="J28" s="193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5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55"/>
      <c r="I34" s="156"/>
      <c r="J34" s="157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/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/>
      <c r="I36" s="156"/>
      <c r="J36" s="157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/>
      <c r="I37" s="156"/>
      <c r="J37" s="157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/>
      <c r="I38" s="156"/>
      <c r="J38" s="157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/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106" t="s">
        <v>82</v>
      </c>
      <c r="H43" s="147" t="s">
        <v>13</v>
      </c>
      <c r="I43" s="148"/>
      <c r="J43" s="149"/>
      <c r="K43" s="21"/>
      <c r="P43" s="4"/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75"/>
      <c r="H44" s="150"/>
      <c r="I44" s="150"/>
      <c r="J44" s="150"/>
      <c r="K44" s="21"/>
      <c r="P44" s="4"/>
      <c r="Q44" s="4"/>
      <c r="R44" s="5"/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/>
      <c r="D50" s="12">
        <f>C50*1.5</f>
        <v>0</v>
      </c>
      <c r="F50" s="132"/>
      <c r="G50" s="136"/>
      <c r="H50" s="137"/>
      <c r="I50" s="137"/>
      <c r="J50" s="138"/>
      <c r="P50" s="4"/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106</v>
      </c>
      <c r="G51" s="141">
        <f>G49-H29</f>
        <v>0</v>
      </c>
      <c r="H51" s="142"/>
      <c r="I51" s="142"/>
      <c r="J51" s="143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6"/>
      <c r="B52" s="29"/>
      <c r="C52" s="33"/>
      <c r="D52" s="45"/>
      <c r="F52" s="140"/>
      <c r="G52" s="144"/>
      <c r="H52" s="145"/>
      <c r="I52" s="145"/>
      <c r="J52" s="14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AED45-E4BF-40A8-B1B0-7D252080AA8A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1</v>
      </c>
      <c r="H4" s="212" t="s">
        <v>9</v>
      </c>
      <c r="I4" s="214">
        <v>46188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/>
      <c r="D6" s="13">
        <f t="shared" ref="D6:D28" si="1">C6*L6</f>
        <v>0</v>
      </c>
      <c r="F6" s="218" t="s">
        <v>16</v>
      </c>
      <c r="G6" s="220" t="s">
        <v>99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117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/>
      <c r="D10" s="13">
        <f t="shared" si="1"/>
        <v>0</v>
      </c>
      <c r="F10" s="218" t="s">
        <v>26</v>
      </c>
      <c r="G10" s="233" t="s">
        <v>108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2" t="s">
        <v>105</v>
      </c>
      <c r="C19" s="10"/>
      <c r="D19" s="48">
        <f t="shared" si="1"/>
        <v>0</v>
      </c>
      <c r="F19" s="56"/>
      <c r="G19" s="68" t="s">
        <v>49</v>
      </c>
      <c r="H19" s="164"/>
      <c r="I19" s="164"/>
      <c r="J19" s="164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124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6"/>
      <c r="G23" s="78"/>
      <c r="H23" s="240"/>
      <c r="I23" s="241"/>
      <c r="J23" s="241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76"/>
      <c r="G24" s="78"/>
      <c r="H24" s="240"/>
      <c r="I24" s="241"/>
      <c r="J24" s="241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74"/>
      <c r="G26" s="65"/>
      <c r="H26" s="150"/>
      <c r="I26" s="150"/>
      <c r="J26" s="15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71"/>
      <c r="G27" s="106"/>
      <c r="H27" s="242"/>
      <c r="I27" s="243"/>
      <c r="J27" s="24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4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H15-H16-H17-H18-H19-H20-H22-H23-H24+H26+H27+H28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5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40"/>
      <c r="H34" s="155">
        <f t="shared" ref="H34:H39" si="2">F34*G34</f>
        <v>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>
        <f t="shared" si="2"/>
        <v>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>
        <f t="shared" si="2"/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>
        <f t="shared" si="2"/>
        <v>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>
        <f t="shared" si="2"/>
        <v>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106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62"/>
      <c r="H44" s="150"/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62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0"/>
      <c r="I46" s="150"/>
      <c r="J46" s="150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/>
      <c r="D50" s="12">
        <f>C50*1.5</f>
        <v>0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129</v>
      </c>
      <c r="G51" s="252">
        <f>G49-H29</f>
        <v>0</v>
      </c>
      <c r="H51" s="253"/>
      <c r="I51" s="253"/>
      <c r="J51" s="254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255"/>
      <c r="H52" s="256"/>
      <c r="I52" s="256"/>
      <c r="J52" s="257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114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A1C0D-0B56-4E00-A8D6-1C517E80098F}">
  <dimension ref="A1:R59"/>
  <sheetViews>
    <sheetView topLeftCell="A31" zoomScaleNormal="100" zoomScaleSheetLayoutView="85" workbookViewId="0">
      <selection activeCell="B57" sqref="B57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2</v>
      </c>
      <c r="H4" s="212" t="s">
        <v>9</v>
      </c>
      <c r="I4" s="214">
        <v>46188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/>
      <c r="D6" s="13">
        <f t="shared" ref="D6:D28" si="1">C6*L6</f>
        <v>0</v>
      </c>
      <c r="F6" s="218" t="s">
        <v>16</v>
      </c>
      <c r="G6" s="220" t="s">
        <v>107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100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/>
      <c r="D10" s="13">
        <f t="shared" si="1"/>
        <v>0</v>
      </c>
      <c r="F10" s="218" t="s">
        <v>26</v>
      </c>
      <c r="G10" s="233" t="s">
        <v>101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50"/>
      <c r="I19" s="250"/>
      <c r="J19" s="250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128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v>1667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7"/>
      <c r="G23" s="78"/>
      <c r="H23" s="251"/>
      <c r="I23" s="180"/>
      <c r="J23" s="18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38"/>
      <c r="G24" s="37"/>
      <c r="H24" s="181"/>
      <c r="I24" s="150"/>
      <c r="J24" s="15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25"/>
      <c r="G27" s="79"/>
      <c r="H27" s="188"/>
      <c r="I27" s="189"/>
      <c r="J27" s="19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4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5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55">
        <f>F34*G34</f>
        <v>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>
        <f>F35*G35</f>
        <v>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>
        <f t="shared" ref="H36:H39" si="2">F36*G36</f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>
        <f t="shared" si="2"/>
        <v>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>
        <f t="shared" si="2"/>
        <v>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106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75"/>
      <c r="H44" s="150"/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80"/>
      <c r="D50" s="12">
        <f>C50*1.5</f>
        <v>0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113</v>
      </c>
      <c r="G51" s="141">
        <f>G49-H29</f>
        <v>0</v>
      </c>
      <c r="H51" s="142"/>
      <c r="I51" s="142"/>
      <c r="J51" s="143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144"/>
      <c r="H52" s="145"/>
      <c r="I52" s="145"/>
      <c r="J52" s="14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172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381C5-8248-4D9E-A668-767AA27D942D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7" t="s">
        <v>1</v>
      </c>
      <c r="O1" s="207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8" t="s">
        <v>7</v>
      </c>
      <c r="B4" s="159"/>
      <c r="C4" s="159"/>
      <c r="D4" s="160"/>
      <c r="F4" s="208" t="s">
        <v>8</v>
      </c>
      <c r="G4" s="210">
        <v>3</v>
      </c>
      <c r="H4" s="212" t="s">
        <v>9</v>
      </c>
      <c r="I4" s="214">
        <v>46188</v>
      </c>
      <c r="J4" s="215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2" t="s">
        <v>7</v>
      </c>
      <c r="B5" s="15" t="s">
        <v>11</v>
      </c>
      <c r="C5" s="9" t="s">
        <v>12</v>
      </c>
      <c r="D5" s="25" t="s">
        <v>13</v>
      </c>
      <c r="F5" s="209"/>
      <c r="G5" s="211"/>
      <c r="H5" s="213"/>
      <c r="I5" s="216"/>
      <c r="J5" s="217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3"/>
      <c r="B6" s="16" t="s">
        <v>15</v>
      </c>
      <c r="C6" s="10"/>
      <c r="D6" s="13">
        <f t="shared" ref="D6:D28" si="1">C6*L6</f>
        <v>0</v>
      </c>
      <c r="F6" s="218" t="s">
        <v>16</v>
      </c>
      <c r="G6" s="220" t="s">
        <v>115</v>
      </c>
      <c r="H6" s="221"/>
      <c r="I6" s="221"/>
      <c r="J6" s="222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3"/>
      <c r="B7" s="16" t="s">
        <v>18</v>
      </c>
      <c r="C7" s="10"/>
      <c r="D7" s="13">
        <f t="shared" si="1"/>
        <v>0</v>
      </c>
      <c r="F7" s="219"/>
      <c r="G7" s="223"/>
      <c r="H7" s="224"/>
      <c r="I7" s="224"/>
      <c r="J7" s="225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3"/>
      <c r="B8" s="16" t="s">
        <v>20</v>
      </c>
      <c r="C8" s="10"/>
      <c r="D8" s="13">
        <f t="shared" si="1"/>
        <v>0</v>
      </c>
      <c r="F8" s="226" t="s">
        <v>21</v>
      </c>
      <c r="G8" s="227" t="s">
        <v>109</v>
      </c>
      <c r="H8" s="228"/>
      <c r="I8" s="228"/>
      <c r="J8" s="22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3"/>
      <c r="B9" s="16" t="s">
        <v>23</v>
      </c>
      <c r="C9" s="10"/>
      <c r="D9" s="13">
        <f t="shared" si="1"/>
        <v>0</v>
      </c>
      <c r="F9" s="219"/>
      <c r="G9" s="230"/>
      <c r="H9" s="231"/>
      <c r="I9" s="231"/>
      <c r="J9" s="23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3"/>
      <c r="B10" t="s">
        <v>25</v>
      </c>
      <c r="C10" s="10"/>
      <c r="D10" s="13">
        <f t="shared" si="1"/>
        <v>0</v>
      </c>
      <c r="F10" s="218" t="s">
        <v>26</v>
      </c>
      <c r="G10" s="233" t="s">
        <v>121</v>
      </c>
      <c r="H10" s="234"/>
      <c r="I10" s="234"/>
      <c r="J10" s="235"/>
      <c r="K10" s="8"/>
      <c r="L10" s="6">
        <f>R36</f>
        <v>1032</v>
      </c>
      <c r="P10" s="4"/>
      <c r="Q10" s="4"/>
      <c r="R10" s="5"/>
    </row>
    <row r="11" spans="1:18" ht="15.75" x14ac:dyDescent="0.25">
      <c r="A11" s="153"/>
      <c r="B11" s="17" t="s">
        <v>28</v>
      </c>
      <c r="C11" s="10"/>
      <c r="D11" s="13">
        <f t="shared" si="1"/>
        <v>0</v>
      </c>
      <c r="F11" s="219"/>
      <c r="G11" s="230"/>
      <c r="H11" s="231"/>
      <c r="I11" s="231"/>
      <c r="J11" s="23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3"/>
      <c r="B12" s="17" t="s">
        <v>30</v>
      </c>
      <c r="C12" s="10"/>
      <c r="D12" s="48">
        <f t="shared" si="1"/>
        <v>0</v>
      </c>
      <c r="F12" s="236" t="s">
        <v>33</v>
      </c>
      <c r="G12" s="237"/>
      <c r="H12" s="237"/>
      <c r="I12" s="237"/>
      <c r="J12" s="23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3"/>
      <c r="B13" s="17" t="s">
        <v>32</v>
      </c>
      <c r="C13" s="10"/>
      <c r="D13" s="48">
        <f t="shared" si="1"/>
        <v>0</v>
      </c>
      <c r="F13" s="239" t="s">
        <v>36</v>
      </c>
      <c r="G13" s="203"/>
      <c r="H13" s="194">
        <f>D29</f>
        <v>0</v>
      </c>
      <c r="I13" s="195"/>
      <c r="J13" s="19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3"/>
      <c r="B14" s="14" t="s">
        <v>35</v>
      </c>
      <c r="C14" s="10"/>
      <c r="D14" s="31">
        <f t="shared" si="1"/>
        <v>0</v>
      </c>
      <c r="F14" s="197" t="s">
        <v>38</v>
      </c>
      <c r="G14" s="198"/>
      <c r="H14" s="199">
        <f>D54</f>
        <v>0</v>
      </c>
      <c r="I14" s="200"/>
      <c r="J14" s="20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3"/>
      <c r="B15" s="14" t="s">
        <v>119</v>
      </c>
      <c r="C15" s="10"/>
      <c r="D15" s="31">
        <f t="shared" si="1"/>
        <v>0</v>
      </c>
      <c r="F15" s="202" t="s">
        <v>39</v>
      </c>
      <c r="G15" s="203"/>
      <c r="H15" s="204">
        <f>H13-H14</f>
        <v>0</v>
      </c>
      <c r="I15" s="205"/>
      <c r="J15" s="206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3"/>
      <c r="B16" s="18" t="s">
        <v>110</v>
      </c>
      <c r="C16" s="10"/>
      <c r="D16" s="48">
        <f t="shared" si="1"/>
        <v>0</v>
      </c>
      <c r="F16" s="67" t="s">
        <v>41</v>
      </c>
      <c r="G16" s="66" t="s">
        <v>42</v>
      </c>
      <c r="H16" s="164"/>
      <c r="I16" s="164"/>
      <c r="J16" s="164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3"/>
      <c r="B17" s="84" t="s">
        <v>120</v>
      </c>
      <c r="C17" s="10"/>
      <c r="D17" s="48">
        <f t="shared" si="1"/>
        <v>0</v>
      </c>
      <c r="F17" s="56"/>
      <c r="G17" s="66" t="s">
        <v>44</v>
      </c>
      <c r="H17" s="175"/>
      <c r="I17" s="175"/>
      <c r="J17" s="175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3"/>
      <c r="B18" s="85" t="s">
        <v>122</v>
      </c>
      <c r="C18" s="10"/>
      <c r="D18" s="48">
        <f t="shared" si="1"/>
        <v>0</v>
      </c>
      <c r="F18" s="56"/>
      <c r="G18" s="66" t="s">
        <v>46</v>
      </c>
      <c r="H18" s="175"/>
      <c r="I18" s="175"/>
      <c r="J18" s="175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3"/>
      <c r="B19" s="86" t="s">
        <v>105</v>
      </c>
      <c r="C19" s="10"/>
      <c r="D19" s="48">
        <f t="shared" si="1"/>
        <v>0</v>
      </c>
      <c r="F19" s="56"/>
      <c r="G19" s="68" t="s">
        <v>49</v>
      </c>
      <c r="H19" s="250"/>
      <c r="I19" s="250"/>
      <c r="J19" s="250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53"/>
      <c r="B20" s="83" t="s">
        <v>123</v>
      </c>
      <c r="C20" s="10"/>
      <c r="D20" s="13">
        <f t="shared" si="1"/>
        <v>0</v>
      </c>
      <c r="F20" s="57"/>
      <c r="G20" s="70" t="s">
        <v>102</v>
      </c>
      <c r="H20" s="164"/>
      <c r="I20" s="164"/>
      <c r="J20" s="164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53"/>
      <c r="B21" s="14" t="s">
        <v>124</v>
      </c>
      <c r="C21" s="10"/>
      <c r="D21" s="48">
        <f t="shared" si="1"/>
        <v>0</v>
      </c>
      <c r="F21" s="69" t="s">
        <v>94</v>
      </c>
      <c r="G21" s="81" t="s">
        <v>93</v>
      </c>
      <c r="H21" s="177" t="s">
        <v>13</v>
      </c>
      <c r="I21" s="178"/>
      <c r="J21" s="179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3"/>
      <c r="B22" s="46" t="s">
        <v>103</v>
      </c>
      <c r="C22" s="10"/>
      <c r="D22" s="48">
        <f t="shared" si="1"/>
        <v>0</v>
      </c>
      <c r="F22" s="76"/>
      <c r="G22" s="72"/>
      <c r="H22" s="180"/>
      <c r="I22" s="180"/>
      <c r="J22" s="180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53"/>
      <c r="B23" s="14" t="s">
        <v>118</v>
      </c>
      <c r="C23" s="10"/>
      <c r="D23" s="48">
        <f t="shared" si="1"/>
        <v>0</v>
      </c>
      <c r="F23" s="77"/>
      <c r="G23" s="78"/>
      <c r="H23" s="251"/>
      <c r="I23" s="180"/>
      <c r="J23" s="180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53"/>
      <c r="B24" s="14" t="s">
        <v>125</v>
      </c>
      <c r="C24" s="10"/>
      <c r="D24" s="48">
        <f t="shared" si="1"/>
        <v>0</v>
      </c>
      <c r="F24" s="38"/>
      <c r="G24" s="37"/>
      <c r="H24" s="181"/>
      <c r="I24" s="150"/>
      <c r="J24" s="150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53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82" t="s">
        <v>13</v>
      </c>
      <c r="I25" s="183"/>
      <c r="J25" s="184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53"/>
      <c r="B26" s="14" t="s">
        <v>126</v>
      </c>
      <c r="C26" s="10"/>
      <c r="D26" s="48">
        <f t="shared" si="1"/>
        <v>0</v>
      </c>
      <c r="F26" s="64"/>
      <c r="G26" s="59"/>
      <c r="H26" s="185"/>
      <c r="I26" s="186"/>
      <c r="J26" s="187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3"/>
      <c r="B27" s="14" t="s">
        <v>127</v>
      </c>
      <c r="C27" s="10"/>
      <c r="D27" s="44">
        <f t="shared" si="1"/>
        <v>0</v>
      </c>
      <c r="F27" s="25"/>
      <c r="G27" s="79"/>
      <c r="H27" s="188"/>
      <c r="I27" s="189"/>
      <c r="J27" s="190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54"/>
      <c r="B28" s="46" t="s">
        <v>92</v>
      </c>
      <c r="C28" s="10"/>
      <c r="D28" s="48">
        <f t="shared" si="1"/>
        <v>0</v>
      </c>
      <c r="F28" s="104"/>
      <c r="G28" s="61"/>
      <c r="H28" s="191"/>
      <c r="I28" s="192"/>
      <c r="J28" s="193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5" t="s">
        <v>36</v>
      </c>
      <c r="B29" s="166"/>
      <c r="C29" s="167"/>
      <c r="D29" s="171">
        <f>SUM(D6:D28)</f>
        <v>0</v>
      </c>
      <c r="F29" s="111" t="s">
        <v>54</v>
      </c>
      <c r="G29" s="173"/>
      <c r="H29" s="133">
        <f>H15-H16-H17-H18-H19-H20-H22-H23-H24+H26+H27</f>
        <v>0</v>
      </c>
      <c r="I29" s="134"/>
      <c r="J29" s="135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68"/>
      <c r="B30" s="169"/>
      <c r="C30" s="170"/>
      <c r="D30" s="172"/>
      <c r="F30" s="114"/>
      <c r="G30" s="174"/>
      <c r="H30" s="136"/>
      <c r="I30" s="137"/>
      <c r="J30" s="138"/>
      <c r="N30" s="1"/>
      <c r="O30" t="s">
        <v>111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8" t="s">
        <v>57</v>
      </c>
      <c r="B32" s="159"/>
      <c r="C32" s="159"/>
      <c r="D32" s="160"/>
      <c r="F32" s="161" t="s">
        <v>58</v>
      </c>
      <c r="G32" s="162"/>
      <c r="H32" s="162"/>
      <c r="I32" s="162"/>
      <c r="J32" s="163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5" t="s">
        <v>62</v>
      </c>
      <c r="H33" s="161" t="s">
        <v>13</v>
      </c>
      <c r="I33" s="162"/>
      <c r="J33" s="163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2" t="s">
        <v>64</v>
      </c>
      <c r="B34" s="26" t="s">
        <v>65</v>
      </c>
      <c r="C34" s="51"/>
      <c r="D34" s="30">
        <f>C34*120</f>
        <v>0</v>
      </c>
      <c r="F34" s="12">
        <v>1000</v>
      </c>
      <c r="G34" s="73"/>
      <c r="H34" s="155">
        <f>F34*G34</f>
        <v>0</v>
      </c>
      <c r="I34" s="156"/>
      <c r="J34" s="157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3"/>
      <c r="B35" s="27" t="s">
        <v>67</v>
      </c>
      <c r="C35" s="52"/>
      <c r="D35" s="30">
        <f>C35*84</f>
        <v>0</v>
      </c>
      <c r="F35" s="58">
        <v>500</v>
      </c>
      <c r="G35" s="41"/>
      <c r="H35" s="155">
        <f>F35*G35</f>
        <v>0</v>
      </c>
      <c r="I35" s="156"/>
      <c r="J35" s="157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54"/>
      <c r="B36" s="26" t="s">
        <v>69</v>
      </c>
      <c r="C36" s="10"/>
      <c r="D36" s="12">
        <f>C36*1.5</f>
        <v>0</v>
      </c>
      <c r="F36" s="12">
        <v>200</v>
      </c>
      <c r="G36" s="37"/>
      <c r="H36" s="155">
        <f t="shared" ref="H36:H39" si="2">F36*G36</f>
        <v>0</v>
      </c>
      <c r="I36" s="156"/>
      <c r="J36" s="157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2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155">
        <f t="shared" si="2"/>
        <v>0</v>
      </c>
      <c r="I37" s="156"/>
      <c r="J37" s="157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3"/>
      <c r="B38" s="29" t="s">
        <v>67</v>
      </c>
      <c r="C38" s="54"/>
      <c r="D38" s="12">
        <f>C38*84</f>
        <v>0</v>
      </c>
      <c r="F38" s="30">
        <v>50</v>
      </c>
      <c r="G38" s="39"/>
      <c r="H38" s="155">
        <f t="shared" si="2"/>
        <v>0</v>
      </c>
      <c r="I38" s="156"/>
      <c r="J38" s="157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4"/>
      <c r="B39" s="29" t="s">
        <v>69</v>
      </c>
      <c r="C39" s="52"/>
      <c r="D39" s="31">
        <f>C39*4.5</f>
        <v>0</v>
      </c>
      <c r="F39" s="12">
        <v>20</v>
      </c>
      <c r="G39" s="37"/>
      <c r="H39" s="155">
        <f t="shared" si="2"/>
        <v>0</v>
      </c>
      <c r="I39" s="156"/>
      <c r="J39" s="157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52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155"/>
      <c r="I40" s="156"/>
      <c r="J40" s="157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3"/>
      <c r="B41" s="27" t="s">
        <v>67</v>
      </c>
      <c r="C41" s="10"/>
      <c r="D41" s="12">
        <f>C41*84</f>
        <v>0</v>
      </c>
      <c r="F41" s="12">
        <v>5</v>
      </c>
      <c r="G41" s="42"/>
      <c r="H41" s="155"/>
      <c r="I41" s="156"/>
      <c r="J41" s="157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4"/>
      <c r="B42" s="27" t="s">
        <v>69</v>
      </c>
      <c r="C42" s="11"/>
      <c r="D42" s="12">
        <f>C42*2.25</f>
        <v>0</v>
      </c>
      <c r="F42" s="39" t="s">
        <v>78</v>
      </c>
      <c r="G42" s="155"/>
      <c r="H42" s="156"/>
      <c r="I42" s="156"/>
      <c r="J42" s="157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5" t="s">
        <v>80</v>
      </c>
      <c r="C43" s="11"/>
      <c r="D43" s="12"/>
      <c r="F43" s="59" t="s">
        <v>81</v>
      </c>
      <c r="G43" s="106" t="s">
        <v>82</v>
      </c>
      <c r="H43" s="147" t="s">
        <v>13</v>
      </c>
      <c r="I43" s="148"/>
      <c r="J43" s="149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126"/>
      <c r="B44" s="27" t="s">
        <v>65</v>
      </c>
      <c r="C44" s="10"/>
      <c r="D44" s="12">
        <f>C44*120</f>
        <v>0</v>
      </c>
      <c r="F44" s="37"/>
      <c r="G44" s="75"/>
      <c r="H44" s="150"/>
      <c r="I44" s="150"/>
      <c r="J44" s="150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6"/>
      <c r="B45" s="27" t="s">
        <v>67</v>
      </c>
      <c r="C45" s="33"/>
      <c r="D45" s="12">
        <f>C45*84</f>
        <v>0</v>
      </c>
      <c r="F45" s="37"/>
      <c r="G45" s="75"/>
      <c r="H45" s="150"/>
      <c r="I45" s="150"/>
      <c r="J45" s="150"/>
      <c r="K45" s="21"/>
      <c r="P45" s="4"/>
      <c r="Q45" s="4"/>
      <c r="R45" s="5"/>
    </row>
    <row r="46" spans="1:18" ht="15.75" x14ac:dyDescent="0.25">
      <c r="A46" s="126"/>
      <c r="B46" s="49" t="s">
        <v>69</v>
      </c>
      <c r="C46" s="80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7"/>
      <c r="B47" s="27"/>
      <c r="C47" s="11"/>
      <c r="D47" s="12"/>
      <c r="F47" s="59"/>
      <c r="G47" s="59"/>
      <c r="H47" s="128"/>
      <c r="I47" s="129"/>
      <c r="J47" s="130"/>
      <c r="K47" s="21"/>
      <c r="P47" s="4"/>
      <c r="Q47" s="4"/>
      <c r="R47" s="5"/>
    </row>
    <row r="48" spans="1:18" ht="15" customHeight="1" x14ac:dyDescent="0.25">
      <c r="A48" s="125" t="s">
        <v>32</v>
      </c>
      <c r="B48" s="27" t="s">
        <v>65</v>
      </c>
      <c r="C48" s="10"/>
      <c r="D48" s="12">
        <f>C48*78</f>
        <v>0</v>
      </c>
      <c r="F48" s="59"/>
      <c r="G48" s="59"/>
      <c r="H48" s="128"/>
      <c r="I48" s="129"/>
      <c r="J48" s="130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126"/>
      <c r="B49" s="29" t="s">
        <v>67</v>
      </c>
      <c r="C49" s="33"/>
      <c r="D49" s="12">
        <f>C49*42</f>
        <v>0</v>
      </c>
      <c r="F49" s="131" t="s">
        <v>85</v>
      </c>
      <c r="G49" s="133">
        <f>H34+H35+H36+H37+H38+H39+H40+H41+G42+H44+H45+H46</f>
        <v>0</v>
      </c>
      <c r="H49" s="134"/>
      <c r="I49" s="134"/>
      <c r="J49" s="135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6"/>
      <c r="B50" s="32" t="s">
        <v>69</v>
      </c>
      <c r="C50" s="11"/>
      <c r="D50" s="12">
        <f>C50*1.5</f>
        <v>0</v>
      </c>
      <c r="F50" s="132"/>
      <c r="G50" s="136"/>
      <c r="H50" s="137"/>
      <c r="I50" s="137"/>
      <c r="J50" s="138"/>
      <c r="O50" t="s">
        <v>112</v>
      </c>
      <c r="P50" s="4">
        <v>1204</v>
      </c>
      <c r="Q50" s="4"/>
      <c r="R50" s="5"/>
    </row>
    <row r="51" spans="1:18" ht="15" customHeight="1" x14ac:dyDescent="0.25">
      <c r="A51" s="126"/>
      <c r="B51" s="27"/>
      <c r="C51" s="10"/>
      <c r="D51" s="31"/>
      <c r="F51" s="139" t="s">
        <v>113</v>
      </c>
      <c r="G51" s="141">
        <f>G49-H29</f>
        <v>0</v>
      </c>
      <c r="H51" s="142"/>
      <c r="I51" s="142"/>
      <c r="J51" s="143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6"/>
      <c r="B52" s="29"/>
      <c r="C52" s="33"/>
      <c r="D52" s="45"/>
      <c r="F52" s="140"/>
      <c r="G52" s="144"/>
      <c r="H52" s="145"/>
      <c r="I52" s="145"/>
      <c r="J52" s="14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7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11" t="s">
        <v>89</v>
      </c>
      <c r="B54" s="112"/>
      <c r="C54" s="113"/>
      <c r="D54" s="11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14"/>
      <c r="B55" s="115"/>
      <c r="C55" s="116"/>
      <c r="D55" s="11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119" t="s">
        <v>90</v>
      </c>
      <c r="B58" s="120"/>
      <c r="C58" s="120"/>
      <c r="D58" s="121"/>
      <c r="F58" s="119" t="s">
        <v>91</v>
      </c>
      <c r="G58" s="120"/>
      <c r="H58" s="120"/>
      <c r="I58" s="120"/>
      <c r="J58" s="121"/>
    </row>
    <row r="59" spans="1:18" x14ac:dyDescent="0.25">
      <c r="A59" s="122"/>
      <c r="B59" s="123"/>
      <c r="C59" s="123"/>
      <c r="D59" s="124"/>
      <c r="F59" s="122"/>
      <c r="G59" s="123"/>
      <c r="H59" s="123"/>
      <c r="I59" s="123"/>
      <c r="J59" s="12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53</vt:i4>
      </vt:variant>
      <vt:variant>
        <vt:lpstr>Named Ranges</vt:lpstr>
      </vt:variant>
      <vt:variant>
        <vt:i4>52</vt:i4>
      </vt:variant>
    </vt:vector>
  </HeadingPairs>
  <TitlesOfParts>
    <vt:vector size="105" baseType="lpstr">
      <vt:lpstr>(JUNE 2026)</vt:lpstr>
      <vt:lpstr>(01)</vt:lpstr>
      <vt:lpstr>06,01 R1</vt:lpstr>
      <vt:lpstr>06,01 R2</vt:lpstr>
      <vt:lpstr>06,01 R3</vt:lpstr>
      <vt:lpstr>(2)</vt:lpstr>
      <vt:lpstr>06,02 R1 </vt:lpstr>
      <vt:lpstr>06,02 R2 </vt:lpstr>
      <vt:lpstr>06,02 R3</vt:lpstr>
      <vt:lpstr>(3)</vt:lpstr>
      <vt:lpstr>06,03 R1 </vt:lpstr>
      <vt:lpstr>06,03 R2 NO TRIP </vt:lpstr>
      <vt:lpstr>06,03 R3 NO TRIP</vt:lpstr>
      <vt:lpstr>(4)</vt:lpstr>
      <vt:lpstr>06,04 R1 </vt:lpstr>
      <vt:lpstr>06,04 R2 </vt:lpstr>
      <vt:lpstr>06,04 R3  </vt:lpstr>
      <vt:lpstr>(5)</vt:lpstr>
      <vt:lpstr>06,05 R1 NO TRIP</vt:lpstr>
      <vt:lpstr>06,05 R2 </vt:lpstr>
      <vt:lpstr>06,05 R3  </vt:lpstr>
      <vt:lpstr>(6)</vt:lpstr>
      <vt:lpstr>06,06 R1 COLLECTION</vt:lpstr>
      <vt:lpstr>06,06 R2 NO TRIP</vt:lpstr>
      <vt:lpstr>06,06 R3 NO TRIP </vt:lpstr>
      <vt:lpstr>(8)</vt:lpstr>
      <vt:lpstr>06,08 R1 NO TRIP</vt:lpstr>
      <vt:lpstr>06,08 R2</vt:lpstr>
      <vt:lpstr>06,08 R3</vt:lpstr>
      <vt:lpstr>(9)</vt:lpstr>
      <vt:lpstr>06,09 R1</vt:lpstr>
      <vt:lpstr>06,09 R2 </vt:lpstr>
      <vt:lpstr>06,09 R3 </vt:lpstr>
      <vt:lpstr>(10)</vt:lpstr>
      <vt:lpstr>06,10 R1 </vt:lpstr>
      <vt:lpstr>06,10 R2  </vt:lpstr>
      <vt:lpstr>06,10 R3 </vt:lpstr>
      <vt:lpstr>(11)</vt:lpstr>
      <vt:lpstr>06,11 R1 </vt:lpstr>
      <vt:lpstr>06,11 R2 </vt:lpstr>
      <vt:lpstr>06,11 R3</vt:lpstr>
      <vt:lpstr>(12)</vt:lpstr>
      <vt:lpstr>06,12 R1  </vt:lpstr>
      <vt:lpstr>06,12 R2  </vt:lpstr>
      <vt:lpstr>06,12 R3 </vt:lpstr>
      <vt:lpstr>(13)</vt:lpstr>
      <vt:lpstr>06,13 R1 </vt:lpstr>
      <vt:lpstr>06,13 R2 </vt:lpstr>
      <vt:lpstr>06,13 R3 </vt:lpstr>
      <vt:lpstr>(15)</vt:lpstr>
      <vt:lpstr>06,15 R1</vt:lpstr>
      <vt:lpstr>06,15 R2</vt:lpstr>
      <vt:lpstr>06,15 R3</vt:lpstr>
      <vt:lpstr>'(01)'!Print_Area</vt:lpstr>
      <vt:lpstr>'(10)'!Print_Area</vt:lpstr>
      <vt:lpstr>'(11)'!Print_Area</vt:lpstr>
      <vt:lpstr>'(12)'!Print_Area</vt:lpstr>
      <vt:lpstr>'(13)'!Print_Area</vt:lpstr>
      <vt:lpstr>'(15)'!Print_Area</vt:lpstr>
      <vt:lpstr>'(2)'!Print_Area</vt:lpstr>
      <vt:lpstr>'(3)'!Print_Area</vt:lpstr>
      <vt:lpstr>'(4)'!Print_Area</vt:lpstr>
      <vt:lpstr>'(5)'!Print_Area</vt:lpstr>
      <vt:lpstr>'(6)'!Print_Area</vt:lpstr>
      <vt:lpstr>'(8)'!Print_Area</vt:lpstr>
      <vt:lpstr>'(9)'!Print_Area</vt:lpstr>
      <vt:lpstr>'06,01 R1'!Print_Area</vt:lpstr>
      <vt:lpstr>'06,01 R2'!Print_Area</vt:lpstr>
      <vt:lpstr>'06,01 R3'!Print_Area</vt:lpstr>
      <vt:lpstr>'06,02 R1 '!Print_Area</vt:lpstr>
      <vt:lpstr>'06,02 R2 '!Print_Area</vt:lpstr>
      <vt:lpstr>'06,02 R3'!Print_Area</vt:lpstr>
      <vt:lpstr>'06,03 R1 '!Print_Area</vt:lpstr>
      <vt:lpstr>'06,03 R2 NO TRIP '!Print_Area</vt:lpstr>
      <vt:lpstr>'06,03 R3 NO TRIP'!Print_Area</vt:lpstr>
      <vt:lpstr>'06,04 R1 '!Print_Area</vt:lpstr>
      <vt:lpstr>'06,04 R2 '!Print_Area</vt:lpstr>
      <vt:lpstr>'06,04 R3  '!Print_Area</vt:lpstr>
      <vt:lpstr>'06,05 R1 NO TRIP'!Print_Area</vt:lpstr>
      <vt:lpstr>'06,05 R2 '!Print_Area</vt:lpstr>
      <vt:lpstr>'06,05 R3  '!Print_Area</vt:lpstr>
      <vt:lpstr>'06,06 R1 COLLECTION'!Print_Area</vt:lpstr>
      <vt:lpstr>'06,06 R2 NO TRIP'!Print_Area</vt:lpstr>
      <vt:lpstr>'06,06 R3 NO TRIP '!Print_Area</vt:lpstr>
      <vt:lpstr>'06,08 R1 NO TRIP'!Print_Area</vt:lpstr>
      <vt:lpstr>'06,08 R2'!Print_Area</vt:lpstr>
      <vt:lpstr>'06,08 R3'!Print_Area</vt:lpstr>
      <vt:lpstr>'06,09 R1'!Print_Area</vt:lpstr>
      <vt:lpstr>'06,09 R2 '!Print_Area</vt:lpstr>
      <vt:lpstr>'06,09 R3 '!Print_Area</vt:lpstr>
      <vt:lpstr>'06,10 R1 '!Print_Area</vt:lpstr>
      <vt:lpstr>'06,10 R2  '!Print_Area</vt:lpstr>
      <vt:lpstr>'06,10 R3 '!Print_Area</vt:lpstr>
      <vt:lpstr>'06,11 R1 '!Print_Area</vt:lpstr>
      <vt:lpstr>'06,11 R2 '!Print_Area</vt:lpstr>
      <vt:lpstr>'06,11 R3'!Print_Area</vt:lpstr>
      <vt:lpstr>'06,12 R1  '!Print_Area</vt:lpstr>
      <vt:lpstr>'06,12 R2  '!Print_Area</vt:lpstr>
      <vt:lpstr>'06,12 R3 '!Print_Area</vt:lpstr>
      <vt:lpstr>'06,13 R1 '!Print_Area</vt:lpstr>
      <vt:lpstr>'06,13 R2 '!Print_Area</vt:lpstr>
      <vt:lpstr>'06,13 R3 '!Print_Area</vt:lpstr>
      <vt:lpstr>'06,15 R1'!Print_Area</vt:lpstr>
      <vt:lpstr>'06,15 R2'!Print_Area</vt:lpstr>
      <vt:lpstr>'06,15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2026-06-09T00:02:01Z</cp:lastPrinted>
  <dcterms:created xsi:type="dcterms:W3CDTF">2024-09-01T23:36:50Z</dcterms:created>
  <dcterms:modified xsi:type="dcterms:W3CDTF">2026-06-09T00:02:38Z</dcterms:modified>
</cp:coreProperties>
</file>