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A44F6882-BDC0-45B2-9E5A-B39C9620FBDD}" xr6:coauthVersionLast="45" xr6:coauthVersionMax="47" xr10:uidLastSave="{00000000-0000-0000-0000-000000000000}"/>
  <bookViews>
    <workbookView xWindow="-120" yWindow="-120" windowWidth="29040" windowHeight="15840" firstSheet="25" activeTab="34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" sheetId="2147" r:id="rId45"/>
    <sheet name="(13)" sheetId="2148" r:id="rId46"/>
    <sheet name="06,13 R1 " sheetId="2149" r:id="rId47"/>
    <sheet name="06,13 R2 " sheetId="2150" r:id="rId48"/>
    <sheet name="06,13 R3 " sheetId="2151" r:id="rId49"/>
    <sheet name="(15)" sheetId="2152" r:id="rId50"/>
    <sheet name="06,15 R1" sheetId="2153" r:id="rId51"/>
    <sheet name="06,15 R2" sheetId="2154" r:id="rId52"/>
    <sheet name="06,15 R3" sheetId="2155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'!$A$1:$J$60</definedName>
    <definedName name="_xlnm.Print_Area" localSheetId="46">'06,13 R1 '!$A$1:$J$60</definedName>
    <definedName name="_xlnm.Print_Area" localSheetId="47">'06,13 R2 '!$A$1:$J$60</definedName>
    <definedName name="_xlnm.Print_Area" localSheetId="48">'06,13 R3 '!$A$1:$J$60</definedName>
    <definedName name="_xlnm.Print_Area" localSheetId="50">'06,15 R1'!$A$1:$J$60</definedName>
    <definedName name="_xlnm.Print_Area" localSheetId="51">'06,15 R2'!$A$1:$J$60</definedName>
    <definedName name="_xlnm.Print_Area" localSheetId="52">'06,15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G49" i="2155" s="1"/>
  <c r="D34" i="2155"/>
  <c r="D54" i="2155" s="1"/>
  <c r="H14" i="2155" s="1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G49" i="2154" s="1"/>
  <c r="D35" i="2154"/>
  <c r="D54" i="2154" s="1"/>
  <c r="H14" i="2154" s="1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G49" i="2153" s="1"/>
  <c r="D36" i="2153"/>
  <c r="D54" i="2153" s="1"/>
  <c r="H14" i="2153" s="1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G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D54" i="2151" s="1"/>
  <c r="H14" i="2151" s="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G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D35" i="2150"/>
  <c r="R34" i="2150"/>
  <c r="L12" i="2150" s="1"/>
  <c r="D12" i="2150" s="1"/>
  <c r="H34" i="2150"/>
  <c r="D34" i="2150"/>
  <c r="D54" i="2150" s="1"/>
  <c r="H14" i="2150" s="1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G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D54" i="2149" s="1"/>
  <c r="H14" i="2149" s="1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G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D54" i="2146" s="1"/>
  <c r="H14" i="2146" s="1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G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D54" i="2145" s="1"/>
  <c r="H14" i="2145" s="1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D54" i="2143" s="1"/>
  <c r="H14" i="2143" s="1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G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D54" i="2142" s="1"/>
  <c r="H14" i="2142" s="1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29" i="2155" l="1"/>
  <c r="H13" i="2155" s="1"/>
  <c r="H15" i="2155" s="1"/>
  <c r="H29" i="2155" s="1"/>
  <c r="G51" i="2155"/>
  <c r="D29" i="2154"/>
  <c r="H13" i="2154" s="1"/>
  <c r="H15" i="2154" s="1"/>
  <c r="H29" i="2154" s="1"/>
  <c r="G51" i="2154" s="1"/>
  <c r="D29" i="2153"/>
  <c r="H13" i="2153" s="1"/>
  <c r="H15" i="2153" s="1"/>
  <c r="H29" i="2153" s="1"/>
  <c r="G51" i="2153" s="1"/>
  <c r="G51" i="2152"/>
  <c r="D29" i="2151"/>
  <c r="H13" i="2151" s="1"/>
  <c r="H15" i="2151" s="1"/>
  <c r="H29" i="2151" s="1"/>
  <c r="G51" i="2151"/>
  <c r="G51" i="2150"/>
  <c r="D29" i="2150"/>
  <c r="H13" i="2150" s="1"/>
  <c r="H15" i="2150" s="1"/>
  <c r="H29" i="2150" s="1"/>
  <c r="D29" i="2149"/>
  <c r="H13" i="2149" s="1"/>
  <c r="H15" i="2149" s="1"/>
  <c r="H29" i="2149" s="1"/>
  <c r="G51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H15" i="2146" s="1"/>
  <c r="H29" i="2146" s="1"/>
  <c r="G51" i="2146" s="1"/>
  <c r="D29" i="2145"/>
  <c r="H13" i="2145" s="1"/>
  <c r="H15" i="2145" s="1"/>
  <c r="H29" i="2145" s="1"/>
  <c r="G51" i="2145" s="1"/>
  <c r="D29" i="2144"/>
  <c r="H13" i="2144" s="1"/>
  <c r="H15" i="2144" s="1"/>
  <c r="H29" i="2144" s="1"/>
  <c r="G51" i="2144" s="1"/>
  <c r="D29" i="2143"/>
  <c r="H13" i="2143" s="1"/>
  <c r="H15" i="2143" s="1"/>
  <c r="H29" i="2143" s="1"/>
  <c r="G51" i="2143"/>
  <c r="D29" i="2142"/>
  <c r="H13" i="2142" s="1"/>
  <c r="H15" i="2142" s="1"/>
  <c r="H29" i="2142" s="1"/>
  <c r="G51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D54" i="2137" l="1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<sst xmlns="http://schemas.openxmlformats.org/spreadsheetml/2006/main" count="7022" uniqueCount="183">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</sst>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40E566-44A4-488C-A4C3-E3FA838E6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89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87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46174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570</v>
      </c>
      <c r="D6" s="13">
        <f t="shared" ref="D6:D28" si="1">C6*L6</f>
        <v>433770</v>
      </c>
      <c r="F6" s="128" t="s">
        <v>16</v>
      </c>
      <c r="G6" s="130" t="s">
        <v>142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10</v>
      </c>
      <c r="D7" s="13">
        <f t="shared" si="1"/>
        <v>7810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99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13</v>
      </c>
      <c r="D9" s="13">
        <f t="shared" si="1"/>
        <v>9529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10</v>
      </c>
      <c r="D10" s="13">
        <f t="shared" si="1"/>
        <v>10320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10</v>
      </c>
      <c r="D12" s="48">
        <f t="shared" si="1"/>
        <v>9920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6</v>
      </c>
      <c r="D13" s="48">
        <f t="shared" si="1"/>
        <v>1842</v>
      </c>
      <c r="F13" s="150" t="s">
        <v>36</v>
      </c>
      <c r="G13" s="151"/>
      <c r="H13" s="152">
        <f>D29</f>
        <v>475222.5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12</v>
      </c>
      <c r="D14" s="31">
        <f t="shared" si="1"/>
        <v>132</v>
      </c>
      <c r="F14" s="155" t="s">
        <v>38</v>
      </c>
      <c r="G14" s="156"/>
      <c r="H14" s="157">
        <f>D54</f>
        <v>54630.75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420591.75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4">
        <v>2760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46"/>
      <c r="I23" s="247"/>
      <c r="J23" s="247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89">
        <v>68780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4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475222.5</v>
      </c>
      <c r="F29" s="173" t="s">
        <v>54</v>
      </c>
      <c r="G29" s="174"/>
      <c r="H29" s="177">
        <f>H15-H16-H17-H18-H19-H20-H22-H23-H24+H26+H27+H28</f>
        <v>486611.75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05">
        <f t="shared" ref="H34:H39" si="2">F34*G34</f>
        <v>116000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05">
        <f t="shared" si="2"/>
        <v>4500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05">
        <f t="shared" si="2"/>
        <v>200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5">
        <v>80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4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89">
        <v>317788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89">
        <v>13533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107" t="s">
        <v>135</v>
      </c>
      <c r="H46" s="189">
        <v>33800</v>
      </c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26</v>
      </c>
      <c r="D49" s="12">
        <f>C49*42</f>
        <v>1092</v>
      </c>
      <c r="F49" s="230" t="s">
        <v>85</v>
      </c>
      <c r="G49" s="177">
        <f>H34+H35+H36+H37+H38+H39+H40+H41+G42+H44+H45+H46</f>
        <v>485901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19</v>
      </c>
      <c r="D50" s="12">
        <f>C50*1.5</f>
        <v>28.5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138</v>
      </c>
      <c r="G51" s="240">
        <f>G49-H29</f>
        <v>-710.75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46174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275</v>
      </c>
      <c r="D6" s="13">
        <f t="shared" ref="D6:D28" si="1">C6*L6</f>
        <v>209275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6</v>
      </c>
      <c r="D7" s="13">
        <f t="shared" si="1"/>
        <v>4686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40</v>
      </c>
      <c r="D9" s="13">
        <f t="shared" si="1"/>
        <v>29320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1</v>
      </c>
      <c r="D11" s="13">
        <f t="shared" si="1"/>
        <v>1170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992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3</v>
      </c>
      <c r="D13" s="48">
        <f t="shared" si="1"/>
        <v>921</v>
      </c>
      <c r="F13" s="150" t="s">
        <v>36</v>
      </c>
      <c r="G13" s="151"/>
      <c r="H13" s="152">
        <f>D29</f>
        <v>247146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12</v>
      </c>
      <c r="D14" s="31">
        <f t="shared" si="1"/>
        <v>132</v>
      </c>
      <c r="F14" s="155" t="s">
        <v>38</v>
      </c>
      <c r="G14" s="156"/>
      <c r="H14" s="157">
        <f>D54</f>
        <v>36182.25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210963.75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4">
        <v>696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247146</v>
      </c>
      <c r="F29" s="173" t="s">
        <v>54</v>
      </c>
      <c r="G29" s="174"/>
      <c r="H29" s="177">
        <f>H15-H16-H17-H18-H19-H20-H22-H23-H24+H26+H27</f>
        <v>210267.75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05">
        <f>F34*G34</f>
        <v>186000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05">
        <f>F35*G35</f>
        <v>23500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05">
        <f t="shared" si="2"/>
        <v>300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5">
        <v>242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4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2</v>
      </c>
      <c r="D44" s="12">
        <f>C44*120</f>
        <v>240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210092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>
        <v>3</v>
      </c>
      <c r="D50" s="12">
        <f>C50*1.5</f>
        <v>4.5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137</v>
      </c>
      <c r="G51" s="240">
        <f>G49-H29</f>
        <v>-175.75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46174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307</v>
      </c>
      <c r="D6" s="13">
        <f t="shared" ref="D6:D28" si="1">C6*L6</f>
        <v>233627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6</v>
      </c>
      <c r="D7" s="13">
        <f t="shared" si="1"/>
        <v>4686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25</v>
      </c>
      <c r="D9" s="13">
        <f t="shared" si="1"/>
        <v>18325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1032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2</v>
      </c>
      <c r="D11" s="13">
        <f t="shared" si="1"/>
        <v>2340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3</v>
      </c>
      <c r="D12" s="48">
        <f t="shared" si="1"/>
        <v>2976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10</v>
      </c>
      <c r="D13" s="48">
        <f t="shared" si="1"/>
        <v>3070</v>
      </c>
      <c r="F13" s="150" t="s">
        <v>36</v>
      </c>
      <c r="G13" s="151"/>
      <c r="H13" s="152">
        <f>D29</f>
        <v>266056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58272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207784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f>588+504</f>
        <v>1092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266056</v>
      </c>
      <c r="F29" s="173" t="s">
        <v>54</v>
      </c>
      <c r="G29" s="174"/>
      <c r="H29" s="177">
        <f>H15-H16-H17-H18-H19-H20-H22-H23-H24+H26+H27</f>
        <v>206692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05">
        <f>F34*G34</f>
        <v>73000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05">
        <f>F35*G35</f>
        <v>55500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5">
        <f t="shared" ref="H36:H39" si="2">F36*G36</f>
        <v>200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05">
        <f t="shared" si="2"/>
        <v>12100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05">
        <f t="shared" si="2"/>
        <v>3050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5">
        <v>401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4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89">
        <v>55389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 t="s">
        <v>140</v>
      </c>
      <c r="G45" s="75"/>
      <c r="H45" s="189">
        <v>1032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>
        <v>1</v>
      </c>
      <c r="D46" s="12">
        <f>C46*1.5</f>
        <v>1.5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2</v>
      </c>
      <c r="D49" s="12">
        <f>C49*42</f>
        <v>84</v>
      </c>
      <c r="F49" s="230" t="s">
        <v>85</v>
      </c>
      <c r="G49" s="177">
        <f>H34+H35+H36+H37+H38+H39+H40+H41+G42+H44+H45+H46</f>
        <v>200692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13</v>
      </c>
      <c r="D50" s="12">
        <f>C50*1.5</f>
        <v>19.5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141</v>
      </c>
      <c r="G51" s="240">
        <f>G49-H29</f>
        <v>-6000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8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46175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304</v>
      </c>
      <c r="D6" s="13">
        <f t="shared" ref="D6:D28" si="1">C6*L6</f>
        <v>231344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</v>
      </c>
      <c r="D7" s="13">
        <f t="shared" si="1"/>
        <v>1562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11</v>
      </c>
      <c r="D9" s="13">
        <f t="shared" si="1"/>
        <v>8063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1032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242753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12</v>
      </c>
      <c r="D14" s="31">
        <f t="shared" si="1"/>
        <v>132</v>
      </c>
      <c r="F14" s="155" t="s">
        <v>38</v>
      </c>
      <c r="G14" s="156"/>
      <c r="H14" s="157">
        <f>D54</f>
        <v>35565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>
        <v>1</v>
      </c>
      <c r="D15" s="31">
        <f t="shared" si="1"/>
        <v>620</v>
      </c>
      <c r="F15" s="160" t="s">
        <v>39</v>
      </c>
      <c r="G15" s="151"/>
      <c r="H15" s="161">
        <f>H13-H14</f>
        <v>207188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42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242753</v>
      </c>
      <c r="F29" s="173" t="s">
        <v>54</v>
      </c>
      <c r="G29" s="174"/>
      <c r="H29" s="177">
        <f>H15-H16-H17-H18-H19-H20-H22-H23-H24+H26+H27+H28</f>
        <v>207146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05">
        <f t="shared" ref="H34:H39" si="2">F34*G34</f>
        <v>114000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05">
        <f t="shared" si="2"/>
        <v>22000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05">
        <f t="shared" si="2"/>
        <v>400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05">
        <f t="shared" si="2"/>
        <v>1900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05">
        <f t="shared" si="2"/>
        <v>150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5">
        <f t="shared" si="2"/>
        <v>40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>
        <v>124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 t="s">
        <v>140</v>
      </c>
      <c r="G44" s="62"/>
      <c r="H44" s="189">
        <v>55000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89">
        <v>13650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>
        <v>1</v>
      </c>
      <c r="D46" s="12">
        <f>C46*1.5</f>
        <v>1.5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207264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6</v>
      </c>
      <c r="D50" s="12">
        <f>C50*1.5</f>
        <v>9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144</v>
      </c>
      <c r="G51" s="252">
        <f>G49-H29</f>
        <v>118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46175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330</v>
      </c>
      <c r="D6" s="13">
        <f t="shared" ref="D6:D28" si="1">C6*L6</f>
        <v>251130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</v>
      </c>
      <c r="D9" s="13">
        <f t="shared" si="1"/>
        <v>733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1032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13</v>
      </c>
      <c r="D13" s="48">
        <f t="shared" si="1"/>
        <v>3991</v>
      </c>
      <c r="F13" s="150" t="s">
        <v>36</v>
      </c>
      <c r="G13" s="151"/>
      <c r="H13" s="152">
        <f>D29</f>
        <v>256886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37893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218993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1944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256886</v>
      </c>
      <c r="F29" s="173" t="s">
        <v>54</v>
      </c>
      <c r="G29" s="174"/>
      <c r="H29" s="177">
        <f>H15-H16-H17-H18-H19-H20-H22-H23-H24+H26+H27</f>
        <v>217049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05">
        <f>F34*G34</f>
        <v>102000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05">
        <f>F35*G35</f>
        <v>114500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5">
        <f t="shared" ref="H36:H39" si="2">F36*G36</f>
        <v>200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05">
        <f t="shared" si="2"/>
        <v>100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>
        <v>14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11</v>
      </c>
      <c r="D49" s="12">
        <f>C49*42</f>
        <v>462</v>
      </c>
      <c r="F49" s="230" t="s">
        <v>85</v>
      </c>
      <c r="G49" s="177">
        <f>H34+H35+H36+H37+H38+H39+H40+H41+G42+H44+H45+H46</f>
        <v>216834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>
        <v>2</v>
      </c>
      <c r="D50" s="12">
        <f>C50*1.5</f>
        <v>3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141</v>
      </c>
      <c r="G51" s="240">
        <f>G49-H29</f>
        <v>-215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46175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8">
        <v>346</v>
      </c>
      <c r="D6" s="13">
        <f t="shared" ref="D6:D28" si="1">C6*L6</f>
        <v>263306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8">
        <v>20</v>
      </c>
      <c r="D7" s="13">
        <f t="shared" si="1"/>
        <v>15620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8">
        <v>1</v>
      </c>
      <c r="D8" s="13">
        <f t="shared" si="1"/>
        <v>1093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8">
        <v>74</v>
      </c>
      <c r="D9" s="13">
        <f t="shared" si="1"/>
        <v>54242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8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8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8">
        <f>10+10+2</f>
        <v>22</v>
      </c>
      <c r="D12" s="48">
        <f t="shared" si="1"/>
        <v>21824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8">
        <v>1</v>
      </c>
      <c r="D13" s="48">
        <f t="shared" si="1"/>
        <v>307</v>
      </c>
      <c r="F13" s="150" t="s">
        <v>36</v>
      </c>
      <c r="G13" s="151"/>
      <c r="H13" s="152">
        <f>D29</f>
        <v>403944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8"/>
      <c r="D14" s="31">
        <f t="shared" si="1"/>
        <v>0</v>
      </c>
      <c r="F14" s="155" t="s">
        <v>38</v>
      </c>
      <c r="G14" s="156"/>
      <c r="H14" s="157">
        <f>D54</f>
        <v>72575.25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8">
        <f>10</f>
        <v>10</v>
      </c>
      <c r="D15" s="31">
        <f t="shared" si="1"/>
        <v>6200</v>
      </c>
      <c r="F15" s="160" t="s">
        <v>39</v>
      </c>
      <c r="G15" s="151"/>
      <c r="H15" s="161">
        <f>H13-H14</f>
        <v>331368.75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64">
        <v>918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50">
        <v>50</v>
      </c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148</v>
      </c>
      <c r="C22" s="108">
        <v>1</v>
      </c>
      <c r="D22" s="48">
        <f t="shared" si="1"/>
        <v>1102</v>
      </c>
      <c r="F22" s="76"/>
      <c r="G22" s="72"/>
      <c r="H22" s="187"/>
      <c r="I22" s="187"/>
      <c r="J22" s="187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149</v>
      </c>
      <c r="C23" s="108">
        <v>1</v>
      </c>
      <c r="D23" s="48">
        <f t="shared" si="1"/>
        <v>1204</v>
      </c>
      <c r="F23" s="77"/>
      <c r="G23" s="78"/>
      <c r="H23" s="251"/>
      <c r="I23" s="187"/>
      <c r="J23" s="187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150</v>
      </c>
      <c r="C24" s="108">
        <v>1</v>
      </c>
      <c r="D24" s="48">
        <f t="shared" si="1"/>
        <v>1582</v>
      </c>
      <c r="F24" s="38"/>
      <c r="G24" s="37"/>
      <c r="H24" s="188"/>
      <c r="I24" s="189"/>
      <c r="J24" s="189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152</v>
      </c>
      <c r="C26" s="108">
        <v>1</v>
      </c>
      <c r="D26" s="48">
        <f t="shared" si="1"/>
        <v>1277</v>
      </c>
      <c r="F26" s="64"/>
      <c r="G26" s="59"/>
      <c r="H26" s="193"/>
      <c r="I26" s="194"/>
      <c r="J26" s="195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153</v>
      </c>
      <c r="C27" s="108">
        <v>2</v>
      </c>
      <c r="D27" s="44">
        <f t="shared" si="1"/>
        <v>3334</v>
      </c>
      <c r="F27" s="25"/>
      <c r="G27" s="79"/>
      <c r="H27" s="196"/>
      <c r="I27" s="197"/>
      <c r="J27" s="198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8">
        <v>10</v>
      </c>
      <c r="D28" s="48">
        <f t="shared" si="1"/>
        <v>8110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403944</v>
      </c>
      <c r="F29" s="173" t="s">
        <v>54</v>
      </c>
      <c r="G29" s="174"/>
      <c r="H29" s="177">
        <f>H15-H16-H17-H18-H19-H20-H22-H23-H24+H26+H27</f>
        <v>330400.75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05">
        <f>F35*G35</f>
        <v>6500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05">
        <f t="shared" si="2"/>
        <v>3000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05">
        <f t="shared" si="2"/>
        <v>150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5">
        <v>38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89">
        <v>98416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89">
        <v>221673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>
        <v>10</v>
      </c>
      <c r="D46" s="12">
        <f>C46*1.5</f>
        <v>15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329777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5</v>
      </c>
      <c r="D50" s="12">
        <f>C50*1.5</f>
        <v>7.5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154</v>
      </c>
      <c r="G51" s="240">
        <f>G49-H29</f>
        <v>-623.75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46176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441</v>
      </c>
      <c r="D6" s="13">
        <f t="shared" ref="D6:D28" si="1">C6*L6</f>
        <v>335601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5</v>
      </c>
      <c r="D7" s="13">
        <f t="shared" si="1"/>
        <v>3905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>
        <v>1</v>
      </c>
      <c r="D8" s="13">
        <f t="shared" si="1"/>
        <v>1093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10</v>
      </c>
      <c r="D9" s="13">
        <f t="shared" si="1"/>
        <v>7330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1032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2</v>
      </c>
      <c r="D11" s="13">
        <f t="shared" si="1"/>
        <v>2340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2</v>
      </c>
      <c r="D12" s="48">
        <f t="shared" si="1"/>
        <v>1984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13</v>
      </c>
      <c r="D13" s="48">
        <f t="shared" si="1"/>
        <v>3991</v>
      </c>
      <c r="F13" s="150" t="s">
        <v>36</v>
      </c>
      <c r="G13" s="151"/>
      <c r="H13" s="152">
        <f>D29</f>
        <v>361570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12</v>
      </c>
      <c r="D14" s="31">
        <f t="shared" si="1"/>
        <v>132</v>
      </c>
      <c r="F14" s="155" t="s">
        <v>38</v>
      </c>
      <c r="G14" s="156"/>
      <c r="H14" s="157">
        <f>D54</f>
        <v>41899.5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>
        <v>2</v>
      </c>
      <c r="D15" s="31">
        <f t="shared" si="1"/>
        <v>1240</v>
      </c>
      <c r="F15" s="160" t="s">
        <v>39</v>
      </c>
      <c r="G15" s="151"/>
      <c r="H15" s="161">
        <f>H13-H14</f>
        <v>319670.5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4">
        <v>1944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87">
        <v>88549</v>
      </c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89">
        <v>78233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>
        <v>2</v>
      </c>
      <c r="D28" s="48">
        <f t="shared" si="1"/>
        <v>1622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361570</v>
      </c>
      <c r="F29" s="173" t="s">
        <v>54</v>
      </c>
      <c r="G29" s="174"/>
      <c r="H29" s="177">
        <f>H15-H16-H17-H18-H19-H20-H22-H23-H24+H26+H27+H28</f>
        <v>307410.5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05">
        <f t="shared" ref="H34:H39" si="2">F34*G34</f>
        <v>180000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05">
        <f t="shared" si="2"/>
        <v>1000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05">
        <f t="shared" si="2"/>
        <v>43700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05">
        <f t="shared" si="2"/>
        <v>3200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6</v>
      </c>
      <c r="D42" s="12">
        <f>C42*2.25</f>
        <v>13.5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89">
        <v>78233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7</v>
      </c>
      <c r="D49" s="12">
        <f>C49*42</f>
        <v>294</v>
      </c>
      <c r="F49" s="230" t="s">
        <v>85</v>
      </c>
      <c r="G49" s="177">
        <f>H34+H35+H36+H37+H38+H39+H40+H41+G42+H44+H45+H46</f>
        <v>306133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11</v>
      </c>
      <c r="D50" s="12">
        <f>C50*1.5</f>
        <v>16.5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158</v>
      </c>
      <c r="G51" s="240">
        <f>G49-H29</f>
        <v>-1277.5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46176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46176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46177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370</v>
      </c>
      <c r="D6" s="13">
        <f t="shared" ref="D6:D28" si="1">C6*L6</f>
        <v>281570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50</v>
      </c>
      <c r="D7" s="13">
        <f t="shared" si="1"/>
        <v>39050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>
        <v>65</v>
      </c>
      <c r="D8" s="13">
        <f t="shared" si="1"/>
        <v>71045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117</v>
      </c>
      <c r="D9" s="13">
        <f t="shared" si="1"/>
        <v>85761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26</v>
      </c>
      <c r="D12" s="48">
        <f t="shared" si="1"/>
        <v>25792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10</v>
      </c>
      <c r="D13" s="48">
        <f t="shared" si="1"/>
        <v>3070</v>
      </c>
      <c r="F13" s="150" t="s">
        <v>36</v>
      </c>
      <c r="G13" s="151"/>
      <c r="H13" s="152">
        <f>D29</f>
        <v>508853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12</v>
      </c>
      <c r="D14" s="31">
        <f t="shared" si="1"/>
        <v>132</v>
      </c>
      <c r="F14" s="155" t="s">
        <v>38</v>
      </c>
      <c r="G14" s="156"/>
      <c r="H14" s="157">
        <f>D54</f>
        <v>82236.75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426616.25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3042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187">
        <v>62272</v>
      </c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>
        <v>3</v>
      </c>
      <c r="D28" s="48">
        <f t="shared" si="1"/>
        <v>2433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508853</v>
      </c>
      <c r="F29" s="173" t="s">
        <v>54</v>
      </c>
      <c r="G29" s="174"/>
      <c r="H29" s="177">
        <f>H15-H16-H17-H18-H19-H20-H22-H23-H24+H26+H27+H28</f>
        <v>361302.25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05">
        <f t="shared" ref="H34:H39" si="2">F34*G34</f>
        <v>23000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05">
        <f t="shared" si="2"/>
        <v>3500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05">
        <f t="shared" si="2"/>
        <v>2300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05">
        <f t="shared" si="2"/>
        <v>450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5">
        <v>80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89">
        <v>321116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 t="s">
        <v>140</v>
      </c>
      <c r="G45" s="62"/>
      <c r="H45" s="189">
        <v>10122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360568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138</v>
      </c>
      <c r="G51" s="240">
        <f>G49-H29</f>
        <v>-734.25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46177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297</v>
      </c>
      <c r="D6" s="13">
        <f t="shared" ref="D6:D28" si="1">C6*L6</f>
        <v>226017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</v>
      </c>
      <c r="D7" s="13">
        <f t="shared" si="1"/>
        <v>781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23</v>
      </c>
      <c r="D9" s="13">
        <f t="shared" si="1"/>
        <v>16859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7</v>
      </c>
      <c r="D13" s="48">
        <f t="shared" si="1"/>
        <v>2149</v>
      </c>
      <c r="F13" s="150" t="s">
        <v>36</v>
      </c>
      <c r="G13" s="151"/>
      <c r="H13" s="152">
        <f>D29</f>
        <v>248406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41370.75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207035.25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64">
        <v>1896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248406</v>
      </c>
      <c r="F29" s="173" t="s">
        <v>54</v>
      </c>
      <c r="G29" s="174"/>
      <c r="H29" s="177">
        <f>H15-H16-H17-H18-H19-H20-H22-H23-H24+H26+H27</f>
        <v>205139.25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05">
        <f>F34*G34</f>
        <v>26000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05">
        <f>F35*G35</f>
        <v>52500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05">
        <f t="shared" si="2"/>
        <v>100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3</v>
      </c>
      <c r="D42" s="12">
        <f>C42*2.25</f>
        <v>6.75</v>
      </c>
      <c r="F42" s="39" t="s">
        <v>78</v>
      </c>
      <c r="G42" s="205">
        <v>85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89">
        <v>126406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>
        <v>1</v>
      </c>
      <c r="D46" s="12">
        <f>C46*1.5</f>
        <v>1.5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9</v>
      </c>
      <c r="D49" s="12">
        <f>C49*42</f>
        <v>378</v>
      </c>
      <c r="F49" s="230" t="s">
        <v>85</v>
      </c>
      <c r="G49" s="177">
        <f>H34+H35+H36+H37+H38+H39+H40+H41+G42+H44+H45+H46</f>
        <v>205091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>
        <v>1</v>
      </c>
      <c r="D50" s="12">
        <f>C50*1.5</f>
        <v>1.5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137</v>
      </c>
      <c r="G51" s="240">
        <f>G49-H29</f>
        <v>-48.25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46177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539</v>
      </c>
      <c r="D6" s="13">
        <f t="shared" ref="D6:D28" si="1">C6*L6</f>
        <v>410179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20</v>
      </c>
      <c r="D7" s="13">
        <f t="shared" si="1"/>
        <v>15620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135</v>
      </c>
      <c r="D9" s="13">
        <f t="shared" si="1"/>
        <v>98955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20</v>
      </c>
      <c r="D11" s="13">
        <f t="shared" si="1"/>
        <v>23400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20</v>
      </c>
      <c r="D12" s="48">
        <f t="shared" si="1"/>
        <v>19840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24</v>
      </c>
      <c r="D13" s="48">
        <f t="shared" si="1"/>
        <v>7368</v>
      </c>
      <c r="F13" s="150" t="s">
        <v>36</v>
      </c>
      <c r="G13" s="151"/>
      <c r="H13" s="152">
        <f>D29</f>
        <v>582314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89697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492617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64">
        <f>924+306</f>
        <v>1230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148</v>
      </c>
      <c r="C27" s="10">
        <v>1</v>
      </c>
      <c r="D27" s="44">
        <f t="shared" si="1"/>
        <v>1102</v>
      </c>
      <c r="F27" s="25"/>
      <c r="G27" s="79"/>
      <c r="H27" s="196"/>
      <c r="I27" s="197"/>
      <c r="J27" s="198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582314</v>
      </c>
      <c r="F29" s="173" t="s">
        <v>54</v>
      </c>
      <c r="G29" s="174"/>
      <c r="H29" s="177">
        <f>H15-H16-H17-H18-H19-H20-H22-H23-H24+H26+H27</f>
        <v>491387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05">
        <f>F34*G34</f>
        <v>24000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05">
        <f>F35*G35</f>
        <v>2000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05">
        <f t="shared" ref="H36:H39" si="2">F36*G36</f>
        <v>200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05">
        <f t="shared" si="2"/>
        <v>5900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5">
        <v>30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89">
        <v>30346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89">
        <v>328788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89">
        <v>99736</v>
      </c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24</v>
      </c>
      <c r="D49" s="12">
        <f>C49*42</f>
        <v>1008</v>
      </c>
      <c r="F49" s="230" t="s">
        <v>85</v>
      </c>
      <c r="G49" s="177">
        <f>H34+H35+H36+H37+H38+H39+H40+H41+G42+H44+H45+H46</f>
        <v>491050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14</v>
      </c>
      <c r="D50" s="12">
        <f>C50*1.5</f>
        <v>21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163</v>
      </c>
      <c r="G51" s="240">
        <f>G49-H29</f>
        <v>-337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46178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46178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384</v>
      </c>
      <c r="D6" s="13">
        <f t="shared" ref="D6:D28" si="1">C6*L6</f>
        <v>292224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4</v>
      </c>
      <c r="D7" s="13">
        <f t="shared" si="1"/>
        <v>3124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6</v>
      </c>
      <c r="D9" s="13">
        <f t="shared" si="1"/>
        <v>4398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9</v>
      </c>
      <c r="D13" s="48">
        <f t="shared" si="1"/>
        <v>2763</v>
      </c>
      <c r="F13" s="150" t="s">
        <v>36</v>
      </c>
      <c r="G13" s="151"/>
      <c r="H13" s="152">
        <f>D29</f>
        <v>302509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39733.5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262775.5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1296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302509</v>
      </c>
      <c r="F29" s="173" t="s">
        <v>54</v>
      </c>
      <c r="G29" s="174"/>
      <c r="H29" s="177">
        <f>H15-H16-H17-H18-H19-H20-H22-H23-H24+H26+H27</f>
        <v>261479.5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205">
        <f>F34*G34</f>
        <v>90000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205">
        <f>F35*G35</f>
        <v>25500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05">
        <f t="shared" si="2"/>
        <v>100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5">
        <f t="shared" si="2"/>
        <v>40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>
        <v>77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89">
        <v>145825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4</v>
      </c>
      <c r="D49" s="12">
        <f>C49*42</f>
        <v>168</v>
      </c>
      <c r="F49" s="230" t="s">
        <v>85</v>
      </c>
      <c r="G49" s="177">
        <f>H34+H35+H36+H37+H38+H39+H40+H41+G42+H44+H45+H46</f>
        <v>261542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>
        <v>5</v>
      </c>
      <c r="D50" s="12">
        <f>C50*1.5</f>
        <v>7.5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62.5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46178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389</v>
      </c>
      <c r="D6" s="13">
        <f t="shared" ref="D6:D28" si="1">C6*L6</f>
        <v>296029</v>
      </c>
      <c r="F6" s="128" t="s">
        <v>16</v>
      </c>
      <c r="G6" s="130" t="s">
        <v>170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20</v>
      </c>
      <c r="D7" s="13">
        <f t="shared" si="1"/>
        <v>15620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46</v>
      </c>
      <c r="D9" s="13">
        <f t="shared" si="1"/>
        <v>33718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2</v>
      </c>
      <c r="D10" s="13">
        <f t="shared" si="1"/>
        <v>2064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2</v>
      </c>
      <c r="D11" s="13">
        <f t="shared" si="1"/>
        <v>2340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4+1</f>
        <v>5</v>
      </c>
      <c r="D12" s="48">
        <f t="shared" si="1"/>
        <v>4960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8</v>
      </c>
      <c r="D13" s="48">
        <f t="shared" si="1"/>
        <v>2456</v>
      </c>
      <c r="F13" s="150" t="s">
        <v>36</v>
      </c>
      <c r="G13" s="151"/>
      <c r="H13" s="152">
        <f>D29</f>
        <v>357319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12</v>
      </c>
      <c r="D14" s="31">
        <f t="shared" si="1"/>
        <v>132</v>
      </c>
      <c r="F14" s="155" t="s">
        <v>38</v>
      </c>
      <c r="G14" s="156"/>
      <c r="H14" s="157">
        <f>D54</f>
        <v>52380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304939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1092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357319</v>
      </c>
      <c r="F29" s="173" t="s">
        <v>54</v>
      </c>
      <c r="G29" s="174"/>
      <c r="H29" s="177">
        <f>H15-H16-H17-H18-H19-H20-H22-H23-H24+H26+H27</f>
        <v>303847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205">
        <f>F34*G34</f>
        <v>103000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05">
        <f>F35*G35</f>
        <v>4500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5">
        <f t="shared" ref="H36:H39" si="2">F36*G36</f>
        <v>200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205">
        <f t="shared" si="2"/>
        <v>6300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8</v>
      </c>
      <c r="D42" s="12">
        <f>C42*2.25</f>
        <v>18</v>
      </c>
      <c r="F42" s="39" t="s">
        <v>78</v>
      </c>
      <c r="G42" s="205">
        <v>20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89">
        <v>69159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89">
        <v>119736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>
        <v>5</v>
      </c>
      <c r="D46" s="12">
        <f>C46*1.5</f>
        <v>7.5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302965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14</v>
      </c>
      <c r="D50" s="12">
        <f>C50*1.5</f>
        <v>21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137</v>
      </c>
      <c r="G51" s="240">
        <f>G49-H29</f>
        <v>-882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46179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89">
        <v>62272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62272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05">
        <f t="shared" ref="H34:H39" si="2">F34*G34</f>
        <v>62000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05">
        <f t="shared" si="2"/>
        <v>200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>
        <v>22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62272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46179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46179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46181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46181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457</v>
      </c>
      <c r="D6" s="13">
        <f t="shared" ref="D6:D28" si="1">C6*L6</f>
        <v>347777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4</v>
      </c>
      <c r="D7" s="13">
        <f t="shared" si="1"/>
        <v>3124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33</v>
      </c>
      <c r="D9" s="13">
        <f t="shared" si="1"/>
        <v>24189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15</v>
      </c>
      <c r="D13" s="48">
        <f t="shared" si="1"/>
        <v>4605</v>
      </c>
      <c r="F13" s="150" t="s">
        <v>36</v>
      </c>
      <c r="G13" s="151"/>
      <c r="H13" s="152">
        <f>D29</f>
        <v>379695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56268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323427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2832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379695</v>
      </c>
      <c r="F29" s="173" t="s">
        <v>54</v>
      </c>
      <c r="G29" s="174"/>
      <c r="H29" s="177">
        <f>H15-H16-H17-H18-H19-H20-H22-H23-H24+H26+H27</f>
        <v>320595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205">
        <f>F34*G34</f>
        <v>151000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205">
        <f>F35*G35</f>
        <v>167000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205">
        <f t="shared" si="2"/>
        <v>700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05">
        <f t="shared" si="2"/>
        <v>250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8</v>
      </c>
      <c r="D42" s="12">
        <f>C42*2.25</f>
        <v>18</v>
      </c>
      <c r="F42" s="39" t="s">
        <v>78</v>
      </c>
      <c r="G42" s="205">
        <v>76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15</v>
      </c>
      <c r="D49" s="12">
        <f>C49*42</f>
        <v>630</v>
      </c>
      <c r="F49" s="230" t="s">
        <v>85</v>
      </c>
      <c r="G49" s="177">
        <f>H34+H35+H36+H37+H38+H39+H40+H41+G42+H44+H45+H46</f>
        <v>319046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158</v>
      </c>
      <c r="G51" s="240">
        <f>G49-H29</f>
        <v>-1549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46181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416</v>
      </c>
      <c r="D6" s="13">
        <f t="shared" ref="D6:D28" si="1">C6*L6</f>
        <v>316576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10</v>
      </c>
      <c r="D7" s="13">
        <f t="shared" si="1"/>
        <v>7810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76</v>
      </c>
      <c r="D9" s="13">
        <f t="shared" si="1"/>
        <v>55708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1</v>
      </c>
      <c r="D11" s="13">
        <f t="shared" si="1"/>
        <v>1170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5</v>
      </c>
      <c r="D12" s="48">
        <f t="shared" si="1"/>
        <v>4960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10</v>
      </c>
      <c r="D13" s="48">
        <f t="shared" si="1"/>
        <v>3070</v>
      </c>
      <c r="F13" s="150" t="s">
        <v>36</v>
      </c>
      <c r="G13" s="151"/>
      <c r="H13" s="152">
        <f>D29</f>
        <v>389426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12</v>
      </c>
      <c r="D14" s="31">
        <f t="shared" si="1"/>
        <v>132</v>
      </c>
      <c r="F14" s="155" t="s">
        <v>38</v>
      </c>
      <c r="G14" s="156"/>
      <c r="H14" s="157">
        <f>D54</f>
        <v>56689.5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332736.5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2478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389426</v>
      </c>
      <c r="F29" s="173" t="s">
        <v>54</v>
      </c>
      <c r="G29" s="174"/>
      <c r="H29" s="177">
        <f>H15-H16-H17-H18-H19-H20-H22-H23-H24+H26+H27</f>
        <v>330258.5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205">
        <f>F34*G34</f>
        <v>122000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05">
        <f>F35*G35</f>
        <v>30000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205">
        <f t="shared" si="2"/>
        <v>5200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205">
        <f t="shared" si="2"/>
        <v>900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22</v>
      </c>
      <c r="D42" s="12">
        <f>C42*2.25</f>
        <v>49.5</v>
      </c>
      <c r="F42" s="39" t="s">
        <v>78</v>
      </c>
      <c r="G42" s="205">
        <v>204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89">
        <v>164463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1</v>
      </c>
      <c r="D45" s="12">
        <f>C45*84</f>
        <v>84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>
        <v>8</v>
      </c>
      <c r="D46" s="12">
        <f>C46*1.5</f>
        <v>12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5</v>
      </c>
      <c r="D49" s="12">
        <f>C49*42</f>
        <v>210</v>
      </c>
      <c r="F49" s="230" t="s">
        <v>85</v>
      </c>
      <c r="G49" s="177">
        <f>H34+H35+H36+H37+H38+H39+H40+H41+G42+H44+H45+H46</f>
        <v>322767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7</v>
      </c>
      <c r="D50" s="12">
        <f>C50*1.5</f>
        <v>10.5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158</v>
      </c>
      <c r="G51" s="240">
        <f>G49-H29</f>
        <v>-7491.5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46182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339</v>
      </c>
      <c r="D6" s="13">
        <f t="shared" ref="D6:D28" si="1">C6*L6</f>
        <v>257979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9</v>
      </c>
      <c r="D7" s="13">
        <f t="shared" si="1"/>
        <v>7029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20</v>
      </c>
      <c r="D9" s="13">
        <f t="shared" si="1"/>
        <v>14660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1+1</f>
        <v>2</v>
      </c>
      <c r="D12" s="48">
        <f t="shared" si="1"/>
        <v>1984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2</v>
      </c>
      <c r="D13" s="48">
        <f t="shared" si="1"/>
        <v>614</v>
      </c>
      <c r="F13" s="150" t="s">
        <v>36</v>
      </c>
      <c r="G13" s="151"/>
      <c r="H13" s="152">
        <f>D29</f>
        <v>284998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12</v>
      </c>
      <c r="D14" s="31">
        <f t="shared" si="1"/>
        <v>132</v>
      </c>
      <c r="F14" s="155" t="s">
        <v>38</v>
      </c>
      <c r="G14" s="156"/>
      <c r="H14" s="157">
        <f>D54</f>
        <v>35218.5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249779.5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284998</v>
      </c>
      <c r="F29" s="173" t="s">
        <v>54</v>
      </c>
      <c r="G29" s="174"/>
      <c r="H29" s="177">
        <f>H15-H16-H17-H18-H19-H20-H22-H23-H24+H26+H27+H28</f>
        <v>249779.5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205">
        <f t="shared" ref="H34:H39" si="2">F34*G34</f>
        <v>129000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05">
        <f t="shared" si="2"/>
        <v>36500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205">
        <f t="shared" si="2"/>
        <v>3600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205">
        <f t="shared" si="2"/>
        <v>900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>
        <v>58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89">
        <v>67000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 t="s">
        <v>140</v>
      </c>
      <c r="G45" s="62"/>
      <c r="H45" s="189">
        <v>12350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2</v>
      </c>
      <c r="D49" s="12">
        <f>C49*42</f>
        <v>84</v>
      </c>
      <c r="F49" s="230" t="s">
        <v>85</v>
      </c>
      <c r="G49" s="177">
        <f>H34+H35+H36+H37+H38+H39+H40+H41+G42+H44+H45+H46</f>
        <v>249428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21</v>
      </c>
      <c r="D50" s="12">
        <f>C50*1.5</f>
        <v>31.5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158</v>
      </c>
      <c r="G51" s="240">
        <f>G49-H29</f>
        <v>-351.5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46182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323</v>
      </c>
      <c r="D6" s="13">
        <f t="shared" ref="D6:D28" si="1">C6*L6</f>
        <v>245803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3</v>
      </c>
      <c r="D7" s="13">
        <f t="shared" si="1"/>
        <v>2343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50</v>
      </c>
      <c r="D9" s="13">
        <f t="shared" si="1"/>
        <v>36650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5</v>
      </c>
      <c r="D10" s="13">
        <f t="shared" si="1"/>
        <v>5160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992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12</v>
      </c>
      <c r="D13" s="48">
        <f t="shared" si="1"/>
        <v>3684</v>
      </c>
      <c r="F13" s="150" t="s">
        <v>36</v>
      </c>
      <c r="G13" s="151"/>
      <c r="H13" s="152">
        <f>D29</f>
        <v>296582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46258.5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250323.5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64">
        <v>2070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296582</v>
      </c>
      <c r="F29" s="173" t="s">
        <v>54</v>
      </c>
      <c r="G29" s="174"/>
      <c r="H29" s="177">
        <f>H15-H16-H17-H18-H19-H20-H22-H23-H24+H26+H27</f>
        <v>248253.5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205">
        <f>F34*G34</f>
        <v>18000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05">
        <f>F35*G35</f>
        <v>5000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205">
        <f t="shared" si="2"/>
        <v>100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>
        <v>20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89">
        <v>224866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1</v>
      </c>
      <c r="D45" s="12">
        <f>C45*84</f>
        <v>84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1</v>
      </c>
      <c r="D49" s="12">
        <f>C49*42</f>
        <v>42</v>
      </c>
      <c r="F49" s="230" t="s">
        <v>85</v>
      </c>
      <c r="G49" s="177">
        <f>H34+H35+H36+H37+H38+H39+H40+H41+G42+H44+H45+H46</f>
        <v>247986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>
        <v>1</v>
      </c>
      <c r="D50" s="12">
        <f>C50*1.5</f>
        <v>1.5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158</v>
      </c>
      <c r="G51" s="240">
        <f>G49-H29</f>
        <v>-267.5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46182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490</v>
      </c>
      <c r="D6" s="13">
        <f t="shared" ref="D6:D28" si="1">C6*L6</f>
        <v>372890</v>
      </c>
      <c r="F6" s="128" t="s">
        <v>16</v>
      </c>
      <c r="G6" s="130" t="s">
        <v>142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27</v>
      </c>
      <c r="D7" s="13">
        <f t="shared" si="1"/>
        <v>21087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>
        <v>1</v>
      </c>
      <c r="D8" s="13">
        <f t="shared" si="1"/>
        <v>1093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108</v>
      </c>
      <c r="D9" s="13">
        <f t="shared" si="1"/>
        <v>79164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5</v>
      </c>
      <c r="D10" s="13">
        <f t="shared" si="1"/>
        <v>5160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7+2</f>
        <v>9</v>
      </c>
      <c r="D12" s="48">
        <f t="shared" si="1"/>
        <v>8928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19</v>
      </c>
      <c r="D13" s="48">
        <f t="shared" si="1"/>
        <v>5833</v>
      </c>
      <c r="F13" s="150" t="s">
        <v>36</v>
      </c>
      <c r="G13" s="151"/>
      <c r="H13" s="152">
        <f>D29</f>
        <v>494155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67279.5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426875.5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3288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494155</v>
      </c>
      <c r="F29" s="173" t="s">
        <v>54</v>
      </c>
      <c r="G29" s="174"/>
      <c r="H29" s="177">
        <f>H15-H16-H17-H18-H19-H20-H22-H23-H24+H26+H27</f>
        <v>423587.5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205">
        <f>F34*G34</f>
        <v>30000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05">
        <f>F35*G35</f>
        <v>29500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205">
        <f t="shared" si="2"/>
        <v>800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05">
        <f t="shared" si="2"/>
        <v>150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8</v>
      </c>
      <c r="D42" s="12">
        <f>C42*2.25</f>
        <v>18</v>
      </c>
      <c r="F42" s="39" t="s">
        <v>78</v>
      </c>
      <c r="G42" s="205">
        <v>42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89">
        <v>129945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89">
        <v>233114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>
        <v>4</v>
      </c>
      <c r="D46" s="12">
        <f>C46*1.5</f>
        <v>6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5</v>
      </c>
      <c r="D49" s="12">
        <f>C49*42</f>
        <v>210</v>
      </c>
      <c r="F49" s="230" t="s">
        <v>85</v>
      </c>
      <c r="G49" s="177">
        <f>H34+H35+H36+H37+H38+H39+H40+H41+G42+H44+H45+H46</f>
        <v>423571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22</v>
      </c>
      <c r="D50" s="12">
        <f>C50*1.5</f>
        <v>33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158</v>
      </c>
      <c r="G51" s="240">
        <f>G49-H29</f>
        <v>-16.5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tabSelected="1" topLeftCell="A25" zoomScaleNormal="100" zoomScaleSheetLayoutView="85" workbookViewId="0">
      <selection activeCell="M50" sqref="M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46183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312</v>
      </c>
      <c r="D6" s="13">
        <f t="shared" ref="D6:D28" si="1">C6*L6</f>
        <v>237432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8</v>
      </c>
      <c r="D7" s="13">
        <f t="shared" si="1"/>
        <v>6248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15</v>
      </c>
      <c r="D9" s="13">
        <f t="shared" si="1"/>
        <v>10995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992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262429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37573.5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>
        <v>2</v>
      </c>
      <c r="D15" s="31">
        <f t="shared" si="1"/>
        <v>1240</v>
      </c>
      <c r="F15" s="160" t="s">
        <v>39</v>
      </c>
      <c r="G15" s="151"/>
      <c r="H15" s="161">
        <f>H13-H14</f>
        <v>224855.5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>
        <v>2</v>
      </c>
      <c r="D28" s="48">
        <f t="shared" si="1"/>
        <v>1622</v>
      </c>
      <c r="F28" s="101"/>
      <c r="G28" s="61"/>
      <c r="H28" s="199"/>
      <c r="I28" s="200"/>
      <c r="J28" s="201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262429</v>
      </c>
      <c r="F29" s="173" t="s">
        <v>54</v>
      </c>
      <c r="G29" s="174"/>
      <c r="H29" s="177">
        <f>H15-H16-H17-H18-H19-H20-H22-H23-H24+H26+H27+H28</f>
        <v>224855.5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205">
        <f t="shared" ref="H34:H39" si="2">F34*G34</f>
        <v>54000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05">
        <f t="shared" si="2"/>
        <v>7000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5">
        <f t="shared" si="2"/>
        <v>200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205">
        <f t="shared" si="2"/>
        <v>1800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05">
        <f t="shared" si="2"/>
        <v>100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4</v>
      </c>
      <c r="D42" s="12">
        <f>C42*2.25</f>
        <v>9</v>
      </c>
      <c r="F42" s="39" t="s">
        <v>78</v>
      </c>
      <c r="G42" s="205">
        <v>60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89">
        <v>11360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89">
        <v>150130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1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33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8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11"/>
      <c r="D49" s="12">
        <f>C49*42</f>
        <v>0</v>
      </c>
      <c r="F49" s="230" t="s">
        <v>85</v>
      </c>
      <c r="G49" s="177">
        <f>H34+H35+H36+H37+H38+H39+H40+H41+G42+H44+H45+H46</f>
        <v>224670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138</v>
      </c>
      <c r="G51" s="240">
        <f>G49-H29</f>
        <v>-185.5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46183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topLeftCell="A28" zoomScaleNormal="100" zoomScaleSheetLayoutView="85" workbookViewId="0">
      <selection activeCell="L55" sqref="L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46183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338</v>
      </c>
      <c r="D6" s="13">
        <f t="shared" ref="D6:D28" si="1">C6*L6</f>
        <v>257218</v>
      </c>
      <c r="F6" s="128" t="s">
        <v>16</v>
      </c>
      <c r="G6" s="130" t="s">
        <v>142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</v>
      </c>
      <c r="D7" s="13">
        <f t="shared" si="1"/>
        <v>781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14</v>
      </c>
      <c r="D9" s="13">
        <f t="shared" si="1"/>
        <v>10262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5</v>
      </c>
      <c r="D12" s="48">
        <f t="shared" si="1"/>
        <v>4960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10</v>
      </c>
      <c r="D13" s="48">
        <f t="shared" si="1"/>
        <v>3070</v>
      </c>
      <c r="F13" s="150" t="s">
        <v>36</v>
      </c>
      <c r="G13" s="151"/>
      <c r="H13" s="152">
        <f>D29</f>
        <v>297741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41929.5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255811.5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64">
        <v>1296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297741</v>
      </c>
      <c r="F29" s="173" t="s">
        <v>54</v>
      </c>
      <c r="G29" s="174"/>
      <c r="H29" s="177">
        <f>H15-H16-H17-H18-H19-H20-H22-H23-H24+H26+H27</f>
        <v>254515.5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205">
        <f>F34*G34</f>
        <v>107000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205">
        <f>F35*G35</f>
        <v>6000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205">
        <f t="shared" si="2"/>
        <v>100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89">
        <v>140790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3</v>
      </c>
      <c r="D45" s="12">
        <f>C45*84</f>
        <v>252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>
        <v>13</v>
      </c>
      <c r="D46" s="12">
        <f>C46*1.5</f>
        <v>19.5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8</v>
      </c>
      <c r="D49" s="12">
        <f>C49*42</f>
        <v>336</v>
      </c>
      <c r="F49" s="230" t="s">
        <v>85</v>
      </c>
      <c r="G49" s="177">
        <f>H34+H35+H36+H37+H38+H39+H40+H41+G42+H44+H45+H46</f>
        <v>253940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22</v>
      </c>
      <c r="D50" s="12">
        <f>C50*1.5</f>
        <v>33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180</v>
      </c>
      <c r="G51" s="240">
        <f>G49-H29</f>
        <v>-575.5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46184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106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46184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zoomScaleNormal="100" zoomScaleSheetLayoutView="85" workbookViewId="0">
      <selection activeCell="M31" sqref="M3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46184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46185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106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46185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N28" sqref="N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46185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46186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106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46185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46185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46188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106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topLeftCell="A31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46188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46188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</vt:lpstr>
      <vt:lpstr>06,11 R2 </vt:lpstr>
      <vt:lpstr>06,11 R3</vt:lpstr>
      <vt:lpstr>(12)</vt:lpstr>
      <vt:lpstr>06,12 R1  </vt:lpstr>
      <vt:lpstr>06,12 R2  </vt:lpstr>
      <vt:lpstr>06,12 R3 </vt:lpstr>
      <vt:lpstr>(13)</vt:lpstr>
      <vt:lpstr>06,13 R1 </vt:lpstr>
      <vt:lpstr>06,13 R2 </vt:lpstr>
      <vt:lpstr>06,13 R3 </vt:lpstr>
      <vt:lpstr>(15)</vt:lpstr>
      <vt:lpstr>06,15 R1</vt:lpstr>
      <vt:lpstr>06,15 R2</vt:lpstr>
      <vt:lpstr>06,15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'!Print_Area</vt:lpstr>
      <vt:lpstr>'06,11 R2 '!Print_Area</vt:lpstr>
      <vt:lpstr>'06,11 R3'!Print_Area</vt:lpstr>
      <vt:lpstr>'06,12 R1  '!Print_Area</vt:lpstr>
      <vt:lpstr>'06,12 R2  '!Print_Area</vt:lpstr>
      <vt:lpstr>'06,12 R3 '!Print_Area</vt:lpstr>
      <vt:lpstr>'06,13 R1 '!Print_Area</vt:lpstr>
      <vt:lpstr>'06,13 R2 '!Print_Area</vt:lpstr>
      <vt:lpstr>'06,13 R3 '!Print_Area</vt:lpstr>
      <vt:lpstr>'06,15 R1'!Print_Area</vt:lpstr>
      <vt:lpstr>'06,15 R2'!Print_Area</vt:lpstr>
      <vt:lpstr>'06,15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2026-06-11T00:16:23Z</cp:lastPrinted>
  <dcterms:created xsi:type="dcterms:W3CDTF">2024-09-01T23:36:50Z</dcterms:created>
  <dcterms:modified xsi:type="dcterms:W3CDTF">2026-06-11T00:18:00Z</dcterms:modified>
</cp:coreProperties>
</file>