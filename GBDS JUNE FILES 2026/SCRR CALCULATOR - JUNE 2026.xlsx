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62949BD-C95E-4FCF-BD0E-47E598C91E7B}" xr6:coauthVersionLast="45" xr6:coauthVersionMax="47" xr10:uidLastSave="{00000000-0000-0000-0000-000000000000}"/>
  <bookViews>
    <workbookView xWindow="-120" yWindow="-120" windowWidth="29040" windowHeight="15840" firstSheet="93" activeTab="10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NO TRIP" sheetId="2196" r:id="rId94"/>
    <sheet name="06,24 R3 NO TRIP" sheetId="2197" r:id="rId95"/>
    <sheet name="(29)" sheetId="2199" r:id="rId96"/>
    <sheet name="06,29 R1 " sheetId="2200" r:id="rId97"/>
    <sheet name="06,29 R2" sheetId="2201" r:id="rId98"/>
    <sheet name="06,29 R3" sheetId="2202" r:id="rId99"/>
    <sheet name="(30)" sheetId="2203" r:id="rId100"/>
    <sheet name="06,30 R1 " sheetId="2204" r:id="rId101"/>
    <sheet name="06,30 R2" sheetId="2205" r:id="rId102"/>
    <sheet name="06,30 R3" sheetId="2206" r:id="rId10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5">'(29)'!$A$1:$J$60</definedName>
    <definedName name="_xlnm.Print_Area" localSheetId="9">'(3)'!$A$1:$J$60</definedName>
    <definedName name="_xlnm.Print_Area" localSheetId="99">'(30)'!$A$1:$J$60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NO TRIP'!$A$1:$J$60</definedName>
    <definedName name="_xlnm.Print_Area" localSheetId="82">'06,24 R3'!$A$1:$J$60</definedName>
    <definedName name="_xlnm.Print_Area" localSheetId="94">'06,24 R3 NO TRIP'!$A$1:$J$60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  <definedName name="_xlnm.Print_Area" localSheetId="96">'06,29 R1 '!$A$1:$J$60</definedName>
    <definedName name="_xlnm.Print_Area" localSheetId="97">'06,29 R2'!$A$1:$J$60</definedName>
    <definedName name="_xlnm.Print_Area" localSheetId="98">'06,29 R3'!$A$1:$J$60</definedName>
    <definedName name="_xlnm.Print_Area" localSheetId="100">'06,30 R1 '!$A$1:$J$60</definedName>
    <definedName name="_xlnm.Print_Area" localSheetId="101">'06,30 R2'!$A$1:$J$60</definedName>
    <definedName name="_xlnm.Print_Area" localSheetId="102">'06,30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04" l="1"/>
  <c r="C12" i="2205" l="1"/>
  <c r="L14" i="2201" l="1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D42" i="2206"/>
  <c r="R41" i="2206"/>
  <c r="D41" i="2206"/>
  <c r="R40" i="2206"/>
  <c r="D40" i="2206"/>
  <c r="R39" i="2206"/>
  <c r="H39" i="2206"/>
  <c r="D39" i="2206"/>
  <c r="R38" i="2206"/>
  <c r="L9" i="2206" s="1"/>
  <c r="D9" i="2206" s="1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H35" i="2206"/>
  <c r="D35" i="2206"/>
  <c r="R34" i="2206"/>
  <c r="H34" i="2206"/>
  <c r="D34" i="2206"/>
  <c r="R33" i="2206"/>
  <c r="L19" i="2206" s="1"/>
  <c r="D19" i="2206" s="1"/>
  <c r="R32" i="2206"/>
  <c r="L11" i="2206" s="1"/>
  <c r="D11" i="2206" s="1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/>
  <c r="R25" i="2206"/>
  <c r="L25" i="2206"/>
  <c r="D25" i="2206" s="1"/>
  <c r="R24" i="2206"/>
  <c r="L24" i="2206"/>
  <c r="D24" i="2206"/>
  <c r="R23" i="2206"/>
  <c r="L23" i="2206"/>
  <c r="D23" i="2206" s="1"/>
  <c r="R22" i="2206"/>
  <c r="L20" i="2206" s="1"/>
  <c r="D20" i="2206" s="1"/>
  <c r="L22" i="2206"/>
  <c r="D22" i="2206" s="1"/>
  <c r="R21" i="2206"/>
  <c r="L21" i="2206"/>
  <c r="D21" i="2206"/>
  <c r="R20" i="2206"/>
  <c r="R19" i="2206"/>
  <c r="R18" i="2206"/>
  <c r="L18" i="2206"/>
  <c r="D18" i="2206"/>
  <c r="R17" i="2206"/>
  <c r="L17" i="2206"/>
  <c r="D17" i="2206" s="1"/>
  <c r="R16" i="2206"/>
  <c r="R15" i="2206"/>
  <c r="L15" i="2206"/>
  <c r="D15" i="2206"/>
  <c r="R14" i="2206"/>
  <c r="D14" i="2206"/>
  <c r="R13" i="2206"/>
  <c r="D13" i="2206"/>
  <c r="R12" i="2206"/>
  <c r="L12" i="2206"/>
  <c r="D12" i="2206" s="1"/>
  <c r="R11" i="2206"/>
  <c r="L8" i="2206"/>
  <c r="D8" i="2206" s="1"/>
  <c r="L7" i="2206"/>
  <c r="D7" i="2206"/>
  <c r="R6" i="2206"/>
  <c r="L16" i="2206" s="1"/>
  <c r="D16" i="2206" s="1"/>
  <c r="L6" i="2206"/>
  <c r="D6" i="2206" s="1"/>
  <c r="R5" i="2206"/>
  <c r="R4" i="2206"/>
  <c r="R52" i="2205"/>
  <c r="R51" i="2205"/>
  <c r="D50" i="2205"/>
  <c r="R49" i="2205"/>
  <c r="D49" i="2205"/>
  <c r="R48" i="2205"/>
  <c r="D48" i="2205"/>
  <c r="D46" i="2205"/>
  <c r="D45" i="2205"/>
  <c r="R44" i="2205"/>
  <c r="L28" i="2205" s="1"/>
  <c r="D28" i="2205" s="1"/>
  <c r="D44" i="2205"/>
  <c r="R42" i="2205"/>
  <c r="D42" i="2205"/>
  <c r="R41" i="2205"/>
  <c r="L7" i="2205" s="1"/>
  <c r="D7" i="2205" s="1"/>
  <c r="D41" i="2205"/>
  <c r="R40" i="2205"/>
  <c r="D40" i="2205"/>
  <c r="R39" i="2205"/>
  <c r="H39" i="2205"/>
  <c r="D39" i="2205"/>
  <c r="R38" i="2205"/>
  <c r="L9" i="2205" s="1"/>
  <c r="D9" i="2205" s="1"/>
  <c r="H38" i="2205"/>
  <c r="D38" i="2205"/>
  <c r="R37" i="2205"/>
  <c r="H37" i="2205"/>
  <c r="D37" i="2205"/>
  <c r="R36" i="2205"/>
  <c r="L10" i="2205" s="1"/>
  <c r="D10" i="2205" s="1"/>
  <c r="H36" i="2205"/>
  <c r="D36" i="2205"/>
  <c r="R35" i="2205"/>
  <c r="L18" i="2205" s="1"/>
  <c r="D18" i="2205" s="1"/>
  <c r="H35" i="2205"/>
  <c r="D35" i="2205"/>
  <c r="R34" i="2205"/>
  <c r="H34" i="2205"/>
  <c r="D34" i="2205"/>
  <c r="R33" i="2205"/>
  <c r="L19" i="2205" s="1"/>
  <c r="D19" i="2205" s="1"/>
  <c r="R32" i="2205"/>
  <c r="L11" i="2205" s="1"/>
  <c r="D11" i="2205" s="1"/>
  <c r="R31" i="2205"/>
  <c r="R30" i="2205"/>
  <c r="R29" i="2205"/>
  <c r="R28" i="2205"/>
  <c r="R27" i="2205"/>
  <c r="L27" i="2205"/>
  <c r="D27" i="2205"/>
  <c r="R26" i="2205"/>
  <c r="L26" i="2205"/>
  <c r="D26" i="2205"/>
  <c r="R25" i="2205"/>
  <c r="L25" i="2205"/>
  <c r="D25" i="2205" s="1"/>
  <c r="R24" i="2205"/>
  <c r="L24" i="2205"/>
  <c r="D24" i="2205"/>
  <c r="R23" i="2205"/>
  <c r="L23" i="2205"/>
  <c r="D23" i="2205" s="1"/>
  <c r="R22" i="2205"/>
  <c r="L20" i="2205" s="1"/>
  <c r="D20" i="2205" s="1"/>
  <c r="L22" i="2205"/>
  <c r="D22" i="2205" s="1"/>
  <c r="R21" i="2205"/>
  <c r="D21" i="2205"/>
  <c r="R20" i="2205"/>
  <c r="R19" i="2205"/>
  <c r="R18" i="2205"/>
  <c r="R17" i="2205"/>
  <c r="L17" i="2205"/>
  <c r="D17" i="2205"/>
  <c r="R16" i="2205"/>
  <c r="R15" i="2205"/>
  <c r="R14" i="2205"/>
  <c r="D14" i="2205"/>
  <c r="R13" i="2205"/>
  <c r="D13" i="2205"/>
  <c r="R12" i="2205"/>
  <c r="L12" i="2205"/>
  <c r="D12" i="2205"/>
  <c r="R11" i="2205"/>
  <c r="L8" i="2205"/>
  <c r="D8" i="2205" s="1"/>
  <c r="R6" i="2205"/>
  <c r="L16" i="2205" s="1"/>
  <c r="D16" i="2205" s="1"/>
  <c r="L6" i="2205"/>
  <c r="D6" i="2205"/>
  <c r="R5" i="2205"/>
  <c r="R4" i="2205"/>
  <c r="L15" i="2205" s="1"/>
  <c r="D15" i="2205" s="1"/>
  <c r="R52" i="2204"/>
  <c r="R51" i="2204"/>
  <c r="D50" i="2204"/>
  <c r="R49" i="2204"/>
  <c r="D49" i="2204"/>
  <c r="R48" i="2204"/>
  <c r="D48" i="2204"/>
  <c r="D46" i="2204"/>
  <c r="D45" i="2204"/>
  <c r="R44" i="2204"/>
  <c r="L28" i="2204" s="1"/>
  <c r="D28" i="2204" s="1"/>
  <c r="D44" i="2204"/>
  <c r="R42" i="2204"/>
  <c r="D42" i="2204"/>
  <c r="R41" i="2204"/>
  <c r="L7" i="2204" s="1"/>
  <c r="D7" i="2204" s="1"/>
  <c r="D41" i="2204"/>
  <c r="R40" i="2204"/>
  <c r="D40" i="2204"/>
  <c r="R39" i="2204"/>
  <c r="H39" i="2204"/>
  <c r="D39" i="2204"/>
  <c r="R38" i="2204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L18" i="2204" s="1"/>
  <c r="D18" i="2204" s="1"/>
  <c r="H35" i="2204"/>
  <c r="D35" i="2204"/>
  <c r="R34" i="2204"/>
  <c r="H34" i="2204"/>
  <c r="D34" i="2204"/>
  <c r="R33" i="2204"/>
  <c r="L19" i="2204" s="1"/>
  <c r="D19" i="2204" s="1"/>
  <c r="R32" i="2204"/>
  <c r="R31" i="2204"/>
  <c r="R30" i="2204"/>
  <c r="R29" i="2204"/>
  <c r="R28" i="2204"/>
  <c r="R27" i="2204"/>
  <c r="L27" i="2204"/>
  <c r="D27" i="2204"/>
  <c r="R26" i="2204"/>
  <c r="L26" i="2204"/>
  <c r="D26" i="2204"/>
  <c r="R25" i="2204"/>
  <c r="L25" i="2204"/>
  <c r="D25" i="2204"/>
  <c r="R24" i="2204"/>
  <c r="L24" i="2204"/>
  <c r="D24" i="2204"/>
  <c r="R23" i="2204"/>
  <c r="L23" i="2204"/>
  <c r="D23" i="2204" s="1"/>
  <c r="R22" i="2204"/>
  <c r="L22" i="2204"/>
  <c r="D22" i="2204" s="1"/>
  <c r="R21" i="2204"/>
  <c r="L21" i="2204"/>
  <c r="D21" i="2204"/>
  <c r="R20" i="2204"/>
  <c r="L20" i="2204"/>
  <c r="D20" i="2204" s="1"/>
  <c r="R19" i="2204"/>
  <c r="R18" i="2204"/>
  <c r="R17" i="2204"/>
  <c r="L17" i="2204"/>
  <c r="D17" i="2204"/>
  <c r="R16" i="2204"/>
  <c r="R15" i="2204"/>
  <c r="R14" i="2204"/>
  <c r="D14" i="2204"/>
  <c r="R13" i="2204"/>
  <c r="D13" i="2204"/>
  <c r="R12" i="2204"/>
  <c r="L12" i="2204"/>
  <c r="D12" i="2204"/>
  <c r="R11" i="2204"/>
  <c r="L11" i="2204"/>
  <c r="D11" i="2204"/>
  <c r="L9" i="2204"/>
  <c r="D9" i="2204" s="1"/>
  <c r="L8" i="2204"/>
  <c r="D8" i="2204" s="1"/>
  <c r="R6" i="2204"/>
  <c r="L16" i="2204" s="1"/>
  <c r="D16" i="2204" s="1"/>
  <c r="L6" i="2204"/>
  <c r="D6" i="2204" s="1"/>
  <c r="R5" i="2204"/>
  <c r="R4" i="2204"/>
  <c r="L15" i="2204" s="1"/>
  <c r="D15" i="2204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D54" i="2203" s="1"/>
  <c r="H14" i="2203" s="1"/>
  <c r="R42" i="2203"/>
  <c r="L6" i="2203" s="1"/>
  <c r="D6" i="2203" s="1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D36" i="2203"/>
  <c r="R35" i="2203"/>
  <c r="D35" i="2203"/>
  <c r="R34" i="2203"/>
  <c r="D34" i="2203"/>
  <c r="R33" i="2203"/>
  <c r="R32" i="2203"/>
  <c r="L11" i="2203" s="1"/>
  <c r="D11" i="2203" s="1"/>
  <c r="R31" i="2203"/>
  <c r="R30" i="2203"/>
  <c r="R29" i="2203"/>
  <c r="R28" i="2203"/>
  <c r="L16" i="2203" s="1"/>
  <c r="D16" i="2203" s="1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L23" i="2203"/>
  <c r="D23" i="2203" s="1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S15" i="2203"/>
  <c r="R15" i="2203"/>
  <c r="D15" i="2203"/>
  <c r="S14" i="2203"/>
  <c r="R14" i="2203"/>
  <c r="D14" i="2203"/>
  <c r="R13" i="2203"/>
  <c r="D13" i="2203"/>
  <c r="R12" i="2203"/>
  <c r="L12" i="2203"/>
  <c r="D12" i="2203" s="1"/>
  <c r="R11" i="2203"/>
  <c r="L10" i="2203"/>
  <c r="D10" i="2203" s="1"/>
  <c r="L9" i="2203"/>
  <c r="D9" i="2203"/>
  <c r="R6" i="2203"/>
  <c r="R5" i="2203"/>
  <c r="R4" i="2203"/>
  <c r="G49" i="2205" l="1"/>
  <c r="G49" i="2204"/>
  <c r="G49" i="2206"/>
  <c r="D54" i="2206"/>
  <c r="H14" i="2206" s="1"/>
  <c r="D54" i="2205"/>
  <c r="H14" i="2205" s="1"/>
  <c r="D29" i="2205"/>
  <c r="H13" i="2205" s="1"/>
  <c r="D54" i="2204"/>
  <c r="H14" i="2204" s="1"/>
  <c r="D29" i="2206"/>
  <c r="H13" i="2206" s="1"/>
  <c r="D29" i="2204"/>
  <c r="H13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L7" i="2202" s="1"/>
  <c r="D7" i="2202" s="1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L10" i="2202" s="1"/>
  <c r="D10" i="2202" s="1"/>
  <c r="H36" i="2202"/>
  <c r="D36" i="2202"/>
  <c r="R35" i="2202"/>
  <c r="L18" i="2202" s="1"/>
  <c r="D18" i="2202" s="1"/>
  <c r="H35" i="2202"/>
  <c r="D35" i="2202"/>
  <c r="R34" i="2202"/>
  <c r="H34" i="2202"/>
  <c r="D34" i="2202"/>
  <c r="R33" i="2202"/>
  <c r="R32" i="2202"/>
  <c r="L11" i="2202" s="1"/>
  <c r="D11" i="2202" s="1"/>
  <c r="R31" i="2202"/>
  <c r="R30" i="2202"/>
  <c r="R29" i="2202"/>
  <c r="R28" i="2202"/>
  <c r="R27" i="2202"/>
  <c r="L27" i="2202"/>
  <c r="D27" i="2202" s="1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 s="1"/>
  <c r="R22" i="2202"/>
  <c r="L22" i="2202"/>
  <c r="D22" i="2202"/>
  <c r="R21" i="2202"/>
  <c r="L21" i="2202"/>
  <c r="D21" i="2202"/>
  <c r="R20" i="2202"/>
  <c r="L20" i="2202"/>
  <c r="D20" i="2202" s="1"/>
  <c r="R19" i="2202"/>
  <c r="L19" i="2202"/>
  <c r="D19" i="2202" s="1"/>
  <c r="R18" i="2202"/>
  <c r="R17" i="2202"/>
  <c r="L17" i="2202"/>
  <c r="D17" i="2202"/>
  <c r="R16" i="2202"/>
  <c r="R15" i="2202"/>
  <c r="R14" i="2202"/>
  <c r="D14" i="2202"/>
  <c r="R13" i="2202"/>
  <c r="D13" i="2202"/>
  <c r="R12" i="2202"/>
  <c r="L12" i="2202"/>
  <c r="D12" i="2202"/>
  <c r="R11" i="2202"/>
  <c r="L9" i="2202"/>
  <c r="D9" i="2202" s="1"/>
  <c r="L8" i="2202"/>
  <c r="D8" i="2202"/>
  <c r="R6" i="2202"/>
  <c r="L16" i="2202" s="1"/>
  <c r="D16" i="2202" s="1"/>
  <c r="L6" i="2202"/>
  <c r="D6" i="2202" s="1"/>
  <c r="R5" i="2202"/>
  <c r="R4" i="2202"/>
  <c r="L15" i="2202" s="1"/>
  <c r="D15" i="2202" s="1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L12" i="2201" s="1"/>
  <c r="D12" i="2201" s="1"/>
  <c r="H34" i="2201"/>
  <c r="D34" i="2201"/>
  <c r="R33" i="2201"/>
  <c r="L19" i="2201" s="1"/>
  <c r="D19" i="2201" s="1"/>
  <c r="R32" i="2201"/>
  <c r="L11" i="2201" s="1"/>
  <c r="D11" i="2201" s="1"/>
  <c r="R31" i="2201"/>
  <c r="R30" i="2201"/>
  <c r="R29" i="2201"/>
  <c r="R28" i="2201"/>
  <c r="R27" i="2201"/>
  <c r="L27" i="2201"/>
  <c r="D27" i="2201"/>
  <c r="R26" i="2201"/>
  <c r="L26" i="2201"/>
  <c r="D26" i="2201"/>
  <c r="R25" i="2201"/>
  <c r="L25" i="2201"/>
  <c r="D25" i="2201" s="1"/>
  <c r="R24" i="2201"/>
  <c r="L24" i="2201"/>
  <c r="D24" i="2201"/>
  <c r="R23" i="2201"/>
  <c r="L23" i="2201"/>
  <c r="D23" i="2201" s="1"/>
  <c r="R22" i="2201"/>
  <c r="L22" i="2201"/>
  <c r="D22" i="2201"/>
  <c r="R21" i="2201"/>
  <c r="D21" i="2201"/>
  <c r="R20" i="2201"/>
  <c r="L20" i="2201"/>
  <c r="D20" i="2201"/>
  <c r="R19" i="2201"/>
  <c r="R18" i="2201"/>
  <c r="L18" i="2201"/>
  <c r="D18" i="2201"/>
  <c r="R17" i="2201"/>
  <c r="L17" i="2201"/>
  <c r="D17" i="2201"/>
  <c r="R16" i="2201"/>
  <c r="R15" i="2201"/>
  <c r="L15" i="2201"/>
  <c r="D15" i="2201"/>
  <c r="R14" i="2201"/>
  <c r="D14" i="2201"/>
  <c r="R13" i="2201"/>
  <c r="D13" i="2201"/>
  <c r="R12" i="2201"/>
  <c r="R11" i="2201"/>
  <c r="L10" i="2201"/>
  <c r="D10" i="2201"/>
  <c r="L9" i="2201"/>
  <c r="D9" i="2201"/>
  <c r="L8" i="2201"/>
  <c r="D8" i="2201" s="1"/>
  <c r="L7" i="2201"/>
  <c r="D7" i="2201"/>
  <c r="R6" i="2201"/>
  <c r="L16" i="2201" s="1"/>
  <c r="D16" i="2201" s="1"/>
  <c r="L6" i="2201"/>
  <c r="D6" i="2201" s="1"/>
  <c r="R5" i="2201"/>
  <c r="R4" i="2201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/>
  <c r="R27" i="2200"/>
  <c r="L27" i="2200"/>
  <c r="D27" i="2200"/>
  <c r="R26" i="2200"/>
  <c r="L26" i="2200"/>
  <c r="D26" i="2200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/>
  <c r="R17" i="2200"/>
  <c r="L17" i="2200"/>
  <c r="D17" i="2200" s="1"/>
  <c r="R16" i="2200"/>
  <c r="R15" i="2200"/>
  <c r="L15" i="2200"/>
  <c r="D15" i="2200" s="1"/>
  <c r="R14" i="2200"/>
  <c r="D14" i="2200"/>
  <c r="R13" i="2200"/>
  <c r="D13" i="2200"/>
  <c r="R12" i="2200"/>
  <c r="L12" i="2200"/>
  <c r="D12" i="2200" s="1"/>
  <c r="R11" i="2200"/>
  <c r="L11" i="2200"/>
  <c r="D11" i="2200" s="1"/>
  <c r="L9" i="2200"/>
  <c r="D9" i="2200" s="1"/>
  <c r="L8" i="2200"/>
  <c r="D8" i="2200"/>
  <c r="L7" i="2200"/>
  <c r="D7" i="2200"/>
  <c r="R6" i="2200"/>
  <c r="L16" i="2200" s="1"/>
  <c r="D16" i="2200" s="1"/>
  <c r="R5" i="2200"/>
  <c r="R4" i="2200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L16" i="2199"/>
  <c r="D16" i="2199" s="1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/>
  <c r="L8" i="2199"/>
  <c r="D8" i="2199"/>
  <c r="R6" i="2199"/>
  <c r="R5" i="2199"/>
  <c r="R4" i="2199"/>
  <c r="H15" i="2206" l="1"/>
  <c r="H29" i="2206" s="1"/>
  <c r="G51" i="2206" s="1"/>
  <c r="H15" i="2205"/>
  <c r="H29" i="2205" s="1"/>
  <c r="G51" i="2205" s="1"/>
  <c r="H15" i="2204"/>
  <c r="H29" i="2204" s="1"/>
  <c r="G51" i="2204" s="1"/>
  <c r="G49" i="2200"/>
  <c r="G49" i="2201"/>
  <c r="G49" i="2202"/>
  <c r="D54" i="2201"/>
  <c r="H14" i="2201" s="1"/>
  <c r="D54" i="2202"/>
  <c r="H14" i="2202" s="1"/>
  <c r="D54" i="2200"/>
  <c r="H14" i="2200" s="1"/>
  <c r="D29" i="2200"/>
  <c r="H13" i="2200" s="1"/>
  <c r="D29" i="2202"/>
  <c r="H13" i="2202" s="1"/>
  <c r="D29" i="2201"/>
  <c r="H13" i="2201" s="1"/>
  <c r="D29" i="2199"/>
  <c r="H13" i="2199" s="1"/>
  <c r="H15" i="2199" s="1"/>
  <c r="H29" i="2199" s="1"/>
  <c r="G51" i="2199" s="1"/>
  <c r="C19" i="2193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H15" i="2201" l="1"/>
  <c r="H29" i="2201" s="1"/>
  <c r="G51" i="2201" s="1"/>
  <c r="H15" i="2202"/>
  <c r="H29" i="2202" s="1"/>
  <c r="G51" i="2202" s="1"/>
  <c r="H15" i="2200"/>
  <c r="H29" i="2200" s="1"/>
  <c r="G51" i="2200" s="1"/>
  <c r="D54" i="2196"/>
  <c r="H14" i="2196" s="1"/>
  <c r="G49" i="2195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<sst xmlns="http://schemas.openxmlformats.org/spreadsheetml/2006/main" count="13829" uniqueCount="235">
  <si>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</si>
  <si>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</si>
  <si>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</si>
  <si>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</si>
  <si>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</si>
  <si>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</si>
  <si>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</si>
  <si>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</si>
  <si>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</si>
  <si>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</si>
  <si>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</si>
  <si>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</si>
  <si>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</si>
  <si>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</si>
  <si>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</si>
  <si>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</si>
  <si>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</si>
  <si>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</si>
  <si>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</si>
  <si>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</si>
  <si>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</si>
  <si>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</si>
  <si>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</si>
  <si>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</si>
  <si>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</si>
  <si>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</si>
  <si>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</si>
  <si>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</si>
  <si>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</si>
  <si>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</si>
  <si>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</si>
  <si>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</si>
  <si>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</si>
  <si>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</si>
  <si>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</si>
  <si>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</si>
  <si>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</si>
  <si>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</si>
  <si>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</si>
  <si>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</si>
  <si>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</si>
  <si>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</si>
  <si>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</si>
  <si>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</si>
  <si>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</si>
  <si>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</si>
  <si>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</si>
  <si>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</si>
  <si>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</si>
  <si>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</si>
  <si>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</si>
  <si>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</si>
  <si>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</si>
  <si>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</si>
  <si>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</si>
  <si>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</si>
  <si>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</si>
  <si>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</si>
  <si>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</si>
  <si>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</si>
  <si>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</si>
  <si>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</si>
  <si>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</si>
  <si>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</si>
  <si>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</si>
  <si>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</si>
  <si>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</si>
  <si>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</si>
  <si>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</si>
  <si>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</si>
  <si>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</si>
  <si>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</si>
  <si>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</si>
  <si>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</si>
  <si>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</si>
  <si>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</si>
  <si>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</si>
  <si>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</si>
  <si>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</si>
  <si>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</si>
  <si>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</si>
  <si>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</si>
  <si>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</si>
  <si>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</si>
  <si>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</si>
  <si>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</si>
  <si>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</si>
  <si>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</si>
  <si>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</si>
  <si>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</si>
  <si>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</si>
  <si>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</si>
  <si>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</si>
  <si>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</si>
  <si>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</si>
  <si>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</si>
  <si>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</si>
  <si>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</si>
  <si>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</si>
  <si>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</si>
  <si>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</si>
  <si>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</si>
  <si>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</si>
  <si>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</si>
  <si>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</si>
  <si>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</si>
  <si>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</si>
  <si>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</si>
  <si>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</si>
  <si>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</si>
  <si>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</si>
  <si>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</si>
  <si>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</si>
  <si>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</si>
  <si>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</si>
  <si>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</si>
  <si>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</si>
  <si>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</si>
  <si>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</si>
  <si>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</si>
  <si>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</si>
  <si>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</si>
  <si>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</si>
  <si>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</si>
  <si>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</si>
  <si>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</si>
  <si>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</si>
  <si>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</si>
  <si>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</si>
  <si>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</si>
  <si>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</si>
  <si>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</si>
  <si>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</si>
  <si>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</si>
  <si>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</si>
  <si>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</si>
  <si>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</si>
  <si>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</si>
  <si>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</si>
  <si>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</si>
  <si>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</si>
  <si>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</si>
  <si>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</si>
  <si>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</si>
  <si>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</si>
  <si>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</si>
  <si>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</si>
  <si>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</si>
  <si>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</si>
  <si>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</si>
  <si>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</si>
  <si>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</si>
  <si>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</si>
  <si>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</si>
  <si>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</si>
  <si>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</si>
  <si>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</si>
  <si>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</si>
  <si>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</si>
  <si>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</si>
  <si>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</si>
  <si>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</si>
  <si>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</si>
  <si>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</si>
  <si>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</si>
  <si>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</si>
  <si>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</si>
  <si>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</si>
  <si>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</si>
  <si>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</si>
  <si>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</si>
  <si>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</si>
  <si>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</si>
  <si>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</si>
  <si>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</si>
  <si>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</si>
  <si>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</si>
  <si>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</si>
  <si>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</si>
  <si>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</si>
  <si>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</si>
  <si>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</si>
  <si>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</si>
  <si>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</si>
  <si>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</si>
  <si>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</si>
  <si>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</si>
  <si>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</si>
  <si>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</si>
  <si>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</si>
  <si>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</si>
  <si>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</si>
  <si>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</si>
  <si>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</si>
  <si>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</si>
  <si>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</si>
  <si>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</si>
  <si>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</si>
  <si>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</si>
  <si>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</si>
  <si>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</si>
  <si>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</si>
  <si>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</si>
  <si>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</si>
  <si>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</si>
  <si>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</si>
  <si>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</si>
  <si>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</si>
  <si>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</si>
  <si>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</si>
  <si>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</si>
  <si>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</si>
  <si>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</si>
  <si>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</si>
  <si>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</si>
  <si>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</si>
  <si>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</si>
  <si>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</si>
  <si>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</si>
  <si>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</si>
  <si>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</si>
  <si>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</si>
  <si>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</si>
  <si>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</si>
  <si>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</si>
  <si>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</si>
  <si>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</si>
  <si>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</si>
  <si>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</si>
  <si>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</si>
  <si>
    <t>2000003182</t>
  </si>
  <si>
    <t>2000008303</t>
  </si>
  <si>
    <t>151087</t>
  </si>
  <si>
    <t>150701</t>
  </si>
  <si>
    <t>51160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</si>
</sst>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1" fillId="0" borderId="16" xfId="0" applyNumberFormat="1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89A17-1BF1-489F-9CCB-5CB14A494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D46537-2EC9-44BC-A0AF-8AD2F239B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34CB0D-BFC7-4786-AA72-BD38715CD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936AA7-07AB-4F77-B4B9-AF676EE8B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5E855E-9D9F-4EE5-A5CA-F0B3E3017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99C2F-A467-45E8-95E6-337091DF0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47</xdr:row>
      <xdr:rowOff>76200</xdr:rowOff>
    </xdr:from>
    <xdr:to>
      <xdr:col>3</xdr:col>
      <xdr:colOff>1181100</xdr:colOff>
      <xdr:row>65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9ED4C2-D191-403E-BC7C-D3CC035A4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258300"/>
          <a:ext cx="2800350" cy="3495675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F9308-D0AC-4138-9B15-25AE21875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89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87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46174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570</v>
      </c>
      <c r="D6" s="13">
        <f t="shared" ref="D6:D28" si="1">C6*L6</f>
        <v>433770</v>
      </c>
      <c r="F6" s="259" t="s">
        <v>16</v>
      </c>
      <c r="G6" s="261" t="s">
        <v>142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10</v>
      </c>
      <c r="D7" s="13">
        <f t="shared" si="1"/>
        <v>7810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99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13</v>
      </c>
      <c r="D9" s="13">
        <f t="shared" si="1"/>
        <v>9529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10</v>
      </c>
      <c r="D10" s="13">
        <f t="shared" si="1"/>
        <v>10320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10</v>
      </c>
      <c r="D12" s="48">
        <f t="shared" si="1"/>
        <v>9920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6</v>
      </c>
      <c r="D13" s="48">
        <f t="shared" si="1"/>
        <v>1842</v>
      </c>
      <c r="F13" s="280" t="s">
        <v>36</v>
      </c>
      <c r="G13" s="244"/>
      <c r="H13" s="235">
        <f>D29</f>
        <v>475222.5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54630.75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420591.75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2760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81"/>
      <c r="I23" s="282"/>
      <c r="J23" s="282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91">
        <v>68780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4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9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475222.5</v>
      </c>
      <c r="F29" s="152" t="s">
        <v>54</v>
      </c>
      <c r="G29" s="214"/>
      <c r="H29" s="174">
        <f>H15-H16-H17-H18-H19-H20-H22-H23-H24+H26+H27+H28</f>
        <v>486611.75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96">
        <f t="shared" ref="H34:H39" si="2">F34*G34</f>
        <v>116000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6">
        <f t="shared" si="2"/>
        <v>4500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96">
        <f t="shared" si="2"/>
        <v>200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6">
        <v>80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91">
        <v>317788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1">
        <v>13533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107" t="s">
        <v>135</v>
      </c>
      <c r="H46" s="191">
        <v>33800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26</v>
      </c>
      <c r="D49" s="12">
        <f>C49*42</f>
        <v>1092</v>
      </c>
      <c r="F49" s="172" t="s">
        <v>85</v>
      </c>
      <c r="G49" s="174">
        <f>H34+H35+H36+H37+H38+H39+H40+H41+G42+H44+H45+H46</f>
        <v>485901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19</v>
      </c>
      <c r="D50" s="12">
        <f>C50*1.5</f>
        <v>28.5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138</v>
      </c>
      <c r="G51" s="285">
        <f>G49-H29</f>
        <v>-710.75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46174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275</v>
      </c>
      <c r="D6" s="13">
        <f t="shared" ref="D6:D28" si="1">C6*L6</f>
        <v>209275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40</v>
      </c>
      <c r="D9" s="13">
        <f t="shared" si="1"/>
        <v>29320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</v>
      </c>
      <c r="D11" s="13">
        <f t="shared" si="1"/>
        <v>1170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3</v>
      </c>
      <c r="D13" s="48">
        <f t="shared" si="1"/>
        <v>921</v>
      </c>
      <c r="F13" s="280" t="s">
        <v>36</v>
      </c>
      <c r="G13" s="244"/>
      <c r="H13" s="235">
        <f>D29</f>
        <v>247146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36182.25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210963.75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696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9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247146</v>
      </c>
      <c r="F29" s="152" t="s">
        <v>54</v>
      </c>
      <c r="G29" s="214"/>
      <c r="H29" s="174">
        <f>H15-H16-H17-H18-H19-H20-H22-H23-H24+H26+H27</f>
        <v>210267.75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96">
        <f>F34*G34</f>
        <v>186000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96">
        <f>F35*G35</f>
        <v>23500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96">
        <f t="shared" si="2"/>
        <v>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6">
        <v>242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210092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3</v>
      </c>
      <c r="D50" s="12">
        <f>C50*1.5</f>
        <v>4.5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137</v>
      </c>
      <c r="G51" s="285">
        <f>G49-H29</f>
        <v>-175.75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46174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307</v>
      </c>
      <c r="D6" s="13">
        <f t="shared" ref="D6:D28" si="1">C6*L6</f>
        <v>233627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25</v>
      </c>
      <c r="D9" s="13">
        <f t="shared" si="1"/>
        <v>18325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</v>
      </c>
      <c r="D10" s="13">
        <f t="shared" si="1"/>
        <v>1032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3</v>
      </c>
      <c r="D12" s="48">
        <f t="shared" si="1"/>
        <v>2976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266056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58272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207784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588+504</f>
        <v>1092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9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266056</v>
      </c>
      <c r="F29" s="152" t="s">
        <v>54</v>
      </c>
      <c r="G29" s="214"/>
      <c r="H29" s="174">
        <f>H15-H16-H17-H18-H19-H20-H22-H23-H24+H26+H27</f>
        <v>206692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96">
        <f>F34*G34</f>
        <v>73000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96">
        <f>F35*G35</f>
        <v>55500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6">
        <f t="shared" ref="H36:H39" si="2">F36*G36</f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96">
        <f t="shared" si="2"/>
        <v>12100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96">
        <f t="shared" si="2"/>
        <v>3050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6">
        <v>401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91">
        <v>55389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140</v>
      </c>
      <c r="G45" s="75"/>
      <c r="H45" s="191">
        <v>1032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</v>
      </c>
      <c r="D46" s="12">
        <f>C46*1.5</f>
        <v>1.5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2</v>
      </c>
      <c r="D49" s="12">
        <f>C49*42</f>
        <v>84</v>
      </c>
      <c r="F49" s="172" t="s">
        <v>85</v>
      </c>
      <c r="G49" s="174">
        <f>H34+H35+H36+H37+H38+H39+H40+H41+G42+H44+H45+H46</f>
        <v>200692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13</v>
      </c>
      <c r="D50" s="12">
        <f>C50*1.5</f>
        <v>19.5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141</v>
      </c>
      <c r="G51" s="285">
        <f>G49-H29</f>
        <v>-6000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96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8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46175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304</v>
      </c>
      <c r="D6" s="13">
        <f t="shared" ref="D6:D28" si="1">C6*L6</f>
        <v>231344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</v>
      </c>
      <c r="D7" s="13">
        <f t="shared" si="1"/>
        <v>1562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11</v>
      </c>
      <c r="D9" s="13">
        <f t="shared" si="1"/>
        <v>8063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</v>
      </c>
      <c r="D10" s="13">
        <f t="shared" si="1"/>
        <v>1032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242753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35565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v>1</v>
      </c>
      <c r="D15" s="31">
        <f t="shared" si="1"/>
        <v>620</v>
      </c>
      <c r="F15" s="243" t="s">
        <v>39</v>
      </c>
      <c r="G15" s="244"/>
      <c r="H15" s="245">
        <f>H13-H14</f>
        <v>207188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242753</v>
      </c>
      <c r="F29" s="152" t="s">
        <v>54</v>
      </c>
      <c r="G29" s="214"/>
      <c r="H29" s="174">
        <f>H15-H16-H17-H18-H19-H20-H22-H23-H24+H26+H27+H28</f>
        <v>207146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96">
        <f t="shared" ref="H34:H39" si="2">F34*G34</f>
        <v>114000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6">
        <f t="shared" si="2"/>
        <v>22000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96">
        <f t="shared" si="2"/>
        <v>400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96">
        <f t="shared" si="2"/>
        <v>1900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96">
        <f t="shared" si="2"/>
        <v>150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96">
        <f t="shared" si="2"/>
        <v>40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124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140</v>
      </c>
      <c r="G44" s="62"/>
      <c r="H44" s="191">
        <v>55000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91">
        <v>13650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207264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6</v>
      </c>
      <c r="D50" s="12">
        <f>C50*1.5</f>
        <v>9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144</v>
      </c>
      <c r="G51" s="293">
        <f>G49-H29</f>
        <v>118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46175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330</v>
      </c>
      <c r="D6" s="13">
        <f t="shared" ref="D6:D28" si="1">C6*L6</f>
        <v>251130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</v>
      </c>
      <c r="D9" s="13">
        <f t="shared" si="1"/>
        <v>733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</v>
      </c>
      <c r="D10" s="13">
        <f t="shared" si="1"/>
        <v>1032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13</v>
      </c>
      <c r="D13" s="48">
        <f t="shared" si="1"/>
        <v>3991</v>
      </c>
      <c r="F13" s="280" t="s">
        <v>36</v>
      </c>
      <c r="G13" s="244"/>
      <c r="H13" s="235">
        <f>D29</f>
        <v>256886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37893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218993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1944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256886</v>
      </c>
      <c r="F29" s="152" t="s">
        <v>54</v>
      </c>
      <c r="G29" s="214"/>
      <c r="H29" s="174">
        <f>H15-H16-H17-H18-H19-H20-H22-H23-H24+H26+H27</f>
        <v>217049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96">
        <f>F34*G34</f>
        <v>102000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96">
        <f>F35*G35</f>
        <v>114500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6">
        <f t="shared" ref="H36:H39" si="2">F36*G36</f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96">
        <f t="shared" si="2"/>
        <v>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14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11</v>
      </c>
      <c r="D49" s="12">
        <f>C49*42</f>
        <v>462</v>
      </c>
      <c r="F49" s="172" t="s">
        <v>85</v>
      </c>
      <c r="G49" s="174">
        <f>H34+H35+H36+H37+H38+H39+H40+H41+G42+H44+H45+H46</f>
        <v>216834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2</v>
      </c>
      <c r="D50" s="12">
        <f>C50*1.5</f>
        <v>3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141</v>
      </c>
      <c r="G51" s="285">
        <f>G49-H29</f>
        <v>-215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46175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8">
        <v>346</v>
      </c>
      <c r="D6" s="13">
        <f t="shared" ref="D6:D28" si="1">C6*L6</f>
        <v>263306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8">
        <v>20</v>
      </c>
      <c r="D7" s="13">
        <f t="shared" si="1"/>
        <v>15620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8">
        <v>1</v>
      </c>
      <c r="D8" s="13">
        <f t="shared" si="1"/>
        <v>1093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8">
        <v>74</v>
      </c>
      <c r="D9" s="13">
        <f t="shared" si="1"/>
        <v>54242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8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8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8">
        <f>10+10+2</f>
        <v>22</v>
      </c>
      <c r="D12" s="48">
        <f t="shared" si="1"/>
        <v>21824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8">
        <v>1</v>
      </c>
      <c r="D13" s="48">
        <f t="shared" si="1"/>
        <v>307</v>
      </c>
      <c r="F13" s="280" t="s">
        <v>36</v>
      </c>
      <c r="G13" s="244"/>
      <c r="H13" s="235">
        <f>D29</f>
        <v>403944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8"/>
      <c r="D14" s="31">
        <f t="shared" si="1"/>
        <v>0</v>
      </c>
      <c r="F14" s="238" t="s">
        <v>38</v>
      </c>
      <c r="G14" s="239"/>
      <c r="H14" s="240">
        <f>D54</f>
        <v>72575.25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8">
        <f>10</f>
        <v>10</v>
      </c>
      <c r="D15" s="31">
        <f t="shared" si="1"/>
        <v>6200</v>
      </c>
      <c r="F15" s="243" t="s">
        <v>39</v>
      </c>
      <c r="G15" s="244"/>
      <c r="H15" s="245">
        <f>H13-H14</f>
        <v>331368.75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205">
        <v>918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148</v>
      </c>
      <c r="C22" s="108">
        <v>1</v>
      </c>
      <c r="D22" s="48">
        <f t="shared" si="1"/>
        <v>1102</v>
      </c>
      <c r="F22" s="76"/>
      <c r="G22" s="72"/>
      <c r="H22" s="221"/>
      <c r="I22" s="221"/>
      <c r="J22" s="221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149</v>
      </c>
      <c r="C23" s="108">
        <v>1</v>
      </c>
      <c r="D23" s="48">
        <f t="shared" si="1"/>
        <v>1204</v>
      </c>
      <c r="F23" s="77"/>
      <c r="G23" s="78"/>
      <c r="H23" s="292"/>
      <c r="I23" s="221"/>
      <c r="J23" s="221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2"/>
      <c r="I24" s="191"/>
      <c r="J24" s="191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152</v>
      </c>
      <c r="C26" s="108">
        <v>1</v>
      </c>
      <c r="D26" s="48">
        <f t="shared" si="1"/>
        <v>1277</v>
      </c>
      <c r="F26" s="64"/>
      <c r="G26" s="59"/>
      <c r="H26" s="226"/>
      <c r="I26" s="227"/>
      <c r="J26" s="228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153</v>
      </c>
      <c r="C27" s="108">
        <v>2</v>
      </c>
      <c r="D27" s="44">
        <f t="shared" si="1"/>
        <v>3334</v>
      </c>
      <c r="F27" s="25"/>
      <c r="G27" s="79"/>
      <c r="H27" s="229"/>
      <c r="I27" s="230"/>
      <c r="J27" s="231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403944</v>
      </c>
      <c r="F29" s="152" t="s">
        <v>54</v>
      </c>
      <c r="G29" s="214"/>
      <c r="H29" s="174">
        <f>H15-H16-H17-H18-H19-H20-H22-H23-H24+H26+H27</f>
        <v>330400.75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96">
        <f>F35*G35</f>
        <v>6500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96">
        <f t="shared" si="2"/>
        <v>3000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96">
        <f t="shared" si="2"/>
        <v>150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6">
        <v>38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91">
        <v>98416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91">
        <v>221673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10</v>
      </c>
      <c r="D46" s="12">
        <f>C46*1.5</f>
        <v>15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329777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5</v>
      </c>
      <c r="D50" s="12">
        <f>C50*1.5</f>
        <v>7.5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154</v>
      </c>
      <c r="G51" s="285">
        <f>G49-H29</f>
        <v>-623.75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46176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441</v>
      </c>
      <c r="D6" s="13">
        <f t="shared" ref="D6:D28" si="1">C6*L6</f>
        <v>335601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</v>
      </c>
      <c r="D7" s="13">
        <f t="shared" si="1"/>
        <v>3905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</v>
      </c>
      <c r="D9" s="13">
        <f t="shared" si="1"/>
        <v>7330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</v>
      </c>
      <c r="D10" s="13">
        <f t="shared" si="1"/>
        <v>1032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13</v>
      </c>
      <c r="D13" s="48">
        <f t="shared" si="1"/>
        <v>3991</v>
      </c>
      <c r="F13" s="280" t="s">
        <v>36</v>
      </c>
      <c r="G13" s="244"/>
      <c r="H13" s="235">
        <f>D29</f>
        <v>361570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41899.5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v>2</v>
      </c>
      <c r="D15" s="31">
        <f t="shared" si="1"/>
        <v>1240</v>
      </c>
      <c r="F15" s="243" t="s">
        <v>39</v>
      </c>
      <c r="G15" s="244"/>
      <c r="H15" s="245">
        <f>H13-H14</f>
        <v>319670.5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5">
        <v>1944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21">
        <v>88549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91">
        <v>78233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2</v>
      </c>
      <c r="D28" s="48">
        <f t="shared" si="1"/>
        <v>1622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361570</v>
      </c>
      <c r="F29" s="152" t="s">
        <v>54</v>
      </c>
      <c r="G29" s="214"/>
      <c r="H29" s="174">
        <f>H15-H16-H17-H18-H19-H20-H22-H23-H24+H26+H27+H28</f>
        <v>307410.5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96">
        <f t="shared" ref="H34:H39" si="2">F34*G34</f>
        <v>180000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6">
        <f t="shared" si="2"/>
        <v>1000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96">
        <f t="shared" si="2"/>
        <v>43700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96">
        <f t="shared" si="2"/>
        <v>3200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6</v>
      </c>
      <c r="D42" s="12">
        <f>C42*2.25</f>
        <v>13.5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91">
        <v>78233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7</v>
      </c>
      <c r="D49" s="12">
        <f>C49*42</f>
        <v>294</v>
      </c>
      <c r="F49" s="172" t="s">
        <v>85</v>
      </c>
      <c r="G49" s="174">
        <f>H34+H35+H36+H37+H38+H39+H40+H41+G42+H44+H45+H46</f>
        <v>306133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11</v>
      </c>
      <c r="D50" s="12">
        <f>C50*1.5</f>
        <v>16.5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-1277.5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46176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46176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46177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370</v>
      </c>
      <c r="D6" s="13">
        <f t="shared" ref="D6:D28" si="1">C6*L6</f>
        <v>281570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50</v>
      </c>
      <c r="D7" s="13">
        <f t="shared" si="1"/>
        <v>39050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65</v>
      </c>
      <c r="D8" s="13">
        <f t="shared" si="1"/>
        <v>71045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117</v>
      </c>
      <c r="D9" s="13">
        <f t="shared" si="1"/>
        <v>85761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26</v>
      </c>
      <c r="D12" s="48">
        <f t="shared" si="1"/>
        <v>25792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508853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82236.75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426616.25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3042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21">
        <v>62272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3</v>
      </c>
      <c r="D28" s="48">
        <f t="shared" si="1"/>
        <v>2433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508853</v>
      </c>
      <c r="F29" s="152" t="s">
        <v>54</v>
      </c>
      <c r="G29" s="214"/>
      <c r="H29" s="174">
        <f>H15-H16-H17-H18-H19-H20-H22-H23-H24+H26+H27+H28</f>
        <v>361302.25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96">
        <f t="shared" ref="H34:H39" si="2">F34*G34</f>
        <v>23000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6">
        <f t="shared" si="2"/>
        <v>3500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96">
        <f t="shared" si="2"/>
        <v>2300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96">
        <f t="shared" si="2"/>
        <v>450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6">
        <v>80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91">
        <v>321116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140</v>
      </c>
      <c r="G45" s="62"/>
      <c r="H45" s="191">
        <v>10122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360568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138</v>
      </c>
      <c r="G51" s="285">
        <f>G49-H29</f>
        <v>-734.25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46177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297</v>
      </c>
      <c r="D6" s="13">
        <f t="shared" ref="D6:D28" si="1">C6*L6</f>
        <v>226017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</v>
      </c>
      <c r="D7" s="13">
        <f t="shared" si="1"/>
        <v>781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23</v>
      </c>
      <c r="D9" s="13">
        <f t="shared" si="1"/>
        <v>16859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7</v>
      </c>
      <c r="D13" s="48">
        <f t="shared" si="1"/>
        <v>2149</v>
      </c>
      <c r="F13" s="280" t="s">
        <v>36</v>
      </c>
      <c r="G13" s="244"/>
      <c r="H13" s="235">
        <f>D29</f>
        <v>248406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41370.75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207035.25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5">
        <v>1896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248406</v>
      </c>
      <c r="F29" s="152" t="s">
        <v>54</v>
      </c>
      <c r="G29" s="214"/>
      <c r="H29" s="174">
        <f>H15-H16-H17-H18-H19-H20-H22-H23-H24+H26+H27</f>
        <v>205139.25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96">
        <f>F34*G34</f>
        <v>26000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96">
        <f>F35*G35</f>
        <v>52500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3</v>
      </c>
      <c r="D42" s="12">
        <f>C42*2.25</f>
        <v>6.75</v>
      </c>
      <c r="F42" s="39" t="s">
        <v>78</v>
      </c>
      <c r="G42" s="196">
        <v>85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91">
        <v>126406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</v>
      </c>
      <c r="D46" s="12">
        <f>C46*1.5</f>
        <v>1.5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9</v>
      </c>
      <c r="D49" s="12">
        <f>C49*42</f>
        <v>378</v>
      </c>
      <c r="F49" s="172" t="s">
        <v>85</v>
      </c>
      <c r="G49" s="174">
        <f>H34+H35+H36+H37+H38+H39+H40+H41+G42+H44+H45+H46</f>
        <v>205091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</v>
      </c>
      <c r="D50" s="12">
        <f>C50*1.5</f>
        <v>1.5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137</v>
      </c>
      <c r="G51" s="285">
        <f>G49-H29</f>
        <v>-48.25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46177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539</v>
      </c>
      <c r="D6" s="13">
        <f t="shared" ref="D6:D28" si="1">C6*L6</f>
        <v>410179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20</v>
      </c>
      <c r="D7" s="13">
        <f t="shared" si="1"/>
        <v>15620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135</v>
      </c>
      <c r="D9" s="13">
        <f t="shared" si="1"/>
        <v>98955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20</v>
      </c>
      <c r="D11" s="13">
        <f t="shared" si="1"/>
        <v>23400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20</v>
      </c>
      <c r="D12" s="48">
        <f t="shared" si="1"/>
        <v>19840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24</v>
      </c>
      <c r="D13" s="48">
        <f t="shared" si="1"/>
        <v>7368</v>
      </c>
      <c r="F13" s="280" t="s">
        <v>36</v>
      </c>
      <c r="G13" s="244"/>
      <c r="H13" s="235">
        <f>D29</f>
        <v>582314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89697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492617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205">
        <f>924+306</f>
        <v>1230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148</v>
      </c>
      <c r="C27" s="10">
        <v>1</v>
      </c>
      <c r="D27" s="44">
        <f t="shared" si="1"/>
        <v>1102</v>
      </c>
      <c r="F27" s="25"/>
      <c r="G27" s="79"/>
      <c r="H27" s="229"/>
      <c r="I27" s="230"/>
      <c r="J27" s="231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582314</v>
      </c>
      <c r="F29" s="152" t="s">
        <v>54</v>
      </c>
      <c r="G29" s="214"/>
      <c r="H29" s="174">
        <f>H15-H16-H17-H18-H19-H20-H22-H23-H24+H26+H27</f>
        <v>491387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96">
        <f>F34*G34</f>
        <v>24000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96">
        <f>F35*G35</f>
        <v>2000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96">
        <f t="shared" ref="H36:H39" si="2">F36*G36</f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96">
        <f t="shared" si="2"/>
        <v>5900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6">
        <v>30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91">
        <v>30346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91">
        <v>328788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91">
        <v>99736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24</v>
      </c>
      <c r="D49" s="12">
        <f>C49*42</f>
        <v>1008</v>
      </c>
      <c r="F49" s="172" t="s">
        <v>85</v>
      </c>
      <c r="G49" s="174">
        <f>H34+H35+H36+H37+H38+H39+H40+H41+G42+H44+H45+H46</f>
        <v>491050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14</v>
      </c>
      <c r="D50" s="12">
        <f>C50*1.5</f>
        <v>21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163</v>
      </c>
      <c r="G51" s="285">
        <f>G49-H29</f>
        <v>-337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46178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46178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384</v>
      </c>
      <c r="D6" s="13">
        <f t="shared" ref="D6:D28" si="1">C6*L6</f>
        <v>292224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4</v>
      </c>
      <c r="D7" s="13">
        <f t="shared" si="1"/>
        <v>3124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6</v>
      </c>
      <c r="D9" s="13">
        <f t="shared" si="1"/>
        <v>4398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9</v>
      </c>
      <c r="D13" s="48">
        <f t="shared" si="1"/>
        <v>2763</v>
      </c>
      <c r="F13" s="280" t="s">
        <v>36</v>
      </c>
      <c r="G13" s="244"/>
      <c r="H13" s="235">
        <f>D29</f>
        <v>302509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39733.5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262775.5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302509</v>
      </c>
      <c r="F29" s="152" t="s">
        <v>54</v>
      </c>
      <c r="G29" s="214"/>
      <c r="H29" s="174">
        <f>H15-H16-H17-H18-H19-H20-H22-H23-H24+H26+H27</f>
        <v>261479.5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96">
        <f>F34*G34</f>
        <v>90000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96">
        <f>F35*G35</f>
        <v>25500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96">
        <f t="shared" si="2"/>
        <v>40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77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91">
        <v>145825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4</v>
      </c>
      <c r="D49" s="12">
        <f>C49*42</f>
        <v>168</v>
      </c>
      <c r="F49" s="172" t="s">
        <v>85</v>
      </c>
      <c r="G49" s="174">
        <f>H34+H35+H36+H37+H38+H39+H40+H41+G42+H44+H45+H46</f>
        <v>261542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5</v>
      </c>
      <c r="D50" s="12">
        <f>C50*1.5</f>
        <v>7.5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62.5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46178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389</v>
      </c>
      <c r="D6" s="13">
        <f t="shared" ref="D6:D28" si="1">C6*L6</f>
        <v>296029</v>
      </c>
      <c r="F6" s="259" t="s">
        <v>16</v>
      </c>
      <c r="G6" s="261" t="s">
        <v>170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20</v>
      </c>
      <c r="D7" s="13">
        <f t="shared" si="1"/>
        <v>15620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46</v>
      </c>
      <c r="D9" s="13">
        <f t="shared" si="1"/>
        <v>33718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4+1</f>
        <v>5</v>
      </c>
      <c r="D12" s="48">
        <f t="shared" si="1"/>
        <v>4960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8</v>
      </c>
      <c r="D13" s="48">
        <f t="shared" si="1"/>
        <v>2456</v>
      </c>
      <c r="F13" s="280" t="s">
        <v>36</v>
      </c>
      <c r="G13" s="244"/>
      <c r="H13" s="235">
        <f>D29</f>
        <v>357319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52380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304939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1092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357319</v>
      </c>
      <c r="F29" s="152" t="s">
        <v>54</v>
      </c>
      <c r="G29" s="214"/>
      <c r="H29" s="174">
        <f>H15-H16-H17-H18-H19-H20-H22-H23-H24+H26+H27</f>
        <v>303847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96">
        <f>F34*G34</f>
        <v>103000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6">
        <f>F35*G35</f>
        <v>4500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6">
        <f t="shared" ref="H36:H39" si="2">F36*G36</f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96">
        <f t="shared" si="2"/>
        <v>6300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8</v>
      </c>
      <c r="D42" s="12">
        <f>C42*2.25</f>
        <v>18</v>
      </c>
      <c r="F42" s="39" t="s">
        <v>78</v>
      </c>
      <c r="G42" s="196">
        <v>20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91">
        <v>69159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91">
        <v>119736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5</v>
      </c>
      <c r="D46" s="12">
        <f>C46*1.5</f>
        <v>7.5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302965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14</v>
      </c>
      <c r="D50" s="12">
        <f>C50*1.5</f>
        <v>21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137</v>
      </c>
      <c r="G51" s="285">
        <f>G49-H29</f>
        <v>-882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46179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91">
        <v>62272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62272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96">
        <f t="shared" ref="H34:H39" si="2">F34*G34</f>
        <v>62000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6">
        <f t="shared" si="2"/>
        <v>200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22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62272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46179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46179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46181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46181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457</v>
      </c>
      <c r="D6" s="13">
        <f t="shared" ref="D6:D28" si="1">C6*L6</f>
        <v>347777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4</v>
      </c>
      <c r="D7" s="13">
        <f t="shared" si="1"/>
        <v>3124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33</v>
      </c>
      <c r="D9" s="13">
        <f t="shared" si="1"/>
        <v>24189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15</v>
      </c>
      <c r="D13" s="48">
        <f t="shared" si="1"/>
        <v>4605</v>
      </c>
      <c r="F13" s="280" t="s">
        <v>36</v>
      </c>
      <c r="G13" s="244"/>
      <c r="H13" s="235">
        <f>D29</f>
        <v>379695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56268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323427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2832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379695</v>
      </c>
      <c r="F29" s="152" t="s">
        <v>54</v>
      </c>
      <c r="G29" s="214"/>
      <c r="H29" s="174">
        <f>H15-H16-H17-H18-H19-H20-H22-H23-H24+H26+H27</f>
        <v>320595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96">
        <f>F34*G34</f>
        <v>151000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96">
        <f>F35*G35</f>
        <v>167000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96">
        <f t="shared" si="2"/>
        <v>700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96">
        <f t="shared" si="2"/>
        <v>250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8</v>
      </c>
      <c r="D42" s="12">
        <f>C42*2.25</f>
        <v>18</v>
      </c>
      <c r="F42" s="39" t="s">
        <v>78</v>
      </c>
      <c r="G42" s="196">
        <v>76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15</v>
      </c>
      <c r="D49" s="12">
        <f>C49*42</f>
        <v>630</v>
      </c>
      <c r="F49" s="172" t="s">
        <v>85</v>
      </c>
      <c r="G49" s="174">
        <f>H34+H35+H36+H37+H38+H39+H40+H41+G42+H44+H45+H46</f>
        <v>319046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-1549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46181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416</v>
      </c>
      <c r="D6" s="13">
        <f t="shared" ref="D6:D28" si="1">C6*L6</f>
        <v>316576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10</v>
      </c>
      <c r="D7" s="13">
        <f t="shared" si="1"/>
        <v>7810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76</v>
      </c>
      <c r="D9" s="13">
        <f t="shared" si="1"/>
        <v>55708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</v>
      </c>
      <c r="D11" s="13">
        <f t="shared" si="1"/>
        <v>1170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5</v>
      </c>
      <c r="D12" s="48">
        <f t="shared" si="1"/>
        <v>4960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389426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56689.5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332736.5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2478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389426</v>
      </c>
      <c r="F29" s="152" t="s">
        <v>54</v>
      </c>
      <c r="G29" s="214"/>
      <c r="H29" s="174">
        <f>H15-H16-H17-H18-H19-H20-H22-H23-H24+H26+H27</f>
        <v>330258.5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96">
        <f>F34*G34</f>
        <v>122000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6">
        <f>F35*G35</f>
        <v>30000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96">
        <f t="shared" si="2"/>
        <v>5200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96">
        <f t="shared" si="2"/>
        <v>900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22</v>
      </c>
      <c r="D42" s="12">
        <f>C42*2.25</f>
        <v>49.5</v>
      </c>
      <c r="F42" s="39" t="s">
        <v>78</v>
      </c>
      <c r="G42" s="196">
        <v>204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91">
        <v>164463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8</v>
      </c>
      <c r="D46" s="12">
        <f>C46*1.5</f>
        <v>12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322767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7</v>
      </c>
      <c r="D50" s="12">
        <f>C50*1.5</f>
        <v>10.5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-7491.5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339</v>
      </c>
      <c r="D6" s="13">
        <f t="shared" ref="D6:D28" si="1">C6*L6</f>
        <v>257979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9</v>
      </c>
      <c r="D7" s="13">
        <f t="shared" si="1"/>
        <v>7029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20</v>
      </c>
      <c r="D9" s="13">
        <f t="shared" si="1"/>
        <v>14660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1+1</f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</v>
      </c>
      <c r="D13" s="48">
        <f t="shared" si="1"/>
        <v>614</v>
      </c>
      <c r="F13" s="280" t="s">
        <v>36</v>
      </c>
      <c r="G13" s="244"/>
      <c r="H13" s="235">
        <f>D29</f>
        <v>284998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35218.5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249779.5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284998</v>
      </c>
      <c r="F29" s="152" t="s">
        <v>54</v>
      </c>
      <c r="G29" s="214"/>
      <c r="H29" s="174">
        <f>H15-H16-H17-H18-H19-H20-H22-H23-H24+H26+H27+H28</f>
        <v>249779.5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96">
        <f t="shared" ref="H34:H39" si="2">F34*G34</f>
        <v>129000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96">
        <f t="shared" si="2"/>
        <v>36500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96">
        <f t="shared" si="2"/>
        <v>3600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96">
        <f t="shared" si="2"/>
        <v>900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58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91">
        <v>67000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140</v>
      </c>
      <c r="G45" s="62"/>
      <c r="H45" s="191">
        <v>12350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2</v>
      </c>
      <c r="D49" s="12">
        <f>C49*42</f>
        <v>84</v>
      </c>
      <c r="F49" s="172" t="s">
        <v>85</v>
      </c>
      <c r="G49" s="174">
        <f>H34+H35+H36+H37+H38+H39+H40+H41+G42+H44+H45+H46</f>
        <v>249428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21</v>
      </c>
      <c r="D50" s="12">
        <f>C50*1.5</f>
        <v>31.5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-351.5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323</v>
      </c>
      <c r="D6" s="13">
        <f t="shared" ref="D6:D28" si="1">C6*L6</f>
        <v>245803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3</v>
      </c>
      <c r="D7" s="13">
        <f t="shared" si="1"/>
        <v>2343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50</v>
      </c>
      <c r="D9" s="13">
        <f t="shared" si="1"/>
        <v>36650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5</v>
      </c>
      <c r="D10" s="13">
        <f t="shared" si="1"/>
        <v>5160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12</v>
      </c>
      <c r="D13" s="48">
        <f t="shared" si="1"/>
        <v>3684</v>
      </c>
      <c r="F13" s="280" t="s">
        <v>36</v>
      </c>
      <c r="G13" s="244"/>
      <c r="H13" s="235">
        <f>D29</f>
        <v>296582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46258.5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250323.5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5">
        <v>2070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296582</v>
      </c>
      <c r="F29" s="152" t="s">
        <v>54</v>
      </c>
      <c r="G29" s="214"/>
      <c r="H29" s="174">
        <f>H15-H16-H17-H18-H19-H20-H22-H23-H24+H26+H27</f>
        <v>248253.5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96">
        <f>F34*G34</f>
        <v>18000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6">
        <f>F35*G35</f>
        <v>5000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96">
        <f t="shared" si="2"/>
        <v>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20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91">
        <v>224866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247986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</v>
      </c>
      <c r="D50" s="12">
        <f>C50*1.5</f>
        <v>1.5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-267.5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490</v>
      </c>
      <c r="D6" s="13">
        <f t="shared" ref="D6:D28" si="1">C6*L6</f>
        <v>372890</v>
      </c>
      <c r="F6" s="259" t="s">
        <v>16</v>
      </c>
      <c r="G6" s="261" t="s">
        <v>142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27</v>
      </c>
      <c r="D7" s="13">
        <f t="shared" si="1"/>
        <v>21087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108</v>
      </c>
      <c r="D9" s="13">
        <f t="shared" si="1"/>
        <v>79164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5</v>
      </c>
      <c r="D10" s="13">
        <f t="shared" si="1"/>
        <v>5160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7+2</f>
        <v>9</v>
      </c>
      <c r="D12" s="48">
        <f t="shared" si="1"/>
        <v>8928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19</v>
      </c>
      <c r="D13" s="48">
        <f t="shared" si="1"/>
        <v>5833</v>
      </c>
      <c r="F13" s="280" t="s">
        <v>36</v>
      </c>
      <c r="G13" s="244"/>
      <c r="H13" s="235">
        <f>D29</f>
        <v>494155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67279.5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426875.5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3288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494155</v>
      </c>
      <c r="F29" s="152" t="s">
        <v>54</v>
      </c>
      <c r="G29" s="214"/>
      <c r="H29" s="174">
        <f>H15-H16-H17-H18-H19-H20-H22-H23-H24+H26+H27</f>
        <v>423587.5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96">
        <f>F34*G34</f>
        <v>30000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6">
        <f>F35*G35</f>
        <v>29500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96">
        <f t="shared" si="2"/>
        <v>800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6">
        <f t="shared" si="2"/>
        <v>150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8</v>
      </c>
      <c r="D42" s="12">
        <f>C42*2.25</f>
        <v>18</v>
      </c>
      <c r="F42" s="39" t="s">
        <v>78</v>
      </c>
      <c r="G42" s="196">
        <v>42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91">
        <v>129945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91">
        <v>233114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4</v>
      </c>
      <c r="D46" s="12">
        <f>C46*1.5</f>
        <v>6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423571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22</v>
      </c>
      <c r="D50" s="12">
        <f>C50*1.5</f>
        <v>33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-16.5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312</v>
      </c>
      <c r="D6" s="13">
        <f t="shared" ref="D6:D28" si="1">C6*L6</f>
        <v>237432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8</v>
      </c>
      <c r="D7" s="13">
        <f t="shared" si="1"/>
        <v>6248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15</v>
      </c>
      <c r="D9" s="13">
        <f t="shared" si="1"/>
        <v>10995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262429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37573.5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v>2</v>
      </c>
      <c r="D15" s="31">
        <f t="shared" si="1"/>
        <v>1240</v>
      </c>
      <c r="F15" s="243" t="s">
        <v>39</v>
      </c>
      <c r="G15" s="244"/>
      <c r="H15" s="245">
        <f>H13-H14</f>
        <v>224855.5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9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2</v>
      </c>
      <c r="D28" s="48">
        <f t="shared" si="1"/>
        <v>1622</v>
      </c>
      <c r="F28" s="101"/>
      <c r="G28" s="61"/>
      <c r="H28" s="232"/>
      <c r="I28" s="233"/>
      <c r="J28" s="234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262429</v>
      </c>
      <c r="F29" s="152" t="s">
        <v>54</v>
      </c>
      <c r="G29" s="214"/>
      <c r="H29" s="174">
        <f>H15-H16-H17-H18-H19-H20-H22-H23-H24+H26+H27+H28</f>
        <v>224855.5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96">
        <f t="shared" ref="H34:H39" si="2">F34*G34</f>
        <v>54000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96">
        <f t="shared" si="2"/>
        <v>7000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6">
        <f t="shared" si="2"/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96">
        <f t="shared" si="2"/>
        <v>1800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4</v>
      </c>
      <c r="D42" s="12">
        <f>C42*2.25</f>
        <v>9</v>
      </c>
      <c r="F42" s="39" t="s">
        <v>78</v>
      </c>
      <c r="G42" s="196">
        <v>60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91">
        <v>11360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91">
        <v>150130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1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33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8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11"/>
      <c r="D49" s="12">
        <f>C49*42</f>
        <v>0</v>
      </c>
      <c r="F49" s="172" t="s">
        <v>85</v>
      </c>
      <c r="G49" s="174">
        <f>H34+H35+H36+H37+H38+H39+H40+H41+G42+H44+H45+H46</f>
        <v>224670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138</v>
      </c>
      <c r="G51" s="285">
        <f>G49-H29</f>
        <v>-185.5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338</v>
      </c>
      <c r="D6" s="13">
        <f t="shared" ref="D6:D28" si="1">C6*L6</f>
        <v>257218</v>
      </c>
      <c r="F6" s="259" t="s">
        <v>16</v>
      </c>
      <c r="G6" s="261" t="s">
        <v>142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</v>
      </c>
      <c r="D7" s="13">
        <f t="shared" si="1"/>
        <v>781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14</v>
      </c>
      <c r="D9" s="13">
        <f t="shared" si="1"/>
        <v>10262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5</v>
      </c>
      <c r="D12" s="48">
        <f t="shared" si="1"/>
        <v>4960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297741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41929.5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255811.5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205"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297741</v>
      </c>
      <c r="F29" s="152" t="s">
        <v>54</v>
      </c>
      <c r="G29" s="214"/>
      <c r="H29" s="174">
        <f>H15-H16-H17-H18-H19-H20-H22-H23-H24+H26+H27</f>
        <v>254515.5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96">
        <f>F34*G34</f>
        <v>107000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96">
        <f>F35*G35</f>
        <v>6000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96">
        <f t="shared" si="2"/>
        <v>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9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91">
        <v>140790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3</v>
      </c>
      <c r="D45" s="12">
        <f>C45*84</f>
        <v>252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13</v>
      </c>
      <c r="D46" s="12">
        <f>C46*1.5</f>
        <v>19.5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8</v>
      </c>
      <c r="D49" s="12">
        <f>C49*42</f>
        <v>336</v>
      </c>
      <c r="F49" s="172" t="s">
        <v>85</v>
      </c>
      <c r="G49" s="174">
        <f>H34+H35+H36+H37+H38+H39+H40+H41+G42+H44+H45+H46</f>
        <v>253940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22</v>
      </c>
      <c r="D50" s="12">
        <f>C50*1.5</f>
        <v>33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180</v>
      </c>
      <c r="G51" s="285">
        <f>G49-H29</f>
        <v>-575.5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4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46184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06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46184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265</v>
      </c>
      <c r="D6" s="13">
        <f t="shared" ref="D6:D28" si="1">C6*L6</f>
        <v>201665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108</v>
      </c>
      <c r="D9" s="13">
        <f t="shared" si="1"/>
        <v>79164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15</v>
      </c>
      <c r="D13" s="48">
        <f t="shared" si="1"/>
        <v>4605</v>
      </c>
      <c r="F13" s="280" t="s">
        <v>36</v>
      </c>
      <c r="G13" s="244"/>
      <c r="H13" s="235">
        <f>D29</f>
        <v>286866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41175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245691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1932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286866</v>
      </c>
      <c r="F29" s="152" t="s">
        <v>54</v>
      </c>
      <c r="G29" s="214"/>
      <c r="H29" s="174">
        <f>H15-H16-H17-H18-H19-H20-H22-H23-H24+H26+H27</f>
        <v>243759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96">
        <f>F34*G34</f>
        <v>138000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6">
        <f>F35*G35</f>
        <v>105500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9</v>
      </c>
      <c r="D49" s="12">
        <f>C49*42</f>
        <v>378</v>
      </c>
      <c r="F49" s="172" t="s">
        <v>85</v>
      </c>
      <c r="G49" s="174">
        <f>H34+H35+H36+H37+H38+H39+H40+H41+G42+H44+H45+H46</f>
        <v>243500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3</v>
      </c>
      <c r="D50" s="12">
        <f>C50*1.5</f>
        <v>4.5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-259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46184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269</v>
      </c>
      <c r="D6" s="13">
        <f t="shared" ref="D6:D28" si="1">C6*L6</f>
        <v>204709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11</v>
      </c>
      <c r="D7" s="13">
        <f t="shared" si="1"/>
        <v>8591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26</v>
      </c>
      <c r="D8" s="13">
        <f t="shared" si="1"/>
        <v>28418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53</v>
      </c>
      <c r="D9" s="13">
        <f t="shared" si="1"/>
        <v>38849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5</v>
      </c>
      <c r="D11" s="13">
        <f t="shared" si="1"/>
        <v>5850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</v>
      </c>
      <c r="D13" s="48">
        <f t="shared" si="1"/>
        <v>614</v>
      </c>
      <c r="F13" s="280" t="s">
        <v>36</v>
      </c>
      <c r="G13" s="244"/>
      <c r="H13" s="235">
        <f>D29</f>
        <v>291580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43789.5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247790.5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1242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21">
        <v>35098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3</v>
      </c>
      <c r="D28" s="48">
        <f t="shared" si="1"/>
        <v>2433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291580</v>
      </c>
      <c r="F29" s="152" t="s">
        <v>54</v>
      </c>
      <c r="G29" s="214"/>
      <c r="H29" s="174">
        <f>H15-H16-H17-H18-H19-H20-H22-H23-H24+H26+H27</f>
        <v>211400.5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96">
        <f>F34*G34</f>
        <v>83000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6">
        <f>F35*G35</f>
        <v>20000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2</v>
      </c>
      <c r="D42" s="12">
        <f>C42*2.25</f>
        <v>4.5</v>
      </c>
      <c r="F42" s="39" t="s">
        <v>78</v>
      </c>
      <c r="G42" s="196">
        <v>26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91">
        <v>97440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140</v>
      </c>
      <c r="G45" s="75"/>
      <c r="H45" s="191">
        <v>17976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15</v>
      </c>
      <c r="D46" s="12">
        <f>C46*1.5</f>
        <v>22.5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218542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16</v>
      </c>
      <c r="D50" s="12">
        <f>C50*1.5</f>
        <v>24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7141.5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4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422</v>
      </c>
      <c r="D6" s="13">
        <f t="shared" ref="D6:D28" si="1">C6*L6</f>
        <v>321142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8</v>
      </c>
      <c r="D7" s="13">
        <f t="shared" si="1"/>
        <v>6248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103</v>
      </c>
      <c r="D9" s="13">
        <f t="shared" si="1"/>
        <v>75499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12</v>
      </c>
      <c r="D13" s="48">
        <f t="shared" si="1"/>
        <v>3684</v>
      </c>
      <c r="F13" s="280" t="s">
        <v>36</v>
      </c>
      <c r="G13" s="244"/>
      <c r="H13" s="235">
        <f>D29</f>
        <v>410353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40264.5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f>3+1</f>
        <v>4</v>
      </c>
      <c r="D15" s="31">
        <f t="shared" si="1"/>
        <v>2480</v>
      </c>
      <c r="F15" s="243" t="s">
        <v>39</v>
      </c>
      <c r="G15" s="244"/>
      <c r="H15" s="245">
        <f>H13-H14</f>
        <v>370088.5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1074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21">
        <v>123065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06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410353</v>
      </c>
      <c r="F29" s="152" t="s">
        <v>54</v>
      </c>
      <c r="G29" s="214"/>
      <c r="H29" s="174">
        <f>H15-H16-H17-H18-H19-H20-H22-H23-H24+H26+H27+H28</f>
        <v>245949.5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96">
        <f t="shared" ref="H34:H39" si="2">F34*G34</f>
        <v>38000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96">
        <f t="shared" si="2"/>
        <v>22500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96">
        <f t="shared" si="2"/>
        <v>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96">
        <f t="shared" si="2"/>
        <v>450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12</v>
      </c>
      <c r="D42" s="12">
        <f>C42*2.25</f>
        <v>27</v>
      </c>
      <c r="F42" s="39" t="s">
        <v>78</v>
      </c>
      <c r="G42" s="196">
        <v>16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91">
        <v>134999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91">
        <v>45000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91">
        <v>4550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245615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-334.5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277</v>
      </c>
      <c r="D6" s="13">
        <f t="shared" ref="D6:D28" si="1">C6*L6</f>
        <v>210797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</v>
      </c>
      <c r="D7" s="13">
        <f t="shared" si="1"/>
        <v>3905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68</v>
      </c>
      <c r="D9" s="13">
        <f t="shared" si="1"/>
        <v>49844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273580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46170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v>1</v>
      </c>
      <c r="D15" s="31">
        <f t="shared" si="1"/>
        <v>620</v>
      </c>
      <c r="F15" s="243" t="s">
        <v>39</v>
      </c>
      <c r="G15" s="244"/>
      <c r="H15" s="245">
        <f>H13-H14</f>
        <v>227410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>
        <v>1140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273580</v>
      </c>
      <c r="F29" s="152" t="s">
        <v>54</v>
      </c>
      <c r="G29" s="214"/>
      <c r="H29" s="174">
        <f>H15-H16-H17-H18-H19-H20-H22-H23-H24+H26+H27</f>
        <v>226270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96">
        <f>F34*G34</f>
        <v>85000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96">
        <f>F35*G35</f>
        <v>15000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96">
        <f t="shared" si="2"/>
        <v>6600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2</v>
      </c>
      <c r="D42" s="12">
        <f>C42*2.25</f>
        <v>4.5</v>
      </c>
      <c r="F42" s="39" t="s">
        <v>78</v>
      </c>
      <c r="G42" s="196">
        <v>41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91">
        <v>119356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225997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-273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12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4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91">
        <v>123065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14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123065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91">
        <v>123065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123065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4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322</v>
      </c>
      <c r="D6" s="13">
        <f t="shared" ref="D6:D28" si="1">C6*L6</f>
        <v>245042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111</v>
      </c>
      <c r="D9" s="13">
        <f t="shared" si="1"/>
        <v>81363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9</v>
      </c>
      <c r="D13" s="48">
        <f t="shared" si="1"/>
        <v>2763</v>
      </c>
      <c r="F13" s="280" t="s">
        <v>36</v>
      </c>
      <c r="G13" s="244"/>
      <c r="H13" s="235">
        <f>D29</f>
        <v>337138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68018.25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269119.75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2430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>
        <v>125.84</v>
      </c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91">
        <v>35098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06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337138</v>
      </c>
      <c r="F29" s="152" t="s">
        <v>54</v>
      </c>
      <c r="G29" s="214"/>
      <c r="H29" s="174">
        <f>H15-H16-H17-H18-H19-H20-H22-H23-H24+H26+H27+H28</f>
        <v>301661.90999999997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96">
        <f t="shared" ref="H34:H39" si="2">F34*G34</f>
        <v>58000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6">
        <f t="shared" si="2"/>
        <v>1000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96">
        <f t="shared" si="2"/>
        <v>700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96">
        <f t="shared" si="2"/>
        <v>250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96">
        <v>48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91">
        <v>183077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91">
        <v>57853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23</v>
      </c>
      <c r="D46" s="12">
        <f>C46*1.5</f>
        <v>34.5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2</v>
      </c>
      <c r="D49" s="12">
        <f>C49*42</f>
        <v>84</v>
      </c>
      <c r="F49" s="172" t="s">
        <v>85</v>
      </c>
      <c r="G49" s="174">
        <f>H34+H35+H36+H37+H38+H39+H40+H41+G42+H44+H45+H46</f>
        <v>300948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11</v>
      </c>
      <c r="D50" s="12">
        <f>C50*1.5</f>
        <v>16.5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190</v>
      </c>
      <c r="G51" s="285">
        <f>G49-H29</f>
        <v>-713.90999999997439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379</v>
      </c>
      <c r="D6" s="13">
        <f t="shared" ref="D6:D28" si="1">C6*L6</f>
        <v>288419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6</v>
      </c>
      <c r="D9" s="13">
        <f t="shared" si="1"/>
        <v>4398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12</v>
      </c>
      <c r="D13" s="48">
        <f t="shared" si="1"/>
        <v>3684</v>
      </c>
      <c r="F13" s="280" t="s">
        <v>36</v>
      </c>
      <c r="G13" s="244"/>
      <c r="H13" s="235">
        <f>D29</f>
        <v>301187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45102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256085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2316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301187</v>
      </c>
      <c r="F29" s="152" t="s">
        <v>54</v>
      </c>
      <c r="G29" s="214"/>
      <c r="H29" s="174">
        <f>H15-H16-H17-H18-H19-H20-H22-H23-H24+H26+H27</f>
        <v>253769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96">
        <f>F34*G34</f>
        <v>77000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96">
        <f>F35*G35</f>
        <v>176500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96">
        <f t="shared" si="2"/>
        <v>250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44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9</v>
      </c>
      <c r="D49" s="12">
        <f>C49*42</f>
        <v>378</v>
      </c>
      <c r="F49" s="172" t="s">
        <v>85</v>
      </c>
      <c r="G49" s="174">
        <f>H34+H35+H36+H37+H38+H39+H40+H41+G42+H44+H45+H46</f>
        <v>253794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25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483</v>
      </c>
      <c r="D6" s="13">
        <f t="shared" ref="D6:D28" si="1">C6*L6</f>
        <v>367563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</v>
      </c>
      <c r="D7" s="13">
        <f t="shared" si="1"/>
        <v>3905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162</v>
      </c>
      <c r="D9" s="13">
        <f t="shared" si="1"/>
        <v>118746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3+1</f>
        <v>4</v>
      </c>
      <c r="D12" s="48">
        <f t="shared" si="1"/>
        <v>3968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23</v>
      </c>
      <c r="D13" s="48">
        <f t="shared" si="1"/>
        <v>7061</v>
      </c>
      <c r="F13" s="280" t="s">
        <v>36</v>
      </c>
      <c r="G13" s="244"/>
      <c r="H13" s="235">
        <f>D29</f>
        <v>510083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51577.5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458505.5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5">
        <f>828+726</f>
        <v>1554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510083</v>
      </c>
      <c r="F29" s="152" t="s">
        <v>54</v>
      </c>
      <c r="G29" s="214"/>
      <c r="H29" s="174">
        <f>H15-H16-H17-H18-H19-H20-H22-H23-H24+H26+H27</f>
        <v>456901.5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96">
        <f>F34*G34</f>
        <v>49000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6">
        <f>F35*G35</f>
        <v>1500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96">
        <f t="shared" si="2"/>
        <v>3500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25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91">
        <v>89622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91">
        <v>78268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91">
        <v>235016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456931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17</v>
      </c>
      <c r="D50" s="12">
        <f>C50*1.5</f>
        <v>25.5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29.5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04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46189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583</v>
      </c>
      <c r="D6" s="13">
        <f t="shared" ref="D6:D28" si="1">C6*L6</f>
        <v>443663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8</v>
      </c>
      <c r="D7" s="13">
        <f t="shared" si="1"/>
        <v>6248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121</v>
      </c>
      <c r="D9" s="13">
        <f t="shared" si="1"/>
        <v>88693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1+1</f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550495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102604.5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447890.5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2592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21">
        <v>261949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81">
        <v>93725</v>
      </c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91">
        <v>88549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06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3</v>
      </c>
      <c r="D28" s="48">
        <f t="shared" si="1"/>
        <v>2433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550495</v>
      </c>
      <c r="F29" s="152" t="s">
        <v>54</v>
      </c>
      <c r="G29" s="214"/>
      <c r="H29" s="174">
        <f>H15-H16-H17-H18-H19-H20-H22-H23-H24+H26+H27+H28</f>
        <v>178173.5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96">
        <f t="shared" ref="H34:H39" si="2">F34*G34</f>
        <v>40000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6">
        <f t="shared" si="2"/>
        <v>13000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96">
        <f t="shared" si="2"/>
        <v>5300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8</v>
      </c>
      <c r="D42" s="12">
        <f>C42*2.25</f>
        <v>18</v>
      </c>
      <c r="F42" s="39" t="s">
        <v>78</v>
      </c>
      <c r="G42" s="196">
        <v>114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91">
        <v>80000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91">
        <v>38726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177190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</v>
      </c>
      <c r="D50" s="12">
        <f>C50*1.5</f>
        <v>1.5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138</v>
      </c>
      <c r="G51" s="285">
        <f>G49-H29</f>
        <v>-983.5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46189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318</v>
      </c>
      <c r="D6" s="13">
        <f t="shared" ref="D6:D28" si="1">C6*L6</f>
        <v>241998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7</v>
      </c>
      <c r="D7" s="13">
        <f t="shared" si="1"/>
        <v>5467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4</v>
      </c>
      <c r="D9" s="13">
        <f t="shared" si="1"/>
        <v>2932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7</v>
      </c>
      <c r="D13" s="48">
        <f t="shared" si="1"/>
        <v>2149</v>
      </c>
      <c r="F13" s="280" t="s">
        <v>36</v>
      </c>
      <c r="G13" s="244"/>
      <c r="H13" s="235">
        <f>D29</f>
        <v>252546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37899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214647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1332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252546</v>
      </c>
      <c r="F29" s="152" t="s">
        <v>54</v>
      </c>
      <c r="G29" s="214"/>
      <c r="H29" s="174">
        <f>H15-H16-H17-H18-H19-H20-H22-H23-H24+H26+H27</f>
        <v>213315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96">
        <f>F34*G34</f>
        <v>55000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6">
        <f>F35*G35</f>
        <v>13500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96">
        <f t="shared" si="2"/>
        <v>400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8</v>
      </c>
      <c r="D42" s="12">
        <f>C42*2.25</f>
        <v>18</v>
      </c>
      <c r="F42" s="39" t="s">
        <v>78</v>
      </c>
      <c r="G42" s="196">
        <v>49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91">
        <v>144678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8</v>
      </c>
      <c r="D49" s="12">
        <f>C49*42</f>
        <v>336</v>
      </c>
      <c r="F49" s="172" t="s">
        <v>85</v>
      </c>
      <c r="G49" s="174">
        <f>H34+H35+H36+H37+H38+H39+H40+H41+G42+H44+H45+H46</f>
        <v>213727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19</v>
      </c>
      <c r="D50" s="12">
        <f>C50*1.5</f>
        <v>28.5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412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46189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648</v>
      </c>
      <c r="D6" s="13">
        <f t="shared" ref="D6:D28" si="1">C6*L6</f>
        <v>493128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18</v>
      </c>
      <c r="D7" s="13">
        <f t="shared" si="1"/>
        <v>14058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40</v>
      </c>
      <c r="D9" s="13">
        <f t="shared" si="1"/>
        <v>29320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15</v>
      </c>
      <c r="D11" s="13">
        <f t="shared" si="1"/>
        <v>17550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17+5</f>
        <v>22</v>
      </c>
      <c r="D12" s="48">
        <f t="shared" si="1"/>
        <v>21824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22</v>
      </c>
      <c r="D13" s="48">
        <f t="shared" si="1"/>
        <v>6754</v>
      </c>
      <c r="F13" s="280" t="s">
        <v>36</v>
      </c>
      <c r="G13" s="244"/>
      <c r="H13" s="235">
        <f>D29</f>
        <v>586130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85962.75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500167.25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f>1296+720</f>
        <v>2016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0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586130</v>
      </c>
      <c r="F29" s="152" t="s">
        <v>54</v>
      </c>
      <c r="G29" s="214"/>
      <c r="H29" s="174">
        <f>H15-H16-H17-H18-H19-H20-H22-H23-H24+H26+H27</f>
        <v>498151.25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96">
        <f>F34*G34</f>
        <v>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</v>
      </c>
      <c r="D42" s="12">
        <f>C42*2.25</f>
        <v>2.25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0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91">
        <v>80689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91">
        <v>2061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91">
        <v>140400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37" t="s">
        <v>155</v>
      </c>
      <c r="G47" s="110" t="s">
        <v>200</v>
      </c>
      <c r="H47" s="191">
        <v>271017</v>
      </c>
      <c r="I47" s="191"/>
      <c r="J47" s="19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18</v>
      </c>
      <c r="D49" s="12">
        <f>C49*42</f>
        <v>756</v>
      </c>
      <c r="F49" s="172" t="s">
        <v>85</v>
      </c>
      <c r="G49" s="174">
        <f>H34+H35+H36+H37+H38+H39+H40+H41+G42+H44+H45+H46+H47</f>
        <v>499167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13</v>
      </c>
      <c r="D50" s="12">
        <f>C50*1.5</f>
        <v>19.5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1015.75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16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46190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335</v>
      </c>
      <c r="D6" s="13">
        <f t="shared" ref="D6:D28" si="1">C6*L6</f>
        <v>254935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12</v>
      </c>
      <c r="D9" s="13">
        <f t="shared" si="1"/>
        <v>8796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5</v>
      </c>
      <c r="D13" s="48">
        <f t="shared" si="1"/>
        <v>1535</v>
      </c>
      <c r="F13" s="280" t="s">
        <v>36</v>
      </c>
      <c r="G13" s="244"/>
      <c r="H13" s="235">
        <f>D29</f>
        <v>265398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38468.25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226929.75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18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265398</v>
      </c>
      <c r="F29" s="152" t="s">
        <v>54</v>
      </c>
      <c r="G29" s="214"/>
      <c r="H29" s="174">
        <f>H15-H16-H17-H18-H19-H20-H22-H23-H24+H26+H27+H28</f>
        <v>226929.75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96">
        <f t="shared" ref="H34:H39" si="2">F34*G34</f>
        <v>122000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6">
        <f t="shared" si="2"/>
        <v>34000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6">
        <f t="shared" si="2"/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96">
        <f t="shared" si="2"/>
        <v>700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</v>
      </c>
      <c r="D42" s="12">
        <f>C42*2.25</f>
        <v>2.25</v>
      </c>
      <c r="F42" s="39" t="s">
        <v>78</v>
      </c>
      <c r="G42" s="196">
        <v>59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91">
        <v>60000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140</v>
      </c>
      <c r="G45" s="62"/>
      <c r="H45" s="191">
        <v>9694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226653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18</v>
      </c>
      <c r="D50" s="12">
        <f>C50*1.5</f>
        <v>27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-276.75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46190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292</v>
      </c>
      <c r="D6" s="13">
        <f t="shared" ref="D6:D28" si="1">C6*L6</f>
        <v>222212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15</v>
      </c>
      <c r="D9" s="13">
        <f t="shared" si="1"/>
        <v>10995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9</v>
      </c>
      <c r="D13" s="48">
        <f t="shared" si="1"/>
        <v>2763</v>
      </c>
      <c r="F13" s="280" t="s">
        <v>36</v>
      </c>
      <c r="G13" s="244"/>
      <c r="H13" s="235">
        <f>D29</f>
        <v>238898.5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34831.5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204067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238898.5</v>
      </c>
      <c r="F29" s="152" t="s">
        <v>54</v>
      </c>
      <c r="G29" s="214"/>
      <c r="H29" s="174">
        <f>H15-H16-H17-H18-H19-H20-H22-H23-H24+H26+H27</f>
        <v>202771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96">
        <f>F34*G34</f>
        <v>145000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96">
        <f>F35*G35</f>
        <v>51500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96">
        <f t="shared" si="2"/>
        <v>3500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96">
        <f t="shared" si="2"/>
        <v>2050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449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</v>
      </c>
      <c r="D44" s="12">
        <f>C44*120</f>
        <v>120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13</v>
      </c>
      <c r="D46" s="12">
        <f>C46*1.5</f>
        <v>19.5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202519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16</v>
      </c>
      <c r="D50" s="12">
        <f>C50*1.5</f>
        <v>24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-252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46190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452</v>
      </c>
      <c r="D6" s="13">
        <f t="shared" ref="D6:D28" si="1">C6*L6</f>
        <v>343972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58</v>
      </c>
      <c r="D9" s="13">
        <f t="shared" si="1"/>
        <v>42514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3</v>
      </c>
      <c r="D10" s="13">
        <f t="shared" si="1"/>
        <v>3096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15</v>
      </c>
      <c r="D13" s="48">
        <f t="shared" si="1"/>
        <v>4605</v>
      </c>
      <c r="F13" s="280" t="s">
        <v>36</v>
      </c>
      <c r="G13" s="244"/>
      <c r="H13" s="235">
        <f>D29</f>
        <v>403382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59484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343898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f>654+786+678</f>
        <v>2118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403382</v>
      </c>
      <c r="F29" s="152" t="s">
        <v>54</v>
      </c>
      <c r="G29" s="214"/>
      <c r="H29" s="174">
        <f>H15-H16-H17-H18-H19-H20-H22-H23-H24+H26+H27</f>
        <v>341730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96">
        <f>F34*G34</f>
        <v>107000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96">
        <f>F35*G35</f>
        <v>71000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96">
        <f t="shared" si="2"/>
        <v>1800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6">
        <v>111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91">
        <v>85945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91">
        <v>72690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6</v>
      </c>
      <c r="D49" s="12">
        <f>C49*42</f>
        <v>252</v>
      </c>
      <c r="F49" s="172" t="s">
        <v>85</v>
      </c>
      <c r="G49" s="174">
        <f>H34+H35+H36+H37+H38+H39+H40+H41+G42+H44+H45+H46</f>
        <v>338646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7</v>
      </c>
      <c r="D50" s="12">
        <f>C50*1.5</f>
        <v>10.5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-3084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16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46191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431</v>
      </c>
      <c r="D6" s="13">
        <f t="shared" ref="D6:D28" si="1">C6*L6</f>
        <v>327991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70</v>
      </c>
      <c r="D8" s="13">
        <f t="shared" si="1"/>
        <v>76510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9</v>
      </c>
      <c r="D13" s="48">
        <f t="shared" si="1"/>
        <v>2763</v>
      </c>
      <c r="F13" s="280" t="s">
        <v>36</v>
      </c>
      <c r="G13" s="244"/>
      <c r="H13" s="235">
        <f>D29</f>
        <v>407264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65709.75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341554.25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1296</f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21">
        <v>68110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18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407264</v>
      </c>
      <c r="F29" s="152" t="s">
        <v>54</v>
      </c>
      <c r="G29" s="214"/>
      <c r="H29" s="174">
        <f>H15-H16-H17-H18-H19-H20-H22-H23-H24+H26+H27+H28</f>
        <v>272148.25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96">
        <f t="shared" ref="H34:H39" si="2">F34*G34</f>
        <v>41000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96">
        <f t="shared" si="2"/>
        <v>82500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6">
        <f t="shared" si="2"/>
        <v>40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6">
        <v>101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91">
        <f>148000</f>
        <v>148000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21</v>
      </c>
      <c r="D46" s="12">
        <f>C46*1.5</f>
        <v>31.5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10</v>
      </c>
      <c r="D49" s="12">
        <f>C49*42</f>
        <v>420</v>
      </c>
      <c r="F49" s="172" t="s">
        <v>85</v>
      </c>
      <c r="G49" s="174">
        <f>H34+H35+H36+H37+H38+H39+H40+H41+G42+H44+H45+H46</f>
        <v>271641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-507.25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46191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262</v>
      </c>
      <c r="D6" s="13">
        <f t="shared" ref="D6:D28" si="1">C6*L6</f>
        <v>199382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10</v>
      </c>
      <c r="D7" s="13">
        <f t="shared" si="1"/>
        <v>7810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20</v>
      </c>
      <c r="D9" s="13">
        <f t="shared" si="1"/>
        <v>14660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2+1</f>
        <v>3</v>
      </c>
      <c r="D12" s="48">
        <f t="shared" si="1"/>
        <v>2976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230743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32746.5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197996.5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1092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230743</v>
      </c>
      <c r="F29" s="152" t="s">
        <v>54</v>
      </c>
      <c r="G29" s="214"/>
      <c r="H29" s="174">
        <f>H15-H16-H17-H18-H19-H20-H22-H23-H24+H26+H27</f>
        <v>196904.5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96">
        <f>F34*G34</f>
        <v>42000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6">
        <f>F35*G35</f>
        <v>21000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96">
        <f t="shared" si="2"/>
        <v>10000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96">
        <f t="shared" si="2"/>
        <v>1600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15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91">
        <v>122242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7</v>
      </c>
      <c r="D49" s="12">
        <f>C49*42</f>
        <v>294</v>
      </c>
      <c r="F49" s="172" t="s">
        <v>85</v>
      </c>
      <c r="G49" s="174">
        <f>H34+H35+H36+H37+H38+H39+H40+H41+G42+H44+H45+H46</f>
        <v>196857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4</v>
      </c>
      <c r="D50" s="12">
        <f>C50*1.5</f>
        <v>6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-47.5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46191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520</v>
      </c>
      <c r="D6" s="13">
        <f t="shared" ref="D6:D28" si="1">C6*L6</f>
        <v>395720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</v>
      </c>
      <c r="D9" s="13">
        <f t="shared" si="1"/>
        <v>1466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13</v>
      </c>
      <c r="D13" s="48">
        <f t="shared" si="1"/>
        <v>3991</v>
      </c>
      <c r="F13" s="280" t="s">
        <v>36</v>
      </c>
      <c r="G13" s="244"/>
      <c r="H13" s="235">
        <f>D29</f>
        <v>403373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67381.5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335991.5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654+312+1296+648</f>
        <v>2910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403373</v>
      </c>
      <c r="F29" s="152" t="s">
        <v>54</v>
      </c>
      <c r="G29" s="214"/>
      <c r="H29" s="174">
        <f>H15-H16-H17-H18-H19-H20-H22-H23-H24+H26+H27</f>
        <v>333081.5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96">
        <f>F34*G34</f>
        <v>84000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6">
        <f>F35*G35</f>
        <v>5500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6">
        <f t="shared" ref="H36:H39" si="2">F36*G36</f>
        <v>600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96">
        <f t="shared" si="2"/>
        <v>400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96">
        <f t="shared" si="2"/>
        <v>400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4</v>
      </c>
      <c r="D42" s="12">
        <f>C42*2.25</f>
        <v>9</v>
      </c>
      <c r="F42" s="39" t="s">
        <v>78</v>
      </c>
      <c r="G42" s="196">
        <v>4899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91">
        <v>70468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91">
        <v>140020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91">
        <v>28290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7</v>
      </c>
      <c r="D49" s="12">
        <f>C49*42</f>
        <v>294</v>
      </c>
      <c r="F49" s="172" t="s">
        <v>85</v>
      </c>
      <c r="G49" s="174">
        <f>H34+H35+H36+H37+H38+H39+H40+H41+G42+H44+H45+H46</f>
        <v>334577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13</v>
      </c>
      <c r="D50" s="12">
        <f>C50*1.5</f>
        <v>19.5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1495.5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16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191">
        <v>261949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18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261949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191">
        <v>261949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261949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312</v>
      </c>
      <c r="D6" s="13">
        <f t="shared" ref="D6:D28" si="1">C6*L6</f>
        <v>237432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</v>
      </c>
      <c r="D7" s="13">
        <f t="shared" si="1"/>
        <v>3905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</v>
      </c>
      <c r="D9" s="13">
        <f t="shared" si="1"/>
        <v>7330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8</v>
      </c>
      <c r="D13" s="48">
        <f t="shared" si="1"/>
        <v>2456</v>
      </c>
      <c r="F13" s="280" t="s">
        <v>36</v>
      </c>
      <c r="G13" s="244"/>
      <c r="H13" s="235">
        <f>D29</f>
        <v>251255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34557.75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216697.25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648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251255</v>
      </c>
      <c r="F29" s="152" t="s">
        <v>54</v>
      </c>
      <c r="G29" s="214"/>
      <c r="H29" s="174">
        <f>H15-H16-H17-H18-H19-H20-H22-H23-H24+H26+H27</f>
        <v>216049.25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196">
        <f>F34*G34</f>
        <v>179000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6">
        <f>F35*G35</f>
        <v>34000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96">
        <f t="shared" ref="H36:H39" si="2">F36*G36</f>
        <v>200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196">
        <f t="shared" si="2"/>
        <v>1300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196">
        <f t="shared" si="2"/>
        <v>600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6">
        <v>188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215288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3</v>
      </c>
      <c r="D50" s="12">
        <f>C50*1.5</f>
        <v>4.5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-761.25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379</v>
      </c>
      <c r="D6" s="13">
        <f t="shared" ref="D6:D28" si="1">C6*L6</f>
        <v>288419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10</v>
      </c>
      <c r="D7" s="13">
        <f t="shared" si="1"/>
        <v>7810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35</v>
      </c>
      <c r="D9" s="13">
        <f t="shared" si="1"/>
        <v>25655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13</v>
      </c>
      <c r="D13" s="48">
        <f t="shared" si="1"/>
        <v>3991</v>
      </c>
      <c r="F13" s="280" t="s">
        <v>36</v>
      </c>
      <c r="G13" s="244"/>
      <c r="H13" s="235">
        <f>D29</f>
        <v>327175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50172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277003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f>900+798+420</f>
        <v>2118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1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327175</v>
      </c>
      <c r="F29" s="152" t="s">
        <v>54</v>
      </c>
      <c r="G29" s="214"/>
      <c r="H29" s="174">
        <f>H15-H16-H17-H18-H19-H20-H22-H23-H24+H26+H27</f>
        <v>274885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196">
        <f>F34*G34</f>
        <v>132000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96">
        <f>F35*G35</f>
        <v>42500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6">
        <f t="shared" ref="H36:H39" si="2">F36*G36</f>
        <v>400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196">
        <f t="shared" si="2"/>
        <v>2300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6</v>
      </c>
      <c r="D42" s="12">
        <f>C42*2.25</f>
        <v>13.5</v>
      </c>
      <c r="F42" s="39" t="s">
        <v>78</v>
      </c>
      <c r="G42" s="196">
        <v>15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191">
        <v>98385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</v>
      </c>
      <c r="D49" s="12">
        <f>C49*42</f>
        <v>42</v>
      </c>
      <c r="F49" s="172" t="s">
        <v>85</v>
      </c>
      <c r="G49" s="174">
        <f>H34+H35+H36+H37+H38+H39+H40+H41+G42+H44+H45+H46</f>
        <v>275620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3</v>
      </c>
      <c r="D50" s="12">
        <f>C50*1.5</f>
        <v>4.5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735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2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191">
        <v>68110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1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68110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196">
        <f t="shared" ref="H34:H39" si="2">F34*G34</f>
        <v>67000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6">
        <f t="shared" si="2"/>
        <v>1000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6">
        <f t="shared" si="2"/>
        <v>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10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68110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1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25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298</v>
      </c>
      <c r="D6" s="13">
        <f t="shared" ref="D6:D28" si="1">C6*L6</f>
        <v>226778</v>
      </c>
      <c r="F6" s="259" t="s">
        <v>16</v>
      </c>
      <c r="G6" s="261" t="s">
        <v>142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56</v>
      </c>
      <c r="D7" s="13">
        <f t="shared" si="1"/>
        <v>43736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5</v>
      </c>
      <c r="D8" s="13">
        <f t="shared" si="1"/>
        <v>5465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</v>
      </c>
      <c r="D9" s="13">
        <f t="shared" si="1"/>
        <v>3665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11</v>
      </c>
      <c r="D10" s="13">
        <f t="shared" si="1"/>
        <v>11352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5</v>
      </c>
      <c r="D11" s="13">
        <f t="shared" si="1"/>
        <v>5850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9</v>
      </c>
      <c r="D13" s="48">
        <f t="shared" si="1"/>
        <v>2763</v>
      </c>
      <c r="F13" s="280" t="s">
        <v>36</v>
      </c>
      <c r="G13" s="244"/>
      <c r="H13" s="235">
        <f>D29</f>
        <v>302668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45939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256729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1728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23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5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302668</v>
      </c>
      <c r="F29" s="152" t="s">
        <v>54</v>
      </c>
      <c r="G29" s="214"/>
      <c r="H29" s="174">
        <f>H15-H16-H17-H18-H19-H20-H22-H23-H24+H26+H27+H28</f>
        <v>255001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196">
        <f t="shared" ref="H34:H39" si="2">F34*G34</f>
        <v>52000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196">
        <f t="shared" si="2"/>
        <v>9500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2</v>
      </c>
      <c r="D42" s="12">
        <f>C42*2.25</f>
        <v>4.5</v>
      </c>
      <c r="F42" s="39" t="s">
        <v>78</v>
      </c>
      <c r="G42" s="196">
        <v>31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191">
        <v>193299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4</v>
      </c>
      <c r="D46" s="12">
        <f>C46*1.5</f>
        <v>6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47</v>
      </c>
      <c r="D49" s="12">
        <f>C49*42</f>
        <v>1974</v>
      </c>
      <c r="F49" s="172" t="s">
        <v>85</v>
      </c>
      <c r="G49" s="174">
        <f>H34+H35+H36+H37+H38+H39+H40+H41+G42+H44+H45+H46</f>
        <v>254830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37</v>
      </c>
      <c r="D50" s="12">
        <f>C50*1.5</f>
        <v>55.5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-171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328</v>
      </c>
      <c r="D6" s="13">
        <f t="shared" ref="D6:D28" si="1">C6*L6</f>
        <v>249608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</v>
      </c>
      <c r="D7" s="13">
        <f t="shared" si="1"/>
        <v>781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</v>
      </c>
      <c r="D9" s="13">
        <f t="shared" si="1"/>
        <v>7330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10</v>
      </c>
      <c r="D13" s="48">
        <f t="shared" si="1"/>
        <v>3070</v>
      </c>
      <c r="F13" s="280" t="s">
        <v>36</v>
      </c>
      <c r="G13" s="244"/>
      <c r="H13" s="235">
        <f>D29</f>
        <v>262664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37476.75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225187.25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f>1296</f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5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262664</v>
      </c>
      <c r="F29" s="152" t="s">
        <v>54</v>
      </c>
      <c r="G29" s="214"/>
      <c r="H29" s="174">
        <f>H15-H16-H17-H18-H19-H20-H22-H23-H24+H26+H27</f>
        <v>223891.25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96">
        <f>F34*G34</f>
        <v>175000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196">
        <f>F35*G35</f>
        <v>45500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196">
        <f t="shared" si="2"/>
        <v>1000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6">
        <v>2305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</v>
      </c>
      <c r="D44" s="12">
        <f>C44*120</f>
        <v>120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10</v>
      </c>
      <c r="D49" s="12">
        <f>C49*42</f>
        <v>420</v>
      </c>
      <c r="F49" s="172" t="s">
        <v>85</v>
      </c>
      <c r="G49" s="174">
        <f>H34+H35+H36+H37+H38+H39+H40+H41+G42+H44+H45+H46</f>
        <v>223875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</v>
      </c>
      <c r="D50" s="12">
        <f>C50*1.5</f>
        <v>1.5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-16.25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300</v>
      </c>
      <c r="D6" s="13">
        <f t="shared" ref="D6:D28" si="1">C6*L6</f>
        <v>228300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13</v>
      </c>
      <c r="D7" s="13">
        <f t="shared" si="1"/>
        <v>10153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71</v>
      </c>
      <c r="D9" s="13">
        <f t="shared" si="1"/>
        <v>52043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</v>
      </c>
      <c r="D10" s="13">
        <f t="shared" si="1"/>
        <v>1032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7</v>
      </c>
      <c r="D13" s="48">
        <f t="shared" si="1"/>
        <v>2149</v>
      </c>
      <c r="F13" s="280" t="s">
        <v>36</v>
      </c>
      <c r="G13" s="244"/>
      <c r="H13" s="235">
        <f>D29</f>
        <v>294801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37740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257061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1044+150+654+42</f>
        <v>1890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5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294801</v>
      </c>
      <c r="F29" s="152" t="s">
        <v>54</v>
      </c>
      <c r="G29" s="214"/>
      <c r="H29" s="174">
        <f>H15-H16-H17-H18-H19-H20-H22-H23-H24+H26+H27</f>
        <v>255121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196">
        <f>F34*G34</f>
        <v>42000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96">
        <f>F35*G35</f>
        <v>16500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196">
        <f t="shared" si="2"/>
        <v>2500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196">
        <f t="shared" si="2"/>
        <v>700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6">
        <v>67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191">
        <v>117994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191">
        <v>71401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12</v>
      </c>
      <c r="D46" s="12">
        <f>C46*1.5</f>
        <v>18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4</v>
      </c>
      <c r="D49" s="12">
        <f>C49*42</f>
        <v>168</v>
      </c>
      <c r="F49" s="172" t="s">
        <v>85</v>
      </c>
      <c r="G49" s="174">
        <f>H34+H35+H36+H37+H38+H39+H40+H41+G42+H44+H45+H46</f>
        <v>251162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11</v>
      </c>
      <c r="D50" s="12">
        <f>C50*1.5</f>
        <v>16.5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-3959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25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459</v>
      </c>
      <c r="D6" s="13">
        <f t="shared" ref="D6:D28" si="1">C6*L6</f>
        <v>349299</v>
      </c>
      <c r="F6" s="259" t="s">
        <v>16</v>
      </c>
      <c r="G6" s="261" t="s">
        <v>142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</v>
      </c>
      <c r="D7" s="13">
        <f t="shared" si="1"/>
        <v>3905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99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6</v>
      </c>
      <c r="D9" s="13">
        <f t="shared" si="1"/>
        <v>4398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12</v>
      </c>
      <c r="D11" s="13">
        <f t="shared" si="1"/>
        <v>14040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6</v>
      </c>
      <c r="D13" s="48">
        <f t="shared" si="1"/>
        <v>1842</v>
      </c>
      <c r="F13" s="280" t="s">
        <v>36</v>
      </c>
      <c r="G13" s="244"/>
      <c r="H13" s="235">
        <f>D29</f>
        <v>379402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37230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f>1+1</f>
        <v>2</v>
      </c>
      <c r="D15" s="31">
        <f t="shared" si="1"/>
        <v>1240</v>
      </c>
      <c r="F15" s="243" t="s">
        <v>39</v>
      </c>
      <c r="G15" s="244"/>
      <c r="H15" s="245">
        <f>H13-H14</f>
        <v>342172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2652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23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2</v>
      </c>
      <c r="D28" s="48">
        <f t="shared" si="1"/>
        <v>1622</v>
      </c>
      <c r="F28" s="125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379402</v>
      </c>
      <c r="F29" s="152" t="s">
        <v>54</v>
      </c>
      <c r="G29" s="214"/>
      <c r="H29" s="174">
        <f>H15-H16-H17-H18-H19-H20-H22-H23-H24+H26+H27+H28</f>
        <v>339520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196">
        <f t="shared" ref="H34:H39" si="2">F34*G34</f>
        <v>7000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96">
        <f t="shared" si="2"/>
        <v>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6</v>
      </c>
      <c r="D42" s="12">
        <f>C42*2.25</f>
        <v>13.5</v>
      </c>
      <c r="F42" s="39" t="s">
        <v>78</v>
      </c>
      <c r="G42" s="196">
        <v>88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191">
        <v>309113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191">
        <v>10350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191">
        <v>12619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339470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15</v>
      </c>
      <c r="D50" s="12">
        <f>C50*1.5</f>
        <v>22.5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-50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277</v>
      </c>
      <c r="D6" s="13">
        <f t="shared" ref="D6:D28" si="1">C6*L6</f>
        <v>210797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4</v>
      </c>
      <c r="D7" s="13">
        <f t="shared" si="1"/>
        <v>3124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20</v>
      </c>
      <c r="D9" s="13">
        <f t="shared" si="1"/>
        <v>14660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8</v>
      </c>
      <c r="D13" s="48">
        <f t="shared" si="1"/>
        <v>2456</v>
      </c>
      <c r="F13" s="280" t="s">
        <v>36</v>
      </c>
      <c r="G13" s="244"/>
      <c r="H13" s="235">
        <f>D29</f>
        <v>231037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35286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195751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1440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5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231037</v>
      </c>
      <c r="F29" s="152" t="s">
        <v>54</v>
      </c>
      <c r="G29" s="214"/>
      <c r="H29" s="174">
        <f>H15-H16-H17-H18-H19-H20-H22-H23-H24+H26+H27</f>
        <v>194311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6">
        <f>F34*G34</f>
        <v>37000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6">
        <f>F35*G35</f>
        <v>1500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196">
        <f t="shared" si="2"/>
        <v>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64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191">
        <v>155670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8</v>
      </c>
      <c r="D49" s="12">
        <f>C49*42</f>
        <v>336</v>
      </c>
      <c r="F49" s="172" t="s">
        <v>85</v>
      </c>
      <c r="G49" s="174">
        <f>H34+H35+H36+H37+H38+H39+H40+H41+G42+H44+H45+H46</f>
        <v>194534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2</v>
      </c>
      <c r="D50" s="12">
        <f>C50*1.5</f>
        <v>3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223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46196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536</v>
      </c>
      <c r="D6" s="13">
        <f t="shared" ref="D6:D28" si="1">C6*L6</f>
        <v>407896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51</v>
      </c>
      <c r="D7" s="13">
        <f t="shared" si="1"/>
        <v>39831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10</v>
      </c>
      <c r="D8" s="13">
        <f t="shared" si="1"/>
        <v>10930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108</v>
      </c>
      <c r="D9" s="13">
        <f t="shared" si="1"/>
        <v>79164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5</v>
      </c>
      <c r="D10" s="13">
        <f t="shared" si="1"/>
        <v>5160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12</v>
      </c>
      <c r="D11" s="13">
        <f t="shared" si="1"/>
        <v>14040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4+1</f>
        <v>5</v>
      </c>
      <c r="D12" s="48">
        <f t="shared" si="1"/>
        <v>4960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20</v>
      </c>
      <c r="D13" s="48">
        <f t="shared" si="1"/>
        <v>6140</v>
      </c>
      <c r="F13" s="280" t="s">
        <v>36</v>
      </c>
      <c r="G13" s="244"/>
      <c r="H13" s="235">
        <f>D29</f>
        <v>570554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83077.5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487476.5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3240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3</v>
      </c>
      <c r="D28" s="48">
        <f t="shared" si="1"/>
        <v>2433</v>
      </c>
      <c r="F28" s="125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570554</v>
      </c>
      <c r="F29" s="152" t="s">
        <v>54</v>
      </c>
      <c r="G29" s="214"/>
      <c r="H29" s="174">
        <f>H15-H16-H17-H18-H19-H20-H22-H23-H24+H26+H27</f>
        <v>484236.5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196">
        <f>F34*G34</f>
        <v>122000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6">
        <f>F35*G35</f>
        <v>4000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196">
        <f t="shared" si="2"/>
        <v>1400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6</v>
      </c>
      <c r="D42" s="12">
        <f>C42*2.25</f>
        <v>13.5</v>
      </c>
      <c r="F42" s="39" t="s">
        <v>78</v>
      </c>
      <c r="G42" s="196">
        <v>3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23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191">
        <v>142126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191">
        <v>222234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11</v>
      </c>
      <c r="D46" s="12">
        <f>C46*1.5</f>
        <v>16.5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4</v>
      </c>
      <c r="D49" s="12">
        <f>C49*42</f>
        <v>168</v>
      </c>
      <c r="F49" s="172" t="s">
        <v>85</v>
      </c>
      <c r="G49" s="174">
        <f>H34+H35+H36+H37+H38+H39+H40+H41+G42+H44+H45+H46</f>
        <v>491863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2</v>
      </c>
      <c r="D50" s="12">
        <f>C50*1.5</f>
        <v>3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7626.5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28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0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315</v>
      </c>
      <c r="D6" s="13">
        <f t="shared" ref="D6:D28" si="1">C6*L6</f>
        <v>239715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5</v>
      </c>
      <c r="D7" s="13">
        <f t="shared" si="1"/>
        <v>3905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43</v>
      </c>
      <c r="D9" s="13">
        <f t="shared" si="1"/>
        <v>31519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</v>
      </c>
      <c r="D10" s="13">
        <f t="shared" si="1"/>
        <v>1032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</v>
      </c>
      <c r="D11" s="13">
        <f t="shared" si="1"/>
        <v>1170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1+1</f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</v>
      </c>
      <c r="D13" s="48">
        <f t="shared" si="1"/>
        <v>614</v>
      </c>
      <c r="F13" s="280" t="s">
        <v>36</v>
      </c>
      <c r="G13" s="244"/>
      <c r="H13" s="235">
        <f>D29</f>
        <v>287816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42750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245066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30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8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287816</v>
      </c>
      <c r="F29" s="152" t="s">
        <v>54</v>
      </c>
      <c r="G29" s="214"/>
      <c r="H29" s="174">
        <f>H15-H16-H17-H18-H19-H20-H22-H23-H24+H26+H27+H28</f>
        <v>245066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196">
        <f t="shared" ref="H34:H39" si="2">F34*G34</f>
        <v>146000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196">
        <f t="shared" si="2"/>
        <v>26500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196">
        <f t="shared" si="2"/>
        <v>1800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196">
        <f t="shared" si="2"/>
        <v>350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6">
        <v>66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0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191">
        <v>70000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244716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19</v>
      </c>
      <c r="D50" s="12">
        <f>C50*1.5</f>
        <v>28.5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-350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327</v>
      </c>
      <c r="D6" s="13">
        <f t="shared" ref="D6:D28" si="1">C6*L6</f>
        <v>248847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</v>
      </c>
      <c r="D7" s="13">
        <f t="shared" si="1"/>
        <v>1562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</v>
      </c>
      <c r="D9" s="13">
        <f t="shared" si="1"/>
        <v>3665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221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11</v>
      </c>
      <c r="D13" s="48">
        <f t="shared" si="1"/>
        <v>3377</v>
      </c>
      <c r="F13" s="280" t="s">
        <v>36</v>
      </c>
      <c r="G13" s="244"/>
      <c r="H13" s="235">
        <f>D29</f>
        <v>259093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38200.5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220892.5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1926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8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259093</v>
      </c>
      <c r="F29" s="152" t="s">
        <v>54</v>
      </c>
      <c r="G29" s="214"/>
      <c r="H29" s="174">
        <f>H15-H16-H17-H18-H19-H20-H22-H23-H24+H26+H27</f>
        <v>218966.5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96">
        <f>F34*G34</f>
        <v>175000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96">
        <f>F35*G35</f>
        <v>44000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0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8</v>
      </c>
      <c r="D49" s="12">
        <f>C49*42</f>
        <v>336</v>
      </c>
      <c r="F49" s="172" t="s">
        <v>85</v>
      </c>
      <c r="G49" s="174">
        <f>H34+H35+H36+H37+H38+H39+H40+H41+G42+H44+H45+H46</f>
        <v>219120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19</v>
      </c>
      <c r="D50" s="12">
        <f>C50*1.5</f>
        <v>28.5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153.5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573</v>
      </c>
      <c r="D6" s="13">
        <f t="shared" ref="D6:D28" si="1">C6*L6</f>
        <v>436053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23</v>
      </c>
      <c r="D7" s="13">
        <f t="shared" si="1"/>
        <v>17963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20</v>
      </c>
      <c r="D9" s="13">
        <f t="shared" si="1"/>
        <v>14660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1+1</f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16</v>
      </c>
      <c r="D13" s="48">
        <f t="shared" si="1"/>
        <v>4912</v>
      </c>
      <c r="F13" s="280" t="s">
        <v>36</v>
      </c>
      <c r="G13" s="244"/>
      <c r="H13" s="235">
        <f>D29</f>
        <v>475704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</v>
      </c>
      <c r="F14" s="238" t="s">
        <v>38</v>
      </c>
      <c r="G14" s="239"/>
      <c r="H14" s="240">
        <f>D54</f>
        <v>78024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397680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2142</f>
        <v>2142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28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475704</v>
      </c>
      <c r="F29" s="152" t="s">
        <v>54</v>
      </c>
      <c r="G29" s="214"/>
      <c r="H29" s="174">
        <f>H15-H16-H17-H18-H19-H20-H22-H23-H24+H26+H27</f>
        <v>395488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196">
        <f>F34*G34</f>
        <v>92000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6">
        <f>F35*G35</f>
        <v>5000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196">
        <f t="shared" si="2"/>
        <v>200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4</v>
      </c>
      <c r="D42" s="12">
        <f>C42*2.25</f>
        <v>9</v>
      </c>
      <c r="F42" s="39" t="s">
        <v>78</v>
      </c>
      <c r="G42" s="196">
        <v>25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0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191">
        <v>59301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191">
        <v>126586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191">
        <v>111689</v>
      </c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394871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15</v>
      </c>
      <c r="D50" s="12">
        <f>C50*1.5</f>
        <v>22.5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-617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32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4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456</v>
      </c>
      <c r="D6" s="13">
        <f t="shared" ref="D6:D28" si="1">C6*L6</f>
        <v>347016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25</v>
      </c>
      <c r="D7" s="13">
        <f t="shared" si="1"/>
        <v>19525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50</v>
      </c>
      <c r="D8" s="13">
        <f t="shared" si="1"/>
        <v>54650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</v>
      </c>
      <c r="D9" s="13">
        <f t="shared" si="1"/>
        <v>7330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3</v>
      </c>
      <c r="D10" s="13">
        <f t="shared" si="1"/>
        <v>3096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4</v>
      </c>
      <c r="D11" s="13">
        <f t="shared" si="1"/>
        <v>4680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1+1+1</f>
        <v>3</v>
      </c>
      <c r="D12" s="48">
        <f t="shared" si="1"/>
        <v>2976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</v>
      </c>
      <c r="D13" s="48">
        <f t="shared" si="1"/>
        <v>307</v>
      </c>
      <c r="F13" s="280" t="s">
        <v>36</v>
      </c>
      <c r="G13" s="244"/>
      <c r="H13" s="235">
        <f>D29</f>
        <v>452512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67101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v>1</v>
      </c>
      <c r="D15" s="31">
        <f t="shared" si="1"/>
        <v>620</v>
      </c>
      <c r="F15" s="243" t="s">
        <v>39</v>
      </c>
      <c r="G15" s="244"/>
      <c r="H15" s="245">
        <f>H13-H14</f>
        <v>385411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21">
        <v>58202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34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3</v>
      </c>
      <c r="D28" s="48">
        <f t="shared" si="1"/>
        <v>2433</v>
      </c>
      <c r="F28" s="13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452512</v>
      </c>
      <c r="F29" s="152" t="s">
        <v>54</v>
      </c>
      <c r="G29" s="214"/>
      <c r="H29" s="174">
        <f>H15-H16-H17-H18-H19-H20-H22-H23-H24+H26+H27+H28</f>
        <v>327209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196">
        <f t="shared" ref="H34:H39" si="2">F34*G34</f>
        <v>23000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96">
        <f t="shared" si="2"/>
        <v>4000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196">
        <f t="shared" si="2"/>
        <v>700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130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191">
        <v>152718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191">
        <v>144421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325019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9</v>
      </c>
      <c r="D50" s="12">
        <f>C50*1.5</f>
        <v>13.5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-2190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265</v>
      </c>
      <c r="D6" s="13">
        <f t="shared" ref="D6:D28" si="1">C6*L6</f>
        <v>201665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20</v>
      </c>
      <c r="D9" s="13">
        <f t="shared" si="1"/>
        <v>14660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9</v>
      </c>
      <c r="D13" s="48">
        <f t="shared" si="1"/>
        <v>2763</v>
      </c>
      <c r="F13" s="280" t="s">
        <v>36</v>
      </c>
      <c r="G13" s="244"/>
      <c r="H13" s="235">
        <f>D29</f>
        <v>234047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31532.25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202514.75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205">
        <v>1164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3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234047</v>
      </c>
      <c r="F29" s="152" t="s">
        <v>54</v>
      </c>
      <c r="G29" s="214"/>
      <c r="H29" s="174">
        <f>H15-H16-H17-H18-H19-H20-H22-H23-H24+H26+H27</f>
        <v>201350.75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96">
        <f>F34*G34</f>
        <v>59000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196">
        <f>F35*G35</f>
        <v>11500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6">
        <v>13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191">
        <v>130487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2</v>
      </c>
      <c r="D45" s="12">
        <f>C45*84</f>
        <v>168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18</v>
      </c>
      <c r="D46" s="12">
        <f>C46*1.5</f>
        <v>27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201000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7</v>
      </c>
      <c r="D50" s="12">
        <f>C50*1.5</f>
        <v>10.5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-350.75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46198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447</v>
      </c>
      <c r="D6" s="13">
        <f t="shared" ref="D6:D28" si="1">C6*L6</f>
        <v>340167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17</v>
      </c>
      <c r="D7" s="13">
        <f t="shared" si="1"/>
        <v>13277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2</v>
      </c>
      <c r="D8" s="13">
        <f t="shared" si="1"/>
        <v>2186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20</v>
      </c>
      <c r="D9" s="13">
        <f t="shared" si="1"/>
        <v>14660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2</v>
      </c>
      <c r="D11" s="13">
        <f t="shared" si="1"/>
        <v>2340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17</v>
      </c>
      <c r="D12" s="48">
        <f t="shared" si="1"/>
        <v>16864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17</v>
      </c>
      <c r="D13" s="48">
        <f t="shared" si="1"/>
        <v>5219</v>
      </c>
      <c r="F13" s="280" t="s">
        <v>36</v>
      </c>
      <c r="G13" s="244"/>
      <c r="H13" s="235">
        <f>D29</f>
        <v>398637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53112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v>3</v>
      </c>
      <c r="D15" s="31">
        <f t="shared" si="1"/>
        <v>1860</v>
      </c>
      <c r="F15" s="243" t="s">
        <v>39</v>
      </c>
      <c r="G15" s="244"/>
      <c r="H15" s="245">
        <f>H13-H14</f>
        <v>345525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648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32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398637</v>
      </c>
      <c r="F29" s="152" t="s">
        <v>54</v>
      </c>
      <c r="G29" s="214"/>
      <c r="H29" s="174">
        <f>H15-H16-H17-H18-H19-H20-H22-H23-H24+H26+H27</f>
        <v>344877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196">
        <f>F34*G34</f>
        <v>94000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6">
        <f>F35*G35</f>
        <v>5000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196">
        <f t="shared" si="2"/>
        <v>2600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196">
        <f t="shared" si="2"/>
        <v>400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4</v>
      </c>
      <c r="D42" s="12">
        <f>C42*2.25</f>
        <v>9</v>
      </c>
      <c r="F42" s="39" t="s">
        <v>78</v>
      </c>
      <c r="G42" s="196">
        <v>43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4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191">
        <v>74353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191">
        <v>162392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2</v>
      </c>
      <c r="D46" s="12">
        <f>C46*1.5</f>
        <v>3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3</v>
      </c>
      <c r="D49" s="12">
        <f>C49*42</f>
        <v>126</v>
      </c>
      <c r="F49" s="172" t="s">
        <v>85</v>
      </c>
      <c r="G49" s="174">
        <f>H34+H35+H36+H37+H38+H39+H40+H41+G42+H44+H45+H46</f>
        <v>338788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2</v>
      </c>
      <c r="D50" s="12">
        <f>C50*1.5</f>
        <v>3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154</v>
      </c>
      <c r="G51" s="285">
        <f>G49-H29</f>
        <v>-6089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36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8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46197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38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3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46199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433</v>
      </c>
      <c r="D6" s="13">
        <f t="shared" ref="D6:D28" si="1">C6*L6</f>
        <v>329513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3</v>
      </c>
      <c r="D7" s="13">
        <f t="shared" si="1"/>
        <v>2343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66</v>
      </c>
      <c r="D9" s="13">
        <f t="shared" si="1"/>
        <v>48378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15</v>
      </c>
      <c r="D13" s="48">
        <f t="shared" si="1"/>
        <v>4605</v>
      </c>
      <c r="F13" s="280" t="s">
        <v>36</v>
      </c>
      <c r="G13" s="244"/>
      <c r="H13" s="235">
        <f>D29</f>
        <v>384839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47219.25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337619.75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2244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3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384839</v>
      </c>
      <c r="F29" s="152" t="s">
        <v>54</v>
      </c>
      <c r="G29" s="214"/>
      <c r="H29" s="174">
        <f>H15-H16-H17-H18-H19-H20-H22-H23-H24+H26+H27</f>
        <v>335375.75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96">
        <f>F34*G34</f>
        <v>138000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96">
        <f>F35*G35</f>
        <v>72500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196">
        <f t="shared" si="2"/>
        <v>13300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196">
        <f t="shared" si="2"/>
        <v>5000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6">
        <v>25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191">
        <v>108072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4</v>
      </c>
      <c r="D46" s="12">
        <f>C46*1.5</f>
        <v>6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10</v>
      </c>
      <c r="D49" s="12">
        <f>C49*42</f>
        <v>420</v>
      </c>
      <c r="F49" s="172" t="s">
        <v>85</v>
      </c>
      <c r="G49" s="174">
        <f>H34+H35+H36+H37+H38+H39+H40+H41+G42+H44+H45+H46</f>
        <v>336897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1521.25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46199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205</v>
      </c>
      <c r="D6" s="13">
        <f t="shared" ref="D6:D28" si="1">C6*L6</f>
        <v>156005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20</v>
      </c>
      <c r="D7" s="13">
        <f t="shared" si="1"/>
        <v>15620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10</v>
      </c>
      <c r="D8" s="13">
        <f t="shared" si="1"/>
        <v>10930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52</v>
      </c>
      <c r="D9" s="13">
        <f t="shared" si="1"/>
        <v>38116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10</v>
      </c>
      <c r="D10" s="13">
        <f t="shared" si="1"/>
        <v>10320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>
        <v>10</v>
      </c>
      <c r="D11" s="13">
        <f t="shared" si="1"/>
        <v>11700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20+5</f>
        <v>25</v>
      </c>
      <c r="D12" s="48">
        <f t="shared" si="1"/>
        <v>24800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296303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28881.75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>
        <f>5+10</f>
        <v>15</v>
      </c>
      <c r="D15" s="31">
        <f t="shared" si="1"/>
        <v>9300</v>
      </c>
      <c r="F15" s="243" t="s">
        <v>39</v>
      </c>
      <c r="G15" s="244"/>
      <c r="H15" s="245">
        <f>H13-H14</f>
        <v>267421.25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10</v>
      </c>
      <c r="D28" s="48">
        <f t="shared" si="1"/>
        <v>8110</v>
      </c>
      <c r="F28" s="136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296303</v>
      </c>
      <c r="F29" s="152" t="s">
        <v>54</v>
      </c>
      <c r="G29" s="214"/>
      <c r="H29" s="174">
        <f>H15-H16-H17-H18-H19-H20-H22-H23-H24+H26+H27</f>
        <v>267421.25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196">
        <f>F34*G34</f>
        <v>6000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196">
        <f>F35*G35</f>
        <v>3500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8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191">
        <v>264323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43</v>
      </c>
      <c r="D45" s="12">
        <f>C45*84</f>
        <v>3612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273823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6401.75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41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9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46200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191">
        <v>58202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39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H15-H16-H17-H18-H19-H20-H22-H23-H24+H26+H27+H28</f>
        <v>58202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196">
        <f t="shared" ref="H34:H39" si="2">F34*G34</f>
        <v>58000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6">
        <f t="shared" si="2"/>
        <v>200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2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58202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10" zoomScaleNormal="100" zoomScaleSheetLayoutView="85" workbookViewId="0">
      <selection activeCell="M39" sqref="M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46200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46200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/>
      <c r="D6" s="13">
        <f t="shared" ref="D6:D28" si="1">C6*L6</f>
        <v>0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1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39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136B-DED5-40D7-A3B1-F63D0571E32D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44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6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863-DC9A-442A-AD70-945DB166BC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46202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592</v>
      </c>
      <c r="D6" s="13">
        <f t="shared" ref="D6:D28" si="1">C6*L6</f>
        <v>450512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3</v>
      </c>
      <c r="D7" s="13">
        <f t="shared" si="1"/>
        <v>2343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21</v>
      </c>
      <c r="D9" s="13">
        <f t="shared" si="1"/>
        <v>15393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22</v>
      </c>
      <c r="D13" s="48">
        <f t="shared" si="1"/>
        <v>6754</v>
      </c>
      <c r="F13" s="280" t="s">
        <v>36</v>
      </c>
      <c r="G13" s="244"/>
      <c r="H13" s="235">
        <f>D29</f>
        <v>475002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57194.25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417807.75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3348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/>
      <c r="G26" s="65"/>
      <c r="H26" s="191"/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46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475002</v>
      </c>
      <c r="F29" s="152" t="s">
        <v>54</v>
      </c>
      <c r="G29" s="214"/>
      <c r="H29" s="174">
        <f>H15-H16-H17-H18-H19-H20-H22-H23-H24+H26+H27+H28</f>
        <v>414459.75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316</v>
      </c>
      <c r="H34" s="196">
        <f t="shared" ref="H34:H39" si="2">F34*G34</f>
        <v>316000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198</v>
      </c>
      <c r="H35" s="196">
        <f t="shared" si="2"/>
        <v>99000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>
        <v>4</v>
      </c>
      <c r="H37" s="196">
        <f t="shared" si="2"/>
        <v>400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6">
        <f t="shared" si="2"/>
        <v>100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6">
        <v>63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21</v>
      </c>
      <c r="D49" s="12">
        <f>C49*42</f>
        <v>882</v>
      </c>
      <c r="F49" s="172" t="s">
        <v>85</v>
      </c>
      <c r="G49" s="174">
        <f>H34+H35+H36+H37+H38+H39+H40+H41+G42+H44+H45+H46</f>
        <v>415563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8</v>
      </c>
      <c r="D50" s="12">
        <f>C50*1.5</f>
        <v>12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144</v>
      </c>
      <c r="G51" s="293">
        <f>G49-H29</f>
        <v>1103.25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6367-C233-4AD5-8DCC-9295A61930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46202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263</v>
      </c>
      <c r="D6" s="13">
        <f t="shared" ref="D6:D28" si="1">C6*L6</f>
        <v>200143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6</v>
      </c>
      <c r="D7" s="13">
        <f t="shared" si="1"/>
        <v>4686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30</v>
      </c>
      <c r="D9" s="13">
        <f t="shared" si="1"/>
        <v>21990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1</v>
      </c>
      <c r="D12" s="48">
        <f t="shared" si="1"/>
        <v>992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4</v>
      </c>
      <c r="D13" s="48">
        <f t="shared" si="1"/>
        <v>1228</v>
      </c>
      <c r="F13" s="280" t="s">
        <v>36</v>
      </c>
      <c r="G13" s="244"/>
      <c r="H13" s="235">
        <f>D29</f>
        <v>232541.5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132.5</v>
      </c>
      <c r="F14" s="238" t="s">
        <v>38</v>
      </c>
      <c r="G14" s="239"/>
      <c r="H14" s="240">
        <f>D54</f>
        <v>34172.25</v>
      </c>
      <c r="I14" s="241"/>
      <c r="J14" s="24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198369.25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810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232541.5</v>
      </c>
      <c r="F29" s="152" t="s">
        <v>54</v>
      </c>
      <c r="G29" s="214"/>
      <c r="H29" s="174">
        <f>H15-H16-H17-H18-H19-H20-H22-H23-H24+H26+H27</f>
        <v>197559.25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105</v>
      </c>
      <c r="H34" s="196">
        <f>F34*G34</f>
        <v>105000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169</v>
      </c>
      <c r="H35" s="196">
        <f>F35*G35</f>
        <v>84500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6">
        <f t="shared" ref="H36:H39" si="2">F36*G36</f>
        <v>400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56</v>
      </c>
      <c r="H37" s="196">
        <f t="shared" si="2"/>
        <v>5600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6</v>
      </c>
      <c r="H38" s="196">
        <f t="shared" si="2"/>
        <v>300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6">
        <v>43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5</v>
      </c>
      <c r="D46" s="12">
        <f>C46*1.5</f>
        <v>7.5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195863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20</v>
      </c>
      <c r="D50" s="12">
        <f>C50*1.5</f>
        <v>30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-1696.25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34172.25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C710-12C7-499D-97CF-4F0286CC65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46202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474</v>
      </c>
      <c r="D6" s="13">
        <f t="shared" ref="D6:D28" si="1">C6*L6</f>
        <v>360714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10</v>
      </c>
      <c r="D7" s="13">
        <f t="shared" si="1"/>
        <v>7810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59</v>
      </c>
      <c r="D9" s="13">
        <f t="shared" si="1"/>
        <v>43247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15</v>
      </c>
      <c r="D13" s="48">
        <f t="shared" si="1"/>
        <v>4605</v>
      </c>
      <c r="F13" s="280" t="s">
        <v>36</v>
      </c>
      <c r="G13" s="244"/>
      <c r="H13" s="235">
        <f>D29</f>
        <v>419626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60675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358951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>
        <v>2832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4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419626</v>
      </c>
      <c r="F29" s="152" t="s">
        <v>54</v>
      </c>
      <c r="G29" s="214"/>
      <c r="H29" s="174">
        <f>H15-H16-H17-H18-H19-H20-H22-H23-H24+H26+H27</f>
        <v>356119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43</v>
      </c>
      <c r="H34" s="196">
        <f>F34*G34</f>
        <v>43000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2</v>
      </c>
      <c r="H37" s="196">
        <f t="shared" si="2"/>
        <v>200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>
        <v>25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6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 t="s">
        <v>155</v>
      </c>
      <c r="G44" s="75" t="s">
        <v>230</v>
      </c>
      <c r="H44" s="191">
        <v>239316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 t="s">
        <v>155</v>
      </c>
      <c r="G45" s="75" t="s">
        <v>231</v>
      </c>
      <c r="H45" s="191">
        <v>69684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352225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-3894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60675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DA230-252E-4A20-ABA2-6791A9C8F17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8" t="s">
        <v>1</v>
      </c>
      <c r="O1" s="248"/>
      <c r="P1" s="148" t="s">
        <v>2</v>
      </c>
      <c r="Q1" s="14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9" t="s">
        <v>7</v>
      </c>
      <c r="B4" s="200"/>
      <c r="C4" s="200"/>
      <c r="D4" s="201"/>
      <c r="F4" s="249" t="s">
        <v>8</v>
      </c>
      <c r="G4" s="251"/>
      <c r="H4" s="253" t="s">
        <v>9</v>
      </c>
      <c r="I4" s="255"/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4"/>
      <c r="B6" s="16"/>
      <c r="C6" s="10"/>
      <c r="D6" s="13">
        <f t="shared" ref="D6:D28" si="1">C6*L6</f>
        <v>0</v>
      </c>
      <c r="F6" s="259" t="s">
        <v>16</v>
      </c>
      <c r="G6" s="261"/>
      <c r="H6" s="262"/>
      <c r="I6" s="262"/>
      <c r="J6" s="2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4"/>
      <c r="B7" s="16"/>
      <c r="C7" s="10"/>
      <c r="D7" s="13">
        <f t="shared" si="1"/>
        <v>0</v>
      </c>
      <c r="F7" s="260"/>
      <c r="G7" s="264"/>
      <c r="H7" s="265"/>
      <c r="I7" s="265"/>
      <c r="J7" s="2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4"/>
      <c r="B8" s="16"/>
      <c r="C8" s="10"/>
      <c r="D8" s="13">
        <f t="shared" si="1"/>
        <v>0</v>
      </c>
      <c r="F8" s="267" t="s">
        <v>21</v>
      </c>
      <c r="G8" s="268"/>
      <c r="H8" s="269"/>
      <c r="I8" s="269"/>
      <c r="J8" s="27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4"/>
      <c r="B9" s="16"/>
      <c r="C9" s="10"/>
      <c r="D9" s="13">
        <f t="shared" si="1"/>
        <v>0</v>
      </c>
      <c r="F9" s="260"/>
      <c r="G9" s="271"/>
      <c r="H9" s="272"/>
      <c r="I9" s="272"/>
      <c r="J9" s="27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4"/>
      <c r="C10" s="10"/>
      <c r="D10" s="13">
        <f t="shared" si="1"/>
        <v>0</v>
      </c>
      <c r="F10" s="259" t="s">
        <v>26</v>
      </c>
      <c r="G10" s="274"/>
      <c r="H10" s="275"/>
      <c r="I10" s="275"/>
      <c r="J10" s="276"/>
      <c r="K10" s="8"/>
      <c r="L10" s="6">
        <f>R36</f>
        <v>972</v>
      </c>
      <c r="P10" s="4"/>
      <c r="Q10" s="4"/>
      <c r="R10" s="5"/>
    </row>
    <row r="11" spans="1:19" ht="15.75" x14ac:dyDescent="0.25">
      <c r="A11" s="194"/>
      <c r="B11" s="17"/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4"/>
      <c r="B12" s="17"/>
      <c r="C12" s="10"/>
      <c r="D12" s="48">
        <f t="shared" si="1"/>
        <v>0</v>
      </c>
      <c r="F12" s="277" t="s">
        <v>33</v>
      </c>
      <c r="G12" s="278"/>
      <c r="H12" s="278"/>
      <c r="I12" s="278"/>
      <c r="J12" s="27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4"/>
      <c r="B13" s="17"/>
      <c r="C13" s="10"/>
      <c r="D13" s="48">
        <f t="shared" si="1"/>
        <v>0</v>
      </c>
      <c r="F13" s="280" t="s">
        <v>36</v>
      </c>
      <c r="G13" s="244"/>
      <c r="H13" s="235">
        <f>D29</f>
        <v>0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4"/>
      <c r="B14" s="14"/>
      <c r="C14" s="10"/>
      <c r="D14" s="31">
        <f t="shared" si="1"/>
        <v>0</v>
      </c>
      <c r="F14" s="238" t="s">
        <v>38</v>
      </c>
      <c r="G14" s="239"/>
      <c r="H14" s="240">
        <f>D54</f>
        <v>0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4"/>
      <c r="B15" s="14"/>
      <c r="C15" s="10"/>
      <c r="D15" s="31">
        <f t="shared" si="1"/>
        <v>0</v>
      </c>
      <c r="F15" s="243" t="s">
        <v>39</v>
      </c>
      <c r="G15" s="244"/>
      <c r="H15" s="245">
        <f>H13-H14</f>
        <v>0</v>
      </c>
      <c r="I15" s="246"/>
      <c r="J15" s="2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19"/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14"/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4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4"/>
      <c r="B22" s="46"/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/>
      <c r="C23" s="10"/>
      <c r="D23" s="48">
        <f t="shared" si="1"/>
        <v>0</v>
      </c>
      <c r="F23" s="77"/>
      <c r="G23" s="78"/>
      <c r="H23" s="222"/>
      <c r="I23" s="191"/>
      <c r="J23" s="19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/>
      <c r="C24" s="10"/>
      <c r="D24" s="48">
        <f t="shared" si="1"/>
        <v>0</v>
      </c>
      <c r="F24" s="38"/>
      <c r="G24" s="37"/>
      <c r="H24" s="222"/>
      <c r="I24" s="191"/>
      <c r="J24" s="19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/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4"/>
      <c r="B27" s="14"/>
      <c r="C27" s="10"/>
      <c r="D27" s="44">
        <f t="shared" si="1"/>
        <v>0</v>
      </c>
      <c r="F27" s="25"/>
      <c r="G27" s="79"/>
      <c r="H27" s="229"/>
      <c r="I27" s="230"/>
      <c r="J27" s="23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/>
      <c r="C28" s="10"/>
      <c r="D28" s="48">
        <f t="shared" si="1"/>
        <v>0</v>
      </c>
      <c r="F28" s="149"/>
      <c r="G28" s="61"/>
      <c r="H28" s="232"/>
      <c r="I28" s="233"/>
      <c r="J28" s="23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152" t="s">
        <v>54</v>
      </c>
      <c r="G29" s="214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4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5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5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7" t="s">
        <v>82</v>
      </c>
      <c r="H43" s="188" t="s">
        <v>13</v>
      </c>
      <c r="I43" s="189"/>
      <c r="J43" s="190"/>
      <c r="K43" s="21"/>
      <c r="P43" s="4"/>
      <c r="Q43" s="4"/>
      <c r="R43" s="5"/>
    </row>
    <row r="44" spans="1:18" ht="15.75" x14ac:dyDescent="0.25">
      <c r="A44" s="167"/>
      <c r="B44" s="27" t="s">
        <v>65</v>
      </c>
      <c r="C44" s="10"/>
      <c r="D44" s="12">
        <f>C44*120</f>
        <v>0</v>
      </c>
      <c r="F44" s="37"/>
      <c r="G44" s="75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/>
      <c r="D48" s="12">
        <f>C48*78</f>
        <v>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/>
      <c r="D49" s="12">
        <f>C49*42</f>
        <v>0</v>
      </c>
      <c r="F49" s="172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/>
      <c r="D50" s="12">
        <f>C50*1.5</f>
        <v>0</v>
      </c>
      <c r="F50" s="173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106</v>
      </c>
      <c r="G51" s="182">
        <f>G49-H29</f>
        <v>0</v>
      </c>
      <c r="H51" s="183"/>
      <c r="I51" s="183"/>
      <c r="J51" s="18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0</v>
      </c>
      <c r="F54" s="21"/>
      <c r="J54" s="34"/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6B902-EF68-42CB-8400-7D5EB31B0AB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1</v>
      </c>
      <c r="H4" s="253" t="s">
        <v>9</v>
      </c>
      <c r="I4" s="255">
        <v>46203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382</v>
      </c>
      <c r="D6" s="13">
        <f t="shared" ref="D6:D28" si="1">C6*L6</f>
        <v>290702</v>
      </c>
      <c r="F6" s="259" t="s">
        <v>16</v>
      </c>
      <c r="G6" s="261" t="s">
        <v>99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10</v>
      </c>
      <c r="D7" s="13">
        <f t="shared" si="1"/>
        <v>7810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117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108</v>
      </c>
      <c r="D9" s="13">
        <f t="shared" si="1"/>
        <v>79164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>
        <v>2</v>
      </c>
      <c r="D10" s="13">
        <f t="shared" si="1"/>
        <v>2064</v>
      </c>
      <c r="F10" s="259" t="s">
        <v>26</v>
      </c>
      <c r="G10" s="274" t="s">
        <v>108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29</v>
      </c>
      <c r="D13" s="48">
        <f t="shared" si="1"/>
        <v>8903</v>
      </c>
      <c r="F13" s="280" t="s">
        <v>36</v>
      </c>
      <c r="G13" s="244"/>
      <c r="H13" s="235">
        <f>D29</f>
        <v>393812.5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>
        <v>12</v>
      </c>
      <c r="D14" s="31">
        <f t="shared" si="1"/>
        <v>132.5</v>
      </c>
      <c r="F14" s="238" t="s">
        <v>38</v>
      </c>
      <c r="G14" s="239"/>
      <c r="H14" s="240">
        <f>D54</f>
        <v>56001</v>
      </c>
      <c r="I14" s="241"/>
      <c r="J14" s="24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8">
        <v>1</v>
      </c>
      <c r="D15" s="31">
        <f t="shared" si="1"/>
        <v>620</v>
      </c>
      <c r="F15" s="243" t="s">
        <v>39</v>
      </c>
      <c r="G15" s="244"/>
      <c r="H15" s="245">
        <f>H13-H14</f>
        <v>337811.5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1944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 t="s">
        <v>157</v>
      </c>
      <c r="G22" s="72">
        <v>11180</v>
      </c>
      <c r="H22" s="221">
        <v>84261</v>
      </c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6"/>
      <c r="G23" s="78"/>
      <c r="H23" s="281"/>
      <c r="I23" s="282"/>
      <c r="J23" s="2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76"/>
      <c r="G24" s="78"/>
      <c r="H24" s="281"/>
      <c r="I24" s="282"/>
      <c r="J24" s="2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74" t="s">
        <v>157</v>
      </c>
      <c r="G26" s="65">
        <v>10950</v>
      </c>
      <c r="H26" s="191">
        <v>93725</v>
      </c>
      <c r="I26" s="191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71"/>
      <c r="G27" s="147"/>
      <c r="H27" s="283"/>
      <c r="I27" s="284"/>
      <c r="J27" s="2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>
        <v>3</v>
      </c>
      <c r="D28" s="48">
        <f t="shared" si="1"/>
        <v>2433</v>
      </c>
      <c r="F28" s="149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393812.5</v>
      </c>
      <c r="F29" s="152" t="s">
        <v>54</v>
      </c>
      <c r="G29" s="214"/>
      <c r="H29" s="174">
        <f>H15-H16-H17-H18-H19-H20-H22-H23-H24+H26+H27+H28</f>
        <v>345331.5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39</v>
      </c>
      <c r="H34" s="196">
        <f t="shared" ref="H34:H39" si="2">F34*G34</f>
        <v>39000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6">
        <f t="shared" si="2"/>
        <v>1000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458</v>
      </c>
      <c r="D37" s="12">
        <f>C37*111</f>
        <v>50838</v>
      </c>
      <c r="F37" s="12">
        <v>100</v>
      </c>
      <c r="G37" s="39">
        <v>4</v>
      </c>
      <c r="H37" s="196">
        <f t="shared" si="2"/>
        <v>400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8</v>
      </c>
      <c r="D42" s="12">
        <f>C42*2.25</f>
        <v>18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7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232</v>
      </c>
      <c r="H44" s="191">
        <v>211117.5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 t="s">
        <v>155</v>
      </c>
      <c r="G45" s="151" t="s">
        <v>156</v>
      </c>
      <c r="H45" s="191">
        <v>93725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22</v>
      </c>
      <c r="D46" s="12">
        <f>C46*1.5</f>
        <v>33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25</v>
      </c>
      <c r="D48" s="12">
        <f>C48*78</f>
        <v>1950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345242.5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/>
      <c r="D50" s="12">
        <f>C50*1.5</f>
        <v>0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158</v>
      </c>
      <c r="G51" s="285">
        <f>G49-H29</f>
        <v>-89</v>
      </c>
      <c r="H51" s="286"/>
      <c r="I51" s="286"/>
      <c r="J51" s="28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288"/>
      <c r="H52" s="289"/>
      <c r="I52" s="289"/>
      <c r="J52" s="29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56001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137-1673-4651-A4DB-8F45047D07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2</v>
      </c>
      <c r="H4" s="253" t="s">
        <v>9</v>
      </c>
      <c r="I4" s="255">
        <v>46203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259</v>
      </c>
      <c r="D6" s="13">
        <f t="shared" ref="D6:D28" si="1">C6*L6</f>
        <v>197099</v>
      </c>
      <c r="F6" s="259" t="s">
        <v>16</v>
      </c>
      <c r="G6" s="261" t="s">
        <v>107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8</v>
      </c>
      <c r="D7" s="13">
        <f t="shared" si="1"/>
        <v>6248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>
        <v>1</v>
      </c>
      <c r="D8" s="13">
        <f t="shared" si="1"/>
        <v>1093</v>
      </c>
      <c r="F8" s="267" t="s">
        <v>21</v>
      </c>
      <c r="G8" s="268" t="s">
        <v>100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28</v>
      </c>
      <c r="D9" s="13">
        <f t="shared" si="1"/>
        <v>20524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101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f>1+1</f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8</v>
      </c>
      <c r="D13" s="48">
        <f t="shared" si="1"/>
        <v>2456</v>
      </c>
      <c r="F13" s="280" t="s">
        <v>36</v>
      </c>
      <c r="G13" s="244"/>
      <c r="H13" s="235">
        <f>D29</f>
        <v>231354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35021.25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196332.75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5">
        <v>1110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9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231354</v>
      </c>
      <c r="F29" s="152" t="s">
        <v>54</v>
      </c>
      <c r="G29" s="214"/>
      <c r="H29" s="174">
        <f>H15-H16-H17-H18-H19-H20-H22-H23-H24+H26+H27</f>
        <v>195222.75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60</v>
      </c>
      <c r="H34" s="196">
        <f>F34*G34</f>
        <v>60000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6">
        <f>F35*G35</f>
        <v>12500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291</v>
      </c>
      <c r="D37" s="12">
        <f>C37*111</f>
        <v>32301</v>
      </c>
      <c r="F37" s="12">
        <v>100</v>
      </c>
      <c r="G37" s="39">
        <v>5</v>
      </c>
      <c r="H37" s="196">
        <f t="shared" si="2"/>
        <v>500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5</v>
      </c>
      <c r="H38" s="196">
        <f t="shared" si="2"/>
        <v>250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6">
        <f t="shared" si="2"/>
        <v>20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6">
        <v>61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7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233</v>
      </c>
      <c r="H44" s="191">
        <v>122110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/>
      <c r="D45" s="12">
        <f>C45*84</f>
        <v>0</v>
      </c>
      <c r="F45" s="37"/>
      <c r="G45" s="75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3</v>
      </c>
      <c r="D46" s="12">
        <f>C46*1.5</f>
        <v>4.5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5</v>
      </c>
      <c r="D49" s="12">
        <f>C49*42</f>
        <v>210</v>
      </c>
      <c r="F49" s="172" t="s">
        <v>85</v>
      </c>
      <c r="G49" s="174">
        <f>H34+H35+H36+H37+H38+H39+H40+H41+G42+H44+H45+H46</f>
        <v>195441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80">
        <v>13</v>
      </c>
      <c r="D50" s="12">
        <f>C50*1.5</f>
        <v>19.5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218.25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35021.25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2BA6A-2037-4D87-8502-8A1247800A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8" t="s">
        <v>1</v>
      </c>
      <c r="O1" s="248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9" t="s">
        <v>7</v>
      </c>
      <c r="B4" s="200"/>
      <c r="C4" s="200"/>
      <c r="D4" s="201"/>
      <c r="F4" s="249" t="s">
        <v>8</v>
      </c>
      <c r="G4" s="251">
        <v>3</v>
      </c>
      <c r="H4" s="253" t="s">
        <v>9</v>
      </c>
      <c r="I4" s="255">
        <v>46203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3" t="s">
        <v>7</v>
      </c>
      <c r="B5" s="15" t="s">
        <v>11</v>
      </c>
      <c r="C5" s="9" t="s">
        <v>12</v>
      </c>
      <c r="D5" s="25" t="s">
        <v>13</v>
      </c>
      <c r="F5" s="250"/>
      <c r="G5" s="252"/>
      <c r="H5" s="254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4"/>
      <c r="B6" s="16" t="s">
        <v>15</v>
      </c>
      <c r="C6" s="10">
        <v>317</v>
      </c>
      <c r="D6" s="13">
        <f t="shared" ref="D6:D28" si="1">C6*L6</f>
        <v>241237</v>
      </c>
      <c r="F6" s="259" t="s">
        <v>16</v>
      </c>
      <c r="G6" s="261" t="s">
        <v>115</v>
      </c>
      <c r="H6" s="262"/>
      <c r="I6" s="262"/>
      <c r="J6" s="2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4"/>
      <c r="B7" s="16" t="s">
        <v>18</v>
      </c>
      <c r="C7" s="10">
        <v>19</v>
      </c>
      <c r="D7" s="13">
        <f t="shared" si="1"/>
        <v>14839</v>
      </c>
      <c r="F7" s="260"/>
      <c r="G7" s="264"/>
      <c r="H7" s="265"/>
      <c r="I7" s="265"/>
      <c r="J7" s="2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4"/>
      <c r="B8" s="16" t="s">
        <v>20</v>
      </c>
      <c r="C8" s="10"/>
      <c r="D8" s="13">
        <f t="shared" si="1"/>
        <v>0</v>
      </c>
      <c r="F8" s="267" t="s">
        <v>21</v>
      </c>
      <c r="G8" s="268" t="s">
        <v>109</v>
      </c>
      <c r="H8" s="269"/>
      <c r="I8" s="269"/>
      <c r="J8" s="27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4"/>
      <c r="B9" s="16" t="s">
        <v>23</v>
      </c>
      <c r="C9" s="10">
        <v>59</v>
      </c>
      <c r="D9" s="13">
        <f t="shared" si="1"/>
        <v>43247</v>
      </c>
      <c r="F9" s="260"/>
      <c r="G9" s="271"/>
      <c r="H9" s="272"/>
      <c r="I9" s="272"/>
      <c r="J9" s="27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4"/>
      <c r="B10" t="s">
        <v>25</v>
      </c>
      <c r="C10" s="10"/>
      <c r="D10" s="13">
        <f t="shared" si="1"/>
        <v>0</v>
      </c>
      <c r="F10" s="259" t="s">
        <v>26</v>
      </c>
      <c r="G10" s="274" t="s">
        <v>121</v>
      </c>
      <c r="H10" s="275"/>
      <c r="I10" s="275"/>
      <c r="J10" s="276"/>
      <c r="K10" s="8"/>
      <c r="L10" s="6">
        <f>R36</f>
        <v>1032</v>
      </c>
      <c r="P10" s="4"/>
      <c r="Q10" s="4"/>
      <c r="R10" s="5"/>
    </row>
    <row r="11" spans="1:18" ht="15.75" x14ac:dyDescent="0.25">
      <c r="A11" s="194"/>
      <c r="B11" s="17" t="s">
        <v>28</v>
      </c>
      <c r="C11" s="10"/>
      <c r="D11" s="13">
        <f t="shared" si="1"/>
        <v>0</v>
      </c>
      <c r="F11" s="260"/>
      <c r="G11" s="271"/>
      <c r="H11" s="272"/>
      <c r="I11" s="272"/>
      <c r="J11" s="27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4"/>
      <c r="B12" s="17" t="s">
        <v>30</v>
      </c>
      <c r="C12" s="10">
        <v>2</v>
      </c>
      <c r="D12" s="48">
        <f t="shared" si="1"/>
        <v>1984</v>
      </c>
      <c r="F12" s="277" t="s">
        <v>33</v>
      </c>
      <c r="G12" s="278"/>
      <c r="H12" s="278"/>
      <c r="I12" s="278"/>
      <c r="J12" s="27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4"/>
      <c r="B13" s="17" t="s">
        <v>32</v>
      </c>
      <c r="C13" s="10">
        <v>8</v>
      </c>
      <c r="D13" s="48">
        <f t="shared" si="1"/>
        <v>2456</v>
      </c>
      <c r="F13" s="280" t="s">
        <v>36</v>
      </c>
      <c r="G13" s="244"/>
      <c r="H13" s="235">
        <f>D29</f>
        <v>305063</v>
      </c>
      <c r="I13" s="236"/>
      <c r="J13" s="23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4"/>
      <c r="B14" s="14" t="s">
        <v>35</v>
      </c>
      <c r="C14" s="10"/>
      <c r="D14" s="31">
        <f t="shared" si="1"/>
        <v>0</v>
      </c>
      <c r="F14" s="238" t="s">
        <v>38</v>
      </c>
      <c r="G14" s="239"/>
      <c r="H14" s="240">
        <f>D54</f>
        <v>46435.5</v>
      </c>
      <c r="I14" s="241"/>
      <c r="J14" s="24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4"/>
      <c r="B15" s="14" t="s">
        <v>119</v>
      </c>
      <c r="C15" s="10"/>
      <c r="D15" s="31">
        <f t="shared" si="1"/>
        <v>0</v>
      </c>
      <c r="F15" s="243" t="s">
        <v>39</v>
      </c>
      <c r="G15" s="244"/>
      <c r="H15" s="245">
        <f>H13-H14</f>
        <v>258627.5</v>
      </c>
      <c r="I15" s="246"/>
      <c r="J15" s="24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1578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6"/>
      <c r="I17" s="216"/>
      <c r="J17" s="21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6"/>
      <c r="I18" s="216"/>
      <c r="J18" s="21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8" t="s">
        <v>13</v>
      </c>
      <c r="I21" s="219"/>
      <c r="J21" s="22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4"/>
      <c r="B22" s="46" t="s">
        <v>103</v>
      </c>
      <c r="C22" s="10"/>
      <c r="D22" s="48">
        <f t="shared" si="1"/>
        <v>0</v>
      </c>
      <c r="F22" s="76"/>
      <c r="G22" s="72"/>
      <c r="H22" s="221"/>
      <c r="I22" s="221"/>
      <c r="J22" s="22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4"/>
      <c r="B23" s="14" t="s">
        <v>118</v>
      </c>
      <c r="C23" s="10"/>
      <c r="D23" s="48">
        <f t="shared" si="1"/>
        <v>0</v>
      </c>
      <c r="F23" s="77"/>
      <c r="G23" s="78"/>
      <c r="H23" s="292"/>
      <c r="I23" s="221"/>
      <c r="J23" s="22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4"/>
      <c r="B24" s="14" t="s">
        <v>125</v>
      </c>
      <c r="C24" s="10"/>
      <c r="D24" s="48">
        <f t="shared" si="1"/>
        <v>0</v>
      </c>
      <c r="F24" s="38"/>
      <c r="G24" s="37"/>
      <c r="H24" s="222"/>
      <c r="I24" s="191"/>
      <c r="J24" s="19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3" t="s">
        <v>13</v>
      </c>
      <c r="I25" s="224"/>
      <c r="J25" s="22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4"/>
      <c r="B26" s="14" t="s">
        <v>126</v>
      </c>
      <c r="C26" s="10"/>
      <c r="D26" s="48">
        <f t="shared" si="1"/>
        <v>0</v>
      </c>
      <c r="F26" s="64"/>
      <c r="G26" s="59"/>
      <c r="H26" s="226"/>
      <c r="I26" s="227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4"/>
      <c r="B27" s="14" t="s">
        <v>127</v>
      </c>
      <c r="C27" s="10"/>
      <c r="D27" s="44">
        <f t="shared" si="1"/>
        <v>0</v>
      </c>
      <c r="F27" s="25"/>
      <c r="G27" s="79"/>
      <c r="H27" s="229"/>
      <c r="I27" s="230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5"/>
      <c r="B28" s="46" t="s">
        <v>92</v>
      </c>
      <c r="C28" s="10"/>
      <c r="D28" s="48">
        <f t="shared" si="1"/>
        <v>0</v>
      </c>
      <c r="F28" s="149"/>
      <c r="G28" s="61"/>
      <c r="H28" s="232"/>
      <c r="I28" s="233"/>
      <c r="J28" s="23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305063</v>
      </c>
      <c r="F29" s="152" t="s">
        <v>54</v>
      </c>
      <c r="G29" s="214"/>
      <c r="H29" s="174">
        <f>H15-H16-H17-H18-H19-H20-H22-H23-H24+H26+H27</f>
        <v>257049.5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155"/>
      <c r="G30" s="215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9" t="s">
        <v>57</v>
      </c>
      <c r="B32" s="200"/>
      <c r="C32" s="200"/>
      <c r="D32" s="201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98</v>
      </c>
      <c r="H34" s="196">
        <f>F34*G34</f>
        <v>98000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4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196">
        <f>F35*G35</f>
        <v>19500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5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3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11</v>
      </c>
      <c r="H37" s="196">
        <f t="shared" si="2"/>
        <v>1100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3</v>
      </c>
      <c r="H38" s="196">
        <f t="shared" si="2"/>
        <v>150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3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5"/>
      <c r="B42" s="27" t="s">
        <v>69</v>
      </c>
      <c r="C42" s="11">
        <v>6</v>
      </c>
      <c r="D42" s="12">
        <f>C42*2.25</f>
        <v>13.5</v>
      </c>
      <c r="F42" s="39" t="s">
        <v>78</v>
      </c>
      <c r="G42" s="196">
        <v>83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6" t="s">
        <v>80</v>
      </c>
      <c r="C43" s="11"/>
      <c r="D43" s="12"/>
      <c r="F43" s="59" t="s">
        <v>81</v>
      </c>
      <c r="G43" s="147" t="s">
        <v>82</v>
      </c>
      <c r="H43" s="188" t="s">
        <v>13</v>
      </c>
      <c r="I43" s="189"/>
      <c r="J43" s="19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7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234</v>
      </c>
      <c r="H44" s="191">
        <v>139471.5</v>
      </c>
      <c r="I44" s="191"/>
      <c r="J44" s="19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7"/>
      <c r="B45" s="27" t="s">
        <v>67</v>
      </c>
      <c r="C45" s="33">
        <v>1</v>
      </c>
      <c r="D45" s="12">
        <f>C45*84</f>
        <v>84</v>
      </c>
      <c r="F45" s="37" t="s">
        <v>140</v>
      </c>
      <c r="G45" s="75"/>
      <c r="H45" s="191">
        <v>3150</v>
      </c>
      <c r="I45" s="191"/>
      <c r="J45" s="191"/>
      <c r="K45" s="21"/>
      <c r="P45" s="4"/>
      <c r="Q45" s="4"/>
      <c r="R45" s="5"/>
    </row>
    <row r="46" spans="1:18" ht="15.75" x14ac:dyDescent="0.25">
      <c r="A46" s="167"/>
      <c r="B46" s="49" t="s">
        <v>69</v>
      </c>
      <c r="C46" s="80">
        <v>10</v>
      </c>
      <c r="D46" s="12">
        <f>C46*1.5</f>
        <v>15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168"/>
      <c r="B47" s="27"/>
      <c r="C47" s="11"/>
      <c r="D47" s="12"/>
      <c r="F47" s="59"/>
      <c r="G47" s="59"/>
      <c r="H47" s="169"/>
      <c r="I47" s="170"/>
      <c r="J47" s="171"/>
      <c r="K47" s="21"/>
      <c r="P47" s="4"/>
      <c r="Q47" s="4"/>
      <c r="R47" s="5"/>
    </row>
    <row r="48" spans="1:18" ht="15" customHeight="1" x14ac:dyDescent="0.25">
      <c r="A48" s="16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9"/>
      <c r="I48" s="170"/>
      <c r="J48" s="17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7"/>
      <c r="B49" s="29" t="s">
        <v>67</v>
      </c>
      <c r="C49" s="33">
        <v>3</v>
      </c>
      <c r="D49" s="12">
        <f>C49*42</f>
        <v>126</v>
      </c>
      <c r="F49" s="172" t="s">
        <v>85</v>
      </c>
      <c r="G49" s="174">
        <f>H34+H35+H36+H37+H38+H39+H40+H41+G42+H44+H45+H46</f>
        <v>261454.5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7"/>
      <c r="B50" s="32" t="s">
        <v>69</v>
      </c>
      <c r="C50" s="11">
        <v>9</v>
      </c>
      <c r="D50" s="12">
        <f>C50*1.5</f>
        <v>13.5</v>
      </c>
      <c r="F50" s="173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167"/>
      <c r="B51" s="27"/>
      <c r="C51" s="10"/>
      <c r="D51" s="31"/>
      <c r="F51" s="180" t="s">
        <v>113</v>
      </c>
      <c r="G51" s="182">
        <f>G49-H29</f>
        <v>4405</v>
      </c>
      <c r="H51" s="183"/>
      <c r="I51" s="183"/>
      <c r="J51" s="18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7"/>
      <c r="B52" s="29"/>
      <c r="C52" s="33"/>
      <c r="D52" s="45"/>
      <c r="F52" s="181"/>
      <c r="G52" s="185"/>
      <c r="H52" s="186"/>
      <c r="I52" s="186"/>
      <c r="J52" s="18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2" t="s">
        <v>89</v>
      </c>
      <c r="B54" s="153"/>
      <c r="C54" s="154"/>
      <c r="D54" s="158">
        <f>SUM(D34:D53)</f>
        <v>46435.5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5"/>
      <c r="B55" s="156"/>
      <c r="C55" s="157"/>
      <c r="D55" s="1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60" t="s">
        <v>90</v>
      </c>
      <c r="B58" s="161"/>
      <c r="C58" s="161"/>
      <c r="D58" s="162"/>
      <c r="F58" s="160" t="s">
        <v>91</v>
      </c>
      <c r="G58" s="161"/>
      <c r="H58" s="161"/>
      <c r="I58" s="161"/>
      <c r="J58" s="162"/>
    </row>
    <row r="59" spans="1:18" x14ac:dyDescent="0.25">
      <c r="A59" s="163"/>
      <c r="B59" s="164"/>
      <c r="C59" s="164"/>
      <c r="D59" s="165"/>
      <c r="F59" s="163"/>
      <c r="G59" s="164"/>
      <c r="H59" s="164"/>
      <c r="I59" s="164"/>
      <c r="J59" s="1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NO TRIP</vt:lpstr>
      <vt:lpstr>06,24 R3 NO TRIP</vt:lpstr>
      <vt:lpstr>(29)</vt:lpstr>
      <vt:lpstr>06,29 R1 </vt:lpstr>
      <vt:lpstr>06,29 R2</vt:lpstr>
      <vt:lpstr>06,29 R3</vt:lpstr>
      <vt:lpstr>(30)</vt:lpstr>
      <vt:lpstr>06,30 R1 </vt:lpstr>
      <vt:lpstr>06,30 R2</vt:lpstr>
      <vt:lpstr>06,30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NO TRIP'!Print_Area</vt:lpstr>
      <vt:lpstr>'06,24 R3'!Print_Area</vt:lpstr>
      <vt:lpstr>'06,24 R3 NO TRIP'!Print_Area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  <vt:lpstr>'06,29 R1 '!Print_Area</vt:lpstr>
      <vt:lpstr>'06,29 R2'!Print_Area</vt:lpstr>
      <vt:lpstr>'06,29 R3'!Print_Area</vt:lpstr>
      <vt:lpstr>'06,30 R1 '!Print_Area</vt:lpstr>
      <vt:lpstr>'06,30 R2'!Print_Area</vt:lpstr>
      <vt:lpstr>'06,30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2026-07-01T00:06:05Z</cp:lastPrinted>
  <dcterms:created xsi:type="dcterms:W3CDTF">2024-09-01T23:36:50Z</dcterms:created>
  <dcterms:modified xsi:type="dcterms:W3CDTF">2026-07-01T00:07:28Z</dcterms:modified>
</cp:coreProperties>
</file>