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8808670F-1DC3-422A-8C66-0DD59BC46ECC}" xr6:coauthVersionLast="45" xr6:coauthVersionMax="47" xr10:uidLastSave="{00000000-0000-0000-0000-000000000000}"/>
  <bookViews>
    <workbookView xWindow="-120" yWindow="-120" windowWidth="29040" windowHeight="15840" firstSheet="5" activeTab="14" xr2:uid="{00000000-000D-0000-FFFF-FFFF00000000}"/>
  </bookViews>
  <sheets>
    <sheet name="(JUNE 2026)" sheetId="814" r:id="rId1"/>
    <sheet name="(01)" sheetId="2086" r:id="rId2"/>
    <sheet name="06,01 R1" sheetId="2087" r:id="rId3"/>
    <sheet name="06,01 R2" sheetId="2088" r:id="rId4"/>
    <sheet name="06,01 R3" sheetId="2089" r:id="rId5"/>
    <sheet name="(2)" sheetId="2107" r:id="rId6"/>
    <sheet name="06,02 R1 " sheetId="2108" r:id="rId7"/>
    <sheet name="06,02 R2 " sheetId="2109" r:id="rId8"/>
    <sheet name="06,02 R3" sheetId="2110" r:id="rId9"/>
    <sheet name="(3)" sheetId="2111" r:id="rId10"/>
    <sheet name="06,03 R1 " sheetId="2112" r:id="rId11"/>
    <sheet name="06,03 R2 NO TRIP " sheetId="2113" r:id="rId12"/>
    <sheet name="06,03 R3 NO TRIP" sheetId="2114" r:id="rId13"/>
    <sheet name="(4)" sheetId="2115" r:id="rId14"/>
    <sheet name="06,04 R1 " sheetId="2116" r:id="rId15"/>
    <sheet name="06,04 R2 " sheetId="2117" r:id="rId16"/>
    <sheet name="06,04 R3  " sheetId="2118" r:id="rId17"/>
    <sheet name="(5)" sheetId="2119" r:id="rId18"/>
    <sheet name="06,05 R1  " sheetId="2120" r:id="rId19"/>
    <sheet name="06,05 R2 " sheetId="2121" r:id="rId20"/>
    <sheet name="06,05 R3  " sheetId="2122" r:id="rId21"/>
    <sheet name="(6)" sheetId="2123" r:id="rId22"/>
    <sheet name="06,06 R1 " sheetId="2127" r:id="rId23"/>
    <sheet name="06,06 R2 " sheetId="2125" r:id="rId24"/>
    <sheet name="06,06 R3 " sheetId="2126" r:id="rId25"/>
    <sheet name="(8)" sheetId="2132" r:id="rId26"/>
    <sheet name="06,07 R1 (2)" sheetId="2133" r:id="rId27"/>
    <sheet name="06,07 R2  (2)" sheetId="2134" r:id="rId28"/>
    <sheet name="06,07 R3  (2)" sheetId="2135" r:id="rId29"/>
    <sheet name="(9)" sheetId="2128" r:id="rId30"/>
    <sheet name="06,09 R1" sheetId="2129" r:id="rId31"/>
    <sheet name="06,09 R2 " sheetId="2130" r:id="rId32"/>
    <sheet name="06,09 R3 " sheetId="2131" r:id="rId33"/>
    <sheet name="(10)" sheetId="2136" r:id="rId34"/>
    <sheet name="06,10 R1 " sheetId="2137" r:id="rId35"/>
    <sheet name="06,10 R2  " sheetId="2138" r:id="rId36"/>
    <sheet name="06,10 R3 " sheetId="2139" r:id="rId37"/>
    <sheet name="(11)" sheetId="2140" r:id="rId38"/>
    <sheet name="06,11 R1 " sheetId="2141" r:id="rId39"/>
    <sheet name="06,11 R2 " sheetId="2142" r:id="rId40"/>
    <sheet name="06,11 R3" sheetId="2143" r:id="rId41"/>
    <sheet name="(12)" sheetId="2144" r:id="rId42"/>
    <sheet name="06,12 R1  " sheetId="2145" r:id="rId43"/>
    <sheet name="06,12 R2  " sheetId="2146" r:id="rId44"/>
    <sheet name="06,12 R3 " sheetId="2147" r:id="rId45"/>
    <sheet name="(13)" sheetId="2148" r:id="rId46"/>
    <sheet name="06,13 R1 " sheetId="2149" r:id="rId47"/>
    <sheet name="06,13 R2 " sheetId="2150" r:id="rId48"/>
    <sheet name="06,13 R3 " sheetId="2151" r:id="rId49"/>
    <sheet name="(15)" sheetId="2152" r:id="rId50"/>
    <sheet name="06,15 R1" sheetId="2153" r:id="rId51"/>
    <sheet name="06,15 R2" sheetId="2154" r:id="rId52"/>
    <sheet name="06,15 R3" sheetId="2155" r:id="rId53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'(12)'!$A$1:$J$60</definedName>
    <definedName name="_xlnm.Print_Area" localSheetId="45">'(13)'!$A$1:$J$60</definedName>
    <definedName name="_xlnm.Print_Area" localSheetId="49">'(15)'!$A$1:$J$60</definedName>
    <definedName name="_xlnm.Print_Area" localSheetId="5">'(2)'!$A$1:$J$60</definedName>
    <definedName name="_xlnm.Print_Area" localSheetId="9">'(3)'!$A$1:$J$60</definedName>
    <definedName name="_xlnm.Print_Area" localSheetId="13">'(4)'!$A$1:$J$60</definedName>
    <definedName name="_xlnm.Print_Area" localSheetId="17">'(5)'!$A$1:$J$60</definedName>
    <definedName name="_xlnm.Print_Area" localSheetId="21">'(6)'!$A$1:$J$60</definedName>
    <definedName name="_xlnm.Print_Area" localSheetId="25">'(8)'!$A$1:$J$60</definedName>
    <definedName name="_xlnm.Print_Area" localSheetId="29">'(9)'!$A$1:$J$60</definedName>
    <definedName name="_xlnm.Print_Area" localSheetId="2">'06,01 R1'!$A$1:$J$60</definedName>
    <definedName name="_xlnm.Print_Area" localSheetId="3">'06,01 R2'!$A$1:$J$60</definedName>
    <definedName name="_xlnm.Print_Area" localSheetId="4">'06,01 R3'!$A$1:$J$60</definedName>
    <definedName name="_xlnm.Print_Area" localSheetId="6">'06,02 R1 '!$A$1:$J$60</definedName>
    <definedName name="_xlnm.Print_Area" localSheetId="7">'06,02 R2 '!$A$1:$J$60</definedName>
    <definedName name="_xlnm.Print_Area" localSheetId="8">'06,02 R3'!$A$1:$J$60</definedName>
    <definedName name="_xlnm.Print_Area" localSheetId="10">'06,03 R1 '!$A$1:$J$60</definedName>
    <definedName name="_xlnm.Print_Area" localSheetId="11">'06,03 R2 NO TRIP '!$A$1:$J$60</definedName>
    <definedName name="_xlnm.Print_Area" localSheetId="12">'06,03 R3 NO TRIP'!$A$1:$J$60</definedName>
    <definedName name="_xlnm.Print_Area" localSheetId="14">'06,04 R1 '!$A$1:$J$60</definedName>
    <definedName name="_xlnm.Print_Area" localSheetId="15">'06,04 R2 '!$A$1:$J$60</definedName>
    <definedName name="_xlnm.Print_Area" localSheetId="16">'06,04 R3  '!$A$1:$J$60</definedName>
    <definedName name="_xlnm.Print_Area" localSheetId="18">'06,05 R1  '!$A$1:$J$60</definedName>
    <definedName name="_xlnm.Print_Area" localSheetId="19">'06,05 R2 '!$A$1:$J$60</definedName>
    <definedName name="_xlnm.Print_Area" localSheetId="20">'06,05 R3  '!$A$1:$J$60</definedName>
    <definedName name="_xlnm.Print_Area" localSheetId="22">'06,06 R1 '!$A$1:$J$60</definedName>
    <definedName name="_xlnm.Print_Area" localSheetId="23">'06,06 R2 '!$A$1:$J$60</definedName>
    <definedName name="_xlnm.Print_Area" localSheetId="24">'06,06 R3 '!$A$1:$J$60</definedName>
    <definedName name="_xlnm.Print_Area" localSheetId="26">'06,07 R1 (2)'!$A$1:$J$60</definedName>
    <definedName name="_xlnm.Print_Area" localSheetId="27">'06,07 R2  (2)'!$A$1:$J$60</definedName>
    <definedName name="_xlnm.Print_Area" localSheetId="28">'06,07 R3  (2)'!$A$1:$J$60</definedName>
    <definedName name="_xlnm.Print_Area" localSheetId="30">'06,09 R1'!$A$1:$J$60</definedName>
    <definedName name="_xlnm.Print_Area" localSheetId="31">'06,09 R2 '!$A$1:$J$60</definedName>
    <definedName name="_xlnm.Print_Area" localSheetId="32">'06,09 R3 '!$A$1:$J$60</definedName>
    <definedName name="_xlnm.Print_Area" localSheetId="34">'06,10 R1 '!$A$1:$J$60</definedName>
    <definedName name="_xlnm.Print_Area" localSheetId="35">'06,10 R2  '!$A$1:$J$60</definedName>
    <definedName name="_xlnm.Print_Area" localSheetId="36">'06,10 R3 '!$A$1:$J$60</definedName>
    <definedName name="_xlnm.Print_Area" localSheetId="38">'06,11 R1 '!$A$1:$J$60</definedName>
    <definedName name="_xlnm.Print_Area" localSheetId="39">'06,11 R2 '!$A$1:$J$60</definedName>
    <definedName name="_xlnm.Print_Area" localSheetId="40">'06,11 R3'!$A$1:$J$60</definedName>
    <definedName name="_xlnm.Print_Area" localSheetId="42">'06,12 R1  '!$A$1:$J$60</definedName>
    <definedName name="_xlnm.Print_Area" localSheetId="43">'06,12 R2  '!$A$1:$J$60</definedName>
    <definedName name="_xlnm.Print_Area" localSheetId="44">'06,12 R3 '!$A$1:$J$60</definedName>
    <definedName name="_xlnm.Print_Area" localSheetId="46">'06,13 R1 '!$A$1:$J$60</definedName>
    <definedName name="_xlnm.Print_Area" localSheetId="47">'06,13 R2 '!$A$1:$J$60</definedName>
    <definedName name="_xlnm.Print_Area" localSheetId="48">'06,13 R3 '!$A$1:$J$60</definedName>
    <definedName name="_xlnm.Print_Area" localSheetId="50">'06,15 R1'!$A$1:$J$60</definedName>
    <definedName name="_xlnm.Print_Area" localSheetId="51">'06,15 R2'!$A$1:$J$60</definedName>
    <definedName name="_xlnm.Print_Area" localSheetId="52">'06,15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16" i="2112" l="1"/>
  <c r="L25" i="2110" l="1"/>
  <c r="C17" i="2110" l="1"/>
  <c r="L21" i="2110"/>
  <c r="C18" i="2110"/>
  <c r="C12" i="2110"/>
  <c r="L26" i="2110"/>
  <c r="C16" i="2110"/>
  <c r="C15" i="2110"/>
  <c r="L24" i="2110" l="1"/>
  <c r="H16" i="2089" l="1"/>
  <c r="L23" i="2087"/>
  <c r="L21" i="2087"/>
  <c r="R52" i="2155" l="1"/>
  <c r="R51" i="2155"/>
  <c r="D50" i="2155"/>
  <c r="R49" i="2155"/>
  <c r="D49" i="2155"/>
  <c r="R48" i="2155"/>
  <c r="D48" i="2155"/>
  <c r="D46" i="2155"/>
  <c r="D45" i="2155"/>
  <c r="R44" i="2155"/>
  <c r="L28" i="2155" s="1"/>
  <c r="D28" i="2155" s="1"/>
  <c r="D44" i="2155"/>
  <c r="R42" i="2155"/>
  <c r="D42" i="2155"/>
  <c r="R41" i="2155"/>
  <c r="L7" i="2155" s="1"/>
  <c r="D7" i="2155" s="1"/>
  <c r="D41" i="2155"/>
  <c r="R40" i="2155"/>
  <c r="D40" i="2155"/>
  <c r="R39" i="2155"/>
  <c r="H39" i="2155"/>
  <c r="D39" i="2155"/>
  <c r="R38" i="2155"/>
  <c r="H38" i="2155"/>
  <c r="D38" i="2155"/>
  <c r="R37" i="2155"/>
  <c r="H37" i="2155"/>
  <c r="D37" i="2155"/>
  <c r="R36" i="2155"/>
  <c r="H36" i="2155"/>
  <c r="D36" i="2155"/>
  <c r="R35" i="2155"/>
  <c r="H35" i="2155"/>
  <c r="D35" i="2155"/>
  <c r="R34" i="2155"/>
  <c r="L12" i="2155" s="1"/>
  <c r="D12" i="2155" s="1"/>
  <c r="H34" i="2155"/>
  <c r="G49" i="2155" s="1"/>
  <c r="D34" i="2155"/>
  <c r="D54" i="2155" s="1"/>
  <c r="H14" i="2155" s="1"/>
  <c r="R33" i="2155"/>
  <c r="L19" i="2155" s="1"/>
  <c r="D19" i="2155" s="1"/>
  <c r="R32" i="2155"/>
  <c r="L11" i="2155" s="1"/>
  <c r="D11" i="2155" s="1"/>
  <c r="R31" i="2155"/>
  <c r="R30" i="2155"/>
  <c r="R29" i="2155"/>
  <c r="R28" i="2155"/>
  <c r="R27" i="2155"/>
  <c r="L27" i="2155"/>
  <c r="D27" i="2155"/>
  <c r="R26" i="2155"/>
  <c r="L26" i="2155"/>
  <c r="D26" i="2155"/>
  <c r="R25" i="2155"/>
  <c r="L25" i="2155"/>
  <c r="D25" i="2155" s="1"/>
  <c r="R24" i="2155"/>
  <c r="L24" i="2155"/>
  <c r="D24" i="2155"/>
  <c r="R23" i="2155"/>
  <c r="L23" i="2155"/>
  <c r="D23" i="2155" s="1"/>
  <c r="R22" i="2155"/>
  <c r="L22" i="2155"/>
  <c r="D22" i="2155" s="1"/>
  <c r="R21" i="2155"/>
  <c r="L21" i="2155"/>
  <c r="D21" i="2155" s="1"/>
  <c r="R20" i="2155"/>
  <c r="L20" i="2155"/>
  <c r="D20" i="2155" s="1"/>
  <c r="R19" i="2155"/>
  <c r="R18" i="2155"/>
  <c r="L18" i="2155"/>
  <c r="D18" i="2155" s="1"/>
  <c r="R17" i="2155"/>
  <c r="L17" i="2155"/>
  <c r="D17" i="2155" s="1"/>
  <c r="R16" i="2155"/>
  <c r="R15" i="2155"/>
  <c r="L15" i="2155"/>
  <c r="D15" i="2155" s="1"/>
  <c r="R14" i="2155"/>
  <c r="D14" i="2155"/>
  <c r="R13" i="2155"/>
  <c r="D13" i="2155"/>
  <c r="R12" i="2155"/>
  <c r="R11" i="2155"/>
  <c r="L10" i="2155"/>
  <c r="D10" i="2155"/>
  <c r="L9" i="2155"/>
  <c r="D9" i="2155" s="1"/>
  <c r="L8" i="2155"/>
  <c r="D8" i="2155" s="1"/>
  <c r="R6" i="2155"/>
  <c r="L16" i="2155" s="1"/>
  <c r="D16" i="2155" s="1"/>
  <c r="L6" i="2155"/>
  <c r="D6" i="2155" s="1"/>
  <c r="R5" i="2155"/>
  <c r="R4" i="2155"/>
  <c r="R52" i="2154"/>
  <c r="R51" i="2154"/>
  <c r="D50" i="2154"/>
  <c r="R49" i="2154"/>
  <c r="D49" i="2154"/>
  <c r="R48" i="2154"/>
  <c r="D48" i="2154"/>
  <c r="D46" i="2154"/>
  <c r="D45" i="2154"/>
  <c r="R44" i="2154"/>
  <c r="D44" i="2154"/>
  <c r="R42" i="2154"/>
  <c r="L6" i="2154" s="1"/>
  <c r="D6" i="2154" s="1"/>
  <c r="D42" i="2154"/>
  <c r="R41" i="2154"/>
  <c r="L7" i="2154" s="1"/>
  <c r="D7" i="2154" s="1"/>
  <c r="D41" i="2154"/>
  <c r="R40" i="2154"/>
  <c r="D40" i="2154"/>
  <c r="R39" i="2154"/>
  <c r="H39" i="2154"/>
  <c r="D39" i="2154"/>
  <c r="R38" i="2154"/>
  <c r="L9" i="2154" s="1"/>
  <c r="D9" i="2154" s="1"/>
  <c r="H38" i="2154"/>
  <c r="D38" i="2154"/>
  <c r="R37" i="2154"/>
  <c r="H37" i="2154"/>
  <c r="D37" i="2154"/>
  <c r="R36" i="2154"/>
  <c r="L10" i="2154" s="1"/>
  <c r="D10" i="2154" s="1"/>
  <c r="H36" i="2154"/>
  <c r="D36" i="2154"/>
  <c r="R35" i="2154"/>
  <c r="L18" i="2154" s="1"/>
  <c r="D18" i="2154" s="1"/>
  <c r="H35" i="2154"/>
  <c r="G49" i="2154" s="1"/>
  <c r="D35" i="2154"/>
  <c r="D54" i="2154" s="1"/>
  <c r="H14" i="2154" s="1"/>
  <c r="R34" i="2154"/>
  <c r="H34" i="2154"/>
  <c r="D34" i="2154"/>
  <c r="R33" i="2154"/>
  <c r="L19" i="2154" s="1"/>
  <c r="D19" i="2154" s="1"/>
  <c r="R32" i="2154"/>
  <c r="R31" i="2154"/>
  <c r="R30" i="2154"/>
  <c r="R29" i="2154"/>
  <c r="R28" i="2154"/>
  <c r="L28" i="2154"/>
  <c r="D28" i="2154"/>
  <c r="R27" i="2154"/>
  <c r="L27" i="2154"/>
  <c r="D27" i="2154" s="1"/>
  <c r="R26" i="2154"/>
  <c r="L26" i="2154"/>
  <c r="D26" i="2154"/>
  <c r="R25" i="2154"/>
  <c r="L25" i="2154"/>
  <c r="D25" i="2154" s="1"/>
  <c r="R24" i="2154"/>
  <c r="L24" i="2154"/>
  <c r="D24" i="2154"/>
  <c r="R23" i="2154"/>
  <c r="L23" i="2154"/>
  <c r="D23" i="2154"/>
  <c r="R22" i="2154"/>
  <c r="L22" i="2154"/>
  <c r="D22" i="2154"/>
  <c r="R21" i="2154"/>
  <c r="L17" i="2154" s="1"/>
  <c r="D17" i="2154" s="1"/>
  <c r="D21" i="2154"/>
  <c r="R20" i="2154"/>
  <c r="L20" i="2154"/>
  <c r="D20" i="2154"/>
  <c r="R19" i="2154"/>
  <c r="R18" i="2154"/>
  <c r="R17" i="2154"/>
  <c r="R16" i="2154"/>
  <c r="L16" i="2154"/>
  <c r="D16" i="2154" s="1"/>
  <c r="R15" i="2154"/>
  <c r="R14" i="2154"/>
  <c r="D14" i="2154"/>
  <c r="R13" i="2154"/>
  <c r="D13" i="2154"/>
  <c r="R12" i="2154"/>
  <c r="L12" i="2154"/>
  <c r="D12" i="2154"/>
  <c r="R11" i="2154"/>
  <c r="L11" i="2154"/>
  <c r="D11" i="2154" s="1"/>
  <c r="L8" i="2154"/>
  <c r="D8" i="2154" s="1"/>
  <c r="R6" i="2154"/>
  <c r="R5" i="2154"/>
  <c r="R4" i="2154"/>
  <c r="L15" i="2154" s="1"/>
  <c r="D15" i="2154" s="1"/>
  <c r="R52" i="2153"/>
  <c r="R51" i="2153"/>
  <c r="D50" i="2153"/>
  <c r="R49" i="2153"/>
  <c r="D49" i="2153"/>
  <c r="R48" i="2153"/>
  <c r="D48" i="2153"/>
  <c r="D46" i="2153"/>
  <c r="D45" i="2153"/>
  <c r="R44" i="2153"/>
  <c r="D44" i="2153"/>
  <c r="R42" i="2153"/>
  <c r="L6" i="2153" s="1"/>
  <c r="D6" i="2153" s="1"/>
  <c r="D42" i="2153"/>
  <c r="R41" i="2153"/>
  <c r="L7" i="2153" s="1"/>
  <c r="D7" i="2153" s="1"/>
  <c r="D41" i="2153"/>
  <c r="R40" i="2153"/>
  <c r="L8" i="2153" s="1"/>
  <c r="D8" i="2153" s="1"/>
  <c r="D40" i="2153"/>
  <c r="R39" i="2153"/>
  <c r="H39" i="2153"/>
  <c r="D39" i="2153"/>
  <c r="R38" i="2153"/>
  <c r="H38" i="2153"/>
  <c r="D38" i="2153"/>
  <c r="R37" i="2153"/>
  <c r="H37" i="2153"/>
  <c r="D37" i="2153"/>
  <c r="R36" i="2153"/>
  <c r="L10" i="2153" s="1"/>
  <c r="D10" i="2153" s="1"/>
  <c r="H36" i="2153"/>
  <c r="G49" i="2153" s="1"/>
  <c r="D36" i="2153"/>
  <c r="D54" i="2153" s="1"/>
  <c r="H14" i="2153" s="1"/>
  <c r="R35" i="2153"/>
  <c r="L18" i="2153" s="1"/>
  <c r="D18" i="2153" s="1"/>
  <c r="H35" i="2153"/>
  <c r="D35" i="2153"/>
  <c r="R34" i="2153"/>
  <c r="H34" i="2153"/>
  <c r="D34" i="2153"/>
  <c r="R33" i="2153"/>
  <c r="R32" i="2153"/>
  <c r="R31" i="2153"/>
  <c r="R30" i="2153"/>
  <c r="R29" i="2153"/>
  <c r="R28" i="2153"/>
  <c r="L28" i="2153"/>
  <c r="D28" i="2153"/>
  <c r="R27" i="2153"/>
  <c r="L27" i="2153"/>
  <c r="D27" i="2153"/>
  <c r="R26" i="2153"/>
  <c r="L26" i="2153"/>
  <c r="D26" i="2153"/>
  <c r="R25" i="2153"/>
  <c r="L25" i="2153"/>
  <c r="D25" i="2153"/>
  <c r="R24" i="2153"/>
  <c r="L24" i="2153"/>
  <c r="D24" i="2153"/>
  <c r="R23" i="2153"/>
  <c r="L23" i="2153"/>
  <c r="D23" i="2153"/>
  <c r="R22" i="2153"/>
  <c r="L20" i="2153" s="1"/>
  <c r="D20" i="2153" s="1"/>
  <c r="L22" i="2153"/>
  <c r="D22" i="2153" s="1"/>
  <c r="R21" i="2153"/>
  <c r="L21" i="2153"/>
  <c r="D21" i="2153" s="1"/>
  <c r="R20" i="2153"/>
  <c r="R19" i="2153"/>
  <c r="L19" i="2153"/>
  <c r="D19" i="2153" s="1"/>
  <c r="R18" i="2153"/>
  <c r="R17" i="2153"/>
  <c r="L17" i="2153"/>
  <c r="D17" i="2153" s="1"/>
  <c r="R16" i="2153"/>
  <c r="L16" i="2153"/>
  <c r="D16" i="2153" s="1"/>
  <c r="R15" i="2153"/>
  <c r="R14" i="2153"/>
  <c r="D14" i="2153"/>
  <c r="R13" i="2153"/>
  <c r="D13" i="2153"/>
  <c r="R12" i="2153"/>
  <c r="L12" i="2153"/>
  <c r="D12" i="2153"/>
  <c r="R11" i="2153"/>
  <c r="L11" i="2153"/>
  <c r="D11" i="2153" s="1"/>
  <c r="L9" i="2153"/>
  <c r="D9" i="2153" s="1"/>
  <c r="R6" i="2153"/>
  <c r="R5" i="2153"/>
  <c r="R4" i="2153"/>
  <c r="L15" i="2153" s="1"/>
  <c r="D15" i="2153" s="1"/>
  <c r="R52" i="2152"/>
  <c r="R51" i="2152"/>
  <c r="D50" i="2152"/>
  <c r="R49" i="2152"/>
  <c r="G49" i="2152"/>
  <c r="D49" i="2152"/>
  <c r="R48" i="2152"/>
  <c r="D48" i="2152"/>
  <c r="D46" i="2152"/>
  <c r="D45" i="2152"/>
  <c r="D44" i="2152"/>
  <c r="R42" i="2152"/>
  <c r="D42" i="2152"/>
  <c r="R41" i="2152"/>
  <c r="D41" i="2152"/>
  <c r="R40" i="2152"/>
  <c r="D40" i="2152"/>
  <c r="R39" i="2152"/>
  <c r="D39" i="2152"/>
  <c r="R38" i="2152"/>
  <c r="L9" i="2152" s="1"/>
  <c r="D9" i="2152" s="1"/>
  <c r="D38" i="2152"/>
  <c r="R37" i="2152"/>
  <c r="D37" i="2152"/>
  <c r="R36" i="2152"/>
  <c r="L10" i="2152" s="1"/>
  <c r="D10" i="2152" s="1"/>
  <c r="D36" i="2152"/>
  <c r="R35" i="2152"/>
  <c r="D35" i="2152"/>
  <c r="R34" i="2152"/>
  <c r="D34" i="2152"/>
  <c r="D54" i="2152" s="1"/>
  <c r="H14" i="2152" s="1"/>
  <c r="R33" i="2152"/>
  <c r="L23" i="2152" s="1"/>
  <c r="D23" i="2152" s="1"/>
  <c r="R32" i="2152"/>
  <c r="R31" i="2152"/>
  <c r="R30" i="2152"/>
  <c r="R29" i="2152"/>
  <c r="R28" i="2152"/>
  <c r="L16" i="2152" s="1"/>
  <c r="D16" i="2152" s="1"/>
  <c r="D28" i="2152"/>
  <c r="R27" i="2152"/>
  <c r="D27" i="2152"/>
  <c r="R26" i="2152"/>
  <c r="L26" i="2152"/>
  <c r="D26" i="2152"/>
  <c r="R25" i="2152"/>
  <c r="L25" i="2152"/>
  <c r="D25" i="2152" s="1"/>
  <c r="R24" i="2152"/>
  <c r="D24" i="2152"/>
  <c r="R23" i="2152"/>
  <c r="R22" i="2152"/>
  <c r="L22" i="2152"/>
  <c r="D22" i="2152" s="1"/>
  <c r="R21" i="2152"/>
  <c r="D21" i="2152"/>
  <c r="R20" i="2152"/>
  <c r="L20" i="2152"/>
  <c r="D20" i="2152"/>
  <c r="R19" i="2152"/>
  <c r="L19" i="2152"/>
  <c r="D19" i="2152" s="1"/>
  <c r="R18" i="2152"/>
  <c r="D18" i="2152"/>
  <c r="R17" i="2152"/>
  <c r="D17" i="2152"/>
  <c r="R16" i="2152"/>
  <c r="S15" i="2152"/>
  <c r="R15" i="2152"/>
  <c r="D15" i="2152"/>
  <c r="S14" i="2152"/>
  <c r="R14" i="2152"/>
  <c r="D14" i="2152"/>
  <c r="R13" i="2152"/>
  <c r="D13" i="2152"/>
  <c r="R12" i="2152"/>
  <c r="L12" i="2152"/>
  <c r="D12" i="2152"/>
  <c r="R11" i="2152"/>
  <c r="L11" i="2152"/>
  <c r="D11" i="2152" s="1"/>
  <c r="L8" i="2152"/>
  <c r="D8" i="2152" s="1"/>
  <c r="L7" i="2152"/>
  <c r="D7" i="2152" s="1"/>
  <c r="R6" i="2152"/>
  <c r="L6" i="2152"/>
  <c r="D6" i="2152" s="1"/>
  <c r="D29" i="2152" s="1"/>
  <c r="H13" i="2152" s="1"/>
  <c r="H15" i="2152" s="1"/>
  <c r="H29" i="2152" s="1"/>
  <c r="R5" i="2152"/>
  <c r="R4" i="2152"/>
  <c r="R52" i="2151"/>
  <c r="R51" i="2151"/>
  <c r="D50" i="2151"/>
  <c r="R49" i="2151"/>
  <c r="G49" i="2151"/>
  <c r="D49" i="2151"/>
  <c r="R48" i="2151"/>
  <c r="D48" i="2151"/>
  <c r="D46" i="2151"/>
  <c r="D45" i="2151"/>
  <c r="R44" i="2151"/>
  <c r="D44" i="2151"/>
  <c r="R42" i="2151"/>
  <c r="D42" i="2151"/>
  <c r="R41" i="2151"/>
  <c r="D41" i="2151"/>
  <c r="R40" i="2151"/>
  <c r="D40" i="2151"/>
  <c r="R39" i="2151"/>
  <c r="H39" i="2151"/>
  <c r="D39" i="2151"/>
  <c r="R38" i="2151"/>
  <c r="H38" i="2151"/>
  <c r="D38" i="2151"/>
  <c r="R37" i="2151"/>
  <c r="H37" i="2151"/>
  <c r="D37" i="2151"/>
  <c r="R36" i="2151"/>
  <c r="L10" i="2151" s="1"/>
  <c r="D10" i="2151" s="1"/>
  <c r="H36" i="2151"/>
  <c r="D36" i="2151"/>
  <c r="R35" i="2151"/>
  <c r="L18" i="2151" s="1"/>
  <c r="D18" i="2151" s="1"/>
  <c r="H35" i="2151"/>
  <c r="D35" i="2151"/>
  <c r="R34" i="2151"/>
  <c r="H34" i="2151"/>
  <c r="D34" i="2151"/>
  <c r="D54" i="2151" s="1"/>
  <c r="H14" i="2151" s="1"/>
  <c r="R33" i="2151"/>
  <c r="L19" i="2151" s="1"/>
  <c r="D19" i="2151" s="1"/>
  <c r="R32" i="2151"/>
  <c r="L11" i="2151" s="1"/>
  <c r="D11" i="2151" s="1"/>
  <c r="R31" i="2151"/>
  <c r="R30" i="2151"/>
  <c r="R29" i="2151"/>
  <c r="R28" i="2151"/>
  <c r="L28" i="2151"/>
  <c r="D28" i="2151"/>
  <c r="R27" i="2151"/>
  <c r="L27" i="2151"/>
  <c r="D27" i="2151"/>
  <c r="R26" i="2151"/>
  <c r="L26" i="2151"/>
  <c r="D26" i="2151"/>
  <c r="R25" i="2151"/>
  <c r="L25" i="2151"/>
  <c r="D25" i="2151" s="1"/>
  <c r="R24" i="2151"/>
  <c r="L24" i="2151"/>
  <c r="D24" i="2151" s="1"/>
  <c r="R23" i="2151"/>
  <c r="L23" i="2151"/>
  <c r="D23" i="2151" s="1"/>
  <c r="R22" i="2151"/>
  <c r="L22" i="2151"/>
  <c r="D22" i="2151" s="1"/>
  <c r="R21" i="2151"/>
  <c r="L21" i="2151"/>
  <c r="D21" i="2151"/>
  <c r="R20" i="2151"/>
  <c r="L20" i="2151"/>
  <c r="D20" i="2151" s="1"/>
  <c r="R19" i="2151"/>
  <c r="R18" i="2151"/>
  <c r="R17" i="2151"/>
  <c r="L17" i="2151"/>
  <c r="D17" i="2151" s="1"/>
  <c r="R16" i="2151"/>
  <c r="L16" i="2151"/>
  <c r="D16" i="2151" s="1"/>
  <c r="R15" i="2151"/>
  <c r="L15" i="2151"/>
  <c r="D15" i="2151"/>
  <c r="R14" i="2151"/>
  <c r="D14" i="2151"/>
  <c r="R13" i="2151"/>
  <c r="D13" i="2151"/>
  <c r="R12" i="2151"/>
  <c r="L12" i="2151"/>
  <c r="D12" i="2151" s="1"/>
  <c r="R11" i="2151"/>
  <c r="L9" i="2151"/>
  <c r="D9" i="2151" s="1"/>
  <c r="L8" i="2151"/>
  <c r="D8" i="2151" s="1"/>
  <c r="L7" i="2151"/>
  <c r="D7" i="2151" s="1"/>
  <c r="R6" i="2151"/>
  <c r="L6" i="2151"/>
  <c r="D6" i="2151" s="1"/>
  <c r="R5" i="2151"/>
  <c r="R4" i="2151"/>
  <c r="R52" i="2150"/>
  <c r="R51" i="2150"/>
  <c r="D50" i="2150"/>
  <c r="R49" i="2150"/>
  <c r="G49" i="2150"/>
  <c r="D49" i="2150"/>
  <c r="R48" i="2150"/>
  <c r="D48" i="2150"/>
  <c r="D46" i="2150"/>
  <c r="D45" i="2150"/>
  <c r="R44" i="2150"/>
  <c r="D44" i="2150"/>
  <c r="R42" i="2150"/>
  <c r="D42" i="2150"/>
  <c r="R41" i="2150"/>
  <c r="L7" i="2150" s="1"/>
  <c r="D7" i="2150" s="1"/>
  <c r="D41" i="2150"/>
  <c r="R40" i="2150"/>
  <c r="D40" i="2150"/>
  <c r="R39" i="2150"/>
  <c r="H39" i="2150"/>
  <c r="D39" i="2150"/>
  <c r="R38" i="2150"/>
  <c r="H38" i="2150"/>
  <c r="D38" i="2150"/>
  <c r="R37" i="2150"/>
  <c r="H37" i="2150"/>
  <c r="D37" i="2150"/>
  <c r="R36" i="2150"/>
  <c r="H36" i="2150"/>
  <c r="D36" i="2150"/>
  <c r="R35" i="2150"/>
  <c r="L18" i="2150" s="1"/>
  <c r="D18" i="2150" s="1"/>
  <c r="H35" i="2150"/>
  <c r="D35" i="2150"/>
  <c r="R34" i="2150"/>
  <c r="L12" i="2150" s="1"/>
  <c r="D12" i="2150" s="1"/>
  <c r="H34" i="2150"/>
  <c r="D34" i="2150"/>
  <c r="D54" i="2150" s="1"/>
  <c r="H14" i="2150" s="1"/>
  <c r="R33" i="2150"/>
  <c r="L19" i="2150" s="1"/>
  <c r="D19" i="2150" s="1"/>
  <c r="R32" i="2150"/>
  <c r="L11" i="2150" s="1"/>
  <c r="D11" i="2150" s="1"/>
  <c r="R31" i="2150"/>
  <c r="R30" i="2150"/>
  <c r="R29" i="2150"/>
  <c r="R28" i="2150"/>
  <c r="L28" i="2150"/>
  <c r="D28" i="2150"/>
  <c r="R27" i="2150"/>
  <c r="L27" i="2150"/>
  <c r="D27" i="2150"/>
  <c r="R26" i="2150"/>
  <c r="L26" i="2150"/>
  <c r="D26" i="2150"/>
  <c r="R25" i="2150"/>
  <c r="L25" i="2150"/>
  <c r="D25" i="2150" s="1"/>
  <c r="R24" i="2150"/>
  <c r="L24" i="2150"/>
  <c r="D24" i="2150"/>
  <c r="R23" i="2150"/>
  <c r="L23" i="2150"/>
  <c r="D23" i="2150" s="1"/>
  <c r="R22" i="2150"/>
  <c r="L22" i="2150"/>
  <c r="D22" i="2150" s="1"/>
  <c r="R21" i="2150"/>
  <c r="L17" i="2150" s="1"/>
  <c r="D17" i="2150" s="1"/>
  <c r="D21" i="2150"/>
  <c r="R20" i="2150"/>
  <c r="L20" i="2150"/>
  <c r="D20" i="2150"/>
  <c r="R19" i="2150"/>
  <c r="R18" i="2150"/>
  <c r="R17" i="2150"/>
  <c r="R16" i="2150"/>
  <c r="R15" i="2150"/>
  <c r="L15" i="2150"/>
  <c r="D15" i="2150"/>
  <c r="R14" i="2150"/>
  <c r="D14" i="2150"/>
  <c r="R13" i="2150"/>
  <c r="D13" i="2150"/>
  <c r="R12" i="2150"/>
  <c r="R11" i="2150"/>
  <c r="L10" i="2150"/>
  <c r="D10" i="2150"/>
  <c r="L9" i="2150"/>
  <c r="D9" i="2150"/>
  <c r="L8" i="2150"/>
  <c r="D8" i="2150" s="1"/>
  <c r="R6" i="2150"/>
  <c r="L16" i="2150" s="1"/>
  <c r="D16" i="2150" s="1"/>
  <c r="L6" i="2150"/>
  <c r="D6" i="2150"/>
  <c r="R5" i="2150"/>
  <c r="R4" i="2150"/>
  <c r="R52" i="2149"/>
  <c r="R51" i="2149"/>
  <c r="D50" i="2149"/>
  <c r="R49" i="2149"/>
  <c r="G49" i="2149"/>
  <c r="D49" i="2149"/>
  <c r="R48" i="2149"/>
  <c r="D48" i="2149"/>
  <c r="D46" i="2149"/>
  <c r="D45" i="2149"/>
  <c r="R44" i="2149"/>
  <c r="L28" i="2149" s="1"/>
  <c r="D28" i="2149" s="1"/>
  <c r="D44" i="2149"/>
  <c r="R42" i="2149"/>
  <c r="D42" i="2149"/>
  <c r="R41" i="2149"/>
  <c r="L7" i="2149" s="1"/>
  <c r="D7" i="2149" s="1"/>
  <c r="D41" i="2149"/>
  <c r="R40" i="2149"/>
  <c r="L8" i="2149" s="1"/>
  <c r="D8" i="2149" s="1"/>
  <c r="D40" i="2149"/>
  <c r="R39" i="2149"/>
  <c r="H39" i="2149"/>
  <c r="D39" i="2149"/>
  <c r="R38" i="2149"/>
  <c r="H38" i="2149"/>
  <c r="D38" i="2149"/>
  <c r="R37" i="2149"/>
  <c r="H37" i="2149"/>
  <c r="D37" i="2149"/>
  <c r="R36" i="2149"/>
  <c r="H36" i="2149"/>
  <c r="D36" i="2149"/>
  <c r="R35" i="2149"/>
  <c r="H35" i="2149"/>
  <c r="D35" i="2149"/>
  <c r="R34" i="2149"/>
  <c r="L12" i="2149" s="1"/>
  <c r="D12" i="2149" s="1"/>
  <c r="H34" i="2149"/>
  <c r="D34" i="2149"/>
  <c r="D54" i="2149" s="1"/>
  <c r="H14" i="2149" s="1"/>
  <c r="R33" i="2149"/>
  <c r="L19" i="2149" s="1"/>
  <c r="D19" i="2149" s="1"/>
  <c r="R32" i="2149"/>
  <c r="R31" i="2149"/>
  <c r="R30" i="2149"/>
  <c r="R29" i="2149"/>
  <c r="R28" i="2149"/>
  <c r="R27" i="2149"/>
  <c r="L27" i="2149"/>
  <c r="D27" i="2149"/>
  <c r="R26" i="2149"/>
  <c r="L26" i="2149"/>
  <c r="D26" i="2149"/>
  <c r="R25" i="2149"/>
  <c r="L25" i="2149"/>
  <c r="D25" i="2149" s="1"/>
  <c r="R24" i="2149"/>
  <c r="L24" i="2149"/>
  <c r="D24" i="2149"/>
  <c r="R23" i="2149"/>
  <c r="L23" i="2149"/>
  <c r="D23" i="2149"/>
  <c r="R22" i="2149"/>
  <c r="L22" i="2149"/>
  <c r="D22" i="2149"/>
  <c r="R21" i="2149"/>
  <c r="L17" i="2149" s="1"/>
  <c r="D17" i="2149" s="1"/>
  <c r="L21" i="2149"/>
  <c r="D21" i="2149" s="1"/>
  <c r="R20" i="2149"/>
  <c r="L20" i="2149"/>
  <c r="D20" i="2149" s="1"/>
  <c r="R19" i="2149"/>
  <c r="R18" i="2149"/>
  <c r="L18" i="2149"/>
  <c r="D18" i="2149" s="1"/>
  <c r="R17" i="2149"/>
  <c r="R16" i="2149"/>
  <c r="L16" i="2149"/>
  <c r="D16" i="2149" s="1"/>
  <c r="R15" i="2149"/>
  <c r="L15" i="2149"/>
  <c r="D15" i="2149" s="1"/>
  <c r="R14" i="2149"/>
  <c r="D14" i="2149"/>
  <c r="R13" i="2149"/>
  <c r="D13" i="2149"/>
  <c r="R12" i="2149"/>
  <c r="R11" i="2149"/>
  <c r="L11" i="2149"/>
  <c r="D11" i="2149" s="1"/>
  <c r="L10" i="2149"/>
  <c r="D10" i="2149"/>
  <c r="L9" i="2149"/>
  <c r="D9" i="2149" s="1"/>
  <c r="R6" i="2149"/>
  <c r="L6" i="2149"/>
  <c r="D6" i="2149" s="1"/>
  <c r="R5" i="2149"/>
  <c r="R4" i="2149"/>
  <c r="R52" i="2148"/>
  <c r="R51" i="2148"/>
  <c r="D50" i="2148"/>
  <c r="R49" i="2148"/>
  <c r="G49" i="2148"/>
  <c r="D49" i="2148"/>
  <c r="R48" i="2148"/>
  <c r="D48" i="2148"/>
  <c r="D46" i="2148"/>
  <c r="D45" i="2148"/>
  <c r="D44" i="2148"/>
  <c r="R42" i="2148"/>
  <c r="L6" i="2148" s="1"/>
  <c r="D6" i="2148" s="1"/>
  <c r="D42" i="2148"/>
  <c r="R41" i="2148"/>
  <c r="L7" i="2148" s="1"/>
  <c r="D7" i="2148" s="1"/>
  <c r="D41" i="2148"/>
  <c r="R40" i="2148"/>
  <c r="D40" i="2148"/>
  <c r="R39" i="2148"/>
  <c r="D39" i="2148"/>
  <c r="R38" i="2148"/>
  <c r="L9" i="2148" s="1"/>
  <c r="D9" i="2148" s="1"/>
  <c r="D38" i="2148"/>
  <c r="R37" i="2148"/>
  <c r="D37" i="2148"/>
  <c r="R36" i="2148"/>
  <c r="L10" i="2148" s="1"/>
  <c r="D10" i="2148" s="1"/>
  <c r="D36" i="2148"/>
  <c r="R35" i="2148"/>
  <c r="D35" i="2148"/>
  <c r="R34" i="2148"/>
  <c r="L12" i="2148" s="1"/>
  <c r="D12" i="2148" s="1"/>
  <c r="D34" i="2148"/>
  <c r="D54" i="2148" s="1"/>
  <c r="H14" i="2148" s="1"/>
  <c r="R33" i="2148"/>
  <c r="L23" i="2148" s="1"/>
  <c r="D23" i="2148" s="1"/>
  <c r="R32" i="2148"/>
  <c r="R31" i="2148"/>
  <c r="R30" i="2148"/>
  <c r="R29" i="2148"/>
  <c r="R28" i="2148"/>
  <c r="D28" i="2148"/>
  <c r="R27" i="2148"/>
  <c r="D27" i="2148"/>
  <c r="R26" i="2148"/>
  <c r="L26" i="2148"/>
  <c r="D26" i="2148"/>
  <c r="R25" i="2148"/>
  <c r="L25" i="2148"/>
  <c r="D25" i="2148"/>
  <c r="R24" i="2148"/>
  <c r="D24" i="2148"/>
  <c r="R23" i="2148"/>
  <c r="R22" i="2148"/>
  <c r="L22" i="2148"/>
  <c r="D22" i="2148"/>
  <c r="R21" i="2148"/>
  <c r="D21" i="2148"/>
  <c r="R20" i="2148"/>
  <c r="L20" i="2148"/>
  <c r="D20" i="2148"/>
  <c r="R19" i="2148"/>
  <c r="L19" i="2148"/>
  <c r="D19" i="2148"/>
  <c r="R18" i="2148"/>
  <c r="D18" i="2148"/>
  <c r="R17" i="2148"/>
  <c r="D17" i="2148"/>
  <c r="R16" i="2148"/>
  <c r="L16" i="2148"/>
  <c r="D16" i="2148" s="1"/>
  <c r="S15" i="2148"/>
  <c r="R15" i="2148"/>
  <c r="D15" i="2148"/>
  <c r="S14" i="2148"/>
  <c r="R14" i="2148"/>
  <c r="D14" i="2148"/>
  <c r="R13" i="2148"/>
  <c r="D13" i="2148"/>
  <c r="R12" i="2148"/>
  <c r="R11" i="2148"/>
  <c r="L11" i="2148"/>
  <c r="D11" i="2148"/>
  <c r="L8" i="2148"/>
  <c r="D8" i="2148"/>
  <c r="R6" i="2148"/>
  <c r="R5" i="2148"/>
  <c r="R4" i="2148"/>
  <c r="R52" i="2147"/>
  <c r="R51" i="2147"/>
  <c r="D50" i="2147"/>
  <c r="R49" i="2147"/>
  <c r="D49" i="2147"/>
  <c r="R48" i="2147"/>
  <c r="D48" i="2147"/>
  <c r="D46" i="2147"/>
  <c r="D45" i="2147"/>
  <c r="R44" i="2147"/>
  <c r="L28" i="2147" s="1"/>
  <c r="D28" i="2147" s="1"/>
  <c r="D44" i="2147"/>
  <c r="R42" i="2147"/>
  <c r="D42" i="2147"/>
  <c r="R41" i="2147"/>
  <c r="D41" i="2147"/>
  <c r="R40" i="2147"/>
  <c r="L8" i="2147" s="1"/>
  <c r="D8" i="2147" s="1"/>
  <c r="D40" i="2147"/>
  <c r="R39" i="2147"/>
  <c r="H39" i="2147"/>
  <c r="D39" i="2147"/>
  <c r="R38" i="2147"/>
  <c r="H38" i="2147"/>
  <c r="D38" i="2147"/>
  <c r="R37" i="2147"/>
  <c r="H37" i="2147"/>
  <c r="D37" i="2147"/>
  <c r="R36" i="2147"/>
  <c r="H36" i="2147"/>
  <c r="D36" i="2147"/>
  <c r="R35" i="2147"/>
  <c r="L18" i="2147" s="1"/>
  <c r="D18" i="2147" s="1"/>
  <c r="H35" i="2147"/>
  <c r="D35" i="2147"/>
  <c r="R34" i="2147"/>
  <c r="L12" i="2147" s="1"/>
  <c r="D12" i="2147" s="1"/>
  <c r="H34" i="2147"/>
  <c r="G49" i="2147" s="1"/>
  <c r="D34" i="2147"/>
  <c r="D54" i="2147" s="1"/>
  <c r="H14" i="2147" s="1"/>
  <c r="R33" i="2147"/>
  <c r="L19" i="2147" s="1"/>
  <c r="D19" i="2147" s="1"/>
  <c r="R32" i="2147"/>
  <c r="R31" i="2147"/>
  <c r="R30" i="2147"/>
  <c r="R29" i="2147"/>
  <c r="R28" i="2147"/>
  <c r="R27" i="2147"/>
  <c r="L27" i="2147"/>
  <c r="D27" i="2147" s="1"/>
  <c r="R26" i="2147"/>
  <c r="L26" i="2147"/>
  <c r="D26" i="2147" s="1"/>
  <c r="R25" i="2147"/>
  <c r="L25" i="2147"/>
  <c r="D25" i="2147" s="1"/>
  <c r="R24" i="2147"/>
  <c r="L24" i="2147"/>
  <c r="D24" i="2147" s="1"/>
  <c r="R23" i="2147"/>
  <c r="L23" i="2147"/>
  <c r="D23" i="2147" s="1"/>
  <c r="R22" i="2147"/>
  <c r="L22" i="2147"/>
  <c r="D22" i="2147"/>
  <c r="R21" i="2147"/>
  <c r="L17" i="2147" s="1"/>
  <c r="D17" i="2147" s="1"/>
  <c r="L21" i="2147"/>
  <c r="D21" i="2147"/>
  <c r="R20" i="2147"/>
  <c r="L20" i="2147"/>
  <c r="D20" i="2147"/>
  <c r="R19" i="2147"/>
  <c r="R18" i="2147"/>
  <c r="R17" i="2147"/>
  <c r="R16" i="2147"/>
  <c r="L16" i="2147"/>
  <c r="D16" i="2147"/>
  <c r="R15" i="2147"/>
  <c r="L15" i="2147"/>
  <c r="D15" i="2147"/>
  <c r="R14" i="2147"/>
  <c r="D14" i="2147"/>
  <c r="R13" i="2147"/>
  <c r="D13" i="2147"/>
  <c r="R12" i="2147"/>
  <c r="R11" i="2147"/>
  <c r="L11" i="2147"/>
  <c r="D11" i="2147"/>
  <c r="L10" i="2147"/>
  <c r="D10" i="2147" s="1"/>
  <c r="L9" i="2147"/>
  <c r="D9" i="2147"/>
  <c r="L7" i="2147"/>
  <c r="D7" i="2147" s="1"/>
  <c r="R6" i="2147"/>
  <c r="L6" i="2147"/>
  <c r="D6" i="2147" s="1"/>
  <c r="R5" i="2147"/>
  <c r="R4" i="2147"/>
  <c r="R52" i="2146"/>
  <c r="R51" i="2146"/>
  <c r="D50" i="2146"/>
  <c r="R49" i="2146"/>
  <c r="G49" i="2146"/>
  <c r="D49" i="2146"/>
  <c r="R48" i="2146"/>
  <c r="D48" i="2146"/>
  <c r="D46" i="2146"/>
  <c r="D45" i="2146"/>
  <c r="R44" i="2146"/>
  <c r="L28" i="2146" s="1"/>
  <c r="D28" i="2146" s="1"/>
  <c r="D44" i="2146"/>
  <c r="R42" i="2146"/>
  <c r="D42" i="2146"/>
  <c r="R41" i="2146"/>
  <c r="L7" i="2146" s="1"/>
  <c r="D7" i="2146" s="1"/>
  <c r="D41" i="2146"/>
  <c r="R40" i="2146"/>
  <c r="D40" i="2146"/>
  <c r="R39" i="2146"/>
  <c r="H39" i="2146"/>
  <c r="D39" i="2146"/>
  <c r="R38" i="2146"/>
  <c r="H38" i="2146"/>
  <c r="D38" i="2146"/>
  <c r="R37" i="2146"/>
  <c r="H37" i="2146"/>
  <c r="D37" i="2146"/>
  <c r="R36" i="2146"/>
  <c r="H36" i="2146"/>
  <c r="D36" i="2146"/>
  <c r="R35" i="2146"/>
  <c r="L18" i="2146" s="1"/>
  <c r="D18" i="2146" s="1"/>
  <c r="H35" i="2146"/>
  <c r="D35" i="2146"/>
  <c r="R34" i="2146"/>
  <c r="L12" i="2146" s="1"/>
  <c r="D12" i="2146" s="1"/>
  <c r="H34" i="2146"/>
  <c r="D34" i="2146"/>
  <c r="D54" i="2146" s="1"/>
  <c r="H14" i="2146" s="1"/>
  <c r="R33" i="2146"/>
  <c r="L19" i="2146" s="1"/>
  <c r="D19" i="2146" s="1"/>
  <c r="R32" i="2146"/>
  <c r="L11" i="2146" s="1"/>
  <c r="D11" i="2146" s="1"/>
  <c r="R31" i="2146"/>
  <c r="R30" i="2146"/>
  <c r="R29" i="2146"/>
  <c r="R28" i="2146"/>
  <c r="R27" i="2146"/>
  <c r="L27" i="2146"/>
  <c r="D27" i="2146"/>
  <c r="R26" i="2146"/>
  <c r="L26" i="2146"/>
  <c r="D26" i="2146"/>
  <c r="R25" i="2146"/>
  <c r="L25" i="2146"/>
  <c r="D25" i="2146"/>
  <c r="R24" i="2146"/>
  <c r="L24" i="2146"/>
  <c r="D24" i="2146"/>
  <c r="R23" i="2146"/>
  <c r="L23" i="2146"/>
  <c r="D23" i="2146" s="1"/>
  <c r="R22" i="2146"/>
  <c r="L22" i="2146"/>
  <c r="D22" i="2146" s="1"/>
  <c r="R21" i="2146"/>
  <c r="D21" i="2146"/>
  <c r="R20" i="2146"/>
  <c r="L20" i="2146"/>
  <c r="D20" i="2146"/>
  <c r="R19" i="2146"/>
  <c r="R18" i="2146"/>
  <c r="R17" i="2146"/>
  <c r="L17" i="2146"/>
  <c r="D17" i="2146"/>
  <c r="R16" i="2146"/>
  <c r="R15" i="2146"/>
  <c r="L15" i="2146"/>
  <c r="D15" i="2146"/>
  <c r="R14" i="2146"/>
  <c r="D14" i="2146"/>
  <c r="R13" i="2146"/>
  <c r="D13" i="2146"/>
  <c r="R12" i="2146"/>
  <c r="R11" i="2146"/>
  <c r="L10" i="2146"/>
  <c r="D10" i="2146"/>
  <c r="L9" i="2146"/>
  <c r="D9" i="2146"/>
  <c r="L8" i="2146"/>
  <c r="D8" i="2146"/>
  <c r="R6" i="2146"/>
  <c r="L16" i="2146" s="1"/>
  <c r="D16" i="2146" s="1"/>
  <c r="L6" i="2146"/>
  <c r="D6" i="2146" s="1"/>
  <c r="R5" i="2146"/>
  <c r="R4" i="2146"/>
  <c r="R52" i="2145"/>
  <c r="R51" i="2145"/>
  <c r="D50" i="2145"/>
  <c r="R49" i="2145"/>
  <c r="G49" i="2145"/>
  <c r="D49" i="2145"/>
  <c r="R48" i="2145"/>
  <c r="D48" i="2145"/>
  <c r="D46" i="2145"/>
  <c r="D45" i="2145"/>
  <c r="R44" i="2145"/>
  <c r="L28" i="2145" s="1"/>
  <c r="D28" i="2145" s="1"/>
  <c r="D44" i="2145"/>
  <c r="R42" i="2145"/>
  <c r="D42" i="2145"/>
  <c r="R41" i="2145"/>
  <c r="D41" i="2145"/>
  <c r="R40" i="2145"/>
  <c r="L8" i="2145" s="1"/>
  <c r="D8" i="2145" s="1"/>
  <c r="D40" i="2145"/>
  <c r="R39" i="2145"/>
  <c r="H39" i="2145"/>
  <c r="D39" i="2145"/>
  <c r="R38" i="2145"/>
  <c r="L9" i="2145" s="1"/>
  <c r="D9" i="2145" s="1"/>
  <c r="H38" i="2145"/>
  <c r="D38" i="2145"/>
  <c r="R37" i="2145"/>
  <c r="H37" i="2145"/>
  <c r="D37" i="2145"/>
  <c r="R36" i="2145"/>
  <c r="H36" i="2145"/>
  <c r="D36" i="2145"/>
  <c r="R35" i="2145"/>
  <c r="H35" i="2145"/>
  <c r="D35" i="2145"/>
  <c r="R34" i="2145"/>
  <c r="H34" i="2145"/>
  <c r="D34" i="2145"/>
  <c r="D54" i="2145" s="1"/>
  <c r="H14" i="2145" s="1"/>
  <c r="R33" i="2145"/>
  <c r="L19" i="2145" s="1"/>
  <c r="D19" i="2145" s="1"/>
  <c r="R32" i="2145"/>
  <c r="L11" i="2145" s="1"/>
  <c r="D11" i="2145" s="1"/>
  <c r="R31" i="2145"/>
  <c r="R30" i="2145"/>
  <c r="R29" i="2145"/>
  <c r="R28" i="2145"/>
  <c r="R27" i="2145"/>
  <c r="L27" i="2145"/>
  <c r="D27" i="2145"/>
  <c r="R26" i="2145"/>
  <c r="L26" i="2145"/>
  <c r="D26" i="2145"/>
  <c r="R25" i="2145"/>
  <c r="L25" i="2145"/>
  <c r="D25" i="2145" s="1"/>
  <c r="R24" i="2145"/>
  <c r="L24" i="2145"/>
  <c r="D24" i="2145"/>
  <c r="R23" i="2145"/>
  <c r="L23" i="2145"/>
  <c r="D23" i="2145" s="1"/>
  <c r="R22" i="2145"/>
  <c r="L22" i="2145"/>
  <c r="D22" i="2145" s="1"/>
  <c r="R21" i="2145"/>
  <c r="L21" i="2145"/>
  <c r="D21" i="2145"/>
  <c r="R20" i="2145"/>
  <c r="L20" i="2145"/>
  <c r="D20" i="2145"/>
  <c r="R19" i="2145"/>
  <c r="R18" i="2145"/>
  <c r="L18" i="2145"/>
  <c r="D18" i="2145" s="1"/>
  <c r="R17" i="2145"/>
  <c r="L17" i="2145"/>
  <c r="D17" i="2145" s="1"/>
  <c r="R16" i="2145"/>
  <c r="R15" i="2145"/>
  <c r="L15" i="2145"/>
  <c r="D15" i="2145"/>
  <c r="R14" i="2145"/>
  <c r="D14" i="2145"/>
  <c r="R13" i="2145"/>
  <c r="D13" i="2145"/>
  <c r="R12" i="2145"/>
  <c r="L12" i="2145"/>
  <c r="D12" i="2145" s="1"/>
  <c r="R11" i="2145"/>
  <c r="L10" i="2145"/>
  <c r="D10" i="2145"/>
  <c r="L7" i="2145"/>
  <c r="D7" i="2145"/>
  <c r="R6" i="2145"/>
  <c r="L16" i="2145" s="1"/>
  <c r="D16" i="2145" s="1"/>
  <c r="L6" i="2145"/>
  <c r="D6" i="2145" s="1"/>
  <c r="R5" i="2145"/>
  <c r="R4" i="2145"/>
  <c r="R52" i="2144"/>
  <c r="R51" i="2144"/>
  <c r="D50" i="2144"/>
  <c r="R49" i="2144"/>
  <c r="G49" i="2144"/>
  <c r="D49" i="2144"/>
  <c r="R48" i="2144"/>
  <c r="D48" i="2144"/>
  <c r="D46" i="2144"/>
  <c r="D45" i="2144"/>
  <c r="D44" i="2144"/>
  <c r="R42" i="2144"/>
  <c r="L6" i="2144" s="1"/>
  <c r="D6" i="2144" s="1"/>
  <c r="D42" i="2144"/>
  <c r="R41" i="2144"/>
  <c r="D41" i="2144"/>
  <c r="R40" i="2144"/>
  <c r="D40" i="2144"/>
  <c r="R39" i="2144"/>
  <c r="D39" i="2144"/>
  <c r="R38" i="2144"/>
  <c r="L9" i="2144" s="1"/>
  <c r="D9" i="2144" s="1"/>
  <c r="D38" i="2144"/>
  <c r="R37" i="2144"/>
  <c r="D37" i="2144"/>
  <c r="R36" i="2144"/>
  <c r="D36" i="2144"/>
  <c r="R35" i="2144"/>
  <c r="D35" i="2144"/>
  <c r="R34" i="2144"/>
  <c r="L12" i="2144" s="1"/>
  <c r="D12" i="2144" s="1"/>
  <c r="D34" i="2144"/>
  <c r="D54" i="2144" s="1"/>
  <c r="H14" i="2144" s="1"/>
  <c r="R33" i="2144"/>
  <c r="L23" i="2144" s="1"/>
  <c r="D23" i="2144" s="1"/>
  <c r="R32" i="2144"/>
  <c r="L11" i="2144" s="1"/>
  <c r="D11" i="2144" s="1"/>
  <c r="R31" i="2144"/>
  <c r="R30" i="2144"/>
  <c r="R29" i="2144"/>
  <c r="R28" i="2144"/>
  <c r="D28" i="2144"/>
  <c r="R27" i="2144"/>
  <c r="D27" i="2144"/>
  <c r="R26" i="2144"/>
  <c r="L26" i="2144"/>
  <c r="D26" i="2144"/>
  <c r="R25" i="2144"/>
  <c r="L25" i="2144"/>
  <c r="D25" i="2144" s="1"/>
  <c r="R24" i="2144"/>
  <c r="D24" i="2144"/>
  <c r="R23" i="2144"/>
  <c r="R22" i="2144"/>
  <c r="L22" i="2144"/>
  <c r="D22" i="2144" s="1"/>
  <c r="R21" i="2144"/>
  <c r="D21" i="2144"/>
  <c r="R20" i="2144"/>
  <c r="L20" i="2144"/>
  <c r="D20" i="2144"/>
  <c r="R19" i="2144"/>
  <c r="L19" i="2144"/>
  <c r="D19" i="2144" s="1"/>
  <c r="R18" i="2144"/>
  <c r="D18" i="2144"/>
  <c r="R17" i="2144"/>
  <c r="D17" i="2144"/>
  <c r="R16" i="2144"/>
  <c r="L16" i="2144"/>
  <c r="D16" i="2144" s="1"/>
  <c r="S15" i="2144"/>
  <c r="R15" i="2144"/>
  <c r="D15" i="2144"/>
  <c r="S14" i="2144"/>
  <c r="R14" i="2144"/>
  <c r="D14" i="2144"/>
  <c r="R13" i="2144"/>
  <c r="D13" i="2144"/>
  <c r="R12" i="2144"/>
  <c r="R11" i="2144"/>
  <c r="L10" i="2144"/>
  <c r="D10" i="2144" s="1"/>
  <c r="L8" i="2144"/>
  <c r="D8" i="2144"/>
  <c r="L7" i="2144"/>
  <c r="D7" i="2144" s="1"/>
  <c r="R6" i="2144"/>
  <c r="R5" i="2144"/>
  <c r="R4" i="2144"/>
  <c r="R52" i="2143"/>
  <c r="R51" i="2143"/>
  <c r="D50" i="2143"/>
  <c r="R49" i="2143"/>
  <c r="D49" i="2143"/>
  <c r="R48" i="2143"/>
  <c r="D48" i="2143"/>
  <c r="D46" i="2143"/>
  <c r="D45" i="2143"/>
  <c r="R44" i="2143"/>
  <c r="L28" i="2143" s="1"/>
  <c r="D28" i="2143" s="1"/>
  <c r="D44" i="2143"/>
  <c r="R42" i="2143"/>
  <c r="D42" i="2143"/>
  <c r="R41" i="2143"/>
  <c r="D41" i="2143"/>
  <c r="R40" i="2143"/>
  <c r="L8" i="2143" s="1"/>
  <c r="D8" i="2143" s="1"/>
  <c r="D40" i="2143"/>
  <c r="R39" i="2143"/>
  <c r="H39" i="2143"/>
  <c r="D39" i="2143"/>
  <c r="R38" i="2143"/>
  <c r="H38" i="2143"/>
  <c r="D38" i="2143"/>
  <c r="R37" i="2143"/>
  <c r="H37" i="2143"/>
  <c r="D37" i="2143"/>
  <c r="R36" i="2143"/>
  <c r="H36" i="2143"/>
  <c r="D36" i="2143"/>
  <c r="R35" i="2143"/>
  <c r="H35" i="2143"/>
  <c r="D35" i="2143"/>
  <c r="R34" i="2143"/>
  <c r="L12" i="2143" s="1"/>
  <c r="D12" i="2143" s="1"/>
  <c r="H34" i="2143"/>
  <c r="G49" i="2143" s="1"/>
  <c r="D34" i="2143"/>
  <c r="D54" i="2143" s="1"/>
  <c r="H14" i="2143" s="1"/>
  <c r="R33" i="2143"/>
  <c r="L19" i="2143" s="1"/>
  <c r="D19" i="2143" s="1"/>
  <c r="R32" i="2143"/>
  <c r="R31" i="2143"/>
  <c r="R30" i="2143"/>
  <c r="R29" i="2143"/>
  <c r="R28" i="2143"/>
  <c r="R27" i="2143"/>
  <c r="L27" i="2143"/>
  <c r="D27" i="2143"/>
  <c r="R26" i="2143"/>
  <c r="L26" i="2143"/>
  <c r="D26" i="2143" s="1"/>
  <c r="R25" i="2143"/>
  <c r="L25" i="2143"/>
  <c r="D25" i="2143" s="1"/>
  <c r="R24" i="2143"/>
  <c r="L24" i="2143"/>
  <c r="D24" i="2143"/>
  <c r="R23" i="2143"/>
  <c r="L23" i="2143"/>
  <c r="D23" i="2143"/>
  <c r="R22" i="2143"/>
  <c r="L22" i="2143"/>
  <c r="D22" i="2143"/>
  <c r="R21" i="2143"/>
  <c r="L17" i="2143" s="1"/>
  <c r="D17" i="2143" s="1"/>
  <c r="L21" i="2143"/>
  <c r="D21" i="2143"/>
  <c r="R20" i="2143"/>
  <c r="L20" i="2143"/>
  <c r="D20" i="2143" s="1"/>
  <c r="R19" i="2143"/>
  <c r="R18" i="2143"/>
  <c r="L18" i="2143"/>
  <c r="D18" i="2143" s="1"/>
  <c r="R17" i="2143"/>
  <c r="R16" i="2143"/>
  <c r="R15" i="2143"/>
  <c r="L15" i="2143"/>
  <c r="D15" i="2143" s="1"/>
  <c r="R14" i="2143"/>
  <c r="D14" i="2143"/>
  <c r="R13" i="2143"/>
  <c r="D13" i="2143"/>
  <c r="R12" i="2143"/>
  <c r="R11" i="2143"/>
  <c r="L11" i="2143"/>
  <c r="D11" i="2143"/>
  <c r="L10" i="2143"/>
  <c r="D10" i="2143"/>
  <c r="L9" i="2143"/>
  <c r="D9" i="2143" s="1"/>
  <c r="L7" i="2143"/>
  <c r="D7" i="2143"/>
  <c r="R6" i="2143"/>
  <c r="L16" i="2143" s="1"/>
  <c r="D16" i="2143" s="1"/>
  <c r="L6" i="2143"/>
  <c r="D6" i="2143"/>
  <c r="R5" i="2143"/>
  <c r="R4" i="2143"/>
  <c r="R52" i="2142"/>
  <c r="R51" i="2142"/>
  <c r="D50" i="2142"/>
  <c r="R49" i="2142"/>
  <c r="G49" i="2142"/>
  <c r="D49" i="2142"/>
  <c r="R48" i="2142"/>
  <c r="D48" i="2142"/>
  <c r="D46" i="2142"/>
  <c r="D45" i="2142"/>
  <c r="R44" i="2142"/>
  <c r="L28" i="2142" s="1"/>
  <c r="D28" i="2142" s="1"/>
  <c r="D44" i="2142"/>
  <c r="R42" i="2142"/>
  <c r="D42" i="2142"/>
  <c r="R41" i="2142"/>
  <c r="D41" i="2142"/>
  <c r="R40" i="2142"/>
  <c r="D40" i="2142"/>
  <c r="R39" i="2142"/>
  <c r="H39" i="2142"/>
  <c r="D39" i="2142"/>
  <c r="R38" i="2142"/>
  <c r="L9" i="2142" s="1"/>
  <c r="D9" i="2142" s="1"/>
  <c r="H38" i="2142"/>
  <c r="D38" i="2142"/>
  <c r="R37" i="2142"/>
  <c r="H37" i="2142"/>
  <c r="D37" i="2142"/>
  <c r="R36" i="2142"/>
  <c r="L10" i="2142" s="1"/>
  <c r="D10" i="2142" s="1"/>
  <c r="H36" i="2142"/>
  <c r="D36" i="2142"/>
  <c r="R35" i="2142"/>
  <c r="H35" i="2142"/>
  <c r="D35" i="2142"/>
  <c r="R34" i="2142"/>
  <c r="H34" i="2142"/>
  <c r="D34" i="2142"/>
  <c r="D54" i="2142" s="1"/>
  <c r="H14" i="2142" s="1"/>
  <c r="R33" i="2142"/>
  <c r="L19" i="2142" s="1"/>
  <c r="D19" i="2142" s="1"/>
  <c r="R32" i="2142"/>
  <c r="L11" i="2142" s="1"/>
  <c r="D11" i="2142" s="1"/>
  <c r="R31" i="2142"/>
  <c r="R30" i="2142"/>
  <c r="R29" i="2142"/>
  <c r="R28" i="2142"/>
  <c r="R27" i="2142"/>
  <c r="L27" i="2142"/>
  <c r="D27" i="2142"/>
  <c r="R26" i="2142"/>
  <c r="L26" i="2142"/>
  <c r="D26" i="2142"/>
  <c r="R25" i="2142"/>
  <c r="L25" i="2142"/>
  <c r="D25" i="2142" s="1"/>
  <c r="R24" i="2142"/>
  <c r="L24" i="2142"/>
  <c r="D24" i="2142"/>
  <c r="R23" i="2142"/>
  <c r="L23" i="2142"/>
  <c r="D23" i="2142" s="1"/>
  <c r="R22" i="2142"/>
  <c r="L20" i="2142" s="1"/>
  <c r="D20" i="2142" s="1"/>
  <c r="L22" i="2142"/>
  <c r="D22" i="2142" s="1"/>
  <c r="R21" i="2142"/>
  <c r="D21" i="2142"/>
  <c r="R20" i="2142"/>
  <c r="R19" i="2142"/>
  <c r="R18" i="2142"/>
  <c r="L18" i="2142"/>
  <c r="D18" i="2142"/>
  <c r="R17" i="2142"/>
  <c r="L17" i="2142"/>
  <c r="D17" i="2142"/>
  <c r="R16" i="2142"/>
  <c r="R15" i="2142"/>
  <c r="R14" i="2142"/>
  <c r="D14" i="2142"/>
  <c r="R13" i="2142"/>
  <c r="D13" i="2142"/>
  <c r="R12" i="2142"/>
  <c r="L12" i="2142"/>
  <c r="D12" i="2142"/>
  <c r="R11" i="2142"/>
  <c r="L8" i="2142"/>
  <c r="D8" i="2142" s="1"/>
  <c r="L7" i="2142"/>
  <c r="D7" i="2142"/>
  <c r="R6" i="2142"/>
  <c r="L16" i="2142" s="1"/>
  <c r="D16" i="2142" s="1"/>
  <c r="L6" i="2142"/>
  <c r="D6" i="2142" s="1"/>
  <c r="R5" i="2142"/>
  <c r="R4" i="2142"/>
  <c r="L15" i="2142" s="1"/>
  <c r="D15" i="2142" s="1"/>
  <c r="R52" i="2141"/>
  <c r="R51" i="2141"/>
  <c r="D50" i="2141"/>
  <c r="R49" i="2141"/>
  <c r="D49" i="2141"/>
  <c r="R48" i="2141"/>
  <c r="D48" i="2141"/>
  <c r="D46" i="2141"/>
  <c r="D45" i="2141"/>
  <c r="R44" i="2141"/>
  <c r="L28" i="2141" s="1"/>
  <c r="D28" i="2141" s="1"/>
  <c r="D44" i="2141"/>
  <c r="R42" i="2141"/>
  <c r="D42" i="2141"/>
  <c r="R41" i="2141"/>
  <c r="D41" i="2141"/>
  <c r="R40" i="2141"/>
  <c r="D40" i="2141"/>
  <c r="R39" i="2141"/>
  <c r="H39" i="2141"/>
  <c r="D39" i="2141"/>
  <c r="R38" i="2141"/>
  <c r="L9" i="2141" s="1"/>
  <c r="D9" i="2141" s="1"/>
  <c r="H38" i="2141"/>
  <c r="D38" i="2141"/>
  <c r="R37" i="2141"/>
  <c r="H37" i="2141"/>
  <c r="G49" i="2141" s="1"/>
  <c r="D37" i="2141"/>
  <c r="R36" i="2141"/>
  <c r="H36" i="2141"/>
  <c r="D36" i="2141"/>
  <c r="R35" i="2141"/>
  <c r="H35" i="2141"/>
  <c r="D35" i="2141"/>
  <c r="R34" i="2141"/>
  <c r="L12" i="2141" s="1"/>
  <c r="D12" i="2141" s="1"/>
  <c r="H34" i="2141"/>
  <c r="D34" i="2141"/>
  <c r="D54" i="2141" s="1"/>
  <c r="H14" i="2141" s="1"/>
  <c r="R33" i="2141"/>
  <c r="R32" i="2141"/>
  <c r="L11" i="2141" s="1"/>
  <c r="D11" i="2141" s="1"/>
  <c r="R31" i="2141"/>
  <c r="R30" i="2141"/>
  <c r="R29" i="2141"/>
  <c r="R28" i="2141"/>
  <c r="R27" i="2141"/>
  <c r="L27" i="2141"/>
  <c r="D27" i="2141"/>
  <c r="R26" i="2141"/>
  <c r="L26" i="2141"/>
  <c r="D26" i="2141"/>
  <c r="R25" i="2141"/>
  <c r="L25" i="2141"/>
  <c r="D25" i="2141"/>
  <c r="R24" i="2141"/>
  <c r="L24" i="2141"/>
  <c r="D24" i="2141"/>
  <c r="R23" i="2141"/>
  <c r="L23" i="2141"/>
  <c r="D23" i="2141"/>
  <c r="R22" i="2141"/>
  <c r="L22" i="2141"/>
  <c r="D22" i="2141"/>
  <c r="R21" i="2141"/>
  <c r="L17" i="2141" s="1"/>
  <c r="D17" i="2141" s="1"/>
  <c r="L21" i="2141"/>
  <c r="D21" i="2141"/>
  <c r="R20" i="2141"/>
  <c r="L20" i="2141"/>
  <c r="D20" i="2141"/>
  <c r="R19" i="2141"/>
  <c r="L19" i="2141"/>
  <c r="D19" i="2141"/>
  <c r="R18" i="2141"/>
  <c r="L18" i="2141"/>
  <c r="D18" i="2141" s="1"/>
  <c r="R17" i="2141"/>
  <c r="R16" i="2141"/>
  <c r="R15" i="2141"/>
  <c r="L15" i="2141"/>
  <c r="D15" i="2141"/>
  <c r="R14" i="2141"/>
  <c r="D14" i="2141"/>
  <c r="R13" i="2141"/>
  <c r="D13" i="2141"/>
  <c r="R12" i="2141"/>
  <c r="R11" i="2141"/>
  <c r="L10" i="2141"/>
  <c r="D10" i="2141"/>
  <c r="L8" i="2141"/>
  <c r="D8" i="2141"/>
  <c r="L7" i="2141"/>
  <c r="D7" i="2141"/>
  <c r="R6" i="2141"/>
  <c r="L16" i="2141" s="1"/>
  <c r="D16" i="2141" s="1"/>
  <c r="L6" i="2141"/>
  <c r="D6" i="2141" s="1"/>
  <c r="R5" i="2141"/>
  <c r="R4" i="2141"/>
  <c r="R52" i="2140"/>
  <c r="R51" i="2140"/>
  <c r="D50" i="2140"/>
  <c r="R49" i="2140"/>
  <c r="G49" i="2140"/>
  <c r="D49" i="2140"/>
  <c r="R48" i="2140"/>
  <c r="D48" i="2140"/>
  <c r="D46" i="2140"/>
  <c r="D45" i="2140"/>
  <c r="D44" i="2140"/>
  <c r="R42" i="2140"/>
  <c r="L6" i="2140" s="1"/>
  <c r="D6" i="2140" s="1"/>
  <c r="D42" i="2140"/>
  <c r="R41" i="2140"/>
  <c r="L7" i="2140" s="1"/>
  <c r="D7" i="2140" s="1"/>
  <c r="D41" i="2140"/>
  <c r="R40" i="2140"/>
  <c r="D40" i="2140"/>
  <c r="R39" i="2140"/>
  <c r="D39" i="2140"/>
  <c r="R38" i="2140"/>
  <c r="D38" i="2140"/>
  <c r="R37" i="2140"/>
  <c r="D37" i="2140"/>
  <c r="R36" i="2140"/>
  <c r="D36" i="2140"/>
  <c r="R35" i="2140"/>
  <c r="D35" i="2140"/>
  <c r="R34" i="2140"/>
  <c r="L12" i="2140" s="1"/>
  <c r="D12" i="2140" s="1"/>
  <c r="D34" i="2140"/>
  <c r="D54" i="2140" s="1"/>
  <c r="H14" i="2140" s="1"/>
  <c r="R33" i="2140"/>
  <c r="L23" i="2140" s="1"/>
  <c r="D23" i="2140" s="1"/>
  <c r="R32" i="2140"/>
  <c r="L11" i="2140" s="1"/>
  <c r="D11" i="2140" s="1"/>
  <c r="R31" i="2140"/>
  <c r="R30" i="2140"/>
  <c r="R29" i="2140"/>
  <c r="R28" i="2140"/>
  <c r="D28" i="2140"/>
  <c r="R27" i="2140"/>
  <c r="D27" i="2140"/>
  <c r="R26" i="2140"/>
  <c r="L26" i="2140"/>
  <c r="D26" i="2140"/>
  <c r="R25" i="2140"/>
  <c r="L25" i="2140"/>
  <c r="D25" i="2140"/>
  <c r="R24" i="2140"/>
  <c r="D24" i="2140"/>
  <c r="R23" i="2140"/>
  <c r="R22" i="2140"/>
  <c r="L22" i="2140"/>
  <c r="D22" i="2140" s="1"/>
  <c r="R21" i="2140"/>
  <c r="D21" i="2140"/>
  <c r="R20" i="2140"/>
  <c r="L20" i="2140"/>
  <c r="D20" i="2140"/>
  <c r="R19" i="2140"/>
  <c r="L19" i="2140"/>
  <c r="D19" i="2140"/>
  <c r="R18" i="2140"/>
  <c r="D18" i="2140"/>
  <c r="R17" i="2140"/>
  <c r="D17" i="2140"/>
  <c r="R16" i="2140"/>
  <c r="L16" i="2140"/>
  <c r="D16" i="2140" s="1"/>
  <c r="S15" i="2140"/>
  <c r="R15" i="2140"/>
  <c r="D15" i="2140"/>
  <c r="S14" i="2140"/>
  <c r="R14" i="2140"/>
  <c r="D14" i="2140"/>
  <c r="R13" i="2140"/>
  <c r="D13" i="2140"/>
  <c r="R12" i="2140"/>
  <c r="R11" i="2140"/>
  <c r="L10" i="2140"/>
  <c r="D10" i="2140" s="1"/>
  <c r="L9" i="2140"/>
  <c r="D9" i="2140" s="1"/>
  <c r="L8" i="2140"/>
  <c r="D8" i="2140"/>
  <c r="R6" i="2140"/>
  <c r="R5" i="2140"/>
  <c r="R4" i="2140"/>
  <c r="D29" i="2155" l="1"/>
  <c r="H13" i="2155" s="1"/>
  <c r="H15" i="2155" s="1"/>
  <c r="H29" i="2155" s="1"/>
  <c r="G51" i="2155"/>
  <c r="D29" i="2154"/>
  <c r="H13" i="2154" s="1"/>
  <c r="H15" i="2154" s="1"/>
  <c r="H29" i="2154" s="1"/>
  <c r="G51" i="2154" s="1"/>
  <c r="D29" i="2153"/>
  <c r="H13" i="2153" s="1"/>
  <c r="H15" i="2153" s="1"/>
  <c r="H29" i="2153" s="1"/>
  <c r="G51" i="2153" s="1"/>
  <c r="G51" i="2152"/>
  <c r="D29" i="2151"/>
  <c r="H13" i="2151" s="1"/>
  <c r="H15" i="2151" s="1"/>
  <c r="H29" i="2151" s="1"/>
  <c r="G51" i="2151"/>
  <c r="G51" i="2150"/>
  <c r="D29" i="2150"/>
  <c r="H13" i="2150" s="1"/>
  <c r="H15" i="2150" s="1"/>
  <c r="H29" i="2150" s="1"/>
  <c r="D29" i="2149"/>
  <c r="H13" i="2149" s="1"/>
  <c r="H15" i="2149" s="1"/>
  <c r="H29" i="2149" s="1"/>
  <c r="G51" i="2149" s="1"/>
  <c r="D29" i="2148"/>
  <c r="H13" i="2148" s="1"/>
  <c r="H15" i="2148" s="1"/>
  <c r="H29" i="2148" s="1"/>
  <c r="G51" i="2148" s="1"/>
  <c r="D29" i="2147"/>
  <c r="H13" i="2147" s="1"/>
  <c r="H15" i="2147" s="1"/>
  <c r="H29" i="2147" s="1"/>
  <c r="G51" i="2147"/>
  <c r="D29" i="2146"/>
  <c r="H13" i="2146" s="1"/>
  <c r="H15" i="2146" s="1"/>
  <c r="H29" i="2146" s="1"/>
  <c r="G51" i="2146" s="1"/>
  <c r="D29" i="2145"/>
  <c r="H13" i="2145" s="1"/>
  <c r="H15" i="2145" s="1"/>
  <c r="H29" i="2145" s="1"/>
  <c r="G51" i="2145" s="1"/>
  <c r="D29" i="2144"/>
  <c r="H13" i="2144" s="1"/>
  <c r="H15" i="2144" s="1"/>
  <c r="H29" i="2144" s="1"/>
  <c r="G51" i="2144" s="1"/>
  <c r="D29" i="2143"/>
  <c r="H13" i="2143" s="1"/>
  <c r="H15" i="2143" s="1"/>
  <c r="H29" i="2143" s="1"/>
  <c r="G51" i="2143"/>
  <c r="D29" i="2142"/>
  <c r="H13" i="2142" s="1"/>
  <c r="H15" i="2142" s="1"/>
  <c r="H29" i="2142" s="1"/>
  <c r="G51" i="2142" s="1"/>
  <c r="D29" i="2141"/>
  <c r="H13" i="2141" s="1"/>
  <c r="H15" i="2141" s="1"/>
  <c r="H29" i="2141" s="1"/>
  <c r="G51" i="2141"/>
  <c r="D29" i="2140"/>
  <c r="H13" i="2140" s="1"/>
  <c r="H15" i="2140" s="1"/>
  <c r="H29" i="2140" s="1"/>
  <c r="G51" i="2140" s="1"/>
  <c r="R52" i="2139"/>
  <c r="R51" i="2139"/>
  <c r="D50" i="2139"/>
  <c r="R49" i="2139"/>
  <c r="D49" i="2139"/>
  <c r="R48" i="2139"/>
  <c r="D48" i="2139"/>
  <c r="D46" i="2139"/>
  <c r="D45" i="2139"/>
  <c r="R44" i="2139"/>
  <c r="D44" i="2139"/>
  <c r="R42" i="2139"/>
  <c r="D42" i="2139"/>
  <c r="R41" i="2139"/>
  <c r="D41" i="2139"/>
  <c r="R40" i="2139"/>
  <c r="L8" i="2139" s="1"/>
  <c r="D8" i="2139" s="1"/>
  <c r="D40" i="2139"/>
  <c r="R39" i="2139"/>
  <c r="H39" i="2139"/>
  <c r="D39" i="2139"/>
  <c r="R38" i="2139"/>
  <c r="L9" i="2139" s="1"/>
  <c r="D9" i="2139" s="1"/>
  <c r="H38" i="2139"/>
  <c r="D38" i="2139"/>
  <c r="R37" i="2139"/>
  <c r="H37" i="2139"/>
  <c r="D37" i="2139"/>
  <c r="R36" i="2139"/>
  <c r="H36" i="2139"/>
  <c r="D36" i="2139"/>
  <c r="R35" i="2139"/>
  <c r="L18" i="2139" s="1"/>
  <c r="D18" i="2139" s="1"/>
  <c r="H35" i="2139"/>
  <c r="D35" i="2139"/>
  <c r="R34" i="2139"/>
  <c r="H34" i="2139"/>
  <c r="G49" i="2139" s="1"/>
  <c r="D34" i="2139"/>
  <c r="D54" i="2139" s="1"/>
  <c r="H14" i="2139" s="1"/>
  <c r="R33" i="2139"/>
  <c r="R32" i="2139"/>
  <c r="L11" i="2139" s="1"/>
  <c r="D11" i="2139" s="1"/>
  <c r="R31" i="2139"/>
  <c r="R30" i="2139"/>
  <c r="R29" i="2139"/>
  <c r="R28" i="2139"/>
  <c r="L28" i="2139"/>
  <c r="D28" i="2139"/>
  <c r="R27" i="2139"/>
  <c r="L27" i="2139"/>
  <c r="D27" i="2139" s="1"/>
  <c r="R26" i="2139"/>
  <c r="L26" i="2139"/>
  <c r="D26" i="2139" s="1"/>
  <c r="R25" i="2139"/>
  <c r="L25" i="2139"/>
  <c r="D25" i="2139" s="1"/>
  <c r="R24" i="2139"/>
  <c r="L24" i="2139"/>
  <c r="D24" i="2139"/>
  <c r="R23" i="2139"/>
  <c r="L23" i="2139"/>
  <c r="D23" i="2139" s="1"/>
  <c r="R22" i="2139"/>
  <c r="L20" i="2139" s="1"/>
  <c r="D20" i="2139" s="1"/>
  <c r="L22" i="2139"/>
  <c r="D22" i="2139"/>
  <c r="R21" i="2139"/>
  <c r="L21" i="2139"/>
  <c r="D21" i="2139" s="1"/>
  <c r="R20" i="2139"/>
  <c r="R19" i="2139"/>
  <c r="L19" i="2139"/>
  <c r="D19" i="2139" s="1"/>
  <c r="R18" i="2139"/>
  <c r="R17" i="2139"/>
  <c r="L17" i="2139"/>
  <c r="D17" i="2139" s="1"/>
  <c r="R16" i="2139"/>
  <c r="L16" i="2139"/>
  <c r="D16" i="2139"/>
  <c r="R15" i="2139"/>
  <c r="L15" i="2139"/>
  <c r="D15" i="2139"/>
  <c r="R14" i="2139"/>
  <c r="D14" i="2139"/>
  <c r="R13" i="2139"/>
  <c r="D13" i="2139"/>
  <c r="R12" i="2139"/>
  <c r="L12" i="2139"/>
  <c r="D12" i="2139" s="1"/>
  <c r="R11" i="2139"/>
  <c r="L10" i="2139"/>
  <c r="D10" i="2139" s="1"/>
  <c r="L7" i="2139"/>
  <c r="D7" i="2139"/>
  <c r="R6" i="2139"/>
  <c r="L6" i="2139"/>
  <c r="D6" i="2139" s="1"/>
  <c r="R5" i="2139"/>
  <c r="R4" i="2139"/>
  <c r="D54" i="2138"/>
  <c r="H14" i="2138" s="1"/>
  <c r="R52" i="2138"/>
  <c r="R51" i="2138"/>
  <c r="D50" i="2138"/>
  <c r="R49" i="2138"/>
  <c r="D49" i="2138"/>
  <c r="R48" i="2138"/>
  <c r="D48" i="2138"/>
  <c r="D46" i="2138"/>
  <c r="D45" i="2138"/>
  <c r="R44" i="2138"/>
  <c r="D44" i="2138"/>
  <c r="R42" i="2138"/>
  <c r="L6" i="2138" s="1"/>
  <c r="D6" i="2138" s="1"/>
  <c r="D42" i="2138"/>
  <c r="R41" i="2138"/>
  <c r="L7" i="2138" s="1"/>
  <c r="D7" i="2138" s="1"/>
  <c r="D41" i="2138"/>
  <c r="R40" i="2138"/>
  <c r="L8" i="2138" s="1"/>
  <c r="D8" i="2138" s="1"/>
  <c r="D40" i="2138"/>
  <c r="R39" i="2138"/>
  <c r="H39" i="2138"/>
  <c r="D39" i="2138"/>
  <c r="R38" i="2138"/>
  <c r="L9" i="2138" s="1"/>
  <c r="D9" i="2138" s="1"/>
  <c r="H38" i="2138"/>
  <c r="D38" i="2138"/>
  <c r="R37" i="2138"/>
  <c r="H37" i="2138"/>
  <c r="D37" i="2138"/>
  <c r="R36" i="2138"/>
  <c r="L10" i="2138" s="1"/>
  <c r="D10" i="2138" s="1"/>
  <c r="H36" i="2138"/>
  <c r="D36" i="2138"/>
  <c r="R35" i="2138"/>
  <c r="L18" i="2138" s="1"/>
  <c r="D18" i="2138" s="1"/>
  <c r="H35" i="2138"/>
  <c r="D35" i="2138"/>
  <c r="R34" i="2138"/>
  <c r="H34" i="2138"/>
  <c r="G49" i="2138" s="1"/>
  <c r="D34" i="2138"/>
  <c r="R33" i="2138"/>
  <c r="R32" i="2138"/>
  <c r="L11" i="2138" s="1"/>
  <c r="D11" i="2138" s="1"/>
  <c r="R31" i="2138"/>
  <c r="R30" i="2138"/>
  <c r="R29" i="2138"/>
  <c r="R28" i="2138"/>
  <c r="L28" i="2138"/>
  <c r="D28" i="2138"/>
  <c r="R27" i="2138"/>
  <c r="L27" i="2138"/>
  <c r="D27" i="2138"/>
  <c r="R26" i="2138"/>
  <c r="L26" i="2138"/>
  <c r="D26" i="2138" s="1"/>
  <c r="R25" i="2138"/>
  <c r="L25" i="2138"/>
  <c r="D25" i="2138"/>
  <c r="R24" i="2138"/>
  <c r="L24" i="2138"/>
  <c r="D24" i="2138"/>
  <c r="R23" i="2138"/>
  <c r="L23" i="2138"/>
  <c r="D23" i="2138" s="1"/>
  <c r="R22" i="2138"/>
  <c r="L20" i="2138" s="1"/>
  <c r="D20" i="2138" s="1"/>
  <c r="L22" i="2138"/>
  <c r="D22" i="2138" s="1"/>
  <c r="R21" i="2138"/>
  <c r="D21" i="2138"/>
  <c r="R20" i="2138"/>
  <c r="R19" i="2138"/>
  <c r="L19" i="2138"/>
  <c r="D19" i="2138" s="1"/>
  <c r="R18" i="2138"/>
  <c r="R17" i="2138"/>
  <c r="L17" i="2138"/>
  <c r="D17" i="2138"/>
  <c r="R16" i="2138"/>
  <c r="R15" i="2138"/>
  <c r="R14" i="2138"/>
  <c r="D14" i="2138"/>
  <c r="R13" i="2138"/>
  <c r="D13" i="2138"/>
  <c r="R12" i="2138"/>
  <c r="L12" i="2138"/>
  <c r="D12" i="2138"/>
  <c r="R11" i="2138"/>
  <c r="R6" i="2138"/>
  <c r="L16" i="2138" s="1"/>
  <c r="D16" i="2138" s="1"/>
  <c r="R5" i="2138"/>
  <c r="R4" i="2138"/>
  <c r="L15" i="2138" s="1"/>
  <c r="D15" i="2138" s="1"/>
  <c r="R52" i="2137"/>
  <c r="R51" i="2137"/>
  <c r="D50" i="2137"/>
  <c r="R49" i="2137"/>
  <c r="D49" i="2137"/>
  <c r="R48" i="2137"/>
  <c r="D48" i="2137"/>
  <c r="D46" i="2137"/>
  <c r="D45" i="2137"/>
  <c r="R44" i="2137"/>
  <c r="D44" i="2137"/>
  <c r="R42" i="2137"/>
  <c r="L6" i="2137" s="1"/>
  <c r="D6" i="2137" s="1"/>
  <c r="D42" i="2137"/>
  <c r="R41" i="2137"/>
  <c r="L7" i="2137" s="1"/>
  <c r="D7" i="2137" s="1"/>
  <c r="D41" i="2137"/>
  <c r="R40" i="2137"/>
  <c r="D40" i="2137"/>
  <c r="R39" i="2137"/>
  <c r="H39" i="2137"/>
  <c r="D39" i="2137"/>
  <c r="R38" i="2137"/>
  <c r="H38" i="2137"/>
  <c r="D38" i="2137"/>
  <c r="R37" i="2137"/>
  <c r="H37" i="2137"/>
  <c r="D37" i="2137"/>
  <c r="R36" i="2137"/>
  <c r="H36" i="2137"/>
  <c r="D36" i="2137"/>
  <c r="D54" i="2137" s="1"/>
  <c r="H14" i="2137" s="1"/>
  <c r="R35" i="2137"/>
  <c r="L18" i="2137" s="1"/>
  <c r="D18" i="2137" s="1"/>
  <c r="H35" i="2137"/>
  <c r="D35" i="2137"/>
  <c r="R34" i="2137"/>
  <c r="H34" i="2137"/>
  <c r="G49" i="2137" s="1"/>
  <c r="D34" i="2137"/>
  <c r="R33" i="2137"/>
  <c r="R32" i="2137"/>
  <c r="R31" i="2137"/>
  <c r="R30" i="2137"/>
  <c r="R29" i="2137"/>
  <c r="R28" i="2137"/>
  <c r="L28" i="2137"/>
  <c r="D28" i="2137"/>
  <c r="R27" i="2137"/>
  <c r="L27" i="2137"/>
  <c r="D27" i="2137"/>
  <c r="R26" i="2137"/>
  <c r="L26" i="2137"/>
  <c r="D26" i="2137" s="1"/>
  <c r="R25" i="2137"/>
  <c r="L25" i="2137"/>
  <c r="D25" i="2137"/>
  <c r="R24" i="2137"/>
  <c r="L24" i="2137"/>
  <c r="D24" i="2137"/>
  <c r="R23" i="2137"/>
  <c r="L23" i="2137"/>
  <c r="D23" i="2137"/>
  <c r="R22" i="2137"/>
  <c r="L20" i="2137" s="1"/>
  <c r="D20" i="2137" s="1"/>
  <c r="L22" i="2137"/>
  <c r="D22" i="2137" s="1"/>
  <c r="R21" i="2137"/>
  <c r="L21" i="2137"/>
  <c r="D21" i="2137"/>
  <c r="R20" i="2137"/>
  <c r="R19" i="2137"/>
  <c r="L19" i="2137"/>
  <c r="D19" i="2137"/>
  <c r="R18" i="2137"/>
  <c r="R17" i="2137"/>
  <c r="L17" i="2137"/>
  <c r="D17" i="2137"/>
  <c r="R16" i="2137"/>
  <c r="R15" i="2137"/>
  <c r="R14" i="2137"/>
  <c r="D14" i="2137"/>
  <c r="R13" i="2137"/>
  <c r="D13" i="2137"/>
  <c r="R12" i="2137"/>
  <c r="L12" i="2137"/>
  <c r="D12" i="2137" s="1"/>
  <c r="R11" i="2137"/>
  <c r="L11" i="2137"/>
  <c r="D11" i="2137"/>
  <c r="L10" i="2137"/>
  <c r="D10" i="2137" s="1"/>
  <c r="L9" i="2137"/>
  <c r="D9" i="2137" s="1"/>
  <c r="L8" i="2137"/>
  <c r="D8" i="2137"/>
  <c r="R6" i="2137"/>
  <c r="L16" i="2137" s="1"/>
  <c r="D16" i="2137" s="1"/>
  <c r="R5" i="2137"/>
  <c r="R4" i="2137"/>
  <c r="L15" i="2137" s="1"/>
  <c r="D15" i="2137" s="1"/>
  <c r="D54" i="2136"/>
  <c r="H14" i="2136" s="1"/>
  <c r="R52" i="2136"/>
  <c r="R51" i="2136"/>
  <c r="D50" i="2136"/>
  <c r="R49" i="2136"/>
  <c r="G49" i="2136"/>
  <c r="D49" i="2136"/>
  <c r="R48" i="2136"/>
  <c r="D48" i="2136"/>
  <c r="D46" i="2136"/>
  <c r="D45" i="2136"/>
  <c r="D44" i="2136"/>
  <c r="R42" i="2136"/>
  <c r="D42" i="2136"/>
  <c r="R41" i="2136"/>
  <c r="L7" i="2136" s="1"/>
  <c r="D7" i="2136" s="1"/>
  <c r="D41" i="2136"/>
  <c r="R40" i="2136"/>
  <c r="L8" i="2136" s="1"/>
  <c r="D8" i="2136" s="1"/>
  <c r="D40" i="2136"/>
  <c r="R39" i="2136"/>
  <c r="D39" i="2136"/>
  <c r="R38" i="2136"/>
  <c r="D38" i="2136"/>
  <c r="R37" i="2136"/>
  <c r="D37" i="2136"/>
  <c r="R36" i="2136"/>
  <c r="L10" i="2136" s="1"/>
  <c r="D10" i="2136" s="1"/>
  <c r="D36" i="2136"/>
  <c r="R35" i="2136"/>
  <c r="L19" i="2136" s="1"/>
  <c r="D19" i="2136" s="1"/>
  <c r="D35" i="2136"/>
  <c r="R34" i="2136"/>
  <c r="D34" i="2136"/>
  <c r="R33" i="2136"/>
  <c r="R32" i="2136"/>
  <c r="L11" i="2136" s="1"/>
  <c r="D11" i="2136" s="1"/>
  <c r="R31" i="2136"/>
  <c r="R30" i="2136"/>
  <c r="R29" i="2136"/>
  <c r="R28" i="2136"/>
  <c r="D28" i="2136"/>
  <c r="R27" i="2136"/>
  <c r="D27" i="2136"/>
  <c r="R26" i="2136"/>
  <c r="L26" i="2136"/>
  <c r="D26" i="2136" s="1"/>
  <c r="R25" i="2136"/>
  <c r="L25" i="2136"/>
  <c r="D25" i="2136"/>
  <c r="R24" i="2136"/>
  <c r="D24" i="2136"/>
  <c r="R23" i="2136"/>
  <c r="L23" i="2136"/>
  <c r="D23" i="2136" s="1"/>
  <c r="R22" i="2136"/>
  <c r="L22" i="2136"/>
  <c r="D22" i="2136" s="1"/>
  <c r="R21" i="2136"/>
  <c r="D21" i="2136"/>
  <c r="R20" i="2136"/>
  <c r="L20" i="2136"/>
  <c r="D20" i="2136" s="1"/>
  <c r="R19" i="2136"/>
  <c r="R18" i="2136"/>
  <c r="D18" i="2136"/>
  <c r="R17" i="2136"/>
  <c r="D17" i="2136"/>
  <c r="R16" i="2136"/>
  <c r="L16" i="2136"/>
  <c r="D16" i="2136" s="1"/>
  <c r="S15" i="2136"/>
  <c r="R15" i="2136"/>
  <c r="D15" i="2136"/>
  <c r="S14" i="2136"/>
  <c r="R14" i="2136"/>
  <c r="D14" i="2136"/>
  <c r="R13" i="2136"/>
  <c r="D13" i="2136"/>
  <c r="R12" i="2136"/>
  <c r="L12" i="2136"/>
  <c r="D12" i="2136" s="1"/>
  <c r="R11" i="2136"/>
  <c r="L9" i="2136"/>
  <c r="D9" i="2136" s="1"/>
  <c r="R6" i="2136"/>
  <c r="L6" i="2136"/>
  <c r="D6" i="2136" s="1"/>
  <c r="D29" i="2136" s="1"/>
  <c r="H13" i="2136" s="1"/>
  <c r="H15" i="2136" s="1"/>
  <c r="H29" i="2136" s="1"/>
  <c r="G51" i="2136" s="1"/>
  <c r="R5" i="2136"/>
  <c r="R4" i="2136"/>
  <c r="R52" i="2135"/>
  <c r="R51" i="2135"/>
  <c r="D50" i="2135"/>
  <c r="R49" i="2135"/>
  <c r="D49" i="2135"/>
  <c r="R48" i="2135"/>
  <c r="D48" i="2135"/>
  <c r="D46" i="2135"/>
  <c r="D45" i="2135"/>
  <c r="R44" i="2135"/>
  <c r="L28" i="2135" s="1"/>
  <c r="D28" i="2135" s="1"/>
  <c r="D44" i="2135"/>
  <c r="R42" i="2135"/>
  <c r="D42" i="2135"/>
  <c r="R41" i="2135"/>
  <c r="D41" i="2135"/>
  <c r="R40" i="2135"/>
  <c r="L8" i="2135" s="1"/>
  <c r="D8" i="2135" s="1"/>
  <c r="D40" i="2135"/>
  <c r="R39" i="2135"/>
  <c r="H39" i="2135"/>
  <c r="D39" i="2135"/>
  <c r="R38" i="2135"/>
  <c r="L9" i="2135" s="1"/>
  <c r="D9" i="2135" s="1"/>
  <c r="H38" i="2135"/>
  <c r="D38" i="2135"/>
  <c r="R37" i="2135"/>
  <c r="H37" i="2135"/>
  <c r="D37" i="2135"/>
  <c r="R36" i="2135"/>
  <c r="H36" i="2135"/>
  <c r="D36" i="2135"/>
  <c r="R35" i="2135"/>
  <c r="H35" i="2135"/>
  <c r="D35" i="2135"/>
  <c r="R34" i="2135"/>
  <c r="L12" i="2135" s="1"/>
  <c r="D12" i="2135" s="1"/>
  <c r="H34" i="2135"/>
  <c r="G49" i="2135" s="1"/>
  <c r="D34" i="2135"/>
  <c r="D54" i="2135" s="1"/>
  <c r="H14" i="2135" s="1"/>
  <c r="R33" i="2135"/>
  <c r="L19" i="2135" s="1"/>
  <c r="D19" i="2135" s="1"/>
  <c r="R32" i="2135"/>
  <c r="L11" i="2135" s="1"/>
  <c r="D11" i="2135" s="1"/>
  <c r="R31" i="2135"/>
  <c r="R30" i="2135"/>
  <c r="R29" i="2135"/>
  <c r="R28" i="2135"/>
  <c r="R27" i="2135"/>
  <c r="L27" i="2135"/>
  <c r="D27" i="2135"/>
  <c r="R26" i="2135"/>
  <c r="L26" i="2135"/>
  <c r="D26" i="2135" s="1"/>
  <c r="R25" i="2135"/>
  <c r="L25" i="2135"/>
  <c r="D25" i="2135" s="1"/>
  <c r="R24" i="2135"/>
  <c r="L24" i="2135"/>
  <c r="D24" i="2135"/>
  <c r="R23" i="2135"/>
  <c r="L23" i="2135"/>
  <c r="D23" i="2135"/>
  <c r="R22" i="2135"/>
  <c r="L20" i="2135" s="1"/>
  <c r="D20" i="2135" s="1"/>
  <c r="L22" i="2135"/>
  <c r="D22" i="2135" s="1"/>
  <c r="R21" i="2135"/>
  <c r="L21" i="2135"/>
  <c r="D21" i="2135" s="1"/>
  <c r="R20" i="2135"/>
  <c r="R19" i="2135"/>
  <c r="R18" i="2135"/>
  <c r="L18" i="2135"/>
  <c r="D18" i="2135" s="1"/>
  <c r="R17" i="2135"/>
  <c r="L17" i="2135"/>
  <c r="D17" i="2135" s="1"/>
  <c r="R16" i="2135"/>
  <c r="R15" i="2135"/>
  <c r="L15" i="2135"/>
  <c r="D15" i="2135"/>
  <c r="R14" i="2135"/>
  <c r="D14" i="2135"/>
  <c r="R13" i="2135"/>
  <c r="D13" i="2135"/>
  <c r="R12" i="2135"/>
  <c r="R11" i="2135"/>
  <c r="L10" i="2135"/>
  <c r="D10" i="2135" s="1"/>
  <c r="L7" i="2135"/>
  <c r="D7" i="2135"/>
  <c r="R6" i="2135"/>
  <c r="L16" i="2135" s="1"/>
  <c r="D16" i="2135" s="1"/>
  <c r="L6" i="2135"/>
  <c r="D6" i="2135" s="1"/>
  <c r="R5" i="2135"/>
  <c r="R4" i="2135"/>
  <c r="R52" i="2134"/>
  <c r="R51" i="2134"/>
  <c r="D50" i="2134"/>
  <c r="R49" i="2134"/>
  <c r="D49" i="2134"/>
  <c r="R48" i="2134"/>
  <c r="D48" i="2134"/>
  <c r="D46" i="2134"/>
  <c r="D45" i="2134"/>
  <c r="R44" i="2134"/>
  <c r="L28" i="2134" s="1"/>
  <c r="D28" i="2134" s="1"/>
  <c r="D44" i="2134"/>
  <c r="R42" i="2134"/>
  <c r="D42" i="2134"/>
  <c r="R41" i="2134"/>
  <c r="D41" i="2134"/>
  <c r="R40" i="2134"/>
  <c r="D40" i="2134"/>
  <c r="R39" i="2134"/>
  <c r="H39" i="2134"/>
  <c r="D39" i="2134"/>
  <c r="R38" i="2134"/>
  <c r="H38" i="2134"/>
  <c r="D38" i="2134"/>
  <c r="R37" i="2134"/>
  <c r="H37" i="2134"/>
  <c r="D37" i="2134"/>
  <c r="R36" i="2134"/>
  <c r="L10" i="2134" s="1"/>
  <c r="D10" i="2134" s="1"/>
  <c r="H36" i="2134"/>
  <c r="D36" i="2134"/>
  <c r="R35" i="2134"/>
  <c r="H35" i="2134"/>
  <c r="D35" i="2134"/>
  <c r="R34" i="2134"/>
  <c r="L12" i="2134" s="1"/>
  <c r="D12" i="2134" s="1"/>
  <c r="H34" i="2134"/>
  <c r="G49" i="2134" s="1"/>
  <c r="D34" i="2134"/>
  <c r="D54" i="2134" s="1"/>
  <c r="H14" i="2134" s="1"/>
  <c r="R33" i="2134"/>
  <c r="L19" i="2134" s="1"/>
  <c r="D19" i="2134" s="1"/>
  <c r="R32" i="2134"/>
  <c r="R31" i="2134"/>
  <c r="R30" i="2134"/>
  <c r="R29" i="2134"/>
  <c r="R28" i="2134"/>
  <c r="R27" i="2134"/>
  <c r="L27" i="2134"/>
  <c r="D27" i="2134"/>
  <c r="R26" i="2134"/>
  <c r="L26" i="2134"/>
  <c r="D26" i="2134"/>
  <c r="R25" i="2134"/>
  <c r="L25" i="2134"/>
  <c r="D25" i="2134" s="1"/>
  <c r="R24" i="2134"/>
  <c r="L24" i="2134"/>
  <c r="D24" i="2134" s="1"/>
  <c r="R23" i="2134"/>
  <c r="L23" i="2134"/>
  <c r="D23" i="2134" s="1"/>
  <c r="R22" i="2134"/>
  <c r="L22" i="2134"/>
  <c r="D22" i="2134"/>
  <c r="R21" i="2134"/>
  <c r="L17" i="2134" s="1"/>
  <c r="D17" i="2134" s="1"/>
  <c r="D21" i="2134"/>
  <c r="R20" i="2134"/>
  <c r="L20" i="2134"/>
  <c r="D20" i="2134" s="1"/>
  <c r="R19" i="2134"/>
  <c r="R18" i="2134"/>
  <c r="L18" i="2134"/>
  <c r="D18" i="2134"/>
  <c r="R17" i="2134"/>
  <c r="R16" i="2134"/>
  <c r="L16" i="2134"/>
  <c r="D16" i="2134"/>
  <c r="R15" i="2134"/>
  <c r="L15" i="2134"/>
  <c r="D15" i="2134" s="1"/>
  <c r="R14" i="2134"/>
  <c r="D14" i="2134"/>
  <c r="R13" i="2134"/>
  <c r="D13" i="2134"/>
  <c r="R12" i="2134"/>
  <c r="R11" i="2134"/>
  <c r="L11" i="2134"/>
  <c r="D11" i="2134"/>
  <c r="L9" i="2134"/>
  <c r="D9" i="2134" s="1"/>
  <c r="L8" i="2134"/>
  <c r="D8" i="2134" s="1"/>
  <c r="L7" i="2134"/>
  <c r="D7" i="2134"/>
  <c r="R6" i="2134"/>
  <c r="L6" i="2134"/>
  <c r="D6" i="2134"/>
  <c r="R5" i="2134"/>
  <c r="R4" i="2134"/>
  <c r="R52" i="2133"/>
  <c r="R51" i="2133"/>
  <c r="D50" i="2133"/>
  <c r="R49" i="2133"/>
  <c r="D49" i="2133"/>
  <c r="R48" i="2133"/>
  <c r="D48" i="2133"/>
  <c r="D46" i="2133"/>
  <c r="D45" i="2133"/>
  <c r="R44" i="2133"/>
  <c r="L28" i="2133" s="1"/>
  <c r="D28" i="2133" s="1"/>
  <c r="D44" i="2133"/>
  <c r="R42" i="2133"/>
  <c r="D42" i="2133"/>
  <c r="R41" i="2133"/>
  <c r="D41" i="2133"/>
  <c r="R40" i="2133"/>
  <c r="L8" i="2133" s="1"/>
  <c r="D8" i="2133" s="1"/>
  <c r="D40" i="2133"/>
  <c r="R39" i="2133"/>
  <c r="H39" i="2133"/>
  <c r="D39" i="2133"/>
  <c r="R38" i="2133"/>
  <c r="H38" i="2133"/>
  <c r="D38" i="2133"/>
  <c r="R37" i="2133"/>
  <c r="H37" i="2133"/>
  <c r="D37" i="2133"/>
  <c r="R36" i="2133"/>
  <c r="L10" i="2133" s="1"/>
  <c r="D10" i="2133" s="1"/>
  <c r="H36" i="2133"/>
  <c r="D36" i="2133"/>
  <c r="R35" i="2133"/>
  <c r="H35" i="2133"/>
  <c r="D35" i="2133"/>
  <c r="R34" i="2133"/>
  <c r="H34" i="2133"/>
  <c r="G49" i="2133" s="1"/>
  <c r="D34" i="2133"/>
  <c r="D54" i="2133" s="1"/>
  <c r="H14" i="2133" s="1"/>
  <c r="R33" i="2133"/>
  <c r="R32" i="2133"/>
  <c r="R31" i="2133"/>
  <c r="R30" i="2133"/>
  <c r="R29" i="2133"/>
  <c r="R28" i="2133"/>
  <c r="R27" i="2133"/>
  <c r="L27" i="2133"/>
  <c r="D27" i="2133" s="1"/>
  <c r="R26" i="2133"/>
  <c r="L26" i="2133"/>
  <c r="D26" i="2133"/>
  <c r="R25" i="2133"/>
  <c r="L25" i="2133"/>
  <c r="D25" i="2133" s="1"/>
  <c r="R24" i="2133"/>
  <c r="L24" i="2133"/>
  <c r="D24" i="2133" s="1"/>
  <c r="R23" i="2133"/>
  <c r="L23" i="2133"/>
  <c r="D23" i="2133" s="1"/>
  <c r="R22" i="2133"/>
  <c r="L20" i="2133" s="1"/>
  <c r="D20" i="2133" s="1"/>
  <c r="L22" i="2133"/>
  <c r="D22" i="2133"/>
  <c r="R21" i="2133"/>
  <c r="L21" i="2133"/>
  <c r="D21" i="2133" s="1"/>
  <c r="R20" i="2133"/>
  <c r="R19" i="2133"/>
  <c r="L19" i="2133"/>
  <c r="D19" i="2133" s="1"/>
  <c r="R18" i="2133"/>
  <c r="L18" i="2133"/>
  <c r="D18" i="2133"/>
  <c r="R17" i="2133"/>
  <c r="L17" i="2133"/>
  <c r="D17" i="2133" s="1"/>
  <c r="R16" i="2133"/>
  <c r="R15" i="2133"/>
  <c r="L15" i="2133"/>
  <c r="D15" i="2133" s="1"/>
  <c r="R14" i="2133"/>
  <c r="D14" i="2133"/>
  <c r="R13" i="2133"/>
  <c r="D13" i="2133"/>
  <c r="R12" i="2133"/>
  <c r="L12" i="2133"/>
  <c r="D12" i="2133" s="1"/>
  <c r="R11" i="2133"/>
  <c r="L11" i="2133"/>
  <c r="D11" i="2133"/>
  <c r="L9" i="2133"/>
  <c r="D9" i="2133"/>
  <c r="L7" i="2133"/>
  <c r="D7" i="2133" s="1"/>
  <c r="R6" i="2133"/>
  <c r="L16" i="2133" s="1"/>
  <c r="D16" i="2133" s="1"/>
  <c r="L6" i="2133"/>
  <c r="D6" i="2133" s="1"/>
  <c r="R5" i="2133"/>
  <c r="R4" i="2133"/>
  <c r="R52" i="2132"/>
  <c r="R51" i="2132"/>
  <c r="D50" i="2132"/>
  <c r="R49" i="2132"/>
  <c r="G49" i="2132"/>
  <c r="D49" i="2132"/>
  <c r="R48" i="2132"/>
  <c r="D48" i="2132"/>
  <c r="D46" i="2132"/>
  <c r="D45" i="2132"/>
  <c r="D44" i="2132"/>
  <c r="R42" i="2132"/>
  <c r="L6" i="2132" s="1"/>
  <c r="D6" i="2132" s="1"/>
  <c r="D42" i="2132"/>
  <c r="R41" i="2132"/>
  <c r="D41" i="2132"/>
  <c r="R40" i="2132"/>
  <c r="D40" i="2132"/>
  <c r="R39" i="2132"/>
  <c r="D39" i="2132"/>
  <c r="R38" i="2132"/>
  <c r="L9" i="2132" s="1"/>
  <c r="D9" i="2132" s="1"/>
  <c r="D38" i="2132"/>
  <c r="R37" i="2132"/>
  <c r="D37" i="2132"/>
  <c r="R36" i="2132"/>
  <c r="L10" i="2132" s="1"/>
  <c r="D10" i="2132" s="1"/>
  <c r="D36" i="2132"/>
  <c r="R35" i="2132"/>
  <c r="D35" i="2132"/>
  <c r="R34" i="2132"/>
  <c r="L12" i="2132" s="1"/>
  <c r="D12" i="2132" s="1"/>
  <c r="D34" i="2132"/>
  <c r="D54" i="2132" s="1"/>
  <c r="H14" i="2132" s="1"/>
  <c r="R33" i="2132"/>
  <c r="L23" i="2132" s="1"/>
  <c r="D23" i="2132" s="1"/>
  <c r="R32" i="2132"/>
  <c r="L11" i="2132" s="1"/>
  <c r="D11" i="2132" s="1"/>
  <c r="R31" i="2132"/>
  <c r="R30" i="2132"/>
  <c r="R29" i="2132"/>
  <c r="R28" i="2132"/>
  <c r="D28" i="2132"/>
  <c r="R27" i="2132"/>
  <c r="D27" i="2132"/>
  <c r="R26" i="2132"/>
  <c r="L26" i="2132"/>
  <c r="D26" i="2132"/>
  <c r="R25" i="2132"/>
  <c r="L25" i="2132"/>
  <c r="D25" i="2132" s="1"/>
  <c r="R24" i="2132"/>
  <c r="D24" i="2132"/>
  <c r="R23" i="2132"/>
  <c r="R22" i="2132"/>
  <c r="L22" i="2132"/>
  <c r="D22" i="2132"/>
  <c r="R21" i="2132"/>
  <c r="D21" i="2132"/>
  <c r="R20" i="2132"/>
  <c r="L20" i="2132"/>
  <c r="D20" i="2132"/>
  <c r="R19" i="2132"/>
  <c r="L19" i="2132"/>
  <c r="D19" i="2132" s="1"/>
  <c r="R18" i="2132"/>
  <c r="D18" i="2132"/>
  <c r="R17" i="2132"/>
  <c r="D17" i="2132"/>
  <c r="R16" i="2132"/>
  <c r="L16" i="2132"/>
  <c r="D16" i="2132" s="1"/>
  <c r="S15" i="2132"/>
  <c r="R15" i="2132"/>
  <c r="D15" i="2132"/>
  <c r="S14" i="2132"/>
  <c r="R14" i="2132"/>
  <c r="D14" i="2132"/>
  <c r="R13" i="2132"/>
  <c r="D13" i="2132"/>
  <c r="R12" i="2132"/>
  <c r="R11" i="2132"/>
  <c r="L8" i="2132"/>
  <c r="D8" i="2132"/>
  <c r="L7" i="2132"/>
  <c r="D7" i="2132" s="1"/>
  <c r="R6" i="2132"/>
  <c r="R5" i="2132"/>
  <c r="R4" i="2132"/>
  <c r="R52" i="2131"/>
  <c r="R51" i="2131"/>
  <c r="D50" i="2131"/>
  <c r="R49" i="2131"/>
  <c r="D49" i="2131"/>
  <c r="R48" i="2131"/>
  <c r="D48" i="2131"/>
  <c r="D46" i="2131"/>
  <c r="D45" i="2131"/>
  <c r="R44" i="2131"/>
  <c r="D44" i="2131"/>
  <c r="R42" i="2131"/>
  <c r="L6" i="2131" s="1"/>
  <c r="D6" i="2131" s="1"/>
  <c r="D42" i="2131"/>
  <c r="R41" i="2131"/>
  <c r="D41" i="2131"/>
  <c r="R40" i="2131"/>
  <c r="D40" i="2131"/>
  <c r="R39" i="2131"/>
  <c r="H39" i="2131"/>
  <c r="D39" i="2131"/>
  <c r="R38" i="2131"/>
  <c r="H38" i="2131"/>
  <c r="D38" i="2131"/>
  <c r="R37" i="2131"/>
  <c r="H37" i="2131"/>
  <c r="D37" i="2131"/>
  <c r="R36" i="2131"/>
  <c r="H36" i="2131"/>
  <c r="D36" i="2131"/>
  <c r="R35" i="2131"/>
  <c r="H35" i="2131"/>
  <c r="D35" i="2131"/>
  <c r="R34" i="2131"/>
  <c r="H34" i="2131"/>
  <c r="G49" i="2131" s="1"/>
  <c r="D34" i="2131"/>
  <c r="D54" i="2131" s="1"/>
  <c r="H14" i="2131" s="1"/>
  <c r="R33" i="2131"/>
  <c r="L19" i="2131" s="1"/>
  <c r="D19" i="2131" s="1"/>
  <c r="R32" i="2131"/>
  <c r="L11" i="2131" s="1"/>
  <c r="D11" i="2131" s="1"/>
  <c r="R31" i="2131"/>
  <c r="R30" i="2131"/>
  <c r="R29" i="2131"/>
  <c r="R28" i="2131"/>
  <c r="L28" i="2131"/>
  <c r="D28" i="2131"/>
  <c r="R27" i="2131"/>
  <c r="L27" i="2131"/>
  <c r="D27" i="2131" s="1"/>
  <c r="R26" i="2131"/>
  <c r="L26" i="2131"/>
  <c r="D26" i="2131" s="1"/>
  <c r="R25" i="2131"/>
  <c r="L25" i="2131"/>
  <c r="D25" i="2131" s="1"/>
  <c r="R24" i="2131"/>
  <c r="L24" i="2131"/>
  <c r="D24" i="2131" s="1"/>
  <c r="R23" i="2131"/>
  <c r="L23" i="2131"/>
  <c r="D23" i="2131"/>
  <c r="R22" i="2131"/>
  <c r="L20" i="2131" s="1"/>
  <c r="D20" i="2131" s="1"/>
  <c r="L22" i="2131"/>
  <c r="D22" i="2131"/>
  <c r="R21" i="2131"/>
  <c r="L21" i="2131"/>
  <c r="D21" i="2131"/>
  <c r="R20" i="2131"/>
  <c r="R19" i="2131"/>
  <c r="R18" i="2131"/>
  <c r="L18" i="2131"/>
  <c r="D18" i="2131" s="1"/>
  <c r="R17" i="2131"/>
  <c r="L17" i="2131"/>
  <c r="D17" i="2131" s="1"/>
  <c r="R16" i="2131"/>
  <c r="R15" i="2131"/>
  <c r="L15" i="2131"/>
  <c r="D15" i="2131"/>
  <c r="R14" i="2131"/>
  <c r="D14" i="2131"/>
  <c r="R13" i="2131"/>
  <c r="D13" i="2131"/>
  <c r="R12" i="2131"/>
  <c r="L12" i="2131"/>
  <c r="D12" i="2131" s="1"/>
  <c r="R11" i="2131"/>
  <c r="L10" i="2131"/>
  <c r="D10" i="2131" s="1"/>
  <c r="L9" i="2131"/>
  <c r="D9" i="2131" s="1"/>
  <c r="L8" i="2131"/>
  <c r="D8" i="2131"/>
  <c r="L7" i="2131"/>
  <c r="D7" i="2131" s="1"/>
  <c r="R6" i="2131"/>
  <c r="L16" i="2131" s="1"/>
  <c r="D16" i="2131" s="1"/>
  <c r="R5" i="2131"/>
  <c r="R4" i="2131"/>
  <c r="R52" i="2130"/>
  <c r="R51" i="2130"/>
  <c r="D50" i="2130"/>
  <c r="R49" i="2130"/>
  <c r="D49" i="2130"/>
  <c r="R48" i="2130"/>
  <c r="D48" i="2130"/>
  <c r="D46" i="2130"/>
  <c r="D45" i="2130"/>
  <c r="R44" i="2130"/>
  <c r="L28" i="2130" s="1"/>
  <c r="D28" i="2130" s="1"/>
  <c r="D44" i="2130"/>
  <c r="R42" i="2130"/>
  <c r="D42" i="2130"/>
  <c r="R41" i="2130"/>
  <c r="D41" i="2130"/>
  <c r="R40" i="2130"/>
  <c r="L8" i="2130" s="1"/>
  <c r="D8" i="2130" s="1"/>
  <c r="D40" i="2130"/>
  <c r="R39" i="2130"/>
  <c r="H39" i="2130"/>
  <c r="D39" i="2130"/>
  <c r="R38" i="2130"/>
  <c r="L9" i="2130" s="1"/>
  <c r="D9" i="2130" s="1"/>
  <c r="H38" i="2130"/>
  <c r="D38" i="2130"/>
  <c r="R37" i="2130"/>
  <c r="H37" i="2130"/>
  <c r="D37" i="2130"/>
  <c r="R36" i="2130"/>
  <c r="H36" i="2130"/>
  <c r="D36" i="2130"/>
  <c r="R35" i="2130"/>
  <c r="H35" i="2130"/>
  <c r="D35" i="2130"/>
  <c r="R34" i="2130"/>
  <c r="L12" i="2130" s="1"/>
  <c r="D12" i="2130" s="1"/>
  <c r="H34" i="2130"/>
  <c r="G49" i="2130" s="1"/>
  <c r="D34" i="2130"/>
  <c r="D54" i="2130" s="1"/>
  <c r="H14" i="2130" s="1"/>
  <c r="R33" i="2130"/>
  <c r="L19" i="2130" s="1"/>
  <c r="D19" i="2130" s="1"/>
  <c r="R32" i="2130"/>
  <c r="R31" i="2130"/>
  <c r="R30" i="2130"/>
  <c r="R29" i="2130"/>
  <c r="R28" i="2130"/>
  <c r="R27" i="2130"/>
  <c r="L27" i="2130"/>
  <c r="D27" i="2130"/>
  <c r="R26" i="2130"/>
  <c r="L26" i="2130"/>
  <c r="D26" i="2130" s="1"/>
  <c r="R25" i="2130"/>
  <c r="L25" i="2130"/>
  <c r="D25" i="2130" s="1"/>
  <c r="R24" i="2130"/>
  <c r="L24" i="2130"/>
  <c r="D24" i="2130" s="1"/>
  <c r="R23" i="2130"/>
  <c r="L23" i="2130"/>
  <c r="D23" i="2130" s="1"/>
  <c r="R22" i="2130"/>
  <c r="L20" i="2130" s="1"/>
  <c r="D20" i="2130" s="1"/>
  <c r="L22" i="2130"/>
  <c r="D22" i="2130"/>
  <c r="R21" i="2130"/>
  <c r="L17" i="2130" s="1"/>
  <c r="D17" i="2130" s="1"/>
  <c r="D21" i="2130"/>
  <c r="R20" i="2130"/>
  <c r="R19" i="2130"/>
  <c r="R18" i="2130"/>
  <c r="L18" i="2130"/>
  <c r="D18" i="2130"/>
  <c r="R17" i="2130"/>
  <c r="R16" i="2130"/>
  <c r="L16" i="2130"/>
  <c r="D16" i="2130"/>
  <c r="R15" i="2130"/>
  <c r="L15" i="2130"/>
  <c r="D15" i="2130" s="1"/>
  <c r="R14" i="2130"/>
  <c r="D14" i="2130"/>
  <c r="R13" i="2130"/>
  <c r="D13" i="2130"/>
  <c r="R12" i="2130"/>
  <c r="R11" i="2130"/>
  <c r="L11" i="2130"/>
  <c r="D11" i="2130"/>
  <c r="L10" i="2130"/>
  <c r="D10" i="2130"/>
  <c r="L7" i="2130"/>
  <c r="D7" i="2130"/>
  <c r="R6" i="2130"/>
  <c r="L6" i="2130"/>
  <c r="D6" i="2130"/>
  <c r="D29" i="2130" s="1"/>
  <c r="H13" i="2130" s="1"/>
  <c r="H15" i="2130" s="1"/>
  <c r="H29" i="2130" s="1"/>
  <c r="R5" i="2130"/>
  <c r="R4" i="2130"/>
  <c r="R52" i="2129"/>
  <c r="R51" i="2129"/>
  <c r="D50" i="2129"/>
  <c r="R49" i="2129"/>
  <c r="D49" i="2129"/>
  <c r="R48" i="2129"/>
  <c r="D48" i="2129"/>
  <c r="D46" i="2129"/>
  <c r="D45" i="2129"/>
  <c r="R44" i="2129"/>
  <c r="L28" i="2129" s="1"/>
  <c r="D28" i="2129" s="1"/>
  <c r="D44" i="2129"/>
  <c r="R42" i="2129"/>
  <c r="D42" i="2129"/>
  <c r="R41" i="2129"/>
  <c r="D41" i="2129"/>
  <c r="R40" i="2129"/>
  <c r="L8" i="2129" s="1"/>
  <c r="D8" i="2129" s="1"/>
  <c r="D40" i="2129"/>
  <c r="R39" i="2129"/>
  <c r="H39" i="2129"/>
  <c r="D39" i="2129"/>
  <c r="R38" i="2129"/>
  <c r="H38" i="2129"/>
  <c r="D38" i="2129"/>
  <c r="R37" i="2129"/>
  <c r="H37" i="2129"/>
  <c r="D37" i="2129"/>
  <c r="R36" i="2129"/>
  <c r="H36" i="2129"/>
  <c r="D36" i="2129"/>
  <c r="R35" i="2129"/>
  <c r="H35" i="2129"/>
  <c r="D35" i="2129"/>
  <c r="R34" i="2129"/>
  <c r="H34" i="2129"/>
  <c r="G49" i="2129" s="1"/>
  <c r="D34" i="2129"/>
  <c r="D54" i="2129" s="1"/>
  <c r="H14" i="2129" s="1"/>
  <c r="R33" i="2129"/>
  <c r="L19" i="2129" s="1"/>
  <c r="D19" i="2129" s="1"/>
  <c r="R32" i="2129"/>
  <c r="R31" i="2129"/>
  <c r="R30" i="2129"/>
  <c r="R29" i="2129"/>
  <c r="R28" i="2129"/>
  <c r="R27" i="2129"/>
  <c r="L27" i="2129"/>
  <c r="D27" i="2129" s="1"/>
  <c r="R26" i="2129"/>
  <c r="L26" i="2129"/>
  <c r="D26" i="2129"/>
  <c r="R25" i="2129"/>
  <c r="L25" i="2129"/>
  <c r="D25" i="2129" s="1"/>
  <c r="R24" i="2129"/>
  <c r="L24" i="2129"/>
  <c r="D24" i="2129" s="1"/>
  <c r="R23" i="2129"/>
  <c r="L23" i="2129"/>
  <c r="D23" i="2129" s="1"/>
  <c r="R22" i="2129"/>
  <c r="L22" i="2129"/>
  <c r="D22" i="2129"/>
  <c r="R21" i="2129"/>
  <c r="L21" i="2129"/>
  <c r="D21" i="2129" s="1"/>
  <c r="R20" i="2129"/>
  <c r="L20" i="2129"/>
  <c r="D20" i="2129" s="1"/>
  <c r="R19" i="2129"/>
  <c r="R18" i="2129"/>
  <c r="L18" i="2129"/>
  <c r="D18" i="2129" s="1"/>
  <c r="R17" i="2129"/>
  <c r="L17" i="2129"/>
  <c r="D17" i="2129" s="1"/>
  <c r="R16" i="2129"/>
  <c r="L16" i="2129"/>
  <c r="D16" i="2129"/>
  <c r="R15" i="2129"/>
  <c r="L15" i="2129"/>
  <c r="D15" i="2129" s="1"/>
  <c r="R14" i="2129"/>
  <c r="D14" i="2129"/>
  <c r="R13" i="2129"/>
  <c r="D13" i="2129"/>
  <c r="R12" i="2129"/>
  <c r="L12" i="2129"/>
  <c r="D12" i="2129" s="1"/>
  <c r="R11" i="2129"/>
  <c r="L11" i="2129"/>
  <c r="D11" i="2129"/>
  <c r="L10" i="2129"/>
  <c r="D10" i="2129"/>
  <c r="L9" i="2129"/>
  <c r="D9" i="2129" s="1"/>
  <c r="L7" i="2129"/>
  <c r="D7" i="2129" s="1"/>
  <c r="R6" i="2129"/>
  <c r="L6" i="2129"/>
  <c r="D6" i="2129" s="1"/>
  <c r="R5" i="2129"/>
  <c r="R4" i="2129"/>
  <c r="R52" i="2128"/>
  <c r="R51" i="2128"/>
  <c r="D50" i="2128"/>
  <c r="R49" i="2128"/>
  <c r="G49" i="2128"/>
  <c r="D49" i="2128"/>
  <c r="R48" i="2128"/>
  <c r="D48" i="2128"/>
  <c r="D46" i="2128"/>
  <c r="D45" i="2128"/>
  <c r="D44" i="2128"/>
  <c r="R42" i="2128"/>
  <c r="D42" i="2128"/>
  <c r="R41" i="2128"/>
  <c r="L7" i="2128" s="1"/>
  <c r="D7" i="2128" s="1"/>
  <c r="D41" i="2128"/>
  <c r="R40" i="2128"/>
  <c r="L8" i="2128" s="1"/>
  <c r="D8" i="2128" s="1"/>
  <c r="D40" i="2128"/>
  <c r="R39" i="2128"/>
  <c r="D39" i="2128"/>
  <c r="R38" i="2128"/>
  <c r="L9" i="2128" s="1"/>
  <c r="D9" i="2128" s="1"/>
  <c r="D38" i="2128"/>
  <c r="R37" i="2128"/>
  <c r="D37" i="2128"/>
  <c r="R36" i="2128"/>
  <c r="L10" i="2128" s="1"/>
  <c r="D10" i="2128" s="1"/>
  <c r="D36" i="2128"/>
  <c r="D54" i="2128" s="1"/>
  <c r="H14" i="2128" s="1"/>
  <c r="R35" i="2128"/>
  <c r="L19" i="2128" s="1"/>
  <c r="D19" i="2128" s="1"/>
  <c r="D35" i="2128"/>
  <c r="R34" i="2128"/>
  <c r="L12" i="2128" s="1"/>
  <c r="D12" i="2128" s="1"/>
  <c r="D34" i="2128"/>
  <c r="R33" i="2128"/>
  <c r="L23" i="2128" s="1"/>
  <c r="D23" i="2128" s="1"/>
  <c r="R32" i="2128"/>
  <c r="R31" i="2128"/>
  <c r="R30" i="2128"/>
  <c r="R29" i="2128"/>
  <c r="R28" i="2128"/>
  <c r="D28" i="2128"/>
  <c r="R27" i="2128"/>
  <c r="D27" i="2128"/>
  <c r="R26" i="2128"/>
  <c r="L26" i="2128"/>
  <c r="D26" i="2128" s="1"/>
  <c r="R25" i="2128"/>
  <c r="L25" i="2128"/>
  <c r="D25" i="2128"/>
  <c r="R24" i="2128"/>
  <c r="D24" i="2128"/>
  <c r="R23" i="2128"/>
  <c r="R22" i="2128"/>
  <c r="L22" i="2128"/>
  <c r="D22" i="2128" s="1"/>
  <c r="R21" i="2128"/>
  <c r="D21" i="2128"/>
  <c r="R20" i="2128"/>
  <c r="L20" i="2128"/>
  <c r="D20" i="2128" s="1"/>
  <c r="R19" i="2128"/>
  <c r="R18" i="2128"/>
  <c r="D18" i="2128"/>
  <c r="R17" i="2128"/>
  <c r="D17" i="2128"/>
  <c r="R16" i="2128"/>
  <c r="L16" i="2128"/>
  <c r="D16" i="2128" s="1"/>
  <c r="S15" i="2128"/>
  <c r="R15" i="2128"/>
  <c r="D15" i="2128"/>
  <c r="S14" i="2128"/>
  <c r="R14" i="2128"/>
  <c r="D14" i="2128"/>
  <c r="R13" i="2128"/>
  <c r="D13" i="2128"/>
  <c r="R12" i="2128"/>
  <c r="R11" i="2128"/>
  <c r="L11" i="2128"/>
  <c r="D11" i="2128" s="1"/>
  <c r="R6" i="2128"/>
  <c r="L6" i="2128"/>
  <c r="D6" i="2128"/>
  <c r="R5" i="2128"/>
  <c r="R4" i="2128"/>
  <c r="R52" i="2127"/>
  <c r="R51" i="2127"/>
  <c r="D50" i="2127"/>
  <c r="R49" i="2127"/>
  <c r="D49" i="2127"/>
  <c r="R48" i="2127"/>
  <c r="D48" i="2127"/>
  <c r="D46" i="2127"/>
  <c r="D45" i="2127"/>
  <c r="R44" i="2127"/>
  <c r="D44" i="2127"/>
  <c r="R42" i="2127"/>
  <c r="L6" i="2127" s="1"/>
  <c r="D6" i="2127" s="1"/>
  <c r="D42" i="2127"/>
  <c r="R41" i="2127"/>
  <c r="D41" i="2127"/>
  <c r="R40" i="2127"/>
  <c r="L8" i="2127" s="1"/>
  <c r="D8" i="2127" s="1"/>
  <c r="D40" i="2127"/>
  <c r="R39" i="2127"/>
  <c r="H39" i="2127"/>
  <c r="D39" i="2127"/>
  <c r="R38" i="2127"/>
  <c r="H38" i="2127"/>
  <c r="D38" i="2127"/>
  <c r="R37" i="2127"/>
  <c r="H37" i="2127"/>
  <c r="D37" i="2127"/>
  <c r="R36" i="2127"/>
  <c r="L10" i="2127" s="1"/>
  <c r="D10" i="2127" s="1"/>
  <c r="H36" i="2127"/>
  <c r="D36" i="2127"/>
  <c r="R35" i="2127"/>
  <c r="H35" i="2127"/>
  <c r="G49" i="2127" s="1"/>
  <c r="D35" i="2127"/>
  <c r="R34" i="2127"/>
  <c r="H34" i="2127"/>
  <c r="D34" i="2127"/>
  <c r="D54" i="2127" s="1"/>
  <c r="H14" i="2127" s="1"/>
  <c r="R33" i="2127"/>
  <c r="L19" i="2127" s="1"/>
  <c r="D19" i="2127" s="1"/>
  <c r="R32" i="2127"/>
  <c r="R31" i="2127"/>
  <c r="R30" i="2127"/>
  <c r="R29" i="2127"/>
  <c r="R28" i="2127"/>
  <c r="L28" i="2127"/>
  <c r="D28" i="2127"/>
  <c r="R27" i="2127"/>
  <c r="L27" i="2127"/>
  <c r="D27" i="2127"/>
  <c r="R26" i="2127"/>
  <c r="L26" i="2127"/>
  <c r="D26" i="2127"/>
  <c r="R25" i="2127"/>
  <c r="L25" i="2127"/>
  <c r="D25" i="2127" s="1"/>
  <c r="R24" i="2127"/>
  <c r="L24" i="2127"/>
  <c r="D24" i="2127"/>
  <c r="R23" i="2127"/>
  <c r="L23" i="2127"/>
  <c r="D23" i="2127"/>
  <c r="R22" i="2127"/>
  <c r="L20" i="2127" s="1"/>
  <c r="D20" i="2127" s="1"/>
  <c r="L22" i="2127"/>
  <c r="D22" i="2127"/>
  <c r="R21" i="2127"/>
  <c r="L21" i="2127"/>
  <c r="D21" i="2127" s="1"/>
  <c r="R20" i="2127"/>
  <c r="R19" i="2127"/>
  <c r="R18" i="2127"/>
  <c r="L18" i="2127"/>
  <c r="D18" i="2127" s="1"/>
  <c r="R17" i="2127"/>
  <c r="L17" i="2127"/>
  <c r="D17" i="2127" s="1"/>
  <c r="R16" i="2127"/>
  <c r="L16" i="2127"/>
  <c r="D16" i="2127" s="1"/>
  <c r="R15" i="2127"/>
  <c r="L15" i="2127"/>
  <c r="D15" i="2127" s="1"/>
  <c r="R14" i="2127"/>
  <c r="D14" i="2127"/>
  <c r="R13" i="2127"/>
  <c r="D13" i="2127"/>
  <c r="R12" i="2127"/>
  <c r="L12" i="2127"/>
  <c r="D12" i="2127" s="1"/>
  <c r="R11" i="2127"/>
  <c r="L11" i="2127"/>
  <c r="D11" i="2127" s="1"/>
  <c r="L9" i="2127"/>
  <c r="D9" i="2127" s="1"/>
  <c r="L7" i="2127"/>
  <c r="D7" i="2127"/>
  <c r="R6" i="2127"/>
  <c r="R5" i="2127"/>
  <c r="R4" i="2127"/>
  <c r="R52" i="2126"/>
  <c r="R51" i="2126"/>
  <c r="D50" i="2126"/>
  <c r="R49" i="2126"/>
  <c r="D49" i="2126"/>
  <c r="R48" i="2126"/>
  <c r="D48" i="2126"/>
  <c r="D46" i="2126"/>
  <c r="D45" i="2126"/>
  <c r="R44" i="2126"/>
  <c r="L28" i="2126" s="1"/>
  <c r="D28" i="2126" s="1"/>
  <c r="D44" i="2126"/>
  <c r="R42" i="2126"/>
  <c r="D42" i="2126"/>
  <c r="R41" i="2126"/>
  <c r="L7" i="2126" s="1"/>
  <c r="D7" i="2126" s="1"/>
  <c r="D41" i="2126"/>
  <c r="R40" i="2126"/>
  <c r="D40" i="2126"/>
  <c r="R39" i="2126"/>
  <c r="H39" i="2126"/>
  <c r="D39" i="2126"/>
  <c r="R38" i="2126"/>
  <c r="L9" i="2126" s="1"/>
  <c r="D9" i="2126" s="1"/>
  <c r="H38" i="2126"/>
  <c r="D38" i="2126"/>
  <c r="R37" i="2126"/>
  <c r="H37" i="2126"/>
  <c r="D37" i="2126"/>
  <c r="R36" i="2126"/>
  <c r="H36" i="2126"/>
  <c r="D36" i="2126"/>
  <c r="R35" i="2126"/>
  <c r="L18" i="2126" s="1"/>
  <c r="D18" i="2126" s="1"/>
  <c r="H35" i="2126"/>
  <c r="D35" i="2126"/>
  <c r="R34" i="2126"/>
  <c r="L12" i="2126" s="1"/>
  <c r="D12" i="2126" s="1"/>
  <c r="H34" i="2126"/>
  <c r="G49" i="2126" s="1"/>
  <c r="D34" i="2126"/>
  <c r="D54" i="2126" s="1"/>
  <c r="H14" i="2126" s="1"/>
  <c r="R33" i="2126"/>
  <c r="R32" i="2126"/>
  <c r="L11" i="2126" s="1"/>
  <c r="D11" i="2126" s="1"/>
  <c r="R31" i="2126"/>
  <c r="R30" i="2126"/>
  <c r="R29" i="2126"/>
  <c r="R28" i="2126"/>
  <c r="R27" i="2126"/>
  <c r="L27" i="2126"/>
  <c r="D27" i="2126" s="1"/>
  <c r="R26" i="2126"/>
  <c r="L26" i="2126"/>
  <c r="D26" i="2126" s="1"/>
  <c r="R25" i="2126"/>
  <c r="L25" i="2126"/>
  <c r="D25" i="2126" s="1"/>
  <c r="R24" i="2126"/>
  <c r="L24" i="2126"/>
  <c r="D24" i="2126"/>
  <c r="R23" i="2126"/>
  <c r="L23" i="2126"/>
  <c r="D23" i="2126"/>
  <c r="R22" i="2126"/>
  <c r="L22" i="2126"/>
  <c r="D22" i="2126" s="1"/>
  <c r="R21" i="2126"/>
  <c r="L17" i="2126" s="1"/>
  <c r="D17" i="2126" s="1"/>
  <c r="L21" i="2126"/>
  <c r="D21" i="2126" s="1"/>
  <c r="R20" i="2126"/>
  <c r="L20" i="2126"/>
  <c r="D20" i="2126"/>
  <c r="R19" i="2126"/>
  <c r="L19" i="2126"/>
  <c r="D19" i="2126" s="1"/>
  <c r="R18" i="2126"/>
  <c r="R17" i="2126"/>
  <c r="R16" i="2126"/>
  <c r="R15" i="2126"/>
  <c r="R14" i="2126"/>
  <c r="D14" i="2126"/>
  <c r="R13" i="2126"/>
  <c r="D13" i="2126"/>
  <c r="R12" i="2126"/>
  <c r="R11" i="2126"/>
  <c r="L10" i="2126"/>
  <c r="D10" i="2126" s="1"/>
  <c r="L8" i="2126"/>
  <c r="D8" i="2126" s="1"/>
  <c r="R6" i="2126"/>
  <c r="L16" i="2126" s="1"/>
  <c r="D16" i="2126" s="1"/>
  <c r="L6" i="2126"/>
  <c r="D6" i="2126"/>
  <c r="R5" i="2126"/>
  <c r="R4" i="2126"/>
  <c r="L15" i="2126" s="1"/>
  <c r="D15" i="2126" s="1"/>
  <c r="R52" i="2125"/>
  <c r="R51" i="2125"/>
  <c r="D50" i="2125"/>
  <c r="R49" i="2125"/>
  <c r="D49" i="2125"/>
  <c r="R48" i="2125"/>
  <c r="D48" i="2125"/>
  <c r="D46" i="2125"/>
  <c r="D45" i="2125"/>
  <c r="R44" i="2125"/>
  <c r="L28" i="2125" s="1"/>
  <c r="D28" i="2125" s="1"/>
  <c r="D44" i="2125"/>
  <c r="R42" i="2125"/>
  <c r="D42" i="2125"/>
  <c r="R41" i="2125"/>
  <c r="D41" i="2125"/>
  <c r="R40" i="2125"/>
  <c r="D40" i="2125"/>
  <c r="R39" i="2125"/>
  <c r="H39" i="2125"/>
  <c r="D39" i="2125"/>
  <c r="R38" i="2125"/>
  <c r="H38" i="2125"/>
  <c r="D38" i="2125"/>
  <c r="R37" i="2125"/>
  <c r="H37" i="2125"/>
  <c r="D37" i="2125"/>
  <c r="R36" i="2125"/>
  <c r="H36" i="2125"/>
  <c r="D36" i="2125"/>
  <c r="R35" i="2125"/>
  <c r="H35" i="2125"/>
  <c r="D35" i="2125"/>
  <c r="R34" i="2125"/>
  <c r="L12" i="2125" s="1"/>
  <c r="D12" i="2125" s="1"/>
  <c r="H34" i="2125"/>
  <c r="G49" i="2125" s="1"/>
  <c r="D34" i="2125"/>
  <c r="D54" i="2125" s="1"/>
  <c r="H14" i="2125" s="1"/>
  <c r="R33" i="2125"/>
  <c r="R32" i="2125"/>
  <c r="L11" i="2125" s="1"/>
  <c r="D11" i="2125" s="1"/>
  <c r="R31" i="2125"/>
  <c r="R30" i="2125"/>
  <c r="R29" i="2125"/>
  <c r="R28" i="2125"/>
  <c r="R27" i="2125"/>
  <c r="L27" i="2125"/>
  <c r="D27" i="2125" s="1"/>
  <c r="R26" i="2125"/>
  <c r="L26" i="2125"/>
  <c r="D26" i="2125"/>
  <c r="R25" i="2125"/>
  <c r="L25" i="2125"/>
  <c r="D25" i="2125" s="1"/>
  <c r="R24" i="2125"/>
  <c r="L24" i="2125"/>
  <c r="D24" i="2125" s="1"/>
  <c r="R23" i="2125"/>
  <c r="L23" i="2125"/>
  <c r="D23" i="2125"/>
  <c r="R22" i="2125"/>
  <c r="L20" i="2125" s="1"/>
  <c r="D20" i="2125" s="1"/>
  <c r="L22" i="2125"/>
  <c r="D22" i="2125" s="1"/>
  <c r="R21" i="2125"/>
  <c r="L17" i="2125" s="1"/>
  <c r="D17" i="2125" s="1"/>
  <c r="D21" i="2125"/>
  <c r="R20" i="2125"/>
  <c r="R19" i="2125"/>
  <c r="L19" i="2125"/>
  <c r="D19" i="2125" s="1"/>
  <c r="R18" i="2125"/>
  <c r="L18" i="2125"/>
  <c r="D18" i="2125"/>
  <c r="R17" i="2125"/>
  <c r="R16" i="2125"/>
  <c r="R15" i="2125"/>
  <c r="R14" i="2125"/>
  <c r="D14" i="2125"/>
  <c r="R13" i="2125"/>
  <c r="D13" i="2125"/>
  <c r="R12" i="2125"/>
  <c r="R11" i="2125"/>
  <c r="L10" i="2125"/>
  <c r="D10" i="2125" s="1"/>
  <c r="L9" i="2125"/>
  <c r="D9" i="2125" s="1"/>
  <c r="L8" i="2125"/>
  <c r="D8" i="2125" s="1"/>
  <c r="L7" i="2125"/>
  <c r="D7" i="2125" s="1"/>
  <c r="R6" i="2125"/>
  <c r="L16" i="2125" s="1"/>
  <c r="D16" i="2125" s="1"/>
  <c r="L6" i="2125"/>
  <c r="D6" i="2125" s="1"/>
  <c r="R5" i="2125"/>
  <c r="R4" i="2125"/>
  <c r="L15" i="2125" s="1"/>
  <c r="D15" i="2125" s="1"/>
  <c r="R52" i="2123"/>
  <c r="R51" i="2123"/>
  <c r="D50" i="2123"/>
  <c r="R49" i="2123"/>
  <c r="G49" i="2123"/>
  <c r="D49" i="2123"/>
  <c r="R48" i="2123"/>
  <c r="D48" i="2123"/>
  <c r="D46" i="2123"/>
  <c r="D45" i="2123"/>
  <c r="D44" i="2123"/>
  <c r="R42" i="2123"/>
  <c r="D42" i="2123"/>
  <c r="R41" i="2123"/>
  <c r="L7" i="2123" s="1"/>
  <c r="D7" i="2123" s="1"/>
  <c r="D41" i="2123"/>
  <c r="R40" i="2123"/>
  <c r="L8" i="2123" s="1"/>
  <c r="D8" i="2123" s="1"/>
  <c r="D40" i="2123"/>
  <c r="R39" i="2123"/>
  <c r="D39" i="2123"/>
  <c r="R38" i="2123"/>
  <c r="D38" i="2123"/>
  <c r="R37" i="2123"/>
  <c r="D37" i="2123"/>
  <c r="R36" i="2123"/>
  <c r="L10" i="2123" s="1"/>
  <c r="D10" i="2123" s="1"/>
  <c r="D36" i="2123"/>
  <c r="R35" i="2123"/>
  <c r="D35" i="2123"/>
  <c r="R34" i="2123"/>
  <c r="D34" i="2123"/>
  <c r="D54" i="2123" s="1"/>
  <c r="H14" i="2123" s="1"/>
  <c r="R33" i="2123"/>
  <c r="L23" i="2123" s="1"/>
  <c r="D23" i="2123" s="1"/>
  <c r="R32" i="2123"/>
  <c r="R31" i="2123"/>
  <c r="R30" i="2123"/>
  <c r="R29" i="2123"/>
  <c r="R28" i="2123"/>
  <c r="D28" i="2123"/>
  <c r="R27" i="2123"/>
  <c r="D27" i="2123"/>
  <c r="R26" i="2123"/>
  <c r="L26" i="2123"/>
  <c r="D26" i="2123"/>
  <c r="R25" i="2123"/>
  <c r="L25" i="2123"/>
  <c r="D25" i="2123"/>
  <c r="R24" i="2123"/>
  <c r="D24" i="2123"/>
  <c r="R23" i="2123"/>
  <c r="R22" i="2123"/>
  <c r="L22" i="2123"/>
  <c r="D22" i="2123"/>
  <c r="R21" i="2123"/>
  <c r="D21" i="2123"/>
  <c r="R20" i="2123"/>
  <c r="L20" i="2123"/>
  <c r="D20" i="2123"/>
  <c r="R19" i="2123"/>
  <c r="L19" i="2123"/>
  <c r="D19" i="2123"/>
  <c r="R18" i="2123"/>
  <c r="D18" i="2123"/>
  <c r="R17" i="2123"/>
  <c r="D17" i="2123"/>
  <c r="R16" i="2123"/>
  <c r="L16" i="2123"/>
  <c r="D16" i="2123" s="1"/>
  <c r="S15" i="2123"/>
  <c r="R15" i="2123"/>
  <c r="D15" i="2123"/>
  <c r="S14" i="2123"/>
  <c r="R14" i="2123"/>
  <c r="D14" i="2123"/>
  <c r="R13" i="2123"/>
  <c r="D13" i="2123"/>
  <c r="R12" i="2123"/>
  <c r="L12" i="2123"/>
  <c r="D12" i="2123" s="1"/>
  <c r="R11" i="2123"/>
  <c r="L11" i="2123"/>
  <c r="D11" i="2123"/>
  <c r="L9" i="2123"/>
  <c r="D9" i="2123" s="1"/>
  <c r="R6" i="2123"/>
  <c r="L6" i="2123"/>
  <c r="D6" i="2123" s="1"/>
  <c r="R5" i="2123"/>
  <c r="R4" i="2123"/>
  <c r="D54" i="2122"/>
  <c r="H14" i="2122" s="1"/>
  <c r="R52" i="2122"/>
  <c r="R51" i="2122"/>
  <c r="D50" i="2122"/>
  <c r="R49" i="2122"/>
  <c r="D49" i="2122"/>
  <c r="R48" i="2122"/>
  <c r="D48" i="2122"/>
  <c r="D46" i="2122"/>
  <c r="D45" i="2122"/>
  <c r="R44" i="2122"/>
  <c r="D44" i="2122"/>
  <c r="R42" i="2122"/>
  <c r="L6" i="2122" s="1"/>
  <c r="D6" i="2122" s="1"/>
  <c r="D42" i="2122"/>
  <c r="R41" i="2122"/>
  <c r="L7" i="2122" s="1"/>
  <c r="D7" i="2122" s="1"/>
  <c r="D41" i="2122"/>
  <c r="R40" i="2122"/>
  <c r="L8" i="2122" s="1"/>
  <c r="D8" i="2122" s="1"/>
  <c r="D40" i="2122"/>
  <c r="R39" i="2122"/>
  <c r="H39" i="2122"/>
  <c r="D39" i="2122"/>
  <c r="R38" i="2122"/>
  <c r="H38" i="2122"/>
  <c r="D38" i="2122"/>
  <c r="R37" i="2122"/>
  <c r="H37" i="2122"/>
  <c r="D37" i="2122"/>
  <c r="R36" i="2122"/>
  <c r="L10" i="2122" s="1"/>
  <c r="D10" i="2122" s="1"/>
  <c r="H36" i="2122"/>
  <c r="G49" i="2122" s="1"/>
  <c r="D36" i="2122"/>
  <c r="R35" i="2122"/>
  <c r="L18" i="2122" s="1"/>
  <c r="D18" i="2122" s="1"/>
  <c r="H35" i="2122"/>
  <c r="D35" i="2122"/>
  <c r="R34" i="2122"/>
  <c r="H34" i="2122"/>
  <c r="D34" i="2122"/>
  <c r="R33" i="2122"/>
  <c r="R32" i="2122"/>
  <c r="R31" i="2122"/>
  <c r="R30" i="2122"/>
  <c r="R29" i="2122"/>
  <c r="R28" i="2122"/>
  <c r="L28" i="2122"/>
  <c r="D28" i="2122"/>
  <c r="R27" i="2122"/>
  <c r="L27" i="2122"/>
  <c r="D27" i="2122"/>
  <c r="R26" i="2122"/>
  <c r="L26" i="2122"/>
  <c r="D26" i="2122"/>
  <c r="R25" i="2122"/>
  <c r="L25" i="2122"/>
  <c r="D25" i="2122"/>
  <c r="R24" i="2122"/>
  <c r="L24" i="2122"/>
  <c r="D24" i="2122" s="1"/>
  <c r="R23" i="2122"/>
  <c r="L23" i="2122"/>
  <c r="D23" i="2122"/>
  <c r="R22" i="2122"/>
  <c r="L20" i="2122" s="1"/>
  <c r="D20" i="2122" s="1"/>
  <c r="L22" i="2122"/>
  <c r="D22" i="2122" s="1"/>
  <c r="R21" i="2122"/>
  <c r="L21" i="2122"/>
  <c r="D21" i="2122" s="1"/>
  <c r="R20" i="2122"/>
  <c r="R19" i="2122"/>
  <c r="L19" i="2122"/>
  <c r="D19" i="2122"/>
  <c r="R18" i="2122"/>
  <c r="R17" i="2122"/>
  <c r="L17" i="2122"/>
  <c r="D17" i="2122"/>
  <c r="R16" i="2122"/>
  <c r="L16" i="2122"/>
  <c r="D16" i="2122" s="1"/>
  <c r="R15" i="2122"/>
  <c r="R14" i="2122"/>
  <c r="D14" i="2122"/>
  <c r="R13" i="2122"/>
  <c r="D13" i="2122"/>
  <c r="R12" i="2122"/>
  <c r="L12" i="2122"/>
  <c r="D12" i="2122"/>
  <c r="R11" i="2122"/>
  <c r="L11" i="2122"/>
  <c r="D11" i="2122" s="1"/>
  <c r="L9" i="2122"/>
  <c r="D9" i="2122" s="1"/>
  <c r="R6" i="2122"/>
  <c r="R5" i="2122"/>
  <c r="R4" i="2122"/>
  <c r="L15" i="2122" s="1"/>
  <c r="D15" i="2122" s="1"/>
  <c r="R52" i="2121"/>
  <c r="R51" i="2121"/>
  <c r="D50" i="2121"/>
  <c r="R49" i="2121"/>
  <c r="D49" i="2121"/>
  <c r="R48" i="2121"/>
  <c r="D48" i="2121"/>
  <c r="D46" i="2121"/>
  <c r="D45" i="2121"/>
  <c r="R44" i="2121"/>
  <c r="L28" i="2121" s="1"/>
  <c r="D28" i="2121" s="1"/>
  <c r="D44" i="2121"/>
  <c r="R42" i="2121"/>
  <c r="D42" i="2121"/>
  <c r="R41" i="2121"/>
  <c r="D41" i="2121"/>
  <c r="R40" i="2121"/>
  <c r="L8" i="2121" s="1"/>
  <c r="D8" i="2121" s="1"/>
  <c r="D40" i="2121"/>
  <c r="R39" i="2121"/>
  <c r="H39" i="2121"/>
  <c r="G49" i="2121" s="1"/>
  <c r="D39" i="2121"/>
  <c r="R38" i="2121"/>
  <c r="H38" i="2121"/>
  <c r="D38" i="2121"/>
  <c r="R37" i="2121"/>
  <c r="H37" i="2121"/>
  <c r="D37" i="2121"/>
  <c r="R36" i="2121"/>
  <c r="L10" i="2121" s="1"/>
  <c r="D10" i="2121" s="1"/>
  <c r="H36" i="2121"/>
  <c r="D36" i="2121"/>
  <c r="R35" i="2121"/>
  <c r="L18" i="2121" s="1"/>
  <c r="D18" i="2121" s="1"/>
  <c r="H35" i="2121"/>
  <c r="D35" i="2121"/>
  <c r="R34" i="2121"/>
  <c r="H34" i="2121"/>
  <c r="D34" i="2121"/>
  <c r="D54" i="2121" s="1"/>
  <c r="H14" i="2121" s="1"/>
  <c r="R33" i="2121"/>
  <c r="L19" i="2121" s="1"/>
  <c r="D19" i="2121" s="1"/>
  <c r="R32" i="2121"/>
  <c r="R31" i="2121"/>
  <c r="R30" i="2121"/>
  <c r="R29" i="2121"/>
  <c r="R28" i="2121"/>
  <c r="R27" i="2121"/>
  <c r="L27" i="2121"/>
  <c r="D27" i="2121" s="1"/>
  <c r="R26" i="2121"/>
  <c r="L26" i="2121"/>
  <c r="D26" i="2121"/>
  <c r="R25" i="2121"/>
  <c r="L25" i="2121"/>
  <c r="D25" i="2121"/>
  <c r="R24" i="2121"/>
  <c r="L24" i="2121"/>
  <c r="D24" i="2121" s="1"/>
  <c r="R23" i="2121"/>
  <c r="L23" i="2121"/>
  <c r="D23" i="2121" s="1"/>
  <c r="R22" i="2121"/>
  <c r="L22" i="2121"/>
  <c r="D22" i="2121" s="1"/>
  <c r="R21" i="2121"/>
  <c r="L17" i="2121" s="1"/>
  <c r="D17" i="2121" s="1"/>
  <c r="D21" i="2121"/>
  <c r="R20" i="2121"/>
  <c r="L20" i="2121"/>
  <c r="D20" i="2121"/>
  <c r="R19" i="2121"/>
  <c r="R18" i="2121"/>
  <c r="R17" i="2121"/>
  <c r="R16" i="2121"/>
  <c r="R15" i="2121"/>
  <c r="L15" i="2121"/>
  <c r="D15" i="2121"/>
  <c r="R14" i="2121"/>
  <c r="D14" i="2121"/>
  <c r="R13" i="2121"/>
  <c r="D13" i="2121"/>
  <c r="R12" i="2121"/>
  <c r="L12" i="2121"/>
  <c r="D12" i="2121"/>
  <c r="R11" i="2121"/>
  <c r="L11" i="2121"/>
  <c r="D11" i="2121" s="1"/>
  <c r="L9" i="2121"/>
  <c r="D9" i="2121"/>
  <c r="L7" i="2121"/>
  <c r="D7" i="2121"/>
  <c r="R6" i="2121"/>
  <c r="L16" i="2121" s="1"/>
  <c r="D16" i="2121" s="1"/>
  <c r="L6" i="2121"/>
  <c r="D6" i="2121" s="1"/>
  <c r="R5" i="2121"/>
  <c r="R4" i="2121"/>
  <c r="R52" i="2120"/>
  <c r="R51" i="2120"/>
  <c r="D50" i="2120"/>
  <c r="R49" i="2120"/>
  <c r="D49" i="2120"/>
  <c r="R48" i="2120"/>
  <c r="D48" i="2120"/>
  <c r="D46" i="2120"/>
  <c r="D45" i="2120"/>
  <c r="R44" i="2120"/>
  <c r="L28" i="2120" s="1"/>
  <c r="D28" i="2120" s="1"/>
  <c r="D44" i="2120"/>
  <c r="R42" i="2120"/>
  <c r="D42" i="2120"/>
  <c r="R41" i="2120"/>
  <c r="D41" i="2120"/>
  <c r="R40" i="2120"/>
  <c r="L8" i="2120" s="1"/>
  <c r="D8" i="2120" s="1"/>
  <c r="D40" i="2120"/>
  <c r="R39" i="2120"/>
  <c r="H39" i="2120"/>
  <c r="D39" i="2120"/>
  <c r="R38" i="2120"/>
  <c r="H38" i="2120"/>
  <c r="D38" i="2120"/>
  <c r="R37" i="2120"/>
  <c r="H37" i="2120"/>
  <c r="D37" i="2120"/>
  <c r="R36" i="2120"/>
  <c r="H36" i="2120"/>
  <c r="D36" i="2120"/>
  <c r="R35" i="2120"/>
  <c r="H35" i="2120"/>
  <c r="D35" i="2120"/>
  <c r="R34" i="2120"/>
  <c r="H34" i="2120"/>
  <c r="G49" i="2120" s="1"/>
  <c r="D34" i="2120"/>
  <c r="D54" i="2120" s="1"/>
  <c r="H14" i="2120" s="1"/>
  <c r="R33" i="2120"/>
  <c r="L19" i="2120" s="1"/>
  <c r="D19" i="2120" s="1"/>
  <c r="R32" i="2120"/>
  <c r="R31" i="2120"/>
  <c r="R30" i="2120"/>
  <c r="R29" i="2120"/>
  <c r="R28" i="2120"/>
  <c r="R27" i="2120"/>
  <c r="L27" i="2120"/>
  <c r="D27" i="2120"/>
  <c r="R26" i="2120"/>
  <c r="L26" i="2120"/>
  <c r="D26" i="2120"/>
  <c r="R25" i="2120"/>
  <c r="L25" i="2120"/>
  <c r="D25" i="2120" s="1"/>
  <c r="R24" i="2120"/>
  <c r="L24" i="2120"/>
  <c r="D24" i="2120" s="1"/>
  <c r="R23" i="2120"/>
  <c r="L23" i="2120"/>
  <c r="D23" i="2120" s="1"/>
  <c r="R22" i="2120"/>
  <c r="L20" i="2120" s="1"/>
  <c r="D20" i="2120" s="1"/>
  <c r="L22" i="2120"/>
  <c r="D22" i="2120"/>
  <c r="R21" i="2120"/>
  <c r="L21" i="2120"/>
  <c r="D21" i="2120" s="1"/>
  <c r="R20" i="2120"/>
  <c r="R19" i="2120"/>
  <c r="R18" i="2120"/>
  <c r="L18" i="2120"/>
  <c r="D18" i="2120" s="1"/>
  <c r="R17" i="2120"/>
  <c r="L17" i="2120"/>
  <c r="D17" i="2120" s="1"/>
  <c r="R16" i="2120"/>
  <c r="L16" i="2120"/>
  <c r="D16" i="2120" s="1"/>
  <c r="R15" i="2120"/>
  <c r="L15" i="2120"/>
  <c r="D15" i="2120" s="1"/>
  <c r="R14" i="2120"/>
  <c r="D14" i="2120"/>
  <c r="R13" i="2120"/>
  <c r="D13" i="2120"/>
  <c r="R12" i="2120"/>
  <c r="L12" i="2120"/>
  <c r="D12" i="2120" s="1"/>
  <c r="R11" i="2120"/>
  <c r="L11" i="2120"/>
  <c r="D11" i="2120" s="1"/>
  <c r="L10" i="2120"/>
  <c r="D10" i="2120"/>
  <c r="L9" i="2120"/>
  <c r="D9" i="2120" s="1"/>
  <c r="L7" i="2120"/>
  <c r="D7" i="2120" s="1"/>
  <c r="R6" i="2120"/>
  <c r="L6" i="2120"/>
  <c r="D6" i="2120" s="1"/>
  <c r="R5" i="2120"/>
  <c r="R4" i="2120"/>
  <c r="R52" i="2119"/>
  <c r="R51" i="2119"/>
  <c r="D50" i="2119"/>
  <c r="R49" i="2119"/>
  <c r="G49" i="2119"/>
  <c r="D49" i="2119"/>
  <c r="R48" i="2119"/>
  <c r="D48" i="2119"/>
  <c r="D46" i="2119"/>
  <c r="D45" i="2119"/>
  <c r="D44" i="2119"/>
  <c r="R42" i="2119"/>
  <c r="D42" i="2119"/>
  <c r="R41" i="2119"/>
  <c r="L7" i="2119" s="1"/>
  <c r="D7" i="2119" s="1"/>
  <c r="D41" i="2119"/>
  <c r="R40" i="2119"/>
  <c r="D40" i="2119"/>
  <c r="R39" i="2119"/>
  <c r="D39" i="2119"/>
  <c r="R38" i="2119"/>
  <c r="D38" i="2119"/>
  <c r="R37" i="2119"/>
  <c r="D37" i="2119"/>
  <c r="R36" i="2119"/>
  <c r="D36" i="2119"/>
  <c r="R35" i="2119"/>
  <c r="L19" i="2119" s="1"/>
  <c r="D19" i="2119" s="1"/>
  <c r="D35" i="2119"/>
  <c r="D54" i="2119" s="1"/>
  <c r="H14" i="2119" s="1"/>
  <c r="R34" i="2119"/>
  <c r="D34" i="2119"/>
  <c r="R33" i="2119"/>
  <c r="L23" i="2119" s="1"/>
  <c r="D23" i="2119" s="1"/>
  <c r="R32" i="2119"/>
  <c r="R31" i="2119"/>
  <c r="R30" i="2119"/>
  <c r="R29" i="2119"/>
  <c r="R28" i="2119"/>
  <c r="D28" i="2119"/>
  <c r="R27" i="2119"/>
  <c r="D27" i="2119"/>
  <c r="R26" i="2119"/>
  <c r="L26" i="2119"/>
  <c r="D26" i="2119"/>
  <c r="R25" i="2119"/>
  <c r="L25" i="2119"/>
  <c r="D25" i="2119"/>
  <c r="R24" i="2119"/>
  <c r="D24" i="2119"/>
  <c r="R23" i="2119"/>
  <c r="R22" i="2119"/>
  <c r="L22" i="2119"/>
  <c r="D22" i="2119" s="1"/>
  <c r="R21" i="2119"/>
  <c r="D21" i="2119"/>
  <c r="R20" i="2119"/>
  <c r="L20" i="2119"/>
  <c r="D20" i="2119"/>
  <c r="R19" i="2119"/>
  <c r="R18" i="2119"/>
  <c r="D18" i="2119"/>
  <c r="R17" i="2119"/>
  <c r="D17" i="2119"/>
  <c r="R16" i="2119"/>
  <c r="L16" i="2119"/>
  <c r="D16" i="2119" s="1"/>
  <c r="S15" i="2119"/>
  <c r="R15" i="2119"/>
  <c r="D15" i="2119"/>
  <c r="S14" i="2119"/>
  <c r="R14" i="2119"/>
  <c r="D14" i="2119"/>
  <c r="R13" i="2119"/>
  <c r="D13" i="2119"/>
  <c r="R12" i="2119"/>
  <c r="L12" i="2119"/>
  <c r="D12" i="2119"/>
  <c r="R11" i="2119"/>
  <c r="L11" i="2119"/>
  <c r="D11" i="2119" s="1"/>
  <c r="L10" i="2119"/>
  <c r="D10" i="2119" s="1"/>
  <c r="L9" i="2119"/>
  <c r="D9" i="2119" s="1"/>
  <c r="L8" i="2119"/>
  <c r="D8" i="2119" s="1"/>
  <c r="R6" i="2119"/>
  <c r="L6" i="2119"/>
  <c r="D6" i="2119"/>
  <c r="D29" i="2119" s="1"/>
  <c r="H13" i="2119" s="1"/>
  <c r="H15" i="2119" s="1"/>
  <c r="H29" i="2119" s="1"/>
  <c r="R5" i="2119"/>
  <c r="R4" i="2119"/>
  <c r="R52" i="2118"/>
  <c r="R51" i="2118"/>
  <c r="D50" i="2118"/>
  <c r="R49" i="2118"/>
  <c r="D49" i="2118"/>
  <c r="R48" i="2118"/>
  <c r="D48" i="2118"/>
  <c r="D46" i="2118"/>
  <c r="D45" i="2118"/>
  <c r="R44" i="2118"/>
  <c r="L28" i="2118" s="1"/>
  <c r="D28" i="2118" s="1"/>
  <c r="D44" i="2118"/>
  <c r="R42" i="2118"/>
  <c r="D42" i="2118"/>
  <c r="R41" i="2118"/>
  <c r="D41" i="2118"/>
  <c r="R40" i="2118"/>
  <c r="L8" i="2118" s="1"/>
  <c r="D8" i="2118" s="1"/>
  <c r="D40" i="2118"/>
  <c r="R39" i="2118"/>
  <c r="H39" i="2118"/>
  <c r="D39" i="2118"/>
  <c r="R38" i="2118"/>
  <c r="H38" i="2118"/>
  <c r="D38" i="2118"/>
  <c r="R37" i="2118"/>
  <c r="H37" i="2118"/>
  <c r="D37" i="2118"/>
  <c r="R36" i="2118"/>
  <c r="H36" i="2118"/>
  <c r="D36" i="2118"/>
  <c r="R35" i="2118"/>
  <c r="H35" i="2118"/>
  <c r="D35" i="2118"/>
  <c r="R34" i="2118"/>
  <c r="L12" i="2118" s="1"/>
  <c r="D12" i="2118" s="1"/>
  <c r="H34" i="2118"/>
  <c r="G49" i="2118" s="1"/>
  <c r="D34" i="2118"/>
  <c r="D54" i="2118" s="1"/>
  <c r="H14" i="2118" s="1"/>
  <c r="R33" i="2118"/>
  <c r="L19" i="2118" s="1"/>
  <c r="D19" i="2118" s="1"/>
  <c r="R32" i="2118"/>
  <c r="L11" i="2118" s="1"/>
  <c r="D11" i="2118" s="1"/>
  <c r="R31" i="2118"/>
  <c r="R30" i="2118"/>
  <c r="R29" i="2118"/>
  <c r="R28" i="2118"/>
  <c r="R27" i="2118"/>
  <c r="L27" i="2118"/>
  <c r="D27" i="2118"/>
  <c r="R26" i="2118"/>
  <c r="L26" i="2118"/>
  <c r="D26" i="2118"/>
  <c r="R25" i="2118"/>
  <c r="L25" i="2118"/>
  <c r="D25" i="2118" s="1"/>
  <c r="R24" i="2118"/>
  <c r="L24" i="2118"/>
  <c r="D24" i="2118" s="1"/>
  <c r="R23" i="2118"/>
  <c r="L23" i="2118"/>
  <c r="D23" i="2118" s="1"/>
  <c r="R22" i="2118"/>
  <c r="L22" i="2118"/>
  <c r="D22" i="2118"/>
  <c r="R21" i="2118"/>
  <c r="L21" i="2118"/>
  <c r="D21" i="2118" s="1"/>
  <c r="R20" i="2118"/>
  <c r="L20" i="2118"/>
  <c r="D20" i="2118" s="1"/>
  <c r="R19" i="2118"/>
  <c r="R18" i="2118"/>
  <c r="L18" i="2118"/>
  <c r="D18" i="2118"/>
  <c r="R17" i="2118"/>
  <c r="L17" i="2118"/>
  <c r="D17" i="2118" s="1"/>
  <c r="R16" i="2118"/>
  <c r="R15" i="2118"/>
  <c r="L15" i="2118"/>
  <c r="D15" i="2118" s="1"/>
  <c r="R14" i="2118"/>
  <c r="D14" i="2118"/>
  <c r="R13" i="2118"/>
  <c r="D13" i="2118"/>
  <c r="R12" i="2118"/>
  <c r="R11" i="2118"/>
  <c r="L10" i="2118"/>
  <c r="D10" i="2118"/>
  <c r="L9" i="2118"/>
  <c r="D9" i="2118" s="1"/>
  <c r="L7" i="2118"/>
  <c r="D7" i="2118" s="1"/>
  <c r="R6" i="2118"/>
  <c r="L16" i="2118" s="1"/>
  <c r="D16" i="2118" s="1"/>
  <c r="L6" i="2118"/>
  <c r="D6" i="2118" s="1"/>
  <c r="R5" i="2118"/>
  <c r="R4" i="2118"/>
  <c r="R52" i="2117"/>
  <c r="R51" i="2117"/>
  <c r="D50" i="2117"/>
  <c r="R49" i="2117"/>
  <c r="D49" i="2117"/>
  <c r="R48" i="2117"/>
  <c r="D48" i="2117"/>
  <c r="D46" i="2117"/>
  <c r="D45" i="2117"/>
  <c r="R44" i="2117"/>
  <c r="L28" i="2117" s="1"/>
  <c r="D28" i="2117" s="1"/>
  <c r="D44" i="2117"/>
  <c r="R42" i="2117"/>
  <c r="D42" i="2117"/>
  <c r="R41" i="2117"/>
  <c r="L7" i="2117" s="1"/>
  <c r="D7" i="2117" s="1"/>
  <c r="D41" i="2117"/>
  <c r="R40" i="2117"/>
  <c r="D40" i="2117"/>
  <c r="R39" i="2117"/>
  <c r="H39" i="2117"/>
  <c r="D39" i="2117"/>
  <c r="R38" i="2117"/>
  <c r="H38" i="2117"/>
  <c r="G49" i="2117" s="1"/>
  <c r="D38" i="2117"/>
  <c r="R37" i="2117"/>
  <c r="H37" i="2117"/>
  <c r="D37" i="2117"/>
  <c r="R36" i="2117"/>
  <c r="L10" i="2117" s="1"/>
  <c r="D10" i="2117" s="1"/>
  <c r="H36" i="2117"/>
  <c r="D36" i="2117"/>
  <c r="R35" i="2117"/>
  <c r="L18" i="2117" s="1"/>
  <c r="D18" i="2117" s="1"/>
  <c r="H35" i="2117"/>
  <c r="D35" i="2117"/>
  <c r="R34" i="2117"/>
  <c r="L12" i="2117" s="1"/>
  <c r="D12" i="2117" s="1"/>
  <c r="H34" i="2117"/>
  <c r="D34" i="2117"/>
  <c r="D54" i="2117" s="1"/>
  <c r="H14" i="2117" s="1"/>
  <c r="R33" i="2117"/>
  <c r="R32" i="2117"/>
  <c r="L11" i="2117" s="1"/>
  <c r="D11" i="2117" s="1"/>
  <c r="R31" i="2117"/>
  <c r="R30" i="2117"/>
  <c r="R29" i="2117"/>
  <c r="R28" i="2117"/>
  <c r="R27" i="2117"/>
  <c r="L27" i="2117"/>
  <c r="D27" i="2117"/>
  <c r="R26" i="2117"/>
  <c r="L26" i="2117"/>
  <c r="D26" i="2117"/>
  <c r="R25" i="2117"/>
  <c r="L25" i="2117"/>
  <c r="D25" i="2117"/>
  <c r="R24" i="2117"/>
  <c r="L24" i="2117"/>
  <c r="D24" i="2117" s="1"/>
  <c r="R23" i="2117"/>
  <c r="L23" i="2117"/>
  <c r="D23" i="2117" s="1"/>
  <c r="R22" i="2117"/>
  <c r="L22" i="2117"/>
  <c r="D22" i="2117" s="1"/>
  <c r="R21" i="2117"/>
  <c r="L17" i="2117" s="1"/>
  <c r="D17" i="2117" s="1"/>
  <c r="D21" i="2117"/>
  <c r="R20" i="2117"/>
  <c r="L20" i="2117"/>
  <c r="D20" i="2117" s="1"/>
  <c r="R19" i="2117"/>
  <c r="L19" i="2117"/>
  <c r="D19" i="2117" s="1"/>
  <c r="R18" i="2117"/>
  <c r="R17" i="2117"/>
  <c r="R16" i="2117"/>
  <c r="R15" i="2117"/>
  <c r="L15" i="2117"/>
  <c r="D15" i="2117"/>
  <c r="R14" i="2117"/>
  <c r="D14" i="2117"/>
  <c r="R13" i="2117"/>
  <c r="D13" i="2117"/>
  <c r="R12" i="2117"/>
  <c r="R11" i="2117"/>
  <c r="L9" i="2117"/>
  <c r="D9" i="2117" s="1"/>
  <c r="L8" i="2117"/>
  <c r="D8" i="2117"/>
  <c r="R6" i="2117"/>
  <c r="L16" i="2117" s="1"/>
  <c r="D16" i="2117" s="1"/>
  <c r="L6" i="2117"/>
  <c r="D6" i="2117"/>
  <c r="R5" i="2117"/>
  <c r="R4" i="2117"/>
  <c r="R52" i="2116"/>
  <c r="R51" i="2116"/>
  <c r="D50" i="2116"/>
  <c r="R49" i="2116"/>
  <c r="D49" i="2116"/>
  <c r="R48" i="2116"/>
  <c r="D48" i="2116"/>
  <c r="D46" i="2116"/>
  <c r="D45" i="2116"/>
  <c r="R44" i="2116"/>
  <c r="L28" i="2116" s="1"/>
  <c r="D28" i="2116" s="1"/>
  <c r="D44" i="2116"/>
  <c r="R42" i="2116"/>
  <c r="D42" i="2116"/>
  <c r="R41" i="2116"/>
  <c r="L7" i="2116" s="1"/>
  <c r="D7" i="2116" s="1"/>
  <c r="D41" i="2116"/>
  <c r="R40" i="2116"/>
  <c r="D40" i="2116"/>
  <c r="R39" i="2116"/>
  <c r="H39" i="2116"/>
  <c r="G49" i="2116" s="1"/>
  <c r="D39" i="2116"/>
  <c r="R38" i="2116"/>
  <c r="H38" i="2116"/>
  <c r="D38" i="2116"/>
  <c r="R37" i="2116"/>
  <c r="H37" i="2116"/>
  <c r="D37" i="2116"/>
  <c r="R36" i="2116"/>
  <c r="H36" i="2116"/>
  <c r="D36" i="2116"/>
  <c r="R35" i="2116"/>
  <c r="L18" i="2116" s="1"/>
  <c r="D18" i="2116" s="1"/>
  <c r="H35" i="2116"/>
  <c r="D35" i="2116"/>
  <c r="R34" i="2116"/>
  <c r="H34" i="2116"/>
  <c r="D34" i="2116"/>
  <c r="R33" i="2116"/>
  <c r="L19" i="2116" s="1"/>
  <c r="D19" i="2116" s="1"/>
  <c r="R32" i="2116"/>
  <c r="L11" i="2116" s="1"/>
  <c r="D11" i="2116" s="1"/>
  <c r="R31" i="2116"/>
  <c r="R30" i="2116"/>
  <c r="R29" i="2116"/>
  <c r="R28" i="2116"/>
  <c r="R27" i="2116"/>
  <c r="L27" i="2116"/>
  <c r="D27" i="2116"/>
  <c r="R26" i="2116"/>
  <c r="L26" i="2116"/>
  <c r="D26" i="2116"/>
  <c r="R25" i="2116"/>
  <c r="L25" i="2116"/>
  <c r="D25" i="2116"/>
  <c r="R24" i="2116"/>
  <c r="L24" i="2116"/>
  <c r="D24" i="2116" s="1"/>
  <c r="R23" i="2116"/>
  <c r="L23" i="2116"/>
  <c r="D23" i="2116" s="1"/>
  <c r="R22" i="2116"/>
  <c r="L22" i="2116"/>
  <c r="D22" i="2116" s="1"/>
  <c r="R21" i="2116"/>
  <c r="L21" i="2116"/>
  <c r="D21" i="2116"/>
  <c r="R20" i="2116"/>
  <c r="L20" i="2116"/>
  <c r="D20" i="2116" s="1"/>
  <c r="R19" i="2116"/>
  <c r="R18" i="2116"/>
  <c r="R17" i="2116"/>
  <c r="L17" i="2116"/>
  <c r="D17" i="2116"/>
  <c r="R16" i="2116"/>
  <c r="R15" i="2116"/>
  <c r="L15" i="2116"/>
  <c r="D15" i="2116" s="1"/>
  <c r="R14" i="2116"/>
  <c r="D14" i="2116"/>
  <c r="R13" i="2116"/>
  <c r="D13" i="2116"/>
  <c r="R12" i="2116"/>
  <c r="L12" i="2116"/>
  <c r="D12" i="2116"/>
  <c r="R11" i="2116"/>
  <c r="L10" i="2116"/>
  <c r="D10" i="2116"/>
  <c r="L9" i="2116"/>
  <c r="D9" i="2116" s="1"/>
  <c r="L8" i="2116"/>
  <c r="D8" i="2116" s="1"/>
  <c r="R6" i="2116"/>
  <c r="L16" i="2116" s="1"/>
  <c r="D16" i="2116" s="1"/>
  <c r="L6" i="2116"/>
  <c r="D6" i="2116" s="1"/>
  <c r="R5" i="2116"/>
  <c r="R4" i="2116"/>
  <c r="R52" i="2115"/>
  <c r="R51" i="2115"/>
  <c r="D50" i="2115"/>
  <c r="R49" i="2115"/>
  <c r="G49" i="2115"/>
  <c r="D49" i="2115"/>
  <c r="R48" i="2115"/>
  <c r="D48" i="2115"/>
  <c r="D46" i="2115"/>
  <c r="D45" i="2115"/>
  <c r="D44" i="2115"/>
  <c r="R42" i="2115"/>
  <c r="L6" i="2115" s="1"/>
  <c r="D6" i="2115" s="1"/>
  <c r="D42" i="2115"/>
  <c r="R41" i="2115"/>
  <c r="L7" i="2115" s="1"/>
  <c r="D7" i="2115" s="1"/>
  <c r="D41" i="2115"/>
  <c r="R40" i="2115"/>
  <c r="L8" i="2115" s="1"/>
  <c r="D8" i="2115" s="1"/>
  <c r="D40" i="2115"/>
  <c r="R39" i="2115"/>
  <c r="D39" i="2115"/>
  <c r="R38" i="2115"/>
  <c r="L9" i="2115" s="1"/>
  <c r="D9" i="2115" s="1"/>
  <c r="D38" i="2115"/>
  <c r="R37" i="2115"/>
  <c r="D37" i="2115"/>
  <c r="R36" i="2115"/>
  <c r="L10" i="2115" s="1"/>
  <c r="D10" i="2115" s="1"/>
  <c r="D36" i="2115"/>
  <c r="R35" i="2115"/>
  <c r="L19" i="2115" s="1"/>
  <c r="D19" i="2115" s="1"/>
  <c r="D35" i="2115"/>
  <c r="R34" i="2115"/>
  <c r="D34" i="2115"/>
  <c r="D54" i="2115" s="1"/>
  <c r="H14" i="2115" s="1"/>
  <c r="R33" i="2115"/>
  <c r="R32" i="2115"/>
  <c r="R31" i="2115"/>
  <c r="R30" i="2115"/>
  <c r="R29" i="2115"/>
  <c r="R28" i="2115"/>
  <c r="D28" i="2115"/>
  <c r="R27" i="2115"/>
  <c r="D27" i="2115"/>
  <c r="R26" i="2115"/>
  <c r="L26" i="2115"/>
  <c r="D26" i="2115" s="1"/>
  <c r="R25" i="2115"/>
  <c r="L25" i="2115"/>
  <c r="D25" i="2115"/>
  <c r="R24" i="2115"/>
  <c r="D24" i="2115"/>
  <c r="R23" i="2115"/>
  <c r="L23" i="2115"/>
  <c r="D23" i="2115"/>
  <c r="R22" i="2115"/>
  <c r="L22" i="2115"/>
  <c r="D22" i="2115" s="1"/>
  <c r="R21" i="2115"/>
  <c r="D21" i="2115"/>
  <c r="R20" i="2115"/>
  <c r="L20" i="2115"/>
  <c r="D20" i="2115" s="1"/>
  <c r="R19" i="2115"/>
  <c r="R18" i="2115"/>
  <c r="D18" i="2115"/>
  <c r="R17" i="2115"/>
  <c r="D17" i="2115"/>
  <c r="R16" i="2115"/>
  <c r="L16" i="2115"/>
  <c r="D16" i="2115" s="1"/>
  <c r="S15" i="2115"/>
  <c r="R15" i="2115"/>
  <c r="D15" i="2115"/>
  <c r="S14" i="2115"/>
  <c r="R14" i="2115"/>
  <c r="D14" i="2115"/>
  <c r="R13" i="2115"/>
  <c r="D13" i="2115"/>
  <c r="R12" i="2115"/>
  <c r="L12" i="2115"/>
  <c r="D12" i="2115"/>
  <c r="R11" i="2115"/>
  <c r="L11" i="2115"/>
  <c r="D11" i="2115" s="1"/>
  <c r="R6" i="2115"/>
  <c r="R5" i="2115"/>
  <c r="R4" i="2115"/>
  <c r="R52" i="2114"/>
  <c r="R51" i="2114"/>
  <c r="D50" i="2114"/>
  <c r="R49" i="2114"/>
  <c r="D49" i="2114"/>
  <c r="R48" i="2114"/>
  <c r="D48" i="2114"/>
  <c r="D46" i="2114"/>
  <c r="D45" i="2114"/>
  <c r="R44" i="2114"/>
  <c r="L28" i="2114" s="1"/>
  <c r="D28" i="2114" s="1"/>
  <c r="D44" i="2114"/>
  <c r="R42" i="2114"/>
  <c r="L6" i="2114" s="1"/>
  <c r="D6" i="2114" s="1"/>
  <c r="D42" i="2114"/>
  <c r="R41" i="2114"/>
  <c r="D41" i="2114"/>
  <c r="R40" i="2114"/>
  <c r="L8" i="2114" s="1"/>
  <c r="D8" i="2114" s="1"/>
  <c r="D40" i="2114"/>
  <c r="R39" i="2114"/>
  <c r="H39" i="2114"/>
  <c r="D39" i="2114"/>
  <c r="R38" i="2114"/>
  <c r="H38" i="2114"/>
  <c r="D38" i="2114"/>
  <c r="R37" i="2114"/>
  <c r="H37" i="2114"/>
  <c r="D37" i="2114"/>
  <c r="R36" i="2114"/>
  <c r="H36" i="2114"/>
  <c r="D36" i="2114"/>
  <c r="R35" i="2114"/>
  <c r="H35" i="2114"/>
  <c r="D35" i="2114"/>
  <c r="R34" i="2114"/>
  <c r="L12" i="2114" s="1"/>
  <c r="D12" i="2114" s="1"/>
  <c r="H34" i="2114"/>
  <c r="G49" i="2114" s="1"/>
  <c r="D34" i="2114"/>
  <c r="D54" i="2114" s="1"/>
  <c r="H14" i="2114" s="1"/>
  <c r="R33" i="2114"/>
  <c r="R32" i="2114"/>
  <c r="R31" i="2114"/>
  <c r="R30" i="2114"/>
  <c r="R29" i="2114"/>
  <c r="R28" i="2114"/>
  <c r="R27" i="2114"/>
  <c r="L27" i="2114"/>
  <c r="D27" i="2114"/>
  <c r="R26" i="2114"/>
  <c r="L26" i="2114"/>
  <c r="D26" i="2114" s="1"/>
  <c r="R25" i="2114"/>
  <c r="L25" i="2114"/>
  <c r="D25" i="2114"/>
  <c r="R24" i="2114"/>
  <c r="L24" i="2114"/>
  <c r="D24" i="2114"/>
  <c r="R23" i="2114"/>
  <c r="L23" i="2114"/>
  <c r="D23" i="2114"/>
  <c r="R22" i="2114"/>
  <c r="L20" i="2114" s="1"/>
  <c r="D20" i="2114" s="1"/>
  <c r="L22" i="2114"/>
  <c r="D22" i="2114"/>
  <c r="R21" i="2114"/>
  <c r="L21" i="2114"/>
  <c r="D21" i="2114"/>
  <c r="R20" i="2114"/>
  <c r="R19" i="2114"/>
  <c r="L19" i="2114"/>
  <c r="D19" i="2114" s="1"/>
  <c r="R18" i="2114"/>
  <c r="L18" i="2114"/>
  <c r="D18" i="2114" s="1"/>
  <c r="R17" i="2114"/>
  <c r="L17" i="2114"/>
  <c r="D17" i="2114" s="1"/>
  <c r="R16" i="2114"/>
  <c r="L16" i="2114"/>
  <c r="D16" i="2114"/>
  <c r="R15" i="2114"/>
  <c r="L15" i="2114"/>
  <c r="D15" i="2114"/>
  <c r="R14" i="2114"/>
  <c r="D14" i="2114"/>
  <c r="R13" i="2114"/>
  <c r="D13" i="2114"/>
  <c r="R12" i="2114"/>
  <c r="R11" i="2114"/>
  <c r="L11" i="2114"/>
  <c r="D11" i="2114"/>
  <c r="L10" i="2114"/>
  <c r="D10" i="2114" s="1"/>
  <c r="L9" i="2114"/>
  <c r="D9" i="2114" s="1"/>
  <c r="L7" i="2114"/>
  <c r="D7" i="2114"/>
  <c r="R6" i="2114"/>
  <c r="R5" i="2114"/>
  <c r="R4" i="2114"/>
  <c r="R52" i="2113"/>
  <c r="R51" i="2113"/>
  <c r="D50" i="2113"/>
  <c r="R49" i="2113"/>
  <c r="D49" i="2113"/>
  <c r="R48" i="2113"/>
  <c r="D48" i="2113"/>
  <c r="D46" i="2113"/>
  <c r="D45" i="2113"/>
  <c r="R44" i="2113"/>
  <c r="D44" i="2113"/>
  <c r="R42" i="2113"/>
  <c r="D42" i="2113"/>
  <c r="R41" i="2113"/>
  <c r="D41" i="2113"/>
  <c r="R40" i="2113"/>
  <c r="D40" i="2113"/>
  <c r="R39" i="2113"/>
  <c r="H39" i="2113"/>
  <c r="D39" i="2113"/>
  <c r="R38" i="2113"/>
  <c r="L9" i="2113" s="1"/>
  <c r="D9" i="2113" s="1"/>
  <c r="H38" i="2113"/>
  <c r="D38" i="2113"/>
  <c r="R37" i="2113"/>
  <c r="H37" i="2113"/>
  <c r="D37" i="2113"/>
  <c r="R36" i="2113"/>
  <c r="H36" i="2113"/>
  <c r="D36" i="2113"/>
  <c r="R35" i="2113"/>
  <c r="H35" i="2113"/>
  <c r="D35" i="2113"/>
  <c r="R34" i="2113"/>
  <c r="L12" i="2113" s="1"/>
  <c r="D12" i="2113" s="1"/>
  <c r="H34" i="2113"/>
  <c r="G49" i="2113" s="1"/>
  <c r="D34" i="2113"/>
  <c r="D54" i="2113" s="1"/>
  <c r="H14" i="2113" s="1"/>
  <c r="R33" i="2113"/>
  <c r="L19" i="2113" s="1"/>
  <c r="D19" i="2113" s="1"/>
  <c r="R32" i="2113"/>
  <c r="L11" i="2113" s="1"/>
  <c r="D11" i="2113" s="1"/>
  <c r="R31" i="2113"/>
  <c r="R30" i="2113"/>
  <c r="R29" i="2113"/>
  <c r="R28" i="2113"/>
  <c r="L28" i="2113"/>
  <c r="D28" i="2113"/>
  <c r="R27" i="2113"/>
  <c r="L27" i="2113"/>
  <c r="D27" i="2113"/>
  <c r="R26" i="2113"/>
  <c r="L26" i="2113"/>
  <c r="D26" i="2113" s="1"/>
  <c r="R25" i="2113"/>
  <c r="L25" i="2113"/>
  <c r="D25" i="2113" s="1"/>
  <c r="R24" i="2113"/>
  <c r="L24" i="2113"/>
  <c r="D24" i="2113"/>
  <c r="R23" i="2113"/>
  <c r="L23" i="2113"/>
  <c r="D23" i="2113" s="1"/>
  <c r="R22" i="2113"/>
  <c r="L22" i="2113"/>
  <c r="D22" i="2113"/>
  <c r="R21" i="2113"/>
  <c r="L17" i="2113" s="1"/>
  <c r="D17" i="2113" s="1"/>
  <c r="D21" i="2113"/>
  <c r="R20" i="2113"/>
  <c r="L20" i="2113"/>
  <c r="D20" i="2113" s="1"/>
  <c r="R19" i="2113"/>
  <c r="R18" i="2113"/>
  <c r="L18" i="2113"/>
  <c r="D18" i="2113" s="1"/>
  <c r="R17" i="2113"/>
  <c r="R16" i="2113"/>
  <c r="R15" i="2113"/>
  <c r="L15" i="2113"/>
  <c r="D15" i="2113" s="1"/>
  <c r="R14" i="2113"/>
  <c r="D14" i="2113"/>
  <c r="R13" i="2113"/>
  <c r="D13" i="2113"/>
  <c r="R12" i="2113"/>
  <c r="R11" i="2113"/>
  <c r="L10" i="2113"/>
  <c r="D10" i="2113"/>
  <c r="L8" i="2113"/>
  <c r="D8" i="2113" s="1"/>
  <c r="L7" i="2113"/>
  <c r="D7" i="2113" s="1"/>
  <c r="R6" i="2113"/>
  <c r="L16" i="2113" s="1"/>
  <c r="D16" i="2113" s="1"/>
  <c r="L6" i="2113"/>
  <c r="D6" i="2113"/>
  <c r="R5" i="2113"/>
  <c r="R4" i="2113"/>
  <c r="R52" i="2112"/>
  <c r="R51" i="2112"/>
  <c r="D50" i="2112"/>
  <c r="R49" i="2112"/>
  <c r="D49" i="2112"/>
  <c r="R48" i="2112"/>
  <c r="D48" i="2112"/>
  <c r="D46" i="2112"/>
  <c r="D45" i="2112"/>
  <c r="R44" i="2112"/>
  <c r="L28" i="2112" s="1"/>
  <c r="D28" i="2112" s="1"/>
  <c r="D44" i="2112"/>
  <c r="R42" i="2112"/>
  <c r="D42" i="2112"/>
  <c r="R41" i="2112"/>
  <c r="D41" i="2112"/>
  <c r="R40" i="2112"/>
  <c r="L8" i="2112" s="1"/>
  <c r="D8" i="2112" s="1"/>
  <c r="D40" i="2112"/>
  <c r="R39" i="2112"/>
  <c r="H39" i="2112"/>
  <c r="D39" i="2112"/>
  <c r="R38" i="2112"/>
  <c r="L9" i="2112" s="1"/>
  <c r="D9" i="2112" s="1"/>
  <c r="H38" i="2112"/>
  <c r="D38" i="2112"/>
  <c r="R37" i="2112"/>
  <c r="H37" i="2112"/>
  <c r="D37" i="2112"/>
  <c r="R36" i="2112"/>
  <c r="L10" i="2112" s="1"/>
  <c r="D10" i="2112" s="1"/>
  <c r="H36" i="2112"/>
  <c r="D36" i="2112"/>
  <c r="R35" i="2112"/>
  <c r="H35" i="2112"/>
  <c r="D35" i="2112"/>
  <c r="R34" i="2112"/>
  <c r="H34" i="2112"/>
  <c r="D34" i="2112"/>
  <c r="R33" i="2112"/>
  <c r="L19" i="2112" s="1"/>
  <c r="D19" i="2112" s="1"/>
  <c r="R32" i="2112"/>
  <c r="L11" i="2112" s="1"/>
  <c r="D11" i="2112" s="1"/>
  <c r="R31" i="2112"/>
  <c r="R30" i="2112"/>
  <c r="R29" i="2112"/>
  <c r="R28" i="2112"/>
  <c r="R27" i="2112"/>
  <c r="L27" i="2112"/>
  <c r="D27" i="2112"/>
  <c r="R26" i="2112"/>
  <c r="L26" i="2112"/>
  <c r="D26" i="2112"/>
  <c r="R25" i="2112"/>
  <c r="L25" i="2112"/>
  <c r="D25" i="2112" s="1"/>
  <c r="R24" i="2112"/>
  <c r="L24" i="2112"/>
  <c r="D24" i="2112"/>
  <c r="R23" i="2112"/>
  <c r="L23" i="2112"/>
  <c r="D23" i="2112" s="1"/>
  <c r="R22" i="2112"/>
  <c r="L22" i="2112"/>
  <c r="D22" i="2112"/>
  <c r="R21" i="2112"/>
  <c r="L21" i="2112"/>
  <c r="D21" i="2112"/>
  <c r="R20" i="2112"/>
  <c r="L20" i="2112"/>
  <c r="D20" i="2112"/>
  <c r="R19" i="2112"/>
  <c r="R18" i="2112"/>
  <c r="L18" i="2112"/>
  <c r="D18" i="2112"/>
  <c r="R17" i="2112"/>
  <c r="L17" i="2112"/>
  <c r="D17" i="2112" s="1"/>
  <c r="R16" i="2112"/>
  <c r="R15" i="2112"/>
  <c r="L15" i="2112"/>
  <c r="D15" i="2112"/>
  <c r="R14" i="2112"/>
  <c r="D14" i="2112"/>
  <c r="R13" i="2112"/>
  <c r="D13" i="2112"/>
  <c r="R12" i="2112"/>
  <c r="L12" i="2112"/>
  <c r="D12" i="2112" s="1"/>
  <c r="R11" i="2112"/>
  <c r="L7" i="2112"/>
  <c r="D7" i="2112"/>
  <c r="R6" i="2112"/>
  <c r="L16" i="2112" s="1"/>
  <c r="D16" i="2112" s="1"/>
  <c r="L6" i="2112"/>
  <c r="D6" i="2112" s="1"/>
  <c r="R5" i="2112"/>
  <c r="R4" i="2112"/>
  <c r="R52" i="2111"/>
  <c r="R51" i="2111"/>
  <c r="D50" i="2111"/>
  <c r="R49" i="2111"/>
  <c r="G49" i="2111"/>
  <c r="D49" i="2111"/>
  <c r="R48" i="2111"/>
  <c r="D48" i="2111"/>
  <c r="D46" i="2111"/>
  <c r="D45" i="2111"/>
  <c r="D44" i="2111"/>
  <c r="R42" i="2111"/>
  <c r="D42" i="2111"/>
  <c r="R41" i="2111"/>
  <c r="L7" i="2111" s="1"/>
  <c r="D7" i="2111" s="1"/>
  <c r="D41" i="2111"/>
  <c r="R40" i="2111"/>
  <c r="L8" i="2111" s="1"/>
  <c r="D8" i="2111" s="1"/>
  <c r="D40" i="2111"/>
  <c r="R39" i="2111"/>
  <c r="D39" i="2111"/>
  <c r="R38" i="2111"/>
  <c r="L9" i="2111" s="1"/>
  <c r="D9" i="2111" s="1"/>
  <c r="D38" i="2111"/>
  <c r="R37" i="2111"/>
  <c r="D37" i="2111"/>
  <c r="R36" i="2111"/>
  <c r="L10" i="2111" s="1"/>
  <c r="D10" i="2111" s="1"/>
  <c r="D36" i="2111"/>
  <c r="R35" i="2111"/>
  <c r="L19" i="2111" s="1"/>
  <c r="D19" i="2111" s="1"/>
  <c r="D35" i="2111"/>
  <c r="D54" i="2111" s="1"/>
  <c r="H14" i="2111" s="1"/>
  <c r="R34" i="2111"/>
  <c r="D34" i="2111"/>
  <c r="R33" i="2111"/>
  <c r="R32" i="2111"/>
  <c r="L11" i="2111" s="1"/>
  <c r="D11" i="2111" s="1"/>
  <c r="R31" i="2111"/>
  <c r="R30" i="2111"/>
  <c r="R29" i="2111"/>
  <c r="R28" i="2111"/>
  <c r="D28" i="2111"/>
  <c r="R27" i="2111"/>
  <c r="D27" i="2111"/>
  <c r="R26" i="2111"/>
  <c r="L26" i="2111"/>
  <c r="D26" i="2111"/>
  <c r="R25" i="2111"/>
  <c r="L25" i="2111"/>
  <c r="D25" i="2111"/>
  <c r="R24" i="2111"/>
  <c r="D24" i="2111"/>
  <c r="R23" i="2111"/>
  <c r="L23" i="2111"/>
  <c r="D23" i="2111"/>
  <c r="R22" i="2111"/>
  <c r="L22" i="2111"/>
  <c r="D22" i="2111" s="1"/>
  <c r="R21" i="2111"/>
  <c r="D21" i="2111"/>
  <c r="R20" i="2111"/>
  <c r="L20" i="2111"/>
  <c r="D20" i="2111"/>
  <c r="R19" i="2111"/>
  <c r="R18" i="2111"/>
  <c r="D18" i="2111"/>
  <c r="R17" i="2111"/>
  <c r="D17" i="2111"/>
  <c r="R16" i="2111"/>
  <c r="L16" i="2111"/>
  <c r="D16" i="2111" s="1"/>
  <c r="S15" i="2111"/>
  <c r="R15" i="2111"/>
  <c r="D15" i="2111"/>
  <c r="S14" i="2111"/>
  <c r="R14" i="2111"/>
  <c r="D14" i="2111"/>
  <c r="R13" i="2111"/>
  <c r="D13" i="2111"/>
  <c r="R12" i="2111"/>
  <c r="L12" i="2111"/>
  <c r="D12" i="2111"/>
  <c r="R11" i="2111"/>
  <c r="R6" i="2111"/>
  <c r="L6" i="2111"/>
  <c r="D6" i="2111"/>
  <c r="R5" i="2111"/>
  <c r="R4" i="2111"/>
  <c r="R52" i="2110"/>
  <c r="R51" i="2110"/>
  <c r="D50" i="2110"/>
  <c r="R49" i="2110"/>
  <c r="D49" i="2110"/>
  <c r="R48" i="2110"/>
  <c r="D48" i="2110"/>
  <c r="D46" i="2110"/>
  <c r="D45" i="2110"/>
  <c r="R44" i="2110"/>
  <c r="L28" i="2110" s="1"/>
  <c r="D28" i="2110" s="1"/>
  <c r="D44" i="2110"/>
  <c r="R42" i="2110"/>
  <c r="D42" i="2110"/>
  <c r="R41" i="2110"/>
  <c r="D41" i="2110"/>
  <c r="R40" i="2110"/>
  <c r="D40" i="2110"/>
  <c r="R39" i="2110"/>
  <c r="H39" i="2110"/>
  <c r="D39" i="2110"/>
  <c r="R38" i="2110"/>
  <c r="L9" i="2110" s="1"/>
  <c r="D9" i="2110" s="1"/>
  <c r="H38" i="2110"/>
  <c r="D38" i="2110"/>
  <c r="R37" i="2110"/>
  <c r="H37" i="2110"/>
  <c r="D37" i="2110"/>
  <c r="R36" i="2110"/>
  <c r="H36" i="2110"/>
  <c r="D36" i="2110"/>
  <c r="R35" i="2110"/>
  <c r="L18" i="2110" s="1"/>
  <c r="D18" i="2110" s="1"/>
  <c r="H35" i="2110"/>
  <c r="D35" i="2110"/>
  <c r="R34" i="2110"/>
  <c r="H34" i="2110"/>
  <c r="D34" i="2110"/>
  <c r="R33" i="2110"/>
  <c r="R32" i="2110"/>
  <c r="L11" i="2110" s="1"/>
  <c r="D11" i="2110" s="1"/>
  <c r="R31" i="2110"/>
  <c r="R30" i="2110"/>
  <c r="R29" i="2110"/>
  <c r="R28" i="2110"/>
  <c r="R27" i="2110"/>
  <c r="D27" i="2110"/>
  <c r="R26" i="2110"/>
  <c r="D26" i="2110"/>
  <c r="R25" i="2110"/>
  <c r="D25" i="2110"/>
  <c r="R24" i="2110"/>
  <c r="D24" i="2110"/>
  <c r="R23" i="2110"/>
  <c r="D23" i="2110"/>
  <c r="R22" i="2110"/>
  <c r="D22" i="2110"/>
  <c r="R21" i="2110"/>
  <c r="L17" i="2110" s="1"/>
  <c r="D17" i="2110" s="1"/>
  <c r="D21" i="2110"/>
  <c r="R20" i="2110"/>
  <c r="L20" i="2110"/>
  <c r="D20" i="2110"/>
  <c r="R19" i="2110"/>
  <c r="L19" i="2110"/>
  <c r="D19" i="2110"/>
  <c r="R18" i="2110"/>
  <c r="R17" i="2110"/>
  <c r="R16" i="2110"/>
  <c r="L16" i="2110"/>
  <c r="D16" i="2110" s="1"/>
  <c r="R15" i="2110"/>
  <c r="L15" i="2110"/>
  <c r="D15" i="2110"/>
  <c r="R14" i="2110"/>
  <c r="D14" i="2110"/>
  <c r="R13" i="2110"/>
  <c r="D13" i="2110"/>
  <c r="R12" i="2110"/>
  <c r="L12" i="2110"/>
  <c r="D12" i="2110"/>
  <c r="R11" i="2110"/>
  <c r="L10" i="2110"/>
  <c r="D10" i="2110"/>
  <c r="L8" i="2110"/>
  <c r="D8" i="2110"/>
  <c r="L7" i="2110"/>
  <c r="D7" i="2110" s="1"/>
  <c r="R6" i="2110"/>
  <c r="L6" i="2110"/>
  <c r="D6" i="2110" s="1"/>
  <c r="R5" i="2110"/>
  <c r="R4" i="2110"/>
  <c r="R52" i="2109"/>
  <c r="R51" i="2109"/>
  <c r="D50" i="2109"/>
  <c r="R49" i="2109"/>
  <c r="D49" i="2109"/>
  <c r="R48" i="2109"/>
  <c r="D48" i="2109"/>
  <c r="D46" i="2109"/>
  <c r="D45" i="2109"/>
  <c r="R44" i="2109"/>
  <c r="L28" i="2109" s="1"/>
  <c r="D28" i="2109" s="1"/>
  <c r="D44" i="2109"/>
  <c r="R42" i="2109"/>
  <c r="D42" i="2109"/>
  <c r="R41" i="2109"/>
  <c r="D41" i="2109"/>
  <c r="R40" i="2109"/>
  <c r="D40" i="2109"/>
  <c r="R39" i="2109"/>
  <c r="H39" i="2109"/>
  <c r="D39" i="2109"/>
  <c r="R38" i="2109"/>
  <c r="H38" i="2109"/>
  <c r="D38" i="2109"/>
  <c r="R37" i="2109"/>
  <c r="H37" i="2109"/>
  <c r="D37" i="2109"/>
  <c r="R36" i="2109"/>
  <c r="L10" i="2109" s="1"/>
  <c r="D10" i="2109" s="1"/>
  <c r="H36" i="2109"/>
  <c r="D36" i="2109"/>
  <c r="R35" i="2109"/>
  <c r="H35" i="2109"/>
  <c r="D35" i="2109"/>
  <c r="R34" i="2109"/>
  <c r="L12" i="2109" s="1"/>
  <c r="D12" i="2109" s="1"/>
  <c r="H34" i="2109"/>
  <c r="D34" i="2109"/>
  <c r="R33" i="2109"/>
  <c r="L19" i="2109" s="1"/>
  <c r="D19" i="2109" s="1"/>
  <c r="R32" i="2109"/>
  <c r="L11" i="2109" s="1"/>
  <c r="D11" i="2109" s="1"/>
  <c r="R31" i="2109"/>
  <c r="R30" i="2109"/>
  <c r="R29" i="2109"/>
  <c r="R28" i="2109"/>
  <c r="R27" i="2109"/>
  <c r="L27" i="2109"/>
  <c r="D27" i="2109"/>
  <c r="R26" i="2109"/>
  <c r="L26" i="2109"/>
  <c r="D26" i="2109"/>
  <c r="R25" i="2109"/>
  <c r="L25" i="2109"/>
  <c r="D25" i="2109" s="1"/>
  <c r="R24" i="2109"/>
  <c r="L24" i="2109"/>
  <c r="D24" i="2109"/>
  <c r="R23" i="2109"/>
  <c r="L23" i="2109"/>
  <c r="D23" i="2109" s="1"/>
  <c r="R22" i="2109"/>
  <c r="L20" i="2109" s="1"/>
  <c r="D20" i="2109" s="1"/>
  <c r="L22" i="2109"/>
  <c r="D22" i="2109"/>
  <c r="R21" i="2109"/>
  <c r="D21" i="2109"/>
  <c r="R20" i="2109"/>
  <c r="R19" i="2109"/>
  <c r="R18" i="2109"/>
  <c r="L18" i="2109"/>
  <c r="D18" i="2109"/>
  <c r="R17" i="2109"/>
  <c r="L17" i="2109"/>
  <c r="D17" i="2109"/>
  <c r="R16" i="2109"/>
  <c r="R15" i="2109"/>
  <c r="R14" i="2109"/>
  <c r="D14" i="2109"/>
  <c r="R13" i="2109"/>
  <c r="D13" i="2109"/>
  <c r="R12" i="2109"/>
  <c r="R11" i="2109"/>
  <c r="L9" i="2109"/>
  <c r="D9" i="2109" s="1"/>
  <c r="L8" i="2109"/>
  <c r="D8" i="2109" s="1"/>
  <c r="L7" i="2109"/>
  <c r="D7" i="2109"/>
  <c r="R6" i="2109"/>
  <c r="L16" i="2109" s="1"/>
  <c r="D16" i="2109" s="1"/>
  <c r="L6" i="2109"/>
  <c r="D6" i="2109"/>
  <c r="R5" i="2109"/>
  <c r="R4" i="2109"/>
  <c r="L15" i="2109" s="1"/>
  <c r="D15" i="2109" s="1"/>
  <c r="R52" i="2108"/>
  <c r="R51" i="2108"/>
  <c r="D50" i="2108"/>
  <c r="R49" i="2108"/>
  <c r="D49" i="2108"/>
  <c r="R48" i="2108"/>
  <c r="D48" i="2108"/>
  <c r="D46" i="2108"/>
  <c r="D45" i="2108"/>
  <c r="R44" i="2108"/>
  <c r="D44" i="2108"/>
  <c r="R42" i="2108"/>
  <c r="D42" i="2108"/>
  <c r="R41" i="2108"/>
  <c r="D41" i="2108"/>
  <c r="R40" i="2108"/>
  <c r="L8" i="2108" s="1"/>
  <c r="D8" i="2108" s="1"/>
  <c r="D40" i="2108"/>
  <c r="R39" i="2108"/>
  <c r="H39" i="2108"/>
  <c r="D39" i="2108"/>
  <c r="R38" i="2108"/>
  <c r="L9" i="2108" s="1"/>
  <c r="D9" i="2108" s="1"/>
  <c r="H38" i="2108"/>
  <c r="D38" i="2108"/>
  <c r="R37" i="2108"/>
  <c r="H37" i="2108"/>
  <c r="D37" i="2108"/>
  <c r="R36" i="2108"/>
  <c r="H36" i="2108"/>
  <c r="D36" i="2108"/>
  <c r="R35" i="2108"/>
  <c r="H35" i="2108"/>
  <c r="D35" i="2108"/>
  <c r="R34" i="2108"/>
  <c r="H34" i="2108"/>
  <c r="D34" i="2108"/>
  <c r="R33" i="2108"/>
  <c r="R32" i="2108"/>
  <c r="R31" i="2108"/>
  <c r="R30" i="2108"/>
  <c r="R29" i="2108"/>
  <c r="R28" i="2108"/>
  <c r="L28" i="2108"/>
  <c r="D28" i="2108"/>
  <c r="R27" i="2108"/>
  <c r="L27" i="2108"/>
  <c r="D27" i="2108"/>
  <c r="R26" i="2108"/>
  <c r="L26" i="2108"/>
  <c r="D26" i="2108" s="1"/>
  <c r="R25" i="2108"/>
  <c r="L25" i="2108"/>
  <c r="D25" i="2108" s="1"/>
  <c r="R24" i="2108"/>
  <c r="L24" i="2108"/>
  <c r="D24" i="2108"/>
  <c r="R23" i="2108"/>
  <c r="L23" i="2108"/>
  <c r="D23" i="2108"/>
  <c r="R22" i="2108"/>
  <c r="L20" i="2108" s="1"/>
  <c r="D20" i="2108" s="1"/>
  <c r="L22" i="2108"/>
  <c r="D22" i="2108"/>
  <c r="R21" i="2108"/>
  <c r="L21" i="2108"/>
  <c r="D21" i="2108"/>
  <c r="R20" i="2108"/>
  <c r="R19" i="2108"/>
  <c r="L19" i="2108"/>
  <c r="D19" i="2108"/>
  <c r="R18" i="2108"/>
  <c r="L18" i="2108"/>
  <c r="D18" i="2108"/>
  <c r="R17" i="2108"/>
  <c r="L17" i="2108"/>
  <c r="D17" i="2108" s="1"/>
  <c r="R16" i="2108"/>
  <c r="R15" i="2108"/>
  <c r="R14" i="2108"/>
  <c r="D14" i="2108"/>
  <c r="R13" i="2108"/>
  <c r="D13" i="2108"/>
  <c r="R12" i="2108"/>
  <c r="L12" i="2108"/>
  <c r="D12" i="2108" s="1"/>
  <c r="R11" i="2108"/>
  <c r="L11" i="2108"/>
  <c r="D11" i="2108"/>
  <c r="L10" i="2108"/>
  <c r="D10" i="2108" s="1"/>
  <c r="L7" i="2108"/>
  <c r="D7" i="2108"/>
  <c r="R6" i="2108"/>
  <c r="L16" i="2108" s="1"/>
  <c r="D16" i="2108" s="1"/>
  <c r="L6" i="2108"/>
  <c r="D6" i="2108"/>
  <c r="R5" i="2108"/>
  <c r="R4" i="2108"/>
  <c r="L15" i="2108" s="1"/>
  <c r="D15" i="2108" s="1"/>
  <c r="D54" i="2116" l="1"/>
  <c r="H14" i="2116" s="1"/>
  <c r="D29" i="2116"/>
  <c r="H13" i="2116" s="1"/>
  <c r="D54" i="2112"/>
  <c r="H14" i="2112" s="1"/>
  <c r="G49" i="2112"/>
  <c r="D54" i="2110"/>
  <c r="H14" i="2110" s="1"/>
  <c r="G49" i="2110"/>
  <c r="G49" i="2109"/>
  <c r="D54" i="2109"/>
  <c r="H14" i="2109" s="1"/>
  <c r="G49" i="2108"/>
  <c r="D54" i="2108"/>
  <c r="H14" i="2108" s="1"/>
  <c r="D29" i="2139"/>
  <c r="H13" i="2139" s="1"/>
  <c r="H15" i="2139" s="1"/>
  <c r="H29" i="2139" s="1"/>
  <c r="G51" i="2139" s="1"/>
  <c r="D29" i="2138"/>
  <c r="H13" i="2138" s="1"/>
  <c r="H15" i="2138" s="1"/>
  <c r="H29" i="2138" s="1"/>
  <c r="G51" i="2138" s="1"/>
  <c r="D29" i="2137"/>
  <c r="H13" i="2137" s="1"/>
  <c r="H15" i="2137" s="1"/>
  <c r="H29" i="2137" s="1"/>
  <c r="G51" i="2137" s="1"/>
  <c r="D29" i="2135"/>
  <c r="H13" i="2135" s="1"/>
  <c r="H15" i="2135" s="1"/>
  <c r="H29" i="2135" s="1"/>
  <c r="G51" i="2135" s="1"/>
  <c r="D29" i="2134"/>
  <c r="H13" i="2134" s="1"/>
  <c r="H15" i="2134" s="1"/>
  <c r="H29" i="2134" s="1"/>
  <c r="G51" i="2134"/>
  <c r="D29" i="2133"/>
  <c r="H13" i="2133" s="1"/>
  <c r="H15" i="2133" s="1"/>
  <c r="H29" i="2133" s="1"/>
  <c r="G51" i="2133"/>
  <c r="D29" i="2132"/>
  <c r="H13" i="2132" s="1"/>
  <c r="H15" i="2132" s="1"/>
  <c r="H29" i="2132" s="1"/>
  <c r="G51" i="2132" s="1"/>
  <c r="D29" i="2131"/>
  <c r="H13" i="2131" s="1"/>
  <c r="H15" i="2131" s="1"/>
  <c r="H29" i="2131" s="1"/>
  <c r="G51" i="2131" s="1"/>
  <c r="G51" i="2130"/>
  <c r="D29" i="2129"/>
  <c r="H13" i="2129" s="1"/>
  <c r="H15" i="2129" s="1"/>
  <c r="H29" i="2129" s="1"/>
  <c r="G51" i="2129"/>
  <c r="D29" i="2128"/>
  <c r="H13" i="2128" s="1"/>
  <c r="H15" i="2128" s="1"/>
  <c r="H29" i="2128" s="1"/>
  <c r="G51" i="2128" s="1"/>
  <c r="D29" i="2127"/>
  <c r="H13" i="2127" s="1"/>
  <c r="H15" i="2127" s="1"/>
  <c r="H29" i="2127" s="1"/>
  <c r="G51" i="2127" s="1"/>
  <c r="D29" i="2126"/>
  <c r="H13" i="2126" s="1"/>
  <c r="H15" i="2126" s="1"/>
  <c r="H29" i="2126" s="1"/>
  <c r="G51" i="2126" s="1"/>
  <c r="D29" i="2125"/>
  <c r="H13" i="2125" s="1"/>
  <c r="H15" i="2125" s="1"/>
  <c r="H29" i="2125" s="1"/>
  <c r="G51" i="2125" s="1"/>
  <c r="D29" i="2123"/>
  <c r="H13" i="2123" s="1"/>
  <c r="H15" i="2123" s="1"/>
  <c r="H29" i="2123" s="1"/>
  <c r="G51" i="2123" s="1"/>
  <c r="D29" i="2122"/>
  <c r="H13" i="2122" s="1"/>
  <c r="H15" i="2122" s="1"/>
  <c r="H29" i="2122" s="1"/>
  <c r="G51" i="2122" s="1"/>
  <c r="D29" i="2121"/>
  <c r="H13" i="2121" s="1"/>
  <c r="H15" i="2121" s="1"/>
  <c r="H29" i="2121" s="1"/>
  <c r="G51" i="2121" s="1"/>
  <c r="D29" i="2120"/>
  <c r="H13" i="2120" s="1"/>
  <c r="H15" i="2120" s="1"/>
  <c r="H29" i="2120" s="1"/>
  <c r="G51" i="2120"/>
  <c r="G51" i="2119"/>
  <c r="D29" i="2118"/>
  <c r="H13" i="2118" s="1"/>
  <c r="H15" i="2118" s="1"/>
  <c r="H29" i="2118" s="1"/>
  <c r="G51" i="2118" s="1"/>
  <c r="D29" i="2117"/>
  <c r="H13" i="2117" s="1"/>
  <c r="H15" i="2117" s="1"/>
  <c r="H29" i="2117" s="1"/>
  <c r="G51" i="2117" s="1"/>
  <c r="D29" i="2115"/>
  <c r="H13" i="2115" s="1"/>
  <c r="H15" i="2115" s="1"/>
  <c r="H29" i="2115" s="1"/>
  <c r="G51" i="2115" s="1"/>
  <c r="D29" i="2114"/>
  <c r="H13" i="2114" s="1"/>
  <c r="H15" i="2114" s="1"/>
  <c r="H29" i="2114" s="1"/>
  <c r="G51" i="2114"/>
  <c r="D29" i="2113"/>
  <c r="H13" i="2113" s="1"/>
  <c r="H15" i="2113" s="1"/>
  <c r="H29" i="2113" s="1"/>
  <c r="G51" i="2113" s="1"/>
  <c r="D29" i="2112"/>
  <c r="H13" i="2112" s="1"/>
  <c r="D29" i="2111"/>
  <c r="H13" i="2111" s="1"/>
  <c r="H15" i="2111" s="1"/>
  <c r="H29" i="2111" s="1"/>
  <c r="G51" i="2111" s="1"/>
  <c r="D29" i="2110"/>
  <c r="H13" i="2110" s="1"/>
  <c r="D29" i="2109"/>
  <c r="H13" i="2109" s="1"/>
  <c r="D29" i="2108"/>
  <c r="H13" i="2108" s="1"/>
  <c r="R52" i="2107"/>
  <c r="R51" i="2107"/>
  <c r="D50" i="2107"/>
  <c r="R49" i="2107"/>
  <c r="G49" i="2107"/>
  <c r="D49" i="2107"/>
  <c r="R48" i="2107"/>
  <c r="D48" i="2107"/>
  <c r="D46" i="2107"/>
  <c r="D45" i="2107"/>
  <c r="D44" i="2107"/>
  <c r="R42" i="2107"/>
  <c r="D42" i="2107"/>
  <c r="R41" i="2107"/>
  <c r="L7" i="2107" s="1"/>
  <c r="D7" i="2107" s="1"/>
  <c r="D41" i="2107"/>
  <c r="R40" i="2107"/>
  <c r="L8" i="2107" s="1"/>
  <c r="D8" i="2107" s="1"/>
  <c r="D40" i="2107"/>
  <c r="R39" i="2107"/>
  <c r="D39" i="2107"/>
  <c r="R38" i="2107"/>
  <c r="L9" i="2107" s="1"/>
  <c r="D9" i="2107" s="1"/>
  <c r="D38" i="2107"/>
  <c r="D54" i="2107" s="1"/>
  <c r="H14" i="2107" s="1"/>
  <c r="R37" i="2107"/>
  <c r="D37" i="2107"/>
  <c r="R36" i="2107"/>
  <c r="L10" i="2107" s="1"/>
  <c r="D10" i="2107" s="1"/>
  <c r="D36" i="2107"/>
  <c r="R35" i="2107"/>
  <c r="D35" i="2107"/>
  <c r="R34" i="2107"/>
  <c r="L12" i="2107" s="1"/>
  <c r="D12" i="2107" s="1"/>
  <c r="D34" i="2107"/>
  <c r="R33" i="2107"/>
  <c r="L23" i="2107" s="1"/>
  <c r="D23" i="2107" s="1"/>
  <c r="R32" i="2107"/>
  <c r="R31" i="2107"/>
  <c r="R30" i="2107"/>
  <c r="R29" i="2107"/>
  <c r="R28" i="2107"/>
  <c r="L16" i="2107" s="1"/>
  <c r="D16" i="2107" s="1"/>
  <c r="D28" i="2107"/>
  <c r="R27" i="2107"/>
  <c r="D27" i="2107"/>
  <c r="R26" i="2107"/>
  <c r="L26" i="2107"/>
  <c r="D26" i="2107" s="1"/>
  <c r="R25" i="2107"/>
  <c r="L25" i="2107"/>
  <c r="D25" i="2107"/>
  <c r="R24" i="2107"/>
  <c r="D24" i="2107"/>
  <c r="R23" i="2107"/>
  <c r="R22" i="2107"/>
  <c r="L22" i="2107"/>
  <c r="D22" i="2107" s="1"/>
  <c r="R21" i="2107"/>
  <c r="D21" i="2107"/>
  <c r="R20" i="2107"/>
  <c r="L20" i="2107"/>
  <c r="D20" i="2107"/>
  <c r="R19" i="2107"/>
  <c r="L19" i="2107"/>
  <c r="D19" i="2107"/>
  <c r="R18" i="2107"/>
  <c r="D18" i="2107"/>
  <c r="R17" i="2107"/>
  <c r="D17" i="2107"/>
  <c r="R16" i="2107"/>
  <c r="S15" i="2107"/>
  <c r="R15" i="2107"/>
  <c r="D15" i="2107"/>
  <c r="S14" i="2107"/>
  <c r="R14" i="2107"/>
  <c r="D14" i="2107"/>
  <c r="R13" i="2107"/>
  <c r="D13" i="2107"/>
  <c r="R12" i="2107"/>
  <c r="R11" i="2107"/>
  <c r="L11" i="2107"/>
  <c r="D11" i="2107" s="1"/>
  <c r="R6" i="2107"/>
  <c r="L6" i="2107"/>
  <c r="D6" i="2107" s="1"/>
  <c r="R5" i="2107"/>
  <c r="R4" i="2107"/>
  <c r="H15" i="2116" l="1"/>
  <c r="H29" i="2116" s="1"/>
  <c r="G51" i="2116" s="1"/>
  <c r="H15" i="2112"/>
  <c r="H29" i="2112" s="1"/>
  <c r="G51" i="2112" s="1"/>
  <c r="H15" i="2110"/>
  <c r="H29" i="2110" s="1"/>
  <c r="G51" i="2110" s="1"/>
  <c r="H15" i="2109"/>
  <c r="H29" i="2109" s="1"/>
  <c r="G51" i="2109" s="1"/>
  <c r="H15" i="2108"/>
  <c r="H29" i="2108" s="1"/>
  <c r="G51" i="2108" s="1"/>
  <c r="D29" i="2107"/>
  <c r="H13" i="2107" s="1"/>
  <c r="H15" i="2107" s="1"/>
  <c r="H29" i="2107" s="1"/>
  <c r="G51" i="2107"/>
  <c r="R52" i="2089"/>
  <c r="R51" i="2089"/>
  <c r="D50" i="2089"/>
  <c r="R49" i="2089"/>
  <c r="D49" i="2089"/>
  <c r="R48" i="2089"/>
  <c r="D48" i="2089"/>
  <c r="D46" i="2089"/>
  <c r="D45" i="2089"/>
  <c r="R44" i="2089"/>
  <c r="D44" i="2089"/>
  <c r="R42" i="2089"/>
  <c r="L6" i="2089" s="1"/>
  <c r="D6" i="2089" s="1"/>
  <c r="D42" i="2089"/>
  <c r="R41" i="2089"/>
  <c r="D41" i="2089"/>
  <c r="R40" i="2089"/>
  <c r="D40" i="2089"/>
  <c r="R39" i="2089"/>
  <c r="H39" i="2089"/>
  <c r="D39" i="2089"/>
  <c r="R38" i="2089"/>
  <c r="L9" i="2089" s="1"/>
  <c r="D9" i="2089" s="1"/>
  <c r="H38" i="2089"/>
  <c r="D38" i="2089"/>
  <c r="R37" i="2089"/>
  <c r="H37" i="2089"/>
  <c r="D37" i="2089"/>
  <c r="R36" i="2089"/>
  <c r="L10" i="2089" s="1"/>
  <c r="D10" i="2089" s="1"/>
  <c r="H36" i="2089"/>
  <c r="D36" i="2089"/>
  <c r="R35" i="2089"/>
  <c r="H35" i="2089"/>
  <c r="D35" i="2089"/>
  <c r="R34" i="2089"/>
  <c r="H34" i="2089"/>
  <c r="D34" i="2089"/>
  <c r="R33" i="2089"/>
  <c r="R32" i="2089"/>
  <c r="L11" i="2089" s="1"/>
  <c r="D11" i="2089" s="1"/>
  <c r="R31" i="2089"/>
  <c r="R30" i="2089"/>
  <c r="R29" i="2089"/>
  <c r="R28" i="2089"/>
  <c r="L28" i="2089"/>
  <c r="D28" i="2089"/>
  <c r="R27" i="2089"/>
  <c r="L27" i="2089"/>
  <c r="D27" i="2089" s="1"/>
  <c r="R26" i="2089"/>
  <c r="L26" i="2089"/>
  <c r="D26" i="2089" s="1"/>
  <c r="R25" i="2089"/>
  <c r="L25" i="2089"/>
  <c r="D25" i="2089"/>
  <c r="R24" i="2089"/>
  <c r="L24" i="2089"/>
  <c r="D24" i="2089"/>
  <c r="R23" i="2089"/>
  <c r="L23" i="2089"/>
  <c r="D23" i="2089"/>
  <c r="R22" i="2089"/>
  <c r="L20" i="2089" s="1"/>
  <c r="D20" i="2089" s="1"/>
  <c r="L22" i="2089"/>
  <c r="D22" i="2089"/>
  <c r="R21" i="2089"/>
  <c r="L21" i="2089"/>
  <c r="D21" i="2089"/>
  <c r="R20" i="2089"/>
  <c r="R19" i="2089"/>
  <c r="L19" i="2089"/>
  <c r="D19" i="2089"/>
  <c r="R18" i="2089"/>
  <c r="L18" i="2089"/>
  <c r="D18" i="2089"/>
  <c r="R17" i="2089"/>
  <c r="L17" i="2089"/>
  <c r="D17" i="2089" s="1"/>
  <c r="R16" i="2089"/>
  <c r="R15" i="2089"/>
  <c r="L15" i="2089"/>
  <c r="D15" i="2089"/>
  <c r="R14" i="2089"/>
  <c r="D14" i="2089"/>
  <c r="R13" i="2089"/>
  <c r="D13" i="2089"/>
  <c r="R12" i="2089"/>
  <c r="L12" i="2089"/>
  <c r="D12" i="2089" s="1"/>
  <c r="R11" i="2089"/>
  <c r="L8" i="2089"/>
  <c r="D8" i="2089"/>
  <c r="L7" i="2089"/>
  <c r="D7" i="2089"/>
  <c r="R6" i="2089"/>
  <c r="L16" i="2089" s="1"/>
  <c r="D16" i="2089" s="1"/>
  <c r="R5" i="2089"/>
  <c r="R4" i="2089"/>
  <c r="R52" i="2088"/>
  <c r="R51" i="2088"/>
  <c r="D50" i="2088"/>
  <c r="R49" i="2088"/>
  <c r="D49" i="2088"/>
  <c r="R48" i="2088"/>
  <c r="D48" i="2088"/>
  <c r="D46" i="2088"/>
  <c r="D45" i="2088"/>
  <c r="R44" i="2088"/>
  <c r="L28" i="2088" s="1"/>
  <c r="D28" i="2088" s="1"/>
  <c r="D44" i="2088"/>
  <c r="R42" i="2088"/>
  <c r="L6" i="2088" s="1"/>
  <c r="D6" i="2088" s="1"/>
  <c r="D42" i="2088"/>
  <c r="R41" i="2088"/>
  <c r="L7" i="2088" s="1"/>
  <c r="D7" i="2088" s="1"/>
  <c r="D41" i="2088"/>
  <c r="R40" i="2088"/>
  <c r="D40" i="2088"/>
  <c r="R39" i="2088"/>
  <c r="H39" i="2088"/>
  <c r="D39" i="2088"/>
  <c r="R38" i="2088"/>
  <c r="H38" i="2088"/>
  <c r="D38" i="2088"/>
  <c r="R37" i="2088"/>
  <c r="H37" i="2088"/>
  <c r="D37" i="2088"/>
  <c r="R36" i="2088"/>
  <c r="L10" i="2088" s="1"/>
  <c r="D10" i="2088" s="1"/>
  <c r="H36" i="2088"/>
  <c r="D36" i="2088"/>
  <c r="R35" i="2088"/>
  <c r="L18" i="2088" s="1"/>
  <c r="D18" i="2088" s="1"/>
  <c r="H35" i="2088"/>
  <c r="D35" i="2088"/>
  <c r="R34" i="2088"/>
  <c r="H34" i="2088"/>
  <c r="D34" i="2088"/>
  <c r="R33" i="2088"/>
  <c r="L19" i="2088" s="1"/>
  <c r="D19" i="2088" s="1"/>
  <c r="R32" i="2088"/>
  <c r="L11" i="2088" s="1"/>
  <c r="D11" i="2088" s="1"/>
  <c r="R31" i="2088"/>
  <c r="R30" i="2088"/>
  <c r="R29" i="2088"/>
  <c r="R28" i="2088"/>
  <c r="R27" i="2088"/>
  <c r="L27" i="2088"/>
  <c r="D27" i="2088" s="1"/>
  <c r="R26" i="2088"/>
  <c r="L26" i="2088"/>
  <c r="D26" i="2088"/>
  <c r="R25" i="2088"/>
  <c r="L25" i="2088"/>
  <c r="D25" i="2088"/>
  <c r="R24" i="2088"/>
  <c r="L24" i="2088"/>
  <c r="D24" i="2088"/>
  <c r="R23" i="2088"/>
  <c r="L23" i="2088"/>
  <c r="D23" i="2088"/>
  <c r="R22" i="2088"/>
  <c r="L20" i="2088" s="1"/>
  <c r="D20" i="2088" s="1"/>
  <c r="L22" i="2088"/>
  <c r="D22" i="2088" s="1"/>
  <c r="R21" i="2088"/>
  <c r="D21" i="2088"/>
  <c r="R20" i="2088"/>
  <c r="R19" i="2088"/>
  <c r="R18" i="2088"/>
  <c r="R17" i="2088"/>
  <c r="L17" i="2088"/>
  <c r="D17" i="2088"/>
  <c r="R16" i="2088"/>
  <c r="R15" i="2088"/>
  <c r="R14" i="2088"/>
  <c r="D14" i="2088"/>
  <c r="R13" i="2088"/>
  <c r="D13" i="2088"/>
  <c r="R12" i="2088"/>
  <c r="L12" i="2088"/>
  <c r="D12" i="2088"/>
  <c r="R11" i="2088"/>
  <c r="L9" i="2088"/>
  <c r="D9" i="2088"/>
  <c r="L8" i="2088"/>
  <c r="D8" i="2088" s="1"/>
  <c r="R6" i="2088"/>
  <c r="L16" i="2088" s="1"/>
  <c r="D16" i="2088" s="1"/>
  <c r="R5" i="2088"/>
  <c r="R4" i="2088"/>
  <c r="L15" i="2088" s="1"/>
  <c r="D15" i="2088" s="1"/>
  <c r="R52" i="2087"/>
  <c r="R51" i="2087"/>
  <c r="D50" i="2087"/>
  <c r="R49" i="2087"/>
  <c r="D49" i="2087"/>
  <c r="R48" i="2087"/>
  <c r="D48" i="2087"/>
  <c r="D46" i="2087"/>
  <c r="D45" i="2087"/>
  <c r="R44" i="2087"/>
  <c r="L28" i="2087" s="1"/>
  <c r="D28" i="2087" s="1"/>
  <c r="D44" i="2087"/>
  <c r="R42" i="2087"/>
  <c r="D42" i="2087"/>
  <c r="R41" i="2087"/>
  <c r="D41" i="2087"/>
  <c r="R40" i="2087"/>
  <c r="L8" i="2087" s="1"/>
  <c r="D8" i="2087" s="1"/>
  <c r="D40" i="2087"/>
  <c r="R39" i="2087"/>
  <c r="H39" i="2087"/>
  <c r="D39" i="2087"/>
  <c r="R38" i="2087"/>
  <c r="H38" i="2087"/>
  <c r="D38" i="2087"/>
  <c r="R37" i="2087"/>
  <c r="H37" i="2087"/>
  <c r="D37" i="2087"/>
  <c r="R36" i="2087"/>
  <c r="L10" i="2087" s="1"/>
  <c r="D10" i="2087" s="1"/>
  <c r="H36" i="2087"/>
  <c r="D36" i="2087"/>
  <c r="R35" i="2087"/>
  <c r="H35" i="2087"/>
  <c r="D35" i="2087"/>
  <c r="R34" i="2087"/>
  <c r="H34" i="2087"/>
  <c r="D34" i="2087"/>
  <c r="R33" i="2087"/>
  <c r="L19" i="2087" s="1"/>
  <c r="D19" i="2087" s="1"/>
  <c r="R32" i="2087"/>
  <c r="R31" i="2087"/>
  <c r="R30" i="2087"/>
  <c r="R29" i="2087"/>
  <c r="R28" i="2087"/>
  <c r="R27" i="2087"/>
  <c r="L27" i="2087"/>
  <c r="D27" i="2087"/>
  <c r="R26" i="2087"/>
  <c r="L26" i="2087"/>
  <c r="D26" i="2087"/>
  <c r="R25" i="2087"/>
  <c r="L25" i="2087"/>
  <c r="D25" i="2087"/>
  <c r="R24" i="2087"/>
  <c r="L24" i="2087"/>
  <c r="D24" i="2087"/>
  <c r="R23" i="2087"/>
  <c r="D23" i="2087"/>
  <c r="R22" i="2087"/>
  <c r="L22" i="2087"/>
  <c r="D22" i="2087"/>
  <c r="R21" i="2087"/>
  <c r="D21" i="2087"/>
  <c r="R20" i="2087"/>
  <c r="L20" i="2087"/>
  <c r="D20" i="2087"/>
  <c r="R19" i="2087"/>
  <c r="R18" i="2087"/>
  <c r="L18" i="2087"/>
  <c r="D18" i="2087" s="1"/>
  <c r="R17" i="2087"/>
  <c r="L17" i="2087"/>
  <c r="D17" i="2087"/>
  <c r="R16" i="2087"/>
  <c r="R15" i="2087"/>
  <c r="L15" i="2087"/>
  <c r="D15" i="2087" s="1"/>
  <c r="R14" i="2087"/>
  <c r="D14" i="2087"/>
  <c r="R13" i="2087"/>
  <c r="D13" i="2087"/>
  <c r="R12" i="2087"/>
  <c r="L12" i="2087"/>
  <c r="D12" i="2087"/>
  <c r="R11" i="2087"/>
  <c r="L11" i="2087"/>
  <c r="D11" i="2087"/>
  <c r="L9" i="2087"/>
  <c r="D9" i="2087"/>
  <c r="L7" i="2087"/>
  <c r="D7" i="2087"/>
  <c r="R6" i="2087"/>
  <c r="L16" i="2087" s="1"/>
  <c r="D16" i="2087" s="1"/>
  <c r="L6" i="2087"/>
  <c r="D6" i="2087"/>
  <c r="R5" i="2087"/>
  <c r="R4" i="2087"/>
  <c r="G49" i="2089" l="1"/>
  <c r="D54" i="2089"/>
  <c r="H14" i="2089" s="1"/>
  <c r="D29" i="2089"/>
  <c r="H13" i="2089" s="1"/>
  <c r="G49" i="2088"/>
  <c r="D54" i="2088"/>
  <c r="H14" i="2088" s="1"/>
  <c r="G49" i="2087"/>
  <c r="D54" i="2087"/>
  <c r="H14" i="2087" s="1"/>
  <c r="D29" i="2087"/>
  <c r="H13" i="2087" s="1"/>
  <c r="D29" i="2088"/>
  <c r="H13" i="2088" s="1"/>
  <c r="H15" i="2089" l="1"/>
  <c r="H29" i="2089" s="1"/>
  <c r="G51" i="2089" s="1"/>
  <c r="H15" i="2088"/>
  <c r="H29" i="2088" s="1"/>
  <c r="G51" i="2088" s="1"/>
  <c r="H15" i="2087"/>
  <c r="H29" i="2087" s="1"/>
  <c r="G51" i="2087" s="1"/>
  <c r="R52" i="2086"/>
  <c r="R51" i="2086"/>
  <c r="D50" i="2086"/>
  <c r="R49" i="2086"/>
  <c r="G49" i="2086"/>
  <c r="D49" i="2086"/>
  <c r="R48" i="2086"/>
  <c r="D48" i="2086"/>
  <c r="D46" i="2086"/>
  <c r="D45" i="2086"/>
  <c r="D44" i="2086"/>
  <c r="R42" i="2086"/>
  <c r="L6" i="2086" s="1"/>
  <c r="D6" i="2086" s="1"/>
  <c r="D42" i="2086"/>
  <c r="R41" i="2086"/>
  <c r="L7" i="2086" s="1"/>
  <c r="D7" i="2086" s="1"/>
  <c r="D41" i="2086"/>
  <c r="R40" i="2086"/>
  <c r="D40" i="2086"/>
  <c r="R39" i="2086"/>
  <c r="D39" i="2086"/>
  <c r="R38" i="2086"/>
  <c r="L9" i="2086" s="1"/>
  <c r="D9" i="2086" s="1"/>
  <c r="D38" i="2086"/>
  <c r="R37" i="2086"/>
  <c r="D37" i="2086"/>
  <c r="R36" i="2086"/>
  <c r="D36" i="2086"/>
  <c r="D54" i="2086" s="1"/>
  <c r="H14" i="2086" s="1"/>
  <c r="R35" i="2086"/>
  <c r="D35" i="2086"/>
  <c r="R34" i="2086"/>
  <c r="D34" i="2086"/>
  <c r="R33" i="2086"/>
  <c r="R32" i="2086"/>
  <c r="R31" i="2086"/>
  <c r="R30" i="2086"/>
  <c r="R29" i="2086"/>
  <c r="R28" i="2086"/>
  <c r="D28" i="2086"/>
  <c r="R27" i="2086"/>
  <c r="D27" i="2086"/>
  <c r="R26" i="2086"/>
  <c r="L26" i="2086"/>
  <c r="D26" i="2086"/>
  <c r="R25" i="2086"/>
  <c r="L25" i="2086"/>
  <c r="D25" i="2086"/>
  <c r="R24" i="2086"/>
  <c r="D24" i="2086"/>
  <c r="R23" i="2086"/>
  <c r="L23" i="2086"/>
  <c r="D23" i="2086"/>
  <c r="R22" i="2086"/>
  <c r="L22" i="2086"/>
  <c r="D22" i="2086"/>
  <c r="R21" i="2086"/>
  <c r="D21" i="2086"/>
  <c r="R20" i="2086"/>
  <c r="L20" i="2086"/>
  <c r="D20" i="2086"/>
  <c r="R19" i="2086"/>
  <c r="L19" i="2086"/>
  <c r="D19" i="2086"/>
  <c r="R18" i="2086"/>
  <c r="D18" i="2086"/>
  <c r="R17" i="2086"/>
  <c r="D17" i="2086"/>
  <c r="R16" i="2086"/>
  <c r="L16" i="2086"/>
  <c r="D16" i="2086" s="1"/>
  <c r="S15" i="2086"/>
  <c r="R15" i="2086"/>
  <c r="D15" i="2086"/>
  <c r="S14" i="2086"/>
  <c r="R14" i="2086"/>
  <c r="D14" i="2086"/>
  <c r="R13" i="2086"/>
  <c r="D13" i="2086"/>
  <c r="R12" i="2086"/>
  <c r="L12" i="2086"/>
  <c r="D12" i="2086"/>
  <c r="R11" i="2086"/>
  <c r="L11" i="2086"/>
  <c r="D11" i="2086"/>
  <c r="L10" i="2086"/>
  <c r="D10" i="2086" s="1"/>
  <c r="L8" i="2086"/>
  <c r="D8" i="2086"/>
  <c r="R6" i="2086"/>
  <c r="R5" i="2086"/>
  <c r="R4" i="2086"/>
  <c r="D29" i="2086" l="1"/>
  <c r="H13" i="2086" s="1"/>
  <c r="H15" i="2086" s="1"/>
  <c r="H29" i="2086" s="1"/>
  <c r="G51" i="2086" s="1"/>
</calcChain>
</file>

<file path=xl/sharedStrings.xml><?xml version="1.0" encoding="utf-8"?>
<sst xmlns="http://schemas.openxmlformats.org/spreadsheetml/2006/main" count="6987" uniqueCount="159">
  <si>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</si>
  <si>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</si>
  <si>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</si>
  <si>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</si>
  <si>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</si>
  <si>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</si>
  <si>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</si>
  <si>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</si>
  <si>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</si>
  <si>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</si>
  <si>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</si>
  <si>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</si>
  <si>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</si>
  <si>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</si>
  <si>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</si>
  <si>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</si>
  <si>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</si>
  <si>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</si>
  <si>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</si>
  <si>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</si>
  <si>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</si>
  <si>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</si>
  <si>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</si>
  <si>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</si>
  <si>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</si>
  <si>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</si>
  <si>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</si>
  <si>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</si>
  <si>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</si>
  <si>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</si>
  <si>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</si>
  <si>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</si>
  <si>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</si>
  <si>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</si>
  <si>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</si>
  <si>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</si>
  <si>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</si>
  <si>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</si>
  <si>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</si>
  <si>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</si>
  <si>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</si>
  <si>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</si>
  <si>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</si>
  <si>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</si>
  <si>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</si>
  <si>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</si>
  <si>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</si>
  <si>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</si>
  <si>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</si>
  <si>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</si>
  <si>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</si>
  <si>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</si>
  <si>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</si>
  <si>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</si>
  <si>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</si>
  <si>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</si>
  <si>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</si>
  <si>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</si>
  <si>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</si>
  <si>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</si>
  <si>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</si>
  <si>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</si>
  <si>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</si>
  <si>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</si>
  <si>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</si>
  <si>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</si>
  <si>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</si>
  <si>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</si>
  <si>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</si>
  <si>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</si>
  <si>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</si>
  <si>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</si>
  <si>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</si>
  <si>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</si>
  <si>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</si>
  <si>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</si>
  <si>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</si>
  <si>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</si>
  <si>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</si>
  <si>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</si>
  <si>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</si>
  <si>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</si>
  <si>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</si>
  <si>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</si>
  <si>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</si>
  <si>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</si>
  <si>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</si>
  <si>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</si>
  <si>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</si>
  <si>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</si>
  <si>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</si>
  <si>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</si>
  <si>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</si>
  <si>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</si>
  <si>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</si>
  <si>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</si>
  <si>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</si>
  <si>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</si>
  <si>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</si>
  <si>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</si>
  <si>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</si>
  <si>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</si>
  <si>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</si>
  <si>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</si>
  <si>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</si>
  <si>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</si>
  <si>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</si>
  <si>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</si>
  <si>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</si>
  <si>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</si>
  <si>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</si>
  <si>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</si>
  <si>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</si>
  <si>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</si>
  <si>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</si>
  <si>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</si>
  <si>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</si>
  <si>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</si>
  <si>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</si>
  <si>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</si>
  <si>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</si>
  <si>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</si>
  <si>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</si>
  <si>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</si>
  <si>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</si>
  <si>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</si>
  <si>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</si>
  <si>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</si>
  <si>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</si>
  <si>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</si>
  <si>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CB BOTT</t>
  </si>
  <si>
    <t>PL BOTT.</t>
  </si>
  <si>
    <t>BDO</t>
  </si>
  <si>
    <t>150203</t>
  </si>
  <si>
    <t>120727</t>
  </si>
  <si>
    <t xml:space="preserve"> BANK TRANSFER</t>
  </si>
  <si>
    <t>SOUND CHECK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</si>
  <si>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</si>
  <si>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</si>
  <si>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56834</t>
  </si>
  <si>
    <t>G-CASH</t>
  </si>
  <si>
    <r>
      <rPr>
        <u/>
        <sz val="11"/>
        <color rgb="FFFF0000"/>
        <rFont val="Calibri"/>
        <family val="2"/>
        <scheme val="minor"/>
      </rPr>
      <t xml:space="preserve">(SHORT) </t>
    </r>
    <r>
      <rPr>
        <sz val="11"/>
        <rFont val="Calibri"/>
        <family val="2"/>
        <scheme val="minor"/>
      </rPr>
      <t>/ OVER</t>
    </r>
  </si>
  <si>
    <t>PODIOTAN, AIR JOHN</t>
  </si>
  <si>
    <t xml:space="preserve">                           AIR JOHN PODIOTAN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</si>
  <si>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</si>
  <si>
    <t>43081</t>
  </si>
  <si>
    <t>51713</t>
  </si>
  <si>
    <t xml:space="preserve">PPG </t>
  </si>
  <si>
    <t>SMFC</t>
  </si>
  <si>
    <t>HSC</t>
  </si>
  <si>
    <t>MGYZ</t>
  </si>
  <si>
    <t>KRB</t>
  </si>
  <si>
    <t>SMZB</t>
  </si>
  <si>
    <t>SML500C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</si>
  <si>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</si>
  <si>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PNB</t>
  </si>
  <si>
    <t>BANK TRANSFER</t>
  </si>
  <si>
    <t>BALWARTE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</si>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</sst>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7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2" fillId="0" borderId="16" xfId="0" applyFont="1" applyBorder="1"/>
    <xf numFmtId="0" fontId="21" fillId="0" borderId="21" xfId="0" applyFont="1" applyBorder="1"/>
    <xf numFmtId="0" fontId="21" fillId="0" borderId="0" xfId="0" applyFont="1"/>
    <xf numFmtId="0" fontId="21" fillId="0" borderId="10" xfId="0" applyFont="1" applyBorder="1"/>
    <xf numFmtId="0" fontId="21" fillId="0" borderId="16" xfId="0" applyFont="1" applyBorder="1"/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21" fillId="0" borderId="16" xfId="0" applyNumberFormat="1" applyFont="1" applyBorder="1" applyAlignment="1">
      <alignment horizontal="left"/>
    </xf>
    <xf numFmtId="0" fontId="4" fillId="0" borderId="16" xfId="0" applyFont="1" applyFill="1" applyBorder="1"/>
    <xf numFmtId="49" fontId="21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165" fontId="23" fillId="0" borderId="6" xfId="0" applyNumberFormat="1" applyFont="1" applyBorder="1" applyAlignment="1">
      <alignment horizontal="left" vertical="center"/>
    </xf>
    <xf numFmtId="165" fontId="23" fillId="0" borderId="4" xfId="0" applyNumberFormat="1" applyFont="1" applyBorder="1" applyAlignment="1">
      <alignment horizontal="left" vertical="center"/>
    </xf>
    <xf numFmtId="165" fontId="23" fillId="0" borderId="7" xfId="0" applyNumberFormat="1" applyFont="1" applyBorder="1" applyAlignment="1">
      <alignment horizontal="left" vertical="center"/>
    </xf>
    <xf numFmtId="165" fontId="23" fillId="0" borderId="50" xfId="0" applyNumberFormat="1" applyFont="1" applyBorder="1" applyAlignment="1">
      <alignment horizontal="left" vertical="center"/>
    </xf>
    <xf numFmtId="165" fontId="23" fillId="0" borderId="51" xfId="0" applyNumberFormat="1" applyFont="1" applyBorder="1" applyAlignment="1">
      <alignment horizontal="left" vertical="center"/>
    </xf>
    <xf numFmtId="165" fontId="23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5C9F51-92B1-4D81-89A5-79AB9722C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972696-EF49-4A69-A96D-48B11D9C4C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D9AFE48-B9F0-40D4-A3A3-993CFFDF59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5B6B48-98D6-4FC7-91A8-CC7FE988D9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E35F63-64DD-49B8-A47B-66AB8DB57D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D17397-4B18-422D-987F-D9B07015E2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320186-313F-4B0E-9DA9-9E1EB975F6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210B45-69F0-40B6-A71C-B3C53CCE0C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E11DE24-F3B1-4258-8A6E-E58823E8BA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C84782-0407-4746-A5B5-E2D6E1C248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56961A-11BA-43E0-9982-2DFCF7EB26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F9EAA3-E133-4DCB-BF91-C97FDEC741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E9F02B-7F5A-4D87-B0FA-24B0C1275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E1A965-6079-4CD7-B332-17B091FA8D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C8B736-A340-4316-BF14-0267197AA9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880B96-AC6A-4ED7-B3C9-8EBF880F73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D92EB5-1E3C-4DFC-9D2A-61696F0FDB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7DF647-63BB-4681-B263-384F063FEA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F9F843-1848-4A49-A70F-2A43E187C6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C6F9A6-3299-4370-92D5-2FD376932B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04F89A-4C56-4D27-849B-889514C3F0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A68B97-95E6-4681-8043-ABA98F58E0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D39E0BB-2087-415E-99A6-15BFB688EC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8101C7-7CB1-44E8-A25D-58C4B4961E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3AD32D-79DC-4105-9D42-15939A1B2C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1E8CAC-51BC-436B-9BDD-C10308D25F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E9C207-0E3E-42C1-A1FE-176F548F88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42B1D4-4EE7-408D-AFD9-FB0EBB987C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4BF723-4369-483A-AB2E-16E5676670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0174D9-1B44-4331-982D-E1918D9443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F5F853-DEA1-4FB6-81C5-E307335896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4C98A8-E2D9-4EDB-A7B8-C1953DECB8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540F82-230C-4D8D-863E-8C6DAEDEB2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450176-86C6-4053-8DD4-551DFF42B7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54F6500-3FF9-4D6A-A7FE-FC89D5DFF5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B19628-CEFA-4756-A719-BEF3368F06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1FB72C-72DD-4886-9B7D-07EA21F3B3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B109B2-EF2C-4421-8042-E235F17F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87B547-975A-481B-8D6E-F990032585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40E566-44A4-488C-A4C3-E3FA838E63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47EB07-5713-4624-BC93-3836CA8D9E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48CC11-9871-436E-82DF-6CC7C5EBB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7DCF0EE-A4EF-4C4D-B2CA-47B05BFAD9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180D63-C24A-4EAB-B6BC-C35CA44AD4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46CFC7-28E1-4ED0-AF03-71D3F531DD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03A075-5BC4-44F9-AF04-0D921D09BF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3E4E3C-8F01-4826-A6B4-98ECAD0225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A1F95A-6580-4985-9115-56F0DF65E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03EC68-47D4-4AE6-9819-E46BC48188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859D9E-8E9D-47D5-8132-1A45D8368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D848ED-8DE9-47FF-BC89-3B9DC65662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FAE62A-2AD1-4B4A-8B8D-1C29F9397A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K25" sqref="K2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7E892-0B5C-4E84-8213-D4BEBB407C9A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0" t="s">
        <v>1</v>
      </c>
      <c r="O1" s="110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1" t="s">
        <v>7</v>
      </c>
      <c r="B4" s="112"/>
      <c r="C4" s="112"/>
      <c r="D4" s="113"/>
      <c r="F4" s="114" t="s">
        <v>8</v>
      </c>
      <c r="G4" s="116"/>
      <c r="H4" s="118" t="s">
        <v>9</v>
      </c>
      <c r="I4" s="120"/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5"/>
      <c r="B6" s="16"/>
      <c r="C6" s="10"/>
      <c r="D6" s="13">
        <f t="shared" ref="D6:D28" si="1">C6*L6</f>
        <v>0</v>
      </c>
      <c r="F6" s="127" t="s">
        <v>16</v>
      </c>
      <c r="G6" s="129"/>
      <c r="H6" s="130"/>
      <c r="I6" s="130"/>
      <c r="J6" s="1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5"/>
      <c r="B7" s="16"/>
      <c r="C7" s="10"/>
      <c r="D7" s="13">
        <f t="shared" si="1"/>
        <v>0</v>
      </c>
      <c r="F7" s="128"/>
      <c r="G7" s="132"/>
      <c r="H7" s="133"/>
      <c r="I7" s="133"/>
      <c r="J7" s="13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5"/>
      <c r="B8" s="16"/>
      <c r="C8" s="10"/>
      <c r="D8" s="13">
        <f t="shared" si="1"/>
        <v>0</v>
      </c>
      <c r="F8" s="135" t="s">
        <v>21</v>
      </c>
      <c r="G8" s="137"/>
      <c r="H8" s="138"/>
      <c r="I8" s="138"/>
      <c r="J8" s="1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5"/>
      <c r="B9" s="16"/>
      <c r="C9" s="10"/>
      <c r="D9" s="13">
        <f t="shared" si="1"/>
        <v>0</v>
      </c>
      <c r="F9" s="128"/>
      <c r="G9" s="140"/>
      <c r="H9" s="141"/>
      <c r="I9" s="141"/>
      <c r="J9" s="1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5"/>
      <c r="C10" s="10"/>
      <c r="D10" s="13">
        <f t="shared" si="1"/>
        <v>0</v>
      </c>
      <c r="F10" s="127" t="s">
        <v>26</v>
      </c>
      <c r="G10" s="143"/>
      <c r="H10" s="144"/>
      <c r="I10" s="144"/>
      <c r="J10" s="145"/>
      <c r="K10" s="8"/>
      <c r="L10" s="6">
        <f>R36</f>
        <v>972</v>
      </c>
      <c r="P10" s="4"/>
      <c r="Q10" s="4"/>
      <c r="R10" s="5"/>
    </row>
    <row r="11" spans="1:19" ht="15.75" x14ac:dyDescent="0.25">
      <c r="A11" s="125"/>
      <c r="B11" s="17"/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5"/>
      <c r="B12" s="17"/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5"/>
      <c r="B13" s="17"/>
      <c r="C13" s="10"/>
      <c r="D13" s="48">
        <f t="shared" si="1"/>
        <v>0</v>
      </c>
      <c r="F13" s="149" t="s">
        <v>36</v>
      </c>
      <c r="G13" s="150"/>
      <c r="H13" s="151">
        <f>D29</f>
        <v>0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5"/>
      <c r="B14" s="14"/>
      <c r="C14" s="10"/>
      <c r="D14" s="31">
        <f t="shared" si="1"/>
        <v>0</v>
      </c>
      <c r="F14" s="154" t="s">
        <v>38</v>
      </c>
      <c r="G14" s="155"/>
      <c r="H14" s="156">
        <f>D54</f>
        <v>0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5"/>
      <c r="B15" s="14"/>
      <c r="C15" s="10"/>
      <c r="D15" s="31">
        <f t="shared" si="1"/>
        <v>0</v>
      </c>
      <c r="F15" s="159" t="s">
        <v>39</v>
      </c>
      <c r="G15" s="150"/>
      <c r="H15" s="160">
        <f>H13-H14</f>
        <v>0</v>
      </c>
      <c r="I15" s="161"/>
      <c r="J15" s="16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3"/>
      <c r="I16" s="163"/>
      <c r="J16" s="16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19"/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14"/>
      <c r="C19" s="10"/>
      <c r="D19" s="48">
        <f t="shared" si="1"/>
        <v>0</v>
      </c>
      <c r="F19" s="56"/>
      <c r="G19" s="68" t="s">
        <v>49</v>
      </c>
      <c r="H19" s="182"/>
      <c r="I19" s="182"/>
      <c r="J19" s="18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5"/>
      <c r="B20" s="46"/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5"/>
      <c r="B22" s="46"/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/>
      <c r="C23" s="10"/>
      <c r="D23" s="48">
        <f t="shared" si="1"/>
        <v>0</v>
      </c>
      <c r="F23" s="77"/>
      <c r="G23" s="78"/>
      <c r="H23" s="187"/>
      <c r="I23" s="188"/>
      <c r="J23" s="18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/>
      <c r="C24" s="10"/>
      <c r="D24" s="48">
        <f t="shared" si="1"/>
        <v>0</v>
      </c>
      <c r="F24" s="38"/>
      <c r="G24" s="37"/>
      <c r="H24" s="187"/>
      <c r="I24" s="188"/>
      <c r="J24" s="18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5"/>
      <c r="B27" s="14"/>
      <c r="C27" s="10"/>
      <c r="D27" s="44">
        <f t="shared" si="1"/>
        <v>0</v>
      </c>
      <c r="F27" s="25"/>
      <c r="G27" s="79"/>
      <c r="H27" s="195"/>
      <c r="I27" s="196"/>
      <c r="J27" s="19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/>
      <c r="C28" s="10"/>
      <c r="D28" s="48">
        <f t="shared" si="1"/>
        <v>0</v>
      </c>
      <c r="F28" s="89"/>
      <c r="G28" s="61"/>
      <c r="H28" s="198"/>
      <c r="I28" s="199"/>
      <c r="J28" s="20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4" t="s">
        <v>36</v>
      </c>
      <c r="B29" s="165"/>
      <c r="C29" s="166"/>
      <c r="D29" s="170">
        <f>SUM(D6:D28)</f>
        <v>0</v>
      </c>
      <c r="F29" s="172" t="s">
        <v>54</v>
      </c>
      <c r="G29" s="173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4"/>
      <c r="I34" s="205"/>
      <c r="J34" s="20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/>
      <c r="H35" s="204"/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/>
      <c r="I36" s="205"/>
      <c r="J36" s="20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4"/>
      <c r="I37" s="205"/>
      <c r="J37" s="20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5"/>
      <c r="B38" s="29" t="s">
        <v>67</v>
      </c>
      <c r="C38" s="54"/>
      <c r="D38" s="12">
        <f>C38*84</f>
        <v>0</v>
      </c>
      <c r="F38" s="30">
        <v>50</v>
      </c>
      <c r="G38" s="39"/>
      <c r="H38" s="204"/>
      <c r="I38" s="205"/>
      <c r="J38" s="20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/>
      <c r="H39" s="204"/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4"/>
      <c r="I40" s="205"/>
      <c r="J40" s="20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/>
      <c r="H42" s="205"/>
      <c r="I42" s="205"/>
      <c r="J42" s="20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87" t="s">
        <v>82</v>
      </c>
      <c r="H43" s="210" t="s">
        <v>13</v>
      </c>
      <c r="I43" s="211"/>
      <c r="J43" s="212"/>
      <c r="K43" s="21"/>
      <c r="P43" s="4"/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/>
      <c r="G44" s="75"/>
      <c r="H44" s="188"/>
      <c r="I44" s="188"/>
      <c r="J44" s="188"/>
      <c r="K44" s="21"/>
      <c r="P44" s="4"/>
      <c r="Q44" s="4"/>
      <c r="R44" s="5"/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75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0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/>
      <c r="D48" s="12">
        <f>C48*78</f>
        <v>0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/>
      <c r="D50" s="12">
        <f>C50*1.5</f>
        <v>0</v>
      </c>
      <c r="F50" s="230"/>
      <c r="G50" s="179"/>
      <c r="H50" s="180"/>
      <c r="I50" s="180"/>
      <c r="J50" s="181"/>
      <c r="P50" s="4"/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106</v>
      </c>
      <c r="G51" s="233">
        <f>G49-H29</f>
        <v>0</v>
      </c>
      <c r="H51" s="234"/>
      <c r="I51" s="234"/>
      <c r="J51" s="23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8"/>
      <c r="B52" s="29"/>
      <c r="C52" s="33"/>
      <c r="D52" s="45"/>
      <c r="F52" s="232"/>
      <c r="G52" s="236"/>
      <c r="H52" s="237"/>
      <c r="I52" s="237"/>
      <c r="J52" s="23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0</v>
      </c>
      <c r="F54" s="21"/>
      <c r="J54" s="34"/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AEBBA-D316-42F4-9EC3-07F8BAADED3C}">
  <dimension ref="A1:R59"/>
  <sheetViews>
    <sheetView topLeftCell="A34" zoomScaleNormal="100" zoomScaleSheetLayoutView="85" workbookViewId="0">
      <selection activeCell="D64" sqref="D6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0" t="s">
        <v>1</v>
      </c>
      <c r="O1" s="11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1" t="s">
        <v>7</v>
      </c>
      <c r="B4" s="112"/>
      <c r="C4" s="112"/>
      <c r="D4" s="113"/>
      <c r="F4" s="114" t="s">
        <v>8</v>
      </c>
      <c r="G4" s="116">
        <v>1</v>
      </c>
      <c r="H4" s="118" t="s">
        <v>9</v>
      </c>
      <c r="I4" s="120">
        <v>46174</v>
      </c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5"/>
      <c r="B6" s="16" t="s">
        <v>15</v>
      </c>
      <c r="C6" s="10">
        <v>570</v>
      </c>
      <c r="D6" s="13">
        <f t="shared" ref="D6:D28" si="1">C6*L6</f>
        <v>433770</v>
      </c>
      <c r="F6" s="127" t="s">
        <v>16</v>
      </c>
      <c r="G6" s="129" t="s">
        <v>142</v>
      </c>
      <c r="H6" s="130"/>
      <c r="I6" s="130"/>
      <c r="J6" s="13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5"/>
      <c r="B7" s="16" t="s">
        <v>18</v>
      </c>
      <c r="C7" s="10">
        <v>10</v>
      </c>
      <c r="D7" s="13">
        <f t="shared" si="1"/>
        <v>7810</v>
      </c>
      <c r="F7" s="128"/>
      <c r="G7" s="132"/>
      <c r="H7" s="133"/>
      <c r="I7" s="133"/>
      <c r="J7" s="13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5"/>
      <c r="B8" s="16" t="s">
        <v>20</v>
      </c>
      <c r="C8" s="10"/>
      <c r="D8" s="13">
        <f t="shared" si="1"/>
        <v>0</v>
      </c>
      <c r="F8" s="135" t="s">
        <v>21</v>
      </c>
      <c r="G8" s="137" t="s">
        <v>99</v>
      </c>
      <c r="H8" s="138"/>
      <c r="I8" s="138"/>
      <c r="J8" s="1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5"/>
      <c r="B9" s="16" t="s">
        <v>23</v>
      </c>
      <c r="C9" s="10">
        <v>13</v>
      </c>
      <c r="D9" s="13">
        <f t="shared" si="1"/>
        <v>9529</v>
      </c>
      <c r="F9" s="128"/>
      <c r="G9" s="140"/>
      <c r="H9" s="141"/>
      <c r="I9" s="141"/>
      <c r="J9" s="1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5"/>
      <c r="B10" t="s">
        <v>25</v>
      </c>
      <c r="C10" s="10">
        <v>10</v>
      </c>
      <c r="D10" s="13">
        <f t="shared" si="1"/>
        <v>10320</v>
      </c>
      <c r="F10" s="127" t="s">
        <v>26</v>
      </c>
      <c r="G10" s="143" t="s">
        <v>108</v>
      </c>
      <c r="H10" s="144"/>
      <c r="I10" s="144"/>
      <c r="J10" s="145"/>
      <c r="K10" s="8"/>
      <c r="L10" s="6">
        <f>R36</f>
        <v>1032</v>
      </c>
      <c r="P10" s="4"/>
      <c r="Q10" s="4"/>
      <c r="R10" s="5"/>
    </row>
    <row r="11" spans="1:18" ht="15.75" x14ac:dyDescent="0.25">
      <c r="A11" s="125"/>
      <c r="B11" s="17" t="s">
        <v>28</v>
      </c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5"/>
      <c r="B12" s="17" t="s">
        <v>30</v>
      </c>
      <c r="C12" s="10">
        <v>10</v>
      </c>
      <c r="D12" s="48">
        <f t="shared" si="1"/>
        <v>9920</v>
      </c>
      <c r="F12" s="146" t="s">
        <v>33</v>
      </c>
      <c r="G12" s="147"/>
      <c r="H12" s="147"/>
      <c r="I12" s="147"/>
      <c r="J12" s="1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5"/>
      <c r="B13" s="17" t="s">
        <v>32</v>
      </c>
      <c r="C13" s="10">
        <v>6</v>
      </c>
      <c r="D13" s="48">
        <f t="shared" si="1"/>
        <v>1842</v>
      </c>
      <c r="F13" s="149" t="s">
        <v>36</v>
      </c>
      <c r="G13" s="150"/>
      <c r="H13" s="151">
        <f>D29</f>
        <v>475222.5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5"/>
      <c r="B14" s="14" t="s">
        <v>35</v>
      </c>
      <c r="C14" s="10">
        <v>12</v>
      </c>
      <c r="D14" s="31">
        <f t="shared" si="1"/>
        <v>132</v>
      </c>
      <c r="F14" s="154" t="s">
        <v>38</v>
      </c>
      <c r="G14" s="155"/>
      <c r="H14" s="156">
        <f>D54</f>
        <v>54630.75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5"/>
      <c r="B15" s="14" t="s">
        <v>119</v>
      </c>
      <c r="C15" s="10"/>
      <c r="D15" s="31">
        <f t="shared" si="1"/>
        <v>0</v>
      </c>
      <c r="F15" s="159" t="s">
        <v>39</v>
      </c>
      <c r="G15" s="150"/>
      <c r="H15" s="160">
        <f>H13-H14</f>
        <v>420591.75</v>
      </c>
      <c r="I15" s="161"/>
      <c r="J15" s="16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5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63">
        <v>2760</v>
      </c>
      <c r="I16" s="163"/>
      <c r="J16" s="16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3"/>
      <c r="I19" s="163"/>
      <c r="J19" s="1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 t="s">
        <v>130</v>
      </c>
      <c r="C21" s="10">
        <v>22</v>
      </c>
      <c r="D21" s="48">
        <f t="shared" si="1"/>
        <v>491.33333333333331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f>500/24+1.5</f>
        <v>22.333333333333332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5"/>
      <c r="B22" s="46" t="s">
        <v>103</v>
      </c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 t="s">
        <v>131</v>
      </c>
      <c r="C23" s="10">
        <v>1</v>
      </c>
      <c r="D23" s="48">
        <f t="shared" si="1"/>
        <v>108.16666666666667</v>
      </c>
      <c r="F23" s="76"/>
      <c r="G23" s="78"/>
      <c r="H23" s="245"/>
      <c r="I23" s="246"/>
      <c r="J23" s="246"/>
      <c r="L23" s="47">
        <f>622/6+4.5</f>
        <v>108.16666666666667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 t="s">
        <v>125</v>
      </c>
      <c r="C24" s="10"/>
      <c r="D24" s="48">
        <f t="shared" si="1"/>
        <v>0</v>
      </c>
      <c r="F24" s="76"/>
      <c r="G24" s="78"/>
      <c r="H24" s="245"/>
      <c r="I24" s="246"/>
      <c r="J24" s="24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 t="s">
        <v>126</v>
      </c>
      <c r="C26" s="10"/>
      <c r="D26" s="48">
        <f t="shared" si="1"/>
        <v>0</v>
      </c>
      <c r="F26" s="74" t="s">
        <v>136</v>
      </c>
      <c r="G26" s="65">
        <v>10819</v>
      </c>
      <c r="H26" s="188">
        <v>68780</v>
      </c>
      <c r="I26" s="188"/>
      <c r="J26" s="18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5"/>
      <c r="B27" s="14" t="s">
        <v>127</v>
      </c>
      <c r="C27" s="10"/>
      <c r="D27" s="44">
        <f t="shared" si="1"/>
        <v>0</v>
      </c>
      <c r="F27" s="71"/>
      <c r="G27" s="94"/>
      <c r="H27" s="247"/>
      <c r="I27" s="248"/>
      <c r="J27" s="24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 t="s">
        <v>92</v>
      </c>
      <c r="C28" s="10"/>
      <c r="D28" s="48">
        <f t="shared" si="1"/>
        <v>0</v>
      </c>
      <c r="F28" s="92"/>
      <c r="G28" s="61"/>
      <c r="H28" s="198"/>
      <c r="I28" s="199"/>
      <c r="J28" s="20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4" t="s">
        <v>36</v>
      </c>
      <c r="B29" s="165"/>
      <c r="C29" s="166"/>
      <c r="D29" s="170">
        <f>SUM(D6:D28)</f>
        <v>475222.5</v>
      </c>
      <c r="F29" s="172" t="s">
        <v>54</v>
      </c>
      <c r="G29" s="173"/>
      <c r="H29" s="176">
        <f>H15-H16-H17-H18-H19-H20-H22-H23-H24+H26+H27+H28</f>
        <v>486611.75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116</v>
      </c>
      <c r="H34" s="204">
        <f t="shared" ref="H34:H39" si="2">F34*G34</f>
        <v>116000</v>
      </c>
      <c r="I34" s="205"/>
      <c r="J34" s="20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>
        <v>9</v>
      </c>
      <c r="H35" s="204">
        <f t="shared" si="2"/>
        <v>4500</v>
      </c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204">
        <f t="shared" si="2"/>
        <v>0</v>
      </c>
      <c r="I36" s="205"/>
      <c r="J36" s="20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4" t="s">
        <v>71</v>
      </c>
      <c r="B37" s="28" t="s">
        <v>65</v>
      </c>
      <c r="C37" s="53">
        <v>440</v>
      </c>
      <c r="D37" s="12">
        <f>C37*111</f>
        <v>48840</v>
      </c>
      <c r="F37" s="12">
        <v>100</v>
      </c>
      <c r="G37" s="39">
        <v>2</v>
      </c>
      <c r="H37" s="204">
        <f t="shared" si="2"/>
        <v>200</v>
      </c>
      <c r="I37" s="205"/>
      <c r="J37" s="20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5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204">
        <f t="shared" si="2"/>
        <v>0</v>
      </c>
      <c r="I38" s="205"/>
      <c r="J38" s="20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6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04">
        <f t="shared" si="2"/>
        <v>0</v>
      </c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04"/>
      <c r="I40" s="205"/>
      <c r="J40" s="20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5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6"/>
      <c r="B42" s="27" t="s">
        <v>69</v>
      </c>
      <c r="C42" s="11">
        <v>7</v>
      </c>
      <c r="D42" s="12">
        <f>C42*2.25</f>
        <v>15.75</v>
      </c>
      <c r="F42" s="39" t="s">
        <v>78</v>
      </c>
      <c r="G42" s="204">
        <v>80</v>
      </c>
      <c r="H42" s="205"/>
      <c r="I42" s="205"/>
      <c r="J42" s="20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94" t="s">
        <v>82</v>
      </c>
      <c r="H43" s="210" t="s">
        <v>13</v>
      </c>
      <c r="I43" s="211"/>
      <c r="J43" s="21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8"/>
      <c r="B44" s="27" t="s">
        <v>65</v>
      </c>
      <c r="C44" s="10">
        <v>14</v>
      </c>
      <c r="D44" s="12">
        <f>C44*120</f>
        <v>1680</v>
      </c>
      <c r="F44" s="37" t="s">
        <v>132</v>
      </c>
      <c r="G44" s="62" t="s">
        <v>133</v>
      </c>
      <c r="H44" s="188">
        <v>317788</v>
      </c>
      <c r="I44" s="188"/>
      <c r="J44" s="18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 t="s">
        <v>132</v>
      </c>
      <c r="G45" s="62" t="s">
        <v>134</v>
      </c>
      <c r="H45" s="188">
        <v>13533</v>
      </c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0"/>
      <c r="D46" s="12">
        <f>C46*1.5</f>
        <v>0</v>
      </c>
      <c r="F46" s="37"/>
      <c r="G46" s="107" t="s">
        <v>135</v>
      </c>
      <c r="H46" s="188">
        <v>33800</v>
      </c>
      <c r="I46" s="188"/>
      <c r="J46" s="188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>
        <v>16</v>
      </c>
      <c r="D48" s="12">
        <f>C48*78</f>
        <v>1248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>
        <v>26</v>
      </c>
      <c r="D49" s="12">
        <f>C49*42</f>
        <v>1092</v>
      </c>
      <c r="F49" s="229" t="s">
        <v>85</v>
      </c>
      <c r="G49" s="176">
        <f>H34+H35+H36+H37+H38+H39+H40+H41+G42+H44+H45+H46</f>
        <v>485901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>
        <v>19</v>
      </c>
      <c r="D50" s="12">
        <f>C50*1.5</f>
        <v>28.5</v>
      </c>
      <c r="F50" s="230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138</v>
      </c>
      <c r="G51" s="239">
        <f>G49-H29</f>
        <v>-710.75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8"/>
      <c r="B52" s="29"/>
      <c r="C52" s="33"/>
      <c r="D52" s="45"/>
      <c r="F52" s="232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54630.75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D0300-D5DF-4ECC-B875-3DCA2AF990E5}">
  <dimension ref="A1:R59"/>
  <sheetViews>
    <sheetView topLeftCell="A22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0" t="s">
        <v>1</v>
      </c>
      <c r="O1" s="11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1" t="s">
        <v>7</v>
      </c>
      <c r="B4" s="112"/>
      <c r="C4" s="112"/>
      <c r="D4" s="113"/>
      <c r="F4" s="114" t="s">
        <v>8</v>
      </c>
      <c r="G4" s="116">
        <v>2</v>
      </c>
      <c r="H4" s="118" t="s">
        <v>9</v>
      </c>
      <c r="I4" s="120">
        <v>46174</v>
      </c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5"/>
      <c r="B6" s="16" t="s">
        <v>15</v>
      </c>
      <c r="C6" s="10">
        <v>275</v>
      </c>
      <c r="D6" s="13">
        <f t="shared" ref="D6:D28" si="1">C6*L6</f>
        <v>209275</v>
      </c>
      <c r="F6" s="127" t="s">
        <v>16</v>
      </c>
      <c r="G6" s="129" t="s">
        <v>107</v>
      </c>
      <c r="H6" s="130"/>
      <c r="I6" s="130"/>
      <c r="J6" s="13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5"/>
      <c r="B7" s="16" t="s">
        <v>18</v>
      </c>
      <c r="C7" s="10">
        <v>6</v>
      </c>
      <c r="D7" s="13">
        <f t="shared" si="1"/>
        <v>4686</v>
      </c>
      <c r="F7" s="128"/>
      <c r="G7" s="132"/>
      <c r="H7" s="133"/>
      <c r="I7" s="133"/>
      <c r="J7" s="13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5"/>
      <c r="B8" s="16" t="s">
        <v>20</v>
      </c>
      <c r="C8" s="10"/>
      <c r="D8" s="13">
        <f t="shared" si="1"/>
        <v>0</v>
      </c>
      <c r="F8" s="135" t="s">
        <v>21</v>
      </c>
      <c r="G8" s="137" t="s">
        <v>100</v>
      </c>
      <c r="H8" s="138"/>
      <c r="I8" s="138"/>
      <c r="J8" s="1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5"/>
      <c r="B9" s="16" t="s">
        <v>23</v>
      </c>
      <c r="C9" s="10">
        <v>40</v>
      </c>
      <c r="D9" s="13">
        <f t="shared" si="1"/>
        <v>29320</v>
      </c>
      <c r="F9" s="128"/>
      <c r="G9" s="140"/>
      <c r="H9" s="141"/>
      <c r="I9" s="141"/>
      <c r="J9" s="1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5"/>
      <c r="B10" t="s">
        <v>25</v>
      </c>
      <c r="C10" s="10"/>
      <c r="D10" s="13">
        <f t="shared" si="1"/>
        <v>0</v>
      </c>
      <c r="F10" s="127" t="s">
        <v>26</v>
      </c>
      <c r="G10" s="143" t="s">
        <v>101</v>
      </c>
      <c r="H10" s="144"/>
      <c r="I10" s="144"/>
      <c r="J10" s="145"/>
      <c r="K10" s="8"/>
      <c r="L10" s="6">
        <f>R36</f>
        <v>1032</v>
      </c>
      <c r="P10" s="4"/>
      <c r="Q10" s="4"/>
      <c r="R10" s="5"/>
    </row>
    <row r="11" spans="1:18" ht="15.75" x14ac:dyDescent="0.25">
      <c r="A11" s="125"/>
      <c r="B11" s="17" t="s">
        <v>28</v>
      </c>
      <c r="C11" s="10">
        <v>1</v>
      </c>
      <c r="D11" s="13">
        <f t="shared" si="1"/>
        <v>1170</v>
      </c>
      <c r="F11" s="128"/>
      <c r="G11" s="140"/>
      <c r="H11" s="141"/>
      <c r="I11" s="141"/>
      <c r="J11" s="1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5"/>
      <c r="B12" s="17" t="s">
        <v>30</v>
      </c>
      <c r="C12" s="10">
        <v>1</v>
      </c>
      <c r="D12" s="48">
        <f t="shared" si="1"/>
        <v>992</v>
      </c>
      <c r="F12" s="146" t="s">
        <v>33</v>
      </c>
      <c r="G12" s="147"/>
      <c r="H12" s="147"/>
      <c r="I12" s="147"/>
      <c r="J12" s="1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5"/>
      <c r="B13" s="17" t="s">
        <v>32</v>
      </c>
      <c r="C13" s="10">
        <v>3</v>
      </c>
      <c r="D13" s="48">
        <f t="shared" si="1"/>
        <v>921</v>
      </c>
      <c r="F13" s="149" t="s">
        <v>36</v>
      </c>
      <c r="G13" s="150"/>
      <c r="H13" s="151">
        <f>D29</f>
        <v>247146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5"/>
      <c r="B14" s="14" t="s">
        <v>35</v>
      </c>
      <c r="C14" s="10">
        <v>12</v>
      </c>
      <c r="D14" s="31">
        <f t="shared" si="1"/>
        <v>132</v>
      </c>
      <c r="F14" s="154" t="s">
        <v>38</v>
      </c>
      <c r="G14" s="155"/>
      <c r="H14" s="156">
        <f>D54</f>
        <v>36182.25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5"/>
      <c r="B15" s="14" t="s">
        <v>119</v>
      </c>
      <c r="C15" s="10"/>
      <c r="D15" s="31">
        <f t="shared" si="1"/>
        <v>0</v>
      </c>
      <c r="F15" s="159" t="s">
        <v>39</v>
      </c>
      <c r="G15" s="150"/>
      <c r="H15" s="160">
        <f>H13-H14</f>
        <v>210963.75</v>
      </c>
      <c r="I15" s="161"/>
      <c r="J15" s="16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5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63">
        <v>696</v>
      </c>
      <c r="I16" s="163"/>
      <c r="J16" s="16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9"/>
      <c r="I19" s="249"/>
      <c r="J19" s="2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5"/>
      <c r="B22" s="46" t="s">
        <v>103</v>
      </c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 t="s">
        <v>118</v>
      </c>
      <c r="C23" s="10"/>
      <c r="D23" s="48">
        <f t="shared" si="1"/>
        <v>0</v>
      </c>
      <c r="F23" s="77"/>
      <c r="G23" s="78"/>
      <c r="H23" s="250"/>
      <c r="I23" s="186"/>
      <c r="J23" s="1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 t="s">
        <v>125</v>
      </c>
      <c r="C24" s="10"/>
      <c r="D24" s="48">
        <f t="shared" si="1"/>
        <v>0</v>
      </c>
      <c r="F24" s="38"/>
      <c r="G24" s="37"/>
      <c r="H24" s="187"/>
      <c r="I24" s="188"/>
      <c r="J24" s="1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 t="s">
        <v>126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5"/>
      <c r="B27" s="14" t="s">
        <v>127</v>
      </c>
      <c r="C27" s="10"/>
      <c r="D27" s="44">
        <f t="shared" si="1"/>
        <v>0</v>
      </c>
      <c r="F27" s="25"/>
      <c r="G27" s="79"/>
      <c r="H27" s="195"/>
      <c r="I27" s="196"/>
      <c r="J27" s="19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 t="s">
        <v>92</v>
      </c>
      <c r="C28" s="10"/>
      <c r="D28" s="48">
        <f t="shared" si="1"/>
        <v>0</v>
      </c>
      <c r="F28" s="92"/>
      <c r="G28" s="61"/>
      <c r="H28" s="198"/>
      <c r="I28" s="199"/>
      <c r="J28" s="20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4" t="s">
        <v>36</v>
      </c>
      <c r="B29" s="165"/>
      <c r="C29" s="166"/>
      <c r="D29" s="170">
        <f>SUM(D6:D28)</f>
        <v>247146</v>
      </c>
      <c r="F29" s="172" t="s">
        <v>54</v>
      </c>
      <c r="G29" s="173"/>
      <c r="H29" s="176">
        <f>H15-H16-H17-H18-H19-H20-H22-H23-H24+H26+H27</f>
        <v>210267.75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186</v>
      </c>
      <c r="H34" s="204">
        <f>F34*G34</f>
        <v>186000</v>
      </c>
      <c r="I34" s="205"/>
      <c r="J34" s="20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>
        <v>47</v>
      </c>
      <c r="H35" s="204">
        <f>F35*G35</f>
        <v>23500</v>
      </c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204">
        <f t="shared" ref="H36:H39" si="2">F36*G36</f>
        <v>0</v>
      </c>
      <c r="I36" s="205"/>
      <c r="J36" s="20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4" t="s">
        <v>71</v>
      </c>
      <c r="B37" s="28" t="s">
        <v>65</v>
      </c>
      <c r="C37" s="53">
        <v>312</v>
      </c>
      <c r="D37" s="12">
        <f>C37*111</f>
        <v>34632</v>
      </c>
      <c r="F37" s="12">
        <v>100</v>
      </c>
      <c r="G37" s="39">
        <v>3</v>
      </c>
      <c r="H37" s="204">
        <f t="shared" si="2"/>
        <v>300</v>
      </c>
      <c r="I37" s="205"/>
      <c r="J37" s="20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5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204">
        <f t="shared" si="2"/>
        <v>50</v>
      </c>
      <c r="I38" s="205"/>
      <c r="J38" s="20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6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04">
        <f t="shared" si="2"/>
        <v>0</v>
      </c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04"/>
      <c r="I40" s="205"/>
      <c r="J40" s="20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5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6"/>
      <c r="B42" s="27" t="s">
        <v>69</v>
      </c>
      <c r="C42" s="11">
        <v>7</v>
      </c>
      <c r="D42" s="12">
        <f>C42*2.25</f>
        <v>15.75</v>
      </c>
      <c r="F42" s="39" t="s">
        <v>78</v>
      </c>
      <c r="G42" s="204">
        <v>242</v>
      </c>
      <c r="H42" s="205"/>
      <c r="I42" s="205"/>
      <c r="J42" s="20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94" t="s">
        <v>82</v>
      </c>
      <c r="H43" s="210" t="s">
        <v>13</v>
      </c>
      <c r="I43" s="211"/>
      <c r="J43" s="21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8"/>
      <c r="B44" s="27" t="s">
        <v>65</v>
      </c>
      <c r="C44" s="10">
        <v>2</v>
      </c>
      <c r="D44" s="12">
        <f>C44*120</f>
        <v>240</v>
      </c>
      <c r="F44" s="37"/>
      <c r="G44" s="75"/>
      <c r="H44" s="188"/>
      <c r="I44" s="188"/>
      <c r="J44" s="18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75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0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210092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80">
        <v>3</v>
      </c>
      <c r="D50" s="12">
        <f>C50*1.5</f>
        <v>4.5</v>
      </c>
      <c r="F50" s="230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137</v>
      </c>
      <c r="G51" s="239">
        <f>G49-H29</f>
        <v>-175.75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8"/>
      <c r="B52" s="29"/>
      <c r="C52" s="33"/>
      <c r="D52" s="45"/>
      <c r="F52" s="232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36182.25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5910C-4766-4062-B66C-D11AF49AE199}">
  <dimension ref="A1:R59"/>
  <sheetViews>
    <sheetView topLeftCell="A28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0" t="s">
        <v>1</v>
      </c>
      <c r="O1" s="110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1" t="s">
        <v>7</v>
      </c>
      <c r="B4" s="112"/>
      <c r="C4" s="112"/>
      <c r="D4" s="113"/>
      <c r="F4" s="114" t="s">
        <v>8</v>
      </c>
      <c r="G4" s="116">
        <v>3</v>
      </c>
      <c r="H4" s="118" t="s">
        <v>9</v>
      </c>
      <c r="I4" s="120">
        <v>46174</v>
      </c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5"/>
      <c r="B6" s="16" t="s">
        <v>15</v>
      </c>
      <c r="C6" s="10">
        <v>307</v>
      </c>
      <c r="D6" s="13">
        <f t="shared" ref="D6:D28" si="1">C6*L6</f>
        <v>233627</v>
      </c>
      <c r="F6" s="127" t="s">
        <v>16</v>
      </c>
      <c r="G6" s="129" t="s">
        <v>115</v>
      </c>
      <c r="H6" s="130"/>
      <c r="I6" s="130"/>
      <c r="J6" s="13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5"/>
      <c r="B7" s="16" t="s">
        <v>18</v>
      </c>
      <c r="C7" s="10">
        <v>6</v>
      </c>
      <c r="D7" s="13">
        <f t="shared" si="1"/>
        <v>4686</v>
      </c>
      <c r="F7" s="128"/>
      <c r="G7" s="132"/>
      <c r="H7" s="133"/>
      <c r="I7" s="133"/>
      <c r="J7" s="13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5"/>
      <c r="B8" s="16" t="s">
        <v>20</v>
      </c>
      <c r="C8" s="10"/>
      <c r="D8" s="13">
        <f t="shared" si="1"/>
        <v>0</v>
      </c>
      <c r="F8" s="135" t="s">
        <v>21</v>
      </c>
      <c r="G8" s="137" t="s">
        <v>109</v>
      </c>
      <c r="H8" s="138"/>
      <c r="I8" s="138"/>
      <c r="J8" s="1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5"/>
      <c r="B9" s="16" t="s">
        <v>23</v>
      </c>
      <c r="C9" s="10">
        <v>25</v>
      </c>
      <c r="D9" s="13">
        <f t="shared" si="1"/>
        <v>18325</v>
      </c>
      <c r="F9" s="128"/>
      <c r="G9" s="140"/>
      <c r="H9" s="141"/>
      <c r="I9" s="141"/>
      <c r="J9" s="1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5"/>
      <c r="B10" t="s">
        <v>25</v>
      </c>
      <c r="C10" s="10">
        <v>1</v>
      </c>
      <c r="D10" s="13">
        <f t="shared" si="1"/>
        <v>1032</v>
      </c>
      <c r="F10" s="127" t="s">
        <v>26</v>
      </c>
      <c r="G10" s="143" t="s">
        <v>121</v>
      </c>
      <c r="H10" s="144"/>
      <c r="I10" s="144"/>
      <c r="J10" s="145"/>
      <c r="K10" s="8"/>
      <c r="L10" s="6">
        <f>R36</f>
        <v>1032</v>
      </c>
      <c r="P10" s="4"/>
      <c r="Q10" s="4"/>
      <c r="R10" s="5"/>
    </row>
    <row r="11" spans="1:18" ht="15.75" x14ac:dyDescent="0.25">
      <c r="A11" s="125"/>
      <c r="B11" s="17" t="s">
        <v>28</v>
      </c>
      <c r="C11" s="10">
        <v>2</v>
      </c>
      <c r="D11" s="13">
        <f t="shared" si="1"/>
        <v>2340</v>
      </c>
      <c r="F11" s="128"/>
      <c r="G11" s="140"/>
      <c r="H11" s="141"/>
      <c r="I11" s="141"/>
      <c r="J11" s="1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5"/>
      <c r="B12" s="17" t="s">
        <v>30</v>
      </c>
      <c r="C12" s="10">
        <v>3</v>
      </c>
      <c r="D12" s="48">
        <f t="shared" si="1"/>
        <v>2976</v>
      </c>
      <c r="F12" s="146" t="s">
        <v>33</v>
      </c>
      <c r="G12" s="147"/>
      <c r="H12" s="147"/>
      <c r="I12" s="147"/>
      <c r="J12" s="1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5"/>
      <c r="B13" s="17" t="s">
        <v>32</v>
      </c>
      <c r="C13" s="10">
        <v>10</v>
      </c>
      <c r="D13" s="48">
        <f t="shared" si="1"/>
        <v>3070</v>
      </c>
      <c r="F13" s="149" t="s">
        <v>36</v>
      </c>
      <c r="G13" s="150"/>
      <c r="H13" s="151">
        <f>D29</f>
        <v>266056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5"/>
      <c r="B14" s="14" t="s">
        <v>35</v>
      </c>
      <c r="C14" s="10"/>
      <c r="D14" s="31">
        <f t="shared" si="1"/>
        <v>0</v>
      </c>
      <c r="F14" s="154" t="s">
        <v>38</v>
      </c>
      <c r="G14" s="155"/>
      <c r="H14" s="156">
        <f>D54</f>
        <v>58272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5"/>
      <c r="B15" s="14" t="s">
        <v>119</v>
      </c>
      <c r="C15" s="10"/>
      <c r="D15" s="31">
        <f t="shared" si="1"/>
        <v>0</v>
      </c>
      <c r="F15" s="159" t="s">
        <v>39</v>
      </c>
      <c r="G15" s="150"/>
      <c r="H15" s="160">
        <f>H13-H14</f>
        <v>207784</v>
      </c>
      <c r="I15" s="161"/>
      <c r="J15" s="16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3">
        <f>588+504</f>
        <v>1092</v>
      </c>
      <c r="I16" s="163"/>
      <c r="J16" s="16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9"/>
      <c r="I19" s="249"/>
      <c r="J19" s="2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5"/>
      <c r="B22" s="46" t="s">
        <v>103</v>
      </c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 t="s">
        <v>118</v>
      </c>
      <c r="C23" s="10"/>
      <c r="D23" s="48">
        <f t="shared" si="1"/>
        <v>0</v>
      </c>
      <c r="F23" s="77"/>
      <c r="G23" s="78"/>
      <c r="H23" s="250"/>
      <c r="I23" s="186"/>
      <c r="J23" s="1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 t="s">
        <v>125</v>
      </c>
      <c r="C24" s="10"/>
      <c r="D24" s="48">
        <f t="shared" si="1"/>
        <v>0</v>
      </c>
      <c r="F24" s="38"/>
      <c r="G24" s="37"/>
      <c r="H24" s="187"/>
      <c r="I24" s="188"/>
      <c r="J24" s="1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 t="s">
        <v>126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5"/>
      <c r="B27" s="14" t="s">
        <v>127</v>
      </c>
      <c r="C27" s="10"/>
      <c r="D27" s="44">
        <f t="shared" si="1"/>
        <v>0</v>
      </c>
      <c r="F27" s="25"/>
      <c r="G27" s="79"/>
      <c r="H27" s="195"/>
      <c r="I27" s="196"/>
      <c r="J27" s="19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 t="s">
        <v>92</v>
      </c>
      <c r="C28" s="10"/>
      <c r="D28" s="48">
        <f t="shared" si="1"/>
        <v>0</v>
      </c>
      <c r="F28" s="92"/>
      <c r="G28" s="61"/>
      <c r="H28" s="198"/>
      <c r="I28" s="199"/>
      <c r="J28" s="20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4" t="s">
        <v>36</v>
      </c>
      <c r="B29" s="165"/>
      <c r="C29" s="166"/>
      <c r="D29" s="170">
        <f>SUM(D6:D28)</f>
        <v>266056</v>
      </c>
      <c r="F29" s="172" t="s">
        <v>54</v>
      </c>
      <c r="G29" s="173"/>
      <c r="H29" s="176">
        <f>H15-H16-H17-H18-H19-H20-H22-H23-H24+H26+H27</f>
        <v>206692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73</v>
      </c>
      <c r="H34" s="204">
        <f>F34*G34</f>
        <v>73000</v>
      </c>
      <c r="I34" s="205"/>
      <c r="J34" s="20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>
        <v>111</v>
      </c>
      <c r="H35" s="204">
        <f>F35*G35</f>
        <v>55500</v>
      </c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04">
        <f t="shared" ref="H36:H39" si="2">F36*G36</f>
        <v>200</v>
      </c>
      <c r="I36" s="205"/>
      <c r="J36" s="20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4" t="s">
        <v>71</v>
      </c>
      <c r="B37" s="28" t="s">
        <v>65</v>
      </c>
      <c r="C37" s="53">
        <v>506</v>
      </c>
      <c r="D37" s="12">
        <f>C37*111</f>
        <v>56166</v>
      </c>
      <c r="F37" s="12">
        <v>100</v>
      </c>
      <c r="G37" s="39">
        <v>121</v>
      </c>
      <c r="H37" s="204">
        <f t="shared" si="2"/>
        <v>12100</v>
      </c>
      <c r="I37" s="205"/>
      <c r="J37" s="20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5"/>
      <c r="B38" s="29" t="s">
        <v>67</v>
      </c>
      <c r="C38" s="54"/>
      <c r="D38" s="12">
        <f>C38*84</f>
        <v>0</v>
      </c>
      <c r="F38" s="30">
        <v>50</v>
      </c>
      <c r="G38" s="39">
        <v>61</v>
      </c>
      <c r="H38" s="204">
        <f t="shared" si="2"/>
        <v>3050</v>
      </c>
      <c r="I38" s="205"/>
      <c r="J38" s="20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6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1</v>
      </c>
      <c r="H39" s="204">
        <f t="shared" si="2"/>
        <v>20</v>
      </c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204"/>
      <c r="I40" s="205"/>
      <c r="J40" s="20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6"/>
      <c r="B42" s="27" t="s">
        <v>69</v>
      </c>
      <c r="C42" s="11">
        <v>10</v>
      </c>
      <c r="D42" s="12">
        <f>C42*2.25</f>
        <v>22.5</v>
      </c>
      <c r="F42" s="39" t="s">
        <v>78</v>
      </c>
      <c r="G42" s="204">
        <v>401</v>
      </c>
      <c r="H42" s="205"/>
      <c r="I42" s="205"/>
      <c r="J42" s="20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94" t="s">
        <v>82</v>
      </c>
      <c r="H43" s="210" t="s">
        <v>13</v>
      </c>
      <c r="I43" s="211"/>
      <c r="J43" s="21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8"/>
      <c r="B44" s="27" t="s">
        <v>65</v>
      </c>
      <c r="C44" s="10">
        <v>2</v>
      </c>
      <c r="D44" s="12">
        <f>C44*120</f>
        <v>240</v>
      </c>
      <c r="F44" s="37" t="s">
        <v>132</v>
      </c>
      <c r="G44" s="75" t="s">
        <v>139</v>
      </c>
      <c r="H44" s="188">
        <v>55389</v>
      </c>
      <c r="I44" s="188"/>
      <c r="J44" s="18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 t="s">
        <v>140</v>
      </c>
      <c r="G45" s="75"/>
      <c r="H45" s="188">
        <v>1032</v>
      </c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0">
        <v>1</v>
      </c>
      <c r="D46" s="12">
        <f>C46*1.5</f>
        <v>1.5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>
        <v>2</v>
      </c>
      <c r="D49" s="12">
        <f>C49*42</f>
        <v>84</v>
      </c>
      <c r="F49" s="229" t="s">
        <v>85</v>
      </c>
      <c r="G49" s="176">
        <f>H34+H35+H36+H37+H38+H39+H40+H41+G42+H44+H45+H46</f>
        <v>200692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>
        <v>13</v>
      </c>
      <c r="D50" s="12">
        <f>C50*1.5</f>
        <v>19.5</v>
      </c>
      <c r="F50" s="230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141</v>
      </c>
      <c r="G51" s="239">
        <f>G49-H29</f>
        <v>-6000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8"/>
      <c r="B52" s="29"/>
      <c r="C52" s="33"/>
      <c r="D52" s="45"/>
      <c r="F52" s="232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58272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21B5A-F7CB-4BCE-9108-E31933DEA22A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0" t="s">
        <v>1</v>
      </c>
      <c r="O1" s="110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1" t="s">
        <v>7</v>
      </c>
      <c r="B4" s="112"/>
      <c r="C4" s="112"/>
      <c r="D4" s="113"/>
      <c r="F4" s="114" t="s">
        <v>8</v>
      </c>
      <c r="G4" s="116"/>
      <c r="H4" s="118" t="s">
        <v>9</v>
      </c>
      <c r="I4" s="120"/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5"/>
      <c r="B6" s="16"/>
      <c r="C6" s="10"/>
      <c r="D6" s="13">
        <f t="shared" ref="D6:D28" si="1">C6*L6</f>
        <v>0</v>
      </c>
      <c r="F6" s="127" t="s">
        <v>16</v>
      </c>
      <c r="G6" s="129"/>
      <c r="H6" s="130"/>
      <c r="I6" s="130"/>
      <c r="J6" s="1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5"/>
      <c r="B7" s="16"/>
      <c r="C7" s="10"/>
      <c r="D7" s="13">
        <f t="shared" si="1"/>
        <v>0</v>
      </c>
      <c r="F7" s="128"/>
      <c r="G7" s="132"/>
      <c r="H7" s="133"/>
      <c r="I7" s="133"/>
      <c r="J7" s="13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5"/>
      <c r="B8" s="16"/>
      <c r="C8" s="10"/>
      <c r="D8" s="13">
        <f t="shared" si="1"/>
        <v>0</v>
      </c>
      <c r="F8" s="135" t="s">
        <v>21</v>
      </c>
      <c r="G8" s="137"/>
      <c r="H8" s="138"/>
      <c r="I8" s="138"/>
      <c r="J8" s="1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5"/>
      <c r="B9" s="16"/>
      <c r="C9" s="10"/>
      <c r="D9" s="13">
        <f t="shared" si="1"/>
        <v>0</v>
      </c>
      <c r="F9" s="128"/>
      <c r="G9" s="140"/>
      <c r="H9" s="141"/>
      <c r="I9" s="141"/>
      <c r="J9" s="1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5"/>
      <c r="C10" s="10"/>
      <c r="D10" s="13">
        <f t="shared" si="1"/>
        <v>0</v>
      </c>
      <c r="F10" s="127" t="s">
        <v>26</v>
      </c>
      <c r="G10" s="143"/>
      <c r="H10" s="144"/>
      <c r="I10" s="144"/>
      <c r="J10" s="145"/>
      <c r="K10" s="8"/>
      <c r="L10" s="6">
        <f>R36</f>
        <v>972</v>
      </c>
      <c r="P10" s="4"/>
      <c r="Q10" s="4"/>
      <c r="R10" s="5"/>
    </row>
    <row r="11" spans="1:19" ht="15.75" x14ac:dyDescent="0.25">
      <c r="A11" s="125"/>
      <c r="B11" s="17"/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5"/>
      <c r="B12" s="17"/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5"/>
      <c r="B13" s="17"/>
      <c r="C13" s="10"/>
      <c r="D13" s="48">
        <f t="shared" si="1"/>
        <v>0</v>
      </c>
      <c r="F13" s="149" t="s">
        <v>36</v>
      </c>
      <c r="G13" s="150"/>
      <c r="H13" s="151">
        <f>D29</f>
        <v>0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5"/>
      <c r="B14" s="14"/>
      <c r="C14" s="10"/>
      <c r="D14" s="31">
        <f t="shared" si="1"/>
        <v>0</v>
      </c>
      <c r="F14" s="154" t="s">
        <v>38</v>
      </c>
      <c r="G14" s="155"/>
      <c r="H14" s="156">
        <f>D54</f>
        <v>0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5"/>
      <c r="B15" s="14"/>
      <c r="C15" s="10"/>
      <c r="D15" s="31">
        <f t="shared" si="1"/>
        <v>0</v>
      </c>
      <c r="F15" s="159" t="s">
        <v>39</v>
      </c>
      <c r="G15" s="150"/>
      <c r="H15" s="160">
        <f>H13-H14</f>
        <v>0</v>
      </c>
      <c r="I15" s="161"/>
      <c r="J15" s="16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3"/>
      <c r="I16" s="163"/>
      <c r="J16" s="16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19"/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14"/>
      <c r="C19" s="10"/>
      <c r="D19" s="48">
        <f t="shared" si="1"/>
        <v>0</v>
      </c>
      <c r="F19" s="56"/>
      <c r="G19" s="68" t="s">
        <v>49</v>
      </c>
      <c r="H19" s="182"/>
      <c r="I19" s="182"/>
      <c r="J19" s="18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5"/>
      <c r="B20" s="46"/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5"/>
      <c r="B22" s="46"/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/>
      <c r="C23" s="10"/>
      <c r="D23" s="48">
        <f t="shared" si="1"/>
        <v>0</v>
      </c>
      <c r="F23" s="77"/>
      <c r="G23" s="78"/>
      <c r="H23" s="187"/>
      <c r="I23" s="188"/>
      <c r="J23" s="18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/>
      <c r="C24" s="10"/>
      <c r="D24" s="48">
        <f t="shared" si="1"/>
        <v>0</v>
      </c>
      <c r="F24" s="38"/>
      <c r="G24" s="37"/>
      <c r="H24" s="187"/>
      <c r="I24" s="188"/>
      <c r="J24" s="18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5"/>
      <c r="B27" s="14"/>
      <c r="C27" s="10"/>
      <c r="D27" s="44">
        <f t="shared" si="1"/>
        <v>0</v>
      </c>
      <c r="F27" s="25"/>
      <c r="G27" s="79"/>
      <c r="H27" s="195"/>
      <c r="I27" s="196"/>
      <c r="J27" s="19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/>
      <c r="C28" s="10"/>
      <c r="D28" s="48">
        <f t="shared" si="1"/>
        <v>0</v>
      </c>
      <c r="F28" s="96"/>
      <c r="G28" s="61"/>
      <c r="H28" s="198"/>
      <c r="I28" s="199"/>
      <c r="J28" s="20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4" t="s">
        <v>36</v>
      </c>
      <c r="B29" s="165"/>
      <c r="C29" s="166"/>
      <c r="D29" s="170">
        <f>SUM(D6:D28)</f>
        <v>0</v>
      </c>
      <c r="F29" s="172" t="s">
        <v>54</v>
      </c>
      <c r="G29" s="173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4"/>
      <c r="I34" s="205"/>
      <c r="J34" s="20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/>
      <c r="H35" s="204"/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/>
      <c r="I36" s="205"/>
      <c r="J36" s="20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4"/>
      <c r="I37" s="205"/>
      <c r="J37" s="20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5"/>
      <c r="B38" s="29" t="s">
        <v>67</v>
      </c>
      <c r="C38" s="54"/>
      <c r="D38" s="12">
        <f>C38*84</f>
        <v>0</v>
      </c>
      <c r="F38" s="30">
        <v>50</v>
      </c>
      <c r="G38" s="39"/>
      <c r="H38" s="204"/>
      <c r="I38" s="205"/>
      <c r="J38" s="20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/>
      <c r="H39" s="204"/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4"/>
      <c r="I40" s="205"/>
      <c r="J40" s="20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/>
      <c r="H42" s="205"/>
      <c r="I42" s="205"/>
      <c r="J42" s="20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98" t="s">
        <v>82</v>
      </c>
      <c r="H43" s="210" t="s">
        <v>13</v>
      </c>
      <c r="I43" s="211"/>
      <c r="J43" s="212"/>
      <c r="K43" s="21"/>
      <c r="P43" s="4"/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/>
      <c r="G44" s="75"/>
      <c r="H44" s="188"/>
      <c r="I44" s="188"/>
      <c r="J44" s="188"/>
      <c r="K44" s="21"/>
      <c r="P44" s="4"/>
      <c r="Q44" s="4"/>
      <c r="R44" s="5"/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75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0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/>
      <c r="D48" s="12">
        <f>C48*78</f>
        <v>0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/>
      <c r="D50" s="12">
        <f>C50*1.5</f>
        <v>0</v>
      </c>
      <c r="F50" s="230"/>
      <c r="G50" s="179"/>
      <c r="H50" s="180"/>
      <c r="I50" s="180"/>
      <c r="J50" s="181"/>
      <c r="P50" s="4"/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106</v>
      </c>
      <c r="G51" s="233">
        <f>G49-H29</f>
        <v>0</v>
      </c>
      <c r="H51" s="234"/>
      <c r="I51" s="234"/>
      <c r="J51" s="23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8"/>
      <c r="B52" s="29"/>
      <c r="C52" s="33"/>
      <c r="D52" s="45"/>
      <c r="F52" s="232"/>
      <c r="G52" s="236"/>
      <c r="H52" s="237"/>
      <c r="I52" s="237"/>
      <c r="J52" s="23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0</v>
      </c>
      <c r="F54" s="21"/>
      <c r="J54" s="34"/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C5552-2C84-434D-85E9-BD7B20B7AB9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0" t="s">
        <v>1</v>
      </c>
      <c r="O1" s="110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1" t="s">
        <v>7</v>
      </c>
      <c r="B4" s="112"/>
      <c r="C4" s="112"/>
      <c r="D4" s="113"/>
      <c r="F4" s="114" t="s">
        <v>8</v>
      </c>
      <c r="G4" s="116">
        <v>1</v>
      </c>
      <c r="H4" s="118" t="s">
        <v>9</v>
      </c>
      <c r="I4" s="120">
        <v>46175</v>
      </c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5"/>
      <c r="B6" s="16" t="s">
        <v>15</v>
      </c>
      <c r="C6" s="10">
        <v>304</v>
      </c>
      <c r="D6" s="13">
        <f t="shared" ref="D6:D28" si="1">C6*L6</f>
        <v>231344</v>
      </c>
      <c r="F6" s="127" t="s">
        <v>16</v>
      </c>
      <c r="G6" s="129" t="s">
        <v>99</v>
      </c>
      <c r="H6" s="130"/>
      <c r="I6" s="130"/>
      <c r="J6" s="13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5"/>
      <c r="B7" s="16" t="s">
        <v>18</v>
      </c>
      <c r="C7" s="10">
        <v>2</v>
      </c>
      <c r="D7" s="13">
        <f t="shared" si="1"/>
        <v>1562</v>
      </c>
      <c r="F7" s="128"/>
      <c r="G7" s="132"/>
      <c r="H7" s="133"/>
      <c r="I7" s="133"/>
      <c r="J7" s="13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5"/>
      <c r="B8" s="16" t="s">
        <v>20</v>
      </c>
      <c r="C8" s="10"/>
      <c r="D8" s="13">
        <f t="shared" si="1"/>
        <v>0</v>
      </c>
      <c r="F8" s="135" t="s">
        <v>21</v>
      </c>
      <c r="G8" s="137" t="s">
        <v>117</v>
      </c>
      <c r="H8" s="138"/>
      <c r="I8" s="138"/>
      <c r="J8" s="1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5"/>
      <c r="B9" s="16" t="s">
        <v>23</v>
      </c>
      <c r="C9" s="10">
        <v>11</v>
      </c>
      <c r="D9" s="13">
        <f t="shared" si="1"/>
        <v>8063</v>
      </c>
      <c r="F9" s="128"/>
      <c r="G9" s="140"/>
      <c r="H9" s="141"/>
      <c r="I9" s="141"/>
      <c r="J9" s="1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5"/>
      <c r="B10" t="s">
        <v>25</v>
      </c>
      <c r="C10" s="10">
        <v>1</v>
      </c>
      <c r="D10" s="13">
        <f t="shared" si="1"/>
        <v>1032</v>
      </c>
      <c r="F10" s="127" t="s">
        <v>26</v>
      </c>
      <c r="G10" s="143" t="s">
        <v>108</v>
      </c>
      <c r="H10" s="144"/>
      <c r="I10" s="144"/>
      <c r="J10" s="145"/>
      <c r="K10" s="8"/>
      <c r="L10" s="6">
        <f>R36</f>
        <v>1032</v>
      </c>
      <c r="P10" s="4"/>
      <c r="Q10" s="4"/>
      <c r="R10" s="5"/>
    </row>
    <row r="11" spans="1:18" ht="15.75" x14ac:dyDescent="0.25">
      <c r="A11" s="125"/>
      <c r="B11" s="17" t="s">
        <v>28</v>
      </c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5"/>
      <c r="B12" s="17" t="s">
        <v>30</v>
      </c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5"/>
      <c r="B13" s="17" t="s">
        <v>32</v>
      </c>
      <c r="C13" s="10"/>
      <c r="D13" s="48">
        <f t="shared" si="1"/>
        <v>0</v>
      </c>
      <c r="F13" s="149" t="s">
        <v>36</v>
      </c>
      <c r="G13" s="150"/>
      <c r="H13" s="151">
        <f>D29</f>
        <v>242753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5"/>
      <c r="B14" s="14" t="s">
        <v>35</v>
      </c>
      <c r="C14" s="10">
        <v>12</v>
      </c>
      <c r="D14" s="31">
        <f t="shared" si="1"/>
        <v>132</v>
      </c>
      <c r="F14" s="154" t="s">
        <v>38</v>
      </c>
      <c r="G14" s="155"/>
      <c r="H14" s="156">
        <f>D54</f>
        <v>35565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5"/>
      <c r="B15" s="14" t="s">
        <v>119</v>
      </c>
      <c r="C15" s="10">
        <v>1</v>
      </c>
      <c r="D15" s="31">
        <f t="shared" si="1"/>
        <v>620</v>
      </c>
      <c r="F15" s="159" t="s">
        <v>39</v>
      </c>
      <c r="G15" s="150"/>
      <c r="H15" s="160">
        <f>H13-H14</f>
        <v>207188</v>
      </c>
      <c r="I15" s="161"/>
      <c r="J15" s="16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3">
        <v>42</v>
      </c>
      <c r="I16" s="163"/>
      <c r="J16" s="16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3"/>
      <c r="I19" s="163"/>
      <c r="J19" s="1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5"/>
      <c r="B22" s="46" t="s">
        <v>103</v>
      </c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 t="s">
        <v>118</v>
      </c>
      <c r="C23" s="10"/>
      <c r="D23" s="48">
        <f t="shared" si="1"/>
        <v>0</v>
      </c>
      <c r="F23" s="76"/>
      <c r="G23" s="78"/>
      <c r="H23" s="245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 t="s">
        <v>125</v>
      </c>
      <c r="C24" s="10"/>
      <c r="D24" s="48">
        <f t="shared" si="1"/>
        <v>0</v>
      </c>
      <c r="F24" s="76"/>
      <c r="G24" s="78"/>
      <c r="H24" s="245"/>
      <c r="I24" s="246"/>
      <c r="J24" s="24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 t="s">
        <v>126</v>
      </c>
      <c r="C26" s="10"/>
      <c r="D26" s="48">
        <f t="shared" si="1"/>
        <v>0</v>
      </c>
      <c r="F26" s="74"/>
      <c r="G26" s="65"/>
      <c r="H26" s="188"/>
      <c r="I26" s="188"/>
      <c r="J26" s="18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5"/>
      <c r="B27" s="14" t="s">
        <v>127</v>
      </c>
      <c r="C27" s="10"/>
      <c r="D27" s="44">
        <f t="shared" si="1"/>
        <v>0</v>
      </c>
      <c r="F27" s="71"/>
      <c r="G27" s="99"/>
      <c r="H27" s="247"/>
      <c r="I27" s="248"/>
      <c r="J27" s="24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 t="s">
        <v>92</v>
      </c>
      <c r="C28" s="10"/>
      <c r="D28" s="48">
        <f t="shared" si="1"/>
        <v>0</v>
      </c>
      <c r="F28" s="101"/>
      <c r="G28" s="61"/>
      <c r="H28" s="198"/>
      <c r="I28" s="199"/>
      <c r="J28" s="20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4" t="s">
        <v>36</v>
      </c>
      <c r="B29" s="165"/>
      <c r="C29" s="166"/>
      <c r="D29" s="170">
        <f>SUM(D6:D28)</f>
        <v>242753</v>
      </c>
      <c r="F29" s="172" t="s">
        <v>54</v>
      </c>
      <c r="G29" s="173"/>
      <c r="H29" s="176">
        <f>H15-H16-H17-H18-H19-H20-H22-H23-H24+H26+H27+H28</f>
        <v>207146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114</v>
      </c>
      <c r="H34" s="204">
        <f t="shared" ref="H34:H39" si="2">F34*G34</f>
        <v>114000</v>
      </c>
      <c r="I34" s="205"/>
      <c r="J34" s="20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204">
        <f t="shared" si="2"/>
        <v>22000</v>
      </c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>
        <v>23</v>
      </c>
      <c r="D36" s="12">
        <f>C36*1.5</f>
        <v>34.5</v>
      </c>
      <c r="F36" s="12">
        <v>200</v>
      </c>
      <c r="G36" s="37">
        <v>2</v>
      </c>
      <c r="H36" s="204">
        <f t="shared" si="2"/>
        <v>400</v>
      </c>
      <c r="I36" s="205"/>
      <c r="J36" s="20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4" t="s">
        <v>71</v>
      </c>
      <c r="B37" s="28" t="s">
        <v>65</v>
      </c>
      <c r="C37" s="53">
        <v>312</v>
      </c>
      <c r="D37" s="12">
        <f>C37*111</f>
        <v>34632</v>
      </c>
      <c r="F37" s="12">
        <v>100</v>
      </c>
      <c r="G37" s="39">
        <v>19</v>
      </c>
      <c r="H37" s="204">
        <f t="shared" si="2"/>
        <v>1900</v>
      </c>
      <c r="I37" s="205"/>
      <c r="J37" s="20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5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3</v>
      </c>
      <c r="H38" s="204">
        <f t="shared" si="2"/>
        <v>150</v>
      </c>
      <c r="I38" s="205"/>
      <c r="J38" s="20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204">
        <f t="shared" si="2"/>
        <v>40</v>
      </c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04"/>
      <c r="I40" s="205"/>
      <c r="J40" s="20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>
        <v>124</v>
      </c>
      <c r="H42" s="205"/>
      <c r="I42" s="205"/>
      <c r="J42" s="20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99" t="s">
        <v>82</v>
      </c>
      <c r="H43" s="210" t="s">
        <v>13</v>
      </c>
      <c r="I43" s="211"/>
      <c r="J43" s="21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 t="s">
        <v>140</v>
      </c>
      <c r="G44" s="62"/>
      <c r="H44" s="188">
        <v>55000</v>
      </c>
      <c r="I44" s="188"/>
      <c r="J44" s="18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8"/>
      <c r="B45" s="27" t="s">
        <v>67</v>
      </c>
      <c r="C45" s="33">
        <v>2</v>
      </c>
      <c r="D45" s="12">
        <f>C45*84</f>
        <v>168</v>
      </c>
      <c r="F45" s="37" t="s">
        <v>140</v>
      </c>
      <c r="G45" s="62"/>
      <c r="H45" s="188">
        <v>13650</v>
      </c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0">
        <v>1</v>
      </c>
      <c r="D46" s="12">
        <f>C46*1.5</f>
        <v>1.5</v>
      </c>
      <c r="F46" s="37"/>
      <c r="G46" s="62"/>
      <c r="H46" s="188"/>
      <c r="I46" s="188"/>
      <c r="J46" s="188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207264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>
        <v>6</v>
      </c>
      <c r="D50" s="12">
        <f>C50*1.5</f>
        <v>9</v>
      </c>
      <c r="F50" s="230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144</v>
      </c>
      <c r="G51" s="251">
        <f>G49-H29</f>
        <v>118</v>
      </c>
      <c r="H51" s="252"/>
      <c r="I51" s="252"/>
      <c r="J51" s="2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8"/>
      <c r="B52" s="29"/>
      <c r="C52" s="33"/>
      <c r="D52" s="45"/>
      <c r="F52" s="232"/>
      <c r="G52" s="254"/>
      <c r="H52" s="255"/>
      <c r="I52" s="255"/>
      <c r="J52" s="2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35565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A8269-5C15-46E2-9DAD-5811CFAA89F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0" t="s">
        <v>1</v>
      </c>
      <c r="O1" s="110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1" t="s">
        <v>7</v>
      </c>
      <c r="B4" s="112"/>
      <c r="C4" s="112"/>
      <c r="D4" s="113"/>
      <c r="F4" s="114" t="s">
        <v>8</v>
      </c>
      <c r="G4" s="116">
        <v>2</v>
      </c>
      <c r="H4" s="118" t="s">
        <v>9</v>
      </c>
      <c r="I4" s="120">
        <v>46175</v>
      </c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5"/>
      <c r="B6" s="16" t="s">
        <v>15</v>
      </c>
      <c r="C6" s="10">
        <v>330</v>
      </c>
      <c r="D6" s="13">
        <f t="shared" ref="D6:D28" si="1">C6*L6</f>
        <v>251130</v>
      </c>
      <c r="F6" s="127" t="s">
        <v>16</v>
      </c>
      <c r="G6" s="129" t="s">
        <v>107</v>
      </c>
      <c r="H6" s="130"/>
      <c r="I6" s="130"/>
      <c r="J6" s="13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5"/>
      <c r="B7" s="16" t="s">
        <v>18</v>
      </c>
      <c r="C7" s="10"/>
      <c r="D7" s="13">
        <f t="shared" si="1"/>
        <v>0</v>
      </c>
      <c r="F7" s="128"/>
      <c r="G7" s="132"/>
      <c r="H7" s="133"/>
      <c r="I7" s="133"/>
      <c r="J7" s="13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5"/>
      <c r="B8" s="16" t="s">
        <v>20</v>
      </c>
      <c r="C8" s="10"/>
      <c r="D8" s="13">
        <f t="shared" si="1"/>
        <v>0</v>
      </c>
      <c r="F8" s="135" t="s">
        <v>21</v>
      </c>
      <c r="G8" s="137" t="s">
        <v>100</v>
      </c>
      <c r="H8" s="138"/>
      <c r="I8" s="138"/>
      <c r="J8" s="1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5"/>
      <c r="B9" s="16" t="s">
        <v>23</v>
      </c>
      <c r="C9" s="10">
        <v>1</v>
      </c>
      <c r="D9" s="13">
        <f t="shared" si="1"/>
        <v>733</v>
      </c>
      <c r="F9" s="128"/>
      <c r="G9" s="140"/>
      <c r="H9" s="141"/>
      <c r="I9" s="141"/>
      <c r="J9" s="1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5"/>
      <c r="B10" t="s">
        <v>25</v>
      </c>
      <c r="C10" s="10">
        <v>1</v>
      </c>
      <c r="D10" s="13">
        <f t="shared" si="1"/>
        <v>1032</v>
      </c>
      <c r="F10" s="127" t="s">
        <v>26</v>
      </c>
      <c r="G10" s="143" t="s">
        <v>101</v>
      </c>
      <c r="H10" s="144"/>
      <c r="I10" s="144"/>
      <c r="J10" s="145"/>
      <c r="K10" s="8"/>
      <c r="L10" s="6">
        <f>R36</f>
        <v>1032</v>
      </c>
      <c r="P10" s="4"/>
      <c r="Q10" s="4"/>
      <c r="R10" s="5"/>
    </row>
    <row r="11" spans="1:18" ht="15.75" x14ac:dyDescent="0.25">
      <c r="A11" s="125"/>
      <c r="B11" s="17" t="s">
        <v>28</v>
      </c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5"/>
      <c r="B12" s="17" t="s">
        <v>30</v>
      </c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5"/>
      <c r="B13" s="17" t="s">
        <v>32</v>
      </c>
      <c r="C13" s="10">
        <v>13</v>
      </c>
      <c r="D13" s="48">
        <f t="shared" si="1"/>
        <v>3991</v>
      </c>
      <c r="F13" s="149" t="s">
        <v>36</v>
      </c>
      <c r="G13" s="150"/>
      <c r="H13" s="151">
        <f>D29</f>
        <v>256886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5"/>
      <c r="B14" s="14" t="s">
        <v>35</v>
      </c>
      <c r="C14" s="10"/>
      <c r="D14" s="31">
        <f t="shared" si="1"/>
        <v>0</v>
      </c>
      <c r="F14" s="154" t="s">
        <v>38</v>
      </c>
      <c r="G14" s="155"/>
      <c r="H14" s="156">
        <f>D54</f>
        <v>37893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5"/>
      <c r="B15" s="14" t="s">
        <v>119</v>
      </c>
      <c r="C15" s="10"/>
      <c r="D15" s="31">
        <f t="shared" si="1"/>
        <v>0</v>
      </c>
      <c r="F15" s="159" t="s">
        <v>39</v>
      </c>
      <c r="G15" s="150"/>
      <c r="H15" s="160">
        <f>H13-H14</f>
        <v>218993</v>
      </c>
      <c r="I15" s="161"/>
      <c r="J15" s="16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3">
        <v>1944</v>
      </c>
      <c r="I16" s="163"/>
      <c r="J16" s="16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9"/>
      <c r="I19" s="249"/>
      <c r="J19" s="2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5"/>
      <c r="B22" s="46" t="s">
        <v>103</v>
      </c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 t="s">
        <v>118</v>
      </c>
      <c r="C23" s="10"/>
      <c r="D23" s="48">
        <f t="shared" si="1"/>
        <v>0</v>
      </c>
      <c r="F23" s="77"/>
      <c r="G23" s="78"/>
      <c r="H23" s="250"/>
      <c r="I23" s="186"/>
      <c r="J23" s="1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 t="s">
        <v>125</v>
      </c>
      <c r="C24" s="10"/>
      <c r="D24" s="48">
        <f t="shared" si="1"/>
        <v>0</v>
      </c>
      <c r="F24" s="38"/>
      <c r="G24" s="37"/>
      <c r="H24" s="187"/>
      <c r="I24" s="188"/>
      <c r="J24" s="1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 t="s">
        <v>126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5"/>
      <c r="B27" s="14" t="s">
        <v>127</v>
      </c>
      <c r="C27" s="10"/>
      <c r="D27" s="44">
        <f t="shared" si="1"/>
        <v>0</v>
      </c>
      <c r="F27" s="25"/>
      <c r="G27" s="79"/>
      <c r="H27" s="195"/>
      <c r="I27" s="196"/>
      <c r="J27" s="19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 t="s">
        <v>92</v>
      </c>
      <c r="C28" s="10"/>
      <c r="D28" s="48">
        <f t="shared" si="1"/>
        <v>0</v>
      </c>
      <c r="F28" s="101"/>
      <c r="G28" s="61"/>
      <c r="H28" s="198"/>
      <c r="I28" s="199"/>
      <c r="J28" s="20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4" t="s">
        <v>36</v>
      </c>
      <c r="B29" s="165"/>
      <c r="C29" s="166"/>
      <c r="D29" s="170">
        <f>SUM(D6:D28)</f>
        <v>256886</v>
      </c>
      <c r="F29" s="172" t="s">
        <v>54</v>
      </c>
      <c r="G29" s="173"/>
      <c r="H29" s="176">
        <f>H15-H16-H17-H18-H19-H20-H22-H23-H24+H26+H27</f>
        <v>217049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102</v>
      </c>
      <c r="H34" s="204">
        <f>F34*G34</f>
        <v>102000</v>
      </c>
      <c r="I34" s="205"/>
      <c r="J34" s="20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>
        <v>229</v>
      </c>
      <c r="H35" s="204">
        <f>F35*G35</f>
        <v>114500</v>
      </c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04">
        <f t="shared" ref="H36:H39" si="2">F36*G36</f>
        <v>200</v>
      </c>
      <c r="I36" s="205"/>
      <c r="J36" s="20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4" t="s">
        <v>71</v>
      </c>
      <c r="B37" s="28" t="s">
        <v>65</v>
      </c>
      <c r="C37" s="53">
        <v>334</v>
      </c>
      <c r="D37" s="12">
        <f>C37*111</f>
        <v>37074</v>
      </c>
      <c r="F37" s="12">
        <v>100</v>
      </c>
      <c r="G37" s="39">
        <v>1</v>
      </c>
      <c r="H37" s="204">
        <f t="shared" si="2"/>
        <v>100</v>
      </c>
      <c r="I37" s="205"/>
      <c r="J37" s="20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5"/>
      <c r="B38" s="29" t="s">
        <v>67</v>
      </c>
      <c r="C38" s="54"/>
      <c r="D38" s="12">
        <f>C38*84</f>
        <v>0</v>
      </c>
      <c r="F38" s="30">
        <v>50</v>
      </c>
      <c r="G38" s="39"/>
      <c r="H38" s="204">
        <f t="shared" si="2"/>
        <v>0</v>
      </c>
      <c r="I38" s="205"/>
      <c r="J38" s="20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204">
        <f t="shared" si="2"/>
        <v>20</v>
      </c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4"/>
      <c r="I40" s="205"/>
      <c r="J40" s="20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>
        <v>14</v>
      </c>
      <c r="H42" s="205"/>
      <c r="I42" s="205"/>
      <c r="J42" s="20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99" t="s">
        <v>82</v>
      </c>
      <c r="H43" s="210" t="s">
        <v>13</v>
      </c>
      <c r="I43" s="211"/>
      <c r="J43" s="21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/>
      <c r="G44" s="75"/>
      <c r="H44" s="188"/>
      <c r="I44" s="188"/>
      <c r="J44" s="18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75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0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>
        <v>11</v>
      </c>
      <c r="D49" s="12">
        <f>C49*42</f>
        <v>462</v>
      </c>
      <c r="F49" s="229" t="s">
        <v>85</v>
      </c>
      <c r="G49" s="176">
        <f>H34+H35+H36+H37+H38+H39+H40+H41+G42+H44+H45+H46</f>
        <v>216834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80">
        <v>2</v>
      </c>
      <c r="D50" s="12">
        <f>C50*1.5</f>
        <v>3</v>
      </c>
      <c r="F50" s="230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141</v>
      </c>
      <c r="G51" s="239">
        <f>G49-H29</f>
        <v>-215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8"/>
      <c r="B52" s="29"/>
      <c r="C52" s="33"/>
      <c r="D52" s="45"/>
      <c r="F52" s="232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37893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40BF-D1FF-48D8-874F-7EF05E3C062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0" t="s">
        <v>1</v>
      </c>
      <c r="O1" s="110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1" t="s">
        <v>7</v>
      </c>
      <c r="B4" s="112"/>
      <c r="C4" s="112"/>
      <c r="D4" s="113"/>
      <c r="F4" s="114" t="s">
        <v>8</v>
      </c>
      <c r="G4" s="116">
        <v>3</v>
      </c>
      <c r="H4" s="118" t="s">
        <v>9</v>
      </c>
      <c r="I4" s="120">
        <v>46175</v>
      </c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5"/>
      <c r="B6" s="16" t="s">
        <v>15</v>
      </c>
      <c r="C6" s="108">
        <v>346</v>
      </c>
      <c r="D6" s="13">
        <f t="shared" ref="D6:D28" si="1">C6*L6</f>
        <v>263306</v>
      </c>
      <c r="F6" s="127" t="s">
        <v>16</v>
      </c>
      <c r="G6" s="129" t="s">
        <v>115</v>
      </c>
      <c r="H6" s="130"/>
      <c r="I6" s="130"/>
      <c r="J6" s="13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5"/>
      <c r="B7" s="16" t="s">
        <v>18</v>
      </c>
      <c r="C7" s="108">
        <v>20</v>
      </c>
      <c r="D7" s="13">
        <f t="shared" si="1"/>
        <v>15620</v>
      </c>
      <c r="F7" s="128"/>
      <c r="G7" s="132"/>
      <c r="H7" s="133"/>
      <c r="I7" s="133"/>
      <c r="J7" s="13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5"/>
      <c r="B8" s="16" t="s">
        <v>20</v>
      </c>
      <c r="C8" s="108">
        <v>1</v>
      </c>
      <c r="D8" s="13">
        <f t="shared" si="1"/>
        <v>1093</v>
      </c>
      <c r="F8" s="135" t="s">
        <v>21</v>
      </c>
      <c r="G8" s="137" t="s">
        <v>109</v>
      </c>
      <c r="H8" s="138"/>
      <c r="I8" s="138"/>
      <c r="J8" s="1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5"/>
      <c r="B9" s="16" t="s">
        <v>23</v>
      </c>
      <c r="C9" s="108">
        <v>74</v>
      </c>
      <c r="D9" s="13">
        <f t="shared" si="1"/>
        <v>54242</v>
      </c>
      <c r="F9" s="128"/>
      <c r="G9" s="140"/>
      <c r="H9" s="141"/>
      <c r="I9" s="141"/>
      <c r="J9" s="1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5"/>
      <c r="B10" t="s">
        <v>25</v>
      </c>
      <c r="C10" s="108"/>
      <c r="D10" s="13">
        <f t="shared" si="1"/>
        <v>0</v>
      </c>
      <c r="F10" s="127" t="s">
        <v>26</v>
      </c>
      <c r="G10" s="143" t="s">
        <v>121</v>
      </c>
      <c r="H10" s="144"/>
      <c r="I10" s="144"/>
      <c r="J10" s="145"/>
      <c r="K10" s="8"/>
      <c r="L10" s="6">
        <f>R36</f>
        <v>1032</v>
      </c>
      <c r="P10" s="4"/>
      <c r="Q10" s="4"/>
      <c r="R10" s="5"/>
    </row>
    <row r="11" spans="1:18" ht="15.75" x14ac:dyDescent="0.25">
      <c r="A11" s="125"/>
      <c r="B11" s="17" t="s">
        <v>28</v>
      </c>
      <c r="C11" s="108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5"/>
      <c r="B12" s="17" t="s">
        <v>30</v>
      </c>
      <c r="C12" s="108">
        <f>10+10+2</f>
        <v>22</v>
      </c>
      <c r="D12" s="48">
        <f t="shared" si="1"/>
        <v>21824</v>
      </c>
      <c r="F12" s="146" t="s">
        <v>33</v>
      </c>
      <c r="G12" s="147"/>
      <c r="H12" s="147"/>
      <c r="I12" s="147"/>
      <c r="J12" s="1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5"/>
      <c r="B13" s="17" t="s">
        <v>32</v>
      </c>
      <c r="C13" s="108">
        <v>1</v>
      </c>
      <c r="D13" s="48">
        <f t="shared" si="1"/>
        <v>307</v>
      </c>
      <c r="F13" s="149" t="s">
        <v>36</v>
      </c>
      <c r="G13" s="150"/>
      <c r="H13" s="151">
        <f>D29</f>
        <v>403944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5"/>
      <c r="B14" s="14" t="s">
        <v>35</v>
      </c>
      <c r="C14" s="108"/>
      <c r="D14" s="31">
        <f t="shared" si="1"/>
        <v>0</v>
      </c>
      <c r="F14" s="154" t="s">
        <v>38</v>
      </c>
      <c r="G14" s="155"/>
      <c r="H14" s="156">
        <f>D54</f>
        <v>72575.25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5"/>
      <c r="B15" s="14" t="s">
        <v>119</v>
      </c>
      <c r="C15" s="108">
        <f>10</f>
        <v>10</v>
      </c>
      <c r="D15" s="31">
        <f t="shared" si="1"/>
        <v>6200</v>
      </c>
      <c r="F15" s="159" t="s">
        <v>39</v>
      </c>
      <c r="G15" s="150"/>
      <c r="H15" s="160">
        <f>H13-H14</f>
        <v>331368.75</v>
      </c>
      <c r="I15" s="161"/>
      <c r="J15" s="16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5"/>
      <c r="B16" s="18" t="s">
        <v>110</v>
      </c>
      <c r="C16" s="108">
        <f>5+2+5</f>
        <v>12</v>
      </c>
      <c r="D16" s="48">
        <f t="shared" si="1"/>
        <v>7800</v>
      </c>
      <c r="F16" s="67" t="s">
        <v>41</v>
      </c>
      <c r="G16" s="66" t="s">
        <v>42</v>
      </c>
      <c r="H16" s="163">
        <v>918</v>
      </c>
      <c r="I16" s="163"/>
      <c r="J16" s="16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B17" s="84" t="s">
        <v>120</v>
      </c>
      <c r="C17" s="108">
        <f>1+1+1+1</f>
        <v>4</v>
      </c>
      <c r="D17" s="48">
        <f t="shared" si="1"/>
        <v>6808</v>
      </c>
      <c r="F17" s="56"/>
      <c r="G17" s="66" t="s">
        <v>44</v>
      </c>
      <c r="H17" s="136"/>
      <c r="I17" s="136"/>
      <c r="J17" s="13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85" t="s">
        <v>122</v>
      </c>
      <c r="C18" s="108">
        <f>2+2</f>
        <v>4</v>
      </c>
      <c r="D18" s="48">
        <f t="shared" si="1"/>
        <v>4408</v>
      </c>
      <c r="F18" s="56"/>
      <c r="G18" s="66" t="s">
        <v>46</v>
      </c>
      <c r="H18" s="136"/>
      <c r="I18" s="136"/>
      <c r="J18" s="13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86" t="s">
        <v>105</v>
      </c>
      <c r="C19" s="108">
        <v>1</v>
      </c>
      <c r="D19" s="48">
        <f t="shared" si="1"/>
        <v>1175</v>
      </c>
      <c r="F19" s="56"/>
      <c r="G19" s="68" t="s">
        <v>49</v>
      </c>
      <c r="H19" s="249">
        <v>50</v>
      </c>
      <c r="I19" s="249"/>
      <c r="J19" s="2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5"/>
      <c r="B20" s="83" t="s">
        <v>123</v>
      </c>
      <c r="C20" s="108">
        <v>1</v>
      </c>
      <c r="D20" s="13">
        <f t="shared" si="1"/>
        <v>1582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 t="s">
        <v>147</v>
      </c>
      <c r="C21" s="108">
        <v>1</v>
      </c>
      <c r="D21" s="48">
        <f t="shared" si="1"/>
        <v>1242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f>1122+120</f>
        <v>1242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5"/>
      <c r="B22" s="46" t="s">
        <v>148</v>
      </c>
      <c r="C22" s="108">
        <v>1</v>
      </c>
      <c r="D22" s="48">
        <f t="shared" si="1"/>
        <v>1102</v>
      </c>
      <c r="F22" s="76"/>
      <c r="G22" s="72"/>
      <c r="H22" s="186"/>
      <c r="I22" s="186"/>
      <c r="J22" s="186"/>
      <c r="L22" s="7">
        <v>1102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 t="s">
        <v>149</v>
      </c>
      <c r="C23" s="108">
        <v>1</v>
      </c>
      <c r="D23" s="48">
        <f t="shared" si="1"/>
        <v>1204</v>
      </c>
      <c r="F23" s="77"/>
      <c r="G23" s="78"/>
      <c r="H23" s="250"/>
      <c r="I23" s="186"/>
      <c r="J23" s="186"/>
      <c r="L23" s="47">
        <v>1204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 t="s">
        <v>150</v>
      </c>
      <c r="C24" s="108">
        <v>1</v>
      </c>
      <c r="D24" s="48">
        <f t="shared" si="1"/>
        <v>1582</v>
      </c>
      <c r="F24" s="38"/>
      <c r="G24" s="37"/>
      <c r="H24" s="187"/>
      <c r="I24" s="188"/>
      <c r="J24" s="188"/>
      <c r="L24" s="47">
        <f>1582</f>
        <v>1582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 t="s">
        <v>151</v>
      </c>
      <c r="C25" s="108">
        <v>1</v>
      </c>
      <c r="D25" s="48">
        <f t="shared" si="1"/>
        <v>1728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1728</f>
        <v>1728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 t="s">
        <v>152</v>
      </c>
      <c r="C26" s="108">
        <v>1</v>
      </c>
      <c r="D26" s="48">
        <f t="shared" si="1"/>
        <v>1277</v>
      </c>
      <c r="F26" s="64"/>
      <c r="G26" s="59"/>
      <c r="H26" s="192"/>
      <c r="I26" s="193"/>
      <c r="J26" s="194"/>
      <c r="L26" s="7">
        <f>1157+120</f>
        <v>1277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5"/>
      <c r="B27" s="14" t="s">
        <v>153</v>
      </c>
      <c r="C27" s="108">
        <v>2</v>
      </c>
      <c r="D27" s="44">
        <f t="shared" si="1"/>
        <v>3334</v>
      </c>
      <c r="F27" s="25"/>
      <c r="G27" s="79"/>
      <c r="H27" s="195"/>
      <c r="I27" s="196"/>
      <c r="J27" s="197"/>
      <c r="L27" s="7">
        <v>1667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 t="s">
        <v>92</v>
      </c>
      <c r="C28" s="108">
        <v>10</v>
      </c>
      <c r="D28" s="48">
        <f t="shared" si="1"/>
        <v>8110</v>
      </c>
      <c r="F28" s="101"/>
      <c r="G28" s="61"/>
      <c r="H28" s="198"/>
      <c r="I28" s="199"/>
      <c r="J28" s="20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4" t="s">
        <v>36</v>
      </c>
      <c r="B29" s="165"/>
      <c r="C29" s="166"/>
      <c r="D29" s="170">
        <f>SUM(D6:D28)</f>
        <v>403944</v>
      </c>
      <c r="F29" s="172" t="s">
        <v>54</v>
      </c>
      <c r="G29" s="173"/>
      <c r="H29" s="176">
        <f>H15-H16-H17-H18-H19-H20-H22-H23-H24+H26+H27</f>
        <v>330400.75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/>
      <c r="H34" s="204">
        <f>F34*G34</f>
        <v>0</v>
      </c>
      <c r="I34" s="205"/>
      <c r="J34" s="20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5"/>
      <c r="B35" s="27" t="s">
        <v>67</v>
      </c>
      <c r="C35" s="52">
        <v>7</v>
      </c>
      <c r="D35" s="30">
        <f>C35*84</f>
        <v>588</v>
      </c>
      <c r="F35" s="58">
        <v>500</v>
      </c>
      <c r="G35" s="41">
        <v>13</v>
      </c>
      <c r="H35" s="204">
        <f>F35*G35</f>
        <v>6500</v>
      </c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>
        <v>11</v>
      </c>
      <c r="D36" s="12">
        <f>C36*1.5</f>
        <v>16.5</v>
      </c>
      <c r="F36" s="12">
        <v>200</v>
      </c>
      <c r="G36" s="37"/>
      <c r="H36" s="204">
        <f t="shared" ref="H36:H39" si="2">F36*G36</f>
        <v>0</v>
      </c>
      <c r="I36" s="205"/>
      <c r="J36" s="20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4" t="s">
        <v>71</v>
      </c>
      <c r="B37" s="28" t="s">
        <v>65</v>
      </c>
      <c r="C37" s="53">
        <v>278</v>
      </c>
      <c r="D37" s="12">
        <f>C37*111</f>
        <v>30858</v>
      </c>
      <c r="F37" s="12">
        <v>100</v>
      </c>
      <c r="G37" s="39">
        <v>30</v>
      </c>
      <c r="H37" s="204">
        <f t="shared" si="2"/>
        <v>3000</v>
      </c>
      <c r="I37" s="205"/>
      <c r="J37" s="20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5"/>
      <c r="B38" s="29" t="s">
        <v>67</v>
      </c>
      <c r="C38" s="54">
        <v>382</v>
      </c>
      <c r="D38" s="12">
        <f>C38*84</f>
        <v>32088</v>
      </c>
      <c r="F38" s="30">
        <v>50</v>
      </c>
      <c r="G38" s="39">
        <v>3</v>
      </c>
      <c r="H38" s="204">
        <f t="shared" si="2"/>
        <v>150</v>
      </c>
      <c r="I38" s="205"/>
      <c r="J38" s="20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6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04">
        <f t="shared" si="2"/>
        <v>0</v>
      </c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4"/>
      <c r="I40" s="205"/>
      <c r="J40" s="20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5"/>
      <c r="B41" s="27" t="s">
        <v>67</v>
      </c>
      <c r="C41" s="10">
        <v>32</v>
      </c>
      <c r="D41" s="12">
        <f>C41*84</f>
        <v>2688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6"/>
      <c r="B42" s="27" t="s">
        <v>69</v>
      </c>
      <c r="C42" s="11">
        <v>7</v>
      </c>
      <c r="D42" s="12">
        <f>C42*2.25</f>
        <v>15.75</v>
      </c>
      <c r="F42" s="39" t="s">
        <v>78</v>
      </c>
      <c r="G42" s="204">
        <v>38</v>
      </c>
      <c r="H42" s="205"/>
      <c r="I42" s="205"/>
      <c r="J42" s="20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99" t="s">
        <v>82</v>
      </c>
      <c r="H43" s="210" t="s">
        <v>13</v>
      </c>
      <c r="I43" s="211"/>
      <c r="J43" s="21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8"/>
      <c r="B44" s="27" t="s">
        <v>65</v>
      </c>
      <c r="C44" s="10">
        <v>3</v>
      </c>
      <c r="D44" s="12">
        <f>C44*120</f>
        <v>360</v>
      </c>
      <c r="F44" s="37" t="s">
        <v>132</v>
      </c>
      <c r="G44" s="75" t="s">
        <v>145</v>
      </c>
      <c r="H44" s="188">
        <v>98416</v>
      </c>
      <c r="I44" s="188"/>
      <c r="J44" s="18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8"/>
      <c r="B45" s="27" t="s">
        <v>67</v>
      </c>
      <c r="C45" s="33">
        <v>69</v>
      </c>
      <c r="D45" s="12">
        <f>C45*84</f>
        <v>5796</v>
      </c>
      <c r="F45" s="37" t="s">
        <v>132</v>
      </c>
      <c r="G45" s="75" t="s">
        <v>146</v>
      </c>
      <c r="H45" s="188">
        <v>221673</v>
      </c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0">
        <v>10</v>
      </c>
      <c r="D46" s="12">
        <f>C46*1.5</f>
        <v>15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/>
      <c r="D48" s="12">
        <f>C48*78</f>
        <v>0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329777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>
        <v>5</v>
      </c>
      <c r="D50" s="12">
        <f>C50*1.5</f>
        <v>7.5</v>
      </c>
      <c r="F50" s="230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154</v>
      </c>
      <c r="G51" s="239">
        <f>G49-H29</f>
        <v>-623.75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8"/>
      <c r="B52" s="29"/>
      <c r="C52" s="33"/>
      <c r="D52" s="45"/>
      <c r="F52" s="232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72575.25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16274-D9C6-4DF3-A750-53BAD6AEC132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0" t="s">
        <v>1</v>
      </c>
      <c r="O1" s="110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1" t="s">
        <v>7</v>
      </c>
      <c r="B4" s="112"/>
      <c r="C4" s="112"/>
      <c r="D4" s="113"/>
      <c r="F4" s="114" t="s">
        <v>8</v>
      </c>
      <c r="G4" s="116"/>
      <c r="H4" s="118" t="s">
        <v>9</v>
      </c>
      <c r="I4" s="120"/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5"/>
      <c r="B6" s="16"/>
      <c r="C6" s="10"/>
      <c r="D6" s="13">
        <f t="shared" ref="D6:D28" si="1">C6*L6</f>
        <v>0</v>
      </c>
      <c r="F6" s="127" t="s">
        <v>16</v>
      </c>
      <c r="G6" s="129"/>
      <c r="H6" s="130"/>
      <c r="I6" s="130"/>
      <c r="J6" s="1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5"/>
      <c r="B7" s="16"/>
      <c r="C7" s="10"/>
      <c r="D7" s="13">
        <f t="shared" si="1"/>
        <v>0</v>
      </c>
      <c r="F7" s="128"/>
      <c r="G7" s="132"/>
      <c r="H7" s="133"/>
      <c r="I7" s="133"/>
      <c r="J7" s="13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5"/>
      <c r="B8" s="16"/>
      <c r="C8" s="10"/>
      <c r="D8" s="13">
        <f t="shared" si="1"/>
        <v>0</v>
      </c>
      <c r="F8" s="135" t="s">
        <v>21</v>
      </c>
      <c r="G8" s="137"/>
      <c r="H8" s="138"/>
      <c r="I8" s="138"/>
      <c r="J8" s="1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5"/>
      <c r="B9" s="16"/>
      <c r="C9" s="10"/>
      <c r="D9" s="13">
        <f t="shared" si="1"/>
        <v>0</v>
      </c>
      <c r="F9" s="128"/>
      <c r="G9" s="140"/>
      <c r="H9" s="141"/>
      <c r="I9" s="141"/>
      <c r="J9" s="1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5"/>
      <c r="C10" s="10"/>
      <c r="D10" s="13">
        <f t="shared" si="1"/>
        <v>0</v>
      </c>
      <c r="F10" s="127" t="s">
        <v>26</v>
      </c>
      <c r="G10" s="143"/>
      <c r="H10" s="144"/>
      <c r="I10" s="144"/>
      <c r="J10" s="145"/>
      <c r="K10" s="8"/>
      <c r="L10" s="6">
        <f>R36</f>
        <v>972</v>
      </c>
      <c r="P10" s="4"/>
      <c r="Q10" s="4"/>
      <c r="R10" s="5"/>
    </row>
    <row r="11" spans="1:19" ht="15.75" x14ac:dyDescent="0.25">
      <c r="A11" s="125"/>
      <c r="B11" s="17"/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5"/>
      <c r="B12" s="17"/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5"/>
      <c r="B13" s="17"/>
      <c r="C13" s="10"/>
      <c r="D13" s="48">
        <f t="shared" si="1"/>
        <v>0</v>
      </c>
      <c r="F13" s="149" t="s">
        <v>36</v>
      </c>
      <c r="G13" s="150"/>
      <c r="H13" s="151">
        <f>D29</f>
        <v>0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5"/>
      <c r="B14" s="14"/>
      <c r="C14" s="10"/>
      <c r="D14" s="31">
        <f t="shared" si="1"/>
        <v>0</v>
      </c>
      <c r="F14" s="154" t="s">
        <v>38</v>
      </c>
      <c r="G14" s="155"/>
      <c r="H14" s="156">
        <f>D54</f>
        <v>0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5"/>
      <c r="B15" s="14"/>
      <c r="C15" s="10"/>
      <c r="D15" s="31">
        <f t="shared" si="1"/>
        <v>0</v>
      </c>
      <c r="F15" s="159" t="s">
        <v>39</v>
      </c>
      <c r="G15" s="150"/>
      <c r="H15" s="160">
        <f>H13-H14</f>
        <v>0</v>
      </c>
      <c r="I15" s="161"/>
      <c r="J15" s="16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3"/>
      <c r="I16" s="163"/>
      <c r="J16" s="16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19"/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14"/>
      <c r="C19" s="10"/>
      <c r="D19" s="48">
        <f t="shared" si="1"/>
        <v>0</v>
      </c>
      <c r="F19" s="56"/>
      <c r="G19" s="68" t="s">
        <v>49</v>
      </c>
      <c r="H19" s="182"/>
      <c r="I19" s="182"/>
      <c r="J19" s="18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5"/>
      <c r="B20" s="46"/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5"/>
      <c r="B22" s="46"/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/>
      <c r="C23" s="10"/>
      <c r="D23" s="48">
        <f t="shared" si="1"/>
        <v>0</v>
      </c>
      <c r="F23" s="77"/>
      <c r="G23" s="78"/>
      <c r="H23" s="187"/>
      <c r="I23" s="188"/>
      <c r="J23" s="18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/>
      <c r="C24" s="10"/>
      <c r="D24" s="48">
        <f t="shared" si="1"/>
        <v>0</v>
      </c>
      <c r="F24" s="38"/>
      <c r="G24" s="37"/>
      <c r="H24" s="187"/>
      <c r="I24" s="188"/>
      <c r="J24" s="18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5"/>
      <c r="B27" s="14"/>
      <c r="C27" s="10"/>
      <c r="D27" s="44">
        <f t="shared" si="1"/>
        <v>0</v>
      </c>
      <c r="F27" s="25"/>
      <c r="G27" s="79"/>
      <c r="H27" s="195"/>
      <c r="I27" s="196"/>
      <c r="J27" s="19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/>
      <c r="C28" s="10"/>
      <c r="D28" s="48">
        <f t="shared" si="1"/>
        <v>0</v>
      </c>
      <c r="F28" s="101"/>
      <c r="G28" s="61"/>
      <c r="H28" s="198"/>
      <c r="I28" s="199"/>
      <c r="J28" s="20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4" t="s">
        <v>36</v>
      </c>
      <c r="B29" s="165"/>
      <c r="C29" s="166"/>
      <c r="D29" s="170">
        <f>SUM(D6:D28)</f>
        <v>0</v>
      </c>
      <c r="F29" s="172" t="s">
        <v>54</v>
      </c>
      <c r="G29" s="173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4"/>
      <c r="I34" s="205"/>
      <c r="J34" s="20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/>
      <c r="H35" s="204"/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/>
      <c r="I36" s="205"/>
      <c r="J36" s="20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4"/>
      <c r="I37" s="205"/>
      <c r="J37" s="20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5"/>
      <c r="B38" s="29" t="s">
        <v>67</v>
      </c>
      <c r="C38" s="54"/>
      <c r="D38" s="12">
        <f>C38*84</f>
        <v>0</v>
      </c>
      <c r="F38" s="30">
        <v>50</v>
      </c>
      <c r="G38" s="39"/>
      <c r="H38" s="204"/>
      <c r="I38" s="205"/>
      <c r="J38" s="20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/>
      <c r="H39" s="204"/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4"/>
      <c r="I40" s="205"/>
      <c r="J40" s="20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/>
      <c r="H42" s="205"/>
      <c r="I42" s="205"/>
      <c r="J42" s="20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99" t="s">
        <v>82</v>
      </c>
      <c r="H43" s="210" t="s">
        <v>13</v>
      </c>
      <c r="I43" s="211"/>
      <c r="J43" s="212"/>
      <c r="K43" s="21"/>
      <c r="P43" s="4"/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/>
      <c r="G44" s="75"/>
      <c r="H44" s="188"/>
      <c r="I44" s="188"/>
      <c r="J44" s="188"/>
      <c r="K44" s="21"/>
      <c r="P44" s="4"/>
      <c r="Q44" s="4"/>
      <c r="R44" s="5"/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75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0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/>
      <c r="D48" s="12">
        <f>C48*78</f>
        <v>0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/>
      <c r="D50" s="12">
        <f>C50*1.5</f>
        <v>0</v>
      </c>
      <c r="F50" s="230"/>
      <c r="G50" s="179"/>
      <c r="H50" s="180"/>
      <c r="I50" s="180"/>
      <c r="J50" s="181"/>
      <c r="P50" s="4"/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106</v>
      </c>
      <c r="G51" s="233">
        <f>G49-H29</f>
        <v>0</v>
      </c>
      <c r="H51" s="234"/>
      <c r="I51" s="234"/>
      <c r="J51" s="23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8"/>
      <c r="B52" s="29"/>
      <c r="C52" s="33"/>
      <c r="D52" s="45"/>
      <c r="F52" s="232"/>
      <c r="G52" s="236"/>
      <c r="H52" s="237"/>
      <c r="I52" s="237"/>
      <c r="J52" s="23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0</v>
      </c>
      <c r="F54" s="21"/>
      <c r="J54" s="34"/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008A8-7BD6-4FD4-AB39-31F263AFCBFF}">
  <dimension ref="A1:R59"/>
  <sheetViews>
    <sheetView topLeftCell="A21" zoomScaleNormal="100" zoomScaleSheetLayoutView="85" workbookViewId="0">
      <selection activeCell="C51" sqref="C5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0" t="s">
        <v>1</v>
      </c>
      <c r="O1" s="110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1" t="s">
        <v>7</v>
      </c>
      <c r="B4" s="112"/>
      <c r="C4" s="112"/>
      <c r="D4" s="113"/>
      <c r="F4" s="114" t="s">
        <v>8</v>
      </c>
      <c r="G4" s="116">
        <v>1</v>
      </c>
      <c r="H4" s="118" t="s">
        <v>9</v>
      </c>
      <c r="I4" s="120">
        <v>46176</v>
      </c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5"/>
      <c r="B6" s="16" t="s">
        <v>15</v>
      </c>
      <c r="C6" s="10">
        <v>441</v>
      </c>
      <c r="D6" s="13">
        <f t="shared" ref="D6:D28" si="1">C6*L6</f>
        <v>335601</v>
      </c>
      <c r="F6" s="127" t="s">
        <v>16</v>
      </c>
      <c r="G6" s="129" t="s">
        <v>99</v>
      </c>
      <c r="H6" s="130"/>
      <c r="I6" s="130"/>
      <c r="J6" s="13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5"/>
      <c r="B7" s="16" t="s">
        <v>18</v>
      </c>
      <c r="C7" s="10">
        <v>5</v>
      </c>
      <c r="D7" s="13">
        <f t="shared" si="1"/>
        <v>3905</v>
      </c>
      <c r="F7" s="128"/>
      <c r="G7" s="132"/>
      <c r="H7" s="133"/>
      <c r="I7" s="133"/>
      <c r="J7" s="13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5"/>
      <c r="B8" s="16" t="s">
        <v>20</v>
      </c>
      <c r="C8" s="10">
        <v>1</v>
      </c>
      <c r="D8" s="13">
        <f t="shared" si="1"/>
        <v>1093</v>
      </c>
      <c r="F8" s="135" t="s">
        <v>21</v>
      </c>
      <c r="G8" s="137" t="s">
        <v>117</v>
      </c>
      <c r="H8" s="138"/>
      <c r="I8" s="138"/>
      <c r="J8" s="1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5"/>
      <c r="B9" s="16" t="s">
        <v>23</v>
      </c>
      <c r="C9" s="10">
        <v>10</v>
      </c>
      <c r="D9" s="13">
        <f t="shared" si="1"/>
        <v>7330</v>
      </c>
      <c r="F9" s="128"/>
      <c r="G9" s="140"/>
      <c r="H9" s="141"/>
      <c r="I9" s="141"/>
      <c r="J9" s="1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5"/>
      <c r="B10" t="s">
        <v>25</v>
      </c>
      <c r="C10" s="10">
        <v>1</v>
      </c>
      <c r="D10" s="13">
        <f t="shared" si="1"/>
        <v>1032</v>
      </c>
      <c r="F10" s="127" t="s">
        <v>26</v>
      </c>
      <c r="G10" s="143" t="s">
        <v>108</v>
      </c>
      <c r="H10" s="144"/>
      <c r="I10" s="144"/>
      <c r="J10" s="145"/>
      <c r="K10" s="8"/>
      <c r="L10" s="6">
        <f>R36</f>
        <v>1032</v>
      </c>
      <c r="P10" s="4"/>
      <c r="Q10" s="4"/>
      <c r="R10" s="5"/>
    </row>
    <row r="11" spans="1:18" ht="15.75" x14ac:dyDescent="0.25">
      <c r="A11" s="125"/>
      <c r="B11" s="17" t="s">
        <v>28</v>
      </c>
      <c r="C11" s="10">
        <v>2</v>
      </c>
      <c r="D11" s="13">
        <f t="shared" si="1"/>
        <v>2340</v>
      </c>
      <c r="F11" s="128"/>
      <c r="G11" s="140"/>
      <c r="H11" s="141"/>
      <c r="I11" s="141"/>
      <c r="J11" s="1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5"/>
      <c r="B12" s="17" t="s">
        <v>30</v>
      </c>
      <c r="C12" s="10">
        <v>2</v>
      </c>
      <c r="D12" s="48">
        <f t="shared" si="1"/>
        <v>1984</v>
      </c>
      <c r="F12" s="146" t="s">
        <v>33</v>
      </c>
      <c r="G12" s="147"/>
      <c r="H12" s="147"/>
      <c r="I12" s="147"/>
      <c r="J12" s="1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5"/>
      <c r="B13" s="17" t="s">
        <v>32</v>
      </c>
      <c r="C13" s="10">
        <v>13</v>
      </c>
      <c r="D13" s="48">
        <f t="shared" si="1"/>
        <v>3991</v>
      </c>
      <c r="F13" s="149" t="s">
        <v>36</v>
      </c>
      <c r="G13" s="150"/>
      <c r="H13" s="151">
        <f>D29</f>
        <v>361570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5"/>
      <c r="B14" s="14" t="s">
        <v>35</v>
      </c>
      <c r="C14" s="10">
        <v>12</v>
      </c>
      <c r="D14" s="31">
        <f t="shared" si="1"/>
        <v>132</v>
      </c>
      <c r="F14" s="154" t="s">
        <v>38</v>
      </c>
      <c r="G14" s="155"/>
      <c r="H14" s="156">
        <f>D54</f>
        <v>41899.5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5"/>
      <c r="B15" s="14" t="s">
        <v>119</v>
      </c>
      <c r="C15" s="10">
        <v>2</v>
      </c>
      <c r="D15" s="31">
        <f t="shared" si="1"/>
        <v>1240</v>
      </c>
      <c r="F15" s="159" t="s">
        <v>39</v>
      </c>
      <c r="G15" s="150"/>
      <c r="H15" s="160">
        <f>H13-H14</f>
        <v>319670.5</v>
      </c>
      <c r="I15" s="161"/>
      <c r="J15" s="16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5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63">
        <v>1944</v>
      </c>
      <c r="I16" s="163"/>
      <c r="J16" s="16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3"/>
      <c r="I19" s="163"/>
      <c r="J19" s="1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5"/>
      <c r="B22" s="46" t="s">
        <v>103</v>
      </c>
      <c r="C22" s="10"/>
      <c r="D22" s="48">
        <f t="shared" si="1"/>
        <v>0</v>
      </c>
      <c r="F22" s="76" t="s">
        <v>157</v>
      </c>
      <c r="G22" s="72">
        <v>10843</v>
      </c>
      <c r="H22" s="186">
        <v>88549</v>
      </c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 t="s">
        <v>118</v>
      </c>
      <c r="C23" s="10"/>
      <c r="D23" s="48">
        <f t="shared" si="1"/>
        <v>0</v>
      </c>
      <c r="F23" s="76"/>
      <c r="G23" s="78"/>
      <c r="H23" s="245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 t="s">
        <v>125</v>
      </c>
      <c r="C24" s="10"/>
      <c r="D24" s="48">
        <f t="shared" si="1"/>
        <v>0</v>
      </c>
      <c r="F24" s="76"/>
      <c r="G24" s="78"/>
      <c r="H24" s="245"/>
      <c r="I24" s="246"/>
      <c r="J24" s="24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 t="s">
        <v>126</v>
      </c>
      <c r="C26" s="10"/>
      <c r="D26" s="48">
        <f t="shared" si="1"/>
        <v>0</v>
      </c>
      <c r="F26" s="74" t="s">
        <v>157</v>
      </c>
      <c r="G26" s="65">
        <v>10547</v>
      </c>
      <c r="H26" s="188">
        <v>78233</v>
      </c>
      <c r="I26" s="188"/>
      <c r="J26" s="18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5"/>
      <c r="B27" s="14" t="s">
        <v>127</v>
      </c>
      <c r="C27" s="10"/>
      <c r="D27" s="44">
        <f t="shared" si="1"/>
        <v>0</v>
      </c>
      <c r="F27" s="71"/>
      <c r="G27" s="99"/>
      <c r="H27" s="247"/>
      <c r="I27" s="248"/>
      <c r="J27" s="24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 t="s">
        <v>92</v>
      </c>
      <c r="C28" s="10">
        <v>2</v>
      </c>
      <c r="D28" s="48">
        <f t="shared" si="1"/>
        <v>1622</v>
      </c>
      <c r="F28" s="101"/>
      <c r="G28" s="61"/>
      <c r="H28" s="198"/>
      <c r="I28" s="199"/>
      <c r="J28" s="20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4" t="s">
        <v>36</v>
      </c>
      <c r="B29" s="165"/>
      <c r="C29" s="166"/>
      <c r="D29" s="170">
        <f>SUM(D6:D28)</f>
        <v>361570</v>
      </c>
      <c r="F29" s="172" t="s">
        <v>54</v>
      </c>
      <c r="G29" s="173"/>
      <c r="H29" s="176">
        <f>H15-H16-H17-H18-H19-H20-H22-H23-H24+H26+H27+H28</f>
        <v>307410.5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180</v>
      </c>
      <c r="H34" s="204">
        <f t="shared" ref="H34:H39" si="2">F34*G34</f>
        <v>180000</v>
      </c>
      <c r="I34" s="205"/>
      <c r="J34" s="20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>
        <v>2</v>
      </c>
      <c r="H35" s="204">
        <f t="shared" si="2"/>
        <v>1000</v>
      </c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>
        <f t="shared" si="2"/>
        <v>0</v>
      </c>
      <c r="I36" s="205"/>
      <c r="J36" s="20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4" t="s">
        <v>71</v>
      </c>
      <c r="B37" s="28" t="s">
        <v>65</v>
      </c>
      <c r="C37" s="53">
        <v>351</v>
      </c>
      <c r="D37" s="12">
        <f>C37*111</f>
        <v>38961</v>
      </c>
      <c r="F37" s="12">
        <v>100</v>
      </c>
      <c r="G37" s="39">
        <v>437</v>
      </c>
      <c r="H37" s="204">
        <f t="shared" si="2"/>
        <v>43700</v>
      </c>
      <c r="I37" s="205"/>
      <c r="J37" s="20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5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64</v>
      </c>
      <c r="H38" s="204">
        <f t="shared" si="2"/>
        <v>3200</v>
      </c>
      <c r="I38" s="205"/>
      <c r="J38" s="20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6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04">
        <f t="shared" si="2"/>
        <v>0</v>
      </c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04"/>
      <c r="I40" s="205"/>
      <c r="J40" s="20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6"/>
      <c r="B42" s="27" t="s">
        <v>69</v>
      </c>
      <c r="C42" s="11">
        <v>6</v>
      </c>
      <c r="D42" s="12">
        <f>C42*2.25</f>
        <v>13.5</v>
      </c>
      <c r="F42" s="39" t="s">
        <v>78</v>
      </c>
      <c r="G42" s="204"/>
      <c r="H42" s="205"/>
      <c r="I42" s="205"/>
      <c r="J42" s="20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99" t="s">
        <v>82</v>
      </c>
      <c r="H43" s="210" t="s">
        <v>13</v>
      </c>
      <c r="I43" s="211"/>
      <c r="J43" s="21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8"/>
      <c r="B44" s="27" t="s">
        <v>65</v>
      </c>
      <c r="C44" s="10">
        <v>8</v>
      </c>
      <c r="D44" s="12">
        <f>C44*120</f>
        <v>960</v>
      </c>
      <c r="F44" s="37" t="s">
        <v>155</v>
      </c>
      <c r="G44" s="109" t="s">
        <v>156</v>
      </c>
      <c r="H44" s="188">
        <v>78233</v>
      </c>
      <c r="I44" s="188"/>
      <c r="J44" s="18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62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0"/>
      <c r="D46" s="12">
        <f>C46*1.5</f>
        <v>0</v>
      </c>
      <c r="F46" s="37"/>
      <c r="G46" s="62"/>
      <c r="H46" s="188"/>
      <c r="I46" s="188"/>
      <c r="J46" s="188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>
        <v>7</v>
      </c>
      <c r="D49" s="12">
        <f>C49*42</f>
        <v>294</v>
      </c>
      <c r="F49" s="229" t="s">
        <v>85</v>
      </c>
      <c r="G49" s="176">
        <f>H34+H35+H36+H37+H38+H39+H40+H41+G42+H44+H45+H46</f>
        <v>306133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>
        <v>11</v>
      </c>
      <c r="D50" s="12">
        <f>C50*1.5</f>
        <v>16.5</v>
      </c>
      <c r="F50" s="230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158</v>
      </c>
      <c r="G51" s="239">
        <f>G49-H29</f>
        <v>-1277.5</v>
      </c>
      <c r="H51" s="240"/>
      <c r="I51" s="240"/>
      <c r="J51" s="24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8"/>
      <c r="B52" s="29"/>
      <c r="C52" s="33"/>
      <c r="D52" s="45"/>
      <c r="F52" s="232"/>
      <c r="G52" s="242"/>
      <c r="H52" s="243"/>
      <c r="I52" s="243"/>
      <c r="J52" s="24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41899.5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119D6-AB60-483E-9247-34913FE9A1B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0" t="s">
        <v>1</v>
      </c>
      <c r="O1" s="110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1" t="s">
        <v>7</v>
      </c>
      <c r="B4" s="112"/>
      <c r="C4" s="112"/>
      <c r="D4" s="113"/>
      <c r="F4" s="114" t="s">
        <v>8</v>
      </c>
      <c r="G4" s="116">
        <v>2</v>
      </c>
      <c r="H4" s="118" t="s">
        <v>9</v>
      </c>
      <c r="I4" s="120">
        <v>46176</v>
      </c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5"/>
      <c r="B6" s="16" t="s">
        <v>15</v>
      </c>
      <c r="C6" s="10"/>
      <c r="D6" s="13">
        <f t="shared" ref="D6:D28" si="1">C6*L6</f>
        <v>0</v>
      </c>
      <c r="F6" s="127" t="s">
        <v>16</v>
      </c>
      <c r="G6" s="129" t="s">
        <v>107</v>
      </c>
      <c r="H6" s="130"/>
      <c r="I6" s="130"/>
      <c r="J6" s="13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5"/>
      <c r="B7" s="16" t="s">
        <v>18</v>
      </c>
      <c r="C7" s="10"/>
      <c r="D7" s="13">
        <f t="shared" si="1"/>
        <v>0</v>
      </c>
      <c r="F7" s="128"/>
      <c r="G7" s="132"/>
      <c r="H7" s="133"/>
      <c r="I7" s="133"/>
      <c r="J7" s="13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5"/>
      <c r="B8" s="16" t="s">
        <v>20</v>
      </c>
      <c r="C8" s="10"/>
      <c r="D8" s="13">
        <f t="shared" si="1"/>
        <v>0</v>
      </c>
      <c r="F8" s="135" t="s">
        <v>21</v>
      </c>
      <c r="G8" s="137" t="s">
        <v>100</v>
      </c>
      <c r="H8" s="138"/>
      <c r="I8" s="138"/>
      <c r="J8" s="1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5"/>
      <c r="B9" s="16" t="s">
        <v>23</v>
      </c>
      <c r="C9" s="10"/>
      <c r="D9" s="13">
        <f t="shared" si="1"/>
        <v>0</v>
      </c>
      <c r="F9" s="128"/>
      <c r="G9" s="140"/>
      <c r="H9" s="141"/>
      <c r="I9" s="141"/>
      <c r="J9" s="1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5"/>
      <c r="B10" t="s">
        <v>25</v>
      </c>
      <c r="C10" s="10"/>
      <c r="D10" s="13">
        <f t="shared" si="1"/>
        <v>0</v>
      </c>
      <c r="F10" s="127" t="s">
        <v>26</v>
      </c>
      <c r="G10" s="143" t="s">
        <v>101</v>
      </c>
      <c r="H10" s="144"/>
      <c r="I10" s="144"/>
      <c r="J10" s="145"/>
      <c r="K10" s="8"/>
      <c r="L10" s="6">
        <f>R36</f>
        <v>1032</v>
      </c>
      <c r="P10" s="4"/>
      <c r="Q10" s="4"/>
      <c r="R10" s="5"/>
    </row>
    <row r="11" spans="1:18" ht="15.75" x14ac:dyDescent="0.25">
      <c r="A11" s="125"/>
      <c r="B11" s="17" t="s">
        <v>28</v>
      </c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5"/>
      <c r="B12" s="17" t="s">
        <v>30</v>
      </c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5"/>
      <c r="B13" s="17" t="s">
        <v>32</v>
      </c>
      <c r="C13" s="10"/>
      <c r="D13" s="48">
        <f t="shared" si="1"/>
        <v>0</v>
      </c>
      <c r="F13" s="149" t="s">
        <v>36</v>
      </c>
      <c r="G13" s="150"/>
      <c r="H13" s="151">
        <f>D29</f>
        <v>0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5"/>
      <c r="B14" s="14" t="s">
        <v>35</v>
      </c>
      <c r="C14" s="10"/>
      <c r="D14" s="31">
        <f t="shared" si="1"/>
        <v>0</v>
      </c>
      <c r="F14" s="154" t="s">
        <v>38</v>
      </c>
      <c r="G14" s="155"/>
      <c r="H14" s="156">
        <f>D54</f>
        <v>0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5"/>
      <c r="B15" s="14" t="s">
        <v>119</v>
      </c>
      <c r="C15" s="10"/>
      <c r="D15" s="31">
        <f t="shared" si="1"/>
        <v>0</v>
      </c>
      <c r="F15" s="159" t="s">
        <v>39</v>
      </c>
      <c r="G15" s="150"/>
      <c r="H15" s="160">
        <f>H13-H14</f>
        <v>0</v>
      </c>
      <c r="I15" s="161"/>
      <c r="J15" s="16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3"/>
      <c r="I16" s="163"/>
      <c r="J16" s="16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9"/>
      <c r="I19" s="249"/>
      <c r="J19" s="2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5"/>
      <c r="B22" s="46" t="s">
        <v>103</v>
      </c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 t="s">
        <v>118</v>
      </c>
      <c r="C23" s="10"/>
      <c r="D23" s="48">
        <f t="shared" si="1"/>
        <v>0</v>
      </c>
      <c r="F23" s="77"/>
      <c r="G23" s="78"/>
      <c r="H23" s="250"/>
      <c r="I23" s="186"/>
      <c r="J23" s="1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 t="s">
        <v>125</v>
      </c>
      <c r="C24" s="10"/>
      <c r="D24" s="48">
        <f t="shared" si="1"/>
        <v>0</v>
      </c>
      <c r="F24" s="38"/>
      <c r="G24" s="37"/>
      <c r="H24" s="187"/>
      <c r="I24" s="188"/>
      <c r="J24" s="1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 t="s">
        <v>126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5"/>
      <c r="B27" s="14" t="s">
        <v>127</v>
      </c>
      <c r="C27" s="10"/>
      <c r="D27" s="44">
        <f t="shared" si="1"/>
        <v>0</v>
      </c>
      <c r="F27" s="25"/>
      <c r="G27" s="79"/>
      <c r="H27" s="195"/>
      <c r="I27" s="196"/>
      <c r="J27" s="19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 t="s">
        <v>92</v>
      </c>
      <c r="C28" s="10"/>
      <c r="D28" s="48">
        <f t="shared" si="1"/>
        <v>0</v>
      </c>
      <c r="F28" s="101"/>
      <c r="G28" s="61"/>
      <c r="H28" s="198"/>
      <c r="I28" s="199"/>
      <c r="J28" s="20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4" t="s">
        <v>36</v>
      </c>
      <c r="B29" s="165"/>
      <c r="C29" s="166"/>
      <c r="D29" s="170">
        <f>SUM(D6:D28)</f>
        <v>0</v>
      </c>
      <c r="F29" s="172" t="s">
        <v>54</v>
      </c>
      <c r="G29" s="173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4">
        <f>F34*G34</f>
        <v>0</v>
      </c>
      <c r="I34" s="205"/>
      <c r="J34" s="20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/>
      <c r="H35" s="204">
        <f>F35*G35</f>
        <v>0</v>
      </c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>
        <f t="shared" ref="H36:H39" si="2">F36*G36</f>
        <v>0</v>
      </c>
      <c r="I36" s="205"/>
      <c r="J36" s="20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4">
        <f t="shared" si="2"/>
        <v>0</v>
      </c>
      <c r="I37" s="205"/>
      <c r="J37" s="20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5"/>
      <c r="B38" s="29" t="s">
        <v>67</v>
      </c>
      <c r="C38" s="54"/>
      <c r="D38" s="12">
        <f>C38*84</f>
        <v>0</v>
      </c>
      <c r="F38" s="30">
        <v>50</v>
      </c>
      <c r="G38" s="39"/>
      <c r="H38" s="204">
        <f t="shared" si="2"/>
        <v>0</v>
      </c>
      <c r="I38" s="205"/>
      <c r="J38" s="20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/>
      <c r="H39" s="204">
        <f t="shared" si="2"/>
        <v>0</v>
      </c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4"/>
      <c r="I40" s="205"/>
      <c r="J40" s="20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/>
      <c r="H42" s="205"/>
      <c r="I42" s="205"/>
      <c r="J42" s="20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99" t="s">
        <v>82</v>
      </c>
      <c r="H43" s="210" t="s">
        <v>13</v>
      </c>
      <c r="I43" s="211"/>
      <c r="J43" s="21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/>
      <c r="G44" s="75"/>
      <c r="H44" s="188"/>
      <c r="I44" s="188"/>
      <c r="J44" s="18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75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0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/>
      <c r="D48" s="12">
        <f>C48*78</f>
        <v>0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80"/>
      <c r="D50" s="12">
        <f>C50*1.5</f>
        <v>0</v>
      </c>
      <c r="F50" s="230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113</v>
      </c>
      <c r="G51" s="233">
        <f>G49-H29</f>
        <v>0</v>
      </c>
      <c r="H51" s="234"/>
      <c r="I51" s="234"/>
      <c r="J51" s="23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8"/>
      <c r="B52" s="29"/>
      <c r="C52" s="33"/>
      <c r="D52" s="45"/>
      <c r="F52" s="232"/>
      <c r="G52" s="236"/>
      <c r="H52" s="237"/>
      <c r="I52" s="237"/>
      <c r="J52" s="23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603ED-621E-4A79-9D61-DD3BBCB2107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0" t="s">
        <v>1</v>
      </c>
      <c r="O1" s="110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1" t="s">
        <v>7</v>
      </c>
      <c r="B4" s="112"/>
      <c r="C4" s="112"/>
      <c r="D4" s="113"/>
      <c r="F4" s="114" t="s">
        <v>8</v>
      </c>
      <c r="G4" s="116">
        <v>3</v>
      </c>
      <c r="H4" s="118" t="s">
        <v>9</v>
      </c>
      <c r="I4" s="120">
        <v>46176</v>
      </c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5"/>
      <c r="B6" s="16" t="s">
        <v>15</v>
      </c>
      <c r="C6" s="10"/>
      <c r="D6" s="13">
        <f t="shared" ref="D6:D28" si="1">C6*L6</f>
        <v>0</v>
      </c>
      <c r="F6" s="127" t="s">
        <v>16</v>
      </c>
      <c r="G6" s="129" t="s">
        <v>115</v>
      </c>
      <c r="H6" s="130"/>
      <c r="I6" s="130"/>
      <c r="J6" s="13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5"/>
      <c r="B7" s="16" t="s">
        <v>18</v>
      </c>
      <c r="C7" s="10"/>
      <c r="D7" s="13">
        <f t="shared" si="1"/>
        <v>0</v>
      </c>
      <c r="F7" s="128"/>
      <c r="G7" s="132"/>
      <c r="H7" s="133"/>
      <c r="I7" s="133"/>
      <c r="J7" s="13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5"/>
      <c r="B8" s="16" t="s">
        <v>20</v>
      </c>
      <c r="C8" s="10"/>
      <c r="D8" s="13">
        <f t="shared" si="1"/>
        <v>0</v>
      </c>
      <c r="F8" s="135" t="s">
        <v>21</v>
      </c>
      <c r="G8" s="137" t="s">
        <v>109</v>
      </c>
      <c r="H8" s="138"/>
      <c r="I8" s="138"/>
      <c r="J8" s="1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5"/>
      <c r="B9" s="16" t="s">
        <v>23</v>
      </c>
      <c r="C9" s="10"/>
      <c r="D9" s="13">
        <f t="shared" si="1"/>
        <v>0</v>
      </c>
      <c r="F9" s="128"/>
      <c r="G9" s="140"/>
      <c r="H9" s="141"/>
      <c r="I9" s="141"/>
      <c r="J9" s="1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5"/>
      <c r="B10" t="s">
        <v>25</v>
      </c>
      <c r="C10" s="10"/>
      <c r="D10" s="13">
        <f t="shared" si="1"/>
        <v>0</v>
      </c>
      <c r="F10" s="127" t="s">
        <v>26</v>
      </c>
      <c r="G10" s="143" t="s">
        <v>121</v>
      </c>
      <c r="H10" s="144"/>
      <c r="I10" s="144"/>
      <c r="J10" s="145"/>
      <c r="K10" s="8"/>
      <c r="L10" s="6">
        <f>R36</f>
        <v>1032</v>
      </c>
      <c r="P10" s="4"/>
      <c r="Q10" s="4"/>
      <c r="R10" s="5"/>
    </row>
    <row r="11" spans="1:18" ht="15.75" x14ac:dyDescent="0.25">
      <c r="A11" s="125"/>
      <c r="B11" s="17" t="s">
        <v>28</v>
      </c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5"/>
      <c r="B12" s="17" t="s">
        <v>30</v>
      </c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5"/>
      <c r="B13" s="17" t="s">
        <v>32</v>
      </c>
      <c r="C13" s="10"/>
      <c r="D13" s="48">
        <f t="shared" si="1"/>
        <v>0</v>
      </c>
      <c r="F13" s="149" t="s">
        <v>36</v>
      </c>
      <c r="G13" s="150"/>
      <c r="H13" s="151">
        <f>D29</f>
        <v>0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5"/>
      <c r="B14" s="14" t="s">
        <v>35</v>
      </c>
      <c r="C14" s="10"/>
      <c r="D14" s="31">
        <f t="shared" si="1"/>
        <v>0</v>
      </c>
      <c r="F14" s="154" t="s">
        <v>38</v>
      </c>
      <c r="G14" s="155"/>
      <c r="H14" s="156">
        <f>D54</f>
        <v>0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5"/>
      <c r="B15" s="14" t="s">
        <v>119</v>
      </c>
      <c r="C15" s="10"/>
      <c r="D15" s="31">
        <f t="shared" si="1"/>
        <v>0</v>
      </c>
      <c r="F15" s="159" t="s">
        <v>39</v>
      </c>
      <c r="G15" s="150"/>
      <c r="H15" s="160">
        <f>H13-H14</f>
        <v>0</v>
      </c>
      <c r="I15" s="161"/>
      <c r="J15" s="16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3"/>
      <c r="I16" s="163"/>
      <c r="J16" s="16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9"/>
      <c r="I19" s="249"/>
      <c r="J19" s="2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5"/>
      <c r="B22" s="46" t="s">
        <v>103</v>
      </c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 t="s">
        <v>118</v>
      </c>
      <c r="C23" s="10"/>
      <c r="D23" s="48">
        <f t="shared" si="1"/>
        <v>0</v>
      </c>
      <c r="F23" s="77"/>
      <c r="G23" s="78"/>
      <c r="H23" s="250"/>
      <c r="I23" s="186"/>
      <c r="J23" s="1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 t="s">
        <v>125</v>
      </c>
      <c r="C24" s="10"/>
      <c r="D24" s="48">
        <f t="shared" si="1"/>
        <v>0</v>
      </c>
      <c r="F24" s="38"/>
      <c r="G24" s="37"/>
      <c r="H24" s="187"/>
      <c r="I24" s="188"/>
      <c r="J24" s="1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 t="s">
        <v>126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5"/>
      <c r="B27" s="14" t="s">
        <v>127</v>
      </c>
      <c r="C27" s="10"/>
      <c r="D27" s="44">
        <f t="shared" si="1"/>
        <v>0</v>
      </c>
      <c r="F27" s="25"/>
      <c r="G27" s="79"/>
      <c r="H27" s="195"/>
      <c r="I27" s="196"/>
      <c r="J27" s="19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 t="s">
        <v>92</v>
      </c>
      <c r="C28" s="10"/>
      <c r="D28" s="48">
        <f t="shared" si="1"/>
        <v>0</v>
      </c>
      <c r="F28" s="101"/>
      <c r="G28" s="61"/>
      <c r="H28" s="198"/>
      <c r="I28" s="199"/>
      <c r="J28" s="20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4" t="s">
        <v>36</v>
      </c>
      <c r="B29" s="165"/>
      <c r="C29" s="166"/>
      <c r="D29" s="170">
        <f>SUM(D6:D28)</f>
        <v>0</v>
      </c>
      <c r="F29" s="172" t="s">
        <v>54</v>
      </c>
      <c r="G29" s="173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4">
        <f>F34*G34</f>
        <v>0</v>
      </c>
      <c r="I34" s="205"/>
      <c r="J34" s="20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/>
      <c r="H35" s="204">
        <f>F35*G35</f>
        <v>0</v>
      </c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>
        <f t="shared" ref="H36:H39" si="2">F36*G36</f>
        <v>0</v>
      </c>
      <c r="I36" s="205"/>
      <c r="J36" s="20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4">
        <f t="shared" si="2"/>
        <v>0</v>
      </c>
      <c r="I37" s="205"/>
      <c r="J37" s="20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5"/>
      <c r="B38" s="29" t="s">
        <v>67</v>
      </c>
      <c r="C38" s="54"/>
      <c r="D38" s="12">
        <f>C38*84</f>
        <v>0</v>
      </c>
      <c r="F38" s="30">
        <v>50</v>
      </c>
      <c r="G38" s="39"/>
      <c r="H38" s="204">
        <f t="shared" si="2"/>
        <v>0</v>
      </c>
      <c r="I38" s="205"/>
      <c r="J38" s="20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/>
      <c r="H39" s="204">
        <f t="shared" si="2"/>
        <v>0</v>
      </c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4"/>
      <c r="I40" s="205"/>
      <c r="J40" s="20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/>
      <c r="H42" s="205"/>
      <c r="I42" s="205"/>
      <c r="J42" s="20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99" t="s">
        <v>82</v>
      </c>
      <c r="H43" s="210" t="s">
        <v>13</v>
      </c>
      <c r="I43" s="211"/>
      <c r="J43" s="21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/>
      <c r="G44" s="75"/>
      <c r="H44" s="188"/>
      <c r="I44" s="188"/>
      <c r="J44" s="18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75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0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/>
      <c r="D48" s="12">
        <f>C48*78</f>
        <v>0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/>
      <c r="D50" s="12">
        <f>C50*1.5</f>
        <v>0</v>
      </c>
      <c r="F50" s="230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113</v>
      </c>
      <c r="G51" s="233">
        <f>G49-H29</f>
        <v>0</v>
      </c>
      <c r="H51" s="234"/>
      <c r="I51" s="234"/>
      <c r="J51" s="23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8"/>
      <c r="B52" s="29"/>
      <c r="C52" s="33"/>
      <c r="D52" s="45"/>
      <c r="F52" s="232"/>
      <c r="G52" s="236"/>
      <c r="H52" s="237"/>
      <c r="I52" s="237"/>
      <c r="J52" s="23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DAD88-DA0F-4B36-80DB-F867549639C9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0" t="s">
        <v>1</v>
      </c>
      <c r="O1" s="110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1" t="s">
        <v>7</v>
      </c>
      <c r="B4" s="112"/>
      <c r="C4" s="112"/>
      <c r="D4" s="113"/>
      <c r="F4" s="114" t="s">
        <v>8</v>
      </c>
      <c r="G4" s="116"/>
      <c r="H4" s="118" t="s">
        <v>9</v>
      </c>
      <c r="I4" s="120"/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5"/>
      <c r="B6" s="16"/>
      <c r="C6" s="10"/>
      <c r="D6" s="13">
        <f t="shared" ref="D6:D28" si="1">C6*L6</f>
        <v>0</v>
      </c>
      <c r="F6" s="127" t="s">
        <v>16</v>
      </c>
      <c r="G6" s="129"/>
      <c r="H6" s="130"/>
      <c r="I6" s="130"/>
      <c r="J6" s="1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5"/>
      <c r="B7" s="16"/>
      <c r="C7" s="10"/>
      <c r="D7" s="13">
        <f t="shared" si="1"/>
        <v>0</v>
      </c>
      <c r="F7" s="128"/>
      <c r="G7" s="132"/>
      <c r="H7" s="133"/>
      <c r="I7" s="133"/>
      <c r="J7" s="13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5"/>
      <c r="B8" s="16"/>
      <c r="C8" s="10"/>
      <c r="D8" s="13">
        <f t="shared" si="1"/>
        <v>0</v>
      </c>
      <c r="F8" s="135" t="s">
        <v>21</v>
      </c>
      <c r="G8" s="137"/>
      <c r="H8" s="138"/>
      <c r="I8" s="138"/>
      <c r="J8" s="1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5"/>
      <c r="B9" s="16"/>
      <c r="C9" s="10"/>
      <c r="D9" s="13">
        <f t="shared" si="1"/>
        <v>0</v>
      </c>
      <c r="F9" s="128"/>
      <c r="G9" s="140"/>
      <c r="H9" s="141"/>
      <c r="I9" s="141"/>
      <c r="J9" s="1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5"/>
      <c r="C10" s="10"/>
      <c r="D10" s="13">
        <f t="shared" si="1"/>
        <v>0</v>
      </c>
      <c r="F10" s="127" t="s">
        <v>26</v>
      </c>
      <c r="G10" s="143"/>
      <c r="H10" s="144"/>
      <c r="I10" s="144"/>
      <c r="J10" s="145"/>
      <c r="K10" s="8"/>
      <c r="L10" s="6">
        <f>R36</f>
        <v>972</v>
      </c>
      <c r="P10" s="4"/>
      <c r="Q10" s="4"/>
      <c r="R10" s="5"/>
    </row>
    <row r="11" spans="1:19" ht="15.75" x14ac:dyDescent="0.25">
      <c r="A11" s="125"/>
      <c r="B11" s="17"/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5"/>
      <c r="B12" s="17"/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5"/>
      <c r="B13" s="17"/>
      <c r="C13" s="10"/>
      <c r="D13" s="48">
        <f t="shared" si="1"/>
        <v>0</v>
      </c>
      <c r="F13" s="149" t="s">
        <v>36</v>
      </c>
      <c r="G13" s="150"/>
      <c r="H13" s="151">
        <f>D29</f>
        <v>0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5"/>
      <c r="B14" s="14"/>
      <c r="C14" s="10"/>
      <c r="D14" s="31">
        <f t="shared" si="1"/>
        <v>0</v>
      </c>
      <c r="F14" s="154" t="s">
        <v>38</v>
      </c>
      <c r="G14" s="155"/>
      <c r="H14" s="156">
        <f>D54</f>
        <v>0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5"/>
      <c r="B15" s="14"/>
      <c r="C15" s="10"/>
      <c r="D15" s="31">
        <f t="shared" si="1"/>
        <v>0</v>
      </c>
      <c r="F15" s="159" t="s">
        <v>39</v>
      </c>
      <c r="G15" s="150"/>
      <c r="H15" s="160">
        <f>H13-H14</f>
        <v>0</v>
      </c>
      <c r="I15" s="161"/>
      <c r="J15" s="16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3"/>
      <c r="I16" s="163"/>
      <c r="J16" s="16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19"/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14"/>
      <c r="C19" s="10"/>
      <c r="D19" s="48">
        <f t="shared" si="1"/>
        <v>0</v>
      </c>
      <c r="F19" s="56"/>
      <c r="G19" s="68" t="s">
        <v>49</v>
      </c>
      <c r="H19" s="182"/>
      <c r="I19" s="182"/>
      <c r="J19" s="18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5"/>
      <c r="B20" s="46"/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5"/>
      <c r="B22" s="46"/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/>
      <c r="C23" s="10"/>
      <c r="D23" s="48">
        <f t="shared" si="1"/>
        <v>0</v>
      </c>
      <c r="F23" s="77"/>
      <c r="G23" s="78"/>
      <c r="H23" s="187"/>
      <c r="I23" s="188"/>
      <c r="J23" s="18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/>
      <c r="C24" s="10"/>
      <c r="D24" s="48">
        <f t="shared" si="1"/>
        <v>0</v>
      </c>
      <c r="F24" s="38"/>
      <c r="G24" s="37"/>
      <c r="H24" s="187"/>
      <c r="I24" s="188"/>
      <c r="J24" s="18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5"/>
      <c r="B27" s="14"/>
      <c r="C27" s="10"/>
      <c r="D27" s="44">
        <f t="shared" si="1"/>
        <v>0</v>
      </c>
      <c r="F27" s="25"/>
      <c r="G27" s="79"/>
      <c r="H27" s="195"/>
      <c r="I27" s="196"/>
      <c r="J27" s="19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/>
      <c r="C28" s="10"/>
      <c r="D28" s="48">
        <f t="shared" si="1"/>
        <v>0</v>
      </c>
      <c r="F28" s="101"/>
      <c r="G28" s="61"/>
      <c r="H28" s="198"/>
      <c r="I28" s="199"/>
      <c r="J28" s="20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4" t="s">
        <v>36</v>
      </c>
      <c r="B29" s="165"/>
      <c r="C29" s="166"/>
      <c r="D29" s="170">
        <f>SUM(D6:D28)</f>
        <v>0</v>
      </c>
      <c r="F29" s="172" t="s">
        <v>54</v>
      </c>
      <c r="G29" s="173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4"/>
      <c r="I34" s="205"/>
      <c r="J34" s="20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/>
      <c r="H35" s="204"/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/>
      <c r="I36" s="205"/>
      <c r="J36" s="20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4"/>
      <c r="I37" s="205"/>
      <c r="J37" s="20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5"/>
      <c r="B38" s="29" t="s">
        <v>67</v>
      </c>
      <c r="C38" s="54"/>
      <c r="D38" s="12">
        <f>C38*84</f>
        <v>0</v>
      </c>
      <c r="F38" s="30">
        <v>50</v>
      </c>
      <c r="G38" s="39"/>
      <c r="H38" s="204"/>
      <c r="I38" s="205"/>
      <c r="J38" s="20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/>
      <c r="H39" s="204"/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4"/>
      <c r="I40" s="205"/>
      <c r="J40" s="20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/>
      <c r="H42" s="205"/>
      <c r="I42" s="205"/>
      <c r="J42" s="20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99" t="s">
        <v>82</v>
      </c>
      <c r="H43" s="210" t="s">
        <v>13</v>
      </c>
      <c r="I43" s="211"/>
      <c r="J43" s="212"/>
      <c r="K43" s="21"/>
      <c r="P43" s="4"/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/>
      <c r="G44" s="75"/>
      <c r="H44" s="188"/>
      <c r="I44" s="188"/>
      <c r="J44" s="188"/>
      <c r="K44" s="21"/>
      <c r="P44" s="4"/>
      <c r="Q44" s="4"/>
      <c r="R44" s="5"/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75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0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/>
      <c r="D48" s="12">
        <f>C48*78</f>
        <v>0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/>
      <c r="D50" s="12">
        <f>C50*1.5</f>
        <v>0</v>
      </c>
      <c r="F50" s="230"/>
      <c r="G50" s="179"/>
      <c r="H50" s="180"/>
      <c r="I50" s="180"/>
      <c r="J50" s="181"/>
      <c r="P50" s="4"/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106</v>
      </c>
      <c r="G51" s="233">
        <f>G49-H29</f>
        <v>0</v>
      </c>
      <c r="H51" s="234"/>
      <c r="I51" s="234"/>
      <c r="J51" s="23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8"/>
      <c r="B52" s="29"/>
      <c r="C52" s="33"/>
      <c r="D52" s="45"/>
      <c r="F52" s="232"/>
      <c r="G52" s="236"/>
      <c r="H52" s="237"/>
      <c r="I52" s="237"/>
      <c r="J52" s="23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0</v>
      </c>
      <c r="F54" s="21"/>
      <c r="J54" s="34"/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A62EF-4DDF-4599-8C20-CEA5C6D75910}">
  <dimension ref="A1:R59"/>
  <sheetViews>
    <sheetView tabSelected="1" topLeftCell="A18" zoomScaleNormal="100" zoomScaleSheetLayoutView="85" workbookViewId="0">
      <selection activeCell="C52" sqref="C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0" t="s">
        <v>1</v>
      </c>
      <c r="O1" s="110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1" t="s">
        <v>7</v>
      </c>
      <c r="B4" s="112"/>
      <c r="C4" s="112"/>
      <c r="D4" s="113"/>
      <c r="F4" s="114" t="s">
        <v>8</v>
      </c>
      <c r="G4" s="116">
        <v>1</v>
      </c>
      <c r="H4" s="118" t="s">
        <v>9</v>
      </c>
      <c r="I4" s="120">
        <v>46177</v>
      </c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5"/>
      <c r="B6" s="16" t="s">
        <v>15</v>
      </c>
      <c r="C6" s="10">
        <v>370</v>
      </c>
      <c r="D6" s="13">
        <f t="shared" ref="D6:D28" si="1">C6*L6</f>
        <v>281570</v>
      </c>
      <c r="F6" s="127" t="s">
        <v>16</v>
      </c>
      <c r="G6" s="129" t="s">
        <v>99</v>
      </c>
      <c r="H6" s="130"/>
      <c r="I6" s="130"/>
      <c r="J6" s="13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5"/>
      <c r="B7" s="16" t="s">
        <v>18</v>
      </c>
      <c r="C7" s="10">
        <v>50</v>
      </c>
      <c r="D7" s="13">
        <f t="shared" si="1"/>
        <v>39050</v>
      </c>
      <c r="F7" s="128"/>
      <c r="G7" s="132"/>
      <c r="H7" s="133"/>
      <c r="I7" s="133"/>
      <c r="J7" s="13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5"/>
      <c r="B8" s="16" t="s">
        <v>20</v>
      </c>
      <c r="C8" s="10">
        <v>65</v>
      </c>
      <c r="D8" s="13">
        <f t="shared" si="1"/>
        <v>71045</v>
      </c>
      <c r="F8" s="135" t="s">
        <v>21</v>
      </c>
      <c r="G8" s="137" t="s">
        <v>117</v>
      </c>
      <c r="H8" s="138"/>
      <c r="I8" s="138"/>
      <c r="J8" s="1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5"/>
      <c r="B9" s="16" t="s">
        <v>23</v>
      </c>
      <c r="C9" s="10">
        <v>117</v>
      </c>
      <c r="D9" s="13">
        <f t="shared" si="1"/>
        <v>85761</v>
      </c>
      <c r="F9" s="128"/>
      <c r="G9" s="140"/>
      <c r="H9" s="141"/>
      <c r="I9" s="141"/>
      <c r="J9" s="1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5"/>
      <c r="B10" t="s">
        <v>25</v>
      </c>
      <c r="C10" s="10"/>
      <c r="D10" s="13">
        <f t="shared" si="1"/>
        <v>0</v>
      </c>
      <c r="F10" s="127" t="s">
        <v>26</v>
      </c>
      <c r="G10" s="143" t="s">
        <v>108</v>
      </c>
      <c r="H10" s="144"/>
      <c r="I10" s="144"/>
      <c r="J10" s="145"/>
      <c r="K10" s="8"/>
      <c r="L10" s="6">
        <f>R36</f>
        <v>1032</v>
      </c>
      <c r="P10" s="4"/>
      <c r="Q10" s="4"/>
      <c r="R10" s="5"/>
    </row>
    <row r="11" spans="1:18" ht="15.75" x14ac:dyDescent="0.25">
      <c r="A11" s="125"/>
      <c r="B11" s="17" t="s">
        <v>28</v>
      </c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5"/>
      <c r="B12" s="17" t="s">
        <v>30</v>
      </c>
      <c r="C12" s="10">
        <v>26</v>
      </c>
      <c r="D12" s="48">
        <f t="shared" si="1"/>
        <v>25792</v>
      </c>
      <c r="F12" s="146" t="s">
        <v>33</v>
      </c>
      <c r="G12" s="147"/>
      <c r="H12" s="147"/>
      <c r="I12" s="147"/>
      <c r="J12" s="1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5"/>
      <c r="B13" s="17" t="s">
        <v>32</v>
      </c>
      <c r="C13" s="10">
        <v>10</v>
      </c>
      <c r="D13" s="48">
        <f t="shared" si="1"/>
        <v>3070</v>
      </c>
      <c r="F13" s="149" t="s">
        <v>36</v>
      </c>
      <c r="G13" s="150"/>
      <c r="H13" s="151">
        <f>D29</f>
        <v>508853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5"/>
      <c r="B14" s="14" t="s">
        <v>35</v>
      </c>
      <c r="C14" s="10">
        <v>12</v>
      </c>
      <c r="D14" s="31">
        <f t="shared" si="1"/>
        <v>132</v>
      </c>
      <c r="F14" s="154" t="s">
        <v>38</v>
      </c>
      <c r="G14" s="155"/>
      <c r="H14" s="156">
        <f>D54</f>
        <v>76686.75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5"/>
      <c r="B15" s="14" t="s">
        <v>119</v>
      </c>
      <c r="C15" s="10"/>
      <c r="D15" s="31">
        <f t="shared" si="1"/>
        <v>0</v>
      </c>
      <c r="F15" s="159" t="s">
        <v>39</v>
      </c>
      <c r="G15" s="150"/>
      <c r="H15" s="160">
        <f>H13-H14</f>
        <v>432166.25</v>
      </c>
      <c r="I15" s="161"/>
      <c r="J15" s="16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3"/>
      <c r="I16" s="163"/>
      <c r="J16" s="16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3"/>
      <c r="I19" s="163"/>
      <c r="J19" s="1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5"/>
      <c r="B22" s="46" t="s">
        <v>103</v>
      </c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 t="s">
        <v>118</v>
      </c>
      <c r="C23" s="10"/>
      <c r="D23" s="48">
        <f t="shared" si="1"/>
        <v>0</v>
      </c>
      <c r="F23" s="76"/>
      <c r="G23" s="78"/>
      <c r="H23" s="245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 t="s">
        <v>125</v>
      </c>
      <c r="C24" s="10"/>
      <c r="D24" s="48">
        <f t="shared" si="1"/>
        <v>0</v>
      </c>
      <c r="F24" s="76"/>
      <c r="G24" s="78"/>
      <c r="H24" s="245"/>
      <c r="I24" s="246"/>
      <c r="J24" s="24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 t="s">
        <v>126</v>
      </c>
      <c r="C26" s="10"/>
      <c r="D26" s="48">
        <f t="shared" si="1"/>
        <v>0</v>
      </c>
      <c r="F26" s="74"/>
      <c r="G26" s="65"/>
      <c r="H26" s="188"/>
      <c r="I26" s="188"/>
      <c r="J26" s="18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5"/>
      <c r="B27" s="14" t="s">
        <v>127</v>
      </c>
      <c r="C27" s="10"/>
      <c r="D27" s="44">
        <f t="shared" si="1"/>
        <v>0</v>
      </c>
      <c r="F27" s="71"/>
      <c r="G27" s="99"/>
      <c r="H27" s="247"/>
      <c r="I27" s="248"/>
      <c r="J27" s="24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 t="s">
        <v>92</v>
      </c>
      <c r="C28" s="10">
        <v>3</v>
      </c>
      <c r="D28" s="48">
        <f t="shared" si="1"/>
        <v>2433</v>
      </c>
      <c r="F28" s="101"/>
      <c r="G28" s="61"/>
      <c r="H28" s="198"/>
      <c r="I28" s="199"/>
      <c r="J28" s="20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4" t="s">
        <v>36</v>
      </c>
      <c r="B29" s="165"/>
      <c r="C29" s="166"/>
      <c r="D29" s="170">
        <f>SUM(D6:D28)</f>
        <v>508853</v>
      </c>
      <c r="F29" s="172" t="s">
        <v>54</v>
      </c>
      <c r="G29" s="173"/>
      <c r="H29" s="176">
        <f>H15-H16-H17-H18-H19-H20-H22-H23-H24+H26+H27+H28</f>
        <v>432166.25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4">
        <f t="shared" ref="H34:H39" si="2">F34*G34</f>
        <v>0</v>
      </c>
      <c r="I34" s="205"/>
      <c r="J34" s="20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/>
      <c r="H35" s="204">
        <f t="shared" si="2"/>
        <v>0</v>
      </c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>
        <f t="shared" si="2"/>
        <v>0</v>
      </c>
      <c r="I36" s="205"/>
      <c r="J36" s="20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4" t="s">
        <v>71</v>
      </c>
      <c r="B37" s="28" t="s">
        <v>65</v>
      </c>
      <c r="C37" s="53">
        <v>553</v>
      </c>
      <c r="D37" s="12">
        <f>C37*111</f>
        <v>61383</v>
      </c>
      <c r="F37" s="12">
        <v>100</v>
      </c>
      <c r="G37" s="39"/>
      <c r="H37" s="204">
        <f t="shared" si="2"/>
        <v>0</v>
      </c>
      <c r="I37" s="205"/>
      <c r="J37" s="20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5"/>
      <c r="B38" s="29" t="s">
        <v>67</v>
      </c>
      <c r="C38" s="54">
        <v>7</v>
      </c>
      <c r="D38" s="12">
        <f>C38*84</f>
        <v>588</v>
      </c>
      <c r="F38" s="30">
        <v>50</v>
      </c>
      <c r="G38" s="39"/>
      <c r="H38" s="204">
        <f t="shared" si="2"/>
        <v>0</v>
      </c>
      <c r="I38" s="205"/>
      <c r="J38" s="20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6"/>
      <c r="B39" s="29" t="s">
        <v>69</v>
      </c>
      <c r="C39" s="52">
        <v>11</v>
      </c>
      <c r="D39" s="31">
        <f>C39*4.5</f>
        <v>49.5</v>
      </c>
      <c r="F39" s="12">
        <v>20</v>
      </c>
      <c r="G39" s="37"/>
      <c r="H39" s="204">
        <f t="shared" si="2"/>
        <v>0</v>
      </c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>
        <v>50</v>
      </c>
      <c r="D40" s="12">
        <f>C40*111</f>
        <v>5550</v>
      </c>
      <c r="F40" s="12">
        <v>10</v>
      </c>
      <c r="G40" s="42"/>
      <c r="H40" s="204"/>
      <c r="I40" s="205"/>
      <c r="J40" s="20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6"/>
      <c r="B42" s="27" t="s">
        <v>69</v>
      </c>
      <c r="C42" s="11">
        <v>9</v>
      </c>
      <c r="D42" s="12">
        <f>C42*2.25</f>
        <v>20.25</v>
      </c>
      <c r="F42" s="39" t="s">
        <v>78</v>
      </c>
      <c r="G42" s="204"/>
      <c r="H42" s="205"/>
      <c r="I42" s="205"/>
      <c r="J42" s="20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99" t="s">
        <v>82</v>
      </c>
      <c r="H43" s="210" t="s">
        <v>13</v>
      </c>
      <c r="I43" s="211"/>
      <c r="J43" s="21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8"/>
      <c r="B44" s="27" t="s">
        <v>65</v>
      </c>
      <c r="C44" s="10">
        <v>68</v>
      </c>
      <c r="D44" s="12">
        <f>C44*120</f>
        <v>8160</v>
      </c>
      <c r="F44" s="37"/>
      <c r="G44" s="62"/>
      <c r="H44" s="188"/>
      <c r="I44" s="188"/>
      <c r="J44" s="18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62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0"/>
      <c r="D46" s="12">
        <f>C46*1.5</f>
        <v>0</v>
      </c>
      <c r="F46" s="37"/>
      <c r="G46" s="62"/>
      <c r="H46" s="188"/>
      <c r="I46" s="188"/>
      <c r="J46" s="188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/>
      <c r="D50" s="12">
        <f>C50*1.5</f>
        <v>0</v>
      </c>
      <c r="F50" s="230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129</v>
      </c>
      <c r="G51" s="251">
        <f>G49-H29</f>
        <v>-432166.25</v>
      </c>
      <c r="H51" s="252"/>
      <c r="I51" s="252"/>
      <c r="J51" s="2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8"/>
      <c r="B52" s="29"/>
      <c r="C52" s="33"/>
      <c r="D52" s="45"/>
      <c r="F52" s="232"/>
      <c r="G52" s="254"/>
      <c r="H52" s="255"/>
      <c r="I52" s="255"/>
      <c r="J52" s="2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76686.75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4DC5A-FEE3-4212-9206-33811C25468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0" t="s">
        <v>1</v>
      </c>
      <c r="O1" s="110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1" t="s">
        <v>7</v>
      </c>
      <c r="B4" s="112"/>
      <c r="C4" s="112"/>
      <c r="D4" s="113"/>
      <c r="F4" s="114" t="s">
        <v>8</v>
      </c>
      <c r="G4" s="116">
        <v>2</v>
      </c>
      <c r="H4" s="118" t="s">
        <v>9</v>
      </c>
      <c r="I4" s="120">
        <v>46177</v>
      </c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5"/>
      <c r="B6" s="16" t="s">
        <v>15</v>
      </c>
      <c r="C6" s="10"/>
      <c r="D6" s="13">
        <f t="shared" ref="D6:D28" si="1">C6*L6</f>
        <v>0</v>
      </c>
      <c r="F6" s="127" t="s">
        <v>16</v>
      </c>
      <c r="G6" s="129" t="s">
        <v>107</v>
      </c>
      <c r="H6" s="130"/>
      <c r="I6" s="130"/>
      <c r="J6" s="13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5"/>
      <c r="B7" s="16" t="s">
        <v>18</v>
      </c>
      <c r="C7" s="10"/>
      <c r="D7" s="13">
        <f t="shared" si="1"/>
        <v>0</v>
      </c>
      <c r="F7" s="128"/>
      <c r="G7" s="132"/>
      <c r="H7" s="133"/>
      <c r="I7" s="133"/>
      <c r="J7" s="13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5"/>
      <c r="B8" s="16" t="s">
        <v>20</v>
      </c>
      <c r="C8" s="10"/>
      <c r="D8" s="13">
        <f t="shared" si="1"/>
        <v>0</v>
      </c>
      <c r="F8" s="135" t="s">
        <v>21</v>
      </c>
      <c r="G8" s="137" t="s">
        <v>100</v>
      </c>
      <c r="H8" s="138"/>
      <c r="I8" s="138"/>
      <c r="J8" s="1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5"/>
      <c r="B9" s="16" t="s">
        <v>23</v>
      </c>
      <c r="C9" s="10"/>
      <c r="D9" s="13">
        <f t="shared" si="1"/>
        <v>0</v>
      </c>
      <c r="F9" s="128"/>
      <c r="G9" s="140"/>
      <c r="H9" s="141"/>
      <c r="I9" s="141"/>
      <c r="J9" s="1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5"/>
      <c r="B10" t="s">
        <v>25</v>
      </c>
      <c r="C10" s="10"/>
      <c r="D10" s="13">
        <f t="shared" si="1"/>
        <v>0</v>
      </c>
      <c r="F10" s="127" t="s">
        <v>26</v>
      </c>
      <c r="G10" s="143" t="s">
        <v>101</v>
      </c>
      <c r="H10" s="144"/>
      <c r="I10" s="144"/>
      <c r="J10" s="145"/>
      <c r="K10" s="8"/>
      <c r="L10" s="6">
        <f>R36</f>
        <v>1032</v>
      </c>
      <c r="P10" s="4"/>
      <c r="Q10" s="4"/>
      <c r="R10" s="5"/>
    </row>
    <row r="11" spans="1:18" ht="15.75" x14ac:dyDescent="0.25">
      <c r="A11" s="125"/>
      <c r="B11" s="17" t="s">
        <v>28</v>
      </c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5"/>
      <c r="B12" s="17" t="s">
        <v>30</v>
      </c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5"/>
      <c r="B13" s="17" t="s">
        <v>32</v>
      </c>
      <c r="C13" s="10"/>
      <c r="D13" s="48">
        <f t="shared" si="1"/>
        <v>0</v>
      </c>
      <c r="F13" s="149" t="s">
        <v>36</v>
      </c>
      <c r="G13" s="150"/>
      <c r="H13" s="151">
        <f>D29</f>
        <v>0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5"/>
      <c r="B14" s="14" t="s">
        <v>35</v>
      </c>
      <c r="C14" s="10"/>
      <c r="D14" s="31">
        <f t="shared" si="1"/>
        <v>0</v>
      </c>
      <c r="F14" s="154" t="s">
        <v>38</v>
      </c>
      <c r="G14" s="155"/>
      <c r="H14" s="156">
        <f>D54</f>
        <v>0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5"/>
      <c r="B15" s="14" t="s">
        <v>119</v>
      </c>
      <c r="C15" s="10"/>
      <c r="D15" s="31">
        <f t="shared" si="1"/>
        <v>0</v>
      </c>
      <c r="F15" s="159" t="s">
        <v>39</v>
      </c>
      <c r="G15" s="150"/>
      <c r="H15" s="160">
        <f>H13-H14</f>
        <v>0</v>
      </c>
      <c r="I15" s="161"/>
      <c r="J15" s="16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3"/>
      <c r="I16" s="163"/>
      <c r="J16" s="16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9"/>
      <c r="I19" s="249"/>
      <c r="J19" s="2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5"/>
      <c r="B22" s="46" t="s">
        <v>103</v>
      </c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 t="s">
        <v>118</v>
      </c>
      <c r="C23" s="10"/>
      <c r="D23" s="48">
        <f t="shared" si="1"/>
        <v>0</v>
      </c>
      <c r="F23" s="77"/>
      <c r="G23" s="78"/>
      <c r="H23" s="250"/>
      <c r="I23" s="186"/>
      <c r="J23" s="1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 t="s">
        <v>125</v>
      </c>
      <c r="C24" s="10"/>
      <c r="D24" s="48">
        <f t="shared" si="1"/>
        <v>0</v>
      </c>
      <c r="F24" s="38"/>
      <c r="G24" s="37"/>
      <c r="H24" s="187"/>
      <c r="I24" s="188"/>
      <c r="J24" s="1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 t="s">
        <v>126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5"/>
      <c r="B27" s="14" t="s">
        <v>127</v>
      </c>
      <c r="C27" s="10"/>
      <c r="D27" s="44">
        <f t="shared" si="1"/>
        <v>0</v>
      </c>
      <c r="F27" s="25"/>
      <c r="G27" s="79"/>
      <c r="H27" s="195"/>
      <c r="I27" s="196"/>
      <c r="J27" s="19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 t="s">
        <v>92</v>
      </c>
      <c r="C28" s="10"/>
      <c r="D28" s="48">
        <f t="shared" si="1"/>
        <v>0</v>
      </c>
      <c r="F28" s="101"/>
      <c r="G28" s="61"/>
      <c r="H28" s="198"/>
      <c r="I28" s="199"/>
      <c r="J28" s="20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4" t="s">
        <v>36</v>
      </c>
      <c r="B29" s="165"/>
      <c r="C29" s="166"/>
      <c r="D29" s="170">
        <f>SUM(D6:D28)</f>
        <v>0</v>
      </c>
      <c r="F29" s="172" t="s">
        <v>54</v>
      </c>
      <c r="G29" s="173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4">
        <f>F34*G34</f>
        <v>0</v>
      </c>
      <c r="I34" s="205"/>
      <c r="J34" s="20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/>
      <c r="H35" s="204">
        <f>F35*G35</f>
        <v>0</v>
      </c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>
        <f t="shared" ref="H36:H39" si="2">F36*G36</f>
        <v>0</v>
      </c>
      <c r="I36" s="205"/>
      <c r="J36" s="20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4">
        <f t="shared" si="2"/>
        <v>0</v>
      </c>
      <c r="I37" s="205"/>
      <c r="J37" s="20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5"/>
      <c r="B38" s="29" t="s">
        <v>67</v>
      </c>
      <c r="C38" s="54"/>
      <c r="D38" s="12">
        <f>C38*84</f>
        <v>0</v>
      </c>
      <c r="F38" s="30">
        <v>50</v>
      </c>
      <c r="G38" s="39"/>
      <c r="H38" s="204">
        <f t="shared" si="2"/>
        <v>0</v>
      </c>
      <c r="I38" s="205"/>
      <c r="J38" s="20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/>
      <c r="H39" s="204">
        <f t="shared" si="2"/>
        <v>0</v>
      </c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4"/>
      <c r="I40" s="205"/>
      <c r="J40" s="20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/>
      <c r="H42" s="205"/>
      <c r="I42" s="205"/>
      <c r="J42" s="20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99" t="s">
        <v>82</v>
      </c>
      <c r="H43" s="210" t="s">
        <v>13</v>
      </c>
      <c r="I43" s="211"/>
      <c r="J43" s="21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/>
      <c r="G44" s="75"/>
      <c r="H44" s="188"/>
      <c r="I44" s="188"/>
      <c r="J44" s="18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75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0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/>
      <c r="D48" s="12">
        <f>C48*78</f>
        <v>0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80"/>
      <c r="D50" s="12">
        <f>C50*1.5</f>
        <v>0</v>
      </c>
      <c r="F50" s="230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113</v>
      </c>
      <c r="G51" s="233">
        <f>G49-H29</f>
        <v>0</v>
      </c>
      <c r="H51" s="234"/>
      <c r="I51" s="234"/>
      <c r="J51" s="23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8"/>
      <c r="B52" s="29"/>
      <c r="C52" s="33"/>
      <c r="D52" s="45"/>
      <c r="F52" s="232"/>
      <c r="G52" s="236"/>
      <c r="H52" s="237"/>
      <c r="I52" s="237"/>
      <c r="J52" s="23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C710A-CE86-4A85-8418-0479340726B7}">
  <dimension ref="A1:R59"/>
  <sheetViews>
    <sheetView zoomScaleNormal="100" zoomScaleSheetLayoutView="85" workbookViewId="0">
      <selection activeCell="M28" sqref="M28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0" t="s">
        <v>1</v>
      </c>
      <c r="O1" s="110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1" t="s">
        <v>7</v>
      </c>
      <c r="B4" s="112"/>
      <c r="C4" s="112"/>
      <c r="D4" s="113"/>
      <c r="F4" s="114" t="s">
        <v>8</v>
      </c>
      <c r="G4" s="116">
        <v>3</v>
      </c>
      <c r="H4" s="118" t="s">
        <v>9</v>
      </c>
      <c r="I4" s="120">
        <v>46177</v>
      </c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5"/>
      <c r="B6" s="16" t="s">
        <v>15</v>
      </c>
      <c r="C6" s="10"/>
      <c r="D6" s="13">
        <f t="shared" ref="D6:D28" si="1">C6*L6</f>
        <v>0</v>
      </c>
      <c r="F6" s="127" t="s">
        <v>16</v>
      </c>
      <c r="G6" s="129" t="s">
        <v>115</v>
      </c>
      <c r="H6" s="130"/>
      <c r="I6" s="130"/>
      <c r="J6" s="13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5"/>
      <c r="B7" s="16" t="s">
        <v>18</v>
      </c>
      <c r="C7" s="10"/>
      <c r="D7" s="13">
        <f t="shared" si="1"/>
        <v>0</v>
      </c>
      <c r="F7" s="128"/>
      <c r="G7" s="132"/>
      <c r="H7" s="133"/>
      <c r="I7" s="133"/>
      <c r="J7" s="13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5"/>
      <c r="B8" s="16" t="s">
        <v>20</v>
      </c>
      <c r="C8" s="10"/>
      <c r="D8" s="13">
        <f t="shared" si="1"/>
        <v>0</v>
      </c>
      <c r="F8" s="135" t="s">
        <v>21</v>
      </c>
      <c r="G8" s="137" t="s">
        <v>109</v>
      </c>
      <c r="H8" s="138"/>
      <c r="I8" s="138"/>
      <c r="J8" s="1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5"/>
      <c r="B9" s="16" t="s">
        <v>23</v>
      </c>
      <c r="C9" s="10"/>
      <c r="D9" s="13">
        <f t="shared" si="1"/>
        <v>0</v>
      </c>
      <c r="F9" s="128"/>
      <c r="G9" s="140"/>
      <c r="H9" s="141"/>
      <c r="I9" s="141"/>
      <c r="J9" s="1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5"/>
      <c r="B10" t="s">
        <v>25</v>
      </c>
      <c r="C10" s="10"/>
      <c r="D10" s="13">
        <f t="shared" si="1"/>
        <v>0</v>
      </c>
      <c r="F10" s="127" t="s">
        <v>26</v>
      </c>
      <c r="G10" s="143" t="s">
        <v>121</v>
      </c>
      <c r="H10" s="144"/>
      <c r="I10" s="144"/>
      <c r="J10" s="145"/>
      <c r="K10" s="8"/>
      <c r="L10" s="6">
        <f>R36</f>
        <v>1032</v>
      </c>
      <c r="P10" s="4"/>
      <c r="Q10" s="4"/>
      <c r="R10" s="5"/>
    </row>
    <row r="11" spans="1:18" ht="15.75" x14ac:dyDescent="0.25">
      <c r="A11" s="125"/>
      <c r="B11" s="17" t="s">
        <v>28</v>
      </c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5"/>
      <c r="B12" s="17" t="s">
        <v>30</v>
      </c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5"/>
      <c r="B13" s="17" t="s">
        <v>32</v>
      </c>
      <c r="C13" s="10"/>
      <c r="D13" s="48">
        <f t="shared" si="1"/>
        <v>0</v>
      </c>
      <c r="F13" s="149" t="s">
        <v>36</v>
      </c>
      <c r="G13" s="150"/>
      <c r="H13" s="151">
        <f>D29</f>
        <v>0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5"/>
      <c r="B14" s="14" t="s">
        <v>35</v>
      </c>
      <c r="C14" s="10"/>
      <c r="D14" s="31">
        <f t="shared" si="1"/>
        <v>0</v>
      </c>
      <c r="F14" s="154" t="s">
        <v>38</v>
      </c>
      <c r="G14" s="155"/>
      <c r="H14" s="156">
        <f>D54</f>
        <v>0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5"/>
      <c r="B15" s="14" t="s">
        <v>119</v>
      </c>
      <c r="C15" s="10"/>
      <c r="D15" s="31">
        <f t="shared" si="1"/>
        <v>0</v>
      </c>
      <c r="F15" s="159" t="s">
        <v>39</v>
      </c>
      <c r="G15" s="150"/>
      <c r="H15" s="160">
        <f>H13-H14</f>
        <v>0</v>
      </c>
      <c r="I15" s="161"/>
      <c r="J15" s="16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3"/>
      <c r="I16" s="163"/>
      <c r="J16" s="16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9"/>
      <c r="I19" s="249"/>
      <c r="J19" s="2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5"/>
      <c r="B22" s="46" t="s">
        <v>103</v>
      </c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 t="s">
        <v>118</v>
      </c>
      <c r="C23" s="10"/>
      <c r="D23" s="48">
        <f t="shared" si="1"/>
        <v>0</v>
      </c>
      <c r="F23" s="77"/>
      <c r="G23" s="78"/>
      <c r="H23" s="250"/>
      <c r="I23" s="186"/>
      <c r="J23" s="1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 t="s">
        <v>125</v>
      </c>
      <c r="C24" s="10"/>
      <c r="D24" s="48">
        <f t="shared" si="1"/>
        <v>0</v>
      </c>
      <c r="F24" s="38"/>
      <c r="G24" s="37"/>
      <c r="H24" s="187"/>
      <c r="I24" s="188"/>
      <c r="J24" s="1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 t="s">
        <v>126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5"/>
      <c r="B27" s="14" t="s">
        <v>127</v>
      </c>
      <c r="C27" s="10"/>
      <c r="D27" s="44">
        <f t="shared" si="1"/>
        <v>0</v>
      </c>
      <c r="F27" s="25"/>
      <c r="G27" s="79"/>
      <c r="H27" s="195"/>
      <c r="I27" s="196"/>
      <c r="J27" s="19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 t="s">
        <v>92</v>
      </c>
      <c r="C28" s="10"/>
      <c r="D28" s="48">
        <f t="shared" si="1"/>
        <v>0</v>
      </c>
      <c r="F28" s="101"/>
      <c r="G28" s="61"/>
      <c r="H28" s="198"/>
      <c r="I28" s="199"/>
      <c r="J28" s="20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4" t="s">
        <v>36</v>
      </c>
      <c r="B29" s="165"/>
      <c r="C29" s="166"/>
      <c r="D29" s="170">
        <f>SUM(D6:D28)</f>
        <v>0</v>
      </c>
      <c r="F29" s="172" t="s">
        <v>54</v>
      </c>
      <c r="G29" s="173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4">
        <f>F34*G34</f>
        <v>0</v>
      </c>
      <c r="I34" s="205"/>
      <c r="J34" s="20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/>
      <c r="H35" s="204">
        <f>F35*G35</f>
        <v>0</v>
      </c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>
        <f t="shared" ref="H36:H39" si="2">F36*G36</f>
        <v>0</v>
      </c>
      <c r="I36" s="205"/>
      <c r="J36" s="20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4">
        <f t="shared" si="2"/>
        <v>0</v>
      </c>
      <c r="I37" s="205"/>
      <c r="J37" s="20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5"/>
      <c r="B38" s="29" t="s">
        <v>67</v>
      </c>
      <c r="C38" s="54"/>
      <c r="D38" s="12">
        <f>C38*84</f>
        <v>0</v>
      </c>
      <c r="F38" s="30">
        <v>50</v>
      </c>
      <c r="G38" s="39"/>
      <c r="H38" s="204">
        <f t="shared" si="2"/>
        <v>0</v>
      </c>
      <c r="I38" s="205"/>
      <c r="J38" s="20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/>
      <c r="H39" s="204">
        <f t="shared" si="2"/>
        <v>0</v>
      </c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4"/>
      <c r="I40" s="205"/>
      <c r="J40" s="20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/>
      <c r="H42" s="205"/>
      <c r="I42" s="205"/>
      <c r="J42" s="20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99" t="s">
        <v>82</v>
      </c>
      <c r="H43" s="210" t="s">
        <v>13</v>
      </c>
      <c r="I43" s="211"/>
      <c r="J43" s="21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/>
      <c r="G44" s="75"/>
      <c r="H44" s="188"/>
      <c r="I44" s="188"/>
      <c r="J44" s="18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75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0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/>
      <c r="D48" s="12">
        <f>C48*78</f>
        <v>0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/>
      <c r="D50" s="12">
        <f>C50*1.5</f>
        <v>0</v>
      </c>
      <c r="F50" s="230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113</v>
      </c>
      <c r="G51" s="233">
        <f>G49-H29</f>
        <v>0</v>
      </c>
      <c r="H51" s="234"/>
      <c r="I51" s="234"/>
      <c r="J51" s="23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8"/>
      <c r="B52" s="29"/>
      <c r="C52" s="33"/>
      <c r="D52" s="45"/>
      <c r="F52" s="232"/>
      <c r="G52" s="236"/>
      <c r="H52" s="237"/>
      <c r="I52" s="237"/>
      <c r="J52" s="23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40189-D465-4967-A348-0B7586C2B4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0" t="s">
        <v>1</v>
      </c>
      <c r="O1" s="110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1" t="s">
        <v>7</v>
      </c>
      <c r="B4" s="112"/>
      <c r="C4" s="112"/>
      <c r="D4" s="113"/>
      <c r="F4" s="114" t="s">
        <v>8</v>
      </c>
      <c r="G4" s="116"/>
      <c r="H4" s="118" t="s">
        <v>9</v>
      </c>
      <c r="I4" s="120"/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5"/>
      <c r="B6" s="16"/>
      <c r="C6" s="10"/>
      <c r="D6" s="13">
        <f t="shared" ref="D6:D28" si="1">C6*L6</f>
        <v>0</v>
      </c>
      <c r="F6" s="127" t="s">
        <v>16</v>
      </c>
      <c r="G6" s="129"/>
      <c r="H6" s="130"/>
      <c r="I6" s="130"/>
      <c r="J6" s="1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5"/>
      <c r="B7" s="16"/>
      <c r="C7" s="10"/>
      <c r="D7" s="13">
        <f t="shared" si="1"/>
        <v>0</v>
      </c>
      <c r="F7" s="128"/>
      <c r="G7" s="132"/>
      <c r="H7" s="133"/>
      <c r="I7" s="133"/>
      <c r="J7" s="13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5"/>
      <c r="B8" s="16"/>
      <c r="C8" s="10"/>
      <c r="D8" s="13">
        <f t="shared" si="1"/>
        <v>0</v>
      </c>
      <c r="F8" s="135" t="s">
        <v>21</v>
      </c>
      <c r="G8" s="137"/>
      <c r="H8" s="138"/>
      <c r="I8" s="138"/>
      <c r="J8" s="1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5"/>
      <c r="B9" s="16"/>
      <c r="C9" s="10"/>
      <c r="D9" s="13">
        <f t="shared" si="1"/>
        <v>0</v>
      </c>
      <c r="F9" s="128"/>
      <c r="G9" s="140"/>
      <c r="H9" s="141"/>
      <c r="I9" s="141"/>
      <c r="J9" s="1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5"/>
      <c r="C10" s="10"/>
      <c r="D10" s="13">
        <f t="shared" si="1"/>
        <v>0</v>
      </c>
      <c r="F10" s="127" t="s">
        <v>26</v>
      </c>
      <c r="G10" s="143"/>
      <c r="H10" s="144"/>
      <c r="I10" s="144"/>
      <c r="J10" s="145"/>
      <c r="K10" s="8"/>
      <c r="L10" s="6">
        <f>R36</f>
        <v>972</v>
      </c>
      <c r="P10" s="4"/>
      <c r="Q10" s="4"/>
      <c r="R10" s="5"/>
    </row>
    <row r="11" spans="1:19" ht="15.75" x14ac:dyDescent="0.25">
      <c r="A11" s="125"/>
      <c r="B11" s="17"/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5"/>
      <c r="B12" s="17"/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5"/>
      <c r="B13" s="17"/>
      <c r="C13" s="10"/>
      <c r="D13" s="48">
        <f t="shared" si="1"/>
        <v>0</v>
      </c>
      <c r="F13" s="149" t="s">
        <v>36</v>
      </c>
      <c r="G13" s="150"/>
      <c r="H13" s="151">
        <f>D29</f>
        <v>0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5"/>
      <c r="B14" s="14"/>
      <c r="C14" s="10"/>
      <c r="D14" s="31">
        <f t="shared" si="1"/>
        <v>0</v>
      </c>
      <c r="F14" s="154" t="s">
        <v>38</v>
      </c>
      <c r="G14" s="155"/>
      <c r="H14" s="156">
        <f>D54</f>
        <v>0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5"/>
      <c r="B15" s="14"/>
      <c r="C15" s="10"/>
      <c r="D15" s="31">
        <f t="shared" si="1"/>
        <v>0</v>
      </c>
      <c r="F15" s="159" t="s">
        <v>39</v>
      </c>
      <c r="G15" s="150"/>
      <c r="H15" s="160">
        <f>H13-H14</f>
        <v>0</v>
      </c>
      <c r="I15" s="161"/>
      <c r="J15" s="16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3"/>
      <c r="I16" s="163"/>
      <c r="J16" s="16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19"/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14"/>
      <c r="C19" s="10"/>
      <c r="D19" s="48">
        <f t="shared" si="1"/>
        <v>0</v>
      </c>
      <c r="F19" s="56"/>
      <c r="G19" s="68" t="s">
        <v>49</v>
      </c>
      <c r="H19" s="182"/>
      <c r="I19" s="182"/>
      <c r="J19" s="18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5"/>
      <c r="B20" s="46"/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5"/>
      <c r="B22" s="46"/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/>
      <c r="C23" s="10"/>
      <c r="D23" s="48">
        <f t="shared" si="1"/>
        <v>0</v>
      </c>
      <c r="F23" s="77"/>
      <c r="G23" s="78"/>
      <c r="H23" s="187"/>
      <c r="I23" s="188"/>
      <c r="J23" s="18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/>
      <c r="C24" s="10"/>
      <c r="D24" s="48">
        <f t="shared" si="1"/>
        <v>0</v>
      </c>
      <c r="F24" s="38"/>
      <c r="G24" s="37"/>
      <c r="H24" s="187"/>
      <c r="I24" s="188"/>
      <c r="J24" s="18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5"/>
      <c r="B27" s="14"/>
      <c r="C27" s="10"/>
      <c r="D27" s="44">
        <f t="shared" si="1"/>
        <v>0</v>
      </c>
      <c r="F27" s="25"/>
      <c r="G27" s="79"/>
      <c r="H27" s="195"/>
      <c r="I27" s="196"/>
      <c r="J27" s="19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/>
      <c r="C28" s="10"/>
      <c r="D28" s="48">
        <f t="shared" si="1"/>
        <v>0</v>
      </c>
      <c r="F28" s="101"/>
      <c r="G28" s="61"/>
      <c r="H28" s="198"/>
      <c r="I28" s="199"/>
      <c r="J28" s="20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4" t="s">
        <v>36</v>
      </c>
      <c r="B29" s="165"/>
      <c r="C29" s="166"/>
      <c r="D29" s="170">
        <f>SUM(D6:D28)</f>
        <v>0</v>
      </c>
      <c r="F29" s="172" t="s">
        <v>54</v>
      </c>
      <c r="G29" s="173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4"/>
      <c r="I34" s="205"/>
      <c r="J34" s="20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/>
      <c r="H35" s="204"/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/>
      <c r="I36" s="205"/>
      <c r="J36" s="20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4"/>
      <c r="I37" s="205"/>
      <c r="J37" s="20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5"/>
      <c r="B38" s="29" t="s">
        <v>67</v>
      </c>
      <c r="C38" s="54"/>
      <c r="D38" s="12">
        <f>C38*84</f>
        <v>0</v>
      </c>
      <c r="F38" s="30">
        <v>50</v>
      </c>
      <c r="G38" s="39"/>
      <c r="H38" s="204"/>
      <c r="I38" s="205"/>
      <c r="J38" s="20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/>
      <c r="H39" s="204"/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4"/>
      <c r="I40" s="205"/>
      <c r="J40" s="20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/>
      <c r="H42" s="205"/>
      <c r="I42" s="205"/>
      <c r="J42" s="20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99" t="s">
        <v>82</v>
      </c>
      <c r="H43" s="210" t="s">
        <v>13</v>
      </c>
      <c r="I43" s="211"/>
      <c r="J43" s="212"/>
      <c r="K43" s="21"/>
      <c r="P43" s="4"/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/>
      <c r="G44" s="75"/>
      <c r="H44" s="188"/>
      <c r="I44" s="188"/>
      <c r="J44" s="188"/>
      <c r="K44" s="21"/>
      <c r="P44" s="4"/>
      <c r="Q44" s="4"/>
      <c r="R44" s="5"/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75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0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/>
      <c r="D48" s="12">
        <f>C48*78</f>
        <v>0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/>
      <c r="D50" s="12">
        <f>C50*1.5</f>
        <v>0</v>
      </c>
      <c r="F50" s="230"/>
      <c r="G50" s="179"/>
      <c r="H50" s="180"/>
      <c r="I50" s="180"/>
      <c r="J50" s="181"/>
      <c r="P50" s="4"/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106</v>
      </c>
      <c r="G51" s="233">
        <f>G49-H29</f>
        <v>0</v>
      </c>
      <c r="H51" s="234"/>
      <c r="I51" s="234"/>
      <c r="J51" s="23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8"/>
      <c r="B52" s="29"/>
      <c r="C52" s="33"/>
      <c r="D52" s="45"/>
      <c r="F52" s="232"/>
      <c r="G52" s="236"/>
      <c r="H52" s="237"/>
      <c r="I52" s="237"/>
      <c r="J52" s="23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0</v>
      </c>
      <c r="F54" s="21"/>
      <c r="J54" s="34"/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7DD10-A8AA-46BD-BD11-3486487D218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0" t="s">
        <v>1</v>
      </c>
      <c r="O1" s="110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1" t="s">
        <v>7</v>
      </c>
      <c r="B4" s="112"/>
      <c r="C4" s="112"/>
      <c r="D4" s="113"/>
      <c r="F4" s="114" t="s">
        <v>8</v>
      </c>
      <c r="G4" s="116">
        <v>1</v>
      </c>
      <c r="H4" s="118" t="s">
        <v>9</v>
      </c>
      <c r="I4" s="120">
        <v>46178</v>
      </c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5"/>
      <c r="B6" s="16" t="s">
        <v>15</v>
      </c>
      <c r="C6" s="10"/>
      <c r="D6" s="13">
        <f t="shared" ref="D6:D28" si="1">C6*L6</f>
        <v>0</v>
      </c>
      <c r="F6" s="127" t="s">
        <v>16</v>
      </c>
      <c r="G6" s="129" t="s">
        <v>99</v>
      </c>
      <c r="H6" s="130"/>
      <c r="I6" s="130"/>
      <c r="J6" s="13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5"/>
      <c r="B7" s="16" t="s">
        <v>18</v>
      </c>
      <c r="C7" s="10"/>
      <c r="D7" s="13">
        <f t="shared" si="1"/>
        <v>0</v>
      </c>
      <c r="F7" s="128"/>
      <c r="G7" s="132"/>
      <c r="H7" s="133"/>
      <c r="I7" s="133"/>
      <c r="J7" s="13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5"/>
      <c r="B8" s="16" t="s">
        <v>20</v>
      </c>
      <c r="C8" s="10"/>
      <c r="D8" s="13">
        <f t="shared" si="1"/>
        <v>0</v>
      </c>
      <c r="F8" s="135" t="s">
        <v>21</v>
      </c>
      <c r="G8" s="137" t="s">
        <v>117</v>
      </c>
      <c r="H8" s="138"/>
      <c r="I8" s="138"/>
      <c r="J8" s="1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5"/>
      <c r="B9" s="16" t="s">
        <v>23</v>
      </c>
      <c r="C9" s="10"/>
      <c r="D9" s="13">
        <f t="shared" si="1"/>
        <v>0</v>
      </c>
      <c r="F9" s="128"/>
      <c r="G9" s="140"/>
      <c r="H9" s="141"/>
      <c r="I9" s="141"/>
      <c r="J9" s="1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5"/>
      <c r="B10" t="s">
        <v>25</v>
      </c>
      <c r="C10" s="10"/>
      <c r="D10" s="13">
        <f t="shared" si="1"/>
        <v>0</v>
      </c>
      <c r="F10" s="127" t="s">
        <v>26</v>
      </c>
      <c r="G10" s="143" t="s">
        <v>108</v>
      </c>
      <c r="H10" s="144"/>
      <c r="I10" s="144"/>
      <c r="J10" s="145"/>
      <c r="K10" s="8"/>
      <c r="L10" s="6">
        <f>R36</f>
        <v>1032</v>
      </c>
      <c r="P10" s="4"/>
      <c r="Q10" s="4"/>
      <c r="R10" s="5"/>
    </row>
    <row r="11" spans="1:18" ht="15.75" x14ac:dyDescent="0.25">
      <c r="A11" s="125"/>
      <c r="B11" s="17" t="s">
        <v>28</v>
      </c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5"/>
      <c r="B12" s="17" t="s">
        <v>30</v>
      </c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5"/>
      <c r="B13" s="17" t="s">
        <v>32</v>
      </c>
      <c r="C13" s="10"/>
      <c r="D13" s="48">
        <f t="shared" si="1"/>
        <v>0</v>
      </c>
      <c r="F13" s="149" t="s">
        <v>36</v>
      </c>
      <c r="G13" s="150"/>
      <c r="H13" s="151">
        <f>D29</f>
        <v>0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5"/>
      <c r="B14" s="14" t="s">
        <v>35</v>
      </c>
      <c r="C14" s="10"/>
      <c r="D14" s="31">
        <f t="shared" si="1"/>
        <v>0</v>
      </c>
      <c r="F14" s="154" t="s">
        <v>38</v>
      </c>
      <c r="G14" s="155"/>
      <c r="H14" s="156">
        <f>D54</f>
        <v>0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5"/>
      <c r="B15" s="14" t="s">
        <v>119</v>
      </c>
      <c r="C15" s="10"/>
      <c r="D15" s="31">
        <f t="shared" si="1"/>
        <v>0</v>
      </c>
      <c r="F15" s="159" t="s">
        <v>39</v>
      </c>
      <c r="G15" s="150"/>
      <c r="H15" s="160">
        <f>H13-H14</f>
        <v>0</v>
      </c>
      <c r="I15" s="161"/>
      <c r="J15" s="16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3"/>
      <c r="I16" s="163"/>
      <c r="J16" s="16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3"/>
      <c r="I19" s="163"/>
      <c r="J19" s="1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5"/>
      <c r="B22" s="46" t="s">
        <v>103</v>
      </c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 t="s">
        <v>118</v>
      </c>
      <c r="C23" s="10"/>
      <c r="D23" s="48">
        <f t="shared" si="1"/>
        <v>0</v>
      </c>
      <c r="F23" s="76"/>
      <c r="G23" s="78"/>
      <c r="H23" s="245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 t="s">
        <v>125</v>
      </c>
      <c r="C24" s="10"/>
      <c r="D24" s="48">
        <f t="shared" si="1"/>
        <v>0</v>
      </c>
      <c r="F24" s="76"/>
      <c r="G24" s="78"/>
      <c r="H24" s="245"/>
      <c r="I24" s="246"/>
      <c r="J24" s="24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 t="s">
        <v>126</v>
      </c>
      <c r="C26" s="10"/>
      <c r="D26" s="48">
        <f t="shared" si="1"/>
        <v>0</v>
      </c>
      <c r="F26" s="74"/>
      <c r="G26" s="65"/>
      <c r="H26" s="188"/>
      <c r="I26" s="188"/>
      <c r="J26" s="18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5"/>
      <c r="B27" s="14" t="s">
        <v>127</v>
      </c>
      <c r="C27" s="10"/>
      <c r="D27" s="44">
        <f t="shared" si="1"/>
        <v>0</v>
      </c>
      <c r="F27" s="71"/>
      <c r="G27" s="99"/>
      <c r="H27" s="247"/>
      <c r="I27" s="248"/>
      <c r="J27" s="24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 t="s">
        <v>92</v>
      </c>
      <c r="C28" s="10"/>
      <c r="D28" s="48">
        <f t="shared" si="1"/>
        <v>0</v>
      </c>
      <c r="F28" s="101"/>
      <c r="G28" s="61"/>
      <c r="H28" s="198"/>
      <c r="I28" s="199"/>
      <c r="J28" s="20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4" t="s">
        <v>36</v>
      </c>
      <c r="B29" s="165"/>
      <c r="C29" s="166"/>
      <c r="D29" s="170">
        <f>SUM(D6:D28)</f>
        <v>0</v>
      </c>
      <c r="F29" s="172" t="s">
        <v>54</v>
      </c>
      <c r="G29" s="173"/>
      <c r="H29" s="176">
        <f>H15-H16-H17-H18-H19-H20-H22-H23-H24+H26+H27+H28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4">
        <f t="shared" ref="H34:H39" si="2">F34*G34</f>
        <v>0</v>
      </c>
      <c r="I34" s="205"/>
      <c r="J34" s="20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/>
      <c r="H35" s="204">
        <f t="shared" si="2"/>
        <v>0</v>
      </c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>
        <f t="shared" si="2"/>
        <v>0</v>
      </c>
      <c r="I36" s="205"/>
      <c r="J36" s="20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4">
        <f t="shared" si="2"/>
        <v>0</v>
      </c>
      <c r="I37" s="205"/>
      <c r="J37" s="20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5"/>
      <c r="B38" s="29" t="s">
        <v>67</v>
      </c>
      <c r="C38" s="54"/>
      <c r="D38" s="12">
        <f>C38*84</f>
        <v>0</v>
      </c>
      <c r="F38" s="30">
        <v>50</v>
      </c>
      <c r="G38" s="39"/>
      <c r="H38" s="204">
        <f t="shared" si="2"/>
        <v>0</v>
      </c>
      <c r="I38" s="205"/>
      <c r="J38" s="20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/>
      <c r="H39" s="204">
        <f t="shared" si="2"/>
        <v>0</v>
      </c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4"/>
      <c r="I40" s="205"/>
      <c r="J40" s="20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/>
      <c r="H42" s="205"/>
      <c r="I42" s="205"/>
      <c r="J42" s="20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99" t="s">
        <v>82</v>
      </c>
      <c r="H43" s="210" t="s">
        <v>13</v>
      </c>
      <c r="I43" s="211"/>
      <c r="J43" s="21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/>
      <c r="G44" s="62"/>
      <c r="H44" s="188"/>
      <c r="I44" s="188"/>
      <c r="J44" s="18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62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0"/>
      <c r="D46" s="12">
        <f>C46*1.5</f>
        <v>0</v>
      </c>
      <c r="F46" s="37"/>
      <c r="G46" s="62"/>
      <c r="H46" s="188"/>
      <c r="I46" s="188"/>
      <c r="J46" s="188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/>
      <c r="D48" s="12">
        <f>C48*78</f>
        <v>0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/>
      <c r="D50" s="12">
        <f>C50*1.5</f>
        <v>0</v>
      </c>
      <c r="F50" s="230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129</v>
      </c>
      <c r="G51" s="251">
        <f>G49-H29</f>
        <v>0</v>
      </c>
      <c r="H51" s="252"/>
      <c r="I51" s="252"/>
      <c r="J51" s="2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8"/>
      <c r="B52" s="29"/>
      <c r="C52" s="33"/>
      <c r="D52" s="45"/>
      <c r="F52" s="232"/>
      <c r="G52" s="254"/>
      <c r="H52" s="255"/>
      <c r="I52" s="255"/>
      <c r="J52" s="2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BB878-5D4A-486D-B0EB-E2633C3ADD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0" t="s">
        <v>1</v>
      </c>
      <c r="O1" s="110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1" t="s">
        <v>7</v>
      </c>
      <c r="B4" s="112"/>
      <c r="C4" s="112"/>
      <c r="D4" s="113"/>
      <c r="F4" s="114" t="s">
        <v>8</v>
      </c>
      <c r="G4" s="116">
        <v>2</v>
      </c>
      <c r="H4" s="118" t="s">
        <v>9</v>
      </c>
      <c r="I4" s="120">
        <v>46178</v>
      </c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5"/>
      <c r="B6" s="16" t="s">
        <v>15</v>
      </c>
      <c r="C6" s="10"/>
      <c r="D6" s="13">
        <f t="shared" ref="D6:D28" si="1">C6*L6</f>
        <v>0</v>
      </c>
      <c r="F6" s="127" t="s">
        <v>16</v>
      </c>
      <c r="G6" s="129" t="s">
        <v>107</v>
      </c>
      <c r="H6" s="130"/>
      <c r="I6" s="130"/>
      <c r="J6" s="13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5"/>
      <c r="B7" s="16" t="s">
        <v>18</v>
      </c>
      <c r="C7" s="10"/>
      <c r="D7" s="13">
        <f t="shared" si="1"/>
        <v>0</v>
      </c>
      <c r="F7" s="128"/>
      <c r="G7" s="132"/>
      <c r="H7" s="133"/>
      <c r="I7" s="133"/>
      <c r="J7" s="13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5"/>
      <c r="B8" s="16" t="s">
        <v>20</v>
      </c>
      <c r="C8" s="10"/>
      <c r="D8" s="13">
        <f t="shared" si="1"/>
        <v>0</v>
      </c>
      <c r="F8" s="135" t="s">
        <v>21</v>
      </c>
      <c r="G8" s="137" t="s">
        <v>100</v>
      </c>
      <c r="H8" s="138"/>
      <c r="I8" s="138"/>
      <c r="J8" s="1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5"/>
      <c r="B9" s="16" t="s">
        <v>23</v>
      </c>
      <c r="C9" s="10"/>
      <c r="D9" s="13">
        <f t="shared" si="1"/>
        <v>0</v>
      </c>
      <c r="F9" s="128"/>
      <c r="G9" s="140"/>
      <c r="H9" s="141"/>
      <c r="I9" s="141"/>
      <c r="J9" s="1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5"/>
      <c r="B10" t="s">
        <v>25</v>
      </c>
      <c r="C10" s="10"/>
      <c r="D10" s="13">
        <f t="shared" si="1"/>
        <v>0</v>
      </c>
      <c r="F10" s="127" t="s">
        <v>26</v>
      </c>
      <c r="G10" s="143" t="s">
        <v>101</v>
      </c>
      <c r="H10" s="144"/>
      <c r="I10" s="144"/>
      <c r="J10" s="145"/>
      <c r="K10" s="8"/>
      <c r="L10" s="6">
        <f>R36</f>
        <v>1032</v>
      </c>
      <c r="P10" s="4"/>
      <c r="Q10" s="4"/>
      <c r="R10" s="5"/>
    </row>
    <row r="11" spans="1:18" ht="15.75" x14ac:dyDescent="0.25">
      <c r="A11" s="125"/>
      <c r="B11" s="17" t="s">
        <v>28</v>
      </c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5"/>
      <c r="B12" s="17" t="s">
        <v>30</v>
      </c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5"/>
      <c r="B13" s="17" t="s">
        <v>32</v>
      </c>
      <c r="C13" s="10"/>
      <c r="D13" s="48">
        <f t="shared" si="1"/>
        <v>0</v>
      </c>
      <c r="F13" s="149" t="s">
        <v>36</v>
      </c>
      <c r="G13" s="150"/>
      <c r="H13" s="151">
        <f>D29</f>
        <v>0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5"/>
      <c r="B14" s="14" t="s">
        <v>35</v>
      </c>
      <c r="C14" s="10"/>
      <c r="D14" s="31">
        <f t="shared" si="1"/>
        <v>0</v>
      </c>
      <c r="F14" s="154" t="s">
        <v>38</v>
      </c>
      <c r="G14" s="155"/>
      <c r="H14" s="156">
        <f>D54</f>
        <v>0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5"/>
      <c r="B15" s="14" t="s">
        <v>119</v>
      </c>
      <c r="C15" s="10"/>
      <c r="D15" s="31">
        <f t="shared" si="1"/>
        <v>0</v>
      </c>
      <c r="F15" s="159" t="s">
        <v>39</v>
      </c>
      <c r="G15" s="150"/>
      <c r="H15" s="160">
        <f>H13-H14</f>
        <v>0</v>
      </c>
      <c r="I15" s="161"/>
      <c r="J15" s="16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3"/>
      <c r="I16" s="163"/>
      <c r="J16" s="16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9"/>
      <c r="I19" s="249"/>
      <c r="J19" s="2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5"/>
      <c r="B22" s="46" t="s">
        <v>103</v>
      </c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 t="s">
        <v>118</v>
      </c>
      <c r="C23" s="10"/>
      <c r="D23" s="48">
        <f t="shared" si="1"/>
        <v>0</v>
      </c>
      <c r="F23" s="77"/>
      <c r="G23" s="78"/>
      <c r="H23" s="250"/>
      <c r="I23" s="186"/>
      <c r="J23" s="1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 t="s">
        <v>125</v>
      </c>
      <c r="C24" s="10"/>
      <c r="D24" s="48">
        <f t="shared" si="1"/>
        <v>0</v>
      </c>
      <c r="F24" s="38"/>
      <c r="G24" s="37"/>
      <c r="H24" s="187"/>
      <c r="I24" s="188"/>
      <c r="J24" s="1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 t="s">
        <v>126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5"/>
      <c r="B27" s="14" t="s">
        <v>127</v>
      </c>
      <c r="C27" s="10"/>
      <c r="D27" s="44">
        <f t="shared" si="1"/>
        <v>0</v>
      </c>
      <c r="F27" s="25"/>
      <c r="G27" s="79"/>
      <c r="H27" s="195"/>
      <c r="I27" s="196"/>
      <c r="J27" s="19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 t="s">
        <v>92</v>
      </c>
      <c r="C28" s="10"/>
      <c r="D28" s="48">
        <f t="shared" si="1"/>
        <v>0</v>
      </c>
      <c r="F28" s="101"/>
      <c r="G28" s="61"/>
      <c r="H28" s="198"/>
      <c r="I28" s="199"/>
      <c r="J28" s="20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4" t="s">
        <v>36</v>
      </c>
      <c r="B29" s="165"/>
      <c r="C29" s="166"/>
      <c r="D29" s="170">
        <f>SUM(D6:D28)</f>
        <v>0</v>
      </c>
      <c r="F29" s="172" t="s">
        <v>54</v>
      </c>
      <c r="G29" s="173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4">
        <f>F34*G34</f>
        <v>0</v>
      </c>
      <c r="I34" s="205"/>
      <c r="J34" s="20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/>
      <c r="H35" s="204">
        <f>F35*G35</f>
        <v>0</v>
      </c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>
        <f t="shared" ref="H36:H39" si="2">F36*G36</f>
        <v>0</v>
      </c>
      <c r="I36" s="205"/>
      <c r="J36" s="20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4">
        <f t="shared" si="2"/>
        <v>0</v>
      </c>
      <c r="I37" s="205"/>
      <c r="J37" s="20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5"/>
      <c r="B38" s="29" t="s">
        <v>67</v>
      </c>
      <c r="C38" s="54"/>
      <c r="D38" s="12">
        <f>C38*84</f>
        <v>0</v>
      </c>
      <c r="F38" s="30">
        <v>50</v>
      </c>
      <c r="G38" s="39"/>
      <c r="H38" s="204">
        <f t="shared" si="2"/>
        <v>0</v>
      </c>
      <c r="I38" s="205"/>
      <c r="J38" s="20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/>
      <c r="H39" s="204">
        <f t="shared" si="2"/>
        <v>0</v>
      </c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4"/>
      <c r="I40" s="205"/>
      <c r="J40" s="20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/>
      <c r="H42" s="205"/>
      <c r="I42" s="205"/>
      <c r="J42" s="20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99" t="s">
        <v>82</v>
      </c>
      <c r="H43" s="210" t="s">
        <v>13</v>
      </c>
      <c r="I43" s="211"/>
      <c r="J43" s="21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/>
      <c r="G44" s="75"/>
      <c r="H44" s="188"/>
      <c r="I44" s="188"/>
      <c r="J44" s="18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75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0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/>
      <c r="D48" s="12">
        <f>C48*78</f>
        <v>0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80"/>
      <c r="D50" s="12">
        <f>C50*1.5</f>
        <v>0</v>
      </c>
      <c r="F50" s="230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113</v>
      </c>
      <c r="G51" s="233">
        <f>G49-H29</f>
        <v>0</v>
      </c>
      <c r="H51" s="234"/>
      <c r="I51" s="234"/>
      <c r="J51" s="23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8"/>
      <c r="B52" s="29"/>
      <c r="C52" s="33"/>
      <c r="D52" s="45"/>
      <c r="F52" s="232"/>
      <c r="G52" s="236"/>
      <c r="H52" s="237"/>
      <c r="I52" s="237"/>
      <c r="J52" s="23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1A631-B913-4B0D-B333-83CB15062649}">
  <dimension ref="A1:R59"/>
  <sheetViews>
    <sheetView zoomScaleNormal="100" zoomScaleSheetLayoutView="85" workbookViewId="0">
      <selection activeCell="M32" sqref="M3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0" t="s">
        <v>1</v>
      </c>
      <c r="O1" s="110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1" t="s">
        <v>7</v>
      </c>
      <c r="B4" s="112"/>
      <c r="C4" s="112"/>
      <c r="D4" s="113"/>
      <c r="F4" s="114" t="s">
        <v>8</v>
      </c>
      <c r="G4" s="116">
        <v>3</v>
      </c>
      <c r="H4" s="118" t="s">
        <v>9</v>
      </c>
      <c r="I4" s="120">
        <v>46178</v>
      </c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5"/>
      <c r="B6" s="16" t="s">
        <v>15</v>
      </c>
      <c r="C6" s="10"/>
      <c r="D6" s="13">
        <f t="shared" ref="D6:D28" si="1">C6*L6</f>
        <v>0</v>
      </c>
      <c r="F6" s="127" t="s">
        <v>16</v>
      </c>
      <c r="G6" s="129" t="s">
        <v>115</v>
      </c>
      <c r="H6" s="130"/>
      <c r="I6" s="130"/>
      <c r="J6" s="13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5"/>
      <c r="B7" s="16" t="s">
        <v>18</v>
      </c>
      <c r="C7" s="10"/>
      <c r="D7" s="13">
        <f t="shared" si="1"/>
        <v>0</v>
      </c>
      <c r="F7" s="128"/>
      <c r="G7" s="132"/>
      <c r="H7" s="133"/>
      <c r="I7" s="133"/>
      <c r="J7" s="13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5"/>
      <c r="B8" s="16" t="s">
        <v>20</v>
      </c>
      <c r="C8" s="10"/>
      <c r="D8" s="13">
        <f t="shared" si="1"/>
        <v>0</v>
      </c>
      <c r="F8" s="135" t="s">
        <v>21</v>
      </c>
      <c r="G8" s="137" t="s">
        <v>109</v>
      </c>
      <c r="H8" s="138"/>
      <c r="I8" s="138"/>
      <c r="J8" s="1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5"/>
      <c r="B9" s="16" t="s">
        <v>23</v>
      </c>
      <c r="C9" s="10"/>
      <c r="D9" s="13">
        <f t="shared" si="1"/>
        <v>0</v>
      </c>
      <c r="F9" s="128"/>
      <c r="G9" s="140"/>
      <c r="H9" s="141"/>
      <c r="I9" s="141"/>
      <c r="J9" s="1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5"/>
      <c r="B10" t="s">
        <v>25</v>
      </c>
      <c r="C10" s="10"/>
      <c r="D10" s="13">
        <f t="shared" si="1"/>
        <v>0</v>
      </c>
      <c r="F10" s="127" t="s">
        <v>26</v>
      </c>
      <c r="G10" s="143" t="s">
        <v>121</v>
      </c>
      <c r="H10" s="144"/>
      <c r="I10" s="144"/>
      <c r="J10" s="145"/>
      <c r="K10" s="8"/>
      <c r="L10" s="6">
        <f>R36</f>
        <v>1032</v>
      </c>
      <c r="P10" s="4"/>
      <c r="Q10" s="4"/>
      <c r="R10" s="5"/>
    </row>
    <row r="11" spans="1:18" ht="15.75" x14ac:dyDescent="0.25">
      <c r="A11" s="125"/>
      <c r="B11" s="17" t="s">
        <v>28</v>
      </c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5"/>
      <c r="B12" s="17" t="s">
        <v>30</v>
      </c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5"/>
      <c r="B13" s="17" t="s">
        <v>32</v>
      </c>
      <c r="C13" s="10"/>
      <c r="D13" s="48">
        <f t="shared" si="1"/>
        <v>0</v>
      </c>
      <c r="F13" s="149" t="s">
        <v>36</v>
      </c>
      <c r="G13" s="150"/>
      <c r="H13" s="151">
        <f>D29</f>
        <v>0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5"/>
      <c r="B14" s="14" t="s">
        <v>35</v>
      </c>
      <c r="C14" s="10"/>
      <c r="D14" s="31">
        <f t="shared" si="1"/>
        <v>0</v>
      </c>
      <c r="F14" s="154" t="s">
        <v>38</v>
      </c>
      <c r="G14" s="155"/>
      <c r="H14" s="156">
        <f>D54</f>
        <v>0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5"/>
      <c r="B15" s="14" t="s">
        <v>119</v>
      </c>
      <c r="C15" s="10"/>
      <c r="D15" s="31">
        <f t="shared" si="1"/>
        <v>0</v>
      </c>
      <c r="F15" s="159" t="s">
        <v>39</v>
      </c>
      <c r="G15" s="150"/>
      <c r="H15" s="160">
        <f>H13-H14</f>
        <v>0</v>
      </c>
      <c r="I15" s="161"/>
      <c r="J15" s="16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3"/>
      <c r="I16" s="163"/>
      <c r="J16" s="16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9"/>
      <c r="I19" s="249"/>
      <c r="J19" s="2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5"/>
      <c r="B22" s="46" t="s">
        <v>103</v>
      </c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 t="s">
        <v>118</v>
      </c>
      <c r="C23" s="10"/>
      <c r="D23" s="48">
        <f t="shared" si="1"/>
        <v>0</v>
      </c>
      <c r="F23" s="77"/>
      <c r="G23" s="78"/>
      <c r="H23" s="250"/>
      <c r="I23" s="186"/>
      <c r="J23" s="1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 t="s">
        <v>125</v>
      </c>
      <c r="C24" s="10"/>
      <c r="D24" s="48">
        <f t="shared" si="1"/>
        <v>0</v>
      </c>
      <c r="F24" s="38"/>
      <c r="G24" s="37"/>
      <c r="H24" s="187"/>
      <c r="I24" s="188"/>
      <c r="J24" s="1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 t="s">
        <v>126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5"/>
      <c r="B27" s="14" t="s">
        <v>127</v>
      </c>
      <c r="C27" s="10"/>
      <c r="D27" s="44">
        <f t="shared" si="1"/>
        <v>0</v>
      </c>
      <c r="F27" s="25"/>
      <c r="G27" s="79"/>
      <c r="H27" s="195"/>
      <c r="I27" s="196"/>
      <c r="J27" s="19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 t="s">
        <v>92</v>
      </c>
      <c r="C28" s="10"/>
      <c r="D28" s="48">
        <f t="shared" si="1"/>
        <v>0</v>
      </c>
      <c r="F28" s="101"/>
      <c r="G28" s="61"/>
      <c r="H28" s="198"/>
      <c r="I28" s="199"/>
      <c r="J28" s="20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4" t="s">
        <v>36</v>
      </c>
      <c r="B29" s="165"/>
      <c r="C29" s="166"/>
      <c r="D29" s="170">
        <f>SUM(D6:D28)</f>
        <v>0</v>
      </c>
      <c r="F29" s="172" t="s">
        <v>54</v>
      </c>
      <c r="G29" s="173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4">
        <f>F34*G34</f>
        <v>0</v>
      </c>
      <c r="I34" s="205"/>
      <c r="J34" s="20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/>
      <c r="H35" s="204">
        <f>F35*G35</f>
        <v>0</v>
      </c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>
        <f t="shared" ref="H36:H39" si="2">F36*G36</f>
        <v>0</v>
      </c>
      <c r="I36" s="205"/>
      <c r="J36" s="20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4">
        <f t="shared" si="2"/>
        <v>0</v>
      </c>
      <c r="I37" s="205"/>
      <c r="J37" s="20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5"/>
      <c r="B38" s="29" t="s">
        <v>67</v>
      </c>
      <c r="C38" s="54"/>
      <c r="D38" s="12">
        <f>C38*84</f>
        <v>0</v>
      </c>
      <c r="F38" s="30">
        <v>50</v>
      </c>
      <c r="G38" s="39"/>
      <c r="H38" s="204">
        <f t="shared" si="2"/>
        <v>0</v>
      </c>
      <c r="I38" s="205"/>
      <c r="J38" s="20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/>
      <c r="H39" s="204">
        <f t="shared" si="2"/>
        <v>0</v>
      </c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4"/>
      <c r="I40" s="205"/>
      <c r="J40" s="20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/>
      <c r="H42" s="205"/>
      <c r="I42" s="205"/>
      <c r="J42" s="20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99" t="s">
        <v>82</v>
      </c>
      <c r="H43" s="210" t="s">
        <v>13</v>
      </c>
      <c r="I43" s="211"/>
      <c r="J43" s="21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/>
      <c r="G44" s="75"/>
      <c r="H44" s="188"/>
      <c r="I44" s="188"/>
      <c r="J44" s="18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75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0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/>
      <c r="D48" s="12">
        <f>C48*78</f>
        <v>0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/>
      <c r="D50" s="12">
        <f>C50*1.5</f>
        <v>0</v>
      </c>
      <c r="F50" s="230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113</v>
      </c>
      <c r="G51" s="233">
        <f>G49-H29</f>
        <v>0</v>
      </c>
      <c r="H51" s="234"/>
      <c r="I51" s="234"/>
      <c r="J51" s="23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8"/>
      <c r="B52" s="29"/>
      <c r="C52" s="33"/>
      <c r="D52" s="45"/>
      <c r="F52" s="232"/>
      <c r="G52" s="236"/>
      <c r="H52" s="237"/>
      <c r="I52" s="237"/>
      <c r="J52" s="23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17099-48C1-4AB9-8DE1-CFCA6E12A1E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0" t="s">
        <v>1</v>
      </c>
      <c r="O1" s="110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1" t="s">
        <v>7</v>
      </c>
      <c r="B4" s="112"/>
      <c r="C4" s="112"/>
      <c r="D4" s="113"/>
      <c r="F4" s="114" t="s">
        <v>8</v>
      </c>
      <c r="G4" s="116"/>
      <c r="H4" s="118" t="s">
        <v>9</v>
      </c>
      <c r="I4" s="120"/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5"/>
      <c r="B6" s="16"/>
      <c r="C6" s="10"/>
      <c r="D6" s="13">
        <f t="shared" ref="D6:D28" si="1">C6*L6</f>
        <v>0</v>
      </c>
      <c r="F6" s="127" t="s">
        <v>16</v>
      </c>
      <c r="G6" s="129"/>
      <c r="H6" s="130"/>
      <c r="I6" s="130"/>
      <c r="J6" s="1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5"/>
      <c r="B7" s="16"/>
      <c r="C7" s="10"/>
      <c r="D7" s="13">
        <f t="shared" si="1"/>
        <v>0</v>
      </c>
      <c r="F7" s="128"/>
      <c r="G7" s="132"/>
      <c r="H7" s="133"/>
      <c r="I7" s="133"/>
      <c r="J7" s="13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5"/>
      <c r="B8" s="16"/>
      <c r="C8" s="10"/>
      <c r="D8" s="13">
        <f t="shared" si="1"/>
        <v>0</v>
      </c>
      <c r="F8" s="135" t="s">
        <v>21</v>
      </c>
      <c r="G8" s="137"/>
      <c r="H8" s="138"/>
      <c r="I8" s="138"/>
      <c r="J8" s="1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5"/>
      <c r="B9" s="16"/>
      <c r="C9" s="10"/>
      <c r="D9" s="13">
        <f t="shared" si="1"/>
        <v>0</v>
      </c>
      <c r="F9" s="128"/>
      <c r="G9" s="140"/>
      <c r="H9" s="141"/>
      <c r="I9" s="141"/>
      <c r="J9" s="1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5"/>
      <c r="C10" s="10"/>
      <c r="D10" s="13">
        <f t="shared" si="1"/>
        <v>0</v>
      </c>
      <c r="F10" s="127" t="s">
        <v>26</v>
      </c>
      <c r="G10" s="143"/>
      <c r="H10" s="144"/>
      <c r="I10" s="144"/>
      <c r="J10" s="145"/>
      <c r="K10" s="8"/>
      <c r="L10" s="6">
        <f>R36</f>
        <v>972</v>
      </c>
      <c r="P10" s="4"/>
      <c r="Q10" s="4"/>
      <c r="R10" s="5"/>
    </row>
    <row r="11" spans="1:19" ht="15.75" x14ac:dyDescent="0.25">
      <c r="A11" s="125"/>
      <c r="B11" s="17"/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5"/>
      <c r="B12" s="17"/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5"/>
      <c r="B13" s="17"/>
      <c r="C13" s="10"/>
      <c r="D13" s="48">
        <f t="shared" si="1"/>
        <v>0</v>
      </c>
      <c r="F13" s="149" t="s">
        <v>36</v>
      </c>
      <c r="G13" s="150"/>
      <c r="H13" s="151">
        <f>D29</f>
        <v>0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5"/>
      <c r="B14" s="14"/>
      <c r="C14" s="10"/>
      <c r="D14" s="31">
        <f t="shared" si="1"/>
        <v>0</v>
      </c>
      <c r="F14" s="154" t="s">
        <v>38</v>
      </c>
      <c r="G14" s="155"/>
      <c r="H14" s="156">
        <f>D54</f>
        <v>0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5"/>
      <c r="B15" s="14"/>
      <c r="C15" s="10"/>
      <c r="D15" s="31">
        <f t="shared" si="1"/>
        <v>0</v>
      </c>
      <c r="F15" s="159" t="s">
        <v>39</v>
      </c>
      <c r="G15" s="150"/>
      <c r="H15" s="160">
        <f>H13-H14</f>
        <v>0</v>
      </c>
      <c r="I15" s="161"/>
      <c r="J15" s="16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3"/>
      <c r="I16" s="163"/>
      <c r="J16" s="16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19"/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14"/>
      <c r="C19" s="10"/>
      <c r="D19" s="48">
        <f t="shared" si="1"/>
        <v>0</v>
      </c>
      <c r="F19" s="56"/>
      <c r="G19" s="68" t="s">
        <v>49</v>
      </c>
      <c r="H19" s="182"/>
      <c r="I19" s="182"/>
      <c r="J19" s="18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5"/>
      <c r="B20" s="46"/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5"/>
      <c r="B22" s="46"/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/>
      <c r="C23" s="10"/>
      <c r="D23" s="48">
        <f t="shared" si="1"/>
        <v>0</v>
      </c>
      <c r="F23" s="77"/>
      <c r="G23" s="78"/>
      <c r="H23" s="187"/>
      <c r="I23" s="188"/>
      <c r="J23" s="18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/>
      <c r="C24" s="10"/>
      <c r="D24" s="48">
        <f t="shared" si="1"/>
        <v>0</v>
      </c>
      <c r="F24" s="38"/>
      <c r="G24" s="37"/>
      <c r="H24" s="187"/>
      <c r="I24" s="188"/>
      <c r="J24" s="18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5"/>
      <c r="B27" s="14"/>
      <c r="C27" s="10"/>
      <c r="D27" s="44">
        <f t="shared" si="1"/>
        <v>0</v>
      </c>
      <c r="F27" s="25"/>
      <c r="G27" s="79"/>
      <c r="H27" s="195"/>
      <c r="I27" s="196"/>
      <c r="J27" s="19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/>
      <c r="C28" s="10"/>
      <c r="D28" s="48">
        <f t="shared" si="1"/>
        <v>0</v>
      </c>
      <c r="F28" s="101"/>
      <c r="G28" s="61"/>
      <c r="H28" s="198"/>
      <c r="I28" s="199"/>
      <c r="J28" s="20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4" t="s">
        <v>36</v>
      </c>
      <c r="B29" s="165"/>
      <c r="C29" s="166"/>
      <c r="D29" s="170">
        <f>SUM(D6:D28)</f>
        <v>0</v>
      </c>
      <c r="F29" s="172" t="s">
        <v>54</v>
      </c>
      <c r="G29" s="173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4"/>
      <c r="I34" s="205"/>
      <c r="J34" s="20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/>
      <c r="H35" s="204"/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/>
      <c r="I36" s="205"/>
      <c r="J36" s="20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4"/>
      <c r="I37" s="205"/>
      <c r="J37" s="20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5"/>
      <c r="B38" s="29" t="s">
        <v>67</v>
      </c>
      <c r="C38" s="54"/>
      <c r="D38" s="12">
        <f>C38*84</f>
        <v>0</v>
      </c>
      <c r="F38" s="30">
        <v>50</v>
      </c>
      <c r="G38" s="39"/>
      <c r="H38" s="204"/>
      <c r="I38" s="205"/>
      <c r="J38" s="20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/>
      <c r="H39" s="204"/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4"/>
      <c r="I40" s="205"/>
      <c r="J40" s="20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/>
      <c r="H42" s="205"/>
      <c r="I42" s="205"/>
      <c r="J42" s="20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99" t="s">
        <v>82</v>
      </c>
      <c r="H43" s="210" t="s">
        <v>13</v>
      </c>
      <c r="I43" s="211"/>
      <c r="J43" s="212"/>
      <c r="K43" s="21"/>
      <c r="P43" s="4"/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/>
      <c r="G44" s="75"/>
      <c r="H44" s="188"/>
      <c r="I44" s="188"/>
      <c r="J44" s="188"/>
      <c r="K44" s="21"/>
      <c r="P44" s="4"/>
      <c r="Q44" s="4"/>
      <c r="R44" s="5"/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75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0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/>
      <c r="D48" s="12">
        <f>C48*78</f>
        <v>0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/>
      <c r="D50" s="12">
        <f>C50*1.5</f>
        <v>0</v>
      </c>
      <c r="F50" s="230"/>
      <c r="G50" s="179"/>
      <c r="H50" s="180"/>
      <c r="I50" s="180"/>
      <c r="J50" s="181"/>
      <c r="P50" s="4"/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106</v>
      </c>
      <c r="G51" s="233">
        <f>G49-H29</f>
        <v>0</v>
      </c>
      <c r="H51" s="234"/>
      <c r="I51" s="234"/>
      <c r="J51" s="23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8"/>
      <c r="B52" s="29"/>
      <c r="C52" s="33"/>
      <c r="D52" s="45"/>
      <c r="F52" s="232"/>
      <c r="G52" s="236"/>
      <c r="H52" s="237"/>
      <c r="I52" s="237"/>
      <c r="J52" s="23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0</v>
      </c>
      <c r="F54" s="21"/>
      <c r="J54" s="34"/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05E38-9FEB-4220-A304-1BDE55C2F91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0" t="s">
        <v>1</v>
      </c>
      <c r="O1" s="110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1" t="s">
        <v>7</v>
      </c>
      <c r="B4" s="112"/>
      <c r="C4" s="112"/>
      <c r="D4" s="113"/>
      <c r="F4" s="114" t="s">
        <v>8</v>
      </c>
      <c r="G4" s="116">
        <v>1</v>
      </c>
      <c r="H4" s="118" t="s">
        <v>9</v>
      </c>
      <c r="I4" s="120">
        <v>46179</v>
      </c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5"/>
      <c r="B6" s="16" t="s">
        <v>15</v>
      </c>
      <c r="C6" s="10"/>
      <c r="D6" s="13">
        <f t="shared" ref="D6:D28" si="1">C6*L6</f>
        <v>0</v>
      </c>
      <c r="F6" s="127" t="s">
        <v>16</v>
      </c>
      <c r="G6" s="129" t="s">
        <v>99</v>
      </c>
      <c r="H6" s="130"/>
      <c r="I6" s="130"/>
      <c r="J6" s="13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5"/>
      <c r="B7" s="16" t="s">
        <v>18</v>
      </c>
      <c r="C7" s="10"/>
      <c r="D7" s="13">
        <f t="shared" si="1"/>
        <v>0</v>
      </c>
      <c r="F7" s="128"/>
      <c r="G7" s="132"/>
      <c r="H7" s="133"/>
      <c r="I7" s="133"/>
      <c r="J7" s="13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5"/>
      <c r="B8" s="16" t="s">
        <v>20</v>
      </c>
      <c r="C8" s="10"/>
      <c r="D8" s="13">
        <f t="shared" si="1"/>
        <v>0</v>
      </c>
      <c r="F8" s="135" t="s">
        <v>21</v>
      </c>
      <c r="G8" s="137" t="s">
        <v>117</v>
      </c>
      <c r="H8" s="138"/>
      <c r="I8" s="138"/>
      <c r="J8" s="1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5"/>
      <c r="B9" s="16" t="s">
        <v>23</v>
      </c>
      <c r="C9" s="10"/>
      <c r="D9" s="13">
        <f t="shared" si="1"/>
        <v>0</v>
      </c>
      <c r="F9" s="128"/>
      <c r="G9" s="140"/>
      <c r="H9" s="141"/>
      <c r="I9" s="141"/>
      <c r="J9" s="1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5"/>
      <c r="B10" t="s">
        <v>25</v>
      </c>
      <c r="C10" s="10"/>
      <c r="D10" s="13">
        <f t="shared" si="1"/>
        <v>0</v>
      </c>
      <c r="F10" s="127" t="s">
        <v>26</v>
      </c>
      <c r="G10" s="143" t="s">
        <v>108</v>
      </c>
      <c r="H10" s="144"/>
      <c r="I10" s="144"/>
      <c r="J10" s="145"/>
      <c r="K10" s="8"/>
      <c r="L10" s="6">
        <f>R36</f>
        <v>1032</v>
      </c>
      <c r="P10" s="4"/>
      <c r="Q10" s="4"/>
      <c r="R10" s="5"/>
    </row>
    <row r="11" spans="1:18" ht="15.75" x14ac:dyDescent="0.25">
      <c r="A11" s="125"/>
      <c r="B11" s="17" t="s">
        <v>28</v>
      </c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5"/>
      <c r="B12" s="17" t="s">
        <v>30</v>
      </c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5"/>
      <c r="B13" s="17" t="s">
        <v>32</v>
      </c>
      <c r="C13" s="10"/>
      <c r="D13" s="48">
        <f t="shared" si="1"/>
        <v>0</v>
      </c>
      <c r="F13" s="149" t="s">
        <v>36</v>
      </c>
      <c r="G13" s="150"/>
      <c r="H13" s="151">
        <f>D29</f>
        <v>0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5"/>
      <c r="B14" s="14" t="s">
        <v>35</v>
      </c>
      <c r="C14" s="10"/>
      <c r="D14" s="31">
        <f t="shared" si="1"/>
        <v>0</v>
      </c>
      <c r="F14" s="154" t="s">
        <v>38</v>
      </c>
      <c r="G14" s="155"/>
      <c r="H14" s="156">
        <f>D54</f>
        <v>0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5"/>
      <c r="B15" s="14" t="s">
        <v>119</v>
      </c>
      <c r="C15" s="10"/>
      <c r="D15" s="31">
        <f t="shared" si="1"/>
        <v>0</v>
      </c>
      <c r="F15" s="159" t="s">
        <v>39</v>
      </c>
      <c r="G15" s="150"/>
      <c r="H15" s="160">
        <f>H13-H14</f>
        <v>0</v>
      </c>
      <c r="I15" s="161"/>
      <c r="J15" s="16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3"/>
      <c r="I16" s="163"/>
      <c r="J16" s="16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3"/>
      <c r="I19" s="163"/>
      <c r="J19" s="1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5"/>
      <c r="B22" s="46" t="s">
        <v>103</v>
      </c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 t="s">
        <v>118</v>
      </c>
      <c r="C23" s="10"/>
      <c r="D23" s="48">
        <f t="shared" si="1"/>
        <v>0</v>
      </c>
      <c r="F23" s="76"/>
      <c r="G23" s="78"/>
      <c r="H23" s="245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 t="s">
        <v>125</v>
      </c>
      <c r="C24" s="10"/>
      <c r="D24" s="48">
        <f t="shared" si="1"/>
        <v>0</v>
      </c>
      <c r="F24" s="76"/>
      <c r="G24" s="78"/>
      <c r="H24" s="245"/>
      <c r="I24" s="246"/>
      <c r="J24" s="24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 t="s">
        <v>126</v>
      </c>
      <c r="C26" s="10"/>
      <c r="D26" s="48">
        <f t="shared" si="1"/>
        <v>0</v>
      </c>
      <c r="F26" s="74"/>
      <c r="G26" s="65"/>
      <c r="H26" s="188"/>
      <c r="I26" s="188"/>
      <c r="J26" s="18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5"/>
      <c r="B27" s="14" t="s">
        <v>127</v>
      </c>
      <c r="C27" s="10"/>
      <c r="D27" s="44">
        <f t="shared" si="1"/>
        <v>0</v>
      </c>
      <c r="F27" s="71"/>
      <c r="G27" s="99"/>
      <c r="H27" s="247"/>
      <c r="I27" s="248"/>
      <c r="J27" s="24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 t="s">
        <v>92</v>
      </c>
      <c r="C28" s="10"/>
      <c r="D28" s="48">
        <f t="shared" si="1"/>
        <v>0</v>
      </c>
      <c r="F28" s="101"/>
      <c r="G28" s="61"/>
      <c r="H28" s="198"/>
      <c r="I28" s="199"/>
      <c r="J28" s="20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4" t="s">
        <v>36</v>
      </c>
      <c r="B29" s="165"/>
      <c r="C29" s="166"/>
      <c r="D29" s="170">
        <f>SUM(D6:D28)</f>
        <v>0</v>
      </c>
      <c r="F29" s="172" t="s">
        <v>54</v>
      </c>
      <c r="G29" s="173"/>
      <c r="H29" s="176">
        <f>H15-H16-H17-H18-H19-H20-H22-H23-H24+H26+H27+H28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4">
        <f t="shared" ref="H34:H39" si="2">F34*G34</f>
        <v>0</v>
      </c>
      <c r="I34" s="205"/>
      <c r="J34" s="20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/>
      <c r="H35" s="204">
        <f t="shared" si="2"/>
        <v>0</v>
      </c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>
        <f t="shared" si="2"/>
        <v>0</v>
      </c>
      <c r="I36" s="205"/>
      <c r="J36" s="20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4">
        <f t="shared" si="2"/>
        <v>0</v>
      </c>
      <c r="I37" s="205"/>
      <c r="J37" s="20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5"/>
      <c r="B38" s="29" t="s">
        <v>67</v>
      </c>
      <c r="C38" s="54"/>
      <c r="D38" s="12">
        <f>C38*84</f>
        <v>0</v>
      </c>
      <c r="F38" s="30">
        <v>50</v>
      </c>
      <c r="G38" s="39"/>
      <c r="H38" s="204">
        <f t="shared" si="2"/>
        <v>0</v>
      </c>
      <c r="I38" s="205"/>
      <c r="J38" s="20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/>
      <c r="H39" s="204">
        <f t="shared" si="2"/>
        <v>0</v>
      </c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4"/>
      <c r="I40" s="205"/>
      <c r="J40" s="20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/>
      <c r="H42" s="205"/>
      <c r="I42" s="205"/>
      <c r="J42" s="20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99" t="s">
        <v>82</v>
      </c>
      <c r="H43" s="210" t="s">
        <v>13</v>
      </c>
      <c r="I43" s="211"/>
      <c r="J43" s="21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/>
      <c r="G44" s="62"/>
      <c r="H44" s="188"/>
      <c r="I44" s="188"/>
      <c r="J44" s="18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62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0"/>
      <c r="D46" s="12">
        <f>C46*1.5</f>
        <v>0</v>
      </c>
      <c r="F46" s="37"/>
      <c r="G46" s="62"/>
      <c r="H46" s="188"/>
      <c r="I46" s="188"/>
      <c r="J46" s="188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/>
      <c r="D48" s="12">
        <f>C48*78</f>
        <v>0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/>
      <c r="D50" s="12">
        <f>C50*1.5</f>
        <v>0</v>
      </c>
      <c r="F50" s="230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129</v>
      </c>
      <c r="G51" s="251">
        <f>G49-H29</f>
        <v>0</v>
      </c>
      <c r="H51" s="252"/>
      <c r="I51" s="252"/>
      <c r="J51" s="2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8"/>
      <c r="B52" s="29"/>
      <c r="C52" s="33"/>
      <c r="D52" s="45"/>
      <c r="F52" s="232"/>
      <c r="G52" s="254"/>
      <c r="H52" s="255"/>
      <c r="I52" s="255"/>
      <c r="J52" s="2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99B0C-322E-48B7-9B4B-6300806FCF38}">
  <dimension ref="A1:R59"/>
  <sheetViews>
    <sheetView zoomScaleNormal="100" zoomScaleSheetLayoutView="85" workbookViewId="0">
      <selection activeCell="H17" sqref="H17:J1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0" t="s">
        <v>1</v>
      </c>
      <c r="O1" s="110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1" t="s">
        <v>7</v>
      </c>
      <c r="B4" s="112"/>
      <c r="C4" s="112"/>
      <c r="D4" s="113"/>
      <c r="F4" s="114" t="s">
        <v>8</v>
      </c>
      <c r="G4" s="116">
        <v>2</v>
      </c>
      <c r="H4" s="118" t="s">
        <v>9</v>
      </c>
      <c r="I4" s="120">
        <v>46179</v>
      </c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5"/>
      <c r="B6" s="16" t="s">
        <v>15</v>
      </c>
      <c r="C6" s="10"/>
      <c r="D6" s="13">
        <f t="shared" ref="D6:D28" si="1">C6*L6</f>
        <v>0</v>
      </c>
      <c r="F6" s="127" t="s">
        <v>16</v>
      </c>
      <c r="G6" s="129" t="s">
        <v>107</v>
      </c>
      <c r="H6" s="130"/>
      <c r="I6" s="130"/>
      <c r="J6" s="13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5"/>
      <c r="B7" s="16" t="s">
        <v>18</v>
      </c>
      <c r="C7" s="10"/>
      <c r="D7" s="13">
        <f t="shared" si="1"/>
        <v>0</v>
      </c>
      <c r="F7" s="128"/>
      <c r="G7" s="132"/>
      <c r="H7" s="133"/>
      <c r="I7" s="133"/>
      <c r="J7" s="13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5"/>
      <c r="B8" s="16" t="s">
        <v>20</v>
      </c>
      <c r="C8" s="10"/>
      <c r="D8" s="13">
        <f t="shared" si="1"/>
        <v>0</v>
      </c>
      <c r="F8" s="135" t="s">
        <v>21</v>
      </c>
      <c r="G8" s="137" t="s">
        <v>100</v>
      </c>
      <c r="H8" s="138"/>
      <c r="I8" s="138"/>
      <c r="J8" s="1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5"/>
      <c r="B9" s="16" t="s">
        <v>23</v>
      </c>
      <c r="C9" s="10"/>
      <c r="D9" s="13">
        <f t="shared" si="1"/>
        <v>0</v>
      </c>
      <c r="F9" s="128"/>
      <c r="G9" s="140"/>
      <c r="H9" s="141"/>
      <c r="I9" s="141"/>
      <c r="J9" s="1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5"/>
      <c r="B10" t="s">
        <v>25</v>
      </c>
      <c r="C10" s="10"/>
      <c r="D10" s="13">
        <f t="shared" si="1"/>
        <v>0</v>
      </c>
      <c r="F10" s="127" t="s">
        <v>26</v>
      </c>
      <c r="G10" s="143" t="s">
        <v>101</v>
      </c>
      <c r="H10" s="144"/>
      <c r="I10" s="144"/>
      <c r="J10" s="145"/>
      <c r="K10" s="8"/>
      <c r="L10" s="6">
        <f>R36</f>
        <v>1032</v>
      </c>
      <c r="P10" s="4"/>
      <c r="Q10" s="4"/>
      <c r="R10" s="5"/>
    </row>
    <row r="11" spans="1:18" ht="15.75" x14ac:dyDescent="0.25">
      <c r="A11" s="125"/>
      <c r="B11" s="17" t="s">
        <v>28</v>
      </c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5"/>
      <c r="B12" s="17" t="s">
        <v>30</v>
      </c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5"/>
      <c r="B13" s="17" t="s">
        <v>32</v>
      </c>
      <c r="C13" s="10"/>
      <c r="D13" s="48">
        <f t="shared" si="1"/>
        <v>0</v>
      </c>
      <c r="F13" s="149" t="s">
        <v>36</v>
      </c>
      <c r="G13" s="150"/>
      <c r="H13" s="151">
        <f>D29</f>
        <v>0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5"/>
      <c r="B14" s="14" t="s">
        <v>35</v>
      </c>
      <c r="C14" s="10"/>
      <c r="D14" s="31">
        <f t="shared" si="1"/>
        <v>0</v>
      </c>
      <c r="F14" s="154" t="s">
        <v>38</v>
      </c>
      <c r="G14" s="155"/>
      <c r="H14" s="156">
        <f>D54</f>
        <v>0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5"/>
      <c r="B15" s="14" t="s">
        <v>119</v>
      </c>
      <c r="C15" s="10"/>
      <c r="D15" s="31">
        <f t="shared" si="1"/>
        <v>0</v>
      </c>
      <c r="F15" s="159" t="s">
        <v>39</v>
      </c>
      <c r="G15" s="150"/>
      <c r="H15" s="160">
        <f>H13-H14</f>
        <v>0</v>
      </c>
      <c r="I15" s="161"/>
      <c r="J15" s="16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3"/>
      <c r="I16" s="163"/>
      <c r="J16" s="16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9"/>
      <c r="I19" s="249"/>
      <c r="J19" s="2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5"/>
      <c r="B22" s="46" t="s">
        <v>103</v>
      </c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 t="s">
        <v>118</v>
      </c>
      <c r="C23" s="10"/>
      <c r="D23" s="48">
        <f t="shared" si="1"/>
        <v>0</v>
      </c>
      <c r="F23" s="77"/>
      <c r="G23" s="78"/>
      <c r="H23" s="250"/>
      <c r="I23" s="186"/>
      <c r="J23" s="1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 t="s">
        <v>125</v>
      </c>
      <c r="C24" s="10"/>
      <c r="D24" s="48">
        <f t="shared" si="1"/>
        <v>0</v>
      </c>
      <c r="F24" s="38"/>
      <c r="G24" s="37"/>
      <c r="H24" s="187"/>
      <c r="I24" s="188"/>
      <c r="J24" s="1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 t="s">
        <v>126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5"/>
      <c r="B27" s="14" t="s">
        <v>127</v>
      </c>
      <c r="C27" s="10"/>
      <c r="D27" s="44">
        <f t="shared" si="1"/>
        <v>0</v>
      </c>
      <c r="F27" s="25"/>
      <c r="G27" s="79"/>
      <c r="H27" s="195"/>
      <c r="I27" s="196"/>
      <c r="J27" s="19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 t="s">
        <v>92</v>
      </c>
      <c r="C28" s="10"/>
      <c r="D28" s="48">
        <f t="shared" si="1"/>
        <v>0</v>
      </c>
      <c r="F28" s="101"/>
      <c r="G28" s="61"/>
      <c r="H28" s="198"/>
      <c r="I28" s="199"/>
      <c r="J28" s="20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4" t="s">
        <v>36</v>
      </c>
      <c r="B29" s="165"/>
      <c r="C29" s="166"/>
      <c r="D29" s="170">
        <f>SUM(D6:D28)</f>
        <v>0</v>
      </c>
      <c r="F29" s="172" t="s">
        <v>54</v>
      </c>
      <c r="G29" s="173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4">
        <f>F34*G34</f>
        <v>0</v>
      </c>
      <c r="I34" s="205"/>
      <c r="J34" s="20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/>
      <c r="H35" s="204">
        <f>F35*G35</f>
        <v>0</v>
      </c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>
        <f t="shared" ref="H36:H39" si="2">F36*G36</f>
        <v>0</v>
      </c>
      <c r="I36" s="205"/>
      <c r="J36" s="20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4">
        <f t="shared" si="2"/>
        <v>0</v>
      </c>
      <c r="I37" s="205"/>
      <c r="J37" s="20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5"/>
      <c r="B38" s="29" t="s">
        <v>67</v>
      </c>
      <c r="C38" s="54"/>
      <c r="D38" s="12">
        <f>C38*84</f>
        <v>0</v>
      </c>
      <c r="F38" s="30">
        <v>50</v>
      </c>
      <c r="G38" s="39"/>
      <c r="H38" s="204">
        <f t="shared" si="2"/>
        <v>0</v>
      </c>
      <c r="I38" s="205"/>
      <c r="J38" s="20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/>
      <c r="H39" s="204">
        <f t="shared" si="2"/>
        <v>0</v>
      </c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4"/>
      <c r="I40" s="205"/>
      <c r="J40" s="20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/>
      <c r="H42" s="205"/>
      <c r="I42" s="205"/>
      <c r="J42" s="20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99" t="s">
        <v>82</v>
      </c>
      <c r="H43" s="210" t="s">
        <v>13</v>
      </c>
      <c r="I43" s="211"/>
      <c r="J43" s="21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/>
      <c r="G44" s="75"/>
      <c r="H44" s="188"/>
      <c r="I44" s="188"/>
      <c r="J44" s="18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75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0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/>
      <c r="D48" s="12">
        <f>C48*78</f>
        <v>0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80"/>
      <c r="D50" s="12">
        <f>C50*1.5</f>
        <v>0</v>
      </c>
      <c r="F50" s="230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113</v>
      </c>
      <c r="G51" s="233">
        <f>G49-H29</f>
        <v>0</v>
      </c>
      <c r="H51" s="234"/>
      <c r="I51" s="234"/>
      <c r="J51" s="23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8"/>
      <c r="B52" s="29"/>
      <c r="C52" s="33"/>
      <c r="D52" s="45"/>
      <c r="F52" s="232"/>
      <c r="G52" s="236"/>
      <c r="H52" s="237"/>
      <c r="I52" s="237"/>
      <c r="J52" s="23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5E8C9-59EB-4F59-95D5-B1F89CA82ECB}">
  <dimension ref="A1:R59"/>
  <sheetViews>
    <sheetView zoomScaleNormal="100" zoomScaleSheetLayoutView="85" workbookViewId="0">
      <selection activeCell="M30" sqref="M3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0" t="s">
        <v>1</v>
      </c>
      <c r="O1" s="110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1" t="s">
        <v>7</v>
      </c>
      <c r="B4" s="112"/>
      <c r="C4" s="112"/>
      <c r="D4" s="113"/>
      <c r="F4" s="114" t="s">
        <v>8</v>
      </c>
      <c r="G4" s="116">
        <v>3</v>
      </c>
      <c r="H4" s="118" t="s">
        <v>9</v>
      </c>
      <c r="I4" s="120">
        <v>46179</v>
      </c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5"/>
      <c r="B6" s="16" t="s">
        <v>15</v>
      </c>
      <c r="C6" s="10"/>
      <c r="D6" s="13">
        <f t="shared" ref="D6:D28" si="1">C6*L6</f>
        <v>0</v>
      </c>
      <c r="F6" s="127" t="s">
        <v>16</v>
      </c>
      <c r="G6" s="129" t="s">
        <v>115</v>
      </c>
      <c r="H6" s="130"/>
      <c r="I6" s="130"/>
      <c r="J6" s="13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5"/>
      <c r="B7" s="16" t="s">
        <v>18</v>
      </c>
      <c r="C7" s="10"/>
      <c r="D7" s="13">
        <f t="shared" si="1"/>
        <v>0</v>
      </c>
      <c r="F7" s="128"/>
      <c r="G7" s="132"/>
      <c r="H7" s="133"/>
      <c r="I7" s="133"/>
      <c r="J7" s="13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5"/>
      <c r="B8" s="16" t="s">
        <v>20</v>
      </c>
      <c r="C8" s="10"/>
      <c r="D8" s="13">
        <f t="shared" si="1"/>
        <v>0</v>
      </c>
      <c r="F8" s="135" t="s">
        <v>21</v>
      </c>
      <c r="G8" s="137" t="s">
        <v>109</v>
      </c>
      <c r="H8" s="138"/>
      <c r="I8" s="138"/>
      <c r="J8" s="1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5"/>
      <c r="B9" s="16" t="s">
        <v>23</v>
      </c>
      <c r="C9" s="10"/>
      <c r="D9" s="13">
        <f t="shared" si="1"/>
        <v>0</v>
      </c>
      <c r="F9" s="128"/>
      <c r="G9" s="140"/>
      <c r="H9" s="141"/>
      <c r="I9" s="141"/>
      <c r="J9" s="1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5"/>
      <c r="B10" t="s">
        <v>25</v>
      </c>
      <c r="C10" s="10"/>
      <c r="D10" s="13">
        <f t="shared" si="1"/>
        <v>0</v>
      </c>
      <c r="F10" s="127" t="s">
        <v>26</v>
      </c>
      <c r="G10" s="143" t="s">
        <v>121</v>
      </c>
      <c r="H10" s="144"/>
      <c r="I10" s="144"/>
      <c r="J10" s="145"/>
      <c r="K10" s="8"/>
      <c r="L10" s="6">
        <f>R36</f>
        <v>1032</v>
      </c>
      <c r="P10" s="4"/>
      <c r="Q10" s="4"/>
      <c r="R10" s="5"/>
    </row>
    <row r="11" spans="1:18" ht="15.75" x14ac:dyDescent="0.25">
      <c r="A11" s="125"/>
      <c r="B11" s="17" t="s">
        <v>28</v>
      </c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5"/>
      <c r="B12" s="17" t="s">
        <v>30</v>
      </c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5"/>
      <c r="B13" s="17" t="s">
        <v>32</v>
      </c>
      <c r="C13" s="10"/>
      <c r="D13" s="48">
        <f t="shared" si="1"/>
        <v>0</v>
      </c>
      <c r="F13" s="149" t="s">
        <v>36</v>
      </c>
      <c r="G13" s="150"/>
      <c r="H13" s="151">
        <f>D29</f>
        <v>0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5"/>
      <c r="B14" s="14" t="s">
        <v>35</v>
      </c>
      <c r="C14" s="10"/>
      <c r="D14" s="31">
        <f t="shared" si="1"/>
        <v>0</v>
      </c>
      <c r="F14" s="154" t="s">
        <v>38</v>
      </c>
      <c r="G14" s="155"/>
      <c r="H14" s="156">
        <f>D54</f>
        <v>0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5"/>
      <c r="B15" s="14" t="s">
        <v>119</v>
      </c>
      <c r="C15" s="10"/>
      <c r="D15" s="31">
        <f t="shared" si="1"/>
        <v>0</v>
      </c>
      <c r="F15" s="159" t="s">
        <v>39</v>
      </c>
      <c r="G15" s="150"/>
      <c r="H15" s="160">
        <f>H13-H14</f>
        <v>0</v>
      </c>
      <c r="I15" s="161"/>
      <c r="J15" s="16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3"/>
      <c r="I16" s="163"/>
      <c r="J16" s="16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9"/>
      <c r="I19" s="249"/>
      <c r="J19" s="2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5"/>
      <c r="B22" s="46" t="s">
        <v>103</v>
      </c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 t="s">
        <v>118</v>
      </c>
      <c r="C23" s="10"/>
      <c r="D23" s="48">
        <f t="shared" si="1"/>
        <v>0</v>
      </c>
      <c r="F23" s="77"/>
      <c r="G23" s="78"/>
      <c r="H23" s="250"/>
      <c r="I23" s="186"/>
      <c r="J23" s="1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 t="s">
        <v>125</v>
      </c>
      <c r="C24" s="10"/>
      <c r="D24" s="48">
        <f t="shared" si="1"/>
        <v>0</v>
      </c>
      <c r="F24" s="38"/>
      <c r="G24" s="37"/>
      <c r="H24" s="187"/>
      <c r="I24" s="188"/>
      <c r="J24" s="1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 t="s">
        <v>126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5"/>
      <c r="B27" s="14" t="s">
        <v>127</v>
      </c>
      <c r="C27" s="10"/>
      <c r="D27" s="44">
        <f t="shared" si="1"/>
        <v>0</v>
      </c>
      <c r="F27" s="25"/>
      <c r="G27" s="79"/>
      <c r="H27" s="195"/>
      <c r="I27" s="196"/>
      <c r="J27" s="19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 t="s">
        <v>92</v>
      </c>
      <c r="C28" s="10"/>
      <c r="D28" s="48">
        <f t="shared" si="1"/>
        <v>0</v>
      </c>
      <c r="F28" s="101"/>
      <c r="G28" s="61"/>
      <c r="H28" s="198"/>
      <c r="I28" s="199"/>
      <c r="J28" s="20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4" t="s">
        <v>36</v>
      </c>
      <c r="B29" s="165"/>
      <c r="C29" s="166"/>
      <c r="D29" s="170">
        <f>SUM(D6:D28)</f>
        <v>0</v>
      </c>
      <c r="F29" s="172" t="s">
        <v>54</v>
      </c>
      <c r="G29" s="173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4">
        <f>F34*G34</f>
        <v>0</v>
      </c>
      <c r="I34" s="205"/>
      <c r="J34" s="20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/>
      <c r="H35" s="204">
        <f>F35*G35</f>
        <v>0</v>
      </c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>
        <f t="shared" ref="H36:H39" si="2">F36*G36</f>
        <v>0</v>
      </c>
      <c r="I36" s="205"/>
      <c r="J36" s="20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4">
        <f t="shared" si="2"/>
        <v>0</v>
      </c>
      <c r="I37" s="205"/>
      <c r="J37" s="20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5"/>
      <c r="B38" s="29" t="s">
        <v>67</v>
      </c>
      <c r="C38" s="54"/>
      <c r="D38" s="12">
        <f>C38*84</f>
        <v>0</v>
      </c>
      <c r="F38" s="30">
        <v>50</v>
      </c>
      <c r="G38" s="39"/>
      <c r="H38" s="204">
        <f t="shared" si="2"/>
        <v>0</v>
      </c>
      <c r="I38" s="205"/>
      <c r="J38" s="20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/>
      <c r="H39" s="204">
        <f t="shared" si="2"/>
        <v>0</v>
      </c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4"/>
      <c r="I40" s="205"/>
      <c r="J40" s="20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/>
      <c r="H42" s="205"/>
      <c r="I42" s="205"/>
      <c r="J42" s="20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99" t="s">
        <v>82</v>
      </c>
      <c r="H43" s="210" t="s">
        <v>13</v>
      </c>
      <c r="I43" s="211"/>
      <c r="J43" s="21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/>
      <c r="G44" s="75"/>
      <c r="H44" s="188"/>
      <c r="I44" s="188"/>
      <c r="J44" s="18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75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0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/>
      <c r="D48" s="12">
        <f>C48*78</f>
        <v>0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/>
      <c r="D50" s="12">
        <f>C50*1.5</f>
        <v>0</v>
      </c>
      <c r="F50" s="230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113</v>
      </c>
      <c r="G51" s="233">
        <f>G49-H29</f>
        <v>0</v>
      </c>
      <c r="H51" s="234"/>
      <c r="I51" s="234"/>
      <c r="J51" s="23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8"/>
      <c r="B52" s="29"/>
      <c r="C52" s="33"/>
      <c r="D52" s="45"/>
      <c r="F52" s="232"/>
      <c r="G52" s="236"/>
      <c r="H52" s="237"/>
      <c r="I52" s="237"/>
      <c r="J52" s="23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651FE-F86D-4E78-9CB8-C5B260A23C0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0" t="s">
        <v>1</v>
      </c>
      <c r="O1" s="110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1" t="s">
        <v>7</v>
      </c>
      <c r="B4" s="112"/>
      <c r="C4" s="112"/>
      <c r="D4" s="113"/>
      <c r="F4" s="114" t="s">
        <v>8</v>
      </c>
      <c r="G4" s="116"/>
      <c r="H4" s="118" t="s">
        <v>9</v>
      </c>
      <c r="I4" s="120"/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5"/>
      <c r="B6" s="16"/>
      <c r="C6" s="10"/>
      <c r="D6" s="13">
        <f t="shared" ref="D6:D28" si="1">C6*L6</f>
        <v>0</v>
      </c>
      <c r="F6" s="127" t="s">
        <v>16</v>
      </c>
      <c r="G6" s="129"/>
      <c r="H6" s="130"/>
      <c r="I6" s="130"/>
      <c r="J6" s="1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5"/>
      <c r="B7" s="16"/>
      <c r="C7" s="10"/>
      <c r="D7" s="13">
        <f t="shared" si="1"/>
        <v>0</v>
      </c>
      <c r="F7" s="128"/>
      <c r="G7" s="132"/>
      <c r="H7" s="133"/>
      <c r="I7" s="133"/>
      <c r="J7" s="13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5"/>
      <c r="B8" s="16"/>
      <c r="C8" s="10"/>
      <c r="D8" s="13">
        <f t="shared" si="1"/>
        <v>0</v>
      </c>
      <c r="F8" s="135" t="s">
        <v>21</v>
      </c>
      <c r="G8" s="137"/>
      <c r="H8" s="138"/>
      <c r="I8" s="138"/>
      <c r="J8" s="1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5"/>
      <c r="B9" s="16"/>
      <c r="C9" s="10"/>
      <c r="D9" s="13">
        <f t="shared" si="1"/>
        <v>0</v>
      </c>
      <c r="F9" s="128"/>
      <c r="G9" s="140"/>
      <c r="H9" s="141"/>
      <c r="I9" s="141"/>
      <c r="J9" s="1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5"/>
      <c r="C10" s="10"/>
      <c r="D10" s="13">
        <f t="shared" si="1"/>
        <v>0</v>
      </c>
      <c r="F10" s="127" t="s">
        <v>26</v>
      </c>
      <c r="G10" s="143"/>
      <c r="H10" s="144"/>
      <c r="I10" s="144"/>
      <c r="J10" s="145"/>
      <c r="K10" s="8"/>
      <c r="L10" s="6">
        <f>R36</f>
        <v>972</v>
      </c>
      <c r="P10" s="4"/>
      <c r="Q10" s="4"/>
      <c r="R10" s="5"/>
    </row>
    <row r="11" spans="1:19" ht="15.75" x14ac:dyDescent="0.25">
      <c r="A11" s="125"/>
      <c r="B11" s="17"/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5"/>
      <c r="B12" s="17"/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5"/>
      <c r="B13" s="17"/>
      <c r="C13" s="10"/>
      <c r="D13" s="48">
        <f t="shared" si="1"/>
        <v>0</v>
      </c>
      <c r="F13" s="149" t="s">
        <v>36</v>
      </c>
      <c r="G13" s="150"/>
      <c r="H13" s="151">
        <f>D29</f>
        <v>0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5"/>
      <c r="B14" s="14"/>
      <c r="C14" s="10"/>
      <c r="D14" s="31">
        <f t="shared" si="1"/>
        <v>0</v>
      </c>
      <c r="F14" s="154" t="s">
        <v>38</v>
      </c>
      <c r="G14" s="155"/>
      <c r="H14" s="156">
        <f>D54</f>
        <v>0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5"/>
      <c r="B15" s="14"/>
      <c r="C15" s="10"/>
      <c r="D15" s="31">
        <f t="shared" si="1"/>
        <v>0</v>
      </c>
      <c r="F15" s="159" t="s">
        <v>39</v>
      </c>
      <c r="G15" s="150"/>
      <c r="H15" s="160">
        <f>H13-H14</f>
        <v>0</v>
      </c>
      <c r="I15" s="161"/>
      <c r="J15" s="16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3"/>
      <c r="I16" s="163"/>
      <c r="J16" s="16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19"/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14"/>
      <c r="C19" s="10"/>
      <c r="D19" s="48">
        <f t="shared" si="1"/>
        <v>0</v>
      </c>
      <c r="F19" s="56"/>
      <c r="G19" s="68" t="s">
        <v>49</v>
      </c>
      <c r="H19" s="182"/>
      <c r="I19" s="182"/>
      <c r="J19" s="18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5"/>
      <c r="B20" s="46"/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5"/>
      <c r="B22" s="46"/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/>
      <c r="C23" s="10"/>
      <c r="D23" s="48">
        <f t="shared" si="1"/>
        <v>0</v>
      </c>
      <c r="F23" s="77"/>
      <c r="G23" s="78"/>
      <c r="H23" s="187"/>
      <c r="I23" s="188"/>
      <c r="J23" s="18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/>
      <c r="C24" s="10"/>
      <c r="D24" s="48">
        <f t="shared" si="1"/>
        <v>0</v>
      </c>
      <c r="F24" s="38"/>
      <c r="G24" s="37"/>
      <c r="H24" s="187"/>
      <c r="I24" s="188"/>
      <c r="J24" s="18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5"/>
      <c r="B27" s="14"/>
      <c r="C27" s="10"/>
      <c r="D27" s="44">
        <f t="shared" si="1"/>
        <v>0</v>
      </c>
      <c r="F27" s="25"/>
      <c r="G27" s="79"/>
      <c r="H27" s="195"/>
      <c r="I27" s="196"/>
      <c r="J27" s="19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/>
      <c r="C28" s="10"/>
      <c r="D28" s="48">
        <f t="shared" si="1"/>
        <v>0</v>
      </c>
      <c r="F28" s="101"/>
      <c r="G28" s="61"/>
      <c r="H28" s="198"/>
      <c r="I28" s="199"/>
      <c r="J28" s="20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4" t="s">
        <v>36</v>
      </c>
      <c r="B29" s="165"/>
      <c r="C29" s="166"/>
      <c r="D29" s="170">
        <f>SUM(D6:D28)</f>
        <v>0</v>
      </c>
      <c r="F29" s="172" t="s">
        <v>54</v>
      </c>
      <c r="G29" s="173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4"/>
      <c r="I34" s="205"/>
      <c r="J34" s="20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/>
      <c r="H35" s="204"/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/>
      <c r="I36" s="205"/>
      <c r="J36" s="20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4"/>
      <c r="I37" s="205"/>
      <c r="J37" s="20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5"/>
      <c r="B38" s="29" t="s">
        <v>67</v>
      </c>
      <c r="C38" s="54"/>
      <c r="D38" s="12">
        <f>C38*84</f>
        <v>0</v>
      </c>
      <c r="F38" s="30">
        <v>50</v>
      </c>
      <c r="G38" s="39"/>
      <c r="H38" s="204"/>
      <c r="I38" s="205"/>
      <c r="J38" s="20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/>
      <c r="H39" s="204"/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4"/>
      <c r="I40" s="205"/>
      <c r="J40" s="20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/>
      <c r="H42" s="205"/>
      <c r="I42" s="205"/>
      <c r="J42" s="20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99" t="s">
        <v>82</v>
      </c>
      <c r="H43" s="210" t="s">
        <v>13</v>
      </c>
      <c r="I43" s="211"/>
      <c r="J43" s="212"/>
      <c r="K43" s="21"/>
      <c r="P43" s="4"/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/>
      <c r="G44" s="75"/>
      <c r="H44" s="188"/>
      <c r="I44" s="188"/>
      <c r="J44" s="188"/>
      <c r="K44" s="21"/>
      <c r="P44" s="4"/>
      <c r="Q44" s="4"/>
      <c r="R44" s="5"/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75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0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/>
      <c r="D48" s="12">
        <f>C48*78</f>
        <v>0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/>
      <c r="D50" s="12">
        <f>C50*1.5</f>
        <v>0</v>
      </c>
      <c r="F50" s="230"/>
      <c r="G50" s="179"/>
      <c r="H50" s="180"/>
      <c r="I50" s="180"/>
      <c r="J50" s="181"/>
      <c r="P50" s="4"/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106</v>
      </c>
      <c r="G51" s="233">
        <f>G49-H29</f>
        <v>0</v>
      </c>
      <c r="H51" s="234"/>
      <c r="I51" s="234"/>
      <c r="J51" s="23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8"/>
      <c r="B52" s="29"/>
      <c r="C52" s="33"/>
      <c r="D52" s="45"/>
      <c r="F52" s="232"/>
      <c r="G52" s="236"/>
      <c r="H52" s="237"/>
      <c r="I52" s="237"/>
      <c r="J52" s="23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0</v>
      </c>
      <c r="F54" s="21"/>
      <c r="J54" s="34"/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3DEFF-527F-43BE-B19C-0010A5A981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0" t="s">
        <v>1</v>
      </c>
      <c r="O1" s="110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1" t="s">
        <v>7</v>
      </c>
      <c r="B4" s="112"/>
      <c r="C4" s="112"/>
      <c r="D4" s="113"/>
      <c r="F4" s="114" t="s">
        <v>8</v>
      </c>
      <c r="G4" s="116">
        <v>1</v>
      </c>
      <c r="H4" s="118" t="s">
        <v>9</v>
      </c>
      <c r="I4" s="120">
        <v>46181</v>
      </c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5"/>
      <c r="B6" s="16" t="s">
        <v>15</v>
      </c>
      <c r="C6" s="10"/>
      <c r="D6" s="13">
        <f t="shared" ref="D6:D28" si="1">C6*L6</f>
        <v>0</v>
      </c>
      <c r="F6" s="127" t="s">
        <v>16</v>
      </c>
      <c r="G6" s="129" t="s">
        <v>99</v>
      </c>
      <c r="H6" s="130"/>
      <c r="I6" s="130"/>
      <c r="J6" s="13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5"/>
      <c r="B7" s="16" t="s">
        <v>18</v>
      </c>
      <c r="C7" s="10"/>
      <c r="D7" s="13">
        <f t="shared" si="1"/>
        <v>0</v>
      </c>
      <c r="F7" s="128"/>
      <c r="G7" s="132"/>
      <c r="H7" s="133"/>
      <c r="I7" s="133"/>
      <c r="J7" s="13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5"/>
      <c r="B8" s="16" t="s">
        <v>20</v>
      </c>
      <c r="C8" s="10"/>
      <c r="D8" s="13">
        <f t="shared" si="1"/>
        <v>0</v>
      </c>
      <c r="F8" s="135" t="s">
        <v>21</v>
      </c>
      <c r="G8" s="137" t="s">
        <v>117</v>
      </c>
      <c r="H8" s="138"/>
      <c r="I8" s="138"/>
      <c r="J8" s="1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5"/>
      <c r="B9" s="16" t="s">
        <v>23</v>
      </c>
      <c r="C9" s="10"/>
      <c r="D9" s="13">
        <f t="shared" si="1"/>
        <v>0</v>
      </c>
      <c r="F9" s="128"/>
      <c r="G9" s="140"/>
      <c r="H9" s="141"/>
      <c r="I9" s="141"/>
      <c r="J9" s="1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5"/>
      <c r="B10" t="s">
        <v>25</v>
      </c>
      <c r="C10" s="10"/>
      <c r="D10" s="13">
        <f t="shared" si="1"/>
        <v>0</v>
      </c>
      <c r="F10" s="127" t="s">
        <v>26</v>
      </c>
      <c r="G10" s="143" t="s">
        <v>108</v>
      </c>
      <c r="H10" s="144"/>
      <c r="I10" s="144"/>
      <c r="J10" s="145"/>
      <c r="K10" s="8"/>
      <c r="L10" s="6">
        <f>R36</f>
        <v>1032</v>
      </c>
      <c r="P10" s="4"/>
      <c r="Q10" s="4"/>
      <c r="R10" s="5"/>
    </row>
    <row r="11" spans="1:18" ht="15.75" x14ac:dyDescent="0.25">
      <c r="A11" s="125"/>
      <c r="B11" s="17" t="s">
        <v>28</v>
      </c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5"/>
      <c r="B12" s="17" t="s">
        <v>30</v>
      </c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5"/>
      <c r="B13" s="17" t="s">
        <v>32</v>
      </c>
      <c r="C13" s="10"/>
      <c r="D13" s="48">
        <f t="shared" si="1"/>
        <v>0</v>
      </c>
      <c r="F13" s="149" t="s">
        <v>36</v>
      </c>
      <c r="G13" s="150"/>
      <c r="H13" s="151">
        <f>D29</f>
        <v>0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5"/>
      <c r="B14" s="14" t="s">
        <v>35</v>
      </c>
      <c r="C14" s="10"/>
      <c r="D14" s="31">
        <f t="shared" si="1"/>
        <v>0</v>
      </c>
      <c r="F14" s="154" t="s">
        <v>38</v>
      </c>
      <c r="G14" s="155"/>
      <c r="H14" s="156">
        <f>D54</f>
        <v>0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5"/>
      <c r="B15" s="14" t="s">
        <v>119</v>
      </c>
      <c r="C15" s="10"/>
      <c r="D15" s="31">
        <f t="shared" si="1"/>
        <v>0</v>
      </c>
      <c r="F15" s="159" t="s">
        <v>39</v>
      </c>
      <c r="G15" s="150"/>
      <c r="H15" s="160">
        <f>H13-H14</f>
        <v>0</v>
      </c>
      <c r="I15" s="161"/>
      <c r="J15" s="16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3"/>
      <c r="I16" s="163"/>
      <c r="J16" s="16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3"/>
      <c r="I19" s="163"/>
      <c r="J19" s="1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5"/>
      <c r="B22" s="46" t="s">
        <v>103</v>
      </c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 t="s">
        <v>118</v>
      </c>
      <c r="C23" s="10"/>
      <c r="D23" s="48">
        <f t="shared" si="1"/>
        <v>0</v>
      </c>
      <c r="F23" s="76"/>
      <c r="G23" s="78"/>
      <c r="H23" s="245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 t="s">
        <v>125</v>
      </c>
      <c r="C24" s="10"/>
      <c r="D24" s="48">
        <f t="shared" si="1"/>
        <v>0</v>
      </c>
      <c r="F24" s="76"/>
      <c r="G24" s="78"/>
      <c r="H24" s="245"/>
      <c r="I24" s="246"/>
      <c r="J24" s="24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 t="s">
        <v>126</v>
      </c>
      <c r="C26" s="10"/>
      <c r="D26" s="48">
        <f t="shared" si="1"/>
        <v>0</v>
      </c>
      <c r="F26" s="74"/>
      <c r="G26" s="65"/>
      <c r="H26" s="188"/>
      <c r="I26" s="188"/>
      <c r="J26" s="18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5"/>
      <c r="B27" s="14" t="s">
        <v>127</v>
      </c>
      <c r="C27" s="10"/>
      <c r="D27" s="44">
        <f t="shared" si="1"/>
        <v>0</v>
      </c>
      <c r="F27" s="71"/>
      <c r="G27" s="99"/>
      <c r="H27" s="247"/>
      <c r="I27" s="248"/>
      <c r="J27" s="24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 t="s">
        <v>92</v>
      </c>
      <c r="C28" s="10"/>
      <c r="D28" s="48">
        <f t="shared" si="1"/>
        <v>0</v>
      </c>
      <c r="F28" s="101"/>
      <c r="G28" s="61"/>
      <c r="H28" s="198"/>
      <c r="I28" s="199"/>
      <c r="J28" s="20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4" t="s">
        <v>36</v>
      </c>
      <c r="B29" s="165"/>
      <c r="C29" s="166"/>
      <c r="D29" s="170">
        <f>SUM(D6:D28)</f>
        <v>0</v>
      </c>
      <c r="F29" s="172" t="s">
        <v>54</v>
      </c>
      <c r="G29" s="173"/>
      <c r="H29" s="176">
        <f>H15-H16-H17-H18-H19-H20-H22-H23-H24+H26+H27+H28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4">
        <f t="shared" ref="H34:H39" si="2">F34*G34</f>
        <v>0</v>
      </c>
      <c r="I34" s="205"/>
      <c r="J34" s="20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/>
      <c r="H35" s="204">
        <f t="shared" si="2"/>
        <v>0</v>
      </c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>
        <f t="shared" si="2"/>
        <v>0</v>
      </c>
      <c r="I36" s="205"/>
      <c r="J36" s="20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4">
        <f t="shared" si="2"/>
        <v>0</v>
      </c>
      <c r="I37" s="205"/>
      <c r="J37" s="20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5"/>
      <c r="B38" s="29" t="s">
        <v>67</v>
      </c>
      <c r="C38" s="54"/>
      <c r="D38" s="12">
        <f>C38*84</f>
        <v>0</v>
      </c>
      <c r="F38" s="30">
        <v>50</v>
      </c>
      <c r="G38" s="39"/>
      <c r="H38" s="204">
        <f t="shared" si="2"/>
        <v>0</v>
      </c>
      <c r="I38" s="205"/>
      <c r="J38" s="20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/>
      <c r="H39" s="204">
        <f t="shared" si="2"/>
        <v>0</v>
      </c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4"/>
      <c r="I40" s="205"/>
      <c r="J40" s="20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/>
      <c r="H42" s="205"/>
      <c r="I42" s="205"/>
      <c r="J42" s="20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99" t="s">
        <v>82</v>
      </c>
      <c r="H43" s="210" t="s">
        <v>13</v>
      </c>
      <c r="I43" s="211"/>
      <c r="J43" s="21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/>
      <c r="G44" s="62"/>
      <c r="H44" s="188"/>
      <c r="I44" s="188"/>
      <c r="J44" s="18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62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0"/>
      <c r="D46" s="12">
        <f>C46*1.5</f>
        <v>0</v>
      </c>
      <c r="F46" s="37"/>
      <c r="G46" s="62"/>
      <c r="H46" s="188"/>
      <c r="I46" s="188"/>
      <c r="J46" s="188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/>
      <c r="D48" s="12">
        <f>C48*78</f>
        <v>0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/>
      <c r="D50" s="12">
        <f>C50*1.5</f>
        <v>0</v>
      </c>
      <c r="F50" s="230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129</v>
      </c>
      <c r="G51" s="251">
        <f>G49-H29</f>
        <v>0</v>
      </c>
      <c r="H51" s="252"/>
      <c r="I51" s="252"/>
      <c r="J51" s="2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8"/>
      <c r="B52" s="29"/>
      <c r="C52" s="33"/>
      <c r="D52" s="45"/>
      <c r="F52" s="232"/>
      <c r="G52" s="254"/>
      <c r="H52" s="255"/>
      <c r="I52" s="255"/>
      <c r="J52" s="2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0EF23-8C0D-4138-B964-08AD5AE13EA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0" t="s">
        <v>1</v>
      </c>
      <c r="O1" s="110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1" t="s">
        <v>7</v>
      </c>
      <c r="B4" s="112"/>
      <c r="C4" s="112"/>
      <c r="D4" s="113"/>
      <c r="F4" s="114" t="s">
        <v>8</v>
      </c>
      <c r="G4" s="116">
        <v>2</v>
      </c>
      <c r="H4" s="118" t="s">
        <v>9</v>
      </c>
      <c r="I4" s="120">
        <v>46181</v>
      </c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5"/>
      <c r="B6" s="16" t="s">
        <v>15</v>
      </c>
      <c r="C6" s="10"/>
      <c r="D6" s="13">
        <f t="shared" ref="D6:D28" si="1">C6*L6</f>
        <v>0</v>
      </c>
      <c r="F6" s="127" t="s">
        <v>16</v>
      </c>
      <c r="G6" s="129" t="s">
        <v>107</v>
      </c>
      <c r="H6" s="130"/>
      <c r="I6" s="130"/>
      <c r="J6" s="13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5"/>
      <c r="B7" s="16" t="s">
        <v>18</v>
      </c>
      <c r="C7" s="10"/>
      <c r="D7" s="13">
        <f t="shared" si="1"/>
        <v>0</v>
      </c>
      <c r="F7" s="128"/>
      <c r="G7" s="132"/>
      <c r="H7" s="133"/>
      <c r="I7" s="133"/>
      <c r="J7" s="13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5"/>
      <c r="B8" s="16" t="s">
        <v>20</v>
      </c>
      <c r="C8" s="10"/>
      <c r="D8" s="13">
        <f t="shared" si="1"/>
        <v>0</v>
      </c>
      <c r="F8" s="135" t="s">
        <v>21</v>
      </c>
      <c r="G8" s="137" t="s">
        <v>100</v>
      </c>
      <c r="H8" s="138"/>
      <c r="I8" s="138"/>
      <c r="J8" s="1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5"/>
      <c r="B9" s="16" t="s">
        <v>23</v>
      </c>
      <c r="C9" s="10"/>
      <c r="D9" s="13">
        <f t="shared" si="1"/>
        <v>0</v>
      </c>
      <c r="F9" s="128"/>
      <c r="G9" s="140"/>
      <c r="H9" s="141"/>
      <c r="I9" s="141"/>
      <c r="J9" s="1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5"/>
      <c r="B10" t="s">
        <v>25</v>
      </c>
      <c r="C10" s="10"/>
      <c r="D10" s="13">
        <f t="shared" si="1"/>
        <v>0</v>
      </c>
      <c r="F10" s="127" t="s">
        <v>26</v>
      </c>
      <c r="G10" s="143" t="s">
        <v>101</v>
      </c>
      <c r="H10" s="144"/>
      <c r="I10" s="144"/>
      <c r="J10" s="145"/>
      <c r="K10" s="8"/>
      <c r="L10" s="6">
        <f>R36</f>
        <v>1032</v>
      </c>
      <c r="P10" s="4"/>
      <c r="Q10" s="4"/>
      <c r="R10" s="5"/>
    </row>
    <row r="11" spans="1:18" ht="15.75" x14ac:dyDescent="0.25">
      <c r="A11" s="125"/>
      <c r="B11" s="17" t="s">
        <v>28</v>
      </c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5"/>
      <c r="B12" s="17" t="s">
        <v>30</v>
      </c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5"/>
      <c r="B13" s="17" t="s">
        <v>32</v>
      </c>
      <c r="C13" s="10"/>
      <c r="D13" s="48">
        <f t="shared" si="1"/>
        <v>0</v>
      </c>
      <c r="F13" s="149" t="s">
        <v>36</v>
      </c>
      <c r="G13" s="150"/>
      <c r="H13" s="151">
        <f>D29</f>
        <v>0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5"/>
      <c r="B14" s="14" t="s">
        <v>35</v>
      </c>
      <c r="C14" s="10"/>
      <c r="D14" s="31">
        <f t="shared" si="1"/>
        <v>0</v>
      </c>
      <c r="F14" s="154" t="s">
        <v>38</v>
      </c>
      <c r="G14" s="155"/>
      <c r="H14" s="156">
        <f>D54</f>
        <v>0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5"/>
      <c r="B15" s="14" t="s">
        <v>119</v>
      </c>
      <c r="C15" s="10"/>
      <c r="D15" s="31">
        <f t="shared" si="1"/>
        <v>0</v>
      </c>
      <c r="F15" s="159" t="s">
        <v>39</v>
      </c>
      <c r="G15" s="150"/>
      <c r="H15" s="160">
        <f>H13-H14</f>
        <v>0</v>
      </c>
      <c r="I15" s="161"/>
      <c r="J15" s="16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3"/>
      <c r="I16" s="163"/>
      <c r="J16" s="16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9"/>
      <c r="I19" s="249"/>
      <c r="J19" s="2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5"/>
      <c r="B22" s="46" t="s">
        <v>103</v>
      </c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 t="s">
        <v>118</v>
      </c>
      <c r="C23" s="10"/>
      <c r="D23" s="48">
        <f t="shared" si="1"/>
        <v>0</v>
      </c>
      <c r="F23" s="77"/>
      <c r="G23" s="78"/>
      <c r="H23" s="250"/>
      <c r="I23" s="186"/>
      <c r="J23" s="1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 t="s">
        <v>125</v>
      </c>
      <c r="C24" s="10"/>
      <c r="D24" s="48">
        <f t="shared" si="1"/>
        <v>0</v>
      </c>
      <c r="F24" s="38"/>
      <c r="G24" s="37"/>
      <c r="H24" s="187"/>
      <c r="I24" s="188"/>
      <c r="J24" s="1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 t="s">
        <v>126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5"/>
      <c r="B27" s="14" t="s">
        <v>127</v>
      </c>
      <c r="C27" s="10"/>
      <c r="D27" s="44">
        <f t="shared" si="1"/>
        <v>0</v>
      </c>
      <c r="F27" s="25"/>
      <c r="G27" s="79"/>
      <c r="H27" s="195"/>
      <c r="I27" s="196"/>
      <c r="J27" s="19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 t="s">
        <v>92</v>
      </c>
      <c r="C28" s="10"/>
      <c r="D28" s="48">
        <f t="shared" si="1"/>
        <v>0</v>
      </c>
      <c r="F28" s="101"/>
      <c r="G28" s="61"/>
      <c r="H28" s="198"/>
      <c r="I28" s="199"/>
      <c r="J28" s="20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4" t="s">
        <v>36</v>
      </c>
      <c r="B29" s="165"/>
      <c r="C29" s="166"/>
      <c r="D29" s="170">
        <f>SUM(D6:D28)</f>
        <v>0</v>
      </c>
      <c r="F29" s="172" t="s">
        <v>54</v>
      </c>
      <c r="G29" s="173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4">
        <f>F34*G34</f>
        <v>0</v>
      </c>
      <c r="I34" s="205"/>
      <c r="J34" s="20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/>
      <c r="H35" s="204">
        <f>F35*G35</f>
        <v>0</v>
      </c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>
        <f t="shared" ref="H36:H39" si="2">F36*G36</f>
        <v>0</v>
      </c>
      <c r="I36" s="205"/>
      <c r="J36" s="20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4">
        <f t="shared" si="2"/>
        <v>0</v>
      </c>
      <c r="I37" s="205"/>
      <c r="J37" s="20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5"/>
      <c r="B38" s="29" t="s">
        <v>67</v>
      </c>
      <c r="C38" s="54"/>
      <c r="D38" s="12">
        <f>C38*84</f>
        <v>0</v>
      </c>
      <c r="F38" s="30">
        <v>50</v>
      </c>
      <c r="G38" s="39"/>
      <c r="H38" s="204">
        <f t="shared" si="2"/>
        <v>0</v>
      </c>
      <c r="I38" s="205"/>
      <c r="J38" s="20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/>
      <c r="H39" s="204">
        <f t="shared" si="2"/>
        <v>0</v>
      </c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4"/>
      <c r="I40" s="205"/>
      <c r="J40" s="20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/>
      <c r="H42" s="205"/>
      <c r="I42" s="205"/>
      <c r="J42" s="20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99" t="s">
        <v>82</v>
      </c>
      <c r="H43" s="210" t="s">
        <v>13</v>
      </c>
      <c r="I43" s="211"/>
      <c r="J43" s="21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/>
      <c r="G44" s="75"/>
      <c r="H44" s="188"/>
      <c r="I44" s="188"/>
      <c r="J44" s="18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75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0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/>
      <c r="D48" s="12">
        <f>C48*78</f>
        <v>0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80"/>
      <c r="D50" s="12">
        <f>C50*1.5</f>
        <v>0</v>
      </c>
      <c r="F50" s="230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113</v>
      </c>
      <c r="G51" s="233">
        <f>G49-H29</f>
        <v>0</v>
      </c>
      <c r="H51" s="234"/>
      <c r="I51" s="234"/>
      <c r="J51" s="23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8"/>
      <c r="B52" s="29"/>
      <c r="C52" s="33"/>
      <c r="D52" s="45"/>
      <c r="F52" s="232"/>
      <c r="G52" s="236"/>
      <c r="H52" s="237"/>
      <c r="I52" s="237"/>
      <c r="J52" s="23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D3B36-C091-4981-BB45-62747301CC8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0" t="s">
        <v>1</v>
      </c>
      <c r="O1" s="110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1" t="s">
        <v>7</v>
      </c>
      <c r="B4" s="112"/>
      <c r="C4" s="112"/>
      <c r="D4" s="113"/>
      <c r="F4" s="114" t="s">
        <v>8</v>
      </c>
      <c r="G4" s="116">
        <v>3</v>
      </c>
      <c r="H4" s="118" t="s">
        <v>9</v>
      </c>
      <c r="I4" s="120">
        <v>46181</v>
      </c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5"/>
      <c r="B6" s="16" t="s">
        <v>15</v>
      </c>
      <c r="C6" s="10"/>
      <c r="D6" s="13">
        <f t="shared" ref="D6:D28" si="1">C6*L6</f>
        <v>0</v>
      </c>
      <c r="F6" s="127" t="s">
        <v>16</v>
      </c>
      <c r="G6" s="129" t="s">
        <v>115</v>
      </c>
      <c r="H6" s="130"/>
      <c r="I6" s="130"/>
      <c r="J6" s="13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5"/>
      <c r="B7" s="16" t="s">
        <v>18</v>
      </c>
      <c r="C7" s="10"/>
      <c r="D7" s="13">
        <f t="shared" si="1"/>
        <v>0</v>
      </c>
      <c r="F7" s="128"/>
      <c r="G7" s="132"/>
      <c r="H7" s="133"/>
      <c r="I7" s="133"/>
      <c r="J7" s="13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5"/>
      <c r="B8" s="16" t="s">
        <v>20</v>
      </c>
      <c r="C8" s="10"/>
      <c r="D8" s="13">
        <f t="shared" si="1"/>
        <v>0</v>
      </c>
      <c r="F8" s="135" t="s">
        <v>21</v>
      </c>
      <c r="G8" s="137" t="s">
        <v>109</v>
      </c>
      <c r="H8" s="138"/>
      <c r="I8" s="138"/>
      <c r="J8" s="1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5"/>
      <c r="B9" s="16" t="s">
        <v>23</v>
      </c>
      <c r="C9" s="10"/>
      <c r="D9" s="13">
        <f t="shared" si="1"/>
        <v>0</v>
      </c>
      <c r="F9" s="128"/>
      <c r="G9" s="140"/>
      <c r="H9" s="141"/>
      <c r="I9" s="141"/>
      <c r="J9" s="1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5"/>
      <c r="B10" t="s">
        <v>25</v>
      </c>
      <c r="C10" s="10"/>
      <c r="D10" s="13">
        <f t="shared" si="1"/>
        <v>0</v>
      </c>
      <c r="F10" s="127" t="s">
        <v>26</v>
      </c>
      <c r="G10" s="143" t="s">
        <v>121</v>
      </c>
      <c r="H10" s="144"/>
      <c r="I10" s="144"/>
      <c r="J10" s="145"/>
      <c r="K10" s="8"/>
      <c r="L10" s="6">
        <f>R36</f>
        <v>1032</v>
      </c>
      <c r="P10" s="4"/>
      <c r="Q10" s="4"/>
      <c r="R10" s="5"/>
    </row>
    <row r="11" spans="1:18" ht="15.75" x14ac:dyDescent="0.25">
      <c r="A11" s="125"/>
      <c r="B11" s="17" t="s">
        <v>28</v>
      </c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5"/>
      <c r="B12" s="17" t="s">
        <v>30</v>
      </c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5"/>
      <c r="B13" s="17" t="s">
        <v>32</v>
      </c>
      <c r="C13" s="10"/>
      <c r="D13" s="48">
        <f t="shared" si="1"/>
        <v>0</v>
      </c>
      <c r="F13" s="149" t="s">
        <v>36</v>
      </c>
      <c r="G13" s="150"/>
      <c r="H13" s="151">
        <f>D29</f>
        <v>0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5"/>
      <c r="B14" s="14" t="s">
        <v>35</v>
      </c>
      <c r="C14" s="10"/>
      <c r="D14" s="31">
        <f t="shared" si="1"/>
        <v>0</v>
      </c>
      <c r="F14" s="154" t="s">
        <v>38</v>
      </c>
      <c r="G14" s="155"/>
      <c r="H14" s="156">
        <f>D54</f>
        <v>0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5"/>
      <c r="B15" s="14" t="s">
        <v>119</v>
      </c>
      <c r="C15" s="10"/>
      <c r="D15" s="31">
        <f t="shared" si="1"/>
        <v>0</v>
      </c>
      <c r="F15" s="159" t="s">
        <v>39</v>
      </c>
      <c r="G15" s="150"/>
      <c r="H15" s="160">
        <f>H13-H14</f>
        <v>0</v>
      </c>
      <c r="I15" s="161"/>
      <c r="J15" s="16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3"/>
      <c r="I16" s="163"/>
      <c r="J16" s="16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9"/>
      <c r="I19" s="249"/>
      <c r="J19" s="2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5"/>
      <c r="B22" s="46" t="s">
        <v>103</v>
      </c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 t="s">
        <v>118</v>
      </c>
      <c r="C23" s="10"/>
      <c r="D23" s="48">
        <f t="shared" si="1"/>
        <v>0</v>
      </c>
      <c r="F23" s="77"/>
      <c r="G23" s="78"/>
      <c r="H23" s="250"/>
      <c r="I23" s="186"/>
      <c r="J23" s="1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 t="s">
        <v>125</v>
      </c>
      <c r="C24" s="10"/>
      <c r="D24" s="48">
        <f t="shared" si="1"/>
        <v>0</v>
      </c>
      <c r="F24" s="38"/>
      <c r="G24" s="37"/>
      <c r="H24" s="187"/>
      <c r="I24" s="188"/>
      <c r="J24" s="1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 t="s">
        <v>126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5"/>
      <c r="B27" s="14" t="s">
        <v>127</v>
      </c>
      <c r="C27" s="10"/>
      <c r="D27" s="44">
        <f t="shared" si="1"/>
        <v>0</v>
      </c>
      <c r="F27" s="25"/>
      <c r="G27" s="79"/>
      <c r="H27" s="195"/>
      <c r="I27" s="196"/>
      <c r="J27" s="19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 t="s">
        <v>92</v>
      </c>
      <c r="C28" s="10"/>
      <c r="D28" s="48">
        <f t="shared" si="1"/>
        <v>0</v>
      </c>
      <c r="F28" s="101"/>
      <c r="G28" s="61"/>
      <c r="H28" s="198"/>
      <c r="I28" s="199"/>
      <c r="J28" s="20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4" t="s">
        <v>36</v>
      </c>
      <c r="B29" s="165"/>
      <c r="C29" s="166"/>
      <c r="D29" s="170">
        <f>SUM(D6:D28)</f>
        <v>0</v>
      </c>
      <c r="F29" s="172" t="s">
        <v>54</v>
      </c>
      <c r="G29" s="173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4">
        <f>F34*G34</f>
        <v>0</v>
      </c>
      <c r="I34" s="205"/>
      <c r="J34" s="20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/>
      <c r="H35" s="204">
        <f>F35*G35</f>
        <v>0</v>
      </c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>
        <f t="shared" ref="H36:H39" si="2">F36*G36</f>
        <v>0</v>
      </c>
      <c r="I36" s="205"/>
      <c r="J36" s="20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4">
        <f t="shared" si="2"/>
        <v>0</v>
      </c>
      <c r="I37" s="205"/>
      <c r="J37" s="20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5"/>
      <c r="B38" s="29" t="s">
        <v>67</v>
      </c>
      <c r="C38" s="54"/>
      <c r="D38" s="12">
        <f>C38*84</f>
        <v>0</v>
      </c>
      <c r="F38" s="30">
        <v>50</v>
      </c>
      <c r="G38" s="39"/>
      <c r="H38" s="204">
        <f t="shared" si="2"/>
        <v>0</v>
      </c>
      <c r="I38" s="205"/>
      <c r="J38" s="20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/>
      <c r="H39" s="204">
        <f t="shared" si="2"/>
        <v>0</v>
      </c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4"/>
      <c r="I40" s="205"/>
      <c r="J40" s="20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/>
      <c r="H42" s="205"/>
      <c r="I42" s="205"/>
      <c r="J42" s="20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99" t="s">
        <v>82</v>
      </c>
      <c r="H43" s="210" t="s">
        <v>13</v>
      </c>
      <c r="I43" s="211"/>
      <c r="J43" s="21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/>
      <c r="G44" s="75"/>
      <c r="H44" s="188"/>
      <c r="I44" s="188"/>
      <c r="J44" s="18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75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0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/>
      <c r="D48" s="12">
        <f>C48*78</f>
        <v>0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/>
      <c r="D50" s="12">
        <f>C50*1.5</f>
        <v>0</v>
      </c>
      <c r="F50" s="230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113</v>
      </c>
      <c r="G51" s="233">
        <f>G49-H29</f>
        <v>0</v>
      </c>
      <c r="H51" s="234"/>
      <c r="I51" s="234"/>
      <c r="J51" s="23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8"/>
      <c r="B52" s="29"/>
      <c r="C52" s="33"/>
      <c r="D52" s="45"/>
      <c r="F52" s="232"/>
      <c r="G52" s="236"/>
      <c r="H52" s="237"/>
      <c r="I52" s="237"/>
      <c r="J52" s="23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C6EB1-AF3E-4268-8DB4-DF2088B102B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0" t="s">
        <v>1</v>
      </c>
      <c r="O1" s="110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1" t="s">
        <v>7</v>
      </c>
      <c r="B4" s="112"/>
      <c r="C4" s="112"/>
      <c r="D4" s="113"/>
      <c r="F4" s="114" t="s">
        <v>8</v>
      </c>
      <c r="G4" s="116"/>
      <c r="H4" s="118" t="s">
        <v>9</v>
      </c>
      <c r="I4" s="120"/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5"/>
      <c r="B6" s="16"/>
      <c r="C6" s="10"/>
      <c r="D6" s="13">
        <f t="shared" ref="D6:D28" si="1">C6*L6</f>
        <v>0</v>
      </c>
      <c r="F6" s="127" t="s">
        <v>16</v>
      </c>
      <c r="G6" s="129"/>
      <c r="H6" s="130"/>
      <c r="I6" s="130"/>
      <c r="J6" s="1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5"/>
      <c r="B7" s="16"/>
      <c r="C7" s="10"/>
      <c r="D7" s="13">
        <f t="shared" si="1"/>
        <v>0</v>
      </c>
      <c r="F7" s="128"/>
      <c r="G7" s="132"/>
      <c r="H7" s="133"/>
      <c r="I7" s="133"/>
      <c r="J7" s="13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5"/>
      <c r="B8" s="16"/>
      <c r="C8" s="10"/>
      <c r="D8" s="13">
        <f t="shared" si="1"/>
        <v>0</v>
      </c>
      <c r="F8" s="135" t="s">
        <v>21</v>
      </c>
      <c r="G8" s="137"/>
      <c r="H8" s="138"/>
      <c r="I8" s="138"/>
      <c r="J8" s="1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5"/>
      <c r="B9" s="16"/>
      <c r="C9" s="10"/>
      <c r="D9" s="13">
        <f t="shared" si="1"/>
        <v>0</v>
      </c>
      <c r="F9" s="128"/>
      <c r="G9" s="140"/>
      <c r="H9" s="141"/>
      <c r="I9" s="141"/>
      <c r="J9" s="1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5"/>
      <c r="C10" s="10"/>
      <c r="D10" s="13">
        <f t="shared" si="1"/>
        <v>0</v>
      </c>
      <c r="F10" s="127" t="s">
        <v>26</v>
      </c>
      <c r="G10" s="143"/>
      <c r="H10" s="144"/>
      <c r="I10" s="144"/>
      <c r="J10" s="145"/>
      <c r="K10" s="8"/>
      <c r="L10" s="6">
        <f>R36</f>
        <v>972</v>
      </c>
      <c r="P10" s="4"/>
      <c r="Q10" s="4"/>
      <c r="R10" s="5"/>
    </row>
    <row r="11" spans="1:19" ht="15.75" x14ac:dyDescent="0.25">
      <c r="A11" s="125"/>
      <c r="B11" s="17"/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5"/>
      <c r="B12" s="17"/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5"/>
      <c r="B13" s="17"/>
      <c r="C13" s="10"/>
      <c r="D13" s="48">
        <f t="shared" si="1"/>
        <v>0</v>
      </c>
      <c r="F13" s="149" t="s">
        <v>36</v>
      </c>
      <c r="G13" s="150"/>
      <c r="H13" s="151">
        <f>D29</f>
        <v>0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5"/>
      <c r="B14" s="14"/>
      <c r="C14" s="10"/>
      <c r="D14" s="31">
        <f t="shared" si="1"/>
        <v>0</v>
      </c>
      <c r="F14" s="154" t="s">
        <v>38</v>
      </c>
      <c r="G14" s="155"/>
      <c r="H14" s="156">
        <f>D54</f>
        <v>0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5"/>
      <c r="B15" s="14"/>
      <c r="C15" s="10"/>
      <c r="D15" s="31">
        <f t="shared" si="1"/>
        <v>0</v>
      </c>
      <c r="F15" s="159" t="s">
        <v>39</v>
      </c>
      <c r="G15" s="150"/>
      <c r="H15" s="160">
        <f>H13-H14</f>
        <v>0</v>
      </c>
      <c r="I15" s="161"/>
      <c r="J15" s="16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3"/>
      <c r="I16" s="163"/>
      <c r="J16" s="16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19"/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14"/>
      <c r="C19" s="10"/>
      <c r="D19" s="48">
        <f t="shared" si="1"/>
        <v>0</v>
      </c>
      <c r="F19" s="56"/>
      <c r="G19" s="68" t="s">
        <v>49</v>
      </c>
      <c r="H19" s="182"/>
      <c r="I19" s="182"/>
      <c r="J19" s="18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5"/>
      <c r="B20" s="46"/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5"/>
      <c r="B22" s="46"/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/>
      <c r="C23" s="10"/>
      <c r="D23" s="48">
        <f t="shared" si="1"/>
        <v>0</v>
      </c>
      <c r="F23" s="77"/>
      <c r="G23" s="78"/>
      <c r="H23" s="187"/>
      <c r="I23" s="188"/>
      <c r="J23" s="18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/>
      <c r="C24" s="10"/>
      <c r="D24" s="48">
        <f t="shared" si="1"/>
        <v>0</v>
      </c>
      <c r="F24" s="38"/>
      <c r="G24" s="37"/>
      <c r="H24" s="187"/>
      <c r="I24" s="188"/>
      <c r="J24" s="18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5"/>
      <c r="B27" s="14"/>
      <c r="C27" s="10"/>
      <c r="D27" s="44">
        <f t="shared" si="1"/>
        <v>0</v>
      </c>
      <c r="F27" s="25"/>
      <c r="G27" s="79"/>
      <c r="H27" s="195"/>
      <c r="I27" s="196"/>
      <c r="J27" s="19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/>
      <c r="C28" s="10"/>
      <c r="D28" s="48">
        <f t="shared" si="1"/>
        <v>0</v>
      </c>
      <c r="F28" s="101"/>
      <c r="G28" s="61"/>
      <c r="H28" s="198"/>
      <c r="I28" s="199"/>
      <c r="J28" s="20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4" t="s">
        <v>36</v>
      </c>
      <c r="B29" s="165"/>
      <c r="C29" s="166"/>
      <c r="D29" s="170">
        <f>SUM(D6:D28)</f>
        <v>0</v>
      </c>
      <c r="F29" s="172" t="s">
        <v>54</v>
      </c>
      <c r="G29" s="173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4"/>
      <c r="I34" s="205"/>
      <c r="J34" s="20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/>
      <c r="H35" s="204"/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/>
      <c r="I36" s="205"/>
      <c r="J36" s="20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4"/>
      <c r="I37" s="205"/>
      <c r="J37" s="20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5"/>
      <c r="B38" s="29" t="s">
        <v>67</v>
      </c>
      <c r="C38" s="54"/>
      <c r="D38" s="12">
        <f>C38*84</f>
        <v>0</v>
      </c>
      <c r="F38" s="30">
        <v>50</v>
      </c>
      <c r="G38" s="39"/>
      <c r="H38" s="204"/>
      <c r="I38" s="205"/>
      <c r="J38" s="20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/>
      <c r="H39" s="204"/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4"/>
      <c r="I40" s="205"/>
      <c r="J40" s="20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/>
      <c r="H42" s="205"/>
      <c r="I42" s="205"/>
      <c r="J42" s="20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99" t="s">
        <v>82</v>
      </c>
      <c r="H43" s="210" t="s">
        <v>13</v>
      </c>
      <c r="I43" s="211"/>
      <c r="J43" s="212"/>
      <c r="K43" s="21"/>
      <c r="P43" s="4"/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/>
      <c r="G44" s="75"/>
      <c r="H44" s="188"/>
      <c r="I44" s="188"/>
      <c r="J44" s="188"/>
      <c r="K44" s="21"/>
      <c r="P44" s="4"/>
      <c r="Q44" s="4"/>
      <c r="R44" s="5"/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75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0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/>
      <c r="D48" s="12">
        <f>C48*78</f>
        <v>0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/>
      <c r="D50" s="12">
        <f>C50*1.5</f>
        <v>0</v>
      </c>
      <c r="F50" s="230"/>
      <c r="G50" s="179"/>
      <c r="H50" s="180"/>
      <c r="I50" s="180"/>
      <c r="J50" s="181"/>
      <c r="P50" s="4"/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106</v>
      </c>
      <c r="G51" s="233">
        <f>G49-H29</f>
        <v>0</v>
      </c>
      <c r="H51" s="234"/>
      <c r="I51" s="234"/>
      <c r="J51" s="23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8"/>
      <c r="B52" s="29"/>
      <c r="C52" s="33"/>
      <c r="D52" s="45"/>
      <c r="F52" s="232"/>
      <c r="G52" s="236"/>
      <c r="H52" s="237"/>
      <c r="I52" s="237"/>
      <c r="J52" s="23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0</v>
      </c>
      <c r="F54" s="21"/>
      <c r="J54" s="34"/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FE4E9-1FE8-4F3F-ACA7-1DA10B4A02D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0" t="s">
        <v>1</v>
      </c>
      <c r="O1" s="110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1" t="s">
        <v>7</v>
      </c>
      <c r="B4" s="112"/>
      <c r="C4" s="112"/>
      <c r="D4" s="113"/>
      <c r="F4" s="114" t="s">
        <v>8</v>
      </c>
      <c r="G4" s="116">
        <v>1</v>
      </c>
      <c r="H4" s="118" t="s">
        <v>9</v>
      </c>
      <c r="I4" s="120">
        <v>46182</v>
      </c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5"/>
      <c r="B6" s="16" t="s">
        <v>15</v>
      </c>
      <c r="C6" s="10"/>
      <c r="D6" s="13">
        <f t="shared" ref="D6:D28" si="1">C6*L6</f>
        <v>0</v>
      </c>
      <c r="F6" s="127" t="s">
        <v>16</v>
      </c>
      <c r="G6" s="129" t="s">
        <v>99</v>
      </c>
      <c r="H6" s="130"/>
      <c r="I6" s="130"/>
      <c r="J6" s="13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5"/>
      <c r="B7" s="16" t="s">
        <v>18</v>
      </c>
      <c r="C7" s="10"/>
      <c r="D7" s="13">
        <f t="shared" si="1"/>
        <v>0</v>
      </c>
      <c r="F7" s="128"/>
      <c r="G7" s="132"/>
      <c r="H7" s="133"/>
      <c r="I7" s="133"/>
      <c r="J7" s="13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5"/>
      <c r="B8" s="16" t="s">
        <v>20</v>
      </c>
      <c r="C8" s="10"/>
      <c r="D8" s="13">
        <f t="shared" si="1"/>
        <v>0</v>
      </c>
      <c r="F8" s="135" t="s">
        <v>21</v>
      </c>
      <c r="G8" s="137" t="s">
        <v>117</v>
      </c>
      <c r="H8" s="138"/>
      <c r="I8" s="138"/>
      <c r="J8" s="1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5"/>
      <c r="B9" s="16" t="s">
        <v>23</v>
      </c>
      <c r="C9" s="10"/>
      <c r="D9" s="13">
        <f t="shared" si="1"/>
        <v>0</v>
      </c>
      <c r="F9" s="128"/>
      <c r="G9" s="140"/>
      <c r="H9" s="141"/>
      <c r="I9" s="141"/>
      <c r="J9" s="1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5"/>
      <c r="B10" t="s">
        <v>25</v>
      </c>
      <c r="C10" s="10"/>
      <c r="D10" s="13">
        <f t="shared" si="1"/>
        <v>0</v>
      </c>
      <c r="F10" s="127" t="s">
        <v>26</v>
      </c>
      <c r="G10" s="143" t="s">
        <v>108</v>
      </c>
      <c r="H10" s="144"/>
      <c r="I10" s="144"/>
      <c r="J10" s="145"/>
      <c r="K10" s="8"/>
      <c r="L10" s="6">
        <f>R36</f>
        <v>1032</v>
      </c>
      <c r="P10" s="4"/>
      <c r="Q10" s="4"/>
      <c r="R10" s="5"/>
    </row>
    <row r="11" spans="1:18" ht="15.75" x14ac:dyDescent="0.25">
      <c r="A11" s="125"/>
      <c r="B11" s="17" t="s">
        <v>28</v>
      </c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5"/>
      <c r="B12" s="17" t="s">
        <v>30</v>
      </c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5"/>
      <c r="B13" s="17" t="s">
        <v>32</v>
      </c>
      <c r="C13" s="10"/>
      <c r="D13" s="48">
        <f t="shared" si="1"/>
        <v>0</v>
      </c>
      <c r="F13" s="149" t="s">
        <v>36</v>
      </c>
      <c r="G13" s="150"/>
      <c r="H13" s="151">
        <f>D29</f>
        <v>0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5"/>
      <c r="B14" s="14" t="s">
        <v>35</v>
      </c>
      <c r="C14" s="10"/>
      <c r="D14" s="31">
        <f t="shared" si="1"/>
        <v>0</v>
      </c>
      <c r="F14" s="154" t="s">
        <v>38</v>
      </c>
      <c r="G14" s="155"/>
      <c r="H14" s="156">
        <f>D54</f>
        <v>0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5"/>
      <c r="B15" s="14" t="s">
        <v>119</v>
      </c>
      <c r="C15" s="10"/>
      <c r="D15" s="31">
        <f t="shared" si="1"/>
        <v>0</v>
      </c>
      <c r="F15" s="159" t="s">
        <v>39</v>
      </c>
      <c r="G15" s="150"/>
      <c r="H15" s="160">
        <f>H13-H14</f>
        <v>0</v>
      </c>
      <c r="I15" s="161"/>
      <c r="J15" s="16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3"/>
      <c r="I16" s="163"/>
      <c r="J16" s="16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3"/>
      <c r="I19" s="163"/>
      <c r="J19" s="1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5"/>
      <c r="B22" s="46" t="s">
        <v>103</v>
      </c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 t="s">
        <v>118</v>
      </c>
      <c r="C23" s="10"/>
      <c r="D23" s="48">
        <f t="shared" si="1"/>
        <v>0</v>
      </c>
      <c r="F23" s="76"/>
      <c r="G23" s="78"/>
      <c r="H23" s="245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 t="s">
        <v>125</v>
      </c>
      <c r="C24" s="10"/>
      <c r="D24" s="48">
        <f t="shared" si="1"/>
        <v>0</v>
      </c>
      <c r="F24" s="76"/>
      <c r="G24" s="78"/>
      <c r="H24" s="245"/>
      <c r="I24" s="246"/>
      <c r="J24" s="24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 t="s">
        <v>126</v>
      </c>
      <c r="C26" s="10"/>
      <c r="D26" s="48">
        <f t="shared" si="1"/>
        <v>0</v>
      </c>
      <c r="F26" s="74"/>
      <c r="G26" s="65"/>
      <c r="H26" s="188"/>
      <c r="I26" s="188"/>
      <c r="J26" s="18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5"/>
      <c r="B27" s="14" t="s">
        <v>127</v>
      </c>
      <c r="C27" s="10"/>
      <c r="D27" s="44">
        <f t="shared" si="1"/>
        <v>0</v>
      </c>
      <c r="F27" s="71"/>
      <c r="G27" s="99"/>
      <c r="H27" s="247"/>
      <c r="I27" s="248"/>
      <c r="J27" s="24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 t="s">
        <v>92</v>
      </c>
      <c r="C28" s="10"/>
      <c r="D28" s="48">
        <f t="shared" si="1"/>
        <v>0</v>
      </c>
      <c r="F28" s="101"/>
      <c r="G28" s="61"/>
      <c r="H28" s="198"/>
      <c r="I28" s="199"/>
      <c r="J28" s="20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4" t="s">
        <v>36</v>
      </c>
      <c r="B29" s="165"/>
      <c r="C29" s="166"/>
      <c r="D29" s="170">
        <f>SUM(D6:D28)</f>
        <v>0</v>
      </c>
      <c r="F29" s="172" t="s">
        <v>54</v>
      </c>
      <c r="G29" s="173"/>
      <c r="H29" s="176">
        <f>H15-H16-H17-H18-H19-H20-H22-H23-H24+H26+H27+H28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4">
        <f t="shared" ref="H34:H39" si="2">F34*G34</f>
        <v>0</v>
      </c>
      <c r="I34" s="205"/>
      <c r="J34" s="20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/>
      <c r="H35" s="204">
        <f t="shared" si="2"/>
        <v>0</v>
      </c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>
        <f t="shared" si="2"/>
        <v>0</v>
      </c>
      <c r="I36" s="205"/>
      <c r="J36" s="20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4">
        <f t="shared" si="2"/>
        <v>0</v>
      </c>
      <c r="I37" s="205"/>
      <c r="J37" s="20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5"/>
      <c r="B38" s="29" t="s">
        <v>67</v>
      </c>
      <c r="C38" s="54"/>
      <c r="D38" s="12">
        <f>C38*84</f>
        <v>0</v>
      </c>
      <c r="F38" s="30">
        <v>50</v>
      </c>
      <c r="G38" s="39"/>
      <c r="H38" s="204">
        <f t="shared" si="2"/>
        <v>0</v>
      </c>
      <c r="I38" s="205"/>
      <c r="J38" s="20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/>
      <c r="H39" s="204">
        <f t="shared" si="2"/>
        <v>0</v>
      </c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4"/>
      <c r="I40" s="205"/>
      <c r="J40" s="20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/>
      <c r="H42" s="205"/>
      <c r="I42" s="205"/>
      <c r="J42" s="20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99" t="s">
        <v>82</v>
      </c>
      <c r="H43" s="210" t="s">
        <v>13</v>
      </c>
      <c r="I43" s="211"/>
      <c r="J43" s="21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/>
      <c r="G44" s="62"/>
      <c r="H44" s="188"/>
      <c r="I44" s="188"/>
      <c r="J44" s="18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62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0"/>
      <c r="D46" s="12">
        <f>C46*1.5</f>
        <v>0</v>
      </c>
      <c r="F46" s="37"/>
      <c r="G46" s="62"/>
      <c r="H46" s="188"/>
      <c r="I46" s="188"/>
      <c r="J46" s="188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/>
      <c r="D48" s="12">
        <f>C48*78</f>
        <v>0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/>
      <c r="D50" s="12">
        <f>C50*1.5</f>
        <v>0</v>
      </c>
      <c r="F50" s="230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129</v>
      </c>
      <c r="G51" s="251">
        <f>G49-H29</f>
        <v>0</v>
      </c>
      <c r="H51" s="252"/>
      <c r="I51" s="252"/>
      <c r="J51" s="2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8"/>
      <c r="B52" s="29"/>
      <c r="C52" s="33"/>
      <c r="D52" s="45"/>
      <c r="F52" s="232"/>
      <c r="G52" s="254"/>
      <c r="H52" s="255"/>
      <c r="I52" s="255"/>
      <c r="J52" s="2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81FFC-57F5-4046-A495-6C2AFA3D99E4}">
  <dimension ref="A1:R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0" t="s">
        <v>1</v>
      </c>
      <c r="O1" s="110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1" t="s">
        <v>7</v>
      </c>
      <c r="B4" s="112"/>
      <c r="C4" s="112"/>
      <c r="D4" s="113"/>
      <c r="F4" s="114" t="s">
        <v>8</v>
      </c>
      <c r="G4" s="116">
        <v>2</v>
      </c>
      <c r="H4" s="118" t="s">
        <v>9</v>
      </c>
      <c r="I4" s="120">
        <v>46182</v>
      </c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5"/>
      <c r="B6" s="16" t="s">
        <v>15</v>
      </c>
      <c r="C6" s="10"/>
      <c r="D6" s="13">
        <f t="shared" ref="D6:D28" si="1">C6*L6</f>
        <v>0</v>
      </c>
      <c r="F6" s="127" t="s">
        <v>16</v>
      </c>
      <c r="G6" s="129" t="s">
        <v>107</v>
      </c>
      <c r="H6" s="130"/>
      <c r="I6" s="130"/>
      <c r="J6" s="13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5"/>
      <c r="B7" s="16" t="s">
        <v>18</v>
      </c>
      <c r="C7" s="10"/>
      <c r="D7" s="13">
        <f t="shared" si="1"/>
        <v>0</v>
      </c>
      <c r="F7" s="128"/>
      <c r="G7" s="132"/>
      <c r="H7" s="133"/>
      <c r="I7" s="133"/>
      <c r="J7" s="13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5"/>
      <c r="B8" s="16" t="s">
        <v>20</v>
      </c>
      <c r="C8" s="10"/>
      <c r="D8" s="13">
        <f t="shared" si="1"/>
        <v>0</v>
      </c>
      <c r="F8" s="135" t="s">
        <v>21</v>
      </c>
      <c r="G8" s="137" t="s">
        <v>100</v>
      </c>
      <c r="H8" s="138"/>
      <c r="I8" s="138"/>
      <c r="J8" s="1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5"/>
      <c r="B9" s="16" t="s">
        <v>23</v>
      </c>
      <c r="C9" s="10"/>
      <c r="D9" s="13">
        <f t="shared" si="1"/>
        <v>0</v>
      </c>
      <c r="F9" s="128"/>
      <c r="G9" s="140"/>
      <c r="H9" s="141"/>
      <c r="I9" s="141"/>
      <c r="J9" s="1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5"/>
      <c r="B10" t="s">
        <v>25</v>
      </c>
      <c r="C10" s="10"/>
      <c r="D10" s="13">
        <f t="shared" si="1"/>
        <v>0</v>
      </c>
      <c r="F10" s="127" t="s">
        <v>26</v>
      </c>
      <c r="G10" s="143" t="s">
        <v>101</v>
      </c>
      <c r="H10" s="144"/>
      <c r="I10" s="144"/>
      <c r="J10" s="145"/>
      <c r="K10" s="8"/>
      <c r="L10" s="6">
        <f>R36</f>
        <v>1032</v>
      </c>
      <c r="P10" s="4"/>
      <c r="Q10" s="4"/>
      <c r="R10" s="5"/>
    </row>
    <row r="11" spans="1:18" ht="15.75" x14ac:dyDescent="0.25">
      <c r="A11" s="125"/>
      <c r="B11" s="17" t="s">
        <v>28</v>
      </c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5"/>
      <c r="B12" s="17" t="s">
        <v>30</v>
      </c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5"/>
      <c r="B13" s="17" t="s">
        <v>32</v>
      </c>
      <c r="C13" s="10"/>
      <c r="D13" s="48">
        <f t="shared" si="1"/>
        <v>0</v>
      </c>
      <c r="F13" s="149" t="s">
        <v>36</v>
      </c>
      <c r="G13" s="150"/>
      <c r="H13" s="151">
        <f>D29</f>
        <v>0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5"/>
      <c r="B14" s="14" t="s">
        <v>35</v>
      </c>
      <c r="C14" s="10"/>
      <c r="D14" s="31">
        <f t="shared" si="1"/>
        <v>0</v>
      </c>
      <c r="F14" s="154" t="s">
        <v>38</v>
      </c>
      <c r="G14" s="155"/>
      <c r="H14" s="156">
        <f>D54</f>
        <v>0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5"/>
      <c r="B15" s="14" t="s">
        <v>119</v>
      </c>
      <c r="C15" s="10"/>
      <c r="D15" s="31">
        <f t="shared" si="1"/>
        <v>0</v>
      </c>
      <c r="F15" s="159" t="s">
        <v>39</v>
      </c>
      <c r="G15" s="150"/>
      <c r="H15" s="160">
        <f>H13-H14</f>
        <v>0</v>
      </c>
      <c r="I15" s="161"/>
      <c r="J15" s="16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3"/>
      <c r="I16" s="163"/>
      <c r="J16" s="16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9"/>
      <c r="I19" s="249"/>
      <c r="J19" s="2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5"/>
      <c r="B22" s="46" t="s">
        <v>103</v>
      </c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 t="s">
        <v>118</v>
      </c>
      <c r="C23" s="10"/>
      <c r="D23" s="48">
        <f t="shared" si="1"/>
        <v>0</v>
      </c>
      <c r="F23" s="77"/>
      <c r="G23" s="78"/>
      <c r="H23" s="250"/>
      <c r="I23" s="186"/>
      <c r="J23" s="1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 t="s">
        <v>125</v>
      </c>
      <c r="C24" s="10"/>
      <c r="D24" s="48">
        <f t="shared" si="1"/>
        <v>0</v>
      </c>
      <c r="F24" s="38"/>
      <c r="G24" s="37"/>
      <c r="H24" s="187"/>
      <c r="I24" s="188"/>
      <c r="J24" s="1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 t="s">
        <v>126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5"/>
      <c r="B27" s="14" t="s">
        <v>127</v>
      </c>
      <c r="C27" s="10"/>
      <c r="D27" s="44">
        <f t="shared" si="1"/>
        <v>0</v>
      </c>
      <c r="F27" s="25"/>
      <c r="G27" s="79"/>
      <c r="H27" s="195"/>
      <c r="I27" s="196"/>
      <c r="J27" s="19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 t="s">
        <v>92</v>
      </c>
      <c r="C28" s="10"/>
      <c r="D28" s="48">
        <f t="shared" si="1"/>
        <v>0</v>
      </c>
      <c r="F28" s="101"/>
      <c r="G28" s="61"/>
      <c r="H28" s="198"/>
      <c r="I28" s="199"/>
      <c r="J28" s="20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4" t="s">
        <v>36</v>
      </c>
      <c r="B29" s="165"/>
      <c r="C29" s="166"/>
      <c r="D29" s="170">
        <f>SUM(D6:D28)</f>
        <v>0</v>
      </c>
      <c r="F29" s="172" t="s">
        <v>54</v>
      </c>
      <c r="G29" s="173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4">
        <f>F34*G34</f>
        <v>0</v>
      </c>
      <c r="I34" s="205"/>
      <c r="J34" s="20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/>
      <c r="H35" s="204">
        <f>F35*G35</f>
        <v>0</v>
      </c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>
        <f t="shared" ref="H36:H39" si="2">F36*G36</f>
        <v>0</v>
      </c>
      <c r="I36" s="205"/>
      <c r="J36" s="20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4">
        <f t="shared" si="2"/>
        <v>0</v>
      </c>
      <c r="I37" s="205"/>
      <c r="J37" s="20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5"/>
      <c r="B38" s="29" t="s">
        <v>67</v>
      </c>
      <c r="C38" s="54"/>
      <c r="D38" s="12">
        <f>C38*84</f>
        <v>0</v>
      </c>
      <c r="F38" s="30">
        <v>50</v>
      </c>
      <c r="G38" s="39"/>
      <c r="H38" s="204">
        <f t="shared" si="2"/>
        <v>0</v>
      </c>
      <c r="I38" s="205"/>
      <c r="J38" s="20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/>
      <c r="H39" s="204">
        <f t="shared" si="2"/>
        <v>0</v>
      </c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4"/>
      <c r="I40" s="205"/>
      <c r="J40" s="20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/>
      <c r="H42" s="205"/>
      <c r="I42" s="205"/>
      <c r="J42" s="20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99" t="s">
        <v>82</v>
      </c>
      <c r="H43" s="210" t="s">
        <v>13</v>
      </c>
      <c r="I43" s="211"/>
      <c r="J43" s="21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/>
      <c r="G44" s="75"/>
      <c r="H44" s="188"/>
      <c r="I44" s="188"/>
      <c r="J44" s="18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75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0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/>
      <c r="D48" s="12">
        <f>C48*78</f>
        <v>0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80"/>
      <c r="D50" s="12">
        <f>C50*1.5</f>
        <v>0</v>
      </c>
      <c r="F50" s="230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113</v>
      </c>
      <c r="G51" s="233">
        <f>G49-H29</f>
        <v>0</v>
      </c>
      <c r="H51" s="234"/>
      <c r="I51" s="234"/>
      <c r="J51" s="23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8"/>
      <c r="B52" s="29"/>
      <c r="C52" s="33"/>
      <c r="D52" s="45"/>
      <c r="F52" s="232"/>
      <c r="G52" s="236"/>
      <c r="H52" s="237"/>
      <c r="I52" s="237"/>
      <c r="J52" s="23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5F7AE-32C5-452C-AAE9-68EC1209A3FC}">
  <dimension ref="A1:R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0" t="s">
        <v>1</v>
      </c>
      <c r="O1" s="110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1" t="s">
        <v>7</v>
      </c>
      <c r="B4" s="112"/>
      <c r="C4" s="112"/>
      <c r="D4" s="113"/>
      <c r="F4" s="114" t="s">
        <v>8</v>
      </c>
      <c r="G4" s="116">
        <v>3</v>
      </c>
      <c r="H4" s="118" t="s">
        <v>9</v>
      </c>
      <c r="I4" s="120">
        <v>46182</v>
      </c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5"/>
      <c r="B6" s="16" t="s">
        <v>15</v>
      </c>
      <c r="C6" s="10"/>
      <c r="D6" s="13">
        <f t="shared" ref="D6:D28" si="1">C6*L6</f>
        <v>0</v>
      </c>
      <c r="F6" s="127" t="s">
        <v>16</v>
      </c>
      <c r="G6" s="129" t="s">
        <v>115</v>
      </c>
      <c r="H6" s="130"/>
      <c r="I6" s="130"/>
      <c r="J6" s="13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5"/>
      <c r="B7" s="16" t="s">
        <v>18</v>
      </c>
      <c r="C7" s="10"/>
      <c r="D7" s="13">
        <f t="shared" si="1"/>
        <v>0</v>
      </c>
      <c r="F7" s="128"/>
      <c r="G7" s="132"/>
      <c r="H7" s="133"/>
      <c r="I7" s="133"/>
      <c r="J7" s="13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5"/>
      <c r="B8" s="16" t="s">
        <v>20</v>
      </c>
      <c r="C8" s="10"/>
      <c r="D8" s="13">
        <f t="shared" si="1"/>
        <v>0</v>
      </c>
      <c r="F8" s="135" t="s">
        <v>21</v>
      </c>
      <c r="G8" s="137" t="s">
        <v>109</v>
      </c>
      <c r="H8" s="138"/>
      <c r="I8" s="138"/>
      <c r="J8" s="1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5"/>
      <c r="B9" s="16" t="s">
        <v>23</v>
      </c>
      <c r="C9" s="10"/>
      <c r="D9" s="13">
        <f t="shared" si="1"/>
        <v>0</v>
      </c>
      <c r="F9" s="128"/>
      <c r="G9" s="140"/>
      <c r="H9" s="141"/>
      <c r="I9" s="141"/>
      <c r="J9" s="1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5"/>
      <c r="B10" t="s">
        <v>25</v>
      </c>
      <c r="C10" s="10"/>
      <c r="D10" s="13">
        <f t="shared" si="1"/>
        <v>0</v>
      </c>
      <c r="F10" s="127" t="s">
        <v>26</v>
      </c>
      <c r="G10" s="143" t="s">
        <v>121</v>
      </c>
      <c r="H10" s="144"/>
      <c r="I10" s="144"/>
      <c r="J10" s="145"/>
      <c r="K10" s="8"/>
      <c r="L10" s="6">
        <f>R36</f>
        <v>1032</v>
      </c>
      <c r="P10" s="4"/>
      <c r="Q10" s="4"/>
      <c r="R10" s="5"/>
    </row>
    <row r="11" spans="1:18" ht="15.75" x14ac:dyDescent="0.25">
      <c r="A11" s="125"/>
      <c r="B11" s="17" t="s">
        <v>28</v>
      </c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5"/>
      <c r="B12" s="17" t="s">
        <v>30</v>
      </c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5"/>
      <c r="B13" s="17" t="s">
        <v>32</v>
      </c>
      <c r="C13" s="10"/>
      <c r="D13" s="48">
        <f t="shared" si="1"/>
        <v>0</v>
      </c>
      <c r="F13" s="149" t="s">
        <v>36</v>
      </c>
      <c r="G13" s="150"/>
      <c r="H13" s="151">
        <f>D29</f>
        <v>0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5"/>
      <c r="B14" s="14" t="s">
        <v>35</v>
      </c>
      <c r="C14" s="10"/>
      <c r="D14" s="31">
        <f t="shared" si="1"/>
        <v>0</v>
      </c>
      <c r="F14" s="154" t="s">
        <v>38</v>
      </c>
      <c r="G14" s="155"/>
      <c r="H14" s="156">
        <f>D54</f>
        <v>0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5"/>
      <c r="B15" s="14" t="s">
        <v>119</v>
      </c>
      <c r="C15" s="10"/>
      <c r="D15" s="31">
        <f t="shared" si="1"/>
        <v>0</v>
      </c>
      <c r="F15" s="159" t="s">
        <v>39</v>
      </c>
      <c r="G15" s="150"/>
      <c r="H15" s="160">
        <f>H13-H14</f>
        <v>0</v>
      </c>
      <c r="I15" s="161"/>
      <c r="J15" s="16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3"/>
      <c r="I16" s="163"/>
      <c r="J16" s="16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9"/>
      <c r="I19" s="249"/>
      <c r="J19" s="2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5"/>
      <c r="B22" s="46" t="s">
        <v>103</v>
      </c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 t="s">
        <v>118</v>
      </c>
      <c r="C23" s="10"/>
      <c r="D23" s="48">
        <f t="shared" si="1"/>
        <v>0</v>
      </c>
      <c r="F23" s="77"/>
      <c r="G23" s="78"/>
      <c r="H23" s="250"/>
      <c r="I23" s="186"/>
      <c r="J23" s="1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 t="s">
        <v>125</v>
      </c>
      <c r="C24" s="10"/>
      <c r="D24" s="48">
        <f t="shared" si="1"/>
        <v>0</v>
      </c>
      <c r="F24" s="38"/>
      <c r="G24" s="37"/>
      <c r="H24" s="187"/>
      <c r="I24" s="188"/>
      <c r="J24" s="1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 t="s">
        <v>126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5"/>
      <c r="B27" s="14" t="s">
        <v>127</v>
      </c>
      <c r="C27" s="10"/>
      <c r="D27" s="44">
        <f t="shared" si="1"/>
        <v>0</v>
      </c>
      <c r="F27" s="25"/>
      <c r="G27" s="79"/>
      <c r="H27" s="195"/>
      <c r="I27" s="196"/>
      <c r="J27" s="19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 t="s">
        <v>92</v>
      </c>
      <c r="C28" s="10"/>
      <c r="D28" s="48">
        <f t="shared" si="1"/>
        <v>0</v>
      </c>
      <c r="F28" s="101"/>
      <c r="G28" s="61"/>
      <c r="H28" s="198"/>
      <c r="I28" s="199"/>
      <c r="J28" s="20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4" t="s">
        <v>36</v>
      </c>
      <c r="B29" s="165"/>
      <c r="C29" s="166"/>
      <c r="D29" s="170">
        <f>SUM(D6:D28)</f>
        <v>0</v>
      </c>
      <c r="F29" s="172" t="s">
        <v>54</v>
      </c>
      <c r="G29" s="173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4">
        <f>F34*G34</f>
        <v>0</v>
      </c>
      <c r="I34" s="205"/>
      <c r="J34" s="20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/>
      <c r="H35" s="204">
        <f>F35*G35</f>
        <v>0</v>
      </c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>
        <f t="shared" ref="H36:H39" si="2">F36*G36</f>
        <v>0</v>
      </c>
      <c r="I36" s="205"/>
      <c r="J36" s="20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4">
        <f t="shared" si="2"/>
        <v>0</v>
      </c>
      <c r="I37" s="205"/>
      <c r="J37" s="20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5"/>
      <c r="B38" s="29" t="s">
        <v>67</v>
      </c>
      <c r="C38" s="54"/>
      <c r="D38" s="12">
        <f>C38*84</f>
        <v>0</v>
      </c>
      <c r="F38" s="30">
        <v>50</v>
      </c>
      <c r="G38" s="39"/>
      <c r="H38" s="204">
        <f t="shared" si="2"/>
        <v>0</v>
      </c>
      <c r="I38" s="205"/>
      <c r="J38" s="20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/>
      <c r="H39" s="204">
        <f t="shared" si="2"/>
        <v>0</v>
      </c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4"/>
      <c r="I40" s="205"/>
      <c r="J40" s="20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/>
      <c r="H42" s="205"/>
      <c r="I42" s="205"/>
      <c r="J42" s="20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99" t="s">
        <v>82</v>
      </c>
      <c r="H43" s="210" t="s">
        <v>13</v>
      </c>
      <c r="I43" s="211"/>
      <c r="J43" s="21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/>
      <c r="G44" s="75"/>
      <c r="H44" s="188"/>
      <c r="I44" s="188"/>
      <c r="J44" s="18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75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0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/>
      <c r="D48" s="12">
        <f>C48*78</f>
        <v>0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/>
      <c r="D50" s="12">
        <f>C50*1.5</f>
        <v>0</v>
      </c>
      <c r="F50" s="230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113</v>
      </c>
      <c r="G51" s="233">
        <f>G49-H29</f>
        <v>0</v>
      </c>
      <c r="H51" s="234"/>
      <c r="I51" s="234"/>
      <c r="J51" s="23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8"/>
      <c r="B52" s="29"/>
      <c r="C52" s="33"/>
      <c r="D52" s="45"/>
      <c r="F52" s="232"/>
      <c r="G52" s="236"/>
      <c r="H52" s="237"/>
      <c r="I52" s="237"/>
      <c r="J52" s="23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33826-2DAB-44E2-951B-F359D94D7E5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0" t="s">
        <v>1</v>
      </c>
      <c r="O1" s="110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1" t="s">
        <v>7</v>
      </c>
      <c r="B4" s="112"/>
      <c r="C4" s="112"/>
      <c r="D4" s="113"/>
      <c r="F4" s="114" t="s">
        <v>8</v>
      </c>
      <c r="G4" s="116"/>
      <c r="H4" s="118" t="s">
        <v>9</v>
      </c>
      <c r="I4" s="120"/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5"/>
      <c r="B6" s="16"/>
      <c r="C6" s="10"/>
      <c r="D6" s="13">
        <f t="shared" ref="D6:D28" si="1">C6*L6</f>
        <v>0</v>
      </c>
      <c r="F6" s="127" t="s">
        <v>16</v>
      </c>
      <c r="G6" s="129"/>
      <c r="H6" s="130"/>
      <c r="I6" s="130"/>
      <c r="J6" s="1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5"/>
      <c r="B7" s="16"/>
      <c r="C7" s="10"/>
      <c r="D7" s="13">
        <f t="shared" si="1"/>
        <v>0</v>
      </c>
      <c r="F7" s="128"/>
      <c r="G7" s="132"/>
      <c r="H7" s="133"/>
      <c r="I7" s="133"/>
      <c r="J7" s="13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5"/>
      <c r="B8" s="16"/>
      <c r="C8" s="10"/>
      <c r="D8" s="13">
        <f t="shared" si="1"/>
        <v>0</v>
      </c>
      <c r="F8" s="135" t="s">
        <v>21</v>
      </c>
      <c r="G8" s="137"/>
      <c r="H8" s="138"/>
      <c r="I8" s="138"/>
      <c r="J8" s="1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5"/>
      <c r="B9" s="16"/>
      <c r="C9" s="10"/>
      <c r="D9" s="13">
        <f t="shared" si="1"/>
        <v>0</v>
      </c>
      <c r="F9" s="128"/>
      <c r="G9" s="140"/>
      <c r="H9" s="141"/>
      <c r="I9" s="141"/>
      <c r="J9" s="1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5"/>
      <c r="C10" s="10"/>
      <c r="D10" s="13">
        <f t="shared" si="1"/>
        <v>0</v>
      </c>
      <c r="F10" s="127" t="s">
        <v>26</v>
      </c>
      <c r="G10" s="143"/>
      <c r="H10" s="144"/>
      <c r="I10" s="144"/>
      <c r="J10" s="145"/>
      <c r="K10" s="8"/>
      <c r="L10" s="6">
        <f>R36</f>
        <v>972</v>
      </c>
      <c r="P10" s="4"/>
      <c r="Q10" s="4"/>
      <c r="R10" s="5"/>
    </row>
    <row r="11" spans="1:19" ht="15.75" x14ac:dyDescent="0.25">
      <c r="A11" s="125"/>
      <c r="B11" s="17"/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5"/>
      <c r="B12" s="17"/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5"/>
      <c r="B13" s="17"/>
      <c r="C13" s="10"/>
      <c r="D13" s="48">
        <f t="shared" si="1"/>
        <v>0</v>
      </c>
      <c r="F13" s="149" t="s">
        <v>36</v>
      </c>
      <c r="G13" s="150"/>
      <c r="H13" s="151">
        <f>D29</f>
        <v>0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5"/>
      <c r="B14" s="14"/>
      <c r="C14" s="10"/>
      <c r="D14" s="31">
        <f t="shared" si="1"/>
        <v>0</v>
      </c>
      <c r="F14" s="154" t="s">
        <v>38</v>
      </c>
      <c r="G14" s="155"/>
      <c r="H14" s="156">
        <f>D54</f>
        <v>0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5"/>
      <c r="B15" s="14"/>
      <c r="C15" s="10"/>
      <c r="D15" s="31">
        <f t="shared" si="1"/>
        <v>0</v>
      </c>
      <c r="F15" s="159" t="s">
        <v>39</v>
      </c>
      <c r="G15" s="150"/>
      <c r="H15" s="160">
        <f>H13-H14</f>
        <v>0</v>
      </c>
      <c r="I15" s="161"/>
      <c r="J15" s="16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3"/>
      <c r="I16" s="163"/>
      <c r="J16" s="16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19"/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14"/>
      <c r="C19" s="10"/>
      <c r="D19" s="48">
        <f t="shared" si="1"/>
        <v>0</v>
      </c>
      <c r="F19" s="56"/>
      <c r="G19" s="68" t="s">
        <v>49</v>
      </c>
      <c r="H19" s="182"/>
      <c r="I19" s="182"/>
      <c r="J19" s="18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5"/>
      <c r="B20" s="46"/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5"/>
      <c r="B22" s="46"/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/>
      <c r="C23" s="10"/>
      <c r="D23" s="48">
        <f t="shared" si="1"/>
        <v>0</v>
      </c>
      <c r="F23" s="77"/>
      <c r="G23" s="78"/>
      <c r="H23" s="187"/>
      <c r="I23" s="188"/>
      <c r="J23" s="18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/>
      <c r="C24" s="10"/>
      <c r="D24" s="48">
        <f t="shared" si="1"/>
        <v>0</v>
      </c>
      <c r="F24" s="38"/>
      <c r="G24" s="37"/>
      <c r="H24" s="187"/>
      <c r="I24" s="188"/>
      <c r="J24" s="18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5"/>
      <c r="B27" s="14"/>
      <c r="C27" s="10"/>
      <c r="D27" s="44">
        <f t="shared" si="1"/>
        <v>0</v>
      </c>
      <c r="F27" s="25"/>
      <c r="G27" s="79"/>
      <c r="H27" s="195"/>
      <c r="I27" s="196"/>
      <c r="J27" s="19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/>
      <c r="C28" s="10"/>
      <c r="D28" s="48">
        <f t="shared" si="1"/>
        <v>0</v>
      </c>
      <c r="F28" s="101"/>
      <c r="G28" s="61"/>
      <c r="H28" s="198"/>
      <c r="I28" s="199"/>
      <c r="J28" s="20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4" t="s">
        <v>36</v>
      </c>
      <c r="B29" s="165"/>
      <c r="C29" s="166"/>
      <c r="D29" s="170">
        <f>SUM(D6:D28)</f>
        <v>0</v>
      </c>
      <c r="F29" s="172" t="s">
        <v>54</v>
      </c>
      <c r="G29" s="173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4"/>
      <c r="I34" s="205"/>
      <c r="J34" s="20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/>
      <c r="H35" s="204"/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/>
      <c r="I36" s="205"/>
      <c r="J36" s="20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4"/>
      <c r="I37" s="205"/>
      <c r="J37" s="20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5"/>
      <c r="B38" s="29" t="s">
        <v>67</v>
      </c>
      <c r="C38" s="54"/>
      <c r="D38" s="12">
        <f>C38*84</f>
        <v>0</v>
      </c>
      <c r="F38" s="30">
        <v>50</v>
      </c>
      <c r="G38" s="39"/>
      <c r="H38" s="204"/>
      <c r="I38" s="205"/>
      <c r="J38" s="20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/>
      <c r="H39" s="204"/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4"/>
      <c r="I40" s="205"/>
      <c r="J40" s="20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/>
      <c r="H42" s="205"/>
      <c r="I42" s="205"/>
      <c r="J42" s="20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99" t="s">
        <v>82</v>
      </c>
      <c r="H43" s="210" t="s">
        <v>13</v>
      </c>
      <c r="I43" s="211"/>
      <c r="J43" s="212"/>
      <c r="K43" s="21"/>
      <c r="P43" s="4"/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/>
      <c r="G44" s="75"/>
      <c r="H44" s="188"/>
      <c r="I44" s="188"/>
      <c r="J44" s="188"/>
      <c r="K44" s="21"/>
      <c r="P44" s="4"/>
      <c r="Q44" s="4"/>
      <c r="R44" s="5"/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75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0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/>
      <c r="D48" s="12">
        <f>C48*78</f>
        <v>0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/>
      <c r="D50" s="12">
        <f>C50*1.5</f>
        <v>0</v>
      </c>
      <c r="F50" s="230"/>
      <c r="G50" s="179"/>
      <c r="H50" s="180"/>
      <c r="I50" s="180"/>
      <c r="J50" s="181"/>
      <c r="P50" s="4"/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106</v>
      </c>
      <c r="G51" s="233">
        <f>G49-H29</f>
        <v>0</v>
      </c>
      <c r="H51" s="234"/>
      <c r="I51" s="234"/>
      <c r="J51" s="23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8"/>
      <c r="B52" s="29"/>
      <c r="C52" s="33"/>
      <c r="D52" s="45"/>
      <c r="F52" s="232"/>
      <c r="G52" s="236"/>
      <c r="H52" s="237"/>
      <c r="I52" s="237"/>
      <c r="J52" s="23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0</v>
      </c>
      <c r="F54" s="21"/>
      <c r="J54" s="34"/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D0EFB-94EB-4F08-B6B7-8A30824DE50E}">
  <dimension ref="A1:R59"/>
  <sheetViews>
    <sheetView zoomScaleNormal="100" zoomScaleSheetLayoutView="85" workbookViewId="0">
      <selection activeCell="M34" sqref="M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0" t="s">
        <v>1</v>
      </c>
      <c r="O1" s="110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1" t="s">
        <v>7</v>
      </c>
      <c r="B4" s="112"/>
      <c r="C4" s="112"/>
      <c r="D4" s="113"/>
      <c r="F4" s="114" t="s">
        <v>8</v>
      </c>
      <c r="G4" s="116">
        <v>1</v>
      </c>
      <c r="H4" s="118" t="s">
        <v>9</v>
      </c>
      <c r="I4" s="120">
        <v>46183</v>
      </c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5"/>
      <c r="B6" s="16" t="s">
        <v>15</v>
      </c>
      <c r="C6" s="10"/>
      <c r="D6" s="13">
        <f t="shared" ref="D6:D28" si="1">C6*L6</f>
        <v>0</v>
      </c>
      <c r="F6" s="127" t="s">
        <v>16</v>
      </c>
      <c r="G6" s="129" t="s">
        <v>99</v>
      </c>
      <c r="H6" s="130"/>
      <c r="I6" s="130"/>
      <c r="J6" s="13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5"/>
      <c r="B7" s="16" t="s">
        <v>18</v>
      </c>
      <c r="C7" s="10"/>
      <c r="D7" s="13">
        <f t="shared" si="1"/>
        <v>0</v>
      </c>
      <c r="F7" s="128"/>
      <c r="G7" s="132"/>
      <c r="H7" s="133"/>
      <c r="I7" s="133"/>
      <c r="J7" s="13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5"/>
      <c r="B8" s="16" t="s">
        <v>20</v>
      </c>
      <c r="C8" s="10"/>
      <c r="D8" s="13">
        <f t="shared" si="1"/>
        <v>0</v>
      </c>
      <c r="F8" s="135" t="s">
        <v>21</v>
      </c>
      <c r="G8" s="137" t="s">
        <v>117</v>
      </c>
      <c r="H8" s="138"/>
      <c r="I8" s="138"/>
      <c r="J8" s="1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5"/>
      <c r="B9" s="16" t="s">
        <v>23</v>
      </c>
      <c r="C9" s="10"/>
      <c r="D9" s="13">
        <f t="shared" si="1"/>
        <v>0</v>
      </c>
      <c r="F9" s="128"/>
      <c r="G9" s="140"/>
      <c r="H9" s="141"/>
      <c r="I9" s="141"/>
      <c r="J9" s="1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5"/>
      <c r="B10" t="s">
        <v>25</v>
      </c>
      <c r="C10" s="10"/>
      <c r="D10" s="13">
        <f t="shared" si="1"/>
        <v>0</v>
      </c>
      <c r="F10" s="127" t="s">
        <v>26</v>
      </c>
      <c r="G10" s="143" t="s">
        <v>108</v>
      </c>
      <c r="H10" s="144"/>
      <c r="I10" s="144"/>
      <c r="J10" s="145"/>
      <c r="K10" s="8"/>
      <c r="L10" s="6">
        <f>R36</f>
        <v>1032</v>
      </c>
      <c r="P10" s="4"/>
      <c r="Q10" s="4"/>
      <c r="R10" s="5"/>
    </row>
    <row r="11" spans="1:18" ht="15.75" x14ac:dyDescent="0.25">
      <c r="A11" s="125"/>
      <c r="B11" s="17" t="s">
        <v>28</v>
      </c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5"/>
      <c r="B12" s="17" t="s">
        <v>30</v>
      </c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5"/>
      <c r="B13" s="17" t="s">
        <v>32</v>
      </c>
      <c r="C13" s="10"/>
      <c r="D13" s="48">
        <f t="shared" si="1"/>
        <v>0</v>
      </c>
      <c r="F13" s="149" t="s">
        <v>36</v>
      </c>
      <c r="G13" s="150"/>
      <c r="H13" s="151">
        <f>D29</f>
        <v>0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5"/>
      <c r="B14" s="14" t="s">
        <v>35</v>
      </c>
      <c r="C14" s="10"/>
      <c r="D14" s="31">
        <f t="shared" si="1"/>
        <v>0</v>
      </c>
      <c r="F14" s="154" t="s">
        <v>38</v>
      </c>
      <c r="G14" s="155"/>
      <c r="H14" s="156">
        <f>D54</f>
        <v>0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5"/>
      <c r="B15" s="14" t="s">
        <v>119</v>
      </c>
      <c r="C15" s="10"/>
      <c r="D15" s="31">
        <f t="shared" si="1"/>
        <v>0</v>
      </c>
      <c r="F15" s="159" t="s">
        <v>39</v>
      </c>
      <c r="G15" s="150"/>
      <c r="H15" s="160">
        <f>H13-H14</f>
        <v>0</v>
      </c>
      <c r="I15" s="161"/>
      <c r="J15" s="16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3"/>
      <c r="I16" s="163"/>
      <c r="J16" s="16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3"/>
      <c r="I19" s="163"/>
      <c r="J19" s="1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5"/>
      <c r="B22" s="46" t="s">
        <v>103</v>
      </c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 t="s">
        <v>118</v>
      </c>
      <c r="C23" s="10"/>
      <c r="D23" s="48">
        <f t="shared" si="1"/>
        <v>0</v>
      </c>
      <c r="F23" s="76"/>
      <c r="G23" s="78"/>
      <c r="H23" s="245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 t="s">
        <v>125</v>
      </c>
      <c r="C24" s="10"/>
      <c r="D24" s="48">
        <f t="shared" si="1"/>
        <v>0</v>
      </c>
      <c r="F24" s="76"/>
      <c r="G24" s="78"/>
      <c r="H24" s="245"/>
      <c r="I24" s="246"/>
      <c r="J24" s="24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 t="s">
        <v>126</v>
      </c>
      <c r="C26" s="10"/>
      <c r="D26" s="48">
        <f t="shared" si="1"/>
        <v>0</v>
      </c>
      <c r="F26" s="74"/>
      <c r="G26" s="65"/>
      <c r="H26" s="188"/>
      <c r="I26" s="188"/>
      <c r="J26" s="18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5"/>
      <c r="B27" s="14" t="s">
        <v>127</v>
      </c>
      <c r="C27" s="10"/>
      <c r="D27" s="44">
        <f t="shared" si="1"/>
        <v>0</v>
      </c>
      <c r="F27" s="71"/>
      <c r="G27" s="99"/>
      <c r="H27" s="247"/>
      <c r="I27" s="248"/>
      <c r="J27" s="24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 t="s">
        <v>92</v>
      </c>
      <c r="C28" s="10"/>
      <c r="D28" s="48">
        <f t="shared" si="1"/>
        <v>0</v>
      </c>
      <c r="F28" s="101"/>
      <c r="G28" s="61"/>
      <c r="H28" s="198"/>
      <c r="I28" s="199"/>
      <c r="J28" s="20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4" t="s">
        <v>36</v>
      </c>
      <c r="B29" s="165"/>
      <c r="C29" s="166"/>
      <c r="D29" s="170">
        <f>SUM(D6:D28)</f>
        <v>0</v>
      </c>
      <c r="F29" s="172" t="s">
        <v>54</v>
      </c>
      <c r="G29" s="173"/>
      <c r="H29" s="176">
        <f>H15-H16-H17-H18-H19-H20-H22-H23-H24+H26+H27+H28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4">
        <f t="shared" ref="H34:H39" si="2">F34*G34</f>
        <v>0</v>
      </c>
      <c r="I34" s="205"/>
      <c r="J34" s="20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/>
      <c r="H35" s="204">
        <f t="shared" si="2"/>
        <v>0</v>
      </c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>
        <f t="shared" si="2"/>
        <v>0</v>
      </c>
      <c r="I36" s="205"/>
      <c r="J36" s="20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4">
        <f t="shared" si="2"/>
        <v>0</v>
      </c>
      <c r="I37" s="205"/>
      <c r="J37" s="20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5"/>
      <c r="B38" s="29" t="s">
        <v>67</v>
      </c>
      <c r="C38" s="54"/>
      <c r="D38" s="12">
        <f>C38*84</f>
        <v>0</v>
      </c>
      <c r="F38" s="30">
        <v>50</v>
      </c>
      <c r="G38" s="39"/>
      <c r="H38" s="204">
        <f t="shared" si="2"/>
        <v>0</v>
      </c>
      <c r="I38" s="205"/>
      <c r="J38" s="20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/>
      <c r="H39" s="204">
        <f t="shared" si="2"/>
        <v>0</v>
      </c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4"/>
      <c r="I40" s="205"/>
      <c r="J40" s="20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/>
      <c r="H42" s="205"/>
      <c r="I42" s="205"/>
      <c r="J42" s="20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99" t="s">
        <v>82</v>
      </c>
      <c r="H43" s="210" t="s">
        <v>13</v>
      </c>
      <c r="I43" s="211"/>
      <c r="J43" s="21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/>
      <c r="G44" s="62"/>
      <c r="H44" s="188"/>
      <c r="I44" s="188"/>
      <c r="J44" s="18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62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0"/>
      <c r="D46" s="12">
        <f>C46*1.5</f>
        <v>0</v>
      </c>
      <c r="F46" s="37"/>
      <c r="G46" s="62"/>
      <c r="H46" s="188"/>
      <c r="I46" s="188"/>
      <c r="J46" s="188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/>
      <c r="D48" s="12">
        <f>C48*78</f>
        <v>0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/>
      <c r="D50" s="12">
        <f>C50*1.5</f>
        <v>0</v>
      </c>
      <c r="F50" s="230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129</v>
      </c>
      <c r="G51" s="251">
        <f>G49-H29</f>
        <v>0</v>
      </c>
      <c r="H51" s="252"/>
      <c r="I51" s="252"/>
      <c r="J51" s="2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8"/>
      <c r="B52" s="29"/>
      <c r="C52" s="33"/>
      <c r="D52" s="45"/>
      <c r="F52" s="232"/>
      <c r="G52" s="254"/>
      <c r="H52" s="255"/>
      <c r="I52" s="255"/>
      <c r="J52" s="2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4701A-C8BE-4D0B-AA33-18B49BEDF36A}">
  <dimension ref="A1:R59"/>
  <sheetViews>
    <sheetView zoomScaleNormal="100" zoomScaleSheetLayoutView="85" workbookViewId="0">
      <selection activeCell="M35" sqref="M3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0" t="s">
        <v>1</v>
      </c>
      <c r="O1" s="110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1" t="s">
        <v>7</v>
      </c>
      <c r="B4" s="112"/>
      <c r="C4" s="112"/>
      <c r="D4" s="113"/>
      <c r="F4" s="114" t="s">
        <v>8</v>
      </c>
      <c r="G4" s="116">
        <v>2</v>
      </c>
      <c r="H4" s="118" t="s">
        <v>9</v>
      </c>
      <c r="I4" s="120">
        <v>46183</v>
      </c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5"/>
      <c r="B6" s="16" t="s">
        <v>15</v>
      </c>
      <c r="C6" s="10"/>
      <c r="D6" s="13">
        <f t="shared" ref="D6:D28" si="1">C6*L6</f>
        <v>0</v>
      </c>
      <c r="F6" s="127" t="s">
        <v>16</v>
      </c>
      <c r="G6" s="129" t="s">
        <v>107</v>
      </c>
      <c r="H6" s="130"/>
      <c r="I6" s="130"/>
      <c r="J6" s="13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5"/>
      <c r="B7" s="16" t="s">
        <v>18</v>
      </c>
      <c r="C7" s="10"/>
      <c r="D7" s="13">
        <f t="shared" si="1"/>
        <v>0</v>
      </c>
      <c r="F7" s="128"/>
      <c r="G7" s="132"/>
      <c r="H7" s="133"/>
      <c r="I7" s="133"/>
      <c r="J7" s="13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5"/>
      <c r="B8" s="16" t="s">
        <v>20</v>
      </c>
      <c r="C8" s="10"/>
      <c r="D8" s="13">
        <f t="shared" si="1"/>
        <v>0</v>
      </c>
      <c r="F8" s="135" t="s">
        <v>21</v>
      </c>
      <c r="G8" s="137" t="s">
        <v>100</v>
      </c>
      <c r="H8" s="138"/>
      <c r="I8" s="138"/>
      <c r="J8" s="1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5"/>
      <c r="B9" s="16" t="s">
        <v>23</v>
      </c>
      <c r="C9" s="10"/>
      <c r="D9" s="13">
        <f t="shared" si="1"/>
        <v>0</v>
      </c>
      <c r="F9" s="128"/>
      <c r="G9" s="140"/>
      <c r="H9" s="141"/>
      <c r="I9" s="141"/>
      <c r="J9" s="1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5"/>
      <c r="B10" t="s">
        <v>25</v>
      </c>
      <c r="C10" s="10"/>
      <c r="D10" s="13">
        <f t="shared" si="1"/>
        <v>0</v>
      </c>
      <c r="F10" s="127" t="s">
        <v>26</v>
      </c>
      <c r="G10" s="143" t="s">
        <v>101</v>
      </c>
      <c r="H10" s="144"/>
      <c r="I10" s="144"/>
      <c r="J10" s="145"/>
      <c r="K10" s="8"/>
      <c r="L10" s="6">
        <f>R36</f>
        <v>1032</v>
      </c>
      <c r="P10" s="4"/>
      <c r="Q10" s="4"/>
      <c r="R10" s="5"/>
    </row>
    <row r="11" spans="1:18" ht="15.75" x14ac:dyDescent="0.25">
      <c r="A11" s="125"/>
      <c r="B11" s="17" t="s">
        <v>28</v>
      </c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5"/>
      <c r="B12" s="17" t="s">
        <v>30</v>
      </c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5"/>
      <c r="B13" s="17" t="s">
        <v>32</v>
      </c>
      <c r="C13" s="10"/>
      <c r="D13" s="48">
        <f t="shared" si="1"/>
        <v>0</v>
      </c>
      <c r="F13" s="149" t="s">
        <v>36</v>
      </c>
      <c r="G13" s="150"/>
      <c r="H13" s="151">
        <f>D29</f>
        <v>0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5"/>
      <c r="B14" s="14" t="s">
        <v>35</v>
      </c>
      <c r="C14" s="10"/>
      <c r="D14" s="31">
        <f t="shared" si="1"/>
        <v>0</v>
      </c>
      <c r="F14" s="154" t="s">
        <v>38</v>
      </c>
      <c r="G14" s="155"/>
      <c r="H14" s="156">
        <f>D54</f>
        <v>0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5"/>
      <c r="B15" s="14" t="s">
        <v>119</v>
      </c>
      <c r="C15" s="10"/>
      <c r="D15" s="31">
        <f t="shared" si="1"/>
        <v>0</v>
      </c>
      <c r="F15" s="159" t="s">
        <v>39</v>
      </c>
      <c r="G15" s="150"/>
      <c r="H15" s="160">
        <f>H13-H14</f>
        <v>0</v>
      </c>
      <c r="I15" s="161"/>
      <c r="J15" s="16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3"/>
      <c r="I16" s="163"/>
      <c r="J16" s="16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9"/>
      <c r="I19" s="249"/>
      <c r="J19" s="2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5"/>
      <c r="B22" s="46" t="s">
        <v>103</v>
      </c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 t="s">
        <v>118</v>
      </c>
      <c r="C23" s="10"/>
      <c r="D23" s="48">
        <f t="shared" si="1"/>
        <v>0</v>
      </c>
      <c r="F23" s="77"/>
      <c r="G23" s="78"/>
      <c r="H23" s="250"/>
      <c r="I23" s="186"/>
      <c r="J23" s="1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 t="s">
        <v>125</v>
      </c>
      <c r="C24" s="10"/>
      <c r="D24" s="48">
        <f t="shared" si="1"/>
        <v>0</v>
      </c>
      <c r="F24" s="38"/>
      <c r="G24" s="37"/>
      <c r="H24" s="187"/>
      <c r="I24" s="188"/>
      <c r="J24" s="1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 t="s">
        <v>126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5"/>
      <c r="B27" s="14" t="s">
        <v>127</v>
      </c>
      <c r="C27" s="10"/>
      <c r="D27" s="44">
        <f t="shared" si="1"/>
        <v>0</v>
      </c>
      <c r="F27" s="25"/>
      <c r="G27" s="79"/>
      <c r="H27" s="195"/>
      <c r="I27" s="196"/>
      <c r="J27" s="19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 t="s">
        <v>92</v>
      </c>
      <c r="C28" s="10"/>
      <c r="D28" s="48">
        <f t="shared" si="1"/>
        <v>0</v>
      </c>
      <c r="F28" s="101"/>
      <c r="G28" s="61"/>
      <c r="H28" s="198"/>
      <c r="I28" s="199"/>
      <c r="J28" s="20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4" t="s">
        <v>36</v>
      </c>
      <c r="B29" s="165"/>
      <c r="C29" s="166"/>
      <c r="D29" s="170">
        <f>SUM(D6:D28)</f>
        <v>0</v>
      </c>
      <c r="F29" s="172" t="s">
        <v>54</v>
      </c>
      <c r="G29" s="173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4">
        <f>F34*G34</f>
        <v>0</v>
      </c>
      <c r="I34" s="205"/>
      <c r="J34" s="20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/>
      <c r="H35" s="204">
        <f>F35*G35</f>
        <v>0</v>
      </c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>
        <f t="shared" ref="H36:H39" si="2">F36*G36</f>
        <v>0</v>
      </c>
      <c r="I36" s="205"/>
      <c r="J36" s="20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4">
        <f t="shared" si="2"/>
        <v>0</v>
      </c>
      <c r="I37" s="205"/>
      <c r="J37" s="20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5"/>
      <c r="B38" s="29" t="s">
        <v>67</v>
      </c>
      <c r="C38" s="54"/>
      <c r="D38" s="12">
        <f>C38*84</f>
        <v>0</v>
      </c>
      <c r="F38" s="30">
        <v>50</v>
      </c>
      <c r="G38" s="39"/>
      <c r="H38" s="204">
        <f t="shared" si="2"/>
        <v>0</v>
      </c>
      <c r="I38" s="205"/>
      <c r="J38" s="20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/>
      <c r="H39" s="204">
        <f t="shared" si="2"/>
        <v>0</v>
      </c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4"/>
      <c r="I40" s="205"/>
      <c r="J40" s="20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/>
      <c r="H42" s="205"/>
      <c r="I42" s="205"/>
      <c r="J42" s="20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99" t="s">
        <v>82</v>
      </c>
      <c r="H43" s="210" t="s">
        <v>13</v>
      </c>
      <c r="I43" s="211"/>
      <c r="J43" s="21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/>
      <c r="G44" s="75"/>
      <c r="H44" s="188"/>
      <c r="I44" s="188"/>
      <c r="J44" s="18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75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0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/>
      <c r="D48" s="12">
        <f>C48*78</f>
        <v>0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80"/>
      <c r="D50" s="12">
        <f>C50*1.5</f>
        <v>0</v>
      </c>
      <c r="F50" s="230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113</v>
      </c>
      <c r="G51" s="233">
        <f>G49-H29</f>
        <v>0</v>
      </c>
      <c r="H51" s="234"/>
      <c r="I51" s="234"/>
      <c r="J51" s="23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8"/>
      <c r="B52" s="29"/>
      <c r="C52" s="33"/>
      <c r="D52" s="45"/>
      <c r="F52" s="232"/>
      <c r="G52" s="236"/>
      <c r="H52" s="237"/>
      <c r="I52" s="237"/>
      <c r="J52" s="23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04DCD-753A-48DD-9791-A6ED4B4130CD}">
  <dimension ref="A1:R59"/>
  <sheetViews>
    <sheetView zoomScaleNormal="100" zoomScaleSheetLayoutView="85" workbookViewId="0">
      <selection activeCell="U20" sqref="U2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0" t="s">
        <v>1</v>
      </c>
      <c r="O1" s="110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1" t="s">
        <v>7</v>
      </c>
      <c r="B4" s="112"/>
      <c r="C4" s="112"/>
      <c r="D4" s="113"/>
      <c r="F4" s="114" t="s">
        <v>8</v>
      </c>
      <c r="G4" s="116">
        <v>3</v>
      </c>
      <c r="H4" s="118" t="s">
        <v>9</v>
      </c>
      <c r="I4" s="120">
        <v>46183</v>
      </c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5"/>
      <c r="B6" s="16" t="s">
        <v>15</v>
      </c>
      <c r="C6" s="10"/>
      <c r="D6" s="13">
        <f t="shared" ref="D6:D28" si="1">C6*L6</f>
        <v>0</v>
      </c>
      <c r="F6" s="127" t="s">
        <v>16</v>
      </c>
      <c r="G6" s="129" t="s">
        <v>115</v>
      </c>
      <c r="H6" s="130"/>
      <c r="I6" s="130"/>
      <c r="J6" s="13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5"/>
      <c r="B7" s="16" t="s">
        <v>18</v>
      </c>
      <c r="C7" s="10"/>
      <c r="D7" s="13">
        <f t="shared" si="1"/>
        <v>0</v>
      </c>
      <c r="F7" s="128"/>
      <c r="G7" s="132"/>
      <c r="H7" s="133"/>
      <c r="I7" s="133"/>
      <c r="J7" s="13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5"/>
      <c r="B8" s="16" t="s">
        <v>20</v>
      </c>
      <c r="C8" s="10"/>
      <c r="D8" s="13">
        <f t="shared" si="1"/>
        <v>0</v>
      </c>
      <c r="F8" s="135" t="s">
        <v>21</v>
      </c>
      <c r="G8" s="137" t="s">
        <v>109</v>
      </c>
      <c r="H8" s="138"/>
      <c r="I8" s="138"/>
      <c r="J8" s="1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5"/>
      <c r="B9" s="16" t="s">
        <v>23</v>
      </c>
      <c r="C9" s="10"/>
      <c r="D9" s="13">
        <f t="shared" si="1"/>
        <v>0</v>
      </c>
      <c r="F9" s="128"/>
      <c r="G9" s="140"/>
      <c r="H9" s="141"/>
      <c r="I9" s="141"/>
      <c r="J9" s="1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5"/>
      <c r="B10" t="s">
        <v>25</v>
      </c>
      <c r="C10" s="10"/>
      <c r="D10" s="13">
        <f t="shared" si="1"/>
        <v>0</v>
      </c>
      <c r="F10" s="127" t="s">
        <v>26</v>
      </c>
      <c r="G10" s="143" t="s">
        <v>121</v>
      </c>
      <c r="H10" s="144"/>
      <c r="I10" s="144"/>
      <c r="J10" s="145"/>
      <c r="K10" s="8"/>
      <c r="L10" s="6">
        <f>R36</f>
        <v>1032</v>
      </c>
      <c r="P10" s="4"/>
      <c r="Q10" s="4"/>
      <c r="R10" s="5"/>
    </row>
    <row r="11" spans="1:18" ht="15.75" x14ac:dyDescent="0.25">
      <c r="A11" s="125"/>
      <c r="B11" s="17" t="s">
        <v>28</v>
      </c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5"/>
      <c r="B12" s="17" t="s">
        <v>30</v>
      </c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5"/>
      <c r="B13" s="17" t="s">
        <v>32</v>
      </c>
      <c r="C13" s="10"/>
      <c r="D13" s="48">
        <f t="shared" si="1"/>
        <v>0</v>
      </c>
      <c r="F13" s="149" t="s">
        <v>36</v>
      </c>
      <c r="G13" s="150"/>
      <c r="H13" s="151">
        <f>D29</f>
        <v>0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5"/>
      <c r="B14" s="14" t="s">
        <v>35</v>
      </c>
      <c r="C14" s="10"/>
      <c r="D14" s="31">
        <f t="shared" si="1"/>
        <v>0</v>
      </c>
      <c r="F14" s="154" t="s">
        <v>38</v>
      </c>
      <c r="G14" s="155"/>
      <c r="H14" s="156">
        <f>D54</f>
        <v>0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5"/>
      <c r="B15" s="14" t="s">
        <v>119</v>
      </c>
      <c r="C15" s="10"/>
      <c r="D15" s="31">
        <f t="shared" si="1"/>
        <v>0</v>
      </c>
      <c r="F15" s="159" t="s">
        <v>39</v>
      </c>
      <c r="G15" s="150"/>
      <c r="H15" s="160">
        <f>H13-H14</f>
        <v>0</v>
      </c>
      <c r="I15" s="161"/>
      <c r="J15" s="16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3"/>
      <c r="I16" s="163"/>
      <c r="J16" s="16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9"/>
      <c r="I19" s="249"/>
      <c r="J19" s="2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5"/>
      <c r="B22" s="46" t="s">
        <v>103</v>
      </c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 t="s">
        <v>118</v>
      </c>
      <c r="C23" s="10"/>
      <c r="D23" s="48">
        <f t="shared" si="1"/>
        <v>0</v>
      </c>
      <c r="F23" s="77"/>
      <c r="G23" s="78"/>
      <c r="H23" s="250"/>
      <c r="I23" s="186"/>
      <c r="J23" s="1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 t="s">
        <v>125</v>
      </c>
      <c r="C24" s="10"/>
      <c r="D24" s="48">
        <f t="shared" si="1"/>
        <v>0</v>
      </c>
      <c r="F24" s="38"/>
      <c r="G24" s="37"/>
      <c r="H24" s="187"/>
      <c r="I24" s="188"/>
      <c r="J24" s="1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 t="s">
        <v>126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5"/>
      <c r="B27" s="14" t="s">
        <v>127</v>
      </c>
      <c r="C27" s="10"/>
      <c r="D27" s="44">
        <f t="shared" si="1"/>
        <v>0</v>
      </c>
      <c r="F27" s="25"/>
      <c r="G27" s="79"/>
      <c r="H27" s="195"/>
      <c r="I27" s="196"/>
      <c r="J27" s="19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 t="s">
        <v>92</v>
      </c>
      <c r="C28" s="10"/>
      <c r="D28" s="48">
        <f t="shared" si="1"/>
        <v>0</v>
      </c>
      <c r="F28" s="101"/>
      <c r="G28" s="61"/>
      <c r="H28" s="198"/>
      <c r="I28" s="199"/>
      <c r="J28" s="20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4" t="s">
        <v>36</v>
      </c>
      <c r="B29" s="165"/>
      <c r="C29" s="166"/>
      <c r="D29" s="170">
        <f>SUM(D6:D28)</f>
        <v>0</v>
      </c>
      <c r="F29" s="172" t="s">
        <v>54</v>
      </c>
      <c r="G29" s="173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4">
        <f>F34*G34</f>
        <v>0</v>
      </c>
      <c r="I34" s="205"/>
      <c r="J34" s="20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/>
      <c r="H35" s="204">
        <f>F35*G35</f>
        <v>0</v>
      </c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>
        <f t="shared" ref="H36:H39" si="2">F36*G36</f>
        <v>0</v>
      </c>
      <c r="I36" s="205"/>
      <c r="J36" s="20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4">
        <f t="shared" si="2"/>
        <v>0</v>
      </c>
      <c r="I37" s="205"/>
      <c r="J37" s="20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5"/>
      <c r="B38" s="29" t="s">
        <v>67</v>
      </c>
      <c r="C38" s="54"/>
      <c r="D38" s="12">
        <f>C38*84</f>
        <v>0</v>
      </c>
      <c r="F38" s="30">
        <v>50</v>
      </c>
      <c r="G38" s="39"/>
      <c r="H38" s="204">
        <f t="shared" si="2"/>
        <v>0</v>
      </c>
      <c r="I38" s="205"/>
      <c r="J38" s="20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/>
      <c r="H39" s="204">
        <f t="shared" si="2"/>
        <v>0</v>
      </c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4"/>
      <c r="I40" s="205"/>
      <c r="J40" s="20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/>
      <c r="H42" s="205"/>
      <c r="I42" s="205"/>
      <c r="J42" s="20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99" t="s">
        <v>82</v>
      </c>
      <c r="H43" s="210" t="s">
        <v>13</v>
      </c>
      <c r="I43" s="211"/>
      <c r="J43" s="21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/>
      <c r="G44" s="75"/>
      <c r="H44" s="188"/>
      <c r="I44" s="188"/>
      <c r="J44" s="18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75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0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/>
      <c r="D48" s="12">
        <f>C48*78</f>
        <v>0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/>
      <c r="D50" s="12">
        <f>C50*1.5</f>
        <v>0</v>
      </c>
      <c r="F50" s="230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113</v>
      </c>
      <c r="G51" s="233">
        <f>G49-H29</f>
        <v>0</v>
      </c>
      <c r="H51" s="234"/>
      <c r="I51" s="234"/>
      <c r="J51" s="23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8"/>
      <c r="B52" s="29"/>
      <c r="C52" s="33"/>
      <c r="D52" s="45"/>
      <c r="F52" s="232"/>
      <c r="G52" s="236"/>
      <c r="H52" s="237"/>
      <c r="I52" s="237"/>
      <c r="J52" s="23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4146B-A016-42CA-9F38-644908F1E97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0" t="s">
        <v>1</v>
      </c>
      <c r="O1" s="110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1" t="s">
        <v>7</v>
      </c>
      <c r="B4" s="112"/>
      <c r="C4" s="112"/>
      <c r="D4" s="113"/>
      <c r="F4" s="114" t="s">
        <v>8</v>
      </c>
      <c r="G4" s="116"/>
      <c r="H4" s="118" t="s">
        <v>9</v>
      </c>
      <c r="I4" s="120"/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5"/>
      <c r="B6" s="16"/>
      <c r="C6" s="10"/>
      <c r="D6" s="13">
        <f t="shared" ref="D6:D28" si="1">C6*L6</f>
        <v>0</v>
      </c>
      <c r="F6" s="127" t="s">
        <v>16</v>
      </c>
      <c r="G6" s="129"/>
      <c r="H6" s="130"/>
      <c r="I6" s="130"/>
      <c r="J6" s="1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5"/>
      <c r="B7" s="16"/>
      <c r="C7" s="10"/>
      <c r="D7" s="13">
        <f t="shared" si="1"/>
        <v>0</v>
      </c>
      <c r="F7" s="128"/>
      <c r="G7" s="132"/>
      <c r="H7" s="133"/>
      <c r="I7" s="133"/>
      <c r="J7" s="13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5"/>
      <c r="B8" s="16"/>
      <c r="C8" s="10"/>
      <c r="D8" s="13">
        <f t="shared" si="1"/>
        <v>0</v>
      </c>
      <c r="F8" s="135" t="s">
        <v>21</v>
      </c>
      <c r="G8" s="137"/>
      <c r="H8" s="138"/>
      <c r="I8" s="138"/>
      <c r="J8" s="1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5"/>
      <c r="B9" s="16"/>
      <c r="C9" s="10"/>
      <c r="D9" s="13">
        <f t="shared" si="1"/>
        <v>0</v>
      </c>
      <c r="F9" s="128"/>
      <c r="G9" s="140"/>
      <c r="H9" s="141"/>
      <c r="I9" s="141"/>
      <c r="J9" s="1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5"/>
      <c r="C10" s="10"/>
      <c r="D10" s="13">
        <f t="shared" si="1"/>
        <v>0</v>
      </c>
      <c r="F10" s="127" t="s">
        <v>26</v>
      </c>
      <c r="G10" s="143"/>
      <c r="H10" s="144"/>
      <c r="I10" s="144"/>
      <c r="J10" s="145"/>
      <c r="K10" s="8"/>
      <c r="L10" s="6">
        <f>R36</f>
        <v>972</v>
      </c>
      <c r="P10" s="4"/>
      <c r="Q10" s="4"/>
      <c r="R10" s="5"/>
    </row>
    <row r="11" spans="1:19" ht="15.75" x14ac:dyDescent="0.25">
      <c r="A11" s="125"/>
      <c r="B11" s="17"/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5"/>
      <c r="B12" s="17"/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5"/>
      <c r="B13" s="17"/>
      <c r="C13" s="10"/>
      <c r="D13" s="48">
        <f t="shared" si="1"/>
        <v>0</v>
      </c>
      <c r="F13" s="149" t="s">
        <v>36</v>
      </c>
      <c r="G13" s="150"/>
      <c r="H13" s="151">
        <f>D29</f>
        <v>0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5"/>
      <c r="B14" s="14"/>
      <c r="C14" s="10"/>
      <c r="D14" s="31">
        <f t="shared" si="1"/>
        <v>0</v>
      </c>
      <c r="F14" s="154" t="s">
        <v>38</v>
      </c>
      <c r="G14" s="155"/>
      <c r="H14" s="156">
        <f>D54</f>
        <v>0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5"/>
      <c r="B15" s="14"/>
      <c r="C15" s="10"/>
      <c r="D15" s="31">
        <f t="shared" si="1"/>
        <v>0</v>
      </c>
      <c r="F15" s="159" t="s">
        <v>39</v>
      </c>
      <c r="G15" s="150"/>
      <c r="H15" s="160">
        <f>H13-H14</f>
        <v>0</v>
      </c>
      <c r="I15" s="161"/>
      <c r="J15" s="16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3"/>
      <c r="I16" s="163"/>
      <c r="J16" s="16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19"/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14"/>
      <c r="C19" s="10"/>
      <c r="D19" s="48">
        <f t="shared" si="1"/>
        <v>0</v>
      </c>
      <c r="F19" s="56"/>
      <c r="G19" s="68" t="s">
        <v>49</v>
      </c>
      <c r="H19" s="182"/>
      <c r="I19" s="182"/>
      <c r="J19" s="18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5"/>
      <c r="B20" s="46"/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5"/>
      <c r="B22" s="46"/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/>
      <c r="C23" s="10"/>
      <c r="D23" s="48">
        <f t="shared" si="1"/>
        <v>0</v>
      </c>
      <c r="F23" s="77"/>
      <c r="G23" s="78"/>
      <c r="H23" s="187"/>
      <c r="I23" s="188"/>
      <c r="J23" s="18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/>
      <c r="C24" s="10"/>
      <c r="D24" s="48">
        <f t="shared" si="1"/>
        <v>0</v>
      </c>
      <c r="F24" s="38"/>
      <c r="G24" s="37"/>
      <c r="H24" s="187"/>
      <c r="I24" s="188"/>
      <c r="J24" s="18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5"/>
      <c r="B27" s="14"/>
      <c r="C27" s="10"/>
      <c r="D27" s="44">
        <f t="shared" si="1"/>
        <v>0</v>
      </c>
      <c r="F27" s="25"/>
      <c r="G27" s="79"/>
      <c r="H27" s="195"/>
      <c r="I27" s="196"/>
      <c r="J27" s="19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/>
      <c r="C28" s="10"/>
      <c r="D28" s="48">
        <f t="shared" si="1"/>
        <v>0</v>
      </c>
      <c r="F28" s="104"/>
      <c r="G28" s="61"/>
      <c r="H28" s="198"/>
      <c r="I28" s="199"/>
      <c r="J28" s="20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4" t="s">
        <v>36</v>
      </c>
      <c r="B29" s="165"/>
      <c r="C29" s="166"/>
      <c r="D29" s="170">
        <f>SUM(D6:D28)</f>
        <v>0</v>
      </c>
      <c r="F29" s="172" t="s">
        <v>54</v>
      </c>
      <c r="G29" s="173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4"/>
      <c r="I34" s="205"/>
      <c r="J34" s="20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/>
      <c r="H35" s="204"/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/>
      <c r="I36" s="205"/>
      <c r="J36" s="20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4"/>
      <c r="I37" s="205"/>
      <c r="J37" s="20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5"/>
      <c r="B38" s="29" t="s">
        <v>67</v>
      </c>
      <c r="C38" s="54"/>
      <c r="D38" s="12">
        <f>C38*84</f>
        <v>0</v>
      </c>
      <c r="F38" s="30">
        <v>50</v>
      </c>
      <c r="G38" s="39"/>
      <c r="H38" s="204"/>
      <c r="I38" s="205"/>
      <c r="J38" s="20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/>
      <c r="H39" s="204"/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4"/>
      <c r="I40" s="205"/>
      <c r="J40" s="20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/>
      <c r="H42" s="205"/>
      <c r="I42" s="205"/>
      <c r="J42" s="20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106" t="s">
        <v>82</v>
      </c>
      <c r="H43" s="210" t="s">
        <v>13</v>
      </c>
      <c r="I43" s="211"/>
      <c r="J43" s="212"/>
      <c r="K43" s="21"/>
      <c r="P43" s="4"/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/>
      <c r="G44" s="75"/>
      <c r="H44" s="188"/>
      <c r="I44" s="188"/>
      <c r="J44" s="188"/>
      <c r="K44" s="21"/>
      <c r="P44" s="4"/>
      <c r="Q44" s="4"/>
      <c r="R44" s="5"/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75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0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/>
      <c r="D48" s="12">
        <f>C48*78</f>
        <v>0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/>
      <c r="D50" s="12">
        <f>C50*1.5</f>
        <v>0</v>
      </c>
      <c r="F50" s="230"/>
      <c r="G50" s="179"/>
      <c r="H50" s="180"/>
      <c r="I50" s="180"/>
      <c r="J50" s="181"/>
      <c r="P50" s="4"/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106</v>
      </c>
      <c r="G51" s="233">
        <f>G49-H29</f>
        <v>0</v>
      </c>
      <c r="H51" s="234"/>
      <c r="I51" s="234"/>
      <c r="J51" s="23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8"/>
      <c r="B52" s="29"/>
      <c r="C52" s="33"/>
      <c r="D52" s="45"/>
      <c r="F52" s="232"/>
      <c r="G52" s="236"/>
      <c r="H52" s="237"/>
      <c r="I52" s="237"/>
      <c r="J52" s="23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0</v>
      </c>
      <c r="F54" s="21"/>
      <c r="J54" s="34"/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2FB5F-FFC3-492B-861A-322686639109}">
  <dimension ref="A1:R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0" t="s">
        <v>1</v>
      </c>
      <c r="O1" s="110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1" t="s">
        <v>7</v>
      </c>
      <c r="B4" s="112"/>
      <c r="C4" s="112"/>
      <c r="D4" s="113"/>
      <c r="F4" s="114" t="s">
        <v>8</v>
      </c>
      <c r="G4" s="116">
        <v>1</v>
      </c>
      <c r="H4" s="118" t="s">
        <v>9</v>
      </c>
      <c r="I4" s="120">
        <v>46184</v>
      </c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5"/>
      <c r="B6" s="16" t="s">
        <v>15</v>
      </c>
      <c r="C6" s="10"/>
      <c r="D6" s="13">
        <f t="shared" ref="D6:D28" si="1">C6*L6</f>
        <v>0</v>
      </c>
      <c r="F6" s="127" t="s">
        <v>16</v>
      </c>
      <c r="G6" s="129" t="s">
        <v>99</v>
      </c>
      <c r="H6" s="130"/>
      <c r="I6" s="130"/>
      <c r="J6" s="13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5"/>
      <c r="B7" s="16" t="s">
        <v>18</v>
      </c>
      <c r="C7" s="10"/>
      <c r="D7" s="13">
        <f t="shared" si="1"/>
        <v>0</v>
      </c>
      <c r="F7" s="128"/>
      <c r="G7" s="132"/>
      <c r="H7" s="133"/>
      <c r="I7" s="133"/>
      <c r="J7" s="13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5"/>
      <c r="B8" s="16" t="s">
        <v>20</v>
      </c>
      <c r="C8" s="10"/>
      <c r="D8" s="13">
        <f t="shared" si="1"/>
        <v>0</v>
      </c>
      <c r="F8" s="135" t="s">
        <v>21</v>
      </c>
      <c r="G8" s="137" t="s">
        <v>117</v>
      </c>
      <c r="H8" s="138"/>
      <c r="I8" s="138"/>
      <c r="J8" s="1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5"/>
      <c r="B9" s="16" t="s">
        <v>23</v>
      </c>
      <c r="C9" s="10"/>
      <c r="D9" s="13">
        <f t="shared" si="1"/>
        <v>0</v>
      </c>
      <c r="F9" s="128"/>
      <c r="G9" s="140"/>
      <c r="H9" s="141"/>
      <c r="I9" s="141"/>
      <c r="J9" s="1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5"/>
      <c r="B10" t="s">
        <v>25</v>
      </c>
      <c r="C10" s="10"/>
      <c r="D10" s="13">
        <f t="shared" si="1"/>
        <v>0</v>
      </c>
      <c r="F10" s="127" t="s">
        <v>26</v>
      </c>
      <c r="G10" s="143" t="s">
        <v>108</v>
      </c>
      <c r="H10" s="144"/>
      <c r="I10" s="144"/>
      <c r="J10" s="145"/>
      <c r="K10" s="8"/>
      <c r="L10" s="6">
        <f>R36</f>
        <v>1032</v>
      </c>
      <c r="P10" s="4"/>
      <c r="Q10" s="4"/>
      <c r="R10" s="5"/>
    </row>
    <row r="11" spans="1:18" ht="15.75" x14ac:dyDescent="0.25">
      <c r="A11" s="125"/>
      <c r="B11" s="17" t="s">
        <v>28</v>
      </c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5"/>
      <c r="B12" s="17" t="s">
        <v>30</v>
      </c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5"/>
      <c r="B13" s="17" t="s">
        <v>32</v>
      </c>
      <c r="C13" s="10"/>
      <c r="D13" s="48">
        <f t="shared" si="1"/>
        <v>0</v>
      </c>
      <c r="F13" s="149" t="s">
        <v>36</v>
      </c>
      <c r="G13" s="150"/>
      <c r="H13" s="151">
        <f>D29</f>
        <v>0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5"/>
      <c r="B14" s="14" t="s">
        <v>35</v>
      </c>
      <c r="C14" s="10"/>
      <c r="D14" s="31">
        <f t="shared" si="1"/>
        <v>0</v>
      </c>
      <c r="F14" s="154" t="s">
        <v>38</v>
      </c>
      <c r="G14" s="155"/>
      <c r="H14" s="156">
        <f>D54</f>
        <v>0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5"/>
      <c r="B15" s="14" t="s">
        <v>119</v>
      </c>
      <c r="C15" s="10"/>
      <c r="D15" s="31">
        <f t="shared" si="1"/>
        <v>0</v>
      </c>
      <c r="F15" s="159" t="s">
        <v>39</v>
      </c>
      <c r="G15" s="150"/>
      <c r="H15" s="160">
        <f>H13-H14</f>
        <v>0</v>
      </c>
      <c r="I15" s="161"/>
      <c r="J15" s="16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3"/>
      <c r="I16" s="163"/>
      <c r="J16" s="16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3"/>
      <c r="I19" s="163"/>
      <c r="J19" s="1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5"/>
      <c r="B22" s="46" t="s">
        <v>103</v>
      </c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 t="s">
        <v>118</v>
      </c>
      <c r="C23" s="10"/>
      <c r="D23" s="48">
        <f t="shared" si="1"/>
        <v>0</v>
      </c>
      <c r="F23" s="76"/>
      <c r="G23" s="78"/>
      <c r="H23" s="245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 t="s">
        <v>125</v>
      </c>
      <c r="C24" s="10"/>
      <c r="D24" s="48">
        <f t="shared" si="1"/>
        <v>0</v>
      </c>
      <c r="F24" s="76"/>
      <c r="G24" s="78"/>
      <c r="H24" s="245"/>
      <c r="I24" s="246"/>
      <c r="J24" s="24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 t="s">
        <v>126</v>
      </c>
      <c r="C26" s="10"/>
      <c r="D26" s="48">
        <f t="shared" si="1"/>
        <v>0</v>
      </c>
      <c r="F26" s="74"/>
      <c r="G26" s="65"/>
      <c r="H26" s="188"/>
      <c r="I26" s="188"/>
      <c r="J26" s="18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5"/>
      <c r="B27" s="14" t="s">
        <v>127</v>
      </c>
      <c r="C27" s="10"/>
      <c r="D27" s="44">
        <f t="shared" si="1"/>
        <v>0</v>
      </c>
      <c r="F27" s="71"/>
      <c r="G27" s="106"/>
      <c r="H27" s="247"/>
      <c r="I27" s="248"/>
      <c r="J27" s="24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 t="s">
        <v>92</v>
      </c>
      <c r="C28" s="10"/>
      <c r="D28" s="48">
        <f t="shared" si="1"/>
        <v>0</v>
      </c>
      <c r="F28" s="104"/>
      <c r="G28" s="61"/>
      <c r="H28" s="198"/>
      <c r="I28" s="199"/>
      <c r="J28" s="20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4" t="s">
        <v>36</v>
      </c>
      <c r="B29" s="165"/>
      <c r="C29" s="166"/>
      <c r="D29" s="170">
        <f>SUM(D6:D28)</f>
        <v>0</v>
      </c>
      <c r="F29" s="172" t="s">
        <v>54</v>
      </c>
      <c r="G29" s="173"/>
      <c r="H29" s="176">
        <f>H15-H16-H17-H18-H19-H20-H22-H23-H24+H26+H27+H28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4">
        <f t="shared" ref="H34:H39" si="2">F34*G34</f>
        <v>0</v>
      </c>
      <c r="I34" s="205"/>
      <c r="J34" s="20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/>
      <c r="H35" s="204">
        <f t="shared" si="2"/>
        <v>0</v>
      </c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>
        <f t="shared" si="2"/>
        <v>0</v>
      </c>
      <c r="I36" s="205"/>
      <c r="J36" s="20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4">
        <f t="shared" si="2"/>
        <v>0</v>
      </c>
      <c r="I37" s="205"/>
      <c r="J37" s="20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5"/>
      <c r="B38" s="29" t="s">
        <v>67</v>
      </c>
      <c r="C38" s="54"/>
      <c r="D38" s="12">
        <f>C38*84</f>
        <v>0</v>
      </c>
      <c r="F38" s="30">
        <v>50</v>
      </c>
      <c r="G38" s="39"/>
      <c r="H38" s="204">
        <f t="shared" si="2"/>
        <v>0</v>
      </c>
      <c r="I38" s="205"/>
      <c r="J38" s="20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/>
      <c r="H39" s="204">
        <f t="shared" si="2"/>
        <v>0</v>
      </c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4"/>
      <c r="I40" s="205"/>
      <c r="J40" s="20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/>
      <c r="H42" s="205"/>
      <c r="I42" s="205"/>
      <c r="J42" s="20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106" t="s">
        <v>82</v>
      </c>
      <c r="H43" s="210" t="s">
        <v>13</v>
      </c>
      <c r="I43" s="211"/>
      <c r="J43" s="21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/>
      <c r="G44" s="62"/>
      <c r="H44" s="188"/>
      <c r="I44" s="188"/>
      <c r="J44" s="18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62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0"/>
      <c r="D46" s="12">
        <f>C46*1.5</f>
        <v>0</v>
      </c>
      <c r="F46" s="37"/>
      <c r="G46" s="62"/>
      <c r="H46" s="188"/>
      <c r="I46" s="188"/>
      <c r="J46" s="188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/>
      <c r="D48" s="12">
        <f>C48*78</f>
        <v>0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/>
      <c r="D50" s="12">
        <f>C50*1.5</f>
        <v>0</v>
      </c>
      <c r="F50" s="230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129</v>
      </c>
      <c r="G51" s="251">
        <f>G49-H29</f>
        <v>0</v>
      </c>
      <c r="H51" s="252"/>
      <c r="I51" s="252"/>
      <c r="J51" s="2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8"/>
      <c r="B52" s="29"/>
      <c r="C52" s="33"/>
      <c r="D52" s="45"/>
      <c r="F52" s="232"/>
      <c r="G52" s="254"/>
      <c r="H52" s="255"/>
      <c r="I52" s="255"/>
      <c r="J52" s="2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5BEE0-5CA6-422A-88EC-17D960ADF2BE}">
  <dimension ref="A1:R59"/>
  <sheetViews>
    <sheetView zoomScaleNormal="100" zoomScaleSheetLayoutView="85" workbookViewId="0">
      <selection activeCell="M31" sqref="M3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0" t="s">
        <v>1</v>
      </c>
      <c r="O1" s="110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1" t="s">
        <v>7</v>
      </c>
      <c r="B4" s="112"/>
      <c r="C4" s="112"/>
      <c r="D4" s="113"/>
      <c r="F4" s="114" t="s">
        <v>8</v>
      </c>
      <c r="G4" s="116">
        <v>2</v>
      </c>
      <c r="H4" s="118" t="s">
        <v>9</v>
      </c>
      <c r="I4" s="120">
        <v>46184</v>
      </c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5"/>
      <c r="B6" s="16" t="s">
        <v>15</v>
      </c>
      <c r="C6" s="10"/>
      <c r="D6" s="13">
        <f t="shared" ref="D6:D28" si="1">C6*L6</f>
        <v>0</v>
      </c>
      <c r="F6" s="127" t="s">
        <v>16</v>
      </c>
      <c r="G6" s="129" t="s">
        <v>107</v>
      </c>
      <c r="H6" s="130"/>
      <c r="I6" s="130"/>
      <c r="J6" s="13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5"/>
      <c r="B7" s="16" t="s">
        <v>18</v>
      </c>
      <c r="C7" s="10"/>
      <c r="D7" s="13">
        <f t="shared" si="1"/>
        <v>0</v>
      </c>
      <c r="F7" s="128"/>
      <c r="G7" s="132"/>
      <c r="H7" s="133"/>
      <c r="I7" s="133"/>
      <c r="J7" s="13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5"/>
      <c r="B8" s="16" t="s">
        <v>20</v>
      </c>
      <c r="C8" s="10"/>
      <c r="D8" s="13">
        <f t="shared" si="1"/>
        <v>0</v>
      </c>
      <c r="F8" s="135" t="s">
        <v>21</v>
      </c>
      <c r="G8" s="137" t="s">
        <v>100</v>
      </c>
      <c r="H8" s="138"/>
      <c r="I8" s="138"/>
      <c r="J8" s="1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5"/>
      <c r="B9" s="16" t="s">
        <v>23</v>
      </c>
      <c r="C9" s="10"/>
      <c r="D9" s="13">
        <f t="shared" si="1"/>
        <v>0</v>
      </c>
      <c r="F9" s="128"/>
      <c r="G9" s="140"/>
      <c r="H9" s="141"/>
      <c r="I9" s="141"/>
      <c r="J9" s="1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5"/>
      <c r="B10" t="s">
        <v>25</v>
      </c>
      <c r="C10" s="10"/>
      <c r="D10" s="13">
        <f t="shared" si="1"/>
        <v>0</v>
      </c>
      <c r="F10" s="127" t="s">
        <v>26</v>
      </c>
      <c r="G10" s="143" t="s">
        <v>101</v>
      </c>
      <c r="H10" s="144"/>
      <c r="I10" s="144"/>
      <c r="J10" s="145"/>
      <c r="K10" s="8"/>
      <c r="L10" s="6">
        <f>R36</f>
        <v>1032</v>
      </c>
      <c r="P10" s="4"/>
      <c r="Q10" s="4"/>
      <c r="R10" s="5"/>
    </row>
    <row r="11" spans="1:18" ht="15.75" x14ac:dyDescent="0.25">
      <c r="A11" s="125"/>
      <c r="B11" s="17" t="s">
        <v>28</v>
      </c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5"/>
      <c r="B12" s="17" t="s">
        <v>30</v>
      </c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5"/>
      <c r="B13" s="17" t="s">
        <v>32</v>
      </c>
      <c r="C13" s="10"/>
      <c r="D13" s="48">
        <f t="shared" si="1"/>
        <v>0</v>
      </c>
      <c r="F13" s="149" t="s">
        <v>36</v>
      </c>
      <c r="G13" s="150"/>
      <c r="H13" s="151">
        <f>D29</f>
        <v>0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5"/>
      <c r="B14" s="14" t="s">
        <v>35</v>
      </c>
      <c r="C14" s="10"/>
      <c r="D14" s="31">
        <f t="shared" si="1"/>
        <v>0</v>
      </c>
      <c r="F14" s="154" t="s">
        <v>38</v>
      </c>
      <c r="G14" s="155"/>
      <c r="H14" s="156">
        <f>D54</f>
        <v>0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5"/>
      <c r="B15" s="14" t="s">
        <v>119</v>
      </c>
      <c r="C15" s="10"/>
      <c r="D15" s="31">
        <f t="shared" si="1"/>
        <v>0</v>
      </c>
      <c r="F15" s="159" t="s">
        <v>39</v>
      </c>
      <c r="G15" s="150"/>
      <c r="H15" s="160">
        <f>H13-H14</f>
        <v>0</v>
      </c>
      <c r="I15" s="161"/>
      <c r="J15" s="16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3"/>
      <c r="I16" s="163"/>
      <c r="J16" s="16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9"/>
      <c r="I19" s="249"/>
      <c r="J19" s="2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5"/>
      <c r="B22" s="46" t="s">
        <v>103</v>
      </c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 t="s">
        <v>118</v>
      </c>
      <c r="C23" s="10"/>
      <c r="D23" s="48">
        <f t="shared" si="1"/>
        <v>0</v>
      </c>
      <c r="F23" s="77"/>
      <c r="G23" s="78"/>
      <c r="H23" s="250"/>
      <c r="I23" s="186"/>
      <c r="J23" s="1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 t="s">
        <v>125</v>
      </c>
      <c r="C24" s="10"/>
      <c r="D24" s="48">
        <f t="shared" si="1"/>
        <v>0</v>
      </c>
      <c r="F24" s="38"/>
      <c r="G24" s="37"/>
      <c r="H24" s="187"/>
      <c r="I24" s="188"/>
      <c r="J24" s="1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 t="s">
        <v>126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5"/>
      <c r="B27" s="14" t="s">
        <v>127</v>
      </c>
      <c r="C27" s="10"/>
      <c r="D27" s="44">
        <f t="shared" si="1"/>
        <v>0</v>
      </c>
      <c r="F27" s="25"/>
      <c r="G27" s="79"/>
      <c r="H27" s="195"/>
      <c r="I27" s="196"/>
      <c r="J27" s="19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 t="s">
        <v>92</v>
      </c>
      <c r="C28" s="10"/>
      <c r="D28" s="48">
        <f t="shared" si="1"/>
        <v>0</v>
      </c>
      <c r="F28" s="104"/>
      <c r="G28" s="61"/>
      <c r="H28" s="198"/>
      <c r="I28" s="199"/>
      <c r="J28" s="20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4" t="s">
        <v>36</v>
      </c>
      <c r="B29" s="165"/>
      <c r="C29" s="166"/>
      <c r="D29" s="170">
        <f>SUM(D6:D28)</f>
        <v>0</v>
      </c>
      <c r="F29" s="172" t="s">
        <v>54</v>
      </c>
      <c r="G29" s="173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4">
        <f>F34*G34</f>
        <v>0</v>
      </c>
      <c r="I34" s="205"/>
      <c r="J34" s="20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/>
      <c r="H35" s="204">
        <f>F35*G35</f>
        <v>0</v>
      </c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>
        <f t="shared" ref="H36:H39" si="2">F36*G36</f>
        <v>0</v>
      </c>
      <c r="I36" s="205"/>
      <c r="J36" s="20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4">
        <f t="shared" si="2"/>
        <v>0</v>
      </c>
      <c r="I37" s="205"/>
      <c r="J37" s="20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5"/>
      <c r="B38" s="29" t="s">
        <v>67</v>
      </c>
      <c r="C38" s="54"/>
      <c r="D38" s="12">
        <f>C38*84</f>
        <v>0</v>
      </c>
      <c r="F38" s="30">
        <v>50</v>
      </c>
      <c r="G38" s="39"/>
      <c r="H38" s="204">
        <f t="shared" si="2"/>
        <v>0</v>
      </c>
      <c r="I38" s="205"/>
      <c r="J38" s="20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/>
      <c r="H39" s="204">
        <f t="shared" si="2"/>
        <v>0</v>
      </c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4"/>
      <c r="I40" s="205"/>
      <c r="J40" s="20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/>
      <c r="H42" s="205"/>
      <c r="I42" s="205"/>
      <c r="J42" s="20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106" t="s">
        <v>82</v>
      </c>
      <c r="H43" s="210" t="s">
        <v>13</v>
      </c>
      <c r="I43" s="211"/>
      <c r="J43" s="21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/>
      <c r="G44" s="75"/>
      <c r="H44" s="188"/>
      <c r="I44" s="188"/>
      <c r="J44" s="18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75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0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/>
      <c r="D48" s="12">
        <f>C48*78</f>
        <v>0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80"/>
      <c r="D50" s="12">
        <f>C50*1.5</f>
        <v>0</v>
      </c>
      <c r="F50" s="230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113</v>
      </c>
      <c r="G51" s="233">
        <f>G49-H29</f>
        <v>0</v>
      </c>
      <c r="H51" s="234"/>
      <c r="I51" s="234"/>
      <c r="J51" s="23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8"/>
      <c r="B52" s="29"/>
      <c r="C52" s="33"/>
      <c r="D52" s="45"/>
      <c r="F52" s="232"/>
      <c r="G52" s="236"/>
      <c r="H52" s="237"/>
      <c r="I52" s="237"/>
      <c r="J52" s="23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21DE8-261D-4456-91A8-E216D4EACED6}">
  <dimension ref="A1:R59"/>
  <sheetViews>
    <sheetView zoomScaleNormal="100" zoomScaleSheetLayoutView="85" workbookViewId="0">
      <selection activeCell="M31" sqref="M3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0" t="s">
        <v>1</v>
      </c>
      <c r="O1" s="110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1" t="s">
        <v>7</v>
      </c>
      <c r="B4" s="112"/>
      <c r="C4" s="112"/>
      <c r="D4" s="113"/>
      <c r="F4" s="114" t="s">
        <v>8</v>
      </c>
      <c r="G4" s="116">
        <v>3</v>
      </c>
      <c r="H4" s="118" t="s">
        <v>9</v>
      </c>
      <c r="I4" s="120">
        <v>46184</v>
      </c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5"/>
      <c r="B6" s="16" t="s">
        <v>15</v>
      </c>
      <c r="C6" s="10"/>
      <c r="D6" s="13">
        <f t="shared" ref="D6:D28" si="1">C6*L6</f>
        <v>0</v>
      </c>
      <c r="F6" s="127" t="s">
        <v>16</v>
      </c>
      <c r="G6" s="129" t="s">
        <v>115</v>
      </c>
      <c r="H6" s="130"/>
      <c r="I6" s="130"/>
      <c r="J6" s="13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5"/>
      <c r="B7" s="16" t="s">
        <v>18</v>
      </c>
      <c r="C7" s="10"/>
      <c r="D7" s="13">
        <f t="shared" si="1"/>
        <v>0</v>
      </c>
      <c r="F7" s="128"/>
      <c r="G7" s="132"/>
      <c r="H7" s="133"/>
      <c r="I7" s="133"/>
      <c r="J7" s="13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5"/>
      <c r="B8" s="16" t="s">
        <v>20</v>
      </c>
      <c r="C8" s="10"/>
      <c r="D8" s="13">
        <f t="shared" si="1"/>
        <v>0</v>
      </c>
      <c r="F8" s="135" t="s">
        <v>21</v>
      </c>
      <c r="G8" s="137" t="s">
        <v>109</v>
      </c>
      <c r="H8" s="138"/>
      <c r="I8" s="138"/>
      <c r="J8" s="1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5"/>
      <c r="B9" s="16" t="s">
        <v>23</v>
      </c>
      <c r="C9" s="10"/>
      <c r="D9" s="13">
        <f t="shared" si="1"/>
        <v>0</v>
      </c>
      <c r="F9" s="128"/>
      <c r="G9" s="140"/>
      <c r="H9" s="141"/>
      <c r="I9" s="141"/>
      <c r="J9" s="1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5"/>
      <c r="B10" t="s">
        <v>25</v>
      </c>
      <c r="C10" s="10"/>
      <c r="D10" s="13">
        <f t="shared" si="1"/>
        <v>0</v>
      </c>
      <c r="F10" s="127" t="s">
        <v>26</v>
      </c>
      <c r="G10" s="143" t="s">
        <v>121</v>
      </c>
      <c r="H10" s="144"/>
      <c r="I10" s="144"/>
      <c r="J10" s="145"/>
      <c r="K10" s="8"/>
      <c r="L10" s="6">
        <f>R36</f>
        <v>1032</v>
      </c>
      <c r="P10" s="4"/>
      <c r="Q10" s="4"/>
      <c r="R10" s="5"/>
    </row>
    <row r="11" spans="1:18" ht="15.75" x14ac:dyDescent="0.25">
      <c r="A11" s="125"/>
      <c r="B11" s="17" t="s">
        <v>28</v>
      </c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5"/>
      <c r="B12" s="17" t="s">
        <v>30</v>
      </c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5"/>
      <c r="B13" s="17" t="s">
        <v>32</v>
      </c>
      <c r="C13" s="10"/>
      <c r="D13" s="48">
        <f t="shared" si="1"/>
        <v>0</v>
      </c>
      <c r="F13" s="149" t="s">
        <v>36</v>
      </c>
      <c r="G13" s="150"/>
      <c r="H13" s="151">
        <f>D29</f>
        <v>0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5"/>
      <c r="B14" s="14" t="s">
        <v>35</v>
      </c>
      <c r="C14" s="10"/>
      <c r="D14" s="31">
        <f t="shared" si="1"/>
        <v>0</v>
      </c>
      <c r="F14" s="154" t="s">
        <v>38</v>
      </c>
      <c r="G14" s="155"/>
      <c r="H14" s="156">
        <f>D54</f>
        <v>0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5"/>
      <c r="B15" s="14" t="s">
        <v>119</v>
      </c>
      <c r="C15" s="10"/>
      <c r="D15" s="31">
        <f t="shared" si="1"/>
        <v>0</v>
      </c>
      <c r="F15" s="159" t="s">
        <v>39</v>
      </c>
      <c r="G15" s="150"/>
      <c r="H15" s="160">
        <f>H13-H14</f>
        <v>0</v>
      </c>
      <c r="I15" s="161"/>
      <c r="J15" s="16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3"/>
      <c r="I16" s="163"/>
      <c r="J16" s="16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9"/>
      <c r="I19" s="249"/>
      <c r="J19" s="2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5"/>
      <c r="B22" s="46" t="s">
        <v>103</v>
      </c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 t="s">
        <v>118</v>
      </c>
      <c r="C23" s="10"/>
      <c r="D23" s="48">
        <f t="shared" si="1"/>
        <v>0</v>
      </c>
      <c r="F23" s="77"/>
      <c r="G23" s="78"/>
      <c r="H23" s="250"/>
      <c r="I23" s="186"/>
      <c r="J23" s="1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 t="s">
        <v>125</v>
      </c>
      <c r="C24" s="10"/>
      <c r="D24" s="48">
        <f t="shared" si="1"/>
        <v>0</v>
      </c>
      <c r="F24" s="38"/>
      <c r="G24" s="37"/>
      <c r="H24" s="187"/>
      <c r="I24" s="188"/>
      <c r="J24" s="1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 t="s">
        <v>126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5"/>
      <c r="B27" s="14" t="s">
        <v>127</v>
      </c>
      <c r="C27" s="10"/>
      <c r="D27" s="44">
        <f t="shared" si="1"/>
        <v>0</v>
      </c>
      <c r="F27" s="25"/>
      <c r="G27" s="79"/>
      <c r="H27" s="195"/>
      <c r="I27" s="196"/>
      <c r="J27" s="19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 t="s">
        <v>92</v>
      </c>
      <c r="C28" s="10"/>
      <c r="D28" s="48">
        <f t="shared" si="1"/>
        <v>0</v>
      </c>
      <c r="F28" s="104"/>
      <c r="G28" s="61"/>
      <c r="H28" s="198"/>
      <c r="I28" s="199"/>
      <c r="J28" s="20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4" t="s">
        <v>36</v>
      </c>
      <c r="B29" s="165"/>
      <c r="C29" s="166"/>
      <c r="D29" s="170">
        <f>SUM(D6:D28)</f>
        <v>0</v>
      </c>
      <c r="F29" s="172" t="s">
        <v>54</v>
      </c>
      <c r="G29" s="173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4">
        <f>F34*G34</f>
        <v>0</v>
      </c>
      <c r="I34" s="205"/>
      <c r="J34" s="20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/>
      <c r="H35" s="204">
        <f>F35*G35</f>
        <v>0</v>
      </c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>
        <f t="shared" ref="H36:H39" si="2">F36*G36</f>
        <v>0</v>
      </c>
      <c r="I36" s="205"/>
      <c r="J36" s="20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4">
        <f t="shared" si="2"/>
        <v>0</v>
      </c>
      <c r="I37" s="205"/>
      <c r="J37" s="20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5"/>
      <c r="B38" s="29" t="s">
        <v>67</v>
      </c>
      <c r="C38" s="54"/>
      <c r="D38" s="12">
        <f>C38*84</f>
        <v>0</v>
      </c>
      <c r="F38" s="30">
        <v>50</v>
      </c>
      <c r="G38" s="39"/>
      <c r="H38" s="204">
        <f t="shared" si="2"/>
        <v>0</v>
      </c>
      <c r="I38" s="205"/>
      <c r="J38" s="20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/>
      <c r="H39" s="204">
        <f t="shared" si="2"/>
        <v>0</v>
      </c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4"/>
      <c r="I40" s="205"/>
      <c r="J40" s="20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/>
      <c r="H42" s="205"/>
      <c r="I42" s="205"/>
      <c r="J42" s="20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106" t="s">
        <v>82</v>
      </c>
      <c r="H43" s="210" t="s">
        <v>13</v>
      </c>
      <c r="I43" s="211"/>
      <c r="J43" s="21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/>
      <c r="G44" s="75"/>
      <c r="H44" s="188"/>
      <c r="I44" s="188"/>
      <c r="J44" s="18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75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0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/>
      <c r="D48" s="12">
        <f>C48*78</f>
        <v>0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/>
      <c r="D50" s="12">
        <f>C50*1.5</f>
        <v>0</v>
      </c>
      <c r="F50" s="230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113</v>
      </c>
      <c r="G51" s="233">
        <f>G49-H29</f>
        <v>0</v>
      </c>
      <c r="H51" s="234"/>
      <c r="I51" s="234"/>
      <c r="J51" s="23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8"/>
      <c r="B52" s="29"/>
      <c r="C52" s="33"/>
      <c r="D52" s="45"/>
      <c r="F52" s="232"/>
      <c r="G52" s="236"/>
      <c r="H52" s="237"/>
      <c r="I52" s="237"/>
      <c r="J52" s="23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5A8CC-3D34-4E5F-A9F4-65A17F0BD4A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0" t="s">
        <v>1</v>
      </c>
      <c r="O1" s="110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1" t="s">
        <v>7</v>
      </c>
      <c r="B4" s="112"/>
      <c r="C4" s="112"/>
      <c r="D4" s="113"/>
      <c r="F4" s="114" t="s">
        <v>8</v>
      </c>
      <c r="G4" s="116"/>
      <c r="H4" s="118" t="s">
        <v>9</v>
      </c>
      <c r="I4" s="120"/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5"/>
      <c r="B6" s="16"/>
      <c r="C6" s="10"/>
      <c r="D6" s="13">
        <f t="shared" ref="D6:D28" si="1">C6*L6</f>
        <v>0</v>
      </c>
      <c r="F6" s="127" t="s">
        <v>16</v>
      </c>
      <c r="G6" s="129"/>
      <c r="H6" s="130"/>
      <c r="I6" s="130"/>
      <c r="J6" s="1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5"/>
      <c r="B7" s="16"/>
      <c r="C7" s="10"/>
      <c r="D7" s="13">
        <f t="shared" si="1"/>
        <v>0</v>
      </c>
      <c r="F7" s="128"/>
      <c r="G7" s="132"/>
      <c r="H7" s="133"/>
      <c r="I7" s="133"/>
      <c r="J7" s="13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5"/>
      <c r="B8" s="16"/>
      <c r="C8" s="10"/>
      <c r="D8" s="13">
        <f t="shared" si="1"/>
        <v>0</v>
      </c>
      <c r="F8" s="135" t="s">
        <v>21</v>
      </c>
      <c r="G8" s="137"/>
      <c r="H8" s="138"/>
      <c r="I8" s="138"/>
      <c r="J8" s="1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5"/>
      <c r="B9" s="16"/>
      <c r="C9" s="10"/>
      <c r="D9" s="13">
        <f t="shared" si="1"/>
        <v>0</v>
      </c>
      <c r="F9" s="128"/>
      <c r="G9" s="140"/>
      <c r="H9" s="141"/>
      <c r="I9" s="141"/>
      <c r="J9" s="1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5"/>
      <c r="C10" s="10"/>
      <c r="D10" s="13">
        <f t="shared" si="1"/>
        <v>0</v>
      </c>
      <c r="F10" s="127" t="s">
        <v>26</v>
      </c>
      <c r="G10" s="143"/>
      <c r="H10" s="144"/>
      <c r="I10" s="144"/>
      <c r="J10" s="145"/>
      <c r="K10" s="8"/>
      <c r="L10" s="6">
        <f>R36</f>
        <v>972</v>
      </c>
      <c r="P10" s="4"/>
      <c r="Q10" s="4"/>
      <c r="R10" s="5"/>
    </row>
    <row r="11" spans="1:19" ht="15.75" x14ac:dyDescent="0.25">
      <c r="A11" s="125"/>
      <c r="B11" s="17"/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5"/>
      <c r="B12" s="17"/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5"/>
      <c r="B13" s="17"/>
      <c r="C13" s="10"/>
      <c r="D13" s="48">
        <f t="shared" si="1"/>
        <v>0</v>
      </c>
      <c r="F13" s="149" t="s">
        <v>36</v>
      </c>
      <c r="G13" s="150"/>
      <c r="H13" s="151">
        <f>D29</f>
        <v>0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5"/>
      <c r="B14" s="14"/>
      <c r="C14" s="10"/>
      <c r="D14" s="31">
        <f t="shared" si="1"/>
        <v>0</v>
      </c>
      <c r="F14" s="154" t="s">
        <v>38</v>
      </c>
      <c r="G14" s="155"/>
      <c r="H14" s="156">
        <f>D54</f>
        <v>0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5"/>
      <c r="B15" s="14"/>
      <c r="C15" s="10"/>
      <c r="D15" s="31">
        <f t="shared" si="1"/>
        <v>0</v>
      </c>
      <c r="F15" s="159" t="s">
        <v>39</v>
      </c>
      <c r="G15" s="150"/>
      <c r="H15" s="160">
        <f>H13-H14</f>
        <v>0</v>
      </c>
      <c r="I15" s="161"/>
      <c r="J15" s="16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3"/>
      <c r="I16" s="163"/>
      <c r="J16" s="16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19"/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14"/>
      <c r="C19" s="10"/>
      <c r="D19" s="48">
        <f t="shared" si="1"/>
        <v>0</v>
      </c>
      <c r="F19" s="56"/>
      <c r="G19" s="68" t="s">
        <v>49</v>
      </c>
      <c r="H19" s="182"/>
      <c r="I19" s="182"/>
      <c r="J19" s="18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5"/>
      <c r="B20" s="46"/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5"/>
      <c r="B22" s="46"/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/>
      <c r="C23" s="10"/>
      <c r="D23" s="48">
        <f t="shared" si="1"/>
        <v>0</v>
      </c>
      <c r="F23" s="77"/>
      <c r="G23" s="78"/>
      <c r="H23" s="187"/>
      <c r="I23" s="188"/>
      <c r="J23" s="18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/>
      <c r="C24" s="10"/>
      <c r="D24" s="48">
        <f t="shared" si="1"/>
        <v>0</v>
      </c>
      <c r="F24" s="38"/>
      <c r="G24" s="37"/>
      <c r="H24" s="187"/>
      <c r="I24" s="188"/>
      <c r="J24" s="18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5"/>
      <c r="B27" s="14"/>
      <c r="C27" s="10"/>
      <c r="D27" s="44">
        <f t="shared" si="1"/>
        <v>0</v>
      </c>
      <c r="F27" s="25"/>
      <c r="G27" s="79"/>
      <c r="H27" s="195"/>
      <c r="I27" s="196"/>
      <c r="J27" s="19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/>
      <c r="C28" s="10"/>
      <c r="D28" s="48">
        <f t="shared" si="1"/>
        <v>0</v>
      </c>
      <c r="F28" s="104"/>
      <c r="G28" s="61"/>
      <c r="H28" s="198"/>
      <c r="I28" s="199"/>
      <c r="J28" s="20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4" t="s">
        <v>36</v>
      </c>
      <c r="B29" s="165"/>
      <c r="C29" s="166"/>
      <c r="D29" s="170">
        <f>SUM(D6:D28)</f>
        <v>0</v>
      </c>
      <c r="F29" s="172" t="s">
        <v>54</v>
      </c>
      <c r="G29" s="173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4"/>
      <c r="I34" s="205"/>
      <c r="J34" s="20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/>
      <c r="H35" s="204"/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/>
      <c r="I36" s="205"/>
      <c r="J36" s="20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4"/>
      <c r="I37" s="205"/>
      <c r="J37" s="20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5"/>
      <c r="B38" s="29" t="s">
        <v>67</v>
      </c>
      <c r="C38" s="54"/>
      <c r="D38" s="12">
        <f>C38*84</f>
        <v>0</v>
      </c>
      <c r="F38" s="30">
        <v>50</v>
      </c>
      <c r="G38" s="39"/>
      <c r="H38" s="204"/>
      <c r="I38" s="205"/>
      <c r="J38" s="20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/>
      <c r="H39" s="204"/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4"/>
      <c r="I40" s="205"/>
      <c r="J40" s="20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/>
      <c r="H42" s="205"/>
      <c r="I42" s="205"/>
      <c r="J42" s="20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106" t="s">
        <v>82</v>
      </c>
      <c r="H43" s="210" t="s">
        <v>13</v>
      </c>
      <c r="I43" s="211"/>
      <c r="J43" s="212"/>
      <c r="K43" s="21"/>
      <c r="P43" s="4"/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/>
      <c r="G44" s="75"/>
      <c r="H44" s="188"/>
      <c r="I44" s="188"/>
      <c r="J44" s="188"/>
      <c r="K44" s="21"/>
      <c r="P44" s="4"/>
      <c r="Q44" s="4"/>
      <c r="R44" s="5"/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75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0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/>
      <c r="D48" s="12">
        <f>C48*78</f>
        <v>0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/>
      <c r="D50" s="12">
        <f>C50*1.5</f>
        <v>0</v>
      </c>
      <c r="F50" s="230"/>
      <c r="G50" s="179"/>
      <c r="H50" s="180"/>
      <c r="I50" s="180"/>
      <c r="J50" s="181"/>
      <c r="P50" s="4"/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106</v>
      </c>
      <c r="G51" s="233">
        <f>G49-H29</f>
        <v>0</v>
      </c>
      <c r="H51" s="234"/>
      <c r="I51" s="234"/>
      <c r="J51" s="23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8"/>
      <c r="B52" s="29"/>
      <c r="C52" s="33"/>
      <c r="D52" s="45"/>
      <c r="F52" s="232"/>
      <c r="G52" s="236"/>
      <c r="H52" s="237"/>
      <c r="I52" s="237"/>
      <c r="J52" s="23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0</v>
      </c>
      <c r="F54" s="21"/>
      <c r="J54" s="34"/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AFE3C-D593-4EA9-AC6D-5D0BDC7FCD74}">
  <dimension ref="A1:R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0" t="s">
        <v>1</v>
      </c>
      <c r="O1" s="110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1" t="s">
        <v>7</v>
      </c>
      <c r="B4" s="112"/>
      <c r="C4" s="112"/>
      <c r="D4" s="113"/>
      <c r="F4" s="114" t="s">
        <v>8</v>
      </c>
      <c r="G4" s="116">
        <v>1</v>
      </c>
      <c r="H4" s="118" t="s">
        <v>9</v>
      </c>
      <c r="I4" s="120">
        <v>46185</v>
      </c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5"/>
      <c r="B6" s="16" t="s">
        <v>15</v>
      </c>
      <c r="C6" s="10"/>
      <c r="D6" s="13">
        <f t="shared" ref="D6:D28" si="1">C6*L6</f>
        <v>0</v>
      </c>
      <c r="F6" s="127" t="s">
        <v>16</v>
      </c>
      <c r="G6" s="129" t="s">
        <v>99</v>
      </c>
      <c r="H6" s="130"/>
      <c r="I6" s="130"/>
      <c r="J6" s="13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5"/>
      <c r="B7" s="16" t="s">
        <v>18</v>
      </c>
      <c r="C7" s="10"/>
      <c r="D7" s="13">
        <f t="shared" si="1"/>
        <v>0</v>
      </c>
      <c r="F7" s="128"/>
      <c r="G7" s="132"/>
      <c r="H7" s="133"/>
      <c r="I7" s="133"/>
      <c r="J7" s="13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5"/>
      <c r="B8" s="16" t="s">
        <v>20</v>
      </c>
      <c r="C8" s="10"/>
      <c r="D8" s="13">
        <f t="shared" si="1"/>
        <v>0</v>
      </c>
      <c r="F8" s="135" t="s">
        <v>21</v>
      </c>
      <c r="G8" s="137" t="s">
        <v>117</v>
      </c>
      <c r="H8" s="138"/>
      <c r="I8" s="138"/>
      <c r="J8" s="1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5"/>
      <c r="B9" s="16" t="s">
        <v>23</v>
      </c>
      <c r="C9" s="10"/>
      <c r="D9" s="13">
        <f t="shared" si="1"/>
        <v>0</v>
      </c>
      <c r="F9" s="128"/>
      <c r="G9" s="140"/>
      <c r="H9" s="141"/>
      <c r="I9" s="141"/>
      <c r="J9" s="1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5"/>
      <c r="B10" t="s">
        <v>25</v>
      </c>
      <c r="C10" s="10"/>
      <c r="D10" s="13">
        <f t="shared" si="1"/>
        <v>0</v>
      </c>
      <c r="F10" s="127" t="s">
        <v>26</v>
      </c>
      <c r="G10" s="143" t="s">
        <v>108</v>
      </c>
      <c r="H10" s="144"/>
      <c r="I10" s="144"/>
      <c r="J10" s="145"/>
      <c r="K10" s="8"/>
      <c r="L10" s="6">
        <f>R36</f>
        <v>1032</v>
      </c>
      <c r="P10" s="4"/>
      <c r="Q10" s="4"/>
      <c r="R10" s="5"/>
    </row>
    <row r="11" spans="1:18" ht="15.75" x14ac:dyDescent="0.25">
      <c r="A11" s="125"/>
      <c r="B11" s="17" t="s">
        <v>28</v>
      </c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5"/>
      <c r="B12" s="17" t="s">
        <v>30</v>
      </c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5"/>
      <c r="B13" s="17" t="s">
        <v>32</v>
      </c>
      <c r="C13" s="10"/>
      <c r="D13" s="48">
        <f t="shared" si="1"/>
        <v>0</v>
      </c>
      <c r="F13" s="149" t="s">
        <v>36</v>
      </c>
      <c r="G13" s="150"/>
      <c r="H13" s="151">
        <f>D29</f>
        <v>0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5"/>
      <c r="B14" s="14" t="s">
        <v>35</v>
      </c>
      <c r="C14" s="10"/>
      <c r="D14" s="31">
        <f t="shared" si="1"/>
        <v>0</v>
      </c>
      <c r="F14" s="154" t="s">
        <v>38</v>
      </c>
      <c r="G14" s="155"/>
      <c r="H14" s="156">
        <f>D54</f>
        <v>0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5"/>
      <c r="B15" s="14" t="s">
        <v>119</v>
      </c>
      <c r="C15" s="10"/>
      <c r="D15" s="31">
        <f t="shared" si="1"/>
        <v>0</v>
      </c>
      <c r="F15" s="159" t="s">
        <v>39</v>
      </c>
      <c r="G15" s="150"/>
      <c r="H15" s="160">
        <f>H13-H14</f>
        <v>0</v>
      </c>
      <c r="I15" s="161"/>
      <c r="J15" s="16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3"/>
      <c r="I16" s="163"/>
      <c r="J16" s="16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3"/>
      <c r="I19" s="163"/>
      <c r="J19" s="1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5"/>
      <c r="B22" s="46" t="s">
        <v>103</v>
      </c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 t="s">
        <v>118</v>
      </c>
      <c r="C23" s="10"/>
      <c r="D23" s="48">
        <f t="shared" si="1"/>
        <v>0</v>
      </c>
      <c r="F23" s="76"/>
      <c r="G23" s="78"/>
      <c r="H23" s="245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 t="s">
        <v>125</v>
      </c>
      <c r="C24" s="10"/>
      <c r="D24" s="48">
        <f t="shared" si="1"/>
        <v>0</v>
      </c>
      <c r="F24" s="76"/>
      <c r="G24" s="78"/>
      <c r="H24" s="245"/>
      <c r="I24" s="246"/>
      <c r="J24" s="24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 t="s">
        <v>126</v>
      </c>
      <c r="C26" s="10"/>
      <c r="D26" s="48">
        <f t="shared" si="1"/>
        <v>0</v>
      </c>
      <c r="F26" s="74"/>
      <c r="G26" s="65"/>
      <c r="H26" s="188"/>
      <c r="I26" s="188"/>
      <c r="J26" s="18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5"/>
      <c r="B27" s="14" t="s">
        <v>127</v>
      </c>
      <c r="C27" s="10"/>
      <c r="D27" s="44">
        <f t="shared" si="1"/>
        <v>0</v>
      </c>
      <c r="F27" s="71"/>
      <c r="G27" s="106"/>
      <c r="H27" s="247"/>
      <c r="I27" s="248"/>
      <c r="J27" s="24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 t="s">
        <v>92</v>
      </c>
      <c r="C28" s="10"/>
      <c r="D28" s="48">
        <f t="shared" si="1"/>
        <v>0</v>
      </c>
      <c r="F28" s="104"/>
      <c r="G28" s="61"/>
      <c r="H28" s="198"/>
      <c r="I28" s="199"/>
      <c r="J28" s="20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4" t="s">
        <v>36</v>
      </c>
      <c r="B29" s="165"/>
      <c r="C29" s="166"/>
      <c r="D29" s="170">
        <f>SUM(D6:D28)</f>
        <v>0</v>
      </c>
      <c r="F29" s="172" t="s">
        <v>54</v>
      </c>
      <c r="G29" s="173"/>
      <c r="H29" s="176">
        <f>H15-H16-H17-H18-H19-H20-H22-H23-H24+H26+H27+H28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4">
        <f t="shared" ref="H34:H39" si="2">F34*G34</f>
        <v>0</v>
      </c>
      <c r="I34" s="205"/>
      <c r="J34" s="20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/>
      <c r="H35" s="204">
        <f t="shared" si="2"/>
        <v>0</v>
      </c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>
        <f t="shared" si="2"/>
        <v>0</v>
      </c>
      <c r="I36" s="205"/>
      <c r="J36" s="20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4">
        <f t="shared" si="2"/>
        <v>0</v>
      </c>
      <c r="I37" s="205"/>
      <c r="J37" s="20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5"/>
      <c r="B38" s="29" t="s">
        <v>67</v>
      </c>
      <c r="C38" s="54"/>
      <c r="D38" s="12">
        <f>C38*84</f>
        <v>0</v>
      </c>
      <c r="F38" s="30">
        <v>50</v>
      </c>
      <c r="G38" s="39"/>
      <c r="H38" s="204">
        <f t="shared" si="2"/>
        <v>0</v>
      </c>
      <c r="I38" s="205"/>
      <c r="J38" s="20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/>
      <c r="H39" s="204">
        <f t="shared" si="2"/>
        <v>0</v>
      </c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4"/>
      <c r="I40" s="205"/>
      <c r="J40" s="20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/>
      <c r="H42" s="205"/>
      <c r="I42" s="205"/>
      <c r="J42" s="20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106" t="s">
        <v>82</v>
      </c>
      <c r="H43" s="210" t="s">
        <v>13</v>
      </c>
      <c r="I43" s="211"/>
      <c r="J43" s="21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/>
      <c r="G44" s="62"/>
      <c r="H44" s="188"/>
      <c r="I44" s="188"/>
      <c r="J44" s="18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62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0"/>
      <c r="D46" s="12">
        <f>C46*1.5</f>
        <v>0</v>
      </c>
      <c r="F46" s="37"/>
      <c r="G46" s="62"/>
      <c r="H46" s="188"/>
      <c r="I46" s="188"/>
      <c r="J46" s="188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/>
      <c r="D48" s="12">
        <f>C48*78</f>
        <v>0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/>
      <c r="D50" s="12">
        <f>C50*1.5</f>
        <v>0</v>
      </c>
      <c r="F50" s="230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129</v>
      </c>
      <c r="G51" s="251">
        <f>G49-H29</f>
        <v>0</v>
      </c>
      <c r="H51" s="252"/>
      <c r="I51" s="252"/>
      <c r="J51" s="2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8"/>
      <c r="B52" s="29"/>
      <c r="C52" s="33"/>
      <c r="D52" s="45"/>
      <c r="F52" s="232"/>
      <c r="G52" s="254"/>
      <c r="H52" s="255"/>
      <c r="I52" s="255"/>
      <c r="J52" s="2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E2A24-9CEE-4C26-84A2-5D6F37E644CA}">
  <dimension ref="A1:R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0" t="s">
        <v>1</v>
      </c>
      <c r="O1" s="110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1" t="s">
        <v>7</v>
      </c>
      <c r="B4" s="112"/>
      <c r="C4" s="112"/>
      <c r="D4" s="113"/>
      <c r="F4" s="114" t="s">
        <v>8</v>
      </c>
      <c r="G4" s="116">
        <v>2</v>
      </c>
      <c r="H4" s="118" t="s">
        <v>9</v>
      </c>
      <c r="I4" s="120">
        <v>46185</v>
      </c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5"/>
      <c r="B6" s="16" t="s">
        <v>15</v>
      </c>
      <c r="C6" s="10"/>
      <c r="D6" s="13">
        <f t="shared" ref="D6:D28" si="1">C6*L6</f>
        <v>0</v>
      </c>
      <c r="F6" s="127" t="s">
        <v>16</v>
      </c>
      <c r="G6" s="129" t="s">
        <v>107</v>
      </c>
      <c r="H6" s="130"/>
      <c r="I6" s="130"/>
      <c r="J6" s="13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5"/>
      <c r="B7" s="16" t="s">
        <v>18</v>
      </c>
      <c r="C7" s="10"/>
      <c r="D7" s="13">
        <f t="shared" si="1"/>
        <v>0</v>
      </c>
      <c r="F7" s="128"/>
      <c r="G7" s="132"/>
      <c r="H7" s="133"/>
      <c r="I7" s="133"/>
      <c r="J7" s="13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5"/>
      <c r="B8" s="16" t="s">
        <v>20</v>
      </c>
      <c r="C8" s="10"/>
      <c r="D8" s="13">
        <f t="shared" si="1"/>
        <v>0</v>
      </c>
      <c r="F8" s="135" t="s">
        <v>21</v>
      </c>
      <c r="G8" s="137" t="s">
        <v>100</v>
      </c>
      <c r="H8" s="138"/>
      <c r="I8" s="138"/>
      <c r="J8" s="1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5"/>
      <c r="B9" s="16" t="s">
        <v>23</v>
      </c>
      <c r="C9" s="10"/>
      <c r="D9" s="13">
        <f t="shared" si="1"/>
        <v>0</v>
      </c>
      <c r="F9" s="128"/>
      <c r="G9" s="140"/>
      <c r="H9" s="141"/>
      <c r="I9" s="141"/>
      <c r="J9" s="1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5"/>
      <c r="B10" t="s">
        <v>25</v>
      </c>
      <c r="C10" s="10"/>
      <c r="D10" s="13">
        <f t="shared" si="1"/>
        <v>0</v>
      </c>
      <c r="F10" s="127" t="s">
        <v>26</v>
      </c>
      <c r="G10" s="143" t="s">
        <v>101</v>
      </c>
      <c r="H10" s="144"/>
      <c r="I10" s="144"/>
      <c r="J10" s="145"/>
      <c r="K10" s="8"/>
      <c r="L10" s="6">
        <f>R36</f>
        <v>1032</v>
      </c>
      <c r="P10" s="4"/>
      <c r="Q10" s="4"/>
      <c r="R10" s="5"/>
    </row>
    <row r="11" spans="1:18" ht="15.75" x14ac:dyDescent="0.25">
      <c r="A11" s="125"/>
      <c r="B11" s="17" t="s">
        <v>28</v>
      </c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5"/>
      <c r="B12" s="17" t="s">
        <v>30</v>
      </c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5"/>
      <c r="B13" s="17" t="s">
        <v>32</v>
      </c>
      <c r="C13" s="10"/>
      <c r="D13" s="48">
        <f t="shared" si="1"/>
        <v>0</v>
      </c>
      <c r="F13" s="149" t="s">
        <v>36</v>
      </c>
      <c r="G13" s="150"/>
      <c r="H13" s="151">
        <f>D29</f>
        <v>0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5"/>
      <c r="B14" s="14" t="s">
        <v>35</v>
      </c>
      <c r="C14" s="10"/>
      <c r="D14" s="31">
        <f t="shared" si="1"/>
        <v>0</v>
      </c>
      <c r="F14" s="154" t="s">
        <v>38</v>
      </c>
      <c r="G14" s="155"/>
      <c r="H14" s="156">
        <f>D54</f>
        <v>0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5"/>
      <c r="B15" s="14" t="s">
        <v>119</v>
      </c>
      <c r="C15" s="10"/>
      <c r="D15" s="31">
        <f t="shared" si="1"/>
        <v>0</v>
      </c>
      <c r="F15" s="159" t="s">
        <v>39</v>
      </c>
      <c r="G15" s="150"/>
      <c r="H15" s="160">
        <f>H13-H14</f>
        <v>0</v>
      </c>
      <c r="I15" s="161"/>
      <c r="J15" s="16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3"/>
      <c r="I16" s="163"/>
      <c r="J16" s="16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9"/>
      <c r="I19" s="249"/>
      <c r="J19" s="2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5"/>
      <c r="B22" s="46" t="s">
        <v>103</v>
      </c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 t="s">
        <v>118</v>
      </c>
      <c r="C23" s="10"/>
      <c r="D23" s="48">
        <f t="shared" si="1"/>
        <v>0</v>
      </c>
      <c r="F23" s="77"/>
      <c r="G23" s="78"/>
      <c r="H23" s="250"/>
      <c r="I23" s="186"/>
      <c r="J23" s="1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 t="s">
        <v>125</v>
      </c>
      <c r="C24" s="10"/>
      <c r="D24" s="48">
        <f t="shared" si="1"/>
        <v>0</v>
      </c>
      <c r="F24" s="38"/>
      <c r="G24" s="37"/>
      <c r="H24" s="187"/>
      <c r="I24" s="188"/>
      <c r="J24" s="1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 t="s">
        <v>126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5"/>
      <c r="B27" s="14" t="s">
        <v>127</v>
      </c>
      <c r="C27" s="10"/>
      <c r="D27" s="44">
        <f t="shared" si="1"/>
        <v>0</v>
      </c>
      <c r="F27" s="25"/>
      <c r="G27" s="79"/>
      <c r="H27" s="195"/>
      <c r="I27" s="196"/>
      <c r="J27" s="19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 t="s">
        <v>92</v>
      </c>
      <c r="C28" s="10"/>
      <c r="D28" s="48">
        <f t="shared" si="1"/>
        <v>0</v>
      </c>
      <c r="F28" s="104"/>
      <c r="G28" s="61"/>
      <c r="H28" s="198"/>
      <c r="I28" s="199"/>
      <c r="J28" s="20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4" t="s">
        <v>36</v>
      </c>
      <c r="B29" s="165"/>
      <c r="C29" s="166"/>
      <c r="D29" s="170">
        <f>SUM(D6:D28)</f>
        <v>0</v>
      </c>
      <c r="F29" s="172" t="s">
        <v>54</v>
      </c>
      <c r="G29" s="173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4">
        <f>F34*G34</f>
        <v>0</v>
      </c>
      <c r="I34" s="205"/>
      <c r="J34" s="20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/>
      <c r="H35" s="204">
        <f>F35*G35</f>
        <v>0</v>
      </c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>
        <f t="shared" ref="H36:H39" si="2">F36*G36</f>
        <v>0</v>
      </c>
      <c r="I36" s="205"/>
      <c r="J36" s="20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4">
        <f t="shared" si="2"/>
        <v>0</v>
      </c>
      <c r="I37" s="205"/>
      <c r="J37" s="20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5"/>
      <c r="B38" s="29" t="s">
        <v>67</v>
      </c>
      <c r="C38" s="54"/>
      <c r="D38" s="12">
        <f>C38*84</f>
        <v>0</v>
      </c>
      <c r="F38" s="30">
        <v>50</v>
      </c>
      <c r="G38" s="39"/>
      <c r="H38" s="204">
        <f t="shared" si="2"/>
        <v>0</v>
      </c>
      <c r="I38" s="205"/>
      <c r="J38" s="20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/>
      <c r="H39" s="204">
        <f t="shared" si="2"/>
        <v>0</v>
      </c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4"/>
      <c r="I40" s="205"/>
      <c r="J40" s="20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/>
      <c r="H42" s="205"/>
      <c r="I42" s="205"/>
      <c r="J42" s="20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106" t="s">
        <v>82</v>
      </c>
      <c r="H43" s="210" t="s">
        <v>13</v>
      </c>
      <c r="I43" s="211"/>
      <c r="J43" s="21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/>
      <c r="G44" s="75"/>
      <c r="H44" s="188"/>
      <c r="I44" s="188"/>
      <c r="J44" s="18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75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0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/>
      <c r="D48" s="12">
        <f>C48*78</f>
        <v>0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80"/>
      <c r="D50" s="12">
        <f>C50*1.5</f>
        <v>0</v>
      </c>
      <c r="F50" s="230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113</v>
      </c>
      <c r="G51" s="233">
        <f>G49-H29</f>
        <v>0</v>
      </c>
      <c r="H51" s="234"/>
      <c r="I51" s="234"/>
      <c r="J51" s="23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8"/>
      <c r="B52" s="29"/>
      <c r="C52" s="33"/>
      <c r="D52" s="45"/>
      <c r="F52" s="232"/>
      <c r="G52" s="236"/>
      <c r="H52" s="237"/>
      <c r="I52" s="237"/>
      <c r="J52" s="23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8BC48-0951-457B-B2CA-8BB17711EB73}">
  <dimension ref="A1:R59"/>
  <sheetViews>
    <sheetView zoomScaleNormal="100" zoomScaleSheetLayoutView="85" workbookViewId="0">
      <selection activeCell="N28" sqref="N28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0" t="s">
        <v>1</v>
      </c>
      <c r="O1" s="110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1" t="s">
        <v>7</v>
      </c>
      <c r="B4" s="112"/>
      <c r="C4" s="112"/>
      <c r="D4" s="113"/>
      <c r="F4" s="114" t="s">
        <v>8</v>
      </c>
      <c r="G4" s="116">
        <v>3</v>
      </c>
      <c r="H4" s="118" t="s">
        <v>9</v>
      </c>
      <c r="I4" s="120">
        <v>46185</v>
      </c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5"/>
      <c r="B6" s="16" t="s">
        <v>15</v>
      </c>
      <c r="C6" s="10"/>
      <c r="D6" s="13">
        <f t="shared" ref="D6:D28" si="1">C6*L6</f>
        <v>0</v>
      </c>
      <c r="F6" s="127" t="s">
        <v>16</v>
      </c>
      <c r="G6" s="129" t="s">
        <v>115</v>
      </c>
      <c r="H6" s="130"/>
      <c r="I6" s="130"/>
      <c r="J6" s="13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5"/>
      <c r="B7" s="16" t="s">
        <v>18</v>
      </c>
      <c r="C7" s="10"/>
      <c r="D7" s="13">
        <f t="shared" si="1"/>
        <v>0</v>
      </c>
      <c r="F7" s="128"/>
      <c r="G7" s="132"/>
      <c r="H7" s="133"/>
      <c r="I7" s="133"/>
      <c r="J7" s="13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5"/>
      <c r="B8" s="16" t="s">
        <v>20</v>
      </c>
      <c r="C8" s="10"/>
      <c r="D8" s="13">
        <f t="shared" si="1"/>
        <v>0</v>
      </c>
      <c r="F8" s="135" t="s">
        <v>21</v>
      </c>
      <c r="G8" s="137" t="s">
        <v>109</v>
      </c>
      <c r="H8" s="138"/>
      <c r="I8" s="138"/>
      <c r="J8" s="1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5"/>
      <c r="B9" s="16" t="s">
        <v>23</v>
      </c>
      <c r="C9" s="10"/>
      <c r="D9" s="13">
        <f t="shared" si="1"/>
        <v>0</v>
      </c>
      <c r="F9" s="128"/>
      <c r="G9" s="140"/>
      <c r="H9" s="141"/>
      <c r="I9" s="141"/>
      <c r="J9" s="1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5"/>
      <c r="B10" t="s">
        <v>25</v>
      </c>
      <c r="C10" s="10"/>
      <c r="D10" s="13">
        <f t="shared" si="1"/>
        <v>0</v>
      </c>
      <c r="F10" s="127" t="s">
        <v>26</v>
      </c>
      <c r="G10" s="143" t="s">
        <v>121</v>
      </c>
      <c r="H10" s="144"/>
      <c r="I10" s="144"/>
      <c r="J10" s="145"/>
      <c r="K10" s="8"/>
      <c r="L10" s="6">
        <f>R36</f>
        <v>1032</v>
      </c>
      <c r="P10" s="4"/>
      <c r="Q10" s="4"/>
      <c r="R10" s="5"/>
    </row>
    <row r="11" spans="1:18" ht="15.75" x14ac:dyDescent="0.25">
      <c r="A11" s="125"/>
      <c r="B11" s="17" t="s">
        <v>28</v>
      </c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5"/>
      <c r="B12" s="17" t="s">
        <v>30</v>
      </c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5"/>
      <c r="B13" s="17" t="s">
        <v>32</v>
      </c>
      <c r="C13" s="10"/>
      <c r="D13" s="48">
        <f t="shared" si="1"/>
        <v>0</v>
      </c>
      <c r="F13" s="149" t="s">
        <v>36</v>
      </c>
      <c r="G13" s="150"/>
      <c r="H13" s="151">
        <f>D29</f>
        <v>0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5"/>
      <c r="B14" s="14" t="s">
        <v>35</v>
      </c>
      <c r="C14" s="10"/>
      <c r="D14" s="31">
        <f t="shared" si="1"/>
        <v>0</v>
      </c>
      <c r="F14" s="154" t="s">
        <v>38</v>
      </c>
      <c r="G14" s="155"/>
      <c r="H14" s="156">
        <f>D54</f>
        <v>0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5"/>
      <c r="B15" s="14" t="s">
        <v>119</v>
      </c>
      <c r="C15" s="10"/>
      <c r="D15" s="31">
        <f t="shared" si="1"/>
        <v>0</v>
      </c>
      <c r="F15" s="159" t="s">
        <v>39</v>
      </c>
      <c r="G15" s="150"/>
      <c r="H15" s="160">
        <f>H13-H14</f>
        <v>0</v>
      </c>
      <c r="I15" s="161"/>
      <c r="J15" s="16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3"/>
      <c r="I16" s="163"/>
      <c r="J16" s="16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9"/>
      <c r="I19" s="249"/>
      <c r="J19" s="2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5"/>
      <c r="B22" s="46" t="s">
        <v>103</v>
      </c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 t="s">
        <v>118</v>
      </c>
      <c r="C23" s="10"/>
      <c r="D23" s="48">
        <f t="shared" si="1"/>
        <v>0</v>
      </c>
      <c r="F23" s="77"/>
      <c r="G23" s="78"/>
      <c r="H23" s="250"/>
      <c r="I23" s="186"/>
      <c r="J23" s="1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 t="s">
        <v>125</v>
      </c>
      <c r="C24" s="10"/>
      <c r="D24" s="48">
        <f t="shared" si="1"/>
        <v>0</v>
      </c>
      <c r="F24" s="38"/>
      <c r="G24" s="37"/>
      <c r="H24" s="187"/>
      <c r="I24" s="188"/>
      <c r="J24" s="1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 t="s">
        <v>126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5"/>
      <c r="B27" s="14" t="s">
        <v>127</v>
      </c>
      <c r="C27" s="10"/>
      <c r="D27" s="44">
        <f t="shared" si="1"/>
        <v>0</v>
      </c>
      <c r="F27" s="25"/>
      <c r="G27" s="79"/>
      <c r="H27" s="195"/>
      <c r="I27" s="196"/>
      <c r="J27" s="19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 t="s">
        <v>92</v>
      </c>
      <c r="C28" s="10"/>
      <c r="D28" s="48">
        <f t="shared" si="1"/>
        <v>0</v>
      </c>
      <c r="F28" s="104"/>
      <c r="G28" s="61"/>
      <c r="H28" s="198"/>
      <c r="I28" s="199"/>
      <c r="J28" s="20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4" t="s">
        <v>36</v>
      </c>
      <c r="B29" s="165"/>
      <c r="C29" s="166"/>
      <c r="D29" s="170">
        <f>SUM(D6:D28)</f>
        <v>0</v>
      </c>
      <c r="F29" s="172" t="s">
        <v>54</v>
      </c>
      <c r="G29" s="173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4">
        <f>F34*G34</f>
        <v>0</v>
      </c>
      <c r="I34" s="205"/>
      <c r="J34" s="20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/>
      <c r="H35" s="204">
        <f>F35*G35</f>
        <v>0</v>
      </c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>
        <f t="shared" ref="H36:H39" si="2">F36*G36</f>
        <v>0</v>
      </c>
      <c r="I36" s="205"/>
      <c r="J36" s="20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4">
        <f t="shared" si="2"/>
        <v>0</v>
      </c>
      <c r="I37" s="205"/>
      <c r="J37" s="20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5"/>
      <c r="B38" s="29" t="s">
        <v>67</v>
      </c>
      <c r="C38" s="54"/>
      <c r="D38" s="12">
        <f>C38*84</f>
        <v>0</v>
      </c>
      <c r="F38" s="30">
        <v>50</v>
      </c>
      <c r="G38" s="39"/>
      <c r="H38" s="204">
        <f t="shared" si="2"/>
        <v>0</v>
      </c>
      <c r="I38" s="205"/>
      <c r="J38" s="20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/>
      <c r="H39" s="204">
        <f t="shared" si="2"/>
        <v>0</v>
      </c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4"/>
      <c r="I40" s="205"/>
      <c r="J40" s="20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/>
      <c r="H42" s="205"/>
      <c r="I42" s="205"/>
      <c r="J42" s="20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106" t="s">
        <v>82</v>
      </c>
      <c r="H43" s="210" t="s">
        <v>13</v>
      </c>
      <c r="I43" s="211"/>
      <c r="J43" s="21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/>
      <c r="G44" s="75"/>
      <c r="H44" s="188"/>
      <c r="I44" s="188"/>
      <c r="J44" s="18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75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0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/>
      <c r="D48" s="12">
        <f>C48*78</f>
        <v>0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/>
      <c r="D50" s="12">
        <f>C50*1.5</f>
        <v>0</v>
      </c>
      <c r="F50" s="230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113</v>
      </c>
      <c r="G51" s="233">
        <f>G49-H29</f>
        <v>0</v>
      </c>
      <c r="H51" s="234"/>
      <c r="I51" s="234"/>
      <c r="J51" s="23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8"/>
      <c r="B52" s="29"/>
      <c r="C52" s="33"/>
      <c r="D52" s="45"/>
      <c r="F52" s="232"/>
      <c r="G52" s="236"/>
      <c r="H52" s="237"/>
      <c r="I52" s="237"/>
      <c r="J52" s="23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39B67-093E-4891-82D8-448E7D763F93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0" t="s">
        <v>1</v>
      </c>
      <c r="O1" s="110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1" t="s">
        <v>7</v>
      </c>
      <c r="B4" s="112"/>
      <c r="C4" s="112"/>
      <c r="D4" s="113"/>
      <c r="F4" s="114" t="s">
        <v>8</v>
      </c>
      <c r="G4" s="116"/>
      <c r="H4" s="118" t="s">
        <v>9</v>
      </c>
      <c r="I4" s="120"/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5"/>
      <c r="B6" s="16"/>
      <c r="C6" s="10"/>
      <c r="D6" s="13">
        <f t="shared" ref="D6:D28" si="1">C6*L6</f>
        <v>0</v>
      </c>
      <c r="F6" s="127" t="s">
        <v>16</v>
      </c>
      <c r="G6" s="129"/>
      <c r="H6" s="130"/>
      <c r="I6" s="130"/>
      <c r="J6" s="1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5"/>
      <c r="B7" s="16"/>
      <c r="C7" s="10"/>
      <c r="D7" s="13">
        <f t="shared" si="1"/>
        <v>0</v>
      </c>
      <c r="F7" s="128"/>
      <c r="G7" s="132"/>
      <c r="H7" s="133"/>
      <c r="I7" s="133"/>
      <c r="J7" s="13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5"/>
      <c r="B8" s="16"/>
      <c r="C8" s="10"/>
      <c r="D8" s="13">
        <f t="shared" si="1"/>
        <v>0</v>
      </c>
      <c r="F8" s="135" t="s">
        <v>21</v>
      </c>
      <c r="G8" s="137"/>
      <c r="H8" s="138"/>
      <c r="I8" s="138"/>
      <c r="J8" s="1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5"/>
      <c r="B9" s="16"/>
      <c r="C9" s="10"/>
      <c r="D9" s="13">
        <f t="shared" si="1"/>
        <v>0</v>
      </c>
      <c r="F9" s="128"/>
      <c r="G9" s="140"/>
      <c r="H9" s="141"/>
      <c r="I9" s="141"/>
      <c r="J9" s="1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5"/>
      <c r="C10" s="10"/>
      <c r="D10" s="13">
        <f t="shared" si="1"/>
        <v>0</v>
      </c>
      <c r="F10" s="127" t="s">
        <v>26</v>
      </c>
      <c r="G10" s="143"/>
      <c r="H10" s="144"/>
      <c r="I10" s="144"/>
      <c r="J10" s="145"/>
      <c r="K10" s="8"/>
      <c r="L10" s="6">
        <f>R36</f>
        <v>972</v>
      </c>
      <c r="P10" s="4"/>
      <c r="Q10" s="4"/>
      <c r="R10" s="5"/>
    </row>
    <row r="11" spans="1:19" ht="15.75" x14ac:dyDescent="0.25">
      <c r="A11" s="125"/>
      <c r="B11" s="17"/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5"/>
      <c r="B12" s="17"/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5"/>
      <c r="B13" s="17"/>
      <c r="C13" s="10"/>
      <c r="D13" s="48">
        <f t="shared" si="1"/>
        <v>0</v>
      </c>
      <c r="F13" s="149" t="s">
        <v>36</v>
      </c>
      <c r="G13" s="150"/>
      <c r="H13" s="151">
        <f>D29</f>
        <v>0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5"/>
      <c r="B14" s="14"/>
      <c r="C14" s="10"/>
      <c r="D14" s="31">
        <f t="shared" si="1"/>
        <v>0</v>
      </c>
      <c r="F14" s="154" t="s">
        <v>38</v>
      </c>
      <c r="G14" s="155"/>
      <c r="H14" s="156">
        <f>D54</f>
        <v>0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5"/>
      <c r="B15" s="14"/>
      <c r="C15" s="10"/>
      <c r="D15" s="31">
        <f t="shared" si="1"/>
        <v>0</v>
      </c>
      <c r="F15" s="159" t="s">
        <v>39</v>
      </c>
      <c r="G15" s="150"/>
      <c r="H15" s="160">
        <f>H13-H14</f>
        <v>0</v>
      </c>
      <c r="I15" s="161"/>
      <c r="J15" s="16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3"/>
      <c r="I16" s="163"/>
      <c r="J16" s="16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19"/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14"/>
      <c r="C19" s="10"/>
      <c r="D19" s="48">
        <f t="shared" si="1"/>
        <v>0</v>
      </c>
      <c r="F19" s="56"/>
      <c r="G19" s="68" t="s">
        <v>49</v>
      </c>
      <c r="H19" s="182"/>
      <c r="I19" s="182"/>
      <c r="J19" s="18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5"/>
      <c r="B20" s="46"/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5"/>
      <c r="B22" s="46"/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/>
      <c r="C23" s="10"/>
      <c r="D23" s="48">
        <f t="shared" si="1"/>
        <v>0</v>
      </c>
      <c r="F23" s="77"/>
      <c r="G23" s="78"/>
      <c r="H23" s="187"/>
      <c r="I23" s="188"/>
      <c r="J23" s="18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/>
      <c r="C24" s="10"/>
      <c r="D24" s="48">
        <f t="shared" si="1"/>
        <v>0</v>
      </c>
      <c r="F24" s="38"/>
      <c r="G24" s="37"/>
      <c r="H24" s="187"/>
      <c r="I24" s="188"/>
      <c r="J24" s="18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5"/>
      <c r="B27" s="14"/>
      <c r="C27" s="10"/>
      <c r="D27" s="44">
        <f t="shared" si="1"/>
        <v>0</v>
      </c>
      <c r="F27" s="25"/>
      <c r="G27" s="79"/>
      <c r="H27" s="195"/>
      <c r="I27" s="196"/>
      <c r="J27" s="19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/>
      <c r="C28" s="10"/>
      <c r="D28" s="48">
        <f t="shared" si="1"/>
        <v>0</v>
      </c>
      <c r="F28" s="104"/>
      <c r="G28" s="61"/>
      <c r="H28" s="198"/>
      <c r="I28" s="199"/>
      <c r="J28" s="20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4" t="s">
        <v>36</v>
      </c>
      <c r="B29" s="165"/>
      <c r="C29" s="166"/>
      <c r="D29" s="170">
        <f>SUM(D6:D28)</f>
        <v>0</v>
      </c>
      <c r="F29" s="172" t="s">
        <v>54</v>
      </c>
      <c r="G29" s="173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4"/>
      <c r="I34" s="205"/>
      <c r="J34" s="20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/>
      <c r="H35" s="204"/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/>
      <c r="I36" s="205"/>
      <c r="J36" s="20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4"/>
      <c r="I37" s="205"/>
      <c r="J37" s="20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5"/>
      <c r="B38" s="29" t="s">
        <v>67</v>
      </c>
      <c r="C38" s="54"/>
      <c r="D38" s="12">
        <f>C38*84</f>
        <v>0</v>
      </c>
      <c r="F38" s="30">
        <v>50</v>
      </c>
      <c r="G38" s="39"/>
      <c r="H38" s="204"/>
      <c r="I38" s="205"/>
      <c r="J38" s="20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/>
      <c r="H39" s="204"/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4"/>
      <c r="I40" s="205"/>
      <c r="J40" s="20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/>
      <c r="H42" s="205"/>
      <c r="I42" s="205"/>
      <c r="J42" s="20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106" t="s">
        <v>82</v>
      </c>
      <c r="H43" s="210" t="s">
        <v>13</v>
      </c>
      <c r="I43" s="211"/>
      <c r="J43" s="212"/>
      <c r="K43" s="21"/>
      <c r="P43" s="4"/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/>
      <c r="G44" s="75"/>
      <c r="H44" s="188"/>
      <c r="I44" s="188"/>
      <c r="J44" s="188"/>
      <c r="K44" s="21"/>
      <c r="P44" s="4"/>
      <c r="Q44" s="4"/>
      <c r="R44" s="5"/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75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0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/>
      <c r="D48" s="12">
        <f>C48*78</f>
        <v>0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/>
      <c r="D50" s="12">
        <f>C50*1.5</f>
        <v>0</v>
      </c>
      <c r="F50" s="230"/>
      <c r="G50" s="179"/>
      <c r="H50" s="180"/>
      <c r="I50" s="180"/>
      <c r="J50" s="181"/>
      <c r="P50" s="4"/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106</v>
      </c>
      <c r="G51" s="233">
        <f>G49-H29</f>
        <v>0</v>
      </c>
      <c r="H51" s="234"/>
      <c r="I51" s="234"/>
      <c r="J51" s="23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8"/>
      <c r="B52" s="29"/>
      <c r="C52" s="33"/>
      <c r="D52" s="45"/>
      <c r="F52" s="232"/>
      <c r="G52" s="236"/>
      <c r="H52" s="237"/>
      <c r="I52" s="237"/>
      <c r="J52" s="23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0</v>
      </c>
      <c r="F54" s="21"/>
      <c r="J54" s="34"/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E46F4-F846-48B6-B64A-3936176933CE}">
  <dimension ref="A1:R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0" t="s">
        <v>1</v>
      </c>
      <c r="O1" s="110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1" t="s">
        <v>7</v>
      </c>
      <c r="B4" s="112"/>
      <c r="C4" s="112"/>
      <c r="D4" s="113"/>
      <c r="F4" s="114" t="s">
        <v>8</v>
      </c>
      <c r="G4" s="116">
        <v>1</v>
      </c>
      <c r="H4" s="118" t="s">
        <v>9</v>
      </c>
      <c r="I4" s="120">
        <v>46186</v>
      </c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5"/>
      <c r="B6" s="16" t="s">
        <v>15</v>
      </c>
      <c r="C6" s="10"/>
      <c r="D6" s="13">
        <f t="shared" ref="D6:D28" si="1">C6*L6</f>
        <v>0</v>
      </c>
      <c r="F6" s="127" t="s">
        <v>16</v>
      </c>
      <c r="G6" s="129" t="s">
        <v>99</v>
      </c>
      <c r="H6" s="130"/>
      <c r="I6" s="130"/>
      <c r="J6" s="13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5"/>
      <c r="B7" s="16" t="s">
        <v>18</v>
      </c>
      <c r="C7" s="10"/>
      <c r="D7" s="13">
        <f t="shared" si="1"/>
        <v>0</v>
      </c>
      <c r="F7" s="128"/>
      <c r="G7" s="132"/>
      <c r="H7" s="133"/>
      <c r="I7" s="133"/>
      <c r="J7" s="13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5"/>
      <c r="B8" s="16" t="s">
        <v>20</v>
      </c>
      <c r="C8" s="10"/>
      <c r="D8" s="13">
        <f t="shared" si="1"/>
        <v>0</v>
      </c>
      <c r="F8" s="135" t="s">
        <v>21</v>
      </c>
      <c r="G8" s="137" t="s">
        <v>117</v>
      </c>
      <c r="H8" s="138"/>
      <c r="I8" s="138"/>
      <c r="J8" s="1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5"/>
      <c r="B9" s="16" t="s">
        <v>23</v>
      </c>
      <c r="C9" s="10"/>
      <c r="D9" s="13">
        <f t="shared" si="1"/>
        <v>0</v>
      </c>
      <c r="F9" s="128"/>
      <c r="G9" s="140"/>
      <c r="H9" s="141"/>
      <c r="I9" s="141"/>
      <c r="J9" s="1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5"/>
      <c r="B10" t="s">
        <v>25</v>
      </c>
      <c r="C10" s="10"/>
      <c r="D10" s="13">
        <f t="shared" si="1"/>
        <v>0</v>
      </c>
      <c r="F10" s="127" t="s">
        <v>26</v>
      </c>
      <c r="G10" s="143" t="s">
        <v>108</v>
      </c>
      <c r="H10" s="144"/>
      <c r="I10" s="144"/>
      <c r="J10" s="145"/>
      <c r="K10" s="8"/>
      <c r="L10" s="6">
        <f>R36</f>
        <v>1032</v>
      </c>
      <c r="P10" s="4"/>
      <c r="Q10" s="4"/>
      <c r="R10" s="5"/>
    </row>
    <row r="11" spans="1:18" ht="15.75" x14ac:dyDescent="0.25">
      <c r="A11" s="125"/>
      <c r="B11" s="17" t="s">
        <v>28</v>
      </c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5"/>
      <c r="B12" s="17" t="s">
        <v>30</v>
      </c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5"/>
      <c r="B13" s="17" t="s">
        <v>32</v>
      </c>
      <c r="C13" s="10"/>
      <c r="D13" s="48">
        <f t="shared" si="1"/>
        <v>0</v>
      </c>
      <c r="F13" s="149" t="s">
        <v>36</v>
      </c>
      <c r="G13" s="150"/>
      <c r="H13" s="151">
        <f>D29</f>
        <v>0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5"/>
      <c r="B14" s="14" t="s">
        <v>35</v>
      </c>
      <c r="C14" s="10"/>
      <c r="D14" s="31">
        <f t="shared" si="1"/>
        <v>0</v>
      </c>
      <c r="F14" s="154" t="s">
        <v>38</v>
      </c>
      <c r="G14" s="155"/>
      <c r="H14" s="156">
        <f>D54</f>
        <v>0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5"/>
      <c r="B15" s="14" t="s">
        <v>119</v>
      </c>
      <c r="C15" s="10"/>
      <c r="D15" s="31">
        <f t="shared" si="1"/>
        <v>0</v>
      </c>
      <c r="F15" s="159" t="s">
        <v>39</v>
      </c>
      <c r="G15" s="150"/>
      <c r="H15" s="160">
        <f>H13-H14</f>
        <v>0</v>
      </c>
      <c r="I15" s="161"/>
      <c r="J15" s="16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3"/>
      <c r="I16" s="163"/>
      <c r="J16" s="16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3"/>
      <c r="I19" s="163"/>
      <c r="J19" s="1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5"/>
      <c r="B22" s="46" t="s">
        <v>103</v>
      </c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 t="s">
        <v>118</v>
      </c>
      <c r="C23" s="10"/>
      <c r="D23" s="48">
        <f t="shared" si="1"/>
        <v>0</v>
      </c>
      <c r="F23" s="76"/>
      <c r="G23" s="78"/>
      <c r="H23" s="245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 t="s">
        <v>125</v>
      </c>
      <c r="C24" s="10"/>
      <c r="D24" s="48">
        <f t="shared" si="1"/>
        <v>0</v>
      </c>
      <c r="F24" s="76"/>
      <c r="G24" s="78"/>
      <c r="H24" s="245"/>
      <c r="I24" s="246"/>
      <c r="J24" s="24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 t="s">
        <v>126</v>
      </c>
      <c r="C26" s="10"/>
      <c r="D26" s="48">
        <f t="shared" si="1"/>
        <v>0</v>
      </c>
      <c r="F26" s="74"/>
      <c r="G26" s="65"/>
      <c r="H26" s="188"/>
      <c r="I26" s="188"/>
      <c r="J26" s="18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5"/>
      <c r="B27" s="14" t="s">
        <v>127</v>
      </c>
      <c r="C27" s="10"/>
      <c r="D27" s="44">
        <f t="shared" si="1"/>
        <v>0</v>
      </c>
      <c r="F27" s="71"/>
      <c r="G27" s="106"/>
      <c r="H27" s="247"/>
      <c r="I27" s="248"/>
      <c r="J27" s="24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 t="s">
        <v>92</v>
      </c>
      <c r="C28" s="10"/>
      <c r="D28" s="48">
        <f t="shared" si="1"/>
        <v>0</v>
      </c>
      <c r="F28" s="104"/>
      <c r="G28" s="61"/>
      <c r="H28" s="198"/>
      <c r="I28" s="199"/>
      <c r="J28" s="20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4" t="s">
        <v>36</v>
      </c>
      <c r="B29" s="165"/>
      <c r="C29" s="166"/>
      <c r="D29" s="170">
        <f>SUM(D6:D28)</f>
        <v>0</v>
      </c>
      <c r="F29" s="172" t="s">
        <v>54</v>
      </c>
      <c r="G29" s="173"/>
      <c r="H29" s="176">
        <f>H15-H16-H17-H18-H19-H20-H22-H23-H24+H26+H27+H28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4">
        <f t="shared" ref="H34:H39" si="2">F34*G34</f>
        <v>0</v>
      </c>
      <c r="I34" s="205"/>
      <c r="J34" s="20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/>
      <c r="H35" s="204">
        <f t="shared" si="2"/>
        <v>0</v>
      </c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>
        <f t="shared" si="2"/>
        <v>0</v>
      </c>
      <c r="I36" s="205"/>
      <c r="J36" s="20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4">
        <f t="shared" si="2"/>
        <v>0</v>
      </c>
      <c r="I37" s="205"/>
      <c r="J37" s="20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5"/>
      <c r="B38" s="29" t="s">
        <v>67</v>
      </c>
      <c r="C38" s="54"/>
      <c r="D38" s="12">
        <f>C38*84</f>
        <v>0</v>
      </c>
      <c r="F38" s="30">
        <v>50</v>
      </c>
      <c r="G38" s="39"/>
      <c r="H38" s="204">
        <f t="shared" si="2"/>
        <v>0</v>
      </c>
      <c r="I38" s="205"/>
      <c r="J38" s="20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/>
      <c r="H39" s="204">
        <f t="shared" si="2"/>
        <v>0</v>
      </c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4"/>
      <c r="I40" s="205"/>
      <c r="J40" s="20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/>
      <c r="H42" s="205"/>
      <c r="I42" s="205"/>
      <c r="J42" s="20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106" t="s">
        <v>82</v>
      </c>
      <c r="H43" s="210" t="s">
        <v>13</v>
      </c>
      <c r="I43" s="211"/>
      <c r="J43" s="21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/>
      <c r="G44" s="62"/>
      <c r="H44" s="188"/>
      <c r="I44" s="188"/>
      <c r="J44" s="18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62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0"/>
      <c r="D46" s="12">
        <f>C46*1.5</f>
        <v>0</v>
      </c>
      <c r="F46" s="37"/>
      <c r="G46" s="62"/>
      <c r="H46" s="188"/>
      <c r="I46" s="188"/>
      <c r="J46" s="188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/>
      <c r="D48" s="12">
        <f>C48*78</f>
        <v>0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/>
      <c r="D50" s="12">
        <f>C50*1.5</f>
        <v>0</v>
      </c>
      <c r="F50" s="230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129</v>
      </c>
      <c r="G51" s="251">
        <f>G49-H29</f>
        <v>0</v>
      </c>
      <c r="H51" s="252"/>
      <c r="I51" s="252"/>
      <c r="J51" s="2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8"/>
      <c r="B52" s="29"/>
      <c r="C52" s="33"/>
      <c r="D52" s="45"/>
      <c r="F52" s="232"/>
      <c r="G52" s="254"/>
      <c r="H52" s="255"/>
      <c r="I52" s="255"/>
      <c r="J52" s="2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81B74-47AA-4CE9-BB01-65ECFC6D833A}">
  <dimension ref="A1:R59"/>
  <sheetViews>
    <sheetView zoomScaleNormal="100" zoomScaleSheetLayoutView="85" workbookViewId="0">
      <selection activeCell="M32" sqref="M3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0" t="s">
        <v>1</v>
      </c>
      <c r="O1" s="110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1" t="s">
        <v>7</v>
      </c>
      <c r="B4" s="112"/>
      <c r="C4" s="112"/>
      <c r="D4" s="113"/>
      <c r="F4" s="114" t="s">
        <v>8</v>
      </c>
      <c r="G4" s="116">
        <v>2</v>
      </c>
      <c r="H4" s="118" t="s">
        <v>9</v>
      </c>
      <c r="I4" s="120">
        <v>46185</v>
      </c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5"/>
      <c r="B6" s="16" t="s">
        <v>15</v>
      </c>
      <c r="C6" s="10"/>
      <c r="D6" s="13">
        <f t="shared" ref="D6:D28" si="1">C6*L6</f>
        <v>0</v>
      </c>
      <c r="F6" s="127" t="s">
        <v>16</v>
      </c>
      <c r="G6" s="129" t="s">
        <v>107</v>
      </c>
      <c r="H6" s="130"/>
      <c r="I6" s="130"/>
      <c r="J6" s="13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5"/>
      <c r="B7" s="16" t="s">
        <v>18</v>
      </c>
      <c r="C7" s="10"/>
      <c r="D7" s="13">
        <f t="shared" si="1"/>
        <v>0</v>
      </c>
      <c r="F7" s="128"/>
      <c r="G7" s="132"/>
      <c r="H7" s="133"/>
      <c r="I7" s="133"/>
      <c r="J7" s="13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5"/>
      <c r="B8" s="16" t="s">
        <v>20</v>
      </c>
      <c r="C8" s="10"/>
      <c r="D8" s="13">
        <f t="shared" si="1"/>
        <v>0</v>
      </c>
      <c r="F8" s="135" t="s">
        <v>21</v>
      </c>
      <c r="G8" s="137" t="s">
        <v>100</v>
      </c>
      <c r="H8" s="138"/>
      <c r="I8" s="138"/>
      <c r="J8" s="1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5"/>
      <c r="B9" s="16" t="s">
        <v>23</v>
      </c>
      <c r="C9" s="10"/>
      <c r="D9" s="13">
        <f t="shared" si="1"/>
        <v>0</v>
      </c>
      <c r="F9" s="128"/>
      <c r="G9" s="140"/>
      <c r="H9" s="141"/>
      <c r="I9" s="141"/>
      <c r="J9" s="1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5"/>
      <c r="B10" t="s">
        <v>25</v>
      </c>
      <c r="C10" s="10"/>
      <c r="D10" s="13">
        <f t="shared" si="1"/>
        <v>0</v>
      </c>
      <c r="F10" s="127" t="s">
        <v>26</v>
      </c>
      <c r="G10" s="143" t="s">
        <v>101</v>
      </c>
      <c r="H10" s="144"/>
      <c r="I10" s="144"/>
      <c r="J10" s="145"/>
      <c r="K10" s="8"/>
      <c r="L10" s="6">
        <f>R36</f>
        <v>1032</v>
      </c>
      <c r="P10" s="4"/>
      <c r="Q10" s="4"/>
      <c r="R10" s="5"/>
    </row>
    <row r="11" spans="1:18" ht="15.75" x14ac:dyDescent="0.25">
      <c r="A11" s="125"/>
      <c r="B11" s="17" t="s">
        <v>28</v>
      </c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5"/>
      <c r="B12" s="17" t="s">
        <v>30</v>
      </c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5"/>
      <c r="B13" s="17" t="s">
        <v>32</v>
      </c>
      <c r="C13" s="10"/>
      <c r="D13" s="48">
        <f t="shared" si="1"/>
        <v>0</v>
      </c>
      <c r="F13" s="149" t="s">
        <v>36</v>
      </c>
      <c r="G13" s="150"/>
      <c r="H13" s="151">
        <f>D29</f>
        <v>0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5"/>
      <c r="B14" s="14" t="s">
        <v>35</v>
      </c>
      <c r="C14" s="10"/>
      <c r="D14" s="31">
        <f t="shared" si="1"/>
        <v>0</v>
      </c>
      <c r="F14" s="154" t="s">
        <v>38</v>
      </c>
      <c r="G14" s="155"/>
      <c r="H14" s="156">
        <f>D54</f>
        <v>0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5"/>
      <c r="B15" s="14" t="s">
        <v>119</v>
      </c>
      <c r="C15" s="10"/>
      <c r="D15" s="31">
        <f t="shared" si="1"/>
        <v>0</v>
      </c>
      <c r="F15" s="159" t="s">
        <v>39</v>
      </c>
      <c r="G15" s="150"/>
      <c r="H15" s="160">
        <f>H13-H14</f>
        <v>0</v>
      </c>
      <c r="I15" s="161"/>
      <c r="J15" s="16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3"/>
      <c r="I16" s="163"/>
      <c r="J16" s="16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9"/>
      <c r="I19" s="249"/>
      <c r="J19" s="2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5"/>
      <c r="B22" s="46" t="s">
        <v>103</v>
      </c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 t="s">
        <v>118</v>
      </c>
      <c r="C23" s="10"/>
      <c r="D23" s="48">
        <f t="shared" si="1"/>
        <v>0</v>
      </c>
      <c r="F23" s="77"/>
      <c r="G23" s="78"/>
      <c r="H23" s="250"/>
      <c r="I23" s="186"/>
      <c r="J23" s="1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 t="s">
        <v>125</v>
      </c>
      <c r="C24" s="10"/>
      <c r="D24" s="48">
        <f t="shared" si="1"/>
        <v>0</v>
      </c>
      <c r="F24" s="38"/>
      <c r="G24" s="37"/>
      <c r="H24" s="187"/>
      <c r="I24" s="188"/>
      <c r="J24" s="1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 t="s">
        <v>126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5"/>
      <c r="B27" s="14" t="s">
        <v>127</v>
      </c>
      <c r="C27" s="10"/>
      <c r="D27" s="44">
        <f t="shared" si="1"/>
        <v>0</v>
      </c>
      <c r="F27" s="25"/>
      <c r="G27" s="79"/>
      <c r="H27" s="195"/>
      <c r="I27" s="196"/>
      <c r="J27" s="19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 t="s">
        <v>92</v>
      </c>
      <c r="C28" s="10"/>
      <c r="D28" s="48">
        <f t="shared" si="1"/>
        <v>0</v>
      </c>
      <c r="F28" s="104"/>
      <c r="G28" s="61"/>
      <c r="H28" s="198"/>
      <c r="I28" s="199"/>
      <c r="J28" s="20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4" t="s">
        <v>36</v>
      </c>
      <c r="B29" s="165"/>
      <c r="C29" s="166"/>
      <c r="D29" s="170">
        <f>SUM(D6:D28)</f>
        <v>0</v>
      </c>
      <c r="F29" s="172" t="s">
        <v>54</v>
      </c>
      <c r="G29" s="173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4">
        <f>F34*G34</f>
        <v>0</v>
      </c>
      <c r="I34" s="205"/>
      <c r="J34" s="20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/>
      <c r="H35" s="204">
        <f>F35*G35</f>
        <v>0</v>
      </c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>
        <f t="shared" ref="H36:H39" si="2">F36*G36</f>
        <v>0</v>
      </c>
      <c r="I36" s="205"/>
      <c r="J36" s="20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4">
        <f t="shared" si="2"/>
        <v>0</v>
      </c>
      <c r="I37" s="205"/>
      <c r="J37" s="20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5"/>
      <c r="B38" s="29" t="s">
        <v>67</v>
      </c>
      <c r="C38" s="54"/>
      <c r="D38" s="12">
        <f>C38*84</f>
        <v>0</v>
      </c>
      <c r="F38" s="30">
        <v>50</v>
      </c>
      <c r="G38" s="39"/>
      <c r="H38" s="204">
        <f t="shared" si="2"/>
        <v>0</v>
      </c>
      <c r="I38" s="205"/>
      <c r="J38" s="20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/>
      <c r="H39" s="204">
        <f t="shared" si="2"/>
        <v>0</v>
      </c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4"/>
      <c r="I40" s="205"/>
      <c r="J40" s="20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/>
      <c r="H42" s="205"/>
      <c r="I42" s="205"/>
      <c r="J42" s="20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106" t="s">
        <v>82</v>
      </c>
      <c r="H43" s="210" t="s">
        <v>13</v>
      </c>
      <c r="I43" s="211"/>
      <c r="J43" s="21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/>
      <c r="G44" s="75"/>
      <c r="H44" s="188"/>
      <c r="I44" s="188"/>
      <c r="J44" s="18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75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0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/>
      <c r="D48" s="12">
        <f>C48*78</f>
        <v>0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80"/>
      <c r="D50" s="12">
        <f>C50*1.5</f>
        <v>0</v>
      </c>
      <c r="F50" s="230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113</v>
      </c>
      <c r="G51" s="233">
        <f>G49-H29</f>
        <v>0</v>
      </c>
      <c r="H51" s="234"/>
      <c r="I51" s="234"/>
      <c r="J51" s="23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8"/>
      <c r="B52" s="29"/>
      <c r="C52" s="33"/>
      <c r="D52" s="45"/>
      <c r="F52" s="232"/>
      <c r="G52" s="236"/>
      <c r="H52" s="237"/>
      <c r="I52" s="237"/>
      <c r="J52" s="23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9679E-C6E6-41CF-A472-CBD3EBCCF548}">
  <dimension ref="A1:R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0" t="s">
        <v>1</v>
      </c>
      <c r="O1" s="110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1" t="s">
        <v>7</v>
      </c>
      <c r="B4" s="112"/>
      <c r="C4" s="112"/>
      <c r="D4" s="113"/>
      <c r="F4" s="114" t="s">
        <v>8</v>
      </c>
      <c r="G4" s="116">
        <v>3</v>
      </c>
      <c r="H4" s="118" t="s">
        <v>9</v>
      </c>
      <c r="I4" s="120">
        <v>46185</v>
      </c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5"/>
      <c r="B6" s="16" t="s">
        <v>15</v>
      </c>
      <c r="C6" s="10"/>
      <c r="D6" s="13">
        <f t="shared" ref="D6:D28" si="1">C6*L6</f>
        <v>0</v>
      </c>
      <c r="F6" s="127" t="s">
        <v>16</v>
      </c>
      <c r="G6" s="129" t="s">
        <v>115</v>
      </c>
      <c r="H6" s="130"/>
      <c r="I6" s="130"/>
      <c r="J6" s="13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5"/>
      <c r="B7" s="16" t="s">
        <v>18</v>
      </c>
      <c r="C7" s="10"/>
      <c r="D7" s="13">
        <f t="shared" si="1"/>
        <v>0</v>
      </c>
      <c r="F7" s="128"/>
      <c r="G7" s="132"/>
      <c r="H7" s="133"/>
      <c r="I7" s="133"/>
      <c r="J7" s="13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5"/>
      <c r="B8" s="16" t="s">
        <v>20</v>
      </c>
      <c r="C8" s="10"/>
      <c r="D8" s="13">
        <f t="shared" si="1"/>
        <v>0</v>
      </c>
      <c r="F8" s="135" t="s">
        <v>21</v>
      </c>
      <c r="G8" s="137" t="s">
        <v>109</v>
      </c>
      <c r="H8" s="138"/>
      <c r="I8" s="138"/>
      <c r="J8" s="1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5"/>
      <c r="B9" s="16" t="s">
        <v>23</v>
      </c>
      <c r="C9" s="10"/>
      <c r="D9" s="13">
        <f t="shared" si="1"/>
        <v>0</v>
      </c>
      <c r="F9" s="128"/>
      <c r="G9" s="140"/>
      <c r="H9" s="141"/>
      <c r="I9" s="141"/>
      <c r="J9" s="1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5"/>
      <c r="B10" t="s">
        <v>25</v>
      </c>
      <c r="C10" s="10"/>
      <c r="D10" s="13">
        <f t="shared" si="1"/>
        <v>0</v>
      </c>
      <c r="F10" s="127" t="s">
        <v>26</v>
      </c>
      <c r="G10" s="143" t="s">
        <v>121</v>
      </c>
      <c r="H10" s="144"/>
      <c r="I10" s="144"/>
      <c r="J10" s="145"/>
      <c r="K10" s="8"/>
      <c r="L10" s="6">
        <f>R36</f>
        <v>1032</v>
      </c>
      <c r="P10" s="4"/>
      <c r="Q10" s="4"/>
      <c r="R10" s="5"/>
    </row>
    <row r="11" spans="1:18" ht="15.75" x14ac:dyDescent="0.25">
      <c r="A11" s="125"/>
      <c r="B11" s="17" t="s">
        <v>28</v>
      </c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5"/>
      <c r="B12" s="17" t="s">
        <v>30</v>
      </c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5"/>
      <c r="B13" s="17" t="s">
        <v>32</v>
      </c>
      <c r="C13" s="10"/>
      <c r="D13" s="48">
        <f t="shared" si="1"/>
        <v>0</v>
      </c>
      <c r="F13" s="149" t="s">
        <v>36</v>
      </c>
      <c r="G13" s="150"/>
      <c r="H13" s="151">
        <f>D29</f>
        <v>0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5"/>
      <c r="B14" s="14" t="s">
        <v>35</v>
      </c>
      <c r="C14" s="10"/>
      <c r="D14" s="31">
        <f t="shared" si="1"/>
        <v>0</v>
      </c>
      <c r="F14" s="154" t="s">
        <v>38</v>
      </c>
      <c r="G14" s="155"/>
      <c r="H14" s="156">
        <f>D54</f>
        <v>0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5"/>
      <c r="B15" s="14" t="s">
        <v>119</v>
      </c>
      <c r="C15" s="10"/>
      <c r="D15" s="31">
        <f t="shared" si="1"/>
        <v>0</v>
      </c>
      <c r="F15" s="159" t="s">
        <v>39</v>
      </c>
      <c r="G15" s="150"/>
      <c r="H15" s="160">
        <f>H13-H14</f>
        <v>0</v>
      </c>
      <c r="I15" s="161"/>
      <c r="J15" s="16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3"/>
      <c r="I16" s="163"/>
      <c r="J16" s="16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9"/>
      <c r="I19" s="249"/>
      <c r="J19" s="2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5"/>
      <c r="B22" s="46" t="s">
        <v>103</v>
      </c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 t="s">
        <v>118</v>
      </c>
      <c r="C23" s="10"/>
      <c r="D23" s="48">
        <f t="shared" si="1"/>
        <v>0</v>
      </c>
      <c r="F23" s="77"/>
      <c r="G23" s="78"/>
      <c r="H23" s="250"/>
      <c r="I23" s="186"/>
      <c r="J23" s="1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 t="s">
        <v>125</v>
      </c>
      <c r="C24" s="10"/>
      <c r="D24" s="48">
        <f t="shared" si="1"/>
        <v>0</v>
      </c>
      <c r="F24" s="38"/>
      <c r="G24" s="37"/>
      <c r="H24" s="187"/>
      <c r="I24" s="188"/>
      <c r="J24" s="1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 t="s">
        <v>126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5"/>
      <c r="B27" s="14" t="s">
        <v>127</v>
      </c>
      <c r="C27" s="10"/>
      <c r="D27" s="44">
        <f t="shared" si="1"/>
        <v>0</v>
      </c>
      <c r="F27" s="25"/>
      <c r="G27" s="79"/>
      <c r="H27" s="195"/>
      <c r="I27" s="196"/>
      <c r="J27" s="19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 t="s">
        <v>92</v>
      </c>
      <c r="C28" s="10"/>
      <c r="D28" s="48">
        <f t="shared" si="1"/>
        <v>0</v>
      </c>
      <c r="F28" s="104"/>
      <c r="G28" s="61"/>
      <c r="H28" s="198"/>
      <c r="I28" s="199"/>
      <c r="J28" s="20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4" t="s">
        <v>36</v>
      </c>
      <c r="B29" s="165"/>
      <c r="C29" s="166"/>
      <c r="D29" s="170">
        <f>SUM(D6:D28)</f>
        <v>0</v>
      </c>
      <c r="F29" s="172" t="s">
        <v>54</v>
      </c>
      <c r="G29" s="173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4">
        <f>F34*G34</f>
        <v>0</v>
      </c>
      <c r="I34" s="205"/>
      <c r="J34" s="20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/>
      <c r="H35" s="204">
        <f>F35*G35</f>
        <v>0</v>
      </c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>
        <f t="shared" ref="H36:H39" si="2">F36*G36</f>
        <v>0</v>
      </c>
      <c r="I36" s="205"/>
      <c r="J36" s="20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4">
        <f t="shared" si="2"/>
        <v>0</v>
      </c>
      <c r="I37" s="205"/>
      <c r="J37" s="20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5"/>
      <c r="B38" s="29" t="s">
        <v>67</v>
      </c>
      <c r="C38" s="54"/>
      <c r="D38" s="12">
        <f>C38*84</f>
        <v>0</v>
      </c>
      <c r="F38" s="30">
        <v>50</v>
      </c>
      <c r="G38" s="39"/>
      <c r="H38" s="204">
        <f t="shared" si="2"/>
        <v>0</v>
      </c>
      <c r="I38" s="205"/>
      <c r="J38" s="20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/>
      <c r="H39" s="204">
        <f t="shared" si="2"/>
        <v>0</v>
      </c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4"/>
      <c r="I40" s="205"/>
      <c r="J40" s="20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/>
      <c r="H42" s="205"/>
      <c r="I42" s="205"/>
      <c r="J42" s="20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106" t="s">
        <v>82</v>
      </c>
      <c r="H43" s="210" t="s">
        <v>13</v>
      </c>
      <c r="I43" s="211"/>
      <c r="J43" s="21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/>
      <c r="G44" s="75"/>
      <c r="H44" s="188"/>
      <c r="I44" s="188"/>
      <c r="J44" s="18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75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0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/>
      <c r="D48" s="12">
        <f>C48*78</f>
        <v>0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/>
      <c r="D50" s="12">
        <f>C50*1.5</f>
        <v>0</v>
      </c>
      <c r="F50" s="230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113</v>
      </c>
      <c r="G51" s="233">
        <f>G49-H29</f>
        <v>0</v>
      </c>
      <c r="H51" s="234"/>
      <c r="I51" s="234"/>
      <c r="J51" s="23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8"/>
      <c r="B52" s="29"/>
      <c r="C52" s="33"/>
      <c r="D52" s="45"/>
      <c r="F52" s="232"/>
      <c r="G52" s="236"/>
      <c r="H52" s="237"/>
      <c r="I52" s="237"/>
      <c r="J52" s="23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C6A5C-4C8A-4F21-A99A-9C77C9DC1FA4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0" t="s">
        <v>1</v>
      </c>
      <c r="O1" s="110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11" t="s">
        <v>7</v>
      </c>
      <c r="B4" s="112"/>
      <c r="C4" s="112"/>
      <c r="D4" s="113"/>
      <c r="F4" s="114" t="s">
        <v>8</v>
      </c>
      <c r="G4" s="116"/>
      <c r="H4" s="118" t="s">
        <v>9</v>
      </c>
      <c r="I4" s="120"/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25"/>
      <c r="B6" s="16"/>
      <c r="C6" s="10"/>
      <c r="D6" s="13">
        <f t="shared" ref="D6:D28" si="1">C6*L6</f>
        <v>0</v>
      </c>
      <c r="F6" s="127" t="s">
        <v>16</v>
      </c>
      <c r="G6" s="129"/>
      <c r="H6" s="130"/>
      <c r="I6" s="130"/>
      <c r="J6" s="13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25"/>
      <c r="B7" s="16"/>
      <c r="C7" s="10"/>
      <c r="D7" s="13">
        <f t="shared" si="1"/>
        <v>0</v>
      </c>
      <c r="F7" s="128"/>
      <c r="G7" s="132"/>
      <c r="H7" s="133"/>
      <c r="I7" s="133"/>
      <c r="J7" s="13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25"/>
      <c r="B8" s="16"/>
      <c r="C8" s="10"/>
      <c r="D8" s="13">
        <f t="shared" si="1"/>
        <v>0</v>
      </c>
      <c r="F8" s="135" t="s">
        <v>21</v>
      </c>
      <c r="G8" s="137"/>
      <c r="H8" s="138"/>
      <c r="I8" s="138"/>
      <c r="J8" s="139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25"/>
      <c r="B9" s="16"/>
      <c r="C9" s="10"/>
      <c r="D9" s="13">
        <f t="shared" si="1"/>
        <v>0</v>
      </c>
      <c r="F9" s="128"/>
      <c r="G9" s="140"/>
      <c r="H9" s="141"/>
      <c r="I9" s="141"/>
      <c r="J9" s="142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25"/>
      <c r="C10" s="10"/>
      <c r="D10" s="13">
        <f t="shared" si="1"/>
        <v>0</v>
      </c>
      <c r="F10" s="127" t="s">
        <v>26</v>
      </c>
      <c r="G10" s="143"/>
      <c r="H10" s="144"/>
      <c r="I10" s="144"/>
      <c r="J10" s="145"/>
      <c r="K10" s="8"/>
      <c r="L10" s="6">
        <f>R36</f>
        <v>972</v>
      </c>
      <c r="P10" s="4"/>
      <c r="Q10" s="4"/>
      <c r="R10" s="5"/>
    </row>
    <row r="11" spans="1:19" ht="15.75" x14ac:dyDescent="0.25">
      <c r="A11" s="125"/>
      <c r="B11" s="17"/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25"/>
      <c r="B12" s="17"/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25"/>
      <c r="B13" s="17"/>
      <c r="C13" s="10"/>
      <c r="D13" s="48">
        <f t="shared" si="1"/>
        <v>0</v>
      </c>
      <c r="F13" s="149" t="s">
        <v>36</v>
      </c>
      <c r="G13" s="150"/>
      <c r="H13" s="151">
        <f>D29</f>
        <v>0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25"/>
      <c r="B14" s="14"/>
      <c r="C14" s="10"/>
      <c r="D14" s="31">
        <f t="shared" si="1"/>
        <v>0</v>
      </c>
      <c r="F14" s="154" t="s">
        <v>38</v>
      </c>
      <c r="G14" s="155"/>
      <c r="H14" s="156">
        <f>D54</f>
        <v>0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25"/>
      <c r="B15" s="14"/>
      <c r="C15" s="10"/>
      <c r="D15" s="31">
        <f t="shared" si="1"/>
        <v>0</v>
      </c>
      <c r="F15" s="159" t="s">
        <v>39</v>
      </c>
      <c r="G15" s="150"/>
      <c r="H15" s="160">
        <f>H13-H14</f>
        <v>0</v>
      </c>
      <c r="I15" s="161"/>
      <c r="J15" s="162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25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63"/>
      <c r="I16" s="163"/>
      <c r="J16" s="16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19"/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14"/>
      <c r="C19" s="10"/>
      <c r="D19" s="48">
        <f t="shared" si="1"/>
        <v>0</v>
      </c>
      <c r="F19" s="56"/>
      <c r="G19" s="68" t="s">
        <v>49</v>
      </c>
      <c r="H19" s="182"/>
      <c r="I19" s="182"/>
      <c r="J19" s="18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25"/>
      <c r="B20" s="46"/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25"/>
      <c r="B22" s="46"/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/>
      <c r="C23" s="10"/>
      <c r="D23" s="48">
        <f t="shared" si="1"/>
        <v>0</v>
      </c>
      <c r="F23" s="77"/>
      <c r="G23" s="78"/>
      <c r="H23" s="187"/>
      <c r="I23" s="188"/>
      <c r="J23" s="188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/>
      <c r="C24" s="10"/>
      <c r="D24" s="48">
        <f t="shared" si="1"/>
        <v>0</v>
      </c>
      <c r="F24" s="38"/>
      <c r="G24" s="37"/>
      <c r="H24" s="187"/>
      <c r="I24" s="188"/>
      <c r="J24" s="188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/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25"/>
      <c r="B27" s="14"/>
      <c r="C27" s="10"/>
      <c r="D27" s="44">
        <f t="shared" si="1"/>
        <v>0</v>
      </c>
      <c r="F27" s="25"/>
      <c r="G27" s="79"/>
      <c r="H27" s="195"/>
      <c r="I27" s="196"/>
      <c r="J27" s="197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/>
      <c r="C28" s="10"/>
      <c r="D28" s="48">
        <f t="shared" si="1"/>
        <v>0</v>
      </c>
      <c r="F28" s="104"/>
      <c r="G28" s="61"/>
      <c r="H28" s="198"/>
      <c r="I28" s="199"/>
      <c r="J28" s="200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64" t="s">
        <v>36</v>
      </c>
      <c r="B29" s="165"/>
      <c r="C29" s="166"/>
      <c r="D29" s="170">
        <f>SUM(D6:D28)</f>
        <v>0</v>
      </c>
      <c r="F29" s="172" t="s">
        <v>54</v>
      </c>
      <c r="G29" s="173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4"/>
      <c r="I34" s="205"/>
      <c r="J34" s="206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/>
      <c r="H35" s="204"/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/>
      <c r="I36" s="205"/>
      <c r="J36" s="206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2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4"/>
      <c r="I37" s="205"/>
      <c r="J37" s="206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25"/>
      <c r="B38" s="29" t="s">
        <v>67</v>
      </c>
      <c r="C38" s="54"/>
      <c r="D38" s="12">
        <f>C38*84</f>
        <v>0</v>
      </c>
      <c r="F38" s="30">
        <v>50</v>
      </c>
      <c r="G38" s="39"/>
      <c r="H38" s="204"/>
      <c r="I38" s="205"/>
      <c r="J38" s="206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/>
      <c r="H39" s="204"/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4"/>
      <c r="I40" s="205"/>
      <c r="J40" s="206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/>
      <c r="H42" s="205"/>
      <c r="I42" s="205"/>
      <c r="J42" s="206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106" t="s">
        <v>82</v>
      </c>
      <c r="H43" s="210" t="s">
        <v>13</v>
      </c>
      <c r="I43" s="211"/>
      <c r="J43" s="212"/>
      <c r="K43" s="21"/>
      <c r="P43" s="4"/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/>
      <c r="G44" s="75"/>
      <c r="H44" s="188"/>
      <c r="I44" s="188"/>
      <c r="J44" s="188"/>
      <c r="K44" s="21"/>
      <c r="P44" s="4"/>
      <c r="Q44" s="4"/>
      <c r="R44" s="5"/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75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0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/>
      <c r="D48" s="12">
        <f>C48*78</f>
        <v>0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/>
      <c r="D50" s="12">
        <f>C50*1.5</f>
        <v>0</v>
      </c>
      <c r="F50" s="230"/>
      <c r="G50" s="179"/>
      <c r="H50" s="180"/>
      <c r="I50" s="180"/>
      <c r="J50" s="181"/>
      <c r="P50" s="4"/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106</v>
      </c>
      <c r="G51" s="233">
        <f>G49-H29</f>
        <v>0</v>
      </c>
      <c r="H51" s="234"/>
      <c r="I51" s="234"/>
      <c r="J51" s="235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08"/>
      <c r="B52" s="29"/>
      <c r="C52" s="33"/>
      <c r="D52" s="45"/>
      <c r="F52" s="232"/>
      <c r="G52" s="236"/>
      <c r="H52" s="237"/>
      <c r="I52" s="237"/>
      <c r="J52" s="23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0</v>
      </c>
      <c r="F54" s="21"/>
      <c r="J54" s="34"/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AED45-E4BF-40A8-B1B0-7D252080AA8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0" t="s">
        <v>1</v>
      </c>
      <c r="O1" s="110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1" t="s">
        <v>7</v>
      </c>
      <c r="B4" s="112"/>
      <c r="C4" s="112"/>
      <c r="D4" s="113"/>
      <c r="F4" s="114" t="s">
        <v>8</v>
      </c>
      <c r="G4" s="116">
        <v>1</v>
      </c>
      <c r="H4" s="118" t="s">
        <v>9</v>
      </c>
      <c r="I4" s="120">
        <v>46188</v>
      </c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5"/>
      <c r="B6" s="16" t="s">
        <v>15</v>
      </c>
      <c r="C6" s="10"/>
      <c r="D6" s="13">
        <f t="shared" ref="D6:D28" si="1">C6*L6</f>
        <v>0</v>
      </c>
      <c r="F6" s="127" t="s">
        <v>16</v>
      </c>
      <c r="G6" s="129" t="s">
        <v>99</v>
      </c>
      <c r="H6" s="130"/>
      <c r="I6" s="130"/>
      <c r="J6" s="13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5"/>
      <c r="B7" s="16" t="s">
        <v>18</v>
      </c>
      <c r="C7" s="10"/>
      <c r="D7" s="13">
        <f t="shared" si="1"/>
        <v>0</v>
      </c>
      <c r="F7" s="128"/>
      <c r="G7" s="132"/>
      <c r="H7" s="133"/>
      <c r="I7" s="133"/>
      <c r="J7" s="13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5"/>
      <c r="B8" s="16" t="s">
        <v>20</v>
      </c>
      <c r="C8" s="10"/>
      <c r="D8" s="13">
        <f t="shared" si="1"/>
        <v>0</v>
      </c>
      <c r="F8" s="135" t="s">
        <v>21</v>
      </c>
      <c r="G8" s="137" t="s">
        <v>117</v>
      </c>
      <c r="H8" s="138"/>
      <c r="I8" s="138"/>
      <c r="J8" s="1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5"/>
      <c r="B9" s="16" t="s">
        <v>23</v>
      </c>
      <c r="C9" s="10"/>
      <c r="D9" s="13">
        <f t="shared" si="1"/>
        <v>0</v>
      </c>
      <c r="F9" s="128"/>
      <c r="G9" s="140"/>
      <c r="H9" s="141"/>
      <c r="I9" s="141"/>
      <c r="J9" s="1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5"/>
      <c r="B10" t="s">
        <v>25</v>
      </c>
      <c r="C10" s="10"/>
      <c r="D10" s="13">
        <f t="shared" si="1"/>
        <v>0</v>
      </c>
      <c r="F10" s="127" t="s">
        <v>26</v>
      </c>
      <c r="G10" s="143" t="s">
        <v>108</v>
      </c>
      <c r="H10" s="144"/>
      <c r="I10" s="144"/>
      <c r="J10" s="145"/>
      <c r="K10" s="8"/>
      <c r="L10" s="6">
        <f>R36</f>
        <v>1032</v>
      </c>
      <c r="P10" s="4"/>
      <c r="Q10" s="4"/>
      <c r="R10" s="5"/>
    </row>
    <row r="11" spans="1:18" ht="15.75" x14ac:dyDescent="0.25">
      <c r="A11" s="125"/>
      <c r="B11" s="17" t="s">
        <v>28</v>
      </c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5"/>
      <c r="B12" s="17" t="s">
        <v>30</v>
      </c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5"/>
      <c r="B13" s="17" t="s">
        <v>32</v>
      </c>
      <c r="C13" s="10"/>
      <c r="D13" s="48">
        <f t="shared" si="1"/>
        <v>0</v>
      </c>
      <c r="F13" s="149" t="s">
        <v>36</v>
      </c>
      <c r="G13" s="150"/>
      <c r="H13" s="151">
        <f>D29</f>
        <v>0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5"/>
      <c r="B14" s="14" t="s">
        <v>35</v>
      </c>
      <c r="C14" s="10"/>
      <c r="D14" s="31">
        <f t="shared" si="1"/>
        <v>0</v>
      </c>
      <c r="F14" s="154" t="s">
        <v>38</v>
      </c>
      <c r="G14" s="155"/>
      <c r="H14" s="156">
        <f>D54</f>
        <v>0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5"/>
      <c r="B15" s="14" t="s">
        <v>119</v>
      </c>
      <c r="C15" s="10"/>
      <c r="D15" s="31">
        <f t="shared" si="1"/>
        <v>0</v>
      </c>
      <c r="F15" s="159" t="s">
        <v>39</v>
      </c>
      <c r="G15" s="150"/>
      <c r="H15" s="160">
        <f>H13-H14</f>
        <v>0</v>
      </c>
      <c r="I15" s="161"/>
      <c r="J15" s="16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3"/>
      <c r="I16" s="163"/>
      <c r="J16" s="16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163"/>
      <c r="I19" s="163"/>
      <c r="J19" s="16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5"/>
      <c r="B22" s="46" t="s">
        <v>103</v>
      </c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 t="s">
        <v>118</v>
      </c>
      <c r="C23" s="10"/>
      <c r="D23" s="48">
        <f t="shared" si="1"/>
        <v>0</v>
      </c>
      <c r="F23" s="76"/>
      <c r="G23" s="78"/>
      <c r="H23" s="245"/>
      <c r="I23" s="246"/>
      <c r="J23" s="24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 t="s">
        <v>125</v>
      </c>
      <c r="C24" s="10"/>
      <c r="D24" s="48">
        <f t="shared" si="1"/>
        <v>0</v>
      </c>
      <c r="F24" s="76"/>
      <c r="G24" s="78"/>
      <c r="H24" s="245"/>
      <c r="I24" s="246"/>
      <c r="J24" s="24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 t="s">
        <v>126</v>
      </c>
      <c r="C26" s="10"/>
      <c r="D26" s="48">
        <f t="shared" si="1"/>
        <v>0</v>
      </c>
      <c r="F26" s="74"/>
      <c r="G26" s="65"/>
      <c r="H26" s="188"/>
      <c r="I26" s="188"/>
      <c r="J26" s="18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5"/>
      <c r="B27" s="14" t="s">
        <v>127</v>
      </c>
      <c r="C27" s="10"/>
      <c r="D27" s="44">
        <f t="shared" si="1"/>
        <v>0</v>
      </c>
      <c r="F27" s="71"/>
      <c r="G27" s="106"/>
      <c r="H27" s="247"/>
      <c r="I27" s="248"/>
      <c r="J27" s="24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 t="s">
        <v>92</v>
      </c>
      <c r="C28" s="10"/>
      <c r="D28" s="48">
        <f t="shared" si="1"/>
        <v>0</v>
      </c>
      <c r="F28" s="104"/>
      <c r="G28" s="61"/>
      <c r="H28" s="198"/>
      <c r="I28" s="199"/>
      <c r="J28" s="20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4" t="s">
        <v>36</v>
      </c>
      <c r="B29" s="165"/>
      <c r="C29" s="166"/>
      <c r="D29" s="170">
        <f>SUM(D6:D28)</f>
        <v>0</v>
      </c>
      <c r="F29" s="172" t="s">
        <v>54</v>
      </c>
      <c r="G29" s="173"/>
      <c r="H29" s="176">
        <f>H15-H16-H17-H18-H19-H20-H22-H23-H24+H26+H27+H28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04">
        <f t="shared" ref="H34:H39" si="2">F34*G34</f>
        <v>0</v>
      </c>
      <c r="I34" s="205"/>
      <c r="J34" s="20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/>
      <c r="H35" s="204">
        <f t="shared" si="2"/>
        <v>0</v>
      </c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>
        <f t="shared" si="2"/>
        <v>0</v>
      </c>
      <c r="I36" s="205"/>
      <c r="J36" s="20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4">
        <f t="shared" si="2"/>
        <v>0</v>
      </c>
      <c r="I37" s="205"/>
      <c r="J37" s="20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5"/>
      <c r="B38" s="29" t="s">
        <v>67</v>
      </c>
      <c r="C38" s="54"/>
      <c r="D38" s="12">
        <f>C38*84</f>
        <v>0</v>
      </c>
      <c r="F38" s="30">
        <v>50</v>
      </c>
      <c r="G38" s="39"/>
      <c r="H38" s="204">
        <f t="shared" si="2"/>
        <v>0</v>
      </c>
      <c r="I38" s="205"/>
      <c r="J38" s="20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/>
      <c r="H39" s="204">
        <f t="shared" si="2"/>
        <v>0</v>
      </c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4"/>
      <c r="I40" s="205"/>
      <c r="J40" s="20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/>
      <c r="H42" s="205"/>
      <c r="I42" s="205"/>
      <c r="J42" s="20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106" t="s">
        <v>82</v>
      </c>
      <c r="H43" s="210" t="s">
        <v>13</v>
      </c>
      <c r="I43" s="211"/>
      <c r="J43" s="21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/>
      <c r="G44" s="62"/>
      <c r="H44" s="188"/>
      <c r="I44" s="188"/>
      <c r="J44" s="18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62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0"/>
      <c r="D46" s="12">
        <f>C46*1.5</f>
        <v>0</v>
      </c>
      <c r="F46" s="37"/>
      <c r="G46" s="62"/>
      <c r="H46" s="188"/>
      <c r="I46" s="188"/>
      <c r="J46" s="188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/>
      <c r="D48" s="12">
        <f>C48*78</f>
        <v>0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/>
      <c r="D50" s="12">
        <f>C50*1.5</f>
        <v>0</v>
      </c>
      <c r="F50" s="230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129</v>
      </c>
      <c r="G51" s="251">
        <f>G49-H29</f>
        <v>0</v>
      </c>
      <c r="H51" s="252"/>
      <c r="I51" s="252"/>
      <c r="J51" s="25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8"/>
      <c r="B52" s="29"/>
      <c r="C52" s="33"/>
      <c r="D52" s="45"/>
      <c r="F52" s="232"/>
      <c r="G52" s="254"/>
      <c r="H52" s="255"/>
      <c r="I52" s="255"/>
      <c r="J52" s="25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A1C0D-0B56-4E00-A8D6-1C517E80098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0" t="s">
        <v>1</v>
      </c>
      <c r="O1" s="110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1" t="s">
        <v>7</v>
      </c>
      <c r="B4" s="112"/>
      <c r="C4" s="112"/>
      <c r="D4" s="113"/>
      <c r="F4" s="114" t="s">
        <v>8</v>
      </c>
      <c r="G4" s="116">
        <v>2</v>
      </c>
      <c r="H4" s="118" t="s">
        <v>9</v>
      </c>
      <c r="I4" s="120">
        <v>46188</v>
      </c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5"/>
      <c r="B6" s="16" t="s">
        <v>15</v>
      </c>
      <c r="C6" s="10"/>
      <c r="D6" s="13">
        <f t="shared" ref="D6:D28" si="1">C6*L6</f>
        <v>0</v>
      </c>
      <c r="F6" s="127" t="s">
        <v>16</v>
      </c>
      <c r="G6" s="129" t="s">
        <v>107</v>
      </c>
      <c r="H6" s="130"/>
      <c r="I6" s="130"/>
      <c r="J6" s="13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5"/>
      <c r="B7" s="16" t="s">
        <v>18</v>
      </c>
      <c r="C7" s="10"/>
      <c r="D7" s="13">
        <f t="shared" si="1"/>
        <v>0</v>
      </c>
      <c r="F7" s="128"/>
      <c r="G7" s="132"/>
      <c r="H7" s="133"/>
      <c r="I7" s="133"/>
      <c r="J7" s="13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5"/>
      <c r="B8" s="16" t="s">
        <v>20</v>
      </c>
      <c r="C8" s="10"/>
      <c r="D8" s="13">
        <f t="shared" si="1"/>
        <v>0</v>
      </c>
      <c r="F8" s="135" t="s">
        <v>21</v>
      </c>
      <c r="G8" s="137" t="s">
        <v>100</v>
      </c>
      <c r="H8" s="138"/>
      <c r="I8" s="138"/>
      <c r="J8" s="1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5"/>
      <c r="B9" s="16" t="s">
        <v>23</v>
      </c>
      <c r="C9" s="10"/>
      <c r="D9" s="13">
        <f t="shared" si="1"/>
        <v>0</v>
      </c>
      <c r="F9" s="128"/>
      <c r="G9" s="140"/>
      <c r="H9" s="141"/>
      <c r="I9" s="141"/>
      <c r="J9" s="1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5"/>
      <c r="B10" t="s">
        <v>25</v>
      </c>
      <c r="C10" s="10"/>
      <c r="D10" s="13">
        <f t="shared" si="1"/>
        <v>0</v>
      </c>
      <c r="F10" s="127" t="s">
        <v>26</v>
      </c>
      <c r="G10" s="143" t="s">
        <v>101</v>
      </c>
      <c r="H10" s="144"/>
      <c r="I10" s="144"/>
      <c r="J10" s="145"/>
      <c r="K10" s="8"/>
      <c r="L10" s="6">
        <f>R36</f>
        <v>1032</v>
      </c>
      <c r="P10" s="4"/>
      <c r="Q10" s="4"/>
      <c r="R10" s="5"/>
    </row>
    <row r="11" spans="1:18" ht="15.75" x14ac:dyDescent="0.25">
      <c r="A11" s="125"/>
      <c r="B11" s="17" t="s">
        <v>28</v>
      </c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5"/>
      <c r="B12" s="17" t="s">
        <v>30</v>
      </c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5"/>
      <c r="B13" s="17" t="s">
        <v>32</v>
      </c>
      <c r="C13" s="10"/>
      <c r="D13" s="48">
        <f t="shared" si="1"/>
        <v>0</v>
      </c>
      <c r="F13" s="149" t="s">
        <v>36</v>
      </c>
      <c r="G13" s="150"/>
      <c r="H13" s="151">
        <f>D29</f>
        <v>0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5"/>
      <c r="B14" s="14" t="s">
        <v>35</v>
      </c>
      <c r="C14" s="10"/>
      <c r="D14" s="31">
        <f t="shared" si="1"/>
        <v>0</v>
      </c>
      <c r="F14" s="154" t="s">
        <v>38</v>
      </c>
      <c r="G14" s="155"/>
      <c r="H14" s="156">
        <f>D54</f>
        <v>0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5"/>
      <c r="B15" s="14" t="s">
        <v>119</v>
      </c>
      <c r="C15" s="10"/>
      <c r="D15" s="31">
        <f t="shared" si="1"/>
        <v>0</v>
      </c>
      <c r="F15" s="159" t="s">
        <v>39</v>
      </c>
      <c r="G15" s="150"/>
      <c r="H15" s="160">
        <f>H13-H14</f>
        <v>0</v>
      </c>
      <c r="I15" s="161"/>
      <c r="J15" s="16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3"/>
      <c r="I16" s="163"/>
      <c r="J16" s="16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9"/>
      <c r="I19" s="249"/>
      <c r="J19" s="2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5"/>
      <c r="B22" s="46" t="s">
        <v>103</v>
      </c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 t="s">
        <v>118</v>
      </c>
      <c r="C23" s="10"/>
      <c r="D23" s="48">
        <f t="shared" si="1"/>
        <v>0</v>
      </c>
      <c r="F23" s="77"/>
      <c r="G23" s="78"/>
      <c r="H23" s="250"/>
      <c r="I23" s="186"/>
      <c r="J23" s="1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 t="s">
        <v>125</v>
      </c>
      <c r="C24" s="10"/>
      <c r="D24" s="48">
        <f t="shared" si="1"/>
        <v>0</v>
      </c>
      <c r="F24" s="38"/>
      <c r="G24" s="37"/>
      <c r="H24" s="187"/>
      <c r="I24" s="188"/>
      <c r="J24" s="1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 t="s">
        <v>126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5"/>
      <c r="B27" s="14" t="s">
        <v>127</v>
      </c>
      <c r="C27" s="10"/>
      <c r="D27" s="44">
        <f t="shared" si="1"/>
        <v>0</v>
      </c>
      <c r="F27" s="25"/>
      <c r="G27" s="79"/>
      <c r="H27" s="195"/>
      <c r="I27" s="196"/>
      <c r="J27" s="19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 t="s">
        <v>92</v>
      </c>
      <c r="C28" s="10"/>
      <c r="D28" s="48">
        <f t="shared" si="1"/>
        <v>0</v>
      </c>
      <c r="F28" s="104"/>
      <c r="G28" s="61"/>
      <c r="H28" s="198"/>
      <c r="I28" s="199"/>
      <c r="J28" s="20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4" t="s">
        <v>36</v>
      </c>
      <c r="B29" s="165"/>
      <c r="C29" s="166"/>
      <c r="D29" s="170">
        <f>SUM(D6:D28)</f>
        <v>0</v>
      </c>
      <c r="F29" s="172" t="s">
        <v>54</v>
      </c>
      <c r="G29" s="173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4">
        <f>F34*G34</f>
        <v>0</v>
      </c>
      <c r="I34" s="205"/>
      <c r="J34" s="20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/>
      <c r="H35" s="204">
        <f>F35*G35</f>
        <v>0</v>
      </c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>
        <f t="shared" ref="H36:H39" si="2">F36*G36</f>
        <v>0</v>
      </c>
      <c r="I36" s="205"/>
      <c r="J36" s="20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4">
        <f t="shared" si="2"/>
        <v>0</v>
      </c>
      <c r="I37" s="205"/>
      <c r="J37" s="20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5"/>
      <c r="B38" s="29" t="s">
        <v>67</v>
      </c>
      <c r="C38" s="54"/>
      <c r="D38" s="12">
        <f>C38*84</f>
        <v>0</v>
      </c>
      <c r="F38" s="30">
        <v>50</v>
      </c>
      <c r="G38" s="39"/>
      <c r="H38" s="204">
        <f t="shared" si="2"/>
        <v>0</v>
      </c>
      <c r="I38" s="205"/>
      <c r="J38" s="20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/>
      <c r="H39" s="204">
        <f t="shared" si="2"/>
        <v>0</v>
      </c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4"/>
      <c r="I40" s="205"/>
      <c r="J40" s="20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/>
      <c r="H42" s="205"/>
      <c r="I42" s="205"/>
      <c r="J42" s="20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106" t="s">
        <v>82</v>
      </c>
      <c r="H43" s="210" t="s">
        <v>13</v>
      </c>
      <c r="I43" s="211"/>
      <c r="J43" s="21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/>
      <c r="G44" s="75"/>
      <c r="H44" s="188"/>
      <c r="I44" s="188"/>
      <c r="J44" s="18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75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0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/>
      <c r="D48" s="12">
        <f>C48*78</f>
        <v>0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80"/>
      <c r="D50" s="12">
        <f>C50*1.5</f>
        <v>0</v>
      </c>
      <c r="F50" s="230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113</v>
      </c>
      <c r="G51" s="233">
        <f>G49-H29</f>
        <v>0</v>
      </c>
      <c r="H51" s="234"/>
      <c r="I51" s="234"/>
      <c r="J51" s="23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8"/>
      <c r="B52" s="29"/>
      <c r="C52" s="33"/>
      <c r="D52" s="45"/>
      <c r="F52" s="232"/>
      <c r="G52" s="236"/>
      <c r="H52" s="237"/>
      <c r="I52" s="237"/>
      <c r="J52" s="23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381C5-8248-4D9E-A668-767AA27D942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0" t="s">
        <v>1</v>
      </c>
      <c r="O1" s="110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11" t="s">
        <v>7</v>
      </c>
      <c r="B4" s="112"/>
      <c r="C4" s="112"/>
      <c r="D4" s="113"/>
      <c r="F4" s="114" t="s">
        <v>8</v>
      </c>
      <c r="G4" s="116">
        <v>3</v>
      </c>
      <c r="H4" s="118" t="s">
        <v>9</v>
      </c>
      <c r="I4" s="120">
        <v>46188</v>
      </c>
      <c r="J4" s="121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24" t="s">
        <v>7</v>
      </c>
      <c r="B5" s="15" t="s">
        <v>11</v>
      </c>
      <c r="C5" s="9" t="s">
        <v>12</v>
      </c>
      <c r="D5" s="25" t="s">
        <v>13</v>
      </c>
      <c r="F5" s="115"/>
      <c r="G5" s="117"/>
      <c r="H5" s="119"/>
      <c r="I5" s="122"/>
      <c r="J5" s="123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25"/>
      <c r="B6" s="16" t="s">
        <v>15</v>
      </c>
      <c r="C6" s="10"/>
      <c r="D6" s="13">
        <f t="shared" ref="D6:D28" si="1">C6*L6</f>
        <v>0</v>
      </c>
      <c r="F6" s="127" t="s">
        <v>16</v>
      </c>
      <c r="G6" s="129" t="s">
        <v>115</v>
      </c>
      <c r="H6" s="130"/>
      <c r="I6" s="130"/>
      <c r="J6" s="131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25"/>
      <c r="B7" s="16" t="s">
        <v>18</v>
      </c>
      <c r="C7" s="10"/>
      <c r="D7" s="13">
        <f t="shared" si="1"/>
        <v>0</v>
      </c>
      <c r="F7" s="128"/>
      <c r="G7" s="132"/>
      <c r="H7" s="133"/>
      <c r="I7" s="133"/>
      <c r="J7" s="134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25"/>
      <c r="B8" s="16" t="s">
        <v>20</v>
      </c>
      <c r="C8" s="10"/>
      <c r="D8" s="13">
        <f t="shared" si="1"/>
        <v>0</v>
      </c>
      <c r="F8" s="135" t="s">
        <v>21</v>
      </c>
      <c r="G8" s="137" t="s">
        <v>109</v>
      </c>
      <c r="H8" s="138"/>
      <c r="I8" s="138"/>
      <c r="J8" s="139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25"/>
      <c r="B9" s="16" t="s">
        <v>23</v>
      </c>
      <c r="C9" s="10"/>
      <c r="D9" s="13">
        <f t="shared" si="1"/>
        <v>0</v>
      </c>
      <c r="F9" s="128"/>
      <c r="G9" s="140"/>
      <c r="H9" s="141"/>
      <c r="I9" s="141"/>
      <c r="J9" s="142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25"/>
      <c r="B10" t="s">
        <v>25</v>
      </c>
      <c r="C10" s="10"/>
      <c r="D10" s="13">
        <f t="shared" si="1"/>
        <v>0</v>
      </c>
      <c r="F10" s="127" t="s">
        <v>26</v>
      </c>
      <c r="G10" s="143" t="s">
        <v>121</v>
      </c>
      <c r="H10" s="144"/>
      <c r="I10" s="144"/>
      <c r="J10" s="145"/>
      <c r="K10" s="8"/>
      <c r="L10" s="6">
        <f>R36</f>
        <v>1032</v>
      </c>
      <c r="P10" s="4"/>
      <c r="Q10" s="4"/>
      <c r="R10" s="5"/>
    </row>
    <row r="11" spans="1:18" ht="15.75" x14ac:dyDescent="0.25">
      <c r="A11" s="125"/>
      <c r="B11" s="17" t="s">
        <v>28</v>
      </c>
      <c r="C11" s="10"/>
      <c r="D11" s="13">
        <f t="shared" si="1"/>
        <v>0</v>
      </c>
      <c r="F11" s="128"/>
      <c r="G11" s="140"/>
      <c r="H11" s="141"/>
      <c r="I11" s="141"/>
      <c r="J11" s="142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25"/>
      <c r="B12" s="17" t="s">
        <v>30</v>
      </c>
      <c r="C12" s="10"/>
      <c r="D12" s="48">
        <f t="shared" si="1"/>
        <v>0</v>
      </c>
      <c r="F12" s="146" t="s">
        <v>33</v>
      </c>
      <c r="G12" s="147"/>
      <c r="H12" s="147"/>
      <c r="I12" s="147"/>
      <c r="J12" s="148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25"/>
      <c r="B13" s="17" t="s">
        <v>32</v>
      </c>
      <c r="C13" s="10"/>
      <c r="D13" s="48">
        <f t="shared" si="1"/>
        <v>0</v>
      </c>
      <c r="F13" s="149" t="s">
        <v>36</v>
      </c>
      <c r="G13" s="150"/>
      <c r="H13" s="151">
        <f>D29</f>
        <v>0</v>
      </c>
      <c r="I13" s="152"/>
      <c r="J13" s="153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25"/>
      <c r="B14" s="14" t="s">
        <v>35</v>
      </c>
      <c r="C14" s="10"/>
      <c r="D14" s="31">
        <f t="shared" si="1"/>
        <v>0</v>
      </c>
      <c r="F14" s="154" t="s">
        <v>38</v>
      </c>
      <c r="G14" s="155"/>
      <c r="H14" s="156">
        <f>D54</f>
        <v>0</v>
      </c>
      <c r="I14" s="157"/>
      <c r="J14" s="158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25"/>
      <c r="B15" s="14" t="s">
        <v>119</v>
      </c>
      <c r="C15" s="10"/>
      <c r="D15" s="31">
        <f t="shared" si="1"/>
        <v>0</v>
      </c>
      <c r="F15" s="159" t="s">
        <v>39</v>
      </c>
      <c r="G15" s="150"/>
      <c r="H15" s="160">
        <f>H13-H14</f>
        <v>0</v>
      </c>
      <c r="I15" s="161"/>
      <c r="J15" s="162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25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163"/>
      <c r="I16" s="163"/>
      <c r="J16" s="163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25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36"/>
      <c r="I17" s="136"/>
      <c r="J17" s="13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25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36"/>
      <c r="I18" s="136"/>
      <c r="J18" s="13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25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49"/>
      <c r="I19" s="249"/>
      <c r="J19" s="2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25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163"/>
      <c r="I20" s="163"/>
      <c r="J20" s="163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25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183" t="s">
        <v>13</v>
      </c>
      <c r="I21" s="184"/>
      <c r="J21" s="185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25"/>
      <c r="B22" s="46" t="s">
        <v>103</v>
      </c>
      <c r="C22" s="10"/>
      <c r="D22" s="48">
        <f t="shared" si="1"/>
        <v>0</v>
      </c>
      <c r="F22" s="76"/>
      <c r="G22" s="72"/>
      <c r="H22" s="186"/>
      <c r="I22" s="186"/>
      <c r="J22" s="186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25"/>
      <c r="B23" s="14" t="s">
        <v>118</v>
      </c>
      <c r="C23" s="10"/>
      <c r="D23" s="48">
        <f t="shared" si="1"/>
        <v>0</v>
      </c>
      <c r="F23" s="77"/>
      <c r="G23" s="78"/>
      <c r="H23" s="250"/>
      <c r="I23" s="186"/>
      <c r="J23" s="18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25"/>
      <c r="B24" s="14" t="s">
        <v>125</v>
      </c>
      <c r="C24" s="10"/>
      <c r="D24" s="48">
        <f t="shared" si="1"/>
        <v>0</v>
      </c>
      <c r="F24" s="38"/>
      <c r="G24" s="37"/>
      <c r="H24" s="187"/>
      <c r="I24" s="188"/>
      <c r="J24" s="1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25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89" t="s">
        <v>13</v>
      </c>
      <c r="I25" s="190"/>
      <c r="J25" s="191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25"/>
      <c r="B26" s="14" t="s">
        <v>126</v>
      </c>
      <c r="C26" s="10"/>
      <c r="D26" s="48">
        <f t="shared" si="1"/>
        <v>0</v>
      </c>
      <c r="F26" s="64"/>
      <c r="G26" s="59"/>
      <c r="H26" s="192"/>
      <c r="I26" s="193"/>
      <c r="J26" s="19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25"/>
      <c r="B27" s="14" t="s">
        <v>127</v>
      </c>
      <c r="C27" s="10"/>
      <c r="D27" s="44">
        <f t="shared" si="1"/>
        <v>0</v>
      </c>
      <c r="F27" s="25"/>
      <c r="G27" s="79"/>
      <c r="H27" s="195"/>
      <c r="I27" s="196"/>
      <c r="J27" s="197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26"/>
      <c r="B28" s="46" t="s">
        <v>92</v>
      </c>
      <c r="C28" s="10"/>
      <c r="D28" s="48">
        <f t="shared" si="1"/>
        <v>0</v>
      </c>
      <c r="F28" s="104"/>
      <c r="G28" s="61"/>
      <c r="H28" s="198"/>
      <c r="I28" s="199"/>
      <c r="J28" s="200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64" t="s">
        <v>36</v>
      </c>
      <c r="B29" s="165"/>
      <c r="C29" s="166"/>
      <c r="D29" s="170">
        <f>SUM(D6:D28)</f>
        <v>0</v>
      </c>
      <c r="F29" s="172" t="s">
        <v>54</v>
      </c>
      <c r="G29" s="173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67"/>
      <c r="B30" s="168"/>
      <c r="C30" s="169"/>
      <c r="D30" s="171"/>
      <c r="F30" s="174"/>
      <c r="G30" s="175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11" t="s">
        <v>57</v>
      </c>
      <c r="B32" s="112"/>
      <c r="C32" s="112"/>
      <c r="D32" s="113"/>
      <c r="F32" s="201" t="s">
        <v>58</v>
      </c>
      <c r="G32" s="202"/>
      <c r="H32" s="202"/>
      <c r="I32" s="202"/>
      <c r="J32" s="203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01" t="s">
        <v>13</v>
      </c>
      <c r="I33" s="202"/>
      <c r="J33" s="203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24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04">
        <f>F34*G34</f>
        <v>0</v>
      </c>
      <c r="I34" s="205"/>
      <c r="J34" s="206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25"/>
      <c r="B35" s="27" t="s">
        <v>67</v>
      </c>
      <c r="C35" s="52"/>
      <c r="D35" s="30">
        <f>C35*84</f>
        <v>0</v>
      </c>
      <c r="F35" s="58">
        <v>500</v>
      </c>
      <c r="G35" s="41"/>
      <c r="H35" s="204">
        <f>F35*G35</f>
        <v>0</v>
      </c>
      <c r="I35" s="205"/>
      <c r="J35" s="206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26"/>
      <c r="B36" s="26" t="s">
        <v>69</v>
      </c>
      <c r="C36" s="10"/>
      <c r="D36" s="12">
        <f>C36*1.5</f>
        <v>0</v>
      </c>
      <c r="F36" s="12">
        <v>200</v>
      </c>
      <c r="G36" s="37"/>
      <c r="H36" s="204">
        <f t="shared" ref="H36:H39" si="2">F36*G36</f>
        <v>0</v>
      </c>
      <c r="I36" s="205"/>
      <c r="J36" s="206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24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04">
        <f t="shared" si="2"/>
        <v>0</v>
      </c>
      <c r="I37" s="205"/>
      <c r="J37" s="206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25"/>
      <c r="B38" s="29" t="s">
        <v>67</v>
      </c>
      <c r="C38" s="54"/>
      <c r="D38" s="12">
        <f>C38*84</f>
        <v>0</v>
      </c>
      <c r="F38" s="30">
        <v>50</v>
      </c>
      <c r="G38" s="39"/>
      <c r="H38" s="204">
        <f t="shared" si="2"/>
        <v>0</v>
      </c>
      <c r="I38" s="205"/>
      <c r="J38" s="206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26"/>
      <c r="B39" s="29" t="s">
        <v>69</v>
      </c>
      <c r="C39" s="52"/>
      <c r="D39" s="31">
        <f>C39*4.5</f>
        <v>0</v>
      </c>
      <c r="F39" s="12">
        <v>20</v>
      </c>
      <c r="G39" s="37"/>
      <c r="H39" s="204">
        <f t="shared" si="2"/>
        <v>0</v>
      </c>
      <c r="I39" s="205"/>
      <c r="J39" s="206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24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04"/>
      <c r="I40" s="205"/>
      <c r="J40" s="206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25"/>
      <c r="B41" s="27" t="s">
        <v>67</v>
      </c>
      <c r="C41" s="10"/>
      <c r="D41" s="12">
        <f>C41*84</f>
        <v>0</v>
      </c>
      <c r="F41" s="12">
        <v>5</v>
      </c>
      <c r="G41" s="42"/>
      <c r="H41" s="204"/>
      <c r="I41" s="205"/>
      <c r="J41" s="206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26"/>
      <c r="B42" s="27" t="s">
        <v>69</v>
      </c>
      <c r="C42" s="11"/>
      <c r="D42" s="12">
        <f>C42*2.25</f>
        <v>0</v>
      </c>
      <c r="F42" s="39" t="s">
        <v>78</v>
      </c>
      <c r="G42" s="204"/>
      <c r="H42" s="205"/>
      <c r="I42" s="205"/>
      <c r="J42" s="206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07" t="s">
        <v>80</v>
      </c>
      <c r="C43" s="11"/>
      <c r="D43" s="12"/>
      <c r="F43" s="59" t="s">
        <v>81</v>
      </c>
      <c r="G43" s="106" t="s">
        <v>82</v>
      </c>
      <c r="H43" s="210" t="s">
        <v>13</v>
      </c>
      <c r="I43" s="211"/>
      <c r="J43" s="21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08"/>
      <c r="B44" s="27" t="s">
        <v>65</v>
      </c>
      <c r="C44" s="10"/>
      <c r="D44" s="12">
        <f>C44*120</f>
        <v>0</v>
      </c>
      <c r="F44" s="37"/>
      <c r="G44" s="75"/>
      <c r="H44" s="188"/>
      <c r="I44" s="188"/>
      <c r="J44" s="188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08"/>
      <c r="B45" s="27" t="s">
        <v>67</v>
      </c>
      <c r="C45" s="33"/>
      <c r="D45" s="12">
        <f>C45*84</f>
        <v>0</v>
      </c>
      <c r="F45" s="37"/>
      <c r="G45" s="75"/>
      <c r="H45" s="188"/>
      <c r="I45" s="188"/>
      <c r="J45" s="188"/>
      <c r="K45" s="21"/>
      <c r="P45" s="4"/>
      <c r="Q45" s="4"/>
      <c r="R45" s="5"/>
    </row>
    <row r="46" spans="1:18" ht="15.75" x14ac:dyDescent="0.25">
      <c r="A46" s="208"/>
      <c r="B46" s="49" t="s">
        <v>69</v>
      </c>
      <c r="C46" s="80"/>
      <c r="D46" s="12">
        <f>C46*1.5</f>
        <v>0</v>
      </c>
      <c r="F46" s="37"/>
      <c r="G46" s="62"/>
      <c r="H46" s="213"/>
      <c r="I46" s="213"/>
      <c r="J46" s="213"/>
      <c r="K46" s="21"/>
      <c r="P46" s="4"/>
      <c r="Q46" s="4"/>
      <c r="R46" s="5"/>
    </row>
    <row r="47" spans="1:18" ht="15.75" x14ac:dyDescent="0.25">
      <c r="A47" s="209"/>
      <c r="B47" s="27"/>
      <c r="C47" s="11"/>
      <c r="D47" s="12"/>
      <c r="F47" s="59"/>
      <c r="G47" s="59"/>
      <c r="H47" s="214"/>
      <c r="I47" s="215"/>
      <c r="J47" s="216"/>
      <c r="K47" s="21"/>
      <c r="P47" s="4"/>
      <c r="Q47" s="4"/>
      <c r="R47" s="5"/>
    </row>
    <row r="48" spans="1:18" ht="15" customHeight="1" x14ac:dyDescent="0.25">
      <c r="A48" s="207" t="s">
        <v>32</v>
      </c>
      <c r="B48" s="27" t="s">
        <v>65</v>
      </c>
      <c r="C48" s="10"/>
      <c r="D48" s="12">
        <f>C48*78</f>
        <v>0</v>
      </c>
      <c r="F48" s="59"/>
      <c r="G48" s="59"/>
      <c r="H48" s="214"/>
      <c r="I48" s="215"/>
      <c r="J48" s="216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08"/>
      <c r="B49" s="29" t="s">
        <v>67</v>
      </c>
      <c r="C49" s="33"/>
      <c r="D49" s="12">
        <f>C49*42</f>
        <v>0</v>
      </c>
      <c r="F49" s="229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08"/>
      <c r="B50" s="32" t="s">
        <v>69</v>
      </c>
      <c r="C50" s="11"/>
      <c r="D50" s="12">
        <f>C50*1.5</f>
        <v>0</v>
      </c>
      <c r="F50" s="230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208"/>
      <c r="B51" s="27"/>
      <c r="C51" s="10"/>
      <c r="D51" s="31"/>
      <c r="F51" s="231" t="s">
        <v>113</v>
      </c>
      <c r="G51" s="233">
        <f>G49-H29</f>
        <v>0</v>
      </c>
      <c r="H51" s="234"/>
      <c r="I51" s="234"/>
      <c r="J51" s="23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08"/>
      <c r="B52" s="29"/>
      <c r="C52" s="33"/>
      <c r="D52" s="45"/>
      <c r="F52" s="232"/>
      <c r="G52" s="236"/>
      <c r="H52" s="237"/>
      <c r="I52" s="237"/>
      <c r="J52" s="23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09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72" t="s">
        <v>89</v>
      </c>
      <c r="B54" s="217"/>
      <c r="C54" s="218"/>
      <c r="D54" s="221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74"/>
      <c r="B55" s="219"/>
      <c r="C55" s="220"/>
      <c r="D55" s="222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23" t="s">
        <v>90</v>
      </c>
      <c r="B58" s="224"/>
      <c r="C58" s="224"/>
      <c r="D58" s="225"/>
      <c r="F58" s="223" t="s">
        <v>91</v>
      </c>
      <c r="G58" s="224"/>
      <c r="H58" s="224"/>
      <c r="I58" s="224"/>
      <c r="J58" s="225"/>
    </row>
    <row r="59" spans="1:18" x14ac:dyDescent="0.25">
      <c r="A59" s="226"/>
      <c r="B59" s="227"/>
      <c r="C59" s="227"/>
      <c r="D59" s="228"/>
      <c r="F59" s="226"/>
      <c r="G59" s="227"/>
      <c r="H59" s="227"/>
      <c r="I59" s="227"/>
      <c r="J59" s="228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53</vt:i4>
      </vt:variant>
      <vt:variant>
        <vt:lpstr>Named Ranges</vt:lpstr>
      </vt:variant>
      <vt:variant>
        <vt:i4>52</vt:i4>
      </vt:variant>
    </vt:vector>
  </HeadingPairs>
  <TitlesOfParts>
    <vt:vector size="105" baseType="lpstr">
      <vt:lpstr>(JUNE 2026)</vt:lpstr>
      <vt:lpstr>(01)</vt:lpstr>
      <vt:lpstr>06,01 R1</vt:lpstr>
      <vt:lpstr>06,01 R2</vt:lpstr>
      <vt:lpstr>06,01 R3</vt:lpstr>
      <vt:lpstr>(2)</vt:lpstr>
      <vt:lpstr>06,02 R1 </vt:lpstr>
      <vt:lpstr>06,02 R2 </vt:lpstr>
      <vt:lpstr>06,02 R3</vt:lpstr>
      <vt:lpstr>(3)</vt:lpstr>
      <vt:lpstr>06,03 R1 </vt:lpstr>
      <vt:lpstr>06,03 R2 NO TRIP </vt:lpstr>
      <vt:lpstr>06,03 R3 NO TRIP</vt:lpstr>
      <vt:lpstr>(4)</vt:lpstr>
      <vt:lpstr>06,04 R1 </vt:lpstr>
      <vt:lpstr>06,04 R2 </vt:lpstr>
      <vt:lpstr>06,04 R3  </vt:lpstr>
      <vt:lpstr>(5)</vt:lpstr>
      <vt:lpstr>06,05 R1  </vt:lpstr>
      <vt:lpstr>06,05 R2 </vt:lpstr>
      <vt:lpstr>06,05 R3  </vt:lpstr>
      <vt:lpstr>(6)</vt:lpstr>
      <vt:lpstr>06,06 R1 </vt:lpstr>
      <vt:lpstr>06,06 R2 </vt:lpstr>
      <vt:lpstr>06,06 R3 </vt:lpstr>
      <vt:lpstr>(8)</vt:lpstr>
      <vt:lpstr>06,07 R1 (2)</vt:lpstr>
      <vt:lpstr>06,07 R2  (2)</vt:lpstr>
      <vt:lpstr>06,07 R3  (2)</vt:lpstr>
      <vt:lpstr>(9)</vt:lpstr>
      <vt:lpstr>06,09 R1</vt:lpstr>
      <vt:lpstr>06,09 R2 </vt:lpstr>
      <vt:lpstr>06,09 R3 </vt:lpstr>
      <vt:lpstr>(10)</vt:lpstr>
      <vt:lpstr>06,10 R1 </vt:lpstr>
      <vt:lpstr>06,10 R2  </vt:lpstr>
      <vt:lpstr>06,10 R3 </vt:lpstr>
      <vt:lpstr>(11)</vt:lpstr>
      <vt:lpstr>06,11 R1 </vt:lpstr>
      <vt:lpstr>06,11 R2 </vt:lpstr>
      <vt:lpstr>06,11 R3</vt:lpstr>
      <vt:lpstr>(12)</vt:lpstr>
      <vt:lpstr>06,12 R1  </vt:lpstr>
      <vt:lpstr>06,12 R2  </vt:lpstr>
      <vt:lpstr>06,12 R3 </vt:lpstr>
      <vt:lpstr>(13)</vt:lpstr>
      <vt:lpstr>06,13 R1 </vt:lpstr>
      <vt:lpstr>06,13 R2 </vt:lpstr>
      <vt:lpstr>06,13 R3 </vt:lpstr>
      <vt:lpstr>(15)</vt:lpstr>
      <vt:lpstr>06,15 R1</vt:lpstr>
      <vt:lpstr>06,15 R2</vt:lpstr>
      <vt:lpstr>06,15 R3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'(2)'!Print_Area</vt:lpstr>
      <vt:lpstr>'(3)'!Print_Area</vt:lpstr>
      <vt:lpstr>'(4)'!Print_Area</vt:lpstr>
      <vt:lpstr>'(5)'!Print_Area</vt:lpstr>
      <vt:lpstr>'(6)'!Print_Area</vt:lpstr>
      <vt:lpstr>'(8)'!Print_Area</vt:lpstr>
      <vt:lpstr>'(9)'!Print_Area</vt:lpstr>
      <vt:lpstr>'06,01 R1'!Print_Area</vt:lpstr>
      <vt:lpstr>'06,01 R2'!Print_Area</vt:lpstr>
      <vt:lpstr>'06,01 R3'!Print_Area</vt:lpstr>
      <vt:lpstr>'06,02 R1 '!Print_Area</vt:lpstr>
      <vt:lpstr>'06,02 R2 '!Print_Area</vt:lpstr>
      <vt:lpstr>'06,02 R3'!Print_Area</vt:lpstr>
      <vt:lpstr>'06,03 R1 '!Print_Area</vt:lpstr>
      <vt:lpstr>'06,03 R2 NO TRIP '!Print_Area</vt:lpstr>
      <vt:lpstr>'06,03 R3 NO TRIP'!Print_Area</vt:lpstr>
      <vt:lpstr>'06,04 R1 '!Print_Area</vt:lpstr>
      <vt:lpstr>'06,04 R2 '!Print_Area</vt:lpstr>
      <vt:lpstr>'06,04 R3  '!Print_Area</vt:lpstr>
      <vt:lpstr>'06,05 R1  '!Print_Area</vt:lpstr>
      <vt:lpstr>'06,05 R2 '!Print_Area</vt:lpstr>
      <vt:lpstr>'06,05 R3  '!Print_Area</vt:lpstr>
      <vt:lpstr>'06,06 R1 '!Print_Area</vt:lpstr>
      <vt:lpstr>'06,06 R2 '!Print_Area</vt:lpstr>
      <vt:lpstr>'06,06 R3 '!Print_Area</vt:lpstr>
      <vt:lpstr>'06,07 R1 (2)'!Print_Area</vt:lpstr>
      <vt:lpstr>'06,07 R2  (2)'!Print_Area</vt:lpstr>
      <vt:lpstr>'06,07 R3  (2)'!Print_Area</vt:lpstr>
      <vt:lpstr>'06,09 R1'!Print_Area</vt:lpstr>
      <vt:lpstr>'06,09 R2 '!Print_Area</vt:lpstr>
      <vt:lpstr>'06,09 R3 '!Print_Area</vt:lpstr>
      <vt:lpstr>'06,10 R1 '!Print_Area</vt:lpstr>
      <vt:lpstr>'06,10 R2  '!Print_Area</vt:lpstr>
      <vt:lpstr>'06,10 R3 '!Print_Area</vt:lpstr>
      <vt:lpstr>'06,11 R1 '!Print_Area</vt:lpstr>
      <vt:lpstr>'06,11 R2 '!Print_Area</vt:lpstr>
      <vt:lpstr>'06,11 R3'!Print_Area</vt:lpstr>
      <vt:lpstr>'06,12 R1  '!Print_Area</vt:lpstr>
      <vt:lpstr>'06,12 R2  '!Print_Area</vt:lpstr>
      <vt:lpstr>'06,12 R3 '!Print_Area</vt:lpstr>
      <vt:lpstr>'06,13 R1 '!Print_Area</vt:lpstr>
      <vt:lpstr>'06,13 R2 '!Print_Area</vt:lpstr>
      <vt:lpstr>'06,13 R3 '!Print_Area</vt:lpstr>
      <vt:lpstr>'06,15 R1'!Print_Area</vt:lpstr>
      <vt:lpstr>'06,15 R2'!Print_Area</vt:lpstr>
      <vt:lpstr>'06,15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2026-06-03T23:59:31Z</cp:lastPrinted>
  <dcterms:created xsi:type="dcterms:W3CDTF">2024-09-01T23:36:50Z</dcterms:created>
  <dcterms:modified xsi:type="dcterms:W3CDTF">2026-06-04T08:16:51Z</dcterms:modified>
</cp:coreProperties>
</file>