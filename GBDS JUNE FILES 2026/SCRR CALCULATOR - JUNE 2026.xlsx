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CFBBC4F-862C-4290-B197-3D8FAFC3075C}" xr6:coauthVersionLast="45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" sheetId="2113" r:id="rId12"/>
    <sheet name="06,03 R3 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 " sheetId="2120" r:id="rId19"/>
    <sheet name="06,05 R2 " sheetId="2121" r:id="rId20"/>
    <sheet name="06,05 R3  " sheetId="2122" r:id="rId21"/>
    <sheet name="(6)" sheetId="2123" r:id="rId22"/>
    <sheet name="06,06 R1 " sheetId="2127" r:id="rId23"/>
    <sheet name="06,06 R2 " sheetId="2125" r:id="rId24"/>
    <sheet name="06,06 R3 " sheetId="2126" r:id="rId25"/>
    <sheet name="(8)" sheetId="2132" r:id="rId26"/>
    <sheet name="06,07 R1 (2)" sheetId="2133" r:id="rId27"/>
    <sheet name="06,07 R2  (2)" sheetId="2134" r:id="rId28"/>
    <sheet name="06,07 R3  (2)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 " sheetId="2138" r:id="rId36"/>
    <sheet name="06,10 R3 " sheetId="2139" r:id="rId37"/>
    <sheet name="(11)" sheetId="2140" r:id="rId38"/>
    <sheet name="06,11 R1 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" sheetId="2147" r:id="rId45"/>
    <sheet name="(13)" sheetId="2148" r:id="rId46"/>
    <sheet name="06,13 R1 " sheetId="2149" r:id="rId47"/>
    <sheet name="06,13 R2 " sheetId="2150" r:id="rId48"/>
    <sheet name="06,13 R3 " sheetId="2151" r:id="rId49"/>
    <sheet name="(15)" sheetId="2152" r:id="rId50"/>
    <sheet name="06,15 R1" sheetId="2153" r:id="rId51"/>
    <sheet name="06,15 R2" sheetId="2154" r:id="rId52"/>
    <sheet name="06,15 R3" sheetId="2155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'!$A$1:$J$60</definedName>
    <definedName name="_xlnm.Print_Area" localSheetId="12">'06,03 R3 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 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'!$A$1:$J$60</definedName>
    <definedName name="_xlnm.Print_Area" localSheetId="23">'06,06 R2 '!$A$1:$J$60</definedName>
    <definedName name="_xlnm.Print_Area" localSheetId="24">'06,06 R3 '!$A$1:$J$60</definedName>
    <definedName name="_xlnm.Print_Area" localSheetId="26">'06,07 R1 (2)'!$A$1:$J$60</definedName>
    <definedName name="_xlnm.Print_Area" localSheetId="27">'06,07 R2  (2)'!$A$1:$J$60</definedName>
    <definedName name="_xlnm.Print_Area" localSheetId="28">'06,07 R3  (2)'!$A$1:$J$60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 '!$A$1:$J$60</definedName>
    <definedName name="_xlnm.Print_Area" localSheetId="36">'06,10 R3 '!$A$1:$J$60</definedName>
    <definedName name="_xlnm.Print_Area" localSheetId="38">'06,11 R1 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'!$A$1:$J$60</definedName>
    <definedName name="_xlnm.Print_Area" localSheetId="46">'06,13 R1 '!$A$1:$J$60</definedName>
    <definedName name="_xlnm.Print_Area" localSheetId="47">'06,13 R2 '!$A$1:$J$60</definedName>
    <definedName name="_xlnm.Print_Area" localSheetId="48">'06,13 R3 '!$A$1:$J$60</definedName>
    <definedName name="_xlnm.Print_Area" localSheetId="50">'06,15 R1'!$A$1:$J$60</definedName>
    <definedName name="_xlnm.Print_Area" localSheetId="51">'06,15 R2'!$A$1:$J$60</definedName>
    <definedName name="_xlnm.Print_Area" localSheetId="52">'06,15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G49" i="2155" s="1"/>
  <c r="D34" i="2155"/>
  <c r="D54" i="2155" s="1"/>
  <c r="H14" i="2155" s="1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G49" i="2154" s="1"/>
  <c r="D35" i="2154"/>
  <c r="D54" i="2154" s="1"/>
  <c r="H14" i="2154" s="1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G49" i="2153" s="1"/>
  <c r="D36" i="2153"/>
  <c r="D54" i="2153" s="1"/>
  <c r="H14" i="2153" s="1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G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G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D54" i="2146" s="1"/>
  <c r="H14" i="2146" s="1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G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D54" i="2145" s="1"/>
  <c r="H14" i="2145" s="1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D54" i="2143" s="1"/>
  <c r="H14" i="2143" s="1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G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D54" i="2142" s="1"/>
  <c r="H14" i="2142" s="1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29" i="2155" l="1"/>
  <c r="H13" i="2155" s="1"/>
  <c r="H15" i="2155" s="1"/>
  <c r="H29" i="2155" s="1"/>
  <c r="G51" i="2155"/>
  <c r="D29" i="2154"/>
  <c r="H13" i="2154" s="1"/>
  <c r="H15" i="2154" s="1"/>
  <c r="H29" i="2154" s="1"/>
  <c r="G51" i="2154" s="1"/>
  <c r="D29" i="2153"/>
  <c r="H13" i="2153" s="1"/>
  <c r="H15" i="2153" s="1"/>
  <c r="H29" i="2153" s="1"/>
  <c r="G51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G51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H15" i="2146" s="1"/>
  <c r="H29" i="2146" s="1"/>
  <c r="G51" i="2146" s="1"/>
  <c r="D29" i="2145"/>
  <c r="H13" i="2145" s="1"/>
  <c r="H15" i="2145" s="1"/>
  <c r="H29" i="2145" s="1"/>
  <c r="G51" i="2145" s="1"/>
  <c r="D29" i="2144"/>
  <c r="H13" i="2144" s="1"/>
  <c r="H15" i="2144" s="1"/>
  <c r="H29" i="2144" s="1"/>
  <c r="G51" i="2144" s="1"/>
  <c r="D29" i="2143"/>
  <c r="H13" i="2143" s="1"/>
  <c r="H15" i="2143" s="1"/>
  <c r="H29" i="2143" s="1"/>
  <c r="G51" i="2143"/>
  <c r="D29" i="2142"/>
  <c r="H13" i="2142" s="1"/>
  <c r="H15" i="2142" s="1"/>
  <c r="H29" i="2142" s="1"/>
  <c r="G51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G49" i="2139" s="1"/>
  <c r="D34" i="2139"/>
  <c r="D54" i="2139" s="1"/>
  <c r="H14" i="2139" s="1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D54" i="2138"/>
  <c r="H14" i="2138" s="1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D54" i="2137" s="1"/>
  <c r="H14" i="2137" s="1"/>
  <c r="R35" i="2137"/>
  <c r="L18" i="2137" s="1"/>
  <c r="D18" i="2137" s="1"/>
  <c r="H35" i="2137"/>
  <c r="D35" i="2137"/>
  <c r="R34" i="2137"/>
  <c r="H34" i="2137"/>
  <c r="G49" i="2137" s="1"/>
  <c r="D34" i="2137"/>
  <c r="R33" i="2137"/>
  <c r="R32" i="2137"/>
  <c r="R31" i="2137"/>
  <c r="R30" i="2137"/>
  <c r="R29" i="2137"/>
  <c r="R28" i="2137"/>
  <c r="L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G49" i="2135" s="1"/>
  <c r="D34" i="2135"/>
  <c r="D54" i="2135" s="1"/>
  <c r="H14" i="2135" s="1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G49" i="2134" s="1"/>
  <c r="D34" i="2134"/>
  <c r="D54" i="2134" s="1"/>
  <c r="H14" i="2134" s="1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G49" i="2131" s="1"/>
  <c r="D34" i="2131"/>
  <c r="D54" i="2131" s="1"/>
  <c r="H14" i="2131" s="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D54" i="2130" s="1"/>
  <c r="H14" i="2130" s="1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D29" i="2130" s="1"/>
  <c r="H13" i="2130" s="1"/>
  <c r="H15" i="2130" s="1"/>
  <c r="H29" i="2130" s="1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G49" i="2129" s="1"/>
  <c r="D34" i="2129"/>
  <c r="D54" i="2129" s="1"/>
  <c r="H14" i="2129" s="1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G49" i="2127" s="1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D54" i="2122"/>
  <c r="H14" i="2122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G49" i="2122" s="1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G49" i="2121" s="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D54" i="2121" s="1"/>
  <c r="H14" i="2121" s="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G49" i="2118" s="1"/>
  <c r="D34" i="2118"/>
  <c r="D54" i="2118" s="1"/>
  <c r="H14" i="2118" s="1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L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G49" i="2117" s="1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D54" i="2117" s="1"/>
  <c r="H14" i="2117" s="1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G49" i="2116" s="1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D54" i="2116" s="1"/>
  <c r="H14" i="2116" s="1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D29" i="2116" s="1"/>
  <c r="H13" i="2116" s="1"/>
  <c r="H15" i="2116" s="1"/>
  <c r="H29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D54" i="2112" s="1"/>
  <c r="H14" i="2112" s="1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G49" i="2110" s="1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D54" i="2110" s="1"/>
  <c r="H14" i="2110" s="1"/>
  <c r="R33" i="2110"/>
  <c r="R32" i="2110"/>
  <c r="L11" i="2110" s="1"/>
  <c r="D11" i="2110" s="1"/>
  <c r="R31" i="2110"/>
  <c r="R30" i="2110"/>
  <c r="R29" i="2110"/>
  <c r="R28" i="2110"/>
  <c r="R27" i="2110"/>
  <c r="L27" i="2110"/>
  <c r="D27" i="2110"/>
  <c r="R26" i="2110"/>
  <c r="L26" i="2110"/>
  <c r="D26" i="2110"/>
  <c r="R25" i="2110"/>
  <c r="L25" i="2110"/>
  <c r="D25" i="2110"/>
  <c r="R24" i="2110"/>
  <c r="L24" i="2110"/>
  <c r="D24" i="2110" s="1"/>
  <c r="R23" i="2110"/>
  <c r="L23" i="2110"/>
  <c r="D23" i="2110" s="1"/>
  <c r="R22" i="2110"/>
  <c r="L22" i="2110"/>
  <c r="D22" i="2110"/>
  <c r="R21" i="2110"/>
  <c r="L17" i="2110" s="1"/>
  <c r="D17" i="2110" s="1"/>
  <c r="L21" i="2110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G49" i="2109" s="1"/>
  <c r="D34" i="2109"/>
  <c r="D54" i="2109" s="1"/>
  <c r="H14" i="2109" s="1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G49" i="2108" s="1"/>
  <c r="D34" i="2108"/>
  <c r="D54" i="2108" s="1"/>
  <c r="H14" i="2108" s="1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D29" i="2139" l="1"/>
  <c r="H13" i="2139" s="1"/>
  <c r="H15" i="2139" s="1"/>
  <c r="H29" i="2139" s="1"/>
  <c r="G51" i="2139" s="1"/>
  <c r="D29" i="2138"/>
  <c r="H13" i="2138" s="1"/>
  <c r="H15" i="2138" s="1"/>
  <c r="H29" i="2138" s="1"/>
  <c r="G51" i="2138" s="1"/>
  <c r="D29" i="2137"/>
  <c r="H13" i="2137" s="1"/>
  <c r="H15" i="2137" s="1"/>
  <c r="H29" i="2137" s="1"/>
  <c r="G51" i="2137" s="1"/>
  <c r="D29" i="2135"/>
  <c r="H13" i="2135" s="1"/>
  <c r="H15" i="2135" s="1"/>
  <c r="H29" i="2135" s="1"/>
  <c r="G51" i="2135" s="1"/>
  <c r="D29" i="2134"/>
  <c r="H13" i="2134" s="1"/>
  <c r="H15" i="2134" s="1"/>
  <c r="H29" i="2134" s="1"/>
  <c r="G51" i="2134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H15" i="2131" s="1"/>
  <c r="H29" i="2131" s="1"/>
  <c r="G51" i="2131" s="1"/>
  <c r="G51" i="2130"/>
  <c r="D29" i="2129"/>
  <c r="H13" i="2129" s="1"/>
  <c r="H15" i="2129" s="1"/>
  <c r="H29" i="2129" s="1"/>
  <c r="G51" i="2129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G51" i="2116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H15" i="2112" s="1"/>
  <c r="H29" i="2112" s="1"/>
  <c r="G51" i="2112"/>
  <c r="D29" i="2111"/>
  <c r="H13" i="2111" s="1"/>
  <c r="H15" i="2111" s="1"/>
  <c r="H29" i="2111" s="1"/>
  <c r="G51" i="2111" s="1"/>
  <c r="D29" i="2110"/>
  <c r="H13" i="2110" s="1"/>
  <c r="H15" i="2110" s="1"/>
  <c r="H29" i="2110" s="1"/>
  <c r="G51" i="2110" s="1"/>
  <c r="D29" i="2109"/>
  <c r="H13" i="2109" s="1"/>
  <c r="H15" i="2109" s="1"/>
  <c r="H29" i="2109" s="1"/>
  <c r="G51" i="2109"/>
  <c r="D29" i="2108"/>
  <c r="H13" i="2108" s="1"/>
  <c r="H15" i="2108" s="1"/>
  <c r="H29" i="2108" s="1"/>
  <c r="G51" i="2108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D29" i="2107" l="1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<sst xmlns="http://schemas.openxmlformats.org/spreadsheetml/2006/main" count="6977" uniqueCount="144">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</sst>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320186-313F-4B0E-9DA9-9E1EB975F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56961A-11BA-43E0-9982-2DFCF7EB2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8B736-A340-4316-BF14-0267197AA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9F843-1848-4A49-A70F-2A43E187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6F9A6-3299-4370-92D5-2FD376932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39E0BB-2087-415E-99A6-15BFB688E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9C207-0E3E-42C1-A1FE-176F548F88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2B1D4-4EE7-408D-AFD9-FB0EBB987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5F853-DEA1-4FB6-81C5-E30733589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4C98A8-E2D9-4EDB-A7B8-C1953DECB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4F6500-3FF9-4D6A-A7FE-FC89D5DFF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19628-CEFA-4756-A719-BEF3368F0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87B547-975A-481B-8D6E-F99003258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40E566-44A4-488C-A4C3-E3FA838E6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CF0EE-A4EF-4C4D-B2CA-47B05BFAD9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3E4E3C-8F01-4826-A6B4-98ECAD022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848ED-8DE9-47FF-BC89-3B9DC6566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89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87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abSelected="1"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46174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>
        <v>570</v>
      </c>
      <c r="D6" s="13">
        <f t="shared" ref="D6:D28" si="1">C6*L6</f>
        <v>433770</v>
      </c>
      <c r="F6" s="125" t="s">
        <v>16</v>
      </c>
      <c r="G6" s="127" t="s">
        <v>142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>
        <v>10</v>
      </c>
      <c r="D7" s="13">
        <f t="shared" si="1"/>
        <v>7810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99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>
        <v>13</v>
      </c>
      <c r="D9" s="13">
        <f t="shared" si="1"/>
        <v>9529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>
        <v>10</v>
      </c>
      <c r="D10" s="13">
        <f t="shared" si="1"/>
        <v>10320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>
        <v>10</v>
      </c>
      <c r="D12" s="48">
        <f t="shared" si="1"/>
        <v>9920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>
        <v>6</v>
      </c>
      <c r="D13" s="48">
        <f t="shared" si="1"/>
        <v>1842</v>
      </c>
      <c r="F13" s="147" t="s">
        <v>36</v>
      </c>
      <c r="G13" s="148"/>
      <c r="H13" s="149">
        <f>D29</f>
        <v>475222.5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>
        <v>12</v>
      </c>
      <c r="D14" s="31">
        <f t="shared" si="1"/>
        <v>132</v>
      </c>
      <c r="F14" s="152" t="s">
        <v>38</v>
      </c>
      <c r="G14" s="153"/>
      <c r="H14" s="154">
        <f>D54</f>
        <v>54630.75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420591.75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1">
        <v>2760</v>
      </c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3"/>
      <c r="I23" s="244"/>
      <c r="J23" s="244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86">
        <v>68780</v>
      </c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94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475222.5</v>
      </c>
      <c r="F29" s="170" t="s">
        <v>54</v>
      </c>
      <c r="G29" s="171"/>
      <c r="H29" s="174">
        <f>H15-H16-H17-H18-H19-H20-H22-H23-H24+H26+H27+H28</f>
        <v>486611.75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02">
        <f t="shared" ref="H34:H39" si="2">F34*G34</f>
        <v>116000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02">
        <f t="shared" si="2"/>
        <v>4500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02">
        <f t="shared" si="2"/>
        <v>200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2">
        <v>80</v>
      </c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4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86">
        <v>317788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6">
        <v>13533</v>
      </c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107" t="s">
        <v>135</v>
      </c>
      <c r="H46" s="186">
        <v>33800</v>
      </c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>
        <v>26</v>
      </c>
      <c r="D49" s="12">
        <f>C49*42</f>
        <v>1092</v>
      </c>
      <c r="F49" s="227" t="s">
        <v>85</v>
      </c>
      <c r="G49" s="174">
        <f>H34+H35+H36+H37+H38+H39+H40+H41+G42+H44+H45+H46</f>
        <v>485901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>
        <v>19</v>
      </c>
      <c r="D50" s="12">
        <f>C50*1.5</f>
        <v>28.5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138</v>
      </c>
      <c r="G51" s="237">
        <f>G49-H29</f>
        <v>-710.75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22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46174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>
        <v>275</v>
      </c>
      <c r="D6" s="13">
        <f t="shared" ref="D6:D28" si="1">C6*L6</f>
        <v>209275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>
        <v>6</v>
      </c>
      <c r="D7" s="13">
        <f t="shared" si="1"/>
        <v>4686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>
        <v>40</v>
      </c>
      <c r="D9" s="13">
        <f t="shared" si="1"/>
        <v>29320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>
        <v>1</v>
      </c>
      <c r="D11" s="13">
        <f t="shared" si="1"/>
        <v>1170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>
        <v>1</v>
      </c>
      <c r="D12" s="48">
        <f t="shared" si="1"/>
        <v>992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>
        <v>3</v>
      </c>
      <c r="D13" s="48">
        <f t="shared" si="1"/>
        <v>921</v>
      </c>
      <c r="F13" s="147" t="s">
        <v>36</v>
      </c>
      <c r="G13" s="148"/>
      <c r="H13" s="149">
        <f>D29</f>
        <v>247146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>
        <v>12</v>
      </c>
      <c r="D14" s="31">
        <f t="shared" si="1"/>
        <v>132</v>
      </c>
      <c r="F14" s="152" t="s">
        <v>38</v>
      </c>
      <c r="G14" s="153"/>
      <c r="H14" s="154">
        <f>D54</f>
        <v>36182.25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210963.75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1">
        <v>696</v>
      </c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247146</v>
      </c>
      <c r="F29" s="170" t="s">
        <v>54</v>
      </c>
      <c r="G29" s="171"/>
      <c r="H29" s="174">
        <f>H15-H16-H17-H18-H19-H20-H22-H23-H24+H26+H27</f>
        <v>210267.75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02">
        <f>F34*G34</f>
        <v>186000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02">
        <f>F35*G35</f>
        <v>23500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02">
        <f t="shared" si="2"/>
        <v>300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02">
        <f t="shared" si="2"/>
        <v>50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2">
        <v>242</v>
      </c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4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>
        <v>2</v>
      </c>
      <c r="D44" s="12">
        <f>C44*120</f>
        <v>240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210092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>
        <v>3</v>
      </c>
      <c r="D50" s="12">
        <f>C50*1.5</f>
        <v>4.5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137</v>
      </c>
      <c r="G51" s="237">
        <f>G49-H29</f>
        <v>-175.75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46174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>
        <v>307</v>
      </c>
      <c r="D6" s="13">
        <f t="shared" ref="D6:D28" si="1">C6*L6</f>
        <v>233627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>
        <v>6</v>
      </c>
      <c r="D7" s="13">
        <f t="shared" si="1"/>
        <v>4686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>
        <v>25</v>
      </c>
      <c r="D9" s="13">
        <f t="shared" si="1"/>
        <v>18325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>
        <v>1</v>
      </c>
      <c r="D10" s="13">
        <f t="shared" si="1"/>
        <v>1032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>
        <v>2</v>
      </c>
      <c r="D11" s="13">
        <f t="shared" si="1"/>
        <v>2340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>
        <v>3</v>
      </c>
      <c r="D12" s="48">
        <f t="shared" si="1"/>
        <v>2976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>
        <v>10</v>
      </c>
      <c r="D13" s="48">
        <f t="shared" si="1"/>
        <v>3070</v>
      </c>
      <c r="F13" s="147" t="s">
        <v>36</v>
      </c>
      <c r="G13" s="148"/>
      <c r="H13" s="149">
        <f>D29</f>
        <v>266056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58272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207784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>
        <f>588+504</f>
        <v>1092</v>
      </c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266056</v>
      </c>
      <c r="F29" s="170" t="s">
        <v>54</v>
      </c>
      <c r="G29" s="171"/>
      <c r="H29" s="174">
        <f>H15-H16-H17-H18-H19-H20-H22-H23-H24+H26+H27</f>
        <v>206692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02">
        <f>F34*G34</f>
        <v>73000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02">
        <f>F35*G35</f>
        <v>55500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2">
        <f t="shared" ref="H36:H39" si="2">F36*G36</f>
        <v>200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02">
        <f t="shared" si="2"/>
        <v>12100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02">
        <f t="shared" si="2"/>
        <v>3050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02">
        <f t="shared" si="2"/>
        <v>20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2">
        <v>401</v>
      </c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4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86">
        <v>55389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 t="s">
        <v>140</v>
      </c>
      <c r="G45" s="75"/>
      <c r="H45" s="186">
        <v>1032</v>
      </c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>
        <v>1</v>
      </c>
      <c r="D46" s="12">
        <f>C46*1.5</f>
        <v>1.5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>
        <v>2</v>
      </c>
      <c r="D49" s="12">
        <f>C49*42</f>
        <v>84</v>
      </c>
      <c r="F49" s="227" t="s">
        <v>85</v>
      </c>
      <c r="G49" s="174">
        <f>H34+H35+H36+H37+H38+H39+H40+H41+G42+H44+H45+H46</f>
        <v>200692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>
        <v>13</v>
      </c>
      <c r="D50" s="12">
        <f>C50*1.5</f>
        <v>19.5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141</v>
      </c>
      <c r="G51" s="237">
        <f>G49-H29</f>
        <v>-6000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96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8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46175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46175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46175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101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46176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46176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46176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101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46177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46177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zoomScaleNormal="100" zoomScaleSheetLayoutView="85" workbookViewId="0">
      <selection activeCell="M28" sqref="M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46177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101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46178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46178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46178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101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46179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46179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zoomScaleNormal="100" zoomScaleSheetLayoutView="85" workbookViewId="0">
      <selection activeCell="M30" sqref="M3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46179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101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46181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46181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46181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101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46182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46182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46182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101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46183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46183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U20" sqref="U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46183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1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99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104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46184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106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46184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46184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104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46185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106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46185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N28" sqref="N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46185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104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46186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106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46185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46185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9" t="s">
        <v>7</v>
      </c>
      <c r="B4" s="110"/>
      <c r="C4" s="110"/>
      <c r="D4" s="111"/>
      <c r="F4" s="112" t="s">
        <v>8</v>
      </c>
      <c r="G4" s="114"/>
      <c r="H4" s="116" t="s">
        <v>9</v>
      </c>
      <c r="I4" s="118"/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3"/>
      <c r="B6" s="16"/>
      <c r="C6" s="10"/>
      <c r="D6" s="13">
        <f t="shared" ref="D6:D28" si="1">C6*L6</f>
        <v>0</v>
      </c>
      <c r="F6" s="125" t="s">
        <v>16</v>
      </c>
      <c r="G6" s="127"/>
      <c r="H6" s="128"/>
      <c r="I6" s="128"/>
      <c r="J6" s="1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3"/>
      <c r="B7" s="16"/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3"/>
      <c r="B8" s="16"/>
      <c r="C8" s="10"/>
      <c r="D8" s="13">
        <f t="shared" si="1"/>
        <v>0</v>
      </c>
      <c r="F8" s="133" t="s">
        <v>21</v>
      </c>
      <c r="G8" s="135"/>
      <c r="H8" s="136"/>
      <c r="I8" s="136"/>
      <c r="J8" s="1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3"/>
      <c r="B9" s="16"/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3"/>
      <c r="C10" s="10"/>
      <c r="D10" s="13">
        <f t="shared" si="1"/>
        <v>0</v>
      </c>
      <c r="F10" s="125" t="s">
        <v>26</v>
      </c>
      <c r="G10" s="141"/>
      <c r="H10" s="142"/>
      <c r="I10" s="142"/>
      <c r="J10" s="143"/>
      <c r="K10" s="8"/>
      <c r="L10" s="6">
        <f>R36</f>
        <v>972</v>
      </c>
      <c r="P10" s="4"/>
      <c r="Q10" s="4"/>
      <c r="R10" s="5"/>
    </row>
    <row r="11" spans="1:19" ht="15.75" x14ac:dyDescent="0.25">
      <c r="A11" s="123"/>
      <c r="B11" s="17"/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3"/>
      <c r="B12" s="17"/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3"/>
      <c r="B13" s="17"/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3"/>
      <c r="B14" s="14"/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3"/>
      <c r="B15" s="14"/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19"/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3"/>
      <c r="B20" s="46"/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3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/>
      <c r="C23" s="10"/>
      <c r="D23" s="48">
        <f t="shared" si="1"/>
        <v>0</v>
      </c>
      <c r="F23" s="77"/>
      <c r="G23" s="78"/>
      <c r="H23" s="185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/>
      <c r="C24" s="10"/>
      <c r="D24" s="48">
        <f t="shared" si="1"/>
        <v>0</v>
      </c>
      <c r="F24" s="38"/>
      <c r="G24" s="37"/>
      <c r="H24" s="185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3"/>
      <c r="B27" s="14"/>
      <c r="C27" s="10"/>
      <c r="D27" s="44">
        <f t="shared" si="1"/>
        <v>0</v>
      </c>
      <c r="F27" s="25"/>
      <c r="G27" s="79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/>
      <c r="C28" s="10"/>
      <c r="D28" s="48">
        <f t="shared" si="1"/>
        <v>0</v>
      </c>
      <c r="F28" s="104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/>
      <c r="I34" s="203"/>
      <c r="J34" s="20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/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/>
      <c r="I36" s="203"/>
      <c r="J36" s="20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/>
      <c r="I37" s="203"/>
      <c r="J37" s="20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/>
      <c r="I38" s="203"/>
      <c r="J38" s="20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/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P43" s="4"/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P50" s="4"/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106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1</v>
      </c>
      <c r="H4" s="116" t="s">
        <v>9</v>
      </c>
      <c r="I4" s="118">
        <v>46188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99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117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108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71"/>
      <c r="G27" s="106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H15-H16-H17-H18-H19-H20-H22-H23-H24+H26+H27+H28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2">
        <f t="shared" ref="H34:H39" si="2"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 t="shared" si="2"/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si="2"/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129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2</v>
      </c>
      <c r="H4" s="116" t="s">
        <v>9</v>
      </c>
      <c r="I4" s="118">
        <v>46188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107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100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101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80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8" t="s">
        <v>1</v>
      </c>
      <c r="O1" s="10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9" t="s">
        <v>7</v>
      </c>
      <c r="B4" s="110"/>
      <c r="C4" s="110"/>
      <c r="D4" s="111"/>
      <c r="F4" s="112" t="s">
        <v>8</v>
      </c>
      <c r="G4" s="114">
        <v>3</v>
      </c>
      <c r="H4" s="116" t="s">
        <v>9</v>
      </c>
      <c r="I4" s="118">
        <v>46188</v>
      </c>
      <c r="J4" s="1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2" t="s">
        <v>7</v>
      </c>
      <c r="B5" s="15" t="s">
        <v>11</v>
      </c>
      <c r="C5" s="9" t="s">
        <v>12</v>
      </c>
      <c r="D5" s="25" t="s">
        <v>13</v>
      </c>
      <c r="F5" s="113"/>
      <c r="G5" s="115"/>
      <c r="H5" s="117"/>
      <c r="I5" s="120"/>
      <c r="J5" s="1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3"/>
      <c r="B6" s="16" t="s">
        <v>15</v>
      </c>
      <c r="C6" s="10"/>
      <c r="D6" s="13">
        <f t="shared" ref="D6:D28" si="1">C6*L6</f>
        <v>0</v>
      </c>
      <c r="F6" s="125" t="s">
        <v>16</v>
      </c>
      <c r="G6" s="127" t="s">
        <v>115</v>
      </c>
      <c r="H6" s="128"/>
      <c r="I6" s="128"/>
      <c r="J6" s="12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3"/>
      <c r="B7" s="16" t="s">
        <v>18</v>
      </c>
      <c r="C7" s="10"/>
      <c r="D7" s="13">
        <f t="shared" si="1"/>
        <v>0</v>
      </c>
      <c r="F7" s="126"/>
      <c r="G7" s="130"/>
      <c r="H7" s="131"/>
      <c r="I7" s="131"/>
      <c r="J7" s="13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3"/>
      <c r="B8" s="16" t="s">
        <v>20</v>
      </c>
      <c r="C8" s="10"/>
      <c r="D8" s="13">
        <f t="shared" si="1"/>
        <v>0</v>
      </c>
      <c r="F8" s="133" t="s">
        <v>21</v>
      </c>
      <c r="G8" s="135" t="s">
        <v>109</v>
      </c>
      <c r="H8" s="136"/>
      <c r="I8" s="136"/>
      <c r="J8" s="1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3"/>
      <c r="B9" s="16" t="s">
        <v>23</v>
      </c>
      <c r="C9" s="10"/>
      <c r="D9" s="13">
        <f t="shared" si="1"/>
        <v>0</v>
      </c>
      <c r="F9" s="126"/>
      <c r="G9" s="138"/>
      <c r="H9" s="139"/>
      <c r="I9" s="139"/>
      <c r="J9" s="1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3"/>
      <c r="B10" t="s">
        <v>25</v>
      </c>
      <c r="C10" s="10"/>
      <c r="D10" s="13">
        <f t="shared" si="1"/>
        <v>0</v>
      </c>
      <c r="F10" s="125" t="s">
        <v>26</v>
      </c>
      <c r="G10" s="141" t="s">
        <v>121</v>
      </c>
      <c r="H10" s="142"/>
      <c r="I10" s="142"/>
      <c r="J10" s="143"/>
      <c r="K10" s="8"/>
      <c r="L10" s="6">
        <f>R36</f>
        <v>1032</v>
      </c>
      <c r="P10" s="4"/>
      <c r="Q10" s="4"/>
      <c r="R10" s="5"/>
    </row>
    <row r="11" spans="1:18" ht="15.75" x14ac:dyDescent="0.25">
      <c r="A11" s="123"/>
      <c r="B11" s="17" t="s">
        <v>28</v>
      </c>
      <c r="C11" s="10"/>
      <c r="D11" s="13">
        <f t="shared" si="1"/>
        <v>0</v>
      </c>
      <c r="F11" s="126"/>
      <c r="G11" s="138"/>
      <c r="H11" s="139"/>
      <c r="I11" s="139"/>
      <c r="J11" s="1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3"/>
      <c r="B12" s="17" t="s">
        <v>30</v>
      </c>
      <c r="C12" s="10"/>
      <c r="D12" s="48">
        <f t="shared" si="1"/>
        <v>0</v>
      </c>
      <c r="F12" s="144" t="s">
        <v>33</v>
      </c>
      <c r="G12" s="145"/>
      <c r="H12" s="145"/>
      <c r="I12" s="145"/>
      <c r="J12" s="1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3"/>
      <c r="B13" s="17" t="s">
        <v>32</v>
      </c>
      <c r="C13" s="10"/>
      <c r="D13" s="48">
        <f t="shared" si="1"/>
        <v>0</v>
      </c>
      <c r="F13" s="147" t="s">
        <v>36</v>
      </c>
      <c r="G13" s="148"/>
      <c r="H13" s="149">
        <f>D29</f>
        <v>0</v>
      </c>
      <c r="I13" s="150"/>
      <c r="J13" s="15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3"/>
      <c r="B14" s="14" t="s">
        <v>35</v>
      </c>
      <c r="C14" s="10"/>
      <c r="D14" s="31">
        <f t="shared" si="1"/>
        <v>0</v>
      </c>
      <c r="F14" s="152" t="s">
        <v>38</v>
      </c>
      <c r="G14" s="153"/>
      <c r="H14" s="154">
        <f>D54</f>
        <v>0</v>
      </c>
      <c r="I14" s="155"/>
      <c r="J14" s="15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3"/>
      <c r="B15" s="14" t="s">
        <v>119</v>
      </c>
      <c r="C15" s="10"/>
      <c r="D15" s="31">
        <f t="shared" si="1"/>
        <v>0</v>
      </c>
      <c r="F15" s="157" t="s">
        <v>39</v>
      </c>
      <c r="G15" s="148"/>
      <c r="H15" s="158">
        <f>H13-H14</f>
        <v>0</v>
      </c>
      <c r="I15" s="159"/>
      <c r="J15" s="16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1"/>
      <c r="I16" s="161"/>
      <c r="J16" s="16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4"/>
      <c r="I17" s="134"/>
      <c r="J17" s="13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4"/>
      <c r="I18" s="134"/>
      <c r="J18" s="13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1"/>
      <c r="I20" s="161"/>
      <c r="J20" s="16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3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3"/>
      <c r="B23" s="14" t="s">
        <v>118</v>
      </c>
      <c r="C23" s="10"/>
      <c r="D23" s="48">
        <f t="shared" si="1"/>
        <v>0</v>
      </c>
      <c r="F23" s="77"/>
      <c r="G23" s="78"/>
      <c r="H23" s="248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3"/>
      <c r="B24" s="14" t="s">
        <v>125</v>
      </c>
      <c r="C24" s="10"/>
      <c r="D24" s="48">
        <f t="shared" si="1"/>
        <v>0</v>
      </c>
      <c r="F24" s="38"/>
      <c r="G24" s="37"/>
      <c r="H24" s="185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3"/>
      <c r="B26" s="14" t="s">
        <v>126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3"/>
      <c r="B27" s="14" t="s">
        <v>127</v>
      </c>
      <c r="C27" s="10"/>
      <c r="D27" s="44">
        <f t="shared" si="1"/>
        <v>0</v>
      </c>
      <c r="F27" s="25"/>
      <c r="G27" s="79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4"/>
      <c r="B28" s="46" t="s">
        <v>92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70" t="s">
        <v>54</v>
      </c>
      <c r="G29" s="171"/>
      <c r="H29" s="174">
        <f>H15-H16-H17-H18-H19-H20-H22-H23-H24+H26+H27</f>
        <v>0</v>
      </c>
      <c r="I29" s="175"/>
      <c r="J29" s="17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72"/>
      <c r="G30" s="173"/>
      <c r="H30" s="177"/>
      <c r="I30" s="178"/>
      <c r="J30" s="17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9" t="s">
        <v>57</v>
      </c>
      <c r="B32" s="110"/>
      <c r="C32" s="110"/>
      <c r="D32" s="111"/>
      <c r="F32" s="199" t="s">
        <v>58</v>
      </c>
      <c r="G32" s="200"/>
      <c r="H32" s="200"/>
      <c r="I32" s="200"/>
      <c r="J32" s="20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9" t="s">
        <v>13</v>
      </c>
      <c r="I33" s="200"/>
      <c r="J33" s="20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2">
        <f>F34*G34</f>
        <v>0</v>
      </c>
      <c r="I34" s="203"/>
      <c r="J34" s="20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3"/>
      <c r="B35" s="27" t="s">
        <v>67</v>
      </c>
      <c r="C35" s="52"/>
      <c r="D35" s="30">
        <f>C35*84</f>
        <v>0</v>
      </c>
      <c r="F35" s="58">
        <v>500</v>
      </c>
      <c r="G35" s="41"/>
      <c r="H35" s="202">
        <f>F35*G35</f>
        <v>0</v>
      </c>
      <c r="I35" s="203"/>
      <c r="J35" s="20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4"/>
      <c r="B36" s="26" t="s">
        <v>69</v>
      </c>
      <c r="C36" s="10"/>
      <c r="D36" s="12">
        <f>C36*1.5</f>
        <v>0</v>
      </c>
      <c r="F36" s="12">
        <v>200</v>
      </c>
      <c r="G36" s="37"/>
      <c r="H36" s="202">
        <f t="shared" ref="H36:H39" si="2">F36*G36</f>
        <v>0</v>
      </c>
      <c r="I36" s="203"/>
      <c r="J36" s="20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2">
        <f t="shared" si="2"/>
        <v>0</v>
      </c>
      <c r="I37" s="203"/>
      <c r="J37" s="20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3"/>
      <c r="B38" s="29" t="s">
        <v>67</v>
      </c>
      <c r="C38" s="54"/>
      <c r="D38" s="12">
        <f>C38*84</f>
        <v>0</v>
      </c>
      <c r="F38" s="30">
        <v>50</v>
      </c>
      <c r="G38" s="39"/>
      <c r="H38" s="202">
        <f t="shared" si="2"/>
        <v>0</v>
      </c>
      <c r="I38" s="203"/>
      <c r="J38" s="20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4"/>
      <c r="B39" s="29" t="s">
        <v>69</v>
      </c>
      <c r="C39" s="52"/>
      <c r="D39" s="31">
        <f>C39*4.5</f>
        <v>0</v>
      </c>
      <c r="F39" s="12">
        <v>20</v>
      </c>
      <c r="G39" s="37"/>
      <c r="H39" s="202">
        <f t="shared" si="2"/>
        <v>0</v>
      </c>
      <c r="I39" s="203"/>
      <c r="J39" s="20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2"/>
      <c r="I40" s="203"/>
      <c r="J40" s="20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3"/>
      <c r="B41" s="27" t="s">
        <v>67</v>
      </c>
      <c r="C41" s="10"/>
      <c r="D41" s="12">
        <f>C41*84</f>
        <v>0</v>
      </c>
      <c r="F41" s="12">
        <v>5</v>
      </c>
      <c r="G41" s="42"/>
      <c r="H41" s="202"/>
      <c r="I41" s="203"/>
      <c r="J41" s="20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4"/>
      <c r="B42" s="27" t="s">
        <v>69</v>
      </c>
      <c r="C42" s="11"/>
      <c r="D42" s="12">
        <f>C42*2.25</f>
        <v>0</v>
      </c>
      <c r="F42" s="39" t="s">
        <v>78</v>
      </c>
      <c r="G42" s="202"/>
      <c r="H42" s="203"/>
      <c r="I42" s="203"/>
      <c r="J42" s="20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5" t="s">
        <v>80</v>
      </c>
      <c r="C43" s="11"/>
      <c r="D43" s="12"/>
      <c r="F43" s="59" t="s">
        <v>81</v>
      </c>
      <c r="G43" s="106" t="s">
        <v>82</v>
      </c>
      <c r="H43" s="208" t="s">
        <v>13</v>
      </c>
      <c r="I43" s="209"/>
      <c r="J43" s="21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6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6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206"/>
      <c r="B46" s="49" t="s">
        <v>69</v>
      </c>
      <c r="C46" s="80"/>
      <c r="D46" s="12">
        <f>C46*1.5</f>
        <v>0</v>
      </c>
      <c r="F46" s="37"/>
      <c r="G46" s="62"/>
      <c r="H46" s="211"/>
      <c r="I46" s="211"/>
      <c r="J46" s="211"/>
      <c r="K46" s="21"/>
      <c r="P46" s="4"/>
      <c r="Q46" s="4"/>
      <c r="R46" s="5"/>
    </row>
    <row r="47" spans="1:18" ht="15.75" x14ac:dyDescent="0.25">
      <c r="A47" s="207"/>
      <c r="B47" s="27"/>
      <c r="C47" s="11"/>
      <c r="D47" s="12"/>
      <c r="F47" s="59"/>
      <c r="G47" s="59"/>
      <c r="H47" s="212"/>
      <c r="I47" s="213"/>
      <c r="J47" s="214"/>
      <c r="K47" s="21"/>
      <c r="P47" s="4"/>
      <c r="Q47" s="4"/>
      <c r="R47" s="5"/>
    </row>
    <row r="48" spans="1:18" ht="15" customHeight="1" x14ac:dyDescent="0.25">
      <c r="A48" s="205" t="s">
        <v>32</v>
      </c>
      <c r="B48" s="27" t="s">
        <v>65</v>
      </c>
      <c r="C48" s="10"/>
      <c r="D48" s="12">
        <f>C48*78</f>
        <v>0</v>
      </c>
      <c r="F48" s="59"/>
      <c r="G48" s="59"/>
      <c r="H48" s="212"/>
      <c r="I48" s="213"/>
      <c r="J48" s="21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6"/>
      <c r="B49" s="29" t="s">
        <v>67</v>
      </c>
      <c r="C49" s="33"/>
      <c r="D49" s="12">
        <f>C49*42</f>
        <v>0</v>
      </c>
      <c r="F49" s="227" t="s">
        <v>85</v>
      </c>
      <c r="G49" s="174">
        <f>H34+H35+H36+H37+H38+H39+H40+H41+G42+H44+H45+H46</f>
        <v>0</v>
      </c>
      <c r="H49" s="175"/>
      <c r="I49" s="175"/>
      <c r="J49" s="17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6"/>
      <c r="B50" s="32" t="s">
        <v>69</v>
      </c>
      <c r="C50" s="11"/>
      <c r="D50" s="12">
        <f>C50*1.5</f>
        <v>0</v>
      </c>
      <c r="F50" s="228"/>
      <c r="G50" s="177"/>
      <c r="H50" s="178"/>
      <c r="I50" s="178"/>
      <c r="J50" s="179"/>
      <c r="O50" t="s">
        <v>112</v>
      </c>
      <c r="P50" s="4">
        <v>1204</v>
      </c>
      <c r="Q50" s="4"/>
      <c r="R50" s="5"/>
    </row>
    <row r="51" spans="1:18" ht="15" customHeight="1" x14ac:dyDescent="0.25">
      <c r="A51" s="206"/>
      <c r="B51" s="27"/>
      <c r="C51" s="10"/>
      <c r="D51" s="31"/>
      <c r="F51" s="229" t="s">
        <v>113</v>
      </c>
      <c r="G51" s="231">
        <f>G49-H29</f>
        <v>0</v>
      </c>
      <c r="H51" s="232"/>
      <c r="I51" s="232"/>
      <c r="J51" s="23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6"/>
      <c r="B52" s="29"/>
      <c r="C52" s="33"/>
      <c r="D52" s="45"/>
      <c r="F52" s="230"/>
      <c r="G52" s="234"/>
      <c r="H52" s="235"/>
      <c r="I52" s="235"/>
      <c r="J52" s="23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0" t="s">
        <v>89</v>
      </c>
      <c r="B54" s="215"/>
      <c r="C54" s="216"/>
      <c r="D54" s="21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2"/>
      <c r="B55" s="217"/>
      <c r="C55" s="218"/>
      <c r="D55" s="2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1" t="s">
        <v>90</v>
      </c>
      <c r="B58" s="222"/>
      <c r="C58" s="222"/>
      <c r="D58" s="223"/>
      <c r="F58" s="221" t="s">
        <v>91</v>
      </c>
      <c r="G58" s="222"/>
      <c r="H58" s="222"/>
      <c r="I58" s="222"/>
      <c r="J58" s="223"/>
    </row>
    <row r="59" spans="1:18" x14ac:dyDescent="0.25">
      <c r="A59" s="224"/>
      <c r="B59" s="225"/>
      <c r="C59" s="225"/>
      <c r="D59" s="226"/>
      <c r="F59" s="224"/>
      <c r="G59" s="225"/>
      <c r="H59" s="225"/>
      <c r="I59" s="225"/>
      <c r="J59" s="2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</vt:lpstr>
      <vt:lpstr>06,03 R3 </vt:lpstr>
      <vt:lpstr>(4)</vt:lpstr>
      <vt:lpstr>06,04 R1 </vt:lpstr>
      <vt:lpstr>06,04 R2 </vt:lpstr>
      <vt:lpstr>06,04 R3  </vt:lpstr>
      <vt:lpstr>(5)</vt:lpstr>
      <vt:lpstr>06,05 R1  </vt:lpstr>
      <vt:lpstr>06,05 R2 </vt:lpstr>
      <vt:lpstr>06,05 R3  </vt:lpstr>
      <vt:lpstr>(6)</vt:lpstr>
      <vt:lpstr>06,06 R1 </vt:lpstr>
      <vt:lpstr>06,06 R2 </vt:lpstr>
      <vt:lpstr>06,06 R3 </vt:lpstr>
      <vt:lpstr>(8)</vt:lpstr>
      <vt:lpstr>06,07 R1 (2)</vt:lpstr>
      <vt:lpstr>06,07 R2  (2)</vt:lpstr>
      <vt:lpstr>06,07 R3  (2)</vt:lpstr>
      <vt:lpstr>(9)</vt:lpstr>
      <vt:lpstr>06,09 R1</vt:lpstr>
      <vt:lpstr>06,09 R2 </vt:lpstr>
      <vt:lpstr>06,09 R3 </vt:lpstr>
      <vt:lpstr>(10)</vt:lpstr>
      <vt:lpstr>06,10 R1 </vt:lpstr>
      <vt:lpstr>06,10 R2  </vt:lpstr>
      <vt:lpstr>06,10 R3 </vt:lpstr>
      <vt:lpstr>(11)</vt:lpstr>
      <vt:lpstr>06,11 R1 </vt:lpstr>
      <vt:lpstr>06,11 R2 </vt:lpstr>
      <vt:lpstr>06,11 R3</vt:lpstr>
      <vt:lpstr>(12)</vt:lpstr>
      <vt:lpstr>06,12 R1  </vt:lpstr>
      <vt:lpstr>06,12 R2  </vt:lpstr>
      <vt:lpstr>06,12 R3 </vt:lpstr>
      <vt:lpstr>(13)</vt:lpstr>
      <vt:lpstr>06,13 R1 </vt:lpstr>
      <vt:lpstr>06,13 R2 </vt:lpstr>
      <vt:lpstr>06,13 R3 </vt:lpstr>
      <vt:lpstr>(15)</vt:lpstr>
      <vt:lpstr>06,15 R1</vt:lpstr>
      <vt:lpstr>06,15 R2</vt:lpstr>
      <vt:lpstr>06,15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'!Print_Area</vt:lpstr>
      <vt:lpstr>'06,03 R3 '!Print_Area</vt:lpstr>
      <vt:lpstr>'06,04 R1 '!Print_Area</vt:lpstr>
      <vt:lpstr>'06,04 R2 '!Print_Area</vt:lpstr>
      <vt:lpstr>'06,04 R3  '!Print_Area</vt:lpstr>
      <vt:lpstr>'06,05 R1  '!Print_Area</vt:lpstr>
      <vt:lpstr>'06,05 R2 '!Print_Area</vt:lpstr>
      <vt:lpstr>'06,05 R3  '!Print_Area</vt:lpstr>
      <vt:lpstr>'06,06 R1 '!Print_Area</vt:lpstr>
      <vt:lpstr>'06,06 R2 '!Print_Area</vt:lpstr>
      <vt:lpstr>'06,06 R3 '!Print_Area</vt:lpstr>
      <vt:lpstr>'06,07 R1 (2)'!Print_Area</vt:lpstr>
      <vt:lpstr>'06,07 R2  (2)'!Print_Area</vt:lpstr>
      <vt:lpstr>'06,07 R3  (2)'!Print_Area</vt:lpstr>
      <vt:lpstr>'06,09 R1'!Print_Area</vt:lpstr>
      <vt:lpstr>'06,09 R2 '!Print_Area</vt:lpstr>
      <vt:lpstr>'06,09 R3 '!Print_Area</vt:lpstr>
      <vt:lpstr>'06,10 R1 '!Print_Area</vt:lpstr>
      <vt:lpstr>'06,10 R2  '!Print_Area</vt:lpstr>
      <vt:lpstr>'06,10 R3 '!Print_Area</vt:lpstr>
      <vt:lpstr>'06,11 R1 '!Print_Area</vt:lpstr>
      <vt:lpstr>'06,11 R2 '!Print_Area</vt:lpstr>
      <vt:lpstr>'06,11 R3'!Print_Area</vt:lpstr>
      <vt:lpstr>'06,12 R1  '!Print_Area</vt:lpstr>
      <vt:lpstr>'06,12 R2  '!Print_Area</vt:lpstr>
      <vt:lpstr>'06,12 R3 '!Print_Area</vt:lpstr>
      <vt:lpstr>'06,13 R1 '!Print_Area</vt:lpstr>
      <vt:lpstr>'06,13 R2 '!Print_Area</vt:lpstr>
      <vt:lpstr>'06,13 R3 '!Print_Area</vt:lpstr>
      <vt:lpstr>'06,15 R1'!Print_Area</vt:lpstr>
      <vt:lpstr>'06,15 R2'!Print_Area</vt:lpstr>
      <vt:lpstr>'06,15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2026-06-02T00:38:17Z</cp:lastPrinted>
  <dcterms:created xsi:type="dcterms:W3CDTF">2024-09-01T23:36:50Z</dcterms:created>
  <dcterms:modified xsi:type="dcterms:W3CDTF">2026-06-02T00:38:39Z</dcterms:modified>
</cp:coreProperties>
</file>