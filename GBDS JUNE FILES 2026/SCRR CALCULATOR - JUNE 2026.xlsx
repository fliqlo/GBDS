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A76DBF9-9C44-4575-9D5D-C09A6611CA87}" xr6:coauthVersionLast="45" xr6:coauthVersionMax="47" xr10:uidLastSave="{00000000-0000-0000-0000-000000000000}"/>
  <bookViews>
    <workbookView xWindow="-120" yWindow="-120" windowWidth="29040" windowHeight="15840" firstSheet="40" activeTab="46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57" l="1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D29" i="2157" l="1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G49" i="2145" l="1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45" l="1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<sst xmlns="http://schemas.openxmlformats.org/spreadsheetml/2006/main" count="7292" uniqueCount="188">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</sst>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89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87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570</v>
      </c>
      <c r="D6" s="13">
        <f t="shared" ref="D6:D28" si="1">C6*L6</f>
        <v>433770</v>
      </c>
      <c r="F6" s="222" t="s">
        <v>16</v>
      </c>
      <c r="G6" s="224" t="s">
        <v>142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99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13</v>
      </c>
      <c r="D9" s="13">
        <f t="shared" si="1"/>
        <v>9529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10</v>
      </c>
      <c r="D10" s="13">
        <f t="shared" si="1"/>
        <v>10320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10</v>
      </c>
      <c r="D12" s="48">
        <f t="shared" si="1"/>
        <v>9920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6</v>
      </c>
      <c r="D13" s="48">
        <f t="shared" si="1"/>
        <v>1842</v>
      </c>
      <c r="F13" s="243" t="s">
        <v>36</v>
      </c>
      <c r="G13" s="207"/>
      <c r="H13" s="198">
        <f>D29</f>
        <v>475222.5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54630.75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420591.75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2760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4"/>
      <c r="I23" s="245"/>
      <c r="J23" s="245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4">
        <v>68780</v>
      </c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4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2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475222.5</v>
      </c>
      <c r="F29" s="115" t="s">
        <v>54</v>
      </c>
      <c r="G29" s="177"/>
      <c r="H29" s="137">
        <f>H15-H16-H17-H18-H19-H20-H22-H23-H24+H26+H27+H28</f>
        <v>486611.75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59">
        <f t="shared" ref="H34:H39" si="2">F34*G34</f>
        <v>116000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59">
        <f t="shared" si="2"/>
        <v>4500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9">
        <v>80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4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4">
        <v>317788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4">
        <v>13533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107" t="s">
        <v>135</v>
      </c>
      <c r="H46" s="154">
        <v>33800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26</v>
      </c>
      <c r="D49" s="12">
        <f>C49*42</f>
        <v>1092</v>
      </c>
      <c r="F49" s="135" t="s">
        <v>85</v>
      </c>
      <c r="G49" s="137">
        <f>H34+H35+H36+H37+H38+H39+H40+H41+G42+H44+H45+H46</f>
        <v>485901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19</v>
      </c>
      <c r="D50" s="12">
        <f>C50*1.5</f>
        <v>28.5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138</v>
      </c>
      <c r="G51" s="248">
        <f>G49-H29</f>
        <v>-710.75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275</v>
      </c>
      <c r="D6" s="13">
        <f t="shared" ref="D6:D28" si="1">C6*L6</f>
        <v>209275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40</v>
      </c>
      <c r="D9" s="13">
        <f t="shared" si="1"/>
        <v>29320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3</v>
      </c>
      <c r="D13" s="48">
        <f t="shared" si="1"/>
        <v>921</v>
      </c>
      <c r="F13" s="243" t="s">
        <v>36</v>
      </c>
      <c r="G13" s="207"/>
      <c r="H13" s="198">
        <f>D29</f>
        <v>247146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36182.25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210963.75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8">
        <v>696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2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247146</v>
      </c>
      <c r="F29" s="115" t="s">
        <v>54</v>
      </c>
      <c r="G29" s="177"/>
      <c r="H29" s="137">
        <f>H15-H16-H17-H18-H19-H20-H22-H23-H24+H26+H27</f>
        <v>210267.75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59">
        <f>F34*G34</f>
        <v>186000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59">
        <f>F35*G35</f>
        <v>23500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9">
        <v>242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4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2</v>
      </c>
      <c r="D44" s="12">
        <f>C44*120</f>
        <v>240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210092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3</v>
      </c>
      <c r="D50" s="12">
        <f>C50*1.5</f>
        <v>4.5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137</v>
      </c>
      <c r="G51" s="248">
        <f>G49-H29</f>
        <v>-175.75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307</v>
      </c>
      <c r="D6" s="13">
        <f t="shared" ref="D6:D28" si="1">C6*L6</f>
        <v>233627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25</v>
      </c>
      <c r="D9" s="13">
        <f t="shared" si="1"/>
        <v>18325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266056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58272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207784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f>588+504</f>
        <v>1092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92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266056</v>
      </c>
      <c r="F29" s="115" t="s">
        <v>54</v>
      </c>
      <c r="G29" s="177"/>
      <c r="H29" s="137">
        <f>H15-H16-H17-H18-H19-H20-H22-H23-H24+H26+H27</f>
        <v>206692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59">
        <f>F34*G34</f>
        <v>73000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59">
        <f>F35*G35</f>
        <v>55500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59">
        <f t="shared" si="2"/>
        <v>12100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59">
        <f t="shared" si="2"/>
        <v>3050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9">
        <v>401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4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4">
        <v>55389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140</v>
      </c>
      <c r="G45" s="75"/>
      <c r="H45" s="154">
        <v>1032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</v>
      </c>
      <c r="D46" s="12">
        <f>C46*1.5</f>
        <v>1.5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2</v>
      </c>
      <c r="D49" s="12">
        <f>C49*42</f>
        <v>84</v>
      </c>
      <c r="F49" s="135" t="s">
        <v>85</v>
      </c>
      <c r="G49" s="137">
        <f>H34+H35+H36+H37+H38+H39+H40+H41+G42+H44+H45+H46</f>
        <v>200692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13</v>
      </c>
      <c r="D50" s="12">
        <f>C50*1.5</f>
        <v>19.5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141</v>
      </c>
      <c r="G51" s="248">
        <f>G49-H29</f>
        <v>-6000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6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8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304</v>
      </c>
      <c r="D6" s="13">
        <f t="shared" ref="D6:D28" si="1">C6*L6</f>
        <v>231344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</v>
      </c>
      <c r="D7" s="13">
        <f t="shared" si="1"/>
        <v>1562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</v>
      </c>
      <c r="D9" s="13">
        <f t="shared" si="1"/>
        <v>8063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242753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35565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>
        <v>1</v>
      </c>
      <c r="D15" s="31">
        <f t="shared" si="1"/>
        <v>620</v>
      </c>
      <c r="F15" s="206" t="s">
        <v>39</v>
      </c>
      <c r="G15" s="207"/>
      <c r="H15" s="208">
        <f>H13-H14</f>
        <v>207188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42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242753</v>
      </c>
      <c r="F29" s="115" t="s">
        <v>54</v>
      </c>
      <c r="G29" s="177"/>
      <c r="H29" s="137">
        <f>H15-H16-H17-H18-H19-H20-H22-H23-H24+H26+H27+H28</f>
        <v>207146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59">
        <f t="shared" ref="H34:H39" si="2">F34*G34</f>
        <v>114000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9">
        <f t="shared" si="2"/>
        <v>22000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59">
        <f t="shared" si="2"/>
        <v>400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59">
        <f t="shared" si="2"/>
        <v>1900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59">
        <f t="shared" si="2"/>
        <v>150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9">
        <f t="shared" si="2"/>
        <v>40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124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140</v>
      </c>
      <c r="G44" s="62"/>
      <c r="H44" s="154">
        <v>55000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4">
        <v>13650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</v>
      </c>
      <c r="D46" s="12">
        <f>C46*1.5</f>
        <v>1.5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207264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6</v>
      </c>
      <c r="D50" s="12">
        <f>C50*1.5</f>
        <v>9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144</v>
      </c>
      <c r="G51" s="256">
        <f>G49-H29</f>
        <v>118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330</v>
      </c>
      <c r="D6" s="13">
        <f t="shared" ref="D6:D28" si="1">C6*L6</f>
        <v>251130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</v>
      </c>
      <c r="D9" s="13">
        <f t="shared" si="1"/>
        <v>733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256886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37893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218993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1944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256886</v>
      </c>
      <c r="F29" s="115" t="s">
        <v>54</v>
      </c>
      <c r="G29" s="177"/>
      <c r="H29" s="137">
        <f>H15-H16-H17-H18-H19-H20-H22-H23-H24+H26+H27</f>
        <v>217049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59">
        <f>F34*G34</f>
        <v>102000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59">
        <f>F35*G35</f>
        <v>114500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14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11</v>
      </c>
      <c r="D49" s="12">
        <f>C49*42</f>
        <v>462</v>
      </c>
      <c r="F49" s="135" t="s">
        <v>85</v>
      </c>
      <c r="G49" s="137">
        <f>H34+H35+H36+H37+H38+H39+H40+H41+G42+H44+H45+H46</f>
        <v>216834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2</v>
      </c>
      <c r="D50" s="12">
        <f>C50*1.5</f>
        <v>3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141</v>
      </c>
      <c r="G51" s="248">
        <f>G49-H29</f>
        <v>-215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8">
        <v>346</v>
      </c>
      <c r="D6" s="13">
        <f t="shared" ref="D6:D28" si="1">C6*L6</f>
        <v>263306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8">
        <v>20</v>
      </c>
      <c r="D7" s="13">
        <f t="shared" si="1"/>
        <v>15620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8">
        <v>1</v>
      </c>
      <c r="D8" s="13">
        <f t="shared" si="1"/>
        <v>1093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8">
        <v>74</v>
      </c>
      <c r="D9" s="13">
        <f t="shared" si="1"/>
        <v>54242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8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8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8">
        <f>10+10+2</f>
        <v>22</v>
      </c>
      <c r="D12" s="48">
        <f t="shared" si="1"/>
        <v>21824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8">
        <v>1</v>
      </c>
      <c r="D13" s="48">
        <f t="shared" si="1"/>
        <v>307</v>
      </c>
      <c r="F13" s="243" t="s">
        <v>36</v>
      </c>
      <c r="G13" s="207"/>
      <c r="H13" s="198">
        <f>D29</f>
        <v>403944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8"/>
      <c r="D14" s="31">
        <f t="shared" si="1"/>
        <v>0</v>
      </c>
      <c r="F14" s="201" t="s">
        <v>38</v>
      </c>
      <c r="G14" s="202"/>
      <c r="H14" s="203">
        <f>D54</f>
        <v>72575.25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8">
        <f>10</f>
        <v>10</v>
      </c>
      <c r="D15" s="31">
        <f t="shared" si="1"/>
        <v>6200</v>
      </c>
      <c r="F15" s="206" t="s">
        <v>39</v>
      </c>
      <c r="G15" s="207"/>
      <c r="H15" s="208">
        <f>H13-H14</f>
        <v>331368.75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8">
        <v>918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4"/>
      <c r="I22" s="184"/>
      <c r="J22" s="184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5"/>
      <c r="I23" s="184"/>
      <c r="J23" s="184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5"/>
      <c r="I24" s="154"/>
      <c r="J24" s="154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152</v>
      </c>
      <c r="C26" s="108">
        <v>1</v>
      </c>
      <c r="D26" s="48">
        <f t="shared" si="1"/>
        <v>1277</v>
      </c>
      <c r="F26" s="64"/>
      <c r="G26" s="59"/>
      <c r="H26" s="189"/>
      <c r="I26" s="190"/>
      <c r="J26" s="191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2"/>
      <c r="I27" s="193"/>
      <c r="J27" s="194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403944</v>
      </c>
      <c r="F29" s="115" t="s">
        <v>54</v>
      </c>
      <c r="G29" s="177"/>
      <c r="H29" s="137">
        <f>H15-H16-H17-H18-H19-H20-H22-H23-H24+H26+H27</f>
        <v>330400.75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59">
        <f>F35*G35</f>
        <v>6500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59">
        <f t="shared" si="2"/>
        <v>3000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59">
        <f t="shared" si="2"/>
        <v>150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9">
        <v>38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4">
        <v>98416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4">
        <v>221673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10</v>
      </c>
      <c r="D46" s="12">
        <f>C46*1.5</f>
        <v>15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329777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5</v>
      </c>
      <c r="D50" s="12">
        <f>C50*1.5</f>
        <v>7.5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154</v>
      </c>
      <c r="G51" s="248">
        <f>G49-H29</f>
        <v>-623.75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441</v>
      </c>
      <c r="D6" s="13">
        <f t="shared" ref="D6:D28" si="1">C6*L6</f>
        <v>335601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5</v>
      </c>
      <c r="D7" s="13">
        <f t="shared" si="1"/>
        <v>3905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361570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41899.5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>
        <v>2</v>
      </c>
      <c r="D15" s="31">
        <f t="shared" si="1"/>
        <v>1240</v>
      </c>
      <c r="F15" s="206" t="s">
        <v>39</v>
      </c>
      <c r="G15" s="207"/>
      <c r="H15" s="208">
        <f>H13-H14</f>
        <v>319670.5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8">
        <v>1944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4">
        <v>88549</v>
      </c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4">
        <v>78233</v>
      </c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2</v>
      </c>
      <c r="D28" s="48">
        <f t="shared" si="1"/>
        <v>1622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361570</v>
      </c>
      <c r="F29" s="115" t="s">
        <v>54</v>
      </c>
      <c r="G29" s="177"/>
      <c r="H29" s="137">
        <f>H15-H16-H17-H18-H19-H20-H22-H23-H24+H26+H27+H28</f>
        <v>307410.5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59">
        <f t="shared" ref="H34:H39" si="2">F34*G34</f>
        <v>180000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59">
        <f t="shared" si="2"/>
        <v>1000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59">
        <f t="shared" si="2"/>
        <v>43700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59">
        <f t="shared" si="2"/>
        <v>3200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6</v>
      </c>
      <c r="D42" s="12">
        <f>C42*2.25</f>
        <v>13.5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4">
        <v>78233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7</v>
      </c>
      <c r="D49" s="12">
        <f>C49*42</f>
        <v>294</v>
      </c>
      <c r="F49" s="135" t="s">
        <v>85</v>
      </c>
      <c r="G49" s="137">
        <f>H34+H35+H36+H37+H38+H39+H40+H41+G42+H44+H45+H46</f>
        <v>306133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11</v>
      </c>
      <c r="D50" s="12">
        <f>C50*1.5</f>
        <v>16.5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-1277.5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370</v>
      </c>
      <c r="D6" s="13">
        <f t="shared" ref="D6:D28" si="1">C6*L6</f>
        <v>281570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50</v>
      </c>
      <c r="D7" s="13">
        <f t="shared" si="1"/>
        <v>39050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65</v>
      </c>
      <c r="D8" s="13">
        <f t="shared" si="1"/>
        <v>71045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117</v>
      </c>
      <c r="D9" s="13">
        <f t="shared" si="1"/>
        <v>85761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26</v>
      </c>
      <c r="D12" s="48">
        <f t="shared" si="1"/>
        <v>25792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508853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82236.75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426616.25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3042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4">
        <v>62272</v>
      </c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508853</v>
      </c>
      <c r="F29" s="115" t="s">
        <v>54</v>
      </c>
      <c r="G29" s="177"/>
      <c r="H29" s="137">
        <f>H15-H16-H17-H18-H19-H20-H22-H23-H24+H26+H27+H28</f>
        <v>361302.25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59">
        <f t="shared" ref="H34:H39" si="2">F34*G34</f>
        <v>23000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9">
        <f t="shared" si="2"/>
        <v>3500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59">
        <f t="shared" si="2"/>
        <v>2300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59">
        <f t="shared" si="2"/>
        <v>450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9">
        <v>80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4">
        <v>321116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140</v>
      </c>
      <c r="G45" s="62"/>
      <c r="H45" s="154">
        <v>10122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360568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138</v>
      </c>
      <c r="G51" s="248">
        <f>G49-H29</f>
        <v>-734.25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297</v>
      </c>
      <c r="D6" s="13">
        <f t="shared" ref="D6:D28" si="1">C6*L6</f>
        <v>226017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23</v>
      </c>
      <c r="D9" s="13">
        <f t="shared" si="1"/>
        <v>16859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243" t="s">
        <v>36</v>
      </c>
      <c r="G13" s="207"/>
      <c r="H13" s="198">
        <f>D29</f>
        <v>248406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41370.75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207035.25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8">
        <v>1896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248406</v>
      </c>
      <c r="F29" s="115" t="s">
        <v>54</v>
      </c>
      <c r="G29" s="177"/>
      <c r="H29" s="137">
        <f>H15-H16-H17-H18-H19-H20-H22-H23-H24+H26+H27</f>
        <v>205139.25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59">
        <f>F34*G34</f>
        <v>26000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59">
        <f>F35*G35</f>
        <v>52500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3</v>
      </c>
      <c r="D42" s="12">
        <f>C42*2.25</f>
        <v>6.75</v>
      </c>
      <c r="F42" s="39" t="s">
        <v>78</v>
      </c>
      <c r="G42" s="159">
        <v>85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4">
        <v>126406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</v>
      </c>
      <c r="D46" s="12">
        <f>C46*1.5</f>
        <v>1.5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9</v>
      </c>
      <c r="D49" s="12">
        <f>C49*42</f>
        <v>378</v>
      </c>
      <c r="F49" s="135" t="s">
        <v>85</v>
      </c>
      <c r="G49" s="137">
        <f>H34+H35+H36+H37+H38+H39+H40+H41+G42+H44+H45+H46</f>
        <v>205091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137</v>
      </c>
      <c r="G51" s="248">
        <f>G49-H29</f>
        <v>-48.25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539</v>
      </c>
      <c r="D6" s="13">
        <f t="shared" ref="D6:D28" si="1">C6*L6</f>
        <v>410179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20</v>
      </c>
      <c r="D7" s="13">
        <f t="shared" si="1"/>
        <v>15620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135</v>
      </c>
      <c r="D9" s="13">
        <f t="shared" si="1"/>
        <v>98955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20</v>
      </c>
      <c r="D11" s="13">
        <f t="shared" si="1"/>
        <v>23400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20</v>
      </c>
      <c r="D12" s="48">
        <f t="shared" si="1"/>
        <v>19840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24</v>
      </c>
      <c r="D13" s="48">
        <f t="shared" si="1"/>
        <v>7368</v>
      </c>
      <c r="F13" s="243" t="s">
        <v>36</v>
      </c>
      <c r="G13" s="207"/>
      <c r="H13" s="198">
        <f>D29</f>
        <v>582314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89697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492617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68">
        <f>924+306</f>
        <v>1230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148</v>
      </c>
      <c r="C27" s="10">
        <v>1</v>
      </c>
      <c r="D27" s="44">
        <f t="shared" si="1"/>
        <v>1102</v>
      </c>
      <c r="F27" s="25"/>
      <c r="G27" s="79"/>
      <c r="H27" s="192"/>
      <c r="I27" s="193"/>
      <c r="J27" s="19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582314</v>
      </c>
      <c r="F29" s="115" t="s">
        <v>54</v>
      </c>
      <c r="G29" s="177"/>
      <c r="H29" s="137">
        <f>H15-H16-H17-H18-H19-H20-H22-H23-H24+H26+H27</f>
        <v>491387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59">
        <f>F34*G34</f>
        <v>24000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59">
        <f>F35*G35</f>
        <v>2000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59">
        <f t="shared" si="2"/>
        <v>5900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9">
        <v>30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4">
        <v>30346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4">
        <v>328788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4">
        <v>99736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24</v>
      </c>
      <c r="D49" s="12">
        <f>C49*42</f>
        <v>1008</v>
      </c>
      <c r="F49" s="135" t="s">
        <v>85</v>
      </c>
      <c r="G49" s="137">
        <f>H34+H35+H36+H37+H38+H39+H40+H41+G42+H44+H45+H46</f>
        <v>491050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163</v>
      </c>
      <c r="G51" s="248">
        <f>G49-H29</f>
        <v>-337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384</v>
      </c>
      <c r="D6" s="13">
        <f t="shared" ref="D6:D28" si="1">C6*L6</f>
        <v>292224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6</v>
      </c>
      <c r="D9" s="13">
        <f t="shared" si="1"/>
        <v>4398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243" t="s">
        <v>36</v>
      </c>
      <c r="G13" s="207"/>
      <c r="H13" s="198">
        <f>D29</f>
        <v>302509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39733.5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262775.5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302509</v>
      </c>
      <c r="F29" s="115" t="s">
        <v>54</v>
      </c>
      <c r="G29" s="177"/>
      <c r="H29" s="137">
        <f>H15-H16-H17-H18-H19-H20-H22-H23-H24+H26+H27</f>
        <v>261479.5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59">
        <f>F34*G34</f>
        <v>90000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59">
        <f>F35*G35</f>
        <v>25500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9">
        <f t="shared" si="2"/>
        <v>40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77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4">
        <v>145825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4</v>
      </c>
      <c r="D49" s="12">
        <f>C49*42</f>
        <v>168</v>
      </c>
      <c r="F49" s="135" t="s">
        <v>85</v>
      </c>
      <c r="G49" s="137">
        <f>H34+H35+H36+H37+H38+H39+H40+H41+G42+H44+H45+H46</f>
        <v>261542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5</v>
      </c>
      <c r="D50" s="12">
        <f>C50*1.5</f>
        <v>7.5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62.5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389</v>
      </c>
      <c r="D6" s="13">
        <f t="shared" ref="D6:D28" si="1">C6*L6</f>
        <v>296029</v>
      </c>
      <c r="F6" s="222" t="s">
        <v>16</v>
      </c>
      <c r="G6" s="224" t="s">
        <v>170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20</v>
      </c>
      <c r="D7" s="13">
        <f t="shared" si="1"/>
        <v>15620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46</v>
      </c>
      <c r="D9" s="13">
        <f t="shared" si="1"/>
        <v>33718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4+1</f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243" t="s">
        <v>36</v>
      </c>
      <c r="G13" s="207"/>
      <c r="H13" s="198">
        <f>D29</f>
        <v>357319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52380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304939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1092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357319</v>
      </c>
      <c r="F29" s="115" t="s">
        <v>54</v>
      </c>
      <c r="G29" s="177"/>
      <c r="H29" s="137">
        <f>H15-H16-H17-H18-H19-H20-H22-H23-H24+H26+H27</f>
        <v>303847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59">
        <f>F34*G34</f>
        <v>103000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59">
        <f>F35*G35</f>
        <v>4500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59">
        <f t="shared" si="2"/>
        <v>6300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159">
        <v>20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4">
        <v>69159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4">
        <v>119736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5</v>
      </c>
      <c r="D46" s="12">
        <f>C46*1.5</f>
        <v>7.5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302965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137</v>
      </c>
      <c r="G51" s="248">
        <f>G49-H29</f>
        <v>-882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46179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4">
        <v>62272</v>
      </c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62272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59">
        <f t="shared" ref="H34:H39" si="2">F34*G34</f>
        <v>62000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22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62272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46179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46179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457</v>
      </c>
      <c r="D6" s="13">
        <f t="shared" ref="D6:D28" si="1">C6*L6</f>
        <v>347777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33</v>
      </c>
      <c r="D9" s="13">
        <f t="shared" si="1"/>
        <v>24189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15</v>
      </c>
      <c r="D13" s="48">
        <f t="shared" si="1"/>
        <v>4605</v>
      </c>
      <c r="F13" s="243" t="s">
        <v>36</v>
      </c>
      <c r="G13" s="207"/>
      <c r="H13" s="198">
        <f>D29</f>
        <v>379695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56268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323427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2832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379695</v>
      </c>
      <c r="F29" s="115" t="s">
        <v>54</v>
      </c>
      <c r="G29" s="177"/>
      <c r="H29" s="137">
        <f>H15-H16-H17-H18-H19-H20-H22-H23-H24+H26+H27</f>
        <v>320595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59">
        <f>F34*G34</f>
        <v>151000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59">
        <f>F35*G35</f>
        <v>167000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59">
        <f t="shared" si="2"/>
        <v>700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59">
        <f t="shared" si="2"/>
        <v>250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159">
        <v>76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15</v>
      </c>
      <c r="D49" s="12">
        <f>C49*42</f>
        <v>630</v>
      </c>
      <c r="F49" s="135" t="s">
        <v>85</v>
      </c>
      <c r="G49" s="137">
        <f>H34+H35+H36+H37+H38+H39+H40+H41+G42+H44+H45+H46</f>
        <v>319046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-1549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416</v>
      </c>
      <c r="D6" s="13">
        <f t="shared" ref="D6:D28" si="1">C6*L6</f>
        <v>316576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10</v>
      </c>
      <c r="D7" s="13">
        <f t="shared" si="1"/>
        <v>7810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76</v>
      </c>
      <c r="D9" s="13">
        <f t="shared" si="1"/>
        <v>55708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389426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56689.5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332736.5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2478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389426</v>
      </c>
      <c r="F29" s="115" t="s">
        <v>54</v>
      </c>
      <c r="G29" s="177"/>
      <c r="H29" s="137">
        <f>H15-H16-H17-H18-H19-H20-H22-H23-H24+H26+H27</f>
        <v>330258.5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59">
        <f>F34*G34</f>
        <v>122000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59">
        <f>F35*G35</f>
        <v>30000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59">
        <f t="shared" si="2"/>
        <v>5200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59">
        <f t="shared" si="2"/>
        <v>900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22</v>
      </c>
      <c r="D42" s="12">
        <f>C42*2.25</f>
        <v>49.5</v>
      </c>
      <c r="F42" s="39" t="s">
        <v>78</v>
      </c>
      <c r="G42" s="159">
        <v>204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4">
        <v>164463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1</v>
      </c>
      <c r="D45" s="12">
        <f>C45*84</f>
        <v>84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8</v>
      </c>
      <c r="D46" s="12">
        <f>C46*1.5</f>
        <v>12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5</v>
      </c>
      <c r="D49" s="12">
        <f>C49*42</f>
        <v>210</v>
      </c>
      <c r="F49" s="135" t="s">
        <v>85</v>
      </c>
      <c r="G49" s="137">
        <f>H34+H35+H36+H37+H38+H39+H40+H41+G42+H44+H45+H46</f>
        <v>322767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7</v>
      </c>
      <c r="D50" s="12">
        <f>C50*1.5</f>
        <v>10.5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-7491.5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339</v>
      </c>
      <c r="D6" s="13">
        <f t="shared" ref="D6:D28" si="1">C6*L6</f>
        <v>257979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9</v>
      </c>
      <c r="D7" s="13">
        <f t="shared" si="1"/>
        <v>7029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1+1</f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243" t="s">
        <v>36</v>
      </c>
      <c r="G13" s="207"/>
      <c r="H13" s="198">
        <f>D29</f>
        <v>284998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35218.5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249779.5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284998</v>
      </c>
      <c r="F29" s="115" t="s">
        <v>54</v>
      </c>
      <c r="G29" s="177"/>
      <c r="H29" s="137">
        <f>H15-H16-H17-H18-H19-H20-H22-H23-H24+H26+H27+H28</f>
        <v>249779.5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59">
        <f t="shared" ref="H34:H39" si="2">F34*G34</f>
        <v>129000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59">
        <f t="shared" si="2"/>
        <v>36500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59">
        <f t="shared" si="2"/>
        <v>3600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59">
        <f t="shared" si="2"/>
        <v>900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58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4">
        <v>67000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140</v>
      </c>
      <c r="G45" s="62"/>
      <c r="H45" s="154">
        <v>12350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2</v>
      </c>
      <c r="D49" s="12">
        <f>C49*42</f>
        <v>84</v>
      </c>
      <c r="F49" s="135" t="s">
        <v>85</v>
      </c>
      <c r="G49" s="137">
        <f>H34+H35+H36+H37+H38+H39+H40+H41+G42+H44+H45+H46</f>
        <v>249428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21</v>
      </c>
      <c r="D50" s="12">
        <f>C50*1.5</f>
        <v>31.5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-351.5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323</v>
      </c>
      <c r="D6" s="13">
        <f t="shared" ref="D6:D28" si="1">C6*L6</f>
        <v>245803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50</v>
      </c>
      <c r="D9" s="13">
        <f t="shared" si="1"/>
        <v>36650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5</v>
      </c>
      <c r="D10" s="13">
        <f t="shared" si="1"/>
        <v>5160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243" t="s">
        <v>36</v>
      </c>
      <c r="G13" s="207"/>
      <c r="H13" s="198">
        <f>D29</f>
        <v>296582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46258.5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250323.5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8">
        <v>2070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296582</v>
      </c>
      <c r="F29" s="115" t="s">
        <v>54</v>
      </c>
      <c r="G29" s="177"/>
      <c r="H29" s="137">
        <f>H15-H16-H17-H18-H19-H20-H22-H23-H24+H26+H27</f>
        <v>248253.5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59">
        <f>F34*G34</f>
        <v>18000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59">
        <f>F35*G35</f>
        <v>5000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>
        <v>20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4">
        <v>224866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1</v>
      </c>
      <c r="D45" s="12">
        <f>C45*84</f>
        <v>84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1</v>
      </c>
      <c r="D49" s="12">
        <f>C49*42</f>
        <v>42</v>
      </c>
      <c r="F49" s="135" t="s">
        <v>85</v>
      </c>
      <c r="G49" s="137">
        <f>H34+H35+H36+H37+H38+H39+H40+H41+G42+H44+H45+H46</f>
        <v>247986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-267.5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490</v>
      </c>
      <c r="D6" s="13">
        <f t="shared" ref="D6:D28" si="1">C6*L6</f>
        <v>372890</v>
      </c>
      <c r="F6" s="222" t="s">
        <v>16</v>
      </c>
      <c r="G6" s="224" t="s">
        <v>142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27</v>
      </c>
      <c r="D7" s="13">
        <f t="shared" si="1"/>
        <v>21087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108</v>
      </c>
      <c r="D9" s="13">
        <f t="shared" si="1"/>
        <v>79164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5</v>
      </c>
      <c r="D10" s="13">
        <f t="shared" si="1"/>
        <v>5160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7+2</f>
        <v>9</v>
      </c>
      <c r="D12" s="48">
        <f t="shared" si="1"/>
        <v>8928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19</v>
      </c>
      <c r="D13" s="48">
        <f t="shared" si="1"/>
        <v>5833</v>
      </c>
      <c r="F13" s="243" t="s">
        <v>36</v>
      </c>
      <c r="G13" s="207"/>
      <c r="H13" s="198">
        <f>D29</f>
        <v>494155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67279.5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426875.5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3288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494155</v>
      </c>
      <c r="F29" s="115" t="s">
        <v>54</v>
      </c>
      <c r="G29" s="177"/>
      <c r="H29" s="137">
        <f>H15-H16-H17-H18-H19-H20-H22-H23-H24+H26+H27</f>
        <v>423587.5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59">
        <f>F34*G34</f>
        <v>30000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59">
        <f>F35*G35</f>
        <v>29500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59">
        <f t="shared" si="2"/>
        <v>800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59">
        <f t="shared" si="2"/>
        <v>150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8</v>
      </c>
      <c r="D42" s="12">
        <f>C42*2.25</f>
        <v>18</v>
      </c>
      <c r="F42" s="39" t="s">
        <v>78</v>
      </c>
      <c r="G42" s="159">
        <v>42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4">
        <v>129945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4">
        <v>233114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5</v>
      </c>
      <c r="D49" s="12">
        <f>C49*42</f>
        <v>210</v>
      </c>
      <c r="F49" s="135" t="s">
        <v>85</v>
      </c>
      <c r="G49" s="137">
        <f>H34+H35+H36+H37+H38+H39+H40+H41+G42+H44+H45+H46</f>
        <v>423571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-16.5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1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46183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312</v>
      </c>
      <c r="D6" s="13">
        <f t="shared" ref="D6:D28" si="1">C6*L6</f>
        <v>237432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8</v>
      </c>
      <c r="D7" s="13">
        <f t="shared" si="1"/>
        <v>6248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262429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37573.5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>
        <v>2</v>
      </c>
      <c r="D15" s="31">
        <f t="shared" si="1"/>
        <v>1240</v>
      </c>
      <c r="F15" s="206" t="s">
        <v>39</v>
      </c>
      <c r="G15" s="207"/>
      <c r="H15" s="208">
        <f>H13-H14</f>
        <v>224855.5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99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2</v>
      </c>
      <c r="D28" s="48">
        <f t="shared" si="1"/>
        <v>1622</v>
      </c>
      <c r="F28" s="101"/>
      <c r="G28" s="61"/>
      <c r="H28" s="195"/>
      <c r="I28" s="196"/>
      <c r="J28" s="197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262429</v>
      </c>
      <c r="F29" s="115" t="s">
        <v>54</v>
      </c>
      <c r="G29" s="177"/>
      <c r="H29" s="137">
        <f>H15-H16-H17-H18-H19-H20-H22-H23-H24+H26+H27+H28</f>
        <v>224855.5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59">
        <f t="shared" ref="H34:H39" si="2">F34*G34</f>
        <v>54000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59">
        <f t="shared" si="2"/>
        <v>7000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9">
        <f t="shared" si="2"/>
        <v>200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59">
        <f t="shared" si="2"/>
        <v>1800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4</v>
      </c>
      <c r="D42" s="12">
        <f>C42*2.25</f>
        <v>9</v>
      </c>
      <c r="F42" s="39" t="s">
        <v>78</v>
      </c>
      <c r="G42" s="159">
        <v>60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4">
        <v>11360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4">
        <v>150130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1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33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8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11"/>
      <c r="D49" s="12">
        <f>C49*42</f>
        <v>0</v>
      </c>
      <c r="F49" s="135" t="s">
        <v>85</v>
      </c>
      <c r="G49" s="137">
        <f>H34+H35+H36+H37+H38+H39+H40+H41+G42+H44+H45+H46</f>
        <v>224670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138</v>
      </c>
      <c r="G51" s="248">
        <f>G49-H29</f>
        <v>-185.5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46183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46183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338</v>
      </c>
      <c r="D6" s="13">
        <f t="shared" ref="D6:D28" si="1">C6*L6</f>
        <v>257218</v>
      </c>
      <c r="F6" s="222" t="s">
        <v>16</v>
      </c>
      <c r="G6" s="224" t="s">
        <v>142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14</v>
      </c>
      <c r="D9" s="13">
        <f t="shared" si="1"/>
        <v>10262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297741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41929.5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255811.5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68">
        <v>1296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1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297741</v>
      </c>
      <c r="F29" s="115" t="s">
        <v>54</v>
      </c>
      <c r="G29" s="177"/>
      <c r="H29" s="137">
        <f>H15-H16-H17-H18-H19-H20-H22-H23-H24+H26+H27</f>
        <v>254515.5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59">
        <f>F34*G34</f>
        <v>107000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59">
        <f>F35*G35</f>
        <v>6000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99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4">
        <v>140790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3</v>
      </c>
      <c r="D45" s="12">
        <f>C45*84</f>
        <v>252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13</v>
      </c>
      <c r="D46" s="12">
        <f>C46*1.5</f>
        <v>19.5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8</v>
      </c>
      <c r="D49" s="12">
        <f>C49*42</f>
        <v>336</v>
      </c>
      <c r="F49" s="135" t="s">
        <v>85</v>
      </c>
      <c r="G49" s="137">
        <f>H34+H35+H36+H37+H38+H39+H40+H41+G42+H44+H45+H46</f>
        <v>253940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180</v>
      </c>
      <c r="G51" s="248">
        <f>G49-H29</f>
        <v>-575.5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265</v>
      </c>
      <c r="D6" s="13">
        <f t="shared" ref="D6:D28" si="1">C6*L6</f>
        <v>201665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108</v>
      </c>
      <c r="D9" s="13">
        <f t="shared" si="1"/>
        <v>79164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15</v>
      </c>
      <c r="D13" s="48">
        <f t="shared" si="1"/>
        <v>4605</v>
      </c>
      <c r="F13" s="243" t="s">
        <v>36</v>
      </c>
      <c r="G13" s="207"/>
      <c r="H13" s="198">
        <f>D29</f>
        <v>286866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41175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245691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1932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286866</v>
      </c>
      <c r="F29" s="115" t="s">
        <v>54</v>
      </c>
      <c r="G29" s="177"/>
      <c r="H29" s="137">
        <f>H15-H16-H17-H18-H19-H20-H22-H23-H24+H26+H27</f>
        <v>243759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59">
        <f>F34*G34</f>
        <v>138000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59">
        <f>F35*G35</f>
        <v>105500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9</v>
      </c>
      <c r="D49" s="12">
        <f>C49*42</f>
        <v>378</v>
      </c>
      <c r="F49" s="135" t="s">
        <v>85</v>
      </c>
      <c r="G49" s="137">
        <f>H34+H35+H36+H37+H38+H39+H40+H41+G42+H44+H45+H46</f>
        <v>243500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>
        <v>3</v>
      </c>
      <c r="D50" s="12">
        <f>C50*1.5</f>
        <v>4.5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-259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269</v>
      </c>
      <c r="D6" s="13">
        <f t="shared" ref="D6:D28" si="1">C6*L6</f>
        <v>204709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11</v>
      </c>
      <c r="D7" s="13">
        <f t="shared" si="1"/>
        <v>8591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26</v>
      </c>
      <c r="D8" s="13">
        <f t="shared" si="1"/>
        <v>28418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53</v>
      </c>
      <c r="D9" s="13">
        <f t="shared" si="1"/>
        <v>38849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5</v>
      </c>
      <c r="D11" s="13">
        <f t="shared" si="1"/>
        <v>5850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243" t="s">
        <v>36</v>
      </c>
      <c r="G13" s="207"/>
      <c r="H13" s="198">
        <f>D29</f>
        <v>291580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38</v>
      </c>
      <c r="G14" s="202"/>
      <c r="H14" s="203">
        <f>D54</f>
        <v>43789.5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247790.5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>
        <v>1242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4">
        <v>35098</v>
      </c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>
        <v>3</v>
      </c>
      <c r="D28" s="48">
        <f t="shared" si="1"/>
        <v>2433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291580</v>
      </c>
      <c r="F29" s="115" t="s">
        <v>54</v>
      </c>
      <c r="G29" s="177"/>
      <c r="H29" s="137">
        <f>H15-H16-H17-H18-H19-H20-H22-H23-H24+H26+H27</f>
        <v>211400.5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59">
        <f>F34*G34</f>
        <v>83000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59">
        <f>F35*G35</f>
        <v>20000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159">
        <v>26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4">
        <v>97440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 t="s">
        <v>140</v>
      </c>
      <c r="G45" s="75"/>
      <c r="H45" s="154">
        <v>17976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15</v>
      </c>
      <c r="D46" s="12">
        <f>C46*1.5</f>
        <v>22.5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218542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>
        <v>16</v>
      </c>
      <c r="D50" s="12">
        <f>C50*1.5</f>
        <v>24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7141.5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422</v>
      </c>
      <c r="D6" s="13">
        <f t="shared" ref="D6:D28" si="1">C6*L6</f>
        <v>321142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8</v>
      </c>
      <c r="D7" s="13">
        <f t="shared" si="1"/>
        <v>6248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103</v>
      </c>
      <c r="D9" s="13">
        <f t="shared" si="1"/>
        <v>75499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243" t="s">
        <v>36</v>
      </c>
      <c r="G13" s="207"/>
      <c r="H13" s="198">
        <f>D29</f>
        <v>410353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40264.5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>
        <f>3+1</f>
        <v>4</v>
      </c>
      <c r="D15" s="31">
        <f t="shared" si="1"/>
        <v>2480</v>
      </c>
      <c r="F15" s="206" t="s">
        <v>39</v>
      </c>
      <c r="G15" s="207"/>
      <c r="H15" s="208">
        <f>H13-H14</f>
        <v>370088.5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8">
        <v>1074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84">
        <v>123065</v>
      </c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410353</v>
      </c>
      <c r="F29" s="115" t="s">
        <v>54</v>
      </c>
      <c r="G29" s="177"/>
      <c r="H29" s="137">
        <f>H15-H16-H17-H18-H19-H20-H22-H23-H24+H26+H27+H28</f>
        <v>245949.5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59">
        <f t="shared" ref="H34:H39" si="2">F34*G34</f>
        <v>38000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59">
        <f t="shared" si="2"/>
        <v>22500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59">
        <f t="shared" si="2"/>
        <v>450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12</v>
      </c>
      <c r="D42" s="12">
        <f>C42*2.25</f>
        <v>27</v>
      </c>
      <c r="F42" s="39" t="s">
        <v>78</v>
      </c>
      <c r="G42" s="159">
        <v>16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54">
        <v>134999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54">
        <v>45000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54">
        <v>4550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245615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-334.5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277</v>
      </c>
      <c r="D6" s="13">
        <f t="shared" ref="D6:D28" si="1">C6*L6</f>
        <v>210797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5</v>
      </c>
      <c r="D7" s="13">
        <f t="shared" si="1"/>
        <v>3905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68</v>
      </c>
      <c r="D9" s="13">
        <f t="shared" si="1"/>
        <v>49844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273580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46170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>
        <v>1</v>
      </c>
      <c r="D15" s="31">
        <f t="shared" si="1"/>
        <v>620</v>
      </c>
      <c r="F15" s="206" t="s">
        <v>39</v>
      </c>
      <c r="G15" s="207"/>
      <c r="H15" s="208">
        <f>H13-H14</f>
        <v>227410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8">
        <v>1140</v>
      </c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273580</v>
      </c>
      <c r="F29" s="115" t="s">
        <v>54</v>
      </c>
      <c r="G29" s="177"/>
      <c r="H29" s="137">
        <f>H15-H16-H17-H18-H19-H20-H22-H23-H24+H26+H27</f>
        <v>226270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59">
        <f>F34*G34</f>
        <v>85000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59">
        <f>F35*G35</f>
        <v>15000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59">
        <f t="shared" si="2"/>
        <v>6600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>
        <v>2</v>
      </c>
      <c r="D42" s="12">
        <f>C42*2.25</f>
        <v>4.5</v>
      </c>
      <c r="F42" s="39" t="s">
        <v>78</v>
      </c>
      <c r="G42" s="159">
        <v>41</v>
      </c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54">
        <v>119356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>
        <v>5</v>
      </c>
      <c r="D49" s="12">
        <f>C49*42</f>
        <v>210</v>
      </c>
      <c r="F49" s="135" t="s">
        <v>85</v>
      </c>
      <c r="G49" s="137">
        <f>H34+H35+H36+H37+H38+H39+H40+H41+G42+H44+H45+H46</f>
        <v>225997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158</v>
      </c>
      <c r="G51" s="248">
        <f>G49-H29</f>
        <v>-273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2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14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4">
        <v>123065</v>
      </c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114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12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123065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14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4">
        <v>123065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123065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topLeftCell="A19"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4">
        <v>123065</v>
      </c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123065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4">
        <v>123065</v>
      </c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123065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topLeftCell="A31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7"/>
      <c r="G23" s="78"/>
      <c r="H23" s="185"/>
      <c r="I23" s="154"/>
      <c r="J23" s="15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79"/>
      <c r="H27" s="192"/>
      <c r="I27" s="193"/>
      <c r="J27" s="19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/>
      <c r="I34" s="160"/>
      <c r="J34" s="16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106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46186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99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117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108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6"/>
      <c r="G23" s="78"/>
      <c r="H23" s="244"/>
      <c r="I23" s="245"/>
      <c r="J23" s="2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76"/>
      <c r="G24" s="78"/>
      <c r="H24" s="244"/>
      <c r="I24" s="245"/>
      <c r="J24" s="2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74"/>
      <c r="G26" s="65"/>
      <c r="H26" s="154"/>
      <c r="I26" s="154"/>
      <c r="J26" s="15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71"/>
      <c r="G27" s="106"/>
      <c r="H27" s="246"/>
      <c r="I27" s="247"/>
      <c r="J27" s="24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H15-H16-H17-H18-H19-H20-H22-H23-H24+H26+H27+H28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46185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107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100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101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80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46185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109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121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38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119</v>
      </c>
      <c r="C15" s="10"/>
      <c r="D15" s="31">
        <f t="shared" si="1"/>
        <v>0</v>
      </c>
      <c r="F15" s="206" t="s">
        <v>39</v>
      </c>
      <c r="G15" s="207"/>
      <c r="H15" s="208">
        <f>H13-H14</f>
        <v>0</v>
      </c>
      <c r="I15" s="209"/>
      <c r="J15" s="21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8"/>
      <c r="I16" s="168"/>
      <c r="J16" s="16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9"/>
      <c r="I18" s="179"/>
      <c r="J18" s="17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8"/>
      <c r="I20" s="168"/>
      <c r="J20" s="16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1" t="s">
        <v>13</v>
      </c>
      <c r="I21" s="182"/>
      <c r="J21" s="18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103</v>
      </c>
      <c r="C22" s="10"/>
      <c r="D22" s="48">
        <f t="shared" si="1"/>
        <v>0</v>
      </c>
      <c r="F22" s="76"/>
      <c r="G22" s="72"/>
      <c r="H22" s="184"/>
      <c r="I22" s="184"/>
      <c r="J22" s="18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118</v>
      </c>
      <c r="C23" s="10"/>
      <c r="D23" s="48">
        <f t="shared" si="1"/>
        <v>0</v>
      </c>
      <c r="F23" s="77"/>
      <c r="G23" s="78"/>
      <c r="H23" s="255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125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6" t="s">
        <v>13</v>
      </c>
      <c r="I25" s="187"/>
      <c r="J25" s="18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126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127</v>
      </c>
      <c r="C27" s="10"/>
      <c r="D27" s="44">
        <f t="shared" si="1"/>
        <v>0</v>
      </c>
      <c r="F27" s="25"/>
      <c r="G27" s="79"/>
      <c r="H27" s="192"/>
      <c r="I27" s="193"/>
      <c r="J27" s="19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92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54</v>
      </c>
      <c r="G29" s="177"/>
      <c r="H29" s="137">
        <f>H15-H16-H17-H18-H19-H20-H22-H23-H24+H26+H27</f>
        <v>0</v>
      </c>
      <c r="I29" s="138"/>
      <c r="J29" s="13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57</v>
      </c>
      <c r="B32" s="163"/>
      <c r="C32" s="163"/>
      <c r="D32" s="164"/>
      <c r="F32" s="165" t="s">
        <v>58</v>
      </c>
      <c r="G32" s="166"/>
      <c r="H32" s="166"/>
      <c r="I32" s="166"/>
      <c r="J32" s="16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5" t="s">
        <v>13</v>
      </c>
      <c r="I33" s="166"/>
      <c r="J33" s="16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9">
        <f>F34*G34</f>
        <v>0</v>
      </c>
      <c r="I34" s="160"/>
      <c r="J34" s="16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67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69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67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69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67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69</v>
      </c>
      <c r="C42" s="11"/>
      <c r="D42" s="12">
        <f>C42*2.25</f>
        <v>0</v>
      </c>
      <c r="F42" s="39" t="s">
        <v>78</v>
      </c>
      <c r="G42" s="159"/>
      <c r="H42" s="160"/>
      <c r="I42" s="160"/>
      <c r="J42" s="16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80</v>
      </c>
      <c r="C43" s="11"/>
      <c r="D43" s="12"/>
      <c r="F43" s="59" t="s">
        <v>81</v>
      </c>
      <c r="G43" s="106" t="s">
        <v>82</v>
      </c>
      <c r="H43" s="151" t="s">
        <v>13</v>
      </c>
      <c r="I43" s="152"/>
      <c r="J43" s="15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0"/>
      <c r="B44" s="27" t="s">
        <v>65</v>
      </c>
      <c r="C44" s="10"/>
      <c r="D44" s="12">
        <f>C44*120</f>
        <v>0</v>
      </c>
      <c r="F44" s="37"/>
      <c r="G44" s="75"/>
      <c r="H44" s="154"/>
      <c r="I44" s="154"/>
      <c r="J44" s="15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67</v>
      </c>
      <c r="C45" s="33"/>
      <c r="D45" s="12">
        <f>C45*84</f>
        <v>0</v>
      </c>
      <c r="F45" s="37"/>
      <c r="G45" s="75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69</v>
      </c>
      <c r="C46" s="80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65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67</v>
      </c>
      <c r="C49" s="33"/>
      <c r="D49" s="12">
        <f>C49*42</f>
        <v>0</v>
      </c>
      <c r="F49" s="135" t="s">
        <v>85</v>
      </c>
      <c r="G49" s="137">
        <f>H34+H35+H36+H37+H38+H39+H40+H41+G42+H44+H45+H46</f>
        <v>0</v>
      </c>
      <c r="H49" s="138"/>
      <c r="I49" s="138"/>
      <c r="J49" s="13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69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112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113</v>
      </c>
      <c r="G51" s="145">
        <f>G49-H29</f>
        <v>0</v>
      </c>
      <c r="H51" s="146"/>
      <c r="I51" s="146"/>
      <c r="J51" s="1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5" t="s">
        <v>89</v>
      </c>
      <c r="B54" s="116"/>
      <c r="C54" s="117"/>
      <c r="D54" s="1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90</v>
      </c>
      <c r="B58" s="124"/>
      <c r="C58" s="124"/>
      <c r="D58" s="125"/>
      <c r="F58" s="123" t="s">
        <v>91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2026-06-14T23:43:42Z</cp:lastPrinted>
  <dcterms:created xsi:type="dcterms:W3CDTF">2024-09-01T23:36:50Z</dcterms:created>
  <dcterms:modified xsi:type="dcterms:W3CDTF">2026-06-14T23:45:38Z</dcterms:modified>
</cp:coreProperties>
</file>