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347DD6E9-15D4-443D-B8E2-EE567E2ACE83}" xr6:coauthVersionLast="45" xr6:coauthVersionMax="47" xr10:uidLastSave="{00000000-0000-0000-0000-000000000000}"/>
  <bookViews>
    <workbookView xWindow="-120" yWindow="-120" windowWidth="29040" windowHeight="15840" firstSheet="50" activeTab="101" xr2:uid="{00000000-000D-0000-FFFF-FFFF00000000}"/>
  </bookViews>
  <sheets>
    <sheet name="(JUNE 2026)" sheetId="814" r:id="rId1"/>
    <sheet name="(01)" sheetId="2086" r:id="rId2"/>
    <sheet name="06,01 R1" sheetId="2087" r:id="rId3"/>
    <sheet name="06,01 R2" sheetId="2088" r:id="rId4"/>
    <sheet name="06,01 R3" sheetId="2089" r:id="rId5"/>
    <sheet name="(2)" sheetId="2107" r:id="rId6"/>
    <sheet name="06,02 R1 " sheetId="2108" r:id="rId7"/>
    <sheet name="06,02 R2 " sheetId="2109" r:id="rId8"/>
    <sheet name="06,02 R3" sheetId="2110" r:id="rId9"/>
    <sheet name="(3)" sheetId="2111" r:id="rId10"/>
    <sheet name="06,03 R1 " sheetId="2112" r:id="rId11"/>
    <sheet name="06,03 R2 NO TRIP " sheetId="2113" r:id="rId12"/>
    <sheet name="06,03 R3 NO TRIP" sheetId="2114" r:id="rId13"/>
    <sheet name="(4)" sheetId="2115" r:id="rId14"/>
    <sheet name="06,04 R1 " sheetId="2116" r:id="rId15"/>
    <sheet name="06,04 R2 " sheetId="2117" r:id="rId16"/>
    <sheet name="06,04 R3  " sheetId="2118" r:id="rId17"/>
    <sheet name="(5)" sheetId="2119" r:id="rId18"/>
    <sheet name="06,05 R1 NO TRIP" sheetId="2120" r:id="rId19"/>
    <sheet name="06,05 R2 " sheetId="2121" r:id="rId20"/>
    <sheet name="06,05 R3  " sheetId="2122" r:id="rId21"/>
    <sheet name="(6)" sheetId="2123" r:id="rId22"/>
    <sheet name="06,06 R1 COLLECTION" sheetId="2127" r:id="rId23"/>
    <sheet name="06,06 R2 NO TRIP" sheetId="2125" r:id="rId24"/>
    <sheet name="06,06 R3 NO TRIP " sheetId="2126" r:id="rId25"/>
    <sheet name="(8)" sheetId="2132" r:id="rId26"/>
    <sheet name="06,08 R1 NO TRIP" sheetId="2133" r:id="rId27"/>
    <sheet name="06,08 R2" sheetId="2134" r:id="rId28"/>
    <sheet name="06,08 R3" sheetId="2135" r:id="rId29"/>
    <sheet name="(9)" sheetId="2128" r:id="rId30"/>
    <sheet name="06,09 R1" sheetId="2129" r:id="rId31"/>
    <sheet name="06,09 R2 " sheetId="2130" r:id="rId32"/>
    <sheet name="06,09 R3 " sheetId="2131" r:id="rId33"/>
    <sheet name="(10)" sheetId="2136" r:id="rId34"/>
    <sheet name="06,10 R1 " sheetId="2137" r:id="rId35"/>
    <sheet name="06,10 R2 NO TRIP  " sheetId="2138" r:id="rId36"/>
    <sheet name="06,10 R3 " sheetId="2139" r:id="rId37"/>
    <sheet name="(11)" sheetId="2140" r:id="rId38"/>
    <sheet name="06,11 R1 NO TRIP" sheetId="2141" r:id="rId39"/>
    <sheet name="06,11 R2 " sheetId="2142" r:id="rId40"/>
    <sheet name="06,11 R3" sheetId="2143" r:id="rId41"/>
    <sheet name="(12)" sheetId="2144" r:id="rId42"/>
    <sheet name="06,12 R1  " sheetId="2145" r:id="rId43"/>
    <sheet name="06,12 R2  " sheetId="2146" r:id="rId44"/>
    <sheet name="06,12 R3 NO TRIP" sheetId="2147" r:id="rId45"/>
    <sheet name="(13)" sheetId="2156" r:id="rId46"/>
    <sheet name="06,13 R1" sheetId="2157" r:id="rId47"/>
    <sheet name="(15)" sheetId="2152" r:id="rId48"/>
    <sheet name="06,15 R1" sheetId="2153" r:id="rId49"/>
    <sheet name="06,15 R2" sheetId="2154" r:id="rId50"/>
    <sheet name="06,15 R3" sheetId="2155" r:id="rId51"/>
    <sheet name="(16)" sheetId="2148" r:id="rId52"/>
    <sheet name="06,16 R1 " sheetId="2149" r:id="rId53"/>
    <sheet name="06,16 R2 " sheetId="2150" r:id="rId54"/>
    <sheet name="06,16 R3 " sheetId="2151" r:id="rId55"/>
    <sheet name="(17)" sheetId="2158" r:id="rId56"/>
    <sheet name="06,17 R1" sheetId="2159" r:id="rId57"/>
    <sheet name="06,17 R2 " sheetId="2160" r:id="rId58"/>
    <sheet name="06,17 R3" sheetId="2161" r:id="rId59"/>
    <sheet name="(18)" sheetId="2162" r:id="rId60"/>
    <sheet name="06,18 R1" sheetId="2163" r:id="rId61"/>
    <sheet name="06,18 R2" sheetId="2164" r:id="rId62"/>
    <sheet name="06,18 R3" sheetId="2165" r:id="rId63"/>
    <sheet name="(19)" sheetId="2166" r:id="rId64"/>
    <sheet name="06,19 R1 COLLECTION" sheetId="2167" r:id="rId65"/>
    <sheet name="06,19 R2" sheetId="2168" r:id="rId66"/>
    <sheet name="06,19 R3" sheetId="2169" r:id="rId67"/>
    <sheet name="(20)" sheetId="2170" r:id="rId68"/>
    <sheet name="06,20 R1 " sheetId="2171" r:id="rId69"/>
    <sheet name="06,20 R2" sheetId="2172" r:id="rId70"/>
    <sheet name="06,20 R3" sheetId="2173" r:id="rId71"/>
    <sheet name="(22)" sheetId="2174" r:id="rId72"/>
    <sheet name="06,22 R1" sheetId="2175" r:id="rId73"/>
    <sheet name="06,22 R2" sheetId="2176" r:id="rId74"/>
    <sheet name="06,22 R3" sheetId="2177" r:id="rId75"/>
    <sheet name="(23)" sheetId="2178" r:id="rId76"/>
    <sheet name="06,23 R1" sheetId="2179" r:id="rId77"/>
    <sheet name="06,23 R2" sheetId="2180" r:id="rId78"/>
    <sheet name="06,23 R3" sheetId="2181" r:id="rId79"/>
    <sheet name="(24)" sheetId="2182" r:id="rId80"/>
    <sheet name="06,24 R1" sheetId="2183" r:id="rId81"/>
    <sheet name="06,24 R2" sheetId="2184" r:id="rId82"/>
    <sheet name="06,24 R3" sheetId="2185" r:id="rId83"/>
    <sheet name="(25)" sheetId="2186" r:id="rId84"/>
    <sheet name="06,25 R1" sheetId="2187" r:id="rId85"/>
    <sheet name="06,25 R2" sheetId="2188" r:id="rId86"/>
    <sheet name="06,25 R3" sheetId="2189" r:id="rId87"/>
    <sheet name="(26)" sheetId="2190" r:id="rId88"/>
    <sheet name="06,26 R1 NO TRIP" sheetId="2191" r:id="rId89"/>
    <sheet name="06,26 R2" sheetId="2192" r:id="rId90"/>
    <sheet name="06,26 R3" sheetId="2193" r:id="rId91"/>
    <sheet name="(27)" sheetId="2194" r:id="rId92"/>
    <sheet name="06,27 R1 COLLECTION" sheetId="2195" r:id="rId93"/>
    <sheet name="06,24 R2 NO TRIP" sheetId="2196" r:id="rId94"/>
    <sheet name="06,24 R3 NO TRIP" sheetId="2197" r:id="rId95"/>
    <sheet name="(29)" sheetId="2199" r:id="rId96"/>
    <sheet name="06,29 R1 " sheetId="2200" r:id="rId97"/>
    <sheet name="06,29 R2" sheetId="2201" r:id="rId98"/>
    <sheet name="06,29 R3" sheetId="2202" r:id="rId99"/>
    <sheet name="(30)" sheetId="2203" r:id="rId100"/>
    <sheet name="06,30 R1 " sheetId="2204" r:id="rId101"/>
    <sheet name="06,30 R2" sheetId="2205" r:id="rId102"/>
    <sheet name="06,30 R3" sheetId="2206" r:id="rId10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7">'(15)'!$A$1:$J$60</definedName>
    <definedName name="_xlnm.Print_Area" localSheetId="51">'(16)'!$A$1:$J$60</definedName>
    <definedName name="_xlnm.Print_Area" localSheetId="55">'(17)'!$A$1:$J$60</definedName>
    <definedName name="_xlnm.Print_Area" localSheetId="59">'(18)'!$A$1:$J$60</definedName>
    <definedName name="_xlnm.Print_Area" localSheetId="63">'(19)'!$A$1:$J$60</definedName>
    <definedName name="_xlnm.Print_Area" localSheetId="5">'(2)'!$A$1:$J$60</definedName>
    <definedName name="_xlnm.Print_Area" localSheetId="67">'(20)'!$A$1:$J$60</definedName>
    <definedName name="_xlnm.Print_Area" localSheetId="71">'(22)'!$A$1:$J$60</definedName>
    <definedName name="_xlnm.Print_Area" localSheetId="75">'(23)'!$A$1:$J$60</definedName>
    <definedName name="_xlnm.Print_Area" localSheetId="79">'(24)'!$A$1:$J$60</definedName>
    <definedName name="_xlnm.Print_Area" localSheetId="83">'(25)'!$A$1:$J$60</definedName>
    <definedName name="_xlnm.Print_Area" localSheetId="87">'(26)'!$A$1:$J$60</definedName>
    <definedName name="_xlnm.Print_Area" localSheetId="91">'(27)'!$A$1:$J$60</definedName>
    <definedName name="_xlnm.Print_Area" localSheetId="95">'(29)'!$A$1:$J$60</definedName>
    <definedName name="_xlnm.Print_Area" localSheetId="9">'(3)'!$A$1:$J$60</definedName>
    <definedName name="_xlnm.Print_Area" localSheetId="99">'(30)'!$A$1:$J$60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'06,01 R1'!$A$1:$J$60</definedName>
    <definedName name="_xlnm.Print_Area" localSheetId="3">'06,01 R2'!$A$1:$J$60</definedName>
    <definedName name="_xlnm.Print_Area" localSheetId="4">'06,01 R3'!$A$1:$J$60</definedName>
    <definedName name="_xlnm.Print_Area" localSheetId="6">'06,02 R1 '!$A$1:$J$60</definedName>
    <definedName name="_xlnm.Print_Area" localSheetId="7">'06,02 R2 '!$A$1:$J$60</definedName>
    <definedName name="_xlnm.Print_Area" localSheetId="8">'06,02 R3'!$A$1:$J$60</definedName>
    <definedName name="_xlnm.Print_Area" localSheetId="10">'06,03 R1 '!$A$1:$J$60</definedName>
    <definedName name="_xlnm.Print_Area" localSheetId="11">'06,03 R2 NO TRIP '!$A$1:$J$60</definedName>
    <definedName name="_xlnm.Print_Area" localSheetId="12">'06,03 R3 NO TRIP'!$A$1:$J$60</definedName>
    <definedName name="_xlnm.Print_Area" localSheetId="14">'06,04 R1 '!$A$1:$J$60</definedName>
    <definedName name="_xlnm.Print_Area" localSheetId="15">'06,04 R2 '!$A$1:$J$60</definedName>
    <definedName name="_xlnm.Print_Area" localSheetId="16">'06,04 R3  '!$A$1:$J$60</definedName>
    <definedName name="_xlnm.Print_Area" localSheetId="18">'06,05 R1 NO TRIP'!$A$1:$J$60</definedName>
    <definedName name="_xlnm.Print_Area" localSheetId="19">'06,05 R2 '!$A$1:$J$60</definedName>
    <definedName name="_xlnm.Print_Area" localSheetId="20">'06,05 R3  '!$A$1:$J$60</definedName>
    <definedName name="_xlnm.Print_Area" localSheetId="22">'06,06 R1 COLLECTION'!$A$1:$J$60</definedName>
    <definedName name="_xlnm.Print_Area" localSheetId="23">'06,06 R2 NO TRIP'!$A$1:$J$60</definedName>
    <definedName name="_xlnm.Print_Area" localSheetId="24">'06,06 R3 NO TRIP '!$A$1:$J$60</definedName>
    <definedName name="_xlnm.Print_Area" localSheetId="26">'06,08 R1 NO TRIP'!$A$1:$J$60</definedName>
    <definedName name="_xlnm.Print_Area" localSheetId="27">'06,08 R2'!$A$1:$J$60</definedName>
    <definedName name="_xlnm.Print_Area" localSheetId="28">'06,08 R3'!$A$1:$J$60</definedName>
    <definedName name="_xlnm.Print_Area" localSheetId="30">'06,09 R1'!$A$1:$J$60</definedName>
    <definedName name="_xlnm.Print_Area" localSheetId="31">'06,09 R2 '!$A$1:$J$60</definedName>
    <definedName name="_xlnm.Print_Area" localSheetId="32">'06,09 R3 '!$A$1:$J$60</definedName>
    <definedName name="_xlnm.Print_Area" localSheetId="34">'06,10 R1 '!$A$1:$J$60</definedName>
    <definedName name="_xlnm.Print_Area" localSheetId="35">'06,10 R2 NO TRIP  '!$A$1:$J$60</definedName>
    <definedName name="_xlnm.Print_Area" localSheetId="36">'06,10 R3 '!$A$1:$J$60</definedName>
    <definedName name="_xlnm.Print_Area" localSheetId="38">'06,11 R1 NO TRIP'!$A$1:$J$60</definedName>
    <definedName name="_xlnm.Print_Area" localSheetId="39">'06,11 R2 '!$A$1:$J$60</definedName>
    <definedName name="_xlnm.Print_Area" localSheetId="40">'06,11 R3'!$A$1:$J$60</definedName>
    <definedName name="_xlnm.Print_Area" localSheetId="42">'06,12 R1  '!$A$1:$J$60</definedName>
    <definedName name="_xlnm.Print_Area" localSheetId="43">'06,12 R2  '!$A$1:$J$60</definedName>
    <definedName name="_xlnm.Print_Area" localSheetId="44">'06,12 R3 NO TRIP'!$A$1:$J$60</definedName>
    <definedName name="_xlnm.Print_Area" localSheetId="46">'06,13 R1'!$A$1:$J$60</definedName>
    <definedName name="_xlnm.Print_Area" localSheetId="48">'06,15 R1'!$A$1:$J$60</definedName>
    <definedName name="_xlnm.Print_Area" localSheetId="49">'06,15 R2'!$A$1:$J$60</definedName>
    <definedName name="_xlnm.Print_Area" localSheetId="50">'06,15 R3'!$A$1:$J$60</definedName>
    <definedName name="_xlnm.Print_Area" localSheetId="52">'06,16 R1 '!$A$1:$J$60</definedName>
    <definedName name="_xlnm.Print_Area" localSheetId="53">'06,16 R2 '!$A$1:$J$60</definedName>
    <definedName name="_xlnm.Print_Area" localSheetId="54">'06,16 R3 '!$A$1:$J$60</definedName>
    <definedName name="_xlnm.Print_Area" localSheetId="56">'06,17 R1'!$A$1:$J$60</definedName>
    <definedName name="_xlnm.Print_Area" localSheetId="57">'06,17 R2 '!$A$1:$J$60</definedName>
    <definedName name="_xlnm.Print_Area" localSheetId="58">'06,17 R3'!$A$1:$J$60</definedName>
    <definedName name="_xlnm.Print_Area" localSheetId="60">'06,18 R1'!$A$1:$J$60</definedName>
    <definedName name="_xlnm.Print_Area" localSheetId="61">'06,18 R2'!$A$1:$J$60</definedName>
    <definedName name="_xlnm.Print_Area" localSheetId="62">'06,18 R3'!$A$1:$J$60</definedName>
    <definedName name="_xlnm.Print_Area" localSheetId="64">'06,19 R1 COLLECTION'!$A$1:$J$60</definedName>
    <definedName name="_xlnm.Print_Area" localSheetId="65">'06,19 R2'!$A$1:$J$60</definedName>
    <definedName name="_xlnm.Print_Area" localSheetId="66">'06,19 R3'!$A$1:$J$60</definedName>
    <definedName name="_xlnm.Print_Area" localSheetId="68">'06,20 R1 '!$A$1:$J$60</definedName>
    <definedName name="_xlnm.Print_Area" localSheetId="69">'06,20 R2'!$A$1:$J$60</definedName>
    <definedName name="_xlnm.Print_Area" localSheetId="70">'06,20 R3'!$A$1:$J$60</definedName>
    <definedName name="_xlnm.Print_Area" localSheetId="72">'06,22 R1'!$A$1:$J$60</definedName>
    <definedName name="_xlnm.Print_Area" localSheetId="73">'06,22 R2'!$A$1:$J$60</definedName>
    <definedName name="_xlnm.Print_Area" localSheetId="74">'06,22 R3'!$A$1:$J$60</definedName>
    <definedName name="_xlnm.Print_Area" localSheetId="76">'06,23 R1'!$A$1:$J$60</definedName>
    <definedName name="_xlnm.Print_Area" localSheetId="77">'06,23 R2'!$A$1:$J$60</definedName>
    <definedName name="_xlnm.Print_Area" localSheetId="78">'06,23 R3'!$A$1:$J$60</definedName>
    <definedName name="_xlnm.Print_Area" localSheetId="80">'06,24 R1'!$A$1:$J$60</definedName>
    <definedName name="_xlnm.Print_Area" localSheetId="81">'06,24 R2'!$A$1:$J$60</definedName>
    <definedName name="_xlnm.Print_Area" localSheetId="93">'06,24 R2 NO TRIP'!$A$1:$J$60</definedName>
    <definedName name="_xlnm.Print_Area" localSheetId="82">'06,24 R3'!$A$1:$J$60</definedName>
    <definedName name="_xlnm.Print_Area" localSheetId="94">'06,24 R3 NO TRIP'!$A$1:$J$60</definedName>
    <definedName name="_xlnm.Print_Area" localSheetId="84">'06,25 R1'!$A$1:$J$60</definedName>
    <definedName name="_xlnm.Print_Area" localSheetId="85">'06,25 R2'!$A$1:$J$60</definedName>
    <definedName name="_xlnm.Print_Area" localSheetId="86">'06,25 R3'!$A$1:$J$60</definedName>
    <definedName name="_xlnm.Print_Area" localSheetId="88">'06,26 R1 NO TRIP'!$A$1:$J$60</definedName>
    <definedName name="_xlnm.Print_Area" localSheetId="89">'06,26 R2'!$A$1:$J$60</definedName>
    <definedName name="_xlnm.Print_Area" localSheetId="90">'06,26 R3'!$A$1:$J$60</definedName>
    <definedName name="_xlnm.Print_Area" localSheetId="92">'06,27 R1 COLLECTION'!$A$1:$J$60</definedName>
    <definedName name="_xlnm.Print_Area" localSheetId="96">'06,29 R1 '!$A$1:$J$60</definedName>
    <definedName name="_xlnm.Print_Area" localSheetId="97">'06,29 R2'!$A$1:$J$60</definedName>
    <definedName name="_xlnm.Print_Area" localSheetId="98">'06,29 R3'!$A$1:$J$60</definedName>
    <definedName name="_xlnm.Print_Area" localSheetId="100">'06,30 R1 '!$A$1:$J$60</definedName>
    <definedName name="_xlnm.Print_Area" localSheetId="101">'06,30 R2'!$A$1:$J$60</definedName>
    <definedName name="_xlnm.Print_Area" localSheetId="102">'06,30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14" i="2204" l="1"/>
  <c r="C12" i="2205" l="1"/>
  <c r="L14" i="2201" l="1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D42" i="2206"/>
  <c r="R41" i="2206"/>
  <c r="D41" i="2206"/>
  <c r="R40" i="2206"/>
  <c r="D40" i="2206"/>
  <c r="R39" i="2206"/>
  <c r="H39" i="2206"/>
  <c r="D39" i="2206"/>
  <c r="R38" i="2206"/>
  <c r="L9" i="2206" s="1"/>
  <c r="D9" i="2206" s="1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H35" i="2206"/>
  <c r="D35" i="2206"/>
  <c r="R34" i="2206"/>
  <c r="H34" i="2206"/>
  <c r="D34" i="2206"/>
  <c r="R33" i="2206"/>
  <c r="L19" i="2206" s="1"/>
  <c r="D19" i="2206" s="1"/>
  <c r="R32" i="2206"/>
  <c r="L11" i="2206" s="1"/>
  <c r="D11" i="2206" s="1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/>
  <c r="R25" i="2206"/>
  <c r="L25" i="2206"/>
  <c r="D25" i="2206" s="1"/>
  <c r="R24" i="2206"/>
  <c r="L24" i="2206"/>
  <c r="D24" i="2206"/>
  <c r="R23" i="2206"/>
  <c r="L23" i="2206"/>
  <c r="D23" i="2206" s="1"/>
  <c r="R22" i="2206"/>
  <c r="L20" i="2206" s="1"/>
  <c r="D20" i="2206" s="1"/>
  <c r="L22" i="2206"/>
  <c r="D22" i="2206" s="1"/>
  <c r="R21" i="2206"/>
  <c r="L21" i="2206"/>
  <c r="D21" i="2206"/>
  <c r="R20" i="2206"/>
  <c r="R19" i="2206"/>
  <c r="R18" i="2206"/>
  <c r="L18" i="2206"/>
  <c r="D18" i="2206"/>
  <c r="R17" i="2206"/>
  <c r="L17" i="2206"/>
  <c r="D17" i="2206" s="1"/>
  <c r="R16" i="2206"/>
  <c r="R15" i="2206"/>
  <c r="L15" i="2206"/>
  <c r="D15" i="2206"/>
  <c r="R14" i="2206"/>
  <c r="D14" i="2206"/>
  <c r="R13" i="2206"/>
  <c r="D13" i="2206"/>
  <c r="R12" i="2206"/>
  <c r="L12" i="2206"/>
  <c r="D12" i="2206" s="1"/>
  <c r="R11" i="2206"/>
  <c r="L8" i="2206"/>
  <c r="D8" i="2206" s="1"/>
  <c r="L7" i="2206"/>
  <c r="D7" i="2206"/>
  <c r="R6" i="2206"/>
  <c r="L16" i="2206" s="1"/>
  <c r="D16" i="2206" s="1"/>
  <c r="L6" i="2206"/>
  <c r="D6" i="2206" s="1"/>
  <c r="R5" i="2206"/>
  <c r="R4" i="2206"/>
  <c r="R52" i="2205"/>
  <c r="R51" i="2205"/>
  <c r="D50" i="2205"/>
  <c r="R49" i="2205"/>
  <c r="D49" i="2205"/>
  <c r="R48" i="2205"/>
  <c r="D48" i="2205"/>
  <c r="D46" i="2205"/>
  <c r="D45" i="2205"/>
  <c r="R44" i="2205"/>
  <c r="L28" i="2205" s="1"/>
  <c r="D28" i="2205" s="1"/>
  <c r="D44" i="2205"/>
  <c r="R42" i="2205"/>
  <c r="D42" i="2205"/>
  <c r="R41" i="2205"/>
  <c r="L7" i="2205" s="1"/>
  <c r="D7" i="2205" s="1"/>
  <c r="D41" i="2205"/>
  <c r="R40" i="2205"/>
  <c r="D40" i="2205"/>
  <c r="R39" i="2205"/>
  <c r="H39" i="2205"/>
  <c r="D39" i="2205"/>
  <c r="R38" i="2205"/>
  <c r="L9" i="2205" s="1"/>
  <c r="D9" i="2205" s="1"/>
  <c r="H38" i="2205"/>
  <c r="D38" i="2205"/>
  <c r="R37" i="2205"/>
  <c r="H37" i="2205"/>
  <c r="D37" i="2205"/>
  <c r="R36" i="2205"/>
  <c r="L10" i="2205" s="1"/>
  <c r="D10" i="2205" s="1"/>
  <c r="H36" i="2205"/>
  <c r="D36" i="2205"/>
  <c r="R35" i="2205"/>
  <c r="L18" i="2205" s="1"/>
  <c r="D18" i="2205" s="1"/>
  <c r="H35" i="2205"/>
  <c r="D35" i="2205"/>
  <c r="R34" i="2205"/>
  <c r="H34" i="2205"/>
  <c r="D34" i="2205"/>
  <c r="R33" i="2205"/>
  <c r="L19" i="2205" s="1"/>
  <c r="D19" i="2205" s="1"/>
  <c r="R32" i="2205"/>
  <c r="L11" i="2205" s="1"/>
  <c r="D11" i="2205" s="1"/>
  <c r="R31" i="2205"/>
  <c r="R30" i="2205"/>
  <c r="R29" i="2205"/>
  <c r="R28" i="2205"/>
  <c r="R27" i="2205"/>
  <c r="L27" i="2205"/>
  <c r="D27" i="2205"/>
  <c r="R26" i="2205"/>
  <c r="L26" i="2205"/>
  <c r="D26" i="2205"/>
  <c r="R25" i="2205"/>
  <c r="L25" i="2205"/>
  <c r="D25" i="2205" s="1"/>
  <c r="R24" i="2205"/>
  <c r="L24" i="2205"/>
  <c r="D24" i="2205"/>
  <c r="R23" i="2205"/>
  <c r="L23" i="2205"/>
  <c r="D23" i="2205" s="1"/>
  <c r="R22" i="2205"/>
  <c r="L20" i="2205" s="1"/>
  <c r="D20" i="2205" s="1"/>
  <c r="L22" i="2205"/>
  <c r="D22" i="2205" s="1"/>
  <c r="R21" i="2205"/>
  <c r="D21" i="2205"/>
  <c r="R20" i="2205"/>
  <c r="R19" i="2205"/>
  <c r="R18" i="2205"/>
  <c r="R17" i="2205"/>
  <c r="L17" i="2205"/>
  <c r="D17" i="2205"/>
  <c r="R16" i="2205"/>
  <c r="R15" i="2205"/>
  <c r="R14" i="2205"/>
  <c r="D14" i="2205"/>
  <c r="R13" i="2205"/>
  <c r="D13" i="2205"/>
  <c r="R12" i="2205"/>
  <c r="L12" i="2205"/>
  <c r="D12" i="2205"/>
  <c r="R11" i="2205"/>
  <c r="L8" i="2205"/>
  <c r="D8" i="2205" s="1"/>
  <c r="R6" i="2205"/>
  <c r="L16" i="2205" s="1"/>
  <c r="D16" i="2205" s="1"/>
  <c r="L6" i="2205"/>
  <c r="D6" i="2205"/>
  <c r="R5" i="2205"/>
  <c r="R4" i="2205"/>
  <c r="L15" i="2205" s="1"/>
  <c r="D15" i="2205" s="1"/>
  <c r="R52" i="2204"/>
  <c r="R51" i="2204"/>
  <c r="D50" i="2204"/>
  <c r="R49" i="2204"/>
  <c r="D49" i="2204"/>
  <c r="R48" i="2204"/>
  <c r="D48" i="2204"/>
  <c r="D46" i="2204"/>
  <c r="D45" i="2204"/>
  <c r="R44" i="2204"/>
  <c r="L28" i="2204" s="1"/>
  <c r="D28" i="2204" s="1"/>
  <c r="D44" i="2204"/>
  <c r="R42" i="2204"/>
  <c r="D42" i="2204"/>
  <c r="R41" i="2204"/>
  <c r="L7" i="2204" s="1"/>
  <c r="D7" i="2204" s="1"/>
  <c r="D41" i="2204"/>
  <c r="R40" i="2204"/>
  <c r="D40" i="2204"/>
  <c r="R39" i="2204"/>
  <c r="H39" i="2204"/>
  <c r="D39" i="2204"/>
  <c r="R38" i="2204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L18" i="2204" s="1"/>
  <c r="D18" i="2204" s="1"/>
  <c r="H35" i="2204"/>
  <c r="D35" i="2204"/>
  <c r="R34" i="2204"/>
  <c r="H34" i="2204"/>
  <c r="D34" i="2204"/>
  <c r="R33" i="2204"/>
  <c r="L19" i="2204" s="1"/>
  <c r="D19" i="2204" s="1"/>
  <c r="R32" i="2204"/>
  <c r="R31" i="2204"/>
  <c r="R30" i="2204"/>
  <c r="R29" i="2204"/>
  <c r="R28" i="2204"/>
  <c r="R27" i="2204"/>
  <c r="L27" i="2204"/>
  <c r="D27" i="2204"/>
  <c r="R26" i="2204"/>
  <c r="L26" i="2204"/>
  <c r="D26" i="2204"/>
  <c r="R25" i="2204"/>
  <c r="L25" i="2204"/>
  <c r="D25" i="2204"/>
  <c r="R24" i="2204"/>
  <c r="L24" i="2204"/>
  <c r="D24" i="2204"/>
  <c r="R23" i="2204"/>
  <c r="L23" i="2204"/>
  <c r="D23" i="2204" s="1"/>
  <c r="R22" i="2204"/>
  <c r="L22" i="2204"/>
  <c r="D22" i="2204" s="1"/>
  <c r="R21" i="2204"/>
  <c r="L21" i="2204"/>
  <c r="D21" i="2204"/>
  <c r="R20" i="2204"/>
  <c r="L20" i="2204"/>
  <c r="D20" i="2204" s="1"/>
  <c r="R19" i="2204"/>
  <c r="R18" i="2204"/>
  <c r="R17" i="2204"/>
  <c r="L17" i="2204"/>
  <c r="D17" i="2204"/>
  <c r="R16" i="2204"/>
  <c r="R15" i="2204"/>
  <c r="R14" i="2204"/>
  <c r="D14" i="2204"/>
  <c r="R13" i="2204"/>
  <c r="D13" i="2204"/>
  <c r="R12" i="2204"/>
  <c r="L12" i="2204"/>
  <c r="D12" i="2204"/>
  <c r="R11" i="2204"/>
  <c r="L11" i="2204"/>
  <c r="D11" i="2204"/>
  <c r="L9" i="2204"/>
  <c r="D9" i="2204" s="1"/>
  <c r="L8" i="2204"/>
  <c r="D8" i="2204" s="1"/>
  <c r="R6" i="2204"/>
  <c r="L16" i="2204" s="1"/>
  <c r="D16" i="2204" s="1"/>
  <c r="L6" i="2204"/>
  <c r="D6" i="2204" s="1"/>
  <c r="R5" i="2204"/>
  <c r="R4" i="2204"/>
  <c r="L15" i="2204" s="1"/>
  <c r="D15" i="2204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D54" i="2203" s="1"/>
  <c r="H14" i="2203" s="1"/>
  <c r="R42" i="2203"/>
  <c r="L6" i="2203" s="1"/>
  <c r="D6" i="2203" s="1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D36" i="2203"/>
  <c r="R35" i="2203"/>
  <c r="D35" i="2203"/>
  <c r="R34" i="2203"/>
  <c r="D34" i="2203"/>
  <c r="R33" i="2203"/>
  <c r="R32" i="2203"/>
  <c r="L11" i="2203" s="1"/>
  <c r="D11" i="2203" s="1"/>
  <c r="R31" i="2203"/>
  <c r="R30" i="2203"/>
  <c r="R29" i="2203"/>
  <c r="R28" i="2203"/>
  <c r="L16" i="2203" s="1"/>
  <c r="D16" i="2203" s="1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L23" i="2203"/>
  <c r="D23" i="2203" s="1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S15" i="2203"/>
  <c r="R15" i="2203"/>
  <c r="D15" i="2203"/>
  <c r="S14" i="2203"/>
  <c r="R14" i="2203"/>
  <c r="D14" i="2203"/>
  <c r="R13" i="2203"/>
  <c r="D13" i="2203"/>
  <c r="R12" i="2203"/>
  <c r="L12" i="2203"/>
  <c r="D12" i="2203" s="1"/>
  <c r="R11" i="2203"/>
  <c r="L10" i="2203"/>
  <c r="D10" i="2203" s="1"/>
  <c r="L9" i="2203"/>
  <c r="D9" i="2203"/>
  <c r="R6" i="2203"/>
  <c r="R5" i="2203"/>
  <c r="R4" i="2203"/>
  <c r="G49" i="2205" l="1"/>
  <c r="G49" i="2204"/>
  <c r="G49" i="2206"/>
  <c r="D54" i="2206"/>
  <c r="H14" i="2206" s="1"/>
  <c r="D54" i="2205"/>
  <c r="H14" i="2205" s="1"/>
  <c r="D29" i="2205"/>
  <c r="H13" i="2205" s="1"/>
  <c r="D54" i="2204"/>
  <c r="H14" i="2204" s="1"/>
  <c r="D29" i="2206"/>
  <c r="H13" i="2206" s="1"/>
  <c r="D29" i="2204"/>
  <c r="H13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L7" i="2202" s="1"/>
  <c r="D7" i="2202" s="1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L10" i="2202" s="1"/>
  <c r="D10" i="2202" s="1"/>
  <c r="H36" i="2202"/>
  <c r="D36" i="2202"/>
  <c r="R35" i="2202"/>
  <c r="L18" i="2202" s="1"/>
  <c r="D18" i="2202" s="1"/>
  <c r="H35" i="2202"/>
  <c r="D35" i="2202"/>
  <c r="R34" i="2202"/>
  <c r="H34" i="2202"/>
  <c r="D34" i="2202"/>
  <c r="R33" i="2202"/>
  <c r="R32" i="2202"/>
  <c r="L11" i="2202" s="1"/>
  <c r="D11" i="2202" s="1"/>
  <c r="R31" i="2202"/>
  <c r="R30" i="2202"/>
  <c r="R29" i="2202"/>
  <c r="R28" i="2202"/>
  <c r="R27" i="2202"/>
  <c r="L27" i="2202"/>
  <c r="D27" i="2202" s="1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 s="1"/>
  <c r="R22" i="2202"/>
  <c r="L22" i="2202"/>
  <c r="D22" i="2202"/>
  <c r="R21" i="2202"/>
  <c r="L21" i="2202"/>
  <c r="D21" i="2202"/>
  <c r="R20" i="2202"/>
  <c r="L20" i="2202"/>
  <c r="D20" i="2202" s="1"/>
  <c r="R19" i="2202"/>
  <c r="L19" i="2202"/>
  <c r="D19" i="2202" s="1"/>
  <c r="R18" i="2202"/>
  <c r="R17" i="2202"/>
  <c r="L17" i="2202"/>
  <c r="D17" i="2202"/>
  <c r="R16" i="2202"/>
  <c r="R15" i="2202"/>
  <c r="R14" i="2202"/>
  <c r="D14" i="2202"/>
  <c r="R13" i="2202"/>
  <c r="D13" i="2202"/>
  <c r="R12" i="2202"/>
  <c r="L12" i="2202"/>
  <c r="D12" i="2202"/>
  <c r="R11" i="2202"/>
  <c r="L9" i="2202"/>
  <c r="D9" i="2202" s="1"/>
  <c r="L8" i="2202"/>
  <c r="D8" i="2202"/>
  <c r="R6" i="2202"/>
  <c r="L16" i="2202" s="1"/>
  <c r="D16" i="2202" s="1"/>
  <c r="L6" i="2202"/>
  <c r="D6" i="2202" s="1"/>
  <c r="R5" i="2202"/>
  <c r="R4" i="2202"/>
  <c r="L15" i="2202" s="1"/>
  <c r="D15" i="2202" s="1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L12" i="2201" s="1"/>
  <c r="D12" i="2201" s="1"/>
  <c r="H34" i="2201"/>
  <c r="D34" i="2201"/>
  <c r="R33" i="2201"/>
  <c r="L19" i="2201" s="1"/>
  <c r="D19" i="2201" s="1"/>
  <c r="R32" i="2201"/>
  <c r="L11" i="2201" s="1"/>
  <c r="D11" i="2201" s="1"/>
  <c r="R31" i="2201"/>
  <c r="R30" i="2201"/>
  <c r="R29" i="2201"/>
  <c r="R28" i="2201"/>
  <c r="R27" i="2201"/>
  <c r="L27" i="2201"/>
  <c r="D27" i="2201"/>
  <c r="R26" i="2201"/>
  <c r="L26" i="2201"/>
  <c r="D26" i="2201"/>
  <c r="R25" i="2201"/>
  <c r="L25" i="2201"/>
  <c r="D25" i="2201" s="1"/>
  <c r="R24" i="2201"/>
  <c r="L24" i="2201"/>
  <c r="D24" i="2201"/>
  <c r="R23" i="2201"/>
  <c r="L23" i="2201"/>
  <c r="D23" i="2201" s="1"/>
  <c r="R22" i="2201"/>
  <c r="L22" i="2201"/>
  <c r="D22" i="2201"/>
  <c r="R21" i="2201"/>
  <c r="D21" i="2201"/>
  <c r="R20" i="2201"/>
  <c r="L20" i="2201"/>
  <c r="D20" i="2201"/>
  <c r="R19" i="2201"/>
  <c r="R18" i="2201"/>
  <c r="L18" i="2201"/>
  <c r="D18" i="2201"/>
  <c r="R17" i="2201"/>
  <c r="L17" i="2201"/>
  <c r="D17" i="2201"/>
  <c r="R16" i="2201"/>
  <c r="R15" i="2201"/>
  <c r="L15" i="2201"/>
  <c r="D15" i="2201"/>
  <c r="R14" i="2201"/>
  <c r="D14" i="2201"/>
  <c r="R13" i="2201"/>
  <c r="D13" i="2201"/>
  <c r="R12" i="2201"/>
  <c r="R11" i="2201"/>
  <c r="L10" i="2201"/>
  <c r="D10" i="2201"/>
  <c r="L9" i="2201"/>
  <c r="D9" i="2201"/>
  <c r="L8" i="2201"/>
  <c r="D8" i="2201" s="1"/>
  <c r="L7" i="2201"/>
  <c r="D7" i="2201"/>
  <c r="R6" i="2201"/>
  <c r="L16" i="2201" s="1"/>
  <c r="D16" i="2201" s="1"/>
  <c r="L6" i="2201"/>
  <c r="D6" i="2201" s="1"/>
  <c r="R5" i="2201"/>
  <c r="R4" i="2201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/>
  <c r="R27" i="2200"/>
  <c r="L27" i="2200"/>
  <c r="D27" i="2200"/>
  <c r="R26" i="2200"/>
  <c r="L26" i="2200"/>
  <c r="D26" i="2200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/>
  <c r="R17" i="2200"/>
  <c r="L17" i="2200"/>
  <c r="D17" i="2200" s="1"/>
  <c r="R16" i="2200"/>
  <c r="R15" i="2200"/>
  <c r="L15" i="2200"/>
  <c r="D15" i="2200" s="1"/>
  <c r="R14" i="2200"/>
  <c r="D14" i="2200"/>
  <c r="R13" i="2200"/>
  <c r="D13" i="2200"/>
  <c r="R12" i="2200"/>
  <c r="L12" i="2200"/>
  <c r="D12" i="2200" s="1"/>
  <c r="R11" i="2200"/>
  <c r="L11" i="2200"/>
  <c r="D11" i="2200" s="1"/>
  <c r="L9" i="2200"/>
  <c r="D9" i="2200" s="1"/>
  <c r="L8" i="2200"/>
  <c r="D8" i="2200"/>
  <c r="L7" i="2200"/>
  <c r="D7" i="2200"/>
  <c r="R6" i="2200"/>
  <c r="L16" i="2200" s="1"/>
  <c r="D16" i="2200" s="1"/>
  <c r="R5" i="2200"/>
  <c r="R4" i="2200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L16" i="2199"/>
  <c r="D16" i="2199" s="1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/>
  <c r="L8" i="2199"/>
  <c r="D8" i="2199"/>
  <c r="R6" i="2199"/>
  <c r="R5" i="2199"/>
  <c r="R4" i="2199"/>
  <c r="H15" i="2206" l="1"/>
  <c r="H29" i="2206" s="1"/>
  <c r="G51" i="2206" s="1"/>
  <c r="H15" i="2205"/>
  <c r="H29" i="2205" s="1"/>
  <c r="G51" i="2205" s="1"/>
  <c r="H15" i="2204"/>
  <c r="H29" i="2204" s="1"/>
  <c r="G51" i="2204" s="1"/>
  <c r="G49" i="2200"/>
  <c r="G49" i="2201"/>
  <c r="G49" i="2202"/>
  <c r="D54" i="2201"/>
  <c r="H14" i="2201" s="1"/>
  <c r="D54" i="2202"/>
  <c r="H14" i="2202" s="1"/>
  <c r="D54" i="2200"/>
  <c r="H14" i="2200" s="1"/>
  <c r="D29" i="2200"/>
  <c r="H13" i="2200" s="1"/>
  <c r="D29" i="2202"/>
  <c r="H13" i="2202" s="1"/>
  <c r="D29" i="2201"/>
  <c r="H13" i="2201" s="1"/>
  <c r="D29" i="2199"/>
  <c r="H13" i="2199" s="1"/>
  <c r="H15" i="2199" s="1"/>
  <c r="H29" i="2199" s="1"/>
  <c r="G51" i="2199" s="1"/>
  <c r="C19" i="2193"/>
  <c r="C12" i="2193"/>
  <c r="C15" i="2193"/>
  <c r="R52" i="2197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H35" i="2197"/>
  <c r="D35" i="2197"/>
  <c r="R34" i="2197"/>
  <c r="H34" i="2197"/>
  <c r="G49" i="2197" s="1"/>
  <c r="D34" i="2197"/>
  <c r="D54" i="2197" s="1"/>
  <c r="H14" i="2197" s="1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L18" i="2197"/>
  <c r="D18" i="2197"/>
  <c r="R17" i="2197"/>
  <c r="L17" i="2197"/>
  <c r="D17" i="2197" s="1"/>
  <c r="R16" i="2197"/>
  <c r="R15" i="2197"/>
  <c r="L15" i="2197"/>
  <c r="D15" i="2197"/>
  <c r="R14" i="2197"/>
  <c r="D14" i="2197"/>
  <c r="R13" i="2197"/>
  <c r="D13" i="2197"/>
  <c r="R12" i="2197"/>
  <c r="L12" i="2197"/>
  <c r="D12" i="2197" s="1"/>
  <c r="R11" i="2197"/>
  <c r="L8" i="2197"/>
  <c r="D8" i="2197"/>
  <c r="L7" i="2197"/>
  <c r="D7" i="2197"/>
  <c r="R6" i="2197"/>
  <c r="L16" i="2197" s="1"/>
  <c r="D16" i="2197" s="1"/>
  <c r="L6" i="2197"/>
  <c r="D6" i="2197" s="1"/>
  <c r="R5" i="2197"/>
  <c r="R4" i="2197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L6" i="2196" s="1"/>
  <c r="D6" i="2196" s="1"/>
  <c r="D42" i="2196"/>
  <c r="R41" i="2196"/>
  <c r="D41" i="2196"/>
  <c r="R40" i="2196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G49" i="2196" s="1"/>
  <c r="D34" i="2196"/>
  <c r="R33" i="2196"/>
  <c r="R32" i="2196"/>
  <c r="L11" i="2196" s="1"/>
  <c r="D11" i="2196" s="1"/>
  <c r="R31" i="2196"/>
  <c r="R30" i="2196"/>
  <c r="R29" i="2196"/>
  <c r="R28" i="2196"/>
  <c r="L28" i="2196"/>
  <c r="D28" i="2196"/>
  <c r="R27" i="2196"/>
  <c r="L27" i="2196"/>
  <c r="D27" i="2196" s="1"/>
  <c r="R26" i="2196"/>
  <c r="L26" i="2196"/>
  <c r="D26" i="2196" s="1"/>
  <c r="R25" i="2196"/>
  <c r="L25" i="2196"/>
  <c r="D25" i="2196"/>
  <c r="R24" i="2196"/>
  <c r="L24" i="2196"/>
  <c r="D24" i="2196"/>
  <c r="R23" i="2196"/>
  <c r="L23" i="2196"/>
  <c r="D23" i="2196"/>
  <c r="R22" i="2196"/>
  <c r="L20" i="2196" s="1"/>
  <c r="D20" i="2196" s="1"/>
  <c r="L22" i="2196"/>
  <c r="D22" i="2196" s="1"/>
  <c r="R21" i="2196"/>
  <c r="D21" i="2196"/>
  <c r="R20" i="2196"/>
  <c r="R19" i="2196"/>
  <c r="L19" i="2196"/>
  <c r="D19" i="2196"/>
  <c r="R18" i="2196"/>
  <c r="L18" i="2196"/>
  <c r="D18" i="2196"/>
  <c r="R17" i="2196"/>
  <c r="L17" i="2196"/>
  <c r="D17" i="2196"/>
  <c r="R16" i="2196"/>
  <c r="R15" i="2196"/>
  <c r="R14" i="2196"/>
  <c r="D14" i="2196"/>
  <c r="R13" i="2196"/>
  <c r="D13" i="2196"/>
  <c r="R12" i="2196"/>
  <c r="L12" i="2196"/>
  <c r="D12" i="2196"/>
  <c r="R11" i="2196"/>
  <c r="L8" i="2196"/>
  <c r="D8" i="2196"/>
  <c r="L7" i="2196"/>
  <c r="D7" i="2196"/>
  <c r="R6" i="2196"/>
  <c r="L16" i="2196" s="1"/>
  <c r="D16" i="2196" s="1"/>
  <c r="R5" i="2196"/>
  <c r="R4" i="2196"/>
  <c r="L15" i="2196" s="1"/>
  <c r="D15" i="2196" s="1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D42" i="2195"/>
  <c r="R41" i="2195"/>
  <c r="L7" i="2195" s="1"/>
  <c r="D7" i="2195" s="1"/>
  <c r="D41" i="2195"/>
  <c r="R40" i="2195"/>
  <c r="D40" i="2195"/>
  <c r="D54" i="2195" s="1"/>
  <c r="H14" i="2195" s="1"/>
  <c r="R39" i="2195"/>
  <c r="H39" i="2195"/>
  <c r="D39" i="2195"/>
  <c r="R38" i="2195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L18" i="2195" s="1"/>
  <c r="D18" i="2195" s="1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 s="1"/>
  <c r="R22" i="2195"/>
  <c r="L20" i="2195" s="1"/>
  <c r="D20" i="2195" s="1"/>
  <c r="L22" i="2195"/>
  <c r="D22" i="2195" s="1"/>
  <c r="R21" i="2195"/>
  <c r="L21" i="2195"/>
  <c r="D21" i="2195" s="1"/>
  <c r="R20" i="2195"/>
  <c r="R19" i="2195"/>
  <c r="L19" i="2195"/>
  <c r="D19" i="2195"/>
  <c r="R18" i="2195"/>
  <c r="R17" i="2195"/>
  <c r="L17" i="2195"/>
  <c r="D17" i="2195" s="1"/>
  <c r="R16" i="2195"/>
  <c r="R15" i="2195"/>
  <c r="R14" i="2195"/>
  <c r="D14" i="2195"/>
  <c r="R13" i="2195"/>
  <c r="D13" i="2195"/>
  <c r="R12" i="2195"/>
  <c r="L12" i="2195"/>
  <c r="D12" i="2195"/>
  <c r="R11" i="2195"/>
  <c r="L9" i="2195"/>
  <c r="D9" i="2195" s="1"/>
  <c r="L8" i="2195"/>
  <c r="D8" i="2195"/>
  <c r="R6" i="2195"/>
  <c r="L16" i="2195" s="1"/>
  <c r="D16" i="2195" s="1"/>
  <c r="L6" i="2195"/>
  <c r="D6" i="2195"/>
  <c r="R5" i="2195"/>
  <c r="R4" i="2195"/>
  <c r="L15" i="2195" s="1"/>
  <c r="D15" i="2195" s="1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D42" i="2194"/>
  <c r="R41" i="2194"/>
  <c r="L7" i="2194" s="1"/>
  <c r="D7" i="2194" s="1"/>
  <c r="D41" i="2194"/>
  <c r="R40" i="2194"/>
  <c r="L8" i="2194" s="1"/>
  <c r="D8" i="2194" s="1"/>
  <c r="D40" i="2194"/>
  <c r="R39" i="2194"/>
  <c r="D39" i="2194"/>
  <c r="D54" i="2194" s="1"/>
  <c r="H14" i="2194" s="1"/>
  <c r="R38" i="2194"/>
  <c r="D38" i="2194"/>
  <c r="R37" i="2194"/>
  <c r="D37" i="2194"/>
  <c r="R36" i="2194"/>
  <c r="D36" i="2194"/>
  <c r="R35" i="2194"/>
  <c r="L19" i="2194" s="1"/>
  <c r="D19" i="2194" s="1"/>
  <c r="D35" i="2194"/>
  <c r="R34" i="2194"/>
  <c r="D34" i="2194"/>
  <c r="R33" i="2194"/>
  <c r="R32" i="2194"/>
  <c r="L11" i="2194" s="1"/>
  <c r="D11" i="2194" s="1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/>
  <c r="R25" i="2194"/>
  <c r="L25" i="2194"/>
  <c r="D25" i="2194"/>
  <c r="R24" i="2194"/>
  <c r="D24" i="2194"/>
  <c r="R23" i="2194"/>
  <c r="L23" i="2194"/>
  <c r="D23" i="2194"/>
  <c r="R22" i="2194"/>
  <c r="L22" i="2194"/>
  <c r="D22" i="2194"/>
  <c r="R21" i="2194"/>
  <c r="D21" i="2194"/>
  <c r="R20" i="2194"/>
  <c r="L20" i="2194"/>
  <c r="D20" i="2194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L12" i="2194"/>
  <c r="D12" i="2194"/>
  <c r="R11" i="2194"/>
  <c r="L10" i="2194"/>
  <c r="D10" i="2194"/>
  <c r="L9" i="2194"/>
  <c r="D9" i="2194"/>
  <c r="R6" i="2194"/>
  <c r="L6" i="2194"/>
  <c r="D6" i="2194"/>
  <c r="R5" i="2194"/>
  <c r="R4" i="2194"/>
  <c r="H15" i="2201" l="1"/>
  <c r="H29" i="2201" s="1"/>
  <c r="G51" i="2201" s="1"/>
  <c r="H15" i="2202"/>
  <c r="H29" i="2202" s="1"/>
  <c r="G51" i="2202" s="1"/>
  <c r="H15" i="2200"/>
  <c r="H29" i="2200" s="1"/>
  <c r="G51" i="2200" s="1"/>
  <c r="D54" i="2196"/>
  <c r="H14" i="2196" s="1"/>
  <c r="G49" i="2195"/>
  <c r="D29" i="2197"/>
  <c r="H13" i="2197" s="1"/>
  <c r="H15" i="2197" s="1"/>
  <c r="H29" i="2197" s="1"/>
  <c r="G51" i="2197" s="1"/>
  <c r="D29" i="2196"/>
  <c r="H13" i="2196" s="1"/>
  <c r="H15" i="2196" s="1"/>
  <c r="H29" i="2196" s="1"/>
  <c r="G51" i="2196" s="1"/>
  <c r="D29" i="2195"/>
  <c r="H13" i="2195" s="1"/>
  <c r="H15" i="2195" s="1"/>
  <c r="H29" i="2195" s="1"/>
  <c r="G51" i="2195" s="1"/>
  <c r="D29" i="2194"/>
  <c r="H13" i="2194" s="1"/>
  <c r="H15" i="2194" s="1"/>
  <c r="H29" i="2194" s="1"/>
  <c r="G51" i="2194" s="1"/>
  <c r="C12" i="2187"/>
  <c r="C16" i="2187"/>
  <c r="R52" i="2193"/>
  <c r="R51" i="2193"/>
  <c r="D50" i="2193"/>
  <c r="R49" i="2193"/>
  <c r="D49" i="2193"/>
  <c r="R48" i="2193"/>
  <c r="D48" i="2193"/>
  <c r="D46" i="2193"/>
  <c r="D45" i="2193"/>
  <c r="R44" i="2193"/>
  <c r="L28" i="2193" s="1"/>
  <c r="D28" i="2193" s="1"/>
  <c r="D44" i="2193"/>
  <c r="R42" i="2193"/>
  <c r="D42" i="2193"/>
  <c r="R41" i="2193"/>
  <c r="L7" i="2193" s="1"/>
  <c r="D7" i="2193" s="1"/>
  <c r="D41" i="2193"/>
  <c r="R40" i="2193"/>
  <c r="L8" i="2193" s="1"/>
  <c r="D8" i="2193" s="1"/>
  <c r="D40" i="2193"/>
  <c r="R39" i="2193"/>
  <c r="H39" i="2193"/>
  <c r="D39" i="2193"/>
  <c r="R38" i="2193"/>
  <c r="H38" i="2193"/>
  <c r="D38" i="2193"/>
  <c r="R37" i="2193"/>
  <c r="H37" i="2193"/>
  <c r="D37" i="2193"/>
  <c r="R36" i="2193"/>
  <c r="L10" i="2193" s="1"/>
  <c r="D10" i="2193" s="1"/>
  <c r="H36" i="2193"/>
  <c r="D36" i="2193"/>
  <c r="R35" i="2193"/>
  <c r="L18" i="2193" s="1"/>
  <c r="D18" i="2193" s="1"/>
  <c r="H35" i="2193"/>
  <c r="D35" i="2193"/>
  <c r="R34" i="2193"/>
  <c r="H34" i="2193"/>
  <c r="D34" i="2193"/>
  <c r="R33" i="2193"/>
  <c r="R32" i="2193"/>
  <c r="R31" i="2193"/>
  <c r="R30" i="2193"/>
  <c r="R29" i="2193"/>
  <c r="R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0" i="2193" s="1"/>
  <c r="D20" i="2193" s="1"/>
  <c r="L22" i="2193"/>
  <c r="D22" i="2193"/>
  <c r="R21" i="2193"/>
  <c r="L17" i="2193" s="1"/>
  <c r="D17" i="2193" s="1"/>
  <c r="L21" i="2193"/>
  <c r="D21" i="2193"/>
  <c r="R20" i="2193"/>
  <c r="R19" i="2193"/>
  <c r="L19" i="2193"/>
  <c r="D19" i="2193"/>
  <c r="R18" i="2193"/>
  <c r="R17" i="2193"/>
  <c r="R16" i="2193"/>
  <c r="L16" i="2193"/>
  <c r="D16" i="2193" s="1"/>
  <c r="R15" i="2193"/>
  <c r="R14" i="2193"/>
  <c r="D14" i="2193"/>
  <c r="R13" i="2193"/>
  <c r="D13" i="2193"/>
  <c r="R12" i="2193"/>
  <c r="L12" i="2193"/>
  <c r="D12" i="2193"/>
  <c r="R11" i="2193"/>
  <c r="L11" i="2193"/>
  <c r="D11" i="2193" s="1"/>
  <c r="L9" i="2193"/>
  <c r="D9" i="2193"/>
  <c r="R6" i="2193"/>
  <c r="L6" i="2193"/>
  <c r="D6" i="2193" s="1"/>
  <c r="R5" i="2193"/>
  <c r="R4" i="2193"/>
  <c r="L15" i="2193" s="1"/>
  <c r="D15" i="2193" s="1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L9" i="2192" s="1"/>
  <c r="D9" i="2192" s="1"/>
  <c r="H38" i="2192"/>
  <c r="D38" i="2192"/>
  <c r="R37" i="2192"/>
  <c r="H37" i="2192"/>
  <c r="D37" i="2192"/>
  <c r="R36" i="2192"/>
  <c r="H36" i="2192"/>
  <c r="D36" i="2192"/>
  <c r="R35" i="2192"/>
  <c r="L18" i="2192" s="1"/>
  <c r="D18" i="2192" s="1"/>
  <c r="H35" i="2192"/>
  <c r="D35" i="2192"/>
  <c r="R34" i="2192"/>
  <c r="L12" i="2192" s="1"/>
  <c r="D12" i="2192" s="1"/>
  <c r="H34" i="2192"/>
  <c r="D34" i="2192"/>
  <c r="R33" i="2192"/>
  <c r="L19" i="2192" s="1"/>
  <c r="D19" i="2192" s="1"/>
  <c r="R32" i="2192"/>
  <c r="L11" i="2192" s="1"/>
  <c r="D11" i="2192" s="1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 s="1"/>
  <c r="R24" i="2192"/>
  <c r="L24" i="2192"/>
  <c r="D24" i="2192" s="1"/>
  <c r="R23" i="2192"/>
  <c r="L23" i="2192"/>
  <c r="D23" i="2192" s="1"/>
  <c r="R22" i="2192"/>
  <c r="L22" i="2192"/>
  <c r="D22" i="2192"/>
  <c r="R21" i="2192"/>
  <c r="L17" i="2192" s="1"/>
  <c r="D17" i="2192" s="1"/>
  <c r="D21" i="2192"/>
  <c r="R20" i="2192"/>
  <c r="L20" i="2192"/>
  <c r="D20" i="2192"/>
  <c r="R19" i="2192"/>
  <c r="R18" i="2192"/>
  <c r="R17" i="2192"/>
  <c r="R16" i="2192"/>
  <c r="L16" i="2192"/>
  <c r="D16" i="2192"/>
  <c r="R15" i="2192"/>
  <c r="L15" i="2192"/>
  <c r="D15" i="2192"/>
  <c r="R14" i="2192"/>
  <c r="D14" i="2192"/>
  <c r="R13" i="2192"/>
  <c r="D13" i="2192"/>
  <c r="R12" i="2192"/>
  <c r="R11" i="2192"/>
  <c r="L10" i="2192"/>
  <c r="D10" i="2192"/>
  <c r="L8" i="2192"/>
  <c r="D8" i="2192" s="1"/>
  <c r="L7" i="2192"/>
  <c r="D7" i="2192" s="1"/>
  <c r="R6" i="2192"/>
  <c r="L6" i="2192"/>
  <c r="D6" i="2192" s="1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L28" i="2191" s="1"/>
  <c r="D28" i="2191" s="1"/>
  <c r="D44" i="2191"/>
  <c r="R42" i="2191"/>
  <c r="D42" i="2191"/>
  <c r="R41" i="2191"/>
  <c r="L7" i="2191" s="1"/>
  <c r="D7" i="2191" s="1"/>
  <c r="D41" i="2191"/>
  <c r="R40" i="219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L18" i="2191" s="1"/>
  <c r="D18" i="2191" s="1"/>
  <c r="H35" i="2191"/>
  <c r="D35" i="2191"/>
  <c r="R34" i="2191"/>
  <c r="L12" i="2191" s="1"/>
  <c r="H34" i="2191"/>
  <c r="G49" i="2191" s="1"/>
  <c r="D34" i="2191"/>
  <c r="R33" i="2191"/>
  <c r="R32" i="2191"/>
  <c r="R31" i="2191"/>
  <c r="R30" i="2191"/>
  <c r="R29" i="2191"/>
  <c r="R28" i="2191"/>
  <c r="R27" i="2191"/>
  <c r="L27" i="2191"/>
  <c r="D27" i="2191"/>
  <c r="R26" i="2191"/>
  <c r="L26" i="2191"/>
  <c r="D26" i="2191"/>
  <c r="R25" i="2191"/>
  <c r="L25" i="2191"/>
  <c r="D25" i="2191"/>
  <c r="R24" i="2191"/>
  <c r="L24" i="2191"/>
  <c r="D24" i="2191" s="1"/>
  <c r="R23" i="2191"/>
  <c r="L23" i="2191"/>
  <c r="D23" i="2191" s="1"/>
  <c r="R22" i="2191"/>
  <c r="L20" i="2191" s="1"/>
  <c r="D20" i="2191" s="1"/>
  <c r="L22" i="2191"/>
  <c r="D22" i="2191"/>
  <c r="R21" i="2191"/>
  <c r="L17" i="2191" s="1"/>
  <c r="D17" i="2191" s="1"/>
  <c r="L21" i="2191"/>
  <c r="D21" i="2191"/>
  <c r="R20" i="2191"/>
  <c r="R19" i="2191"/>
  <c r="L19" i="2191"/>
  <c r="D19" i="2191"/>
  <c r="R18" i="2191"/>
  <c r="R17" i="2191"/>
  <c r="R16" i="2191"/>
  <c r="L16" i="2191"/>
  <c r="D16" i="2191"/>
  <c r="R15" i="2191"/>
  <c r="R14" i="2191"/>
  <c r="D14" i="2191"/>
  <c r="R13" i="2191"/>
  <c r="D13" i="2191"/>
  <c r="R12" i="2191"/>
  <c r="D12" i="2191"/>
  <c r="R11" i="2191"/>
  <c r="L11" i="2191"/>
  <c r="D11" i="2191"/>
  <c r="L9" i="2191"/>
  <c r="D9" i="2191"/>
  <c r="L8" i="2191"/>
  <c r="D8" i="2191" s="1"/>
  <c r="R6" i="2191"/>
  <c r="L6" i="2191"/>
  <c r="D6" i="2191"/>
  <c r="R5" i="2191"/>
  <c r="R4" i="2191"/>
  <c r="L15" i="2191" s="1"/>
  <c r="D15" i="2191" s="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L6" i="2190" s="1"/>
  <c r="D6" i="2190" s="1"/>
  <c r="D42" i="2190"/>
  <c r="R41" i="2190"/>
  <c r="L7" i="2190" s="1"/>
  <c r="D7" i="2190" s="1"/>
  <c r="D41" i="2190"/>
  <c r="R40" i="2190"/>
  <c r="D40" i="2190"/>
  <c r="R39" i="2190"/>
  <c r="D39" i="2190"/>
  <c r="R38" i="2190"/>
  <c r="L9" i="2190" s="1"/>
  <c r="D9" i="2190" s="1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R31" i="2190"/>
  <c r="R30" i="2190"/>
  <c r="R29" i="2190"/>
  <c r="R28" i="2190"/>
  <c r="L16" i="2190" s="1"/>
  <c r="D16" i="2190" s="1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 s="1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S15" i="2190"/>
  <c r="R15" i="2190"/>
  <c r="D15" i="2190"/>
  <c r="S14" i="2190"/>
  <c r="R14" i="2190"/>
  <c r="D14" i="2190"/>
  <c r="R13" i="2190"/>
  <c r="D13" i="2190"/>
  <c r="R12" i="2190"/>
  <c r="R11" i="2190"/>
  <c r="L11" i="2190"/>
  <c r="D11" i="2190" s="1"/>
  <c r="L8" i="2190"/>
  <c r="D8" i="2190"/>
  <c r="R6" i="2190"/>
  <c r="R5" i="2190"/>
  <c r="R4" i="2190"/>
  <c r="G49" i="2193" l="1"/>
  <c r="G49" i="2192"/>
  <c r="D54" i="2193"/>
  <c r="H14" i="2193" s="1"/>
  <c r="D29" i="2193"/>
  <c r="H13" i="2193" s="1"/>
  <c r="D54" i="2192"/>
  <c r="H14" i="2192" s="1"/>
  <c r="D54" i="2191"/>
  <c r="H14" i="2191" s="1"/>
  <c r="D29" i="2192"/>
  <c r="H13" i="2192" s="1"/>
  <c r="D29" i="2191"/>
  <c r="H13" i="2191" s="1"/>
  <c r="H15" i="2191" s="1"/>
  <c r="H29" i="2191" s="1"/>
  <c r="G51" i="2191"/>
  <c r="D29" i="2190"/>
  <c r="H13" i="2190" s="1"/>
  <c r="H15" i="2190" s="1"/>
  <c r="H29" i="2190" s="1"/>
  <c r="G51" i="2190"/>
  <c r="H16" i="2185"/>
  <c r="C12" i="2185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D41" i="2189"/>
  <c r="R40" i="2189"/>
  <c r="L8" i="2189" s="1"/>
  <c r="D8" i="2189" s="1"/>
  <c r="D40" i="2189"/>
  <c r="R39" i="2189"/>
  <c r="H39" i="2189"/>
  <c r="D39" i="2189"/>
  <c r="R38" i="2189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H35" i="2189"/>
  <c r="D35" i="2189"/>
  <c r="R34" i="2189"/>
  <c r="H34" i="2189"/>
  <c r="D34" i="2189"/>
  <c r="R33" i="2189"/>
  <c r="L19" i="2189" s="1"/>
  <c r="D19" i="2189" s="1"/>
  <c r="R32" i="2189"/>
  <c r="R31" i="2189"/>
  <c r="R30" i="2189"/>
  <c r="R29" i="2189"/>
  <c r="R28" i="2189"/>
  <c r="L28" i="2189"/>
  <c r="D28" i="2189"/>
  <c r="R27" i="2189"/>
  <c r="L27" i="2189"/>
  <c r="D27" i="2189" s="1"/>
  <c r="R26" i="2189"/>
  <c r="L26" i="2189"/>
  <c r="D26" i="2189"/>
  <c r="R25" i="2189"/>
  <c r="L25" i="2189"/>
  <c r="D25" i="2189" s="1"/>
  <c r="R24" i="2189"/>
  <c r="L24" i="2189"/>
  <c r="D24" i="2189"/>
  <c r="R23" i="2189"/>
  <c r="L23" i="2189"/>
  <c r="D23" i="2189"/>
  <c r="R22" i="2189"/>
  <c r="L20" i="2189" s="1"/>
  <c r="D20" i="2189" s="1"/>
  <c r="L22" i="2189"/>
  <c r="D22" i="2189"/>
  <c r="R21" i="2189"/>
  <c r="L21" i="2189"/>
  <c r="D21" i="2189" s="1"/>
  <c r="R20" i="2189"/>
  <c r="R19" i="2189"/>
  <c r="R18" i="2189"/>
  <c r="L18" i="2189"/>
  <c r="D18" i="2189"/>
  <c r="R17" i="2189"/>
  <c r="L17" i="2189"/>
  <c r="D17" i="2189" s="1"/>
  <c r="R16" i="2189"/>
  <c r="R15" i="2189"/>
  <c r="L15" i="2189"/>
  <c r="D15" i="2189" s="1"/>
  <c r="R14" i="2189"/>
  <c r="D14" i="2189"/>
  <c r="R13" i="2189"/>
  <c r="D13" i="2189"/>
  <c r="R12" i="2189"/>
  <c r="L12" i="2189"/>
  <c r="D12" i="2189" s="1"/>
  <c r="R11" i="2189"/>
  <c r="L11" i="2189"/>
  <c r="D11" i="2189" s="1"/>
  <c r="L9" i="2189"/>
  <c r="D9" i="2189" s="1"/>
  <c r="L7" i="2189"/>
  <c r="D7" i="2189"/>
  <c r="R6" i="2189"/>
  <c r="L16" i="2189" s="1"/>
  <c r="D16" i="2189" s="1"/>
  <c r="L6" i="2189"/>
  <c r="D6" i="2189"/>
  <c r="R5" i="2189"/>
  <c r="R4" i="2189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L6" i="2188" s="1"/>
  <c r="D6" i="2188" s="1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L9" i="2188" s="1"/>
  <c r="D9" i="2188" s="1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L19" i="2188" s="1"/>
  <c r="D19" i="2188" s="1"/>
  <c r="R32" i="2188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 s="1"/>
  <c r="R25" i="2188"/>
  <c r="L25" i="2188"/>
  <c r="D25" i="2188" s="1"/>
  <c r="R24" i="2188"/>
  <c r="L24" i="2188"/>
  <c r="D24" i="2188"/>
  <c r="R23" i="2188"/>
  <c r="L23" i="2188"/>
  <c r="D23" i="2188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R18" i="2188"/>
  <c r="R17" i="2188"/>
  <c r="R16" i="2188"/>
  <c r="L16" i="2188"/>
  <c r="D16" i="2188"/>
  <c r="R15" i="2188"/>
  <c r="R14" i="2188"/>
  <c r="D14" i="2188"/>
  <c r="R13" i="2188"/>
  <c r="D13" i="2188"/>
  <c r="R12" i="2188"/>
  <c r="L12" i="2188"/>
  <c r="D12" i="2188"/>
  <c r="R11" i="2188"/>
  <c r="L11" i="2188"/>
  <c r="D11" i="2188"/>
  <c r="R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D40" i="2187"/>
  <c r="R39" i="2187"/>
  <c r="H39" i="2187"/>
  <c r="D39" i="2187"/>
  <c r="R38" i="2187"/>
  <c r="H38" i="2187"/>
  <c r="D38" i="2187"/>
  <c r="R37" i="2187"/>
  <c r="H37" i="2187"/>
  <c r="D37" i="2187"/>
  <c r="R36" i="2187"/>
  <c r="L10" i="2187" s="1"/>
  <c r="D10" i="2187" s="1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 s="1"/>
  <c r="R23" i="2187"/>
  <c r="L23" i="2187"/>
  <c r="D23" i="2187"/>
  <c r="R22" i="2187"/>
  <c r="L20" i="2187" s="1"/>
  <c r="D20" i="2187" s="1"/>
  <c r="L22" i="2187"/>
  <c r="D22" i="2187"/>
  <c r="R21" i="2187"/>
  <c r="L17" i="2187" s="1"/>
  <c r="D17" i="2187" s="1"/>
  <c r="L21" i="2187"/>
  <c r="D21" i="2187"/>
  <c r="R20" i="2187"/>
  <c r="R19" i="2187"/>
  <c r="L19" i="2187"/>
  <c r="D19" i="2187"/>
  <c r="R18" i="2187"/>
  <c r="L18" i="2187"/>
  <c r="D18" i="2187"/>
  <c r="R17" i="2187"/>
  <c r="R16" i="2187"/>
  <c r="R15" i="2187"/>
  <c r="R14" i="2187"/>
  <c r="D14" i="2187"/>
  <c r="R13" i="2187"/>
  <c r="D13" i="2187"/>
  <c r="R12" i="2187"/>
  <c r="L12" i="2187"/>
  <c r="D12" i="2187"/>
  <c r="R11" i="2187"/>
  <c r="L11" i="2187"/>
  <c r="D11" i="2187"/>
  <c r="L9" i="2187"/>
  <c r="D9" i="2187"/>
  <c r="L8" i="2187"/>
  <c r="D8" i="2187" s="1"/>
  <c r="L7" i="2187"/>
  <c r="D7" i="2187"/>
  <c r="R6" i="2187"/>
  <c r="L16" i="2187" s="1"/>
  <c r="D16" i="2187" s="1"/>
  <c r="L6" i="2187"/>
  <c r="D6" i="2187" s="1"/>
  <c r="R5" i="2187"/>
  <c r="R4" i="2187"/>
  <c r="L15" i="2187" s="1"/>
  <c r="D15" i="2187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D36" i="2186"/>
  <c r="R35" i="2186"/>
  <c r="D35" i="2186"/>
  <c r="R34" i="2186"/>
  <c r="D34" i="2186"/>
  <c r="D54" i="2186" s="1"/>
  <c r="H14" i="2186" s="1"/>
  <c r="R33" i="2186"/>
  <c r="R32" i="2186"/>
  <c r="R31" i="2186"/>
  <c r="R30" i="2186"/>
  <c r="R29" i="2186"/>
  <c r="R28" i="2186"/>
  <c r="D28" i="2186"/>
  <c r="R27" i="2186"/>
  <c r="D27" i="2186"/>
  <c r="R26" i="2186"/>
  <c r="L26" i="2186"/>
  <c r="D26" i="2186"/>
  <c r="R25" i="2186"/>
  <c r="L25" i="2186"/>
  <c r="D25" i="2186" s="1"/>
  <c r="R24" i="2186"/>
  <c r="D24" i="2186"/>
  <c r="R23" i="2186"/>
  <c r="L23" i="2186"/>
  <c r="D23" i="2186"/>
  <c r="R22" i="2186"/>
  <c r="L22" i="2186"/>
  <c r="D22" i="2186"/>
  <c r="R21" i="2186"/>
  <c r="D21" i="2186"/>
  <c r="R20" i="2186"/>
  <c r="L20" i="2186"/>
  <c r="D20" i="2186"/>
  <c r="R19" i="2186"/>
  <c r="L19" i="2186"/>
  <c r="D19" i="2186" s="1"/>
  <c r="R18" i="2186"/>
  <c r="D18" i="2186"/>
  <c r="R17" i="2186"/>
  <c r="D17" i="2186"/>
  <c r="R16" i="2186"/>
  <c r="L16" i="2186"/>
  <c r="D16" i="2186" s="1"/>
  <c r="S15" i="2186"/>
  <c r="R15" i="2186"/>
  <c r="D15" i="2186"/>
  <c r="S14" i="2186"/>
  <c r="R14" i="2186"/>
  <c r="D14" i="2186"/>
  <c r="R13" i="2186"/>
  <c r="D13" i="2186"/>
  <c r="R12" i="2186"/>
  <c r="L12" i="2186"/>
  <c r="D12" i="2186"/>
  <c r="R11" i="2186"/>
  <c r="L11" i="2186"/>
  <c r="D11" i="2186"/>
  <c r="L10" i="2186"/>
  <c r="D10" i="2186" s="1"/>
  <c r="L9" i="2186"/>
  <c r="D9" i="2186" s="1"/>
  <c r="L7" i="2186"/>
  <c r="D7" i="2186" s="1"/>
  <c r="R6" i="2186"/>
  <c r="L6" i="2186"/>
  <c r="D6" i="2186"/>
  <c r="R5" i="2186"/>
  <c r="R4" i="2186"/>
  <c r="H15" i="2193" l="1"/>
  <c r="H29" i="2193" s="1"/>
  <c r="G51" i="2193" s="1"/>
  <c r="H15" i="2192"/>
  <c r="H29" i="2192" s="1"/>
  <c r="G51" i="2192" s="1"/>
  <c r="G49" i="2189"/>
  <c r="G49" i="2188"/>
  <c r="G49" i="2187"/>
  <c r="D54" i="2189"/>
  <c r="H14" i="2189" s="1"/>
  <c r="D54" i="2188"/>
  <c r="H14" i="2188" s="1"/>
  <c r="D54" i="2187"/>
  <c r="H14" i="2187" s="1"/>
  <c r="D29" i="2189"/>
  <c r="H13" i="2189" s="1"/>
  <c r="D29" i="2188"/>
  <c r="H13" i="2188" s="1"/>
  <c r="D29" i="2187"/>
  <c r="H13" i="2187" s="1"/>
  <c r="D29" i="2186"/>
  <c r="H13" i="2186" s="1"/>
  <c r="H15" i="2186" s="1"/>
  <c r="H29" i="2186" s="1"/>
  <c r="G51" i="2186" s="1"/>
  <c r="C19" i="2183"/>
  <c r="C12" i="2183"/>
  <c r="H15" i="2189" l="1"/>
  <c r="H29" i="2189" s="1"/>
  <c r="G51" i="2189" s="1"/>
  <c r="H15" i="2188"/>
  <c r="H29" i="2188" s="1"/>
  <c r="G51" i="2188" s="1"/>
  <c r="H15" i="2187"/>
  <c r="H29" i="2187" s="1"/>
  <c r="G51" i="2187" s="1"/>
  <c r="C15" i="2179"/>
  <c r="C12" i="2181"/>
  <c r="R52" i="2185"/>
  <c r="R51" i="2185"/>
  <c r="D50" i="2185"/>
  <c r="R49" i="2185"/>
  <c r="D49" i="2185"/>
  <c r="R48" i="2185"/>
  <c r="D48" i="2185"/>
  <c r="D46" i="2185"/>
  <c r="D45" i="2185"/>
  <c r="R44" i="2185"/>
  <c r="L28" i="2185" s="1"/>
  <c r="D28" i="2185" s="1"/>
  <c r="D44" i="2185"/>
  <c r="R42" i="2185"/>
  <c r="D42" i="2185"/>
  <c r="R41" i="2185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H35" i="2185"/>
  <c r="D35" i="2185"/>
  <c r="R34" i="2185"/>
  <c r="H34" i="2185"/>
  <c r="D34" i="2185"/>
  <c r="R33" i="2185"/>
  <c r="R32" i="2185"/>
  <c r="R31" i="2185"/>
  <c r="R30" i="2185"/>
  <c r="R29" i="2185"/>
  <c r="R28" i="2185"/>
  <c r="R27" i="2185"/>
  <c r="L27" i="2185"/>
  <c r="D27" i="2185"/>
  <c r="R26" i="2185"/>
  <c r="L26" i="2185"/>
  <c r="D26" i="2185"/>
  <c r="R25" i="2185"/>
  <c r="L25" i="2185"/>
  <c r="D25" i="2185" s="1"/>
  <c r="R24" i="2185"/>
  <c r="L24" i="2185"/>
  <c r="D24" i="2185"/>
  <c r="R23" i="2185"/>
  <c r="L23" i="2185"/>
  <c r="D23" i="2185" s="1"/>
  <c r="R22" i="2185"/>
  <c r="L20" i="2185" s="1"/>
  <c r="D20" i="2185" s="1"/>
  <c r="L22" i="2185"/>
  <c r="D22" i="2185"/>
  <c r="R21" i="2185"/>
  <c r="L21" i="2185"/>
  <c r="D21" i="2185"/>
  <c r="R20" i="2185"/>
  <c r="R19" i="2185"/>
  <c r="L19" i="2185"/>
  <c r="D19" i="2185"/>
  <c r="R18" i="2185"/>
  <c r="L18" i="2185"/>
  <c r="D18" i="2185"/>
  <c r="R17" i="2185"/>
  <c r="L17" i="2185"/>
  <c r="D17" i="2185" s="1"/>
  <c r="R16" i="2185"/>
  <c r="R15" i="2185"/>
  <c r="L15" i="2185"/>
  <c r="D15" i="2185" s="1"/>
  <c r="R14" i="2185"/>
  <c r="D14" i="2185"/>
  <c r="R13" i="2185"/>
  <c r="D13" i="2185"/>
  <c r="R12" i="2185"/>
  <c r="L12" i="2185"/>
  <c r="D12" i="2185" s="1"/>
  <c r="R11" i="2185"/>
  <c r="L11" i="2185"/>
  <c r="D11" i="2185" s="1"/>
  <c r="L7" i="2185"/>
  <c r="D7" i="2185"/>
  <c r="R6" i="2185"/>
  <c r="L16" i="2185" s="1"/>
  <c r="D16" i="2185" s="1"/>
  <c r="L6" i="2185"/>
  <c r="D6" i="2185" s="1"/>
  <c r="R5" i="2185"/>
  <c r="R4" i="2185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L9" i="2184" s="1"/>
  <c r="D9" i="2184" s="1"/>
  <c r="H38" i="2184"/>
  <c r="D38" i="2184"/>
  <c r="R37" i="2184"/>
  <c r="H37" i="2184"/>
  <c r="D37" i="2184"/>
  <c r="R36" i="2184"/>
  <c r="L10" i="2184" s="1"/>
  <c r="D10" i="2184" s="1"/>
  <c r="H36" i="2184"/>
  <c r="D36" i="2184"/>
  <c r="R35" i="2184"/>
  <c r="H35" i="2184"/>
  <c r="D35" i="2184"/>
  <c r="R34" i="2184"/>
  <c r="H34" i="2184"/>
  <c r="D34" i="2184"/>
  <c r="R33" i="2184"/>
  <c r="R32" i="2184"/>
  <c r="L11" i="2184" s="1"/>
  <c r="D11" i="2184" s="1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 s="1"/>
  <c r="R24" i="2184"/>
  <c r="L24" i="2184"/>
  <c r="D24" i="2184"/>
  <c r="R23" i="2184"/>
  <c r="L23" i="2184"/>
  <c r="D23" i="2184" s="1"/>
  <c r="R22" i="2184"/>
  <c r="L20" i="2184" s="1"/>
  <c r="D20" i="2184" s="1"/>
  <c r="L22" i="2184"/>
  <c r="D22" i="2184" s="1"/>
  <c r="R21" i="2184"/>
  <c r="D21" i="2184"/>
  <c r="R20" i="2184"/>
  <c r="R19" i="2184"/>
  <c r="L19" i="2184"/>
  <c r="D19" i="2184"/>
  <c r="R18" i="2184"/>
  <c r="L18" i="2184"/>
  <c r="D18" i="2184"/>
  <c r="R17" i="2184"/>
  <c r="L17" i="2184"/>
  <c r="D17" i="2184" s="1"/>
  <c r="R16" i="2184"/>
  <c r="R15" i="2184"/>
  <c r="R14" i="2184"/>
  <c r="D14" i="2184"/>
  <c r="R13" i="2184"/>
  <c r="D13" i="2184"/>
  <c r="R12" i="2184"/>
  <c r="L12" i="2184"/>
  <c r="D12" i="2184"/>
  <c r="R11" i="2184"/>
  <c r="L8" i="2184"/>
  <c r="D8" i="2184" s="1"/>
  <c r="L7" i="2184"/>
  <c r="D7" i="2184"/>
  <c r="R6" i="2184"/>
  <c r="L16" i="2184" s="1"/>
  <c r="D16" i="2184" s="1"/>
  <c r="L6" i="2184"/>
  <c r="D6" i="2184"/>
  <c r="R5" i="2184"/>
  <c r="R4" i="2184"/>
  <c r="L15" i="2184" s="1"/>
  <c r="D15" i="2184" s="1"/>
  <c r="R52" i="2183"/>
  <c r="R51" i="2183"/>
  <c r="D50" i="2183"/>
  <c r="R49" i="2183"/>
  <c r="D49" i="2183"/>
  <c r="R48" i="2183"/>
  <c r="D48" i="2183"/>
  <c r="D46" i="2183"/>
  <c r="D45" i="2183"/>
  <c r="R44" i="2183"/>
  <c r="L28" i="2183" s="1"/>
  <c r="D28" i="2183" s="1"/>
  <c r="D44" i="2183"/>
  <c r="R42" i="2183"/>
  <c r="D42" i="2183"/>
  <c r="R41" i="2183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G49" i="2183" s="1"/>
  <c r="D37" i="2183"/>
  <c r="R36" i="2183"/>
  <c r="L10" i="2183" s="1"/>
  <c r="D10" i="2183" s="1"/>
  <c r="H36" i="2183"/>
  <c r="D36" i="2183"/>
  <c r="R35" i="2183"/>
  <c r="H35" i="2183"/>
  <c r="D35" i="2183"/>
  <c r="R34" i="2183"/>
  <c r="H34" i="2183"/>
  <c r="D34" i="2183"/>
  <c r="R33" i="2183"/>
  <c r="L19" i="2183" s="1"/>
  <c r="D19" i="2183" s="1"/>
  <c r="R32" i="2183"/>
  <c r="L11" i="2183" s="1"/>
  <c r="D11" i="2183" s="1"/>
  <c r="R31" i="2183"/>
  <c r="R30" i="2183"/>
  <c r="R29" i="2183"/>
  <c r="R28" i="2183"/>
  <c r="R27" i="2183"/>
  <c r="L27" i="2183"/>
  <c r="D27" i="2183"/>
  <c r="R26" i="2183"/>
  <c r="L26" i="2183"/>
  <c r="D26" i="2183"/>
  <c r="R25" i="2183"/>
  <c r="L25" i="2183"/>
  <c r="D25" i="2183" s="1"/>
  <c r="R24" i="2183"/>
  <c r="L24" i="2183"/>
  <c r="D24" i="2183"/>
  <c r="R23" i="2183"/>
  <c r="L23" i="2183"/>
  <c r="D23" i="2183" s="1"/>
  <c r="R22" i="2183"/>
  <c r="L22" i="2183"/>
  <c r="D22" i="2183"/>
  <c r="R21" i="2183"/>
  <c r="L21" i="2183"/>
  <c r="D21" i="2183"/>
  <c r="R20" i="2183"/>
  <c r="L20" i="2183"/>
  <c r="D20" i="2183"/>
  <c r="R19" i="2183"/>
  <c r="R18" i="2183"/>
  <c r="L18" i="2183"/>
  <c r="D18" i="2183"/>
  <c r="R17" i="2183"/>
  <c r="L17" i="2183"/>
  <c r="D17" i="2183" s="1"/>
  <c r="R16" i="2183"/>
  <c r="R15" i="2183"/>
  <c r="L15" i="2183"/>
  <c r="D15" i="2183"/>
  <c r="R14" i="2183"/>
  <c r="D14" i="2183"/>
  <c r="R13" i="2183"/>
  <c r="D13" i="2183"/>
  <c r="R12" i="2183"/>
  <c r="L12" i="2183"/>
  <c r="D12" i="2183" s="1"/>
  <c r="R11" i="2183"/>
  <c r="L7" i="2183"/>
  <c r="D7" i="2183"/>
  <c r="R6" i="2183"/>
  <c r="L16" i="2183" s="1"/>
  <c r="D16" i="2183" s="1"/>
  <c r="L6" i="2183"/>
  <c r="D6" i="2183" s="1"/>
  <c r="R5" i="2183"/>
  <c r="R4" i="2183"/>
  <c r="D54" i="2182"/>
  <c r="H14" i="2182" s="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L9" i="2182" s="1"/>
  <c r="D9" i="2182" s="1"/>
  <c r="D38" i="2182"/>
  <c r="R37" i="2182"/>
  <c r="D37" i="2182"/>
  <c r="R36" i="2182"/>
  <c r="D36" i="2182"/>
  <c r="R35" i="2182"/>
  <c r="D35" i="2182"/>
  <c r="R34" i="2182"/>
  <c r="L12" i="2182" s="1"/>
  <c r="D12" i="2182" s="1"/>
  <c r="D34" i="2182"/>
  <c r="R33" i="2182"/>
  <c r="L23" i="2182" s="1"/>
  <c r="D23" i="2182" s="1"/>
  <c r="R32" i="2182"/>
  <c r="L11" i="2182" s="1"/>
  <c r="D11" i="2182" s="1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R11" i="2182"/>
  <c r="L10" i="2182"/>
  <c r="D10" i="2182" s="1"/>
  <c r="L8" i="2182"/>
  <c r="D8" i="2182"/>
  <c r="R6" i="2182"/>
  <c r="R5" i="2182"/>
  <c r="R4" i="2182"/>
  <c r="G49" i="2185" l="1"/>
  <c r="G49" i="2184"/>
  <c r="D54" i="2185"/>
  <c r="H14" i="2185" s="1"/>
  <c r="D54" i="2183"/>
  <c r="H14" i="2183" s="1"/>
  <c r="D54" i="2184"/>
  <c r="H14" i="2184" s="1"/>
  <c r="D29" i="2185"/>
  <c r="H13" i="2185" s="1"/>
  <c r="D29" i="2184"/>
  <c r="H13" i="2184" s="1"/>
  <c r="D29" i="2183"/>
  <c r="H13" i="2183" s="1"/>
  <c r="H15" i="2183" s="1"/>
  <c r="H29" i="2183" s="1"/>
  <c r="G51" i="2183" s="1"/>
  <c r="D29" i="2182"/>
  <c r="H13" i="2182" s="1"/>
  <c r="H15" i="2182" s="1"/>
  <c r="H29" i="2182" s="1"/>
  <c r="G51" i="2182" s="1"/>
  <c r="H16" i="2176"/>
  <c r="H16" i="2177"/>
  <c r="H15" i="2185" l="1"/>
  <c r="H29" i="2185" s="1"/>
  <c r="G51" i="2185" s="1"/>
  <c r="H15" i="2184"/>
  <c r="H29" i="2184" s="1"/>
  <c r="G51" i="2184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G49" i="2179" s="1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R52" i="2177"/>
  <c r="R51" i="2177"/>
  <c r="D50" i="2177"/>
  <c r="R49" i="2177"/>
  <c r="D49" i="2177"/>
  <c r="R48" i="2177"/>
  <c r="D48" i="2177"/>
  <c r="D46" i="2177"/>
  <c r="D45" i="2177"/>
  <c r="R44" i="2177"/>
  <c r="D44" i="2177"/>
  <c r="R42" i="2177"/>
  <c r="L6" i="2177" s="1"/>
  <c r="D6" i="2177" s="1"/>
  <c r="D42" i="2177"/>
  <c r="R41" i="2177"/>
  <c r="D41" i="2177"/>
  <c r="R40" i="2177"/>
  <c r="D40" i="2177"/>
  <c r="R39" i="2177"/>
  <c r="H39" i="2177"/>
  <c r="D39" i="2177"/>
  <c r="R38" i="2177"/>
  <c r="L9" i="2177" s="1"/>
  <c r="D9" i="2177" s="1"/>
  <c r="H38" i="2177"/>
  <c r="D38" i="2177"/>
  <c r="R37" i="2177"/>
  <c r="H37" i="2177"/>
  <c r="D37" i="2177"/>
  <c r="R36" i="2177"/>
  <c r="L10" i="2177" s="1"/>
  <c r="D10" i="2177" s="1"/>
  <c r="H36" i="2177"/>
  <c r="D36" i="2177"/>
  <c r="R35" i="2177"/>
  <c r="H35" i="2177"/>
  <c r="D35" i="2177"/>
  <c r="R34" i="2177"/>
  <c r="H34" i="2177"/>
  <c r="D34" i="2177"/>
  <c r="R33" i="2177"/>
  <c r="R32" i="2177"/>
  <c r="L11" i="2177" s="1"/>
  <c r="D11" i="2177" s="1"/>
  <c r="R31" i="2177"/>
  <c r="R30" i="2177"/>
  <c r="R29" i="2177"/>
  <c r="R28" i="2177"/>
  <c r="L28" i="2177"/>
  <c r="D28" i="2177"/>
  <c r="R27" i="2177"/>
  <c r="L27" i="2177"/>
  <c r="D27" i="2177" s="1"/>
  <c r="R26" i="2177"/>
  <c r="L26" i="2177"/>
  <c r="D26" i="2177"/>
  <c r="R25" i="2177"/>
  <c r="L25" i="2177"/>
  <c r="D25" i="2177"/>
  <c r="R24" i="2177"/>
  <c r="L24" i="2177"/>
  <c r="D24" i="2177"/>
  <c r="R23" i="2177"/>
  <c r="L23" i="2177"/>
  <c r="D23" i="2177"/>
  <c r="R22" i="2177"/>
  <c r="L20" i="2177" s="1"/>
  <c r="D20" i="2177" s="1"/>
  <c r="L22" i="2177"/>
  <c r="D22" i="2177" s="1"/>
  <c r="R21" i="2177"/>
  <c r="L21" i="2177"/>
  <c r="D21" i="2177"/>
  <c r="R20" i="2177"/>
  <c r="R19" i="2177"/>
  <c r="L19" i="2177"/>
  <c r="D19" i="2177"/>
  <c r="R18" i="2177"/>
  <c r="L18" i="2177"/>
  <c r="D18" i="2177"/>
  <c r="R17" i="2177"/>
  <c r="L17" i="2177"/>
  <c r="D17" i="2177" s="1"/>
  <c r="R16" i="2177"/>
  <c r="R15" i="2177"/>
  <c r="L15" i="2177"/>
  <c r="D15" i="2177"/>
  <c r="R14" i="2177"/>
  <c r="D14" i="2177"/>
  <c r="R13" i="2177"/>
  <c r="D13" i="2177"/>
  <c r="R12" i="2177"/>
  <c r="L12" i="2177"/>
  <c r="D12" i="2177" s="1"/>
  <c r="R11" i="2177"/>
  <c r="L8" i="2177"/>
  <c r="D8" i="2177"/>
  <c r="L7" i="2177"/>
  <c r="D7" i="2177"/>
  <c r="R6" i="2177"/>
  <c r="L16" i="2177" s="1"/>
  <c r="D16" i="2177" s="1"/>
  <c r="R5" i="2177"/>
  <c r="R4" i="2177"/>
  <c r="R52" i="2176"/>
  <c r="R51" i="2176"/>
  <c r="D50" i="2176"/>
  <c r="R49" i="2176"/>
  <c r="D49" i="2176"/>
  <c r="R48" i="2176"/>
  <c r="D48" i="2176"/>
  <c r="D46" i="2176"/>
  <c r="D45" i="2176"/>
  <c r="R44" i="2176"/>
  <c r="L28" i="2176" s="1"/>
  <c r="D28" i="2176" s="1"/>
  <c r="D44" i="2176"/>
  <c r="R42" i="2176"/>
  <c r="D42" i="2176"/>
  <c r="R41" i="2176"/>
  <c r="D41" i="2176"/>
  <c r="R40" i="2176"/>
  <c r="D40" i="2176"/>
  <c r="R39" i="2176"/>
  <c r="H39" i="2176"/>
  <c r="D39" i="2176"/>
  <c r="R38" i="2176"/>
  <c r="L9" i="2176" s="1"/>
  <c r="D9" i="2176" s="1"/>
  <c r="H38" i="2176"/>
  <c r="D38" i="2176"/>
  <c r="R37" i="2176"/>
  <c r="H37" i="2176"/>
  <c r="D37" i="2176"/>
  <c r="R36" i="2176"/>
  <c r="L10" i="2176" s="1"/>
  <c r="D10" i="2176" s="1"/>
  <c r="H36" i="2176"/>
  <c r="D36" i="2176"/>
  <c r="R35" i="2176"/>
  <c r="H35" i="2176"/>
  <c r="D35" i="2176"/>
  <c r="R34" i="2176"/>
  <c r="H34" i="2176"/>
  <c r="D34" i="2176"/>
  <c r="R33" i="2176"/>
  <c r="R32" i="2176"/>
  <c r="L11" i="2176" s="1"/>
  <c r="D11" i="2176" s="1"/>
  <c r="R31" i="2176"/>
  <c r="R30" i="2176"/>
  <c r="R29" i="2176"/>
  <c r="R28" i="2176"/>
  <c r="R27" i="2176"/>
  <c r="L27" i="2176"/>
  <c r="D27" i="2176"/>
  <c r="R26" i="2176"/>
  <c r="L26" i="2176"/>
  <c r="D26" i="2176" s="1"/>
  <c r="R25" i="2176"/>
  <c r="L25" i="2176"/>
  <c r="D25" i="2176"/>
  <c r="R24" i="2176"/>
  <c r="L24" i="2176"/>
  <c r="D24" i="2176"/>
  <c r="R23" i="2176"/>
  <c r="L23" i="2176"/>
  <c r="D23" i="2176" s="1"/>
  <c r="R22" i="2176"/>
  <c r="L20" i="2176" s="1"/>
  <c r="D20" i="2176" s="1"/>
  <c r="L22" i="2176"/>
  <c r="D22" i="2176" s="1"/>
  <c r="R21" i="2176"/>
  <c r="D21" i="2176"/>
  <c r="R20" i="2176"/>
  <c r="R19" i="2176"/>
  <c r="L19" i="2176"/>
  <c r="D19" i="2176" s="1"/>
  <c r="R18" i="2176"/>
  <c r="L18" i="2176"/>
  <c r="D18" i="2176"/>
  <c r="R17" i="2176"/>
  <c r="L17" i="2176"/>
  <c r="D17" i="2176"/>
  <c r="R16" i="2176"/>
  <c r="R15" i="2176"/>
  <c r="R14" i="2176"/>
  <c r="D14" i="2176"/>
  <c r="R13" i="2176"/>
  <c r="D13" i="2176"/>
  <c r="R12" i="2176"/>
  <c r="L12" i="2176"/>
  <c r="D12" i="2176"/>
  <c r="R11" i="2176"/>
  <c r="L8" i="2176"/>
  <c r="D8" i="2176"/>
  <c r="L7" i="2176"/>
  <c r="D7" i="2176"/>
  <c r="R6" i="2176"/>
  <c r="L16" i="2176" s="1"/>
  <c r="D16" i="2176" s="1"/>
  <c r="L6" i="2176"/>
  <c r="D6" i="2176" s="1"/>
  <c r="R5" i="2176"/>
  <c r="R4" i="2176"/>
  <c r="L15" i="2176" s="1"/>
  <c r="D15" i="2176" s="1"/>
  <c r="R52" i="2175"/>
  <c r="R51" i="2175"/>
  <c r="D50" i="2175"/>
  <c r="R49" i="2175"/>
  <c r="D49" i="2175"/>
  <c r="R48" i="2175"/>
  <c r="D48" i="2175"/>
  <c r="D46" i="2175"/>
  <c r="D45" i="2175"/>
  <c r="R44" i="2175"/>
  <c r="L28" i="2175" s="1"/>
  <c r="D28" i="2175" s="1"/>
  <c r="D44" i="2175"/>
  <c r="R42" i="2175"/>
  <c r="D42" i="2175"/>
  <c r="R41" i="2175"/>
  <c r="L7" i="2175" s="1"/>
  <c r="D7" i="2175" s="1"/>
  <c r="D41" i="2175"/>
  <c r="R40" i="2175"/>
  <c r="D40" i="2175"/>
  <c r="R39" i="2175"/>
  <c r="H39" i="2175"/>
  <c r="D39" i="2175"/>
  <c r="R38" i="2175"/>
  <c r="H38" i="2175"/>
  <c r="D38" i="2175"/>
  <c r="R37" i="2175"/>
  <c r="H37" i="2175"/>
  <c r="D37" i="2175"/>
  <c r="R36" i="2175"/>
  <c r="L10" i="2175" s="1"/>
  <c r="D10" i="2175" s="1"/>
  <c r="H36" i="2175"/>
  <c r="D36" i="2175"/>
  <c r="R35" i="2175"/>
  <c r="L18" i="2175" s="1"/>
  <c r="D18" i="2175" s="1"/>
  <c r="H35" i="2175"/>
  <c r="D35" i="2175"/>
  <c r="R34" i="2175"/>
  <c r="H34" i="2175"/>
  <c r="G49" i="2175" s="1"/>
  <c r="D34" i="2175"/>
  <c r="R33" i="2175"/>
  <c r="L19" i="2175" s="1"/>
  <c r="D19" i="2175" s="1"/>
  <c r="R32" i="2175"/>
  <c r="R31" i="2175"/>
  <c r="R30" i="2175"/>
  <c r="R29" i="2175"/>
  <c r="R28" i="2175"/>
  <c r="R27" i="2175"/>
  <c r="L27" i="2175"/>
  <c r="D27" i="2175"/>
  <c r="R26" i="2175"/>
  <c r="L26" i="2175"/>
  <c r="D26" i="2175"/>
  <c r="R25" i="2175"/>
  <c r="L25" i="2175"/>
  <c r="D25" i="2175"/>
  <c r="R24" i="2175"/>
  <c r="L24" i="2175"/>
  <c r="D24" i="2175"/>
  <c r="R23" i="2175"/>
  <c r="L23" i="2175"/>
  <c r="D23" i="2175" s="1"/>
  <c r="R22" i="2175"/>
  <c r="L22" i="2175"/>
  <c r="D22" i="2175" s="1"/>
  <c r="R21" i="2175"/>
  <c r="L21" i="2175"/>
  <c r="D21" i="2175"/>
  <c r="R20" i="2175"/>
  <c r="L20" i="2175"/>
  <c r="D20" i="2175" s="1"/>
  <c r="R19" i="2175"/>
  <c r="R18" i="2175"/>
  <c r="R17" i="2175"/>
  <c r="L17" i="2175"/>
  <c r="D17" i="2175"/>
  <c r="R16" i="2175"/>
  <c r="R15" i="2175"/>
  <c r="R14" i="2175"/>
  <c r="D14" i="2175"/>
  <c r="R13" i="2175"/>
  <c r="D13" i="2175"/>
  <c r="R12" i="2175"/>
  <c r="L12" i="2175"/>
  <c r="D12" i="2175"/>
  <c r="R11" i="2175"/>
  <c r="L11" i="2175"/>
  <c r="D11" i="2175"/>
  <c r="L9" i="2175"/>
  <c r="D9" i="2175" s="1"/>
  <c r="L8" i="2175"/>
  <c r="D8" i="2175" s="1"/>
  <c r="R6" i="2175"/>
  <c r="L16" i="2175" s="1"/>
  <c r="D16" i="2175" s="1"/>
  <c r="L6" i="2175"/>
  <c r="D6" i="2175" s="1"/>
  <c r="R5" i="2175"/>
  <c r="R4" i="2175"/>
  <c r="L15" i="2175" s="1"/>
  <c r="D15" i="2175" s="1"/>
  <c r="R52" i="2174"/>
  <c r="R51" i="2174"/>
  <c r="D50" i="2174"/>
  <c r="R49" i="2174"/>
  <c r="G49" i="2174"/>
  <c r="D49" i="2174"/>
  <c r="R48" i="2174"/>
  <c r="D48" i="2174"/>
  <c r="D46" i="2174"/>
  <c r="D45" i="2174"/>
  <c r="D44" i="2174"/>
  <c r="R42" i="2174"/>
  <c r="D42" i="2174"/>
  <c r="R41" i="2174"/>
  <c r="L7" i="2174" s="1"/>
  <c r="D7" i="2174" s="1"/>
  <c r="D41" i="2174"/>
  <c r="R40" i="2174"/>
  <c r="L8" i="2174" s="1"/>
  <c r="D8" i="2174" s="1"/>
  <c r="D40" i="2174"/>
  <c r="R39" i="2174"/>
  <c r="D39" i="2174"/>
  <c r="R38" i="2174"/>
  <c r="L9" i="2174" s="1"/>
  <c r="D9" i="2174" s="1"/>
  <c r="D38" i="2174"/>
  <c r="R37" i="2174"/>
  <c r="D37" i="2174"/>
  <c r="D54" i="2174" s="1"/>
  <c r="H14" i="2174" s="1"/>
  <c r="R36" i="2174"/>
  <c r="L10" i="2174" s="1"/>
  <c r="D10" i="2174" s="1"/>
  <c r="D36" i="2174"/>
  <c r="R35" i="2174"/>
  <c r="D35" i="2174"/>
  <c r="R34" i="2174"/>
  <c r="L12" i="2174" s="1"/>
  <c r="D12" i="2174" s="1"/>
  <c r="D34" i="2174"/>
  <c r="R33" i="2174"/>
  <c r="L23" i="2174" s="1"/>
  <c r="D23" i="2174" s="1"/>
  <c r="R32" i="2174"/>
  <c r="R31" i="2174"/>
  <c r="R30" i="2174"/>
  <c r="R29" i="2174"/>
  <c r="R28" i="2174"/>
  <c r="L16" i="2174" s="1"/>
  <c r="D16" i="2174" s="1"/>
  <c r="D28" i="2174"/>
  <c r="R27" i="2174"/>
  <c r="D27" i="2174"/>
  <c r="R26" i="2174"/>
  <c r="L26" i="2174"/>
  <c r="D26" i="2174"/>
  <c r="R25" i="2174"/>
  <c r="L25" i="2174"/>
  <c r="D25" i="2174"/>
  <c r="R24" i="2174"/>
  <c r="D24" i="2174"/>
  <c r="R23" i="2174"/>
  <c r="R22" i="2174"/>
  <c r="L22" i="2174"/>
  <c r="D22" i="2174" s="1"/>
  <c r="R21" i="2174"/>
  <c r="D21" i="2174"/>
  <c r="R20" i="2174"/>
  <c r="L20" i="2174"/>
  <c r="D20" i="2174"/>
  <c r="R19" i="2174"/>
  <c r="L19" i="2174"/>
  <c r="D19" i="2174"/>
  <c r="R18" i="2174"/>
  <c r="D18" i="2174"/>
  <c r="R17" i="2174"/>
  <c r="D17" i="2174"/>
  <c r="R16" i="2174"/>
  <c r="S15" i="2174"/>
  <c r="R15" i="2174"/>
  <c r="D15" i="2174"/>
  <c r="S14" i="2174"/>
  <c r="R14" i="2174"/>
  <c r="D14" i="2174"/>
  <c r="R13" i="2174"/>
  <c r="D13" i="2174"/>
  <c r="R12" i="2174"/>
  <c r="R11" i="2174"/>
  <c r="L11" i="2174"/>
  <c r="D11" i="2174" s="1"/>
  <c r="R6" i="2174"/>
  <c r="L6" i="2174"/>
  <c r="D6" i="2174" s="1"/>
  <c r="R5" i="2174"/>
  <c r="R4" i="2174"/>
  <c r="G49" i="2181" l="1"/>
  <c r="G49" i="2180"/>
  <c r="D54" i="2181"/>
  <c r="H14" i="2181" s="1"/>
  <c r="D29" i="2181"/>
  <c r="H13" i="2181" s="1"/>
  <c r="D54" i="2180"/>
  <c r="H14" i="2180" s="1"/>
  <c r="D54" i="2179"/>
  <c r="H14" i="2179" s="1"/>
  <c r="G49" i="2176"/>
  <c r="G49" i="2177"/>
  <c r="D54" i="2177"/>
  <c r="H14" i="2177" s="1"/>
  <c r="D54" i="2176"/>
  <c r="H14" i="2176" s="1"/>
  <c r="D54" i="2175"/>
  <c r="H14" i="2175" s="1"/>
  <c r="D29" i="2180"/>
  <c r="H13" i="2180" s="1"/>
  <c r="D29" i="2179"/>
  <c r="H13" i="2179" s="1"/>
  <c r="D29" i="2178"/>
  <c r="H13" i="2178" s="1"/>
  <c r="H15" i="2178" s="1"/>
  <c r="H29" i="2178" s="1"/>
  <c r="G51" i="2178" s="1"/>
  <c r="D29" i="2177"/>
  <c r="H13" i="2177" s="1"/>
  <c r="D29" i="2176"/>
  <c r="H13" i="2176" s="1"/>
  <c r="H15" i="2176" s="1"/>
  <c r="H29" i="2176" s="1"/>
  <c r="D29" i="2175"/>
  <c r="H13" i="2175" s="1"/>
  <c r="D29" i="2174"/>
  <c r="H13" i="2174" s="1"/>
  <c r="H15" i="2174" s="1"/>
  <c r="H29" i="2174" s="1"/>
  <c r="G51" i="2174"/>
  <c r="H16" i="2169"/>
  <c r="D54" i="2173"/>
  <c r="H14" i="2173" s="1"/>
  <c r="R52" i="2173"/>
  <c r="R51" i="2173"/>
  <c r="D50" i="2173"/>
  <c r="R49" i="2173"/>
  <c r="D49" i="2173"/>
  <c r="R48" i="2173"/>
  <c r="D48" i="2173"/>
  <c r="D46" i="2173"/>
  <c r="D45" i="2173"/>
  <c r="R44" i="2173"/>
  <c r="L28" i="2173" s="1"/>
  <c r="D28" i="2173" s="1"/>
  <c r="D44" i="2173"/>
  <c r="R42" i="2173"/>
  <c r="D42" i="2173"/>
  <c r="R41" i="2173"/>
  <c r="L7" i="2173" s="1"/>
  <c r="D7" i="2173" s="1"/>
  <c r="D41" i="2173"/>
  <c r="R40" i="2173"/>
  <c r="L8" i="2173" s="1"/>
  <c r="D8" i="2173" s="1"/>
  <c r="D40" i="2173"/>
  <c r="R39" i="2173"/>
  <c r="H39" i="2173"/>
  <c r="D39" i="2173"/>
  <c r="R38" i="2173"/>
  <c r="L9" i="2173" s="1"/>
  <c r="D9" i="2173" s="1"/>
  <c r="H38" i="2173"/>
  <c r="D38" i="2173"/>
  <c r="R37" i="2173"/>
  <c r="H37" i="2173"/>
  <c r="D37" i="2173"/>
  <c r="R36" i="2173"/>
  <c r="L10" i="2173" s="1"/>
  <c r="D10" i="2173" s="1"/>
  <c r="H36" i="2173"/>
  <c r="D36" i="2173"/>
  <c r="R35" i="2173"/>
  <c r="L18" i="2173" s="1"/>
  <c r="D18" i="2173" s="1"/>
  <c r="H35" i="2173"/>
  <c r="D35" i="2173"/>
  <c r="R34" i="2173"/>
  <c r="H34" i="2173"/>
  <c r="G49" i="2173" s="1"/>
  <c r="D34" i="2173"/>
  <c r="R33" i="2173"/>
  <c r="R32" i="2173"/>
  <c r="R31" i="2173"/>
  <c r="R30" i="2173"/>
  <c r="R29" i="2173"/>
  <c r="R28" i="2173"/>
  <c r="R27" i="2173"/>
  <c r="L27" i="2173"/>
  <c r="D27" i="2173"/>
  <c r="R26" i="2173"/>
  <c r="L26" i="2173"/>
  <c r="D26" i="2173"/>
  <c r="R25" i="2173"/>
  <c r="L25" i="2173"/>
  <c r="D25" i="2173"/>
  <c r="R24" i="2173"/>
  <c r="L24" i="2173"/>
  <c r="D24" i="2173"/>
  <c r="R23" i="2173"/>
  <c r="L23" i="2173"/>
  <c r="D23" i="2173" s="1"/>
  <c r="R22" i="2173"/>
  <c r="L20" i="2173" s="1"/>
  <c r="D20" i="2173" s="1"/>
  <c r="L22" i="2173"/>
  <c r="D22" i="2173" s="1"/>
  <c r="R21" i="2173"/>
  <c r="L21" i="2173"/>
  <c r="D21" i="2173"/>
  <c r="R20" i="2173"/>
  <c r="R19" i="2173"/>
  <c r="L19" i="2173"/>
  <c r="D19" i="2173"/>
  <c r="R18" i="2173"/>
  <c r="R17" i="2173"/>
  <c r="L17" i="2173"/>
  <c r="D17" i="2173"/>
  <c r="R16" i="2173"/>
  <c r="R15" i="2173"/>
  <c r="R14" i="2173"/>
  <c r="D14" i="2173"/>
  <c r="R13" i="2173"/>
  <c r="D13" i="2173"/>
  <c r="R12" i="2173"/>
  <c r="L12" i="2173"/>
  <c r="D12" i="2173"/>
  <c r="R11" i="2173"/>
  <c r="L11" i="2173"/>
  <c r="D11" i="2173" s="1"/>
  <c r="R6" i="2173"/>
  <c r="L16" i="2173" s="1"/>
  <c r="D16" i="2173" s="1"/>
  <c r="L6" i="2173"/>
  <c r="D6" i="2173" s="1"/>
  <c r="R5" i="2173"/>
  <c r="R4" i="2173"/>
  <c r="L15" i="2173" s="1"/>
  <c r="D15" i="2173" s="1"/>
  <c r="D54" i="2172"/>
  <c r="H14" i="2172" s="1"/>
  <c r="R52" i="2172"/>
  <c r="R51" i="2172"/>
  <c r="D50" i="2172"/>
  <c r="R49" i="2172"/>
  <c r="D49" i="2172"/>
  <c r="R48" i="2172"/>
  <c r="D48" i="2172"/>
  <c r="D46" i="2172"/>
  <c r="D45" i="2172"/>
  <c r="R44" i="2172"/>
  <c r="D44" i="2172"/>
  <c r="R42" i="2172"/>
  <c r="L6" i="2172" s="1"/>
  <c r="D6" i="2172" s="1"/>
  <c r="D42" i="2172"/>
  <c r="R41" i="2172"/>
  <c r="L7" i="2172" s="1"/>
  <c r="D7" i="2172" s="1"/>
  <c r="D41" i="2172"/>
  <c r="R40" i="2172"/>
  <c r="L8" i="2172" s="1"/>
  <c r="D8" i="2172" s="1"/>
  <c r="D40" i="2172"/>
  <c r="R39" i="2172"/>
  <c r="H39" i="2172"/>
  <c r="D39" i="2172"/>
  <c r="R38" i="2172"/>
  <c r="L9" i="2172" s="1"/>
  <c r="D9" i="2172" s="1"/>
  <c r="H38" i="2172"/>
  <c r="D38" i="2172"/>
  <c r="R37" i="2172"/>
  <c r="H37" i="2172"/>
  <c r="D37" i="2172"/>
  <c r="R36" i="2172"/>
  <c r="L10" i="2172" s="1"/>
  <c r="D10" i="2172" s="1"/>
  <c r="H36" i="2172"/>
  <c r="D36" i="2172"/>
  <c r="R35" i="2172"/>
  <c r="L18" i="2172" s="1"/>
  <c r="D18" i="2172" s="1"/>
  <c r="H35" i="2172"/>
  <c r="D35" i="2172"/>
  <c r="R34" i="2172"/>
  <c r="H34" i="2172"/>
  <c r="G49" i="2172" s="1"/>
  <c r="D34" i="2172"/>
  <c r="R33" i="2172"/>
  <c r="R32" i="2172"/>
  <c r="L11" i="2172" s="1"/>
  <c r="D11" i="2172" s="1"/>
  <c r="R31" i="2172"/>
  <c r="R30" i="2172"/>
  <c r="R29" i="2172"/>
  <c r="R28" i="2172"/>
  <c r="L28" i="2172"/>
  <c r="D28" i="2172"/>
  <c r="R27" i="2172"/>
  <c r="L27" i="2172"/>
  <c r="D27" i="2172"/>
  <c r="R26" i="2172"/>
  <c r="L26" i="2172"/>
  <c r="D26" i="2172" s="1"/>
  <c r="R25" i="2172"/>
  <c r="L25" i="2172"/>
  <c r="D25" i="2172"/>
  <c r="R24" i="2172"/>
  <c r="L24" i="2172"/>
  <c r="D24" i="2172"/>
  <c r="R23" i="2172"/>
  <c r="L23" i="2172"/>
  <c r="D23" i="2172"/>
  <c r="R22" i="2172"/>
  <c r="L20" i="2172" s="1"/>
  <c r="D20" i="2172" s="1"/>
  <c r="L22" i="2172"/>
  <c r="D22" i="2172" s="1"/>
  <c r="R21" i="2172"/>
  <c r="D21" i="2172"/>
  <c r="R20" i="2172"/>
  <c r="R19" i="2172"/>
  <c r="L19" i="2172"/>
  <c r="D19" i="2172" s="1"/>
  <c r="R18" i="2172"/>
  <c r="R17" i="2172"/>
  <c r="L17" i="2172"/>
  <c r="D17" i="2172"/>
  <c r="R16" i="2172"/>
  <c r="R15" i="2172"/>
  <c r="R14" i="2172"/>
  <c r="D14" i="2172"/>
  <c r="R13" i="2172"/>
  <c r="D13" i="2172"/>
  <c r="R12" i="2172"/>
  <c r="L12" i="2172"/>
  <c r="D12" i="2172"/>
  <c r="R11" i="2172"/>
  <c r="R6" i="2172"/>
  <c r="L16" i="2172" s="1"/>
  <c r="D16" i="2172" s="1"/>
  <c r="R5" i="2172"/>
  <c r="R4" i="2172"/>
  <c r="L15" i="2172" s="1"/>
  <c r="D15" i="2172" s="1"/>
  <c r="R52" i="2171"/>
  <c r="R51" i="2171"/>
  <c r="D50" i="2171"/>
  <c r="R49" i="2171"/>
  <c r="D49" i="2171"/>
  <c r="R48" i="2171"/>
  <c r="D48" i="2171"/>
  <c r="D46" i="2171"/>
  <c r="D45" i="2171"/>
  <c r="R44" i="2171"/>
  <c r="D44" i="2171"/>
  <c r="R42" i="2171"/>
  <c r="L6" i="2171" s="1"/>
  <c r="D6" i="2171" s="1"/>
  <c r="D42" i="2171"/>
  <c r="R41" i="2171"/>
  <c r="D41" i="2171"/>
  <c r="R40" i="2171"/>
  <c r="D40" i="2171"/>
  <c r="R39" i="2171"/>
  <c r="H39" i="2171"/>
  <c r="D39" i="2171"/>
  <c r="R38" i="2171"/>
  <c r="L9" i="2171" s="1"/>
  <c r="D9" i="2171" s="1"/>
  <c r="H38" i="2171"/>
  <c r="D38" i="2171"/>
  <c r="R37" i="2171"/>
  <c r="H37" i="2171"/>
  <c r="D37" i="2171"/>
  <c r="R36" i="2171"/>
  <c r="L10" i="2171" s="1"/>
  <c r="D10" i="2171" s="1"/>
  <c r="H36" i="2171"/>
  <c r="D36" i="2171"/>
  <c r="R35" i="2171"/>
  <c r="H35" i="2171"/>
  <c r="D35" i="2171"/>
  <c r="R34" i="2171"/>
  <c r="H34" i="2171"/>
  <c r="D34" i="2171"/>
  <c r="D54" i="2171" s="1"/>
  <c r="H14" i="2171" s="1"/>
  <c r="R33" i="2171"/>
  <c r="R32" i="2171"/>
  <c r="L11" i="2171" s="1"/>
  <c r="D11" i="2171" s="1"/>
  <c r="R31" i="2171"/>
  <c r="R30" i="2171"/>
  <c r="R29" i="2171"/>
  <c r="R28" i="2171"/>
  <c r="L28" i="2171"/>
  <c r="D28" i="2171"/>
  <c r="R27" i="2171"/>
  <c r="L27" i="2171"/>
  <c r="D27" i="2171"/>
  <c r="R26" i="2171"/>
  <c r="L26" i="2171"/>
  <c r="D26" i="2171" s="1"/>
  <c r="R25" i="2171"/>
  <c r="L25" i="2171"/>
  <c r="D25" i="2171" s="1"/>
  <c r="R24" i="2171"/>
  <c r="L24" i="2171"/>
  <c r="D24" i="2171"/>
  <c r="R23" i="2171"/>
  <c r="L23" i="2171"/>
  <c r="D23" i="2171"/>
  <c r="R22" i="2171"/>
  <c r="L20" i="2171" s="1"/>
  <c r="D20" i="2171" s="1"/>
  <c r="L22" i="2171"/>
  <c r="D22" i="2171" s="1"/>
  <c r="R21" i="2171"/>
  <c r="L21" i="2171"/>
  <c r="D21" i="2171"/>
  <c r="R20" i="2171"/>
  <c r="R19" i="2171"/>
  <c r="L19" i="2171"/>
  <c r="D19" i="2171" s="1"/>
  <c r="R18" i="2171"/>
  <c r="L18" i="2171"/>
  <c r="D18" i="2171"/>
  <c r="R17" i="2171"/>
  <c r="L17" i="2171"/>
  <c r="D17" i="2171" s="1"/>
  <c r="R16" i="2171"/>
  <c r="R15" i="2171"/>
  <c r="R14" i="2171"/>
  <c r="D14" i="2171"/>
  <c r="R13" i="2171"/>
  <c r="D13" i="2171"/>
  <c r="R12" i="2171"/>
  <c r="L12" i="2171"/>
  <c r="D12" i="2171" s="1"/>
  <c r="R11" i="2171"/>
  <c r="L8" i="2171"/>
  <c r="D8" i="2171"/>
  <c r="L7" i="2171"/>
  <c r="D7" i="2171"/>
  <c r="R6" i="2171"/>
  <c r="L16" i="2171" s="1"/>
  <c r="D16" i="2171" s="1"/>
  <c r="R5" i="2171"/>
  <c r="R4" i="2171"/>
  <c r="L15" i="2171" s="1"/>
  <c r="D15" i="2171" s="1"/>
  <c r="R52" i="2170"/>
  <c r="R51" i="2170"/>
  <c r="D50" i="2170"/>
  <c r="R49" i="2170"/>
  <c r="G49" i="2170"/>
  <c r="D49" i="2170"/>
  <c r="R48" i="2170"/>
  <c r="D48" i="2170"/>
  <c r="D46" i="2170"/>
  <c r="D45" i="2170"/>
  <c r="D44" i="2170"/>
  <c r="R42" i="2170"/>
  <c r="D42" i="2170"/>
  <c r="R41" i="2170"/>
  <c r="L7" i="2170" s="1"/>
  <c r="D7" i="2170" s="1"/>
  <c r="D41" i="2170"/>
  <c r="R40" i="2170"/>
  <c r="L8" i="2170" s="1"/>
  <c r="D8" i="2170" s="1"/>
  <c r="D40" i="2170"/>
  <c r="R39" i="2170"/>
  <c r="D39" i="2170"/>
  <c r="R38" i="2170"/>
  <c r="D38" i="2170"/>
  <c r="R37" i="2170"/>
  <c r="D37" i="2170"/>
  <c r="R36" i="2170"/>
  <c r="L10" i="2170" s="1"/>
  <c r="D10" i="2170" s="1"/>
  <c r="D36" i="2170"/>
  <c r="D54" i="2170" s="1"/>
  <c r="H14" i="2170" s="1"/>
  <c r="R35" i="2170"/>
  <c r="D35" i="2170"/>
  <c r="R34" i="2170"/>
  <c r="D34" i="2170"/>
  <c r="R33" i="2170"/>
  <c r="R32" i="2170"/>
  <c r="R31" i="2170"/>
  <c r="R30" i="2170"/>
  <c r="R29" i="2170"/>
  <c r="R28" i="2170"/>
  <c r="L16" i="2170" s="1"/>
  <c r="D16" i="2170" s="1"/>
  <c r="D28" i="2170"/>
  <c r="R27" i="2170"/>
  <c r="D27" i="2170"/>
  <c r="R26" i="2170"/>
  <c r="L26" i="2170"/>
  <c r="D26" i="2170"/>
  <c r="R25" i="2170"/>
  <c r="L25" i="2170"/>
  <c r="D25" i="2170"/>
  <c r="R24" i="2170"/>
  <c r="D24" i="2170"/>
  <c r="R23" i="2170"/>
  <c r="L23" i="2170"/>
  <c r="D23" i="2170"/>
  <c r="R22" i="2170"/>
  <c r="L22" i="2170"/>
  <c r="D22" i="2170"/>
  <c r="R21" i="2170"/>
  <c r="D21" i="2170"/>
  <c r="R20" i="2170"/>
  <c r="L20" i="2170"/>
  <c r="D20" i="2170"/>
  <c r="R19" i="2170"/>
  <c r="L19" i="2170"/>
  <c r="D19" i="2170"/>
  <c r="R18" i="2170"/>
  <c r="D18" i="2170"/>
  <c r="R17" i="2170"/>
  <c r="D17" i="2170"/>
  <c r="R16" i="2170"/>
  <c r="S15" i="2170"/>
  <c r="R15" i="2170"/>
  <c r="D15" i="2170"/>
  <c r="S14" i="2170"/>
  <c r="R14" i="2170"/>
  <c r="D14" i="2170"/>
  <c r="R13" i="2170"/>
  <c r="D13" i="2170"/>
  <c r="R12" i="2170"/>
  <c r="L12" i="2170"/>
  <c r="D12" i="2170"/>
  <c r="R11" i="2170"/>
  <c r="L11" i="2170"/>
  <c r="D11" i="2170"/>
  <c r="L9" i="2170"/>
  <c r="D9" i="2170" s="1"/>
  <c r="R6" i="2170"/>
  <c r="L6" i="2170"/>
  <c r="D6" i="2170"/>
  <c r="D29" i="2170" s="1"/>
  <c r="H13" i="2170" s="1"/>
  <c r="H15" i="2170" s="1"/>
  <c r="H29" i="2170" s="1"/>
  <c r="G51" i="2170" s="1"/>
  <c r="R5" i="2170"/>
  <c r="R4" i="2170"/>
  <c r="H15" i="2181" l="1"/>
  <c r="H29" i="2181" s="1"/>
  <c r="G51" i="2181" s="1"/>
  <c r="H15" i="2180"/>
  <c r="H29" i="2180" s="1"/>
  <c r="G51" i="2180" s="1"/>
  <c r="H15" i="2179"/>
  <c r="H29" i="2179" s="1"/>
  <c r="G51" i="2179" s="1"/>
  <c r="G51" i="2176"/>
  <c r="H15" i="2177"/>
  <c r="H29" i="2177" s="1"/>
  <c r="G51" i="2177" s="1"/>
  <c r="H15" i="2175"/>
  <c r="H29" i="2175" s="1"/>
  <c r="G51" i="2175" s="1"/>
  <c r="G49" i="2171"/>
  <c r="G51" i="2173"/>
  <c r="D29" i="2173"/>
  <c r="H13" i="2173" s="1"/>
  <c r="H15" i="2173" s="1"/>
  <c r="H29" i="2173" s="1"/>
  <c r="D29" i="2172"/>
  <c r="H13" i="2172" s="1"/>
  <c r="H15" i="2172" s="1"/>
  <c r="H29" i="2172" s="1"/>
  <c r="G51" i="2172" s="1"/>
  <c r="D29" i="2171"/>
  <c r="H13" i="2171" s="1"/>
  <c r="H15" i="2171" s="1"/>
  <c r="H29" i="2171" s="1"/>
  <c r="H16" i="2165"/>
  <c r="H16" i="2163"/>
  <c r="H44" i="2163"/>
  <c r="G51" i="2171" l="1"/>
  <c r="C12" i="2164"/>
  <c r="H16" i="2161" l="1"/>
  <c r="H16" i="2151" l="1"/>
  <c r="G49" i="2151"/>
  <c r="C12" i="2151"/>
  <c r="C12" i="2149" l="1"/>
  <c r="C12" i="2155" l="1"/>
  <c r="H16" i="2155"/>
  <c r="R52" i="2169" l="1"/>
  <c r="R51" i="2169"/>
  <c r="D50" i="2169"/>
  <c r="R49" i="2169"/>
  <c r="D49" i="2169"/>
  <c r="R48" i="2169"/>
  <c r="D48" i="2169"/>
  <c r="D46" i="2169"/>
  <c r="D45" i="2169"/>
  <c r="R44" i="2169"/>
  <c r="L28" i="2169" s="1"/>
  <c r="D28" i="2169" s="1"/>
  <c r="D44" i="2169"/>
  <c r="R42" i="2169"/>
  <c r="D42" i="2169"/>
  <c r="R41" i="2169"/>
  <c r="D41" i="2169"/>
  <c r="R40" i="2169"/>
  <c r="D40" i="2169"/>
  <c r="R39" i="2169"/>
  <c r="H39" i="2169"/>
  <c r="D39" i="2169"/>
  <c r="R38" i="2169"/>
  <c r="L9" i="2169" s="1"/>
  <c r="D9" i="2169" s="1"/>
  <c r="H38" i="2169"/>
  <c r="D38" i="2169"/>
  <c r="R37" i="2169"/>
  <c r="H37" i="2169"/>
  <c r="D37" i="2169"/>
  <c r="R36" i="2169"/>
  <c r="L10" i="2169" s="1"/>
  <c r="D10" i="2169" s="1"/>
  <c r="H36" i="2169"/>
  <c r="D36" i="2169"/>
  <c r="R35" i="2169"/>
  <c r="H35" i="2169"/>
  <c r="D35" i="2169"/>
  <c r="R34" i="2169"/>
  <c r="H34" i="2169"/>
  <c r="D34" i="2169"/>
  <c r="R33" i="2169"/>
  <c r="R32" i="2169"/>
  <c r="L11" i="2169" s="1"/>
  <c r="D11" i="2169" s="1"/>
  <c r="R31" i="2169"/>
  <c r="R30" i="2169"/>
  <c r="R29" i="2169"/>
  <c r="R28" i="2169"/>
  <c r="R27" i="2169"/>
  <c r="L27" i="2169"/>
  <c r="D27" i="2169" s="1"/>
  <c r="R26" i="2169"/>
  <c r="L26" i="2169"/>
  <c r="D26" i="2169"/>
  <c r="R25" i="2169"/>
  <c r="L25" i="2169"/>
  <c r="D25" i="2169" s="1"/>
  <c r="R24" i="2169"/>
  <c r="L24" i="2169"/>
  <c r="D24" i="2169"/>
  <c r="R23" i="2169"/>
  <c r="L23" i="2169"/>
  <c r="D23" i="2169" s="1"/>
  <c r="R22" i="2169"/>
  <c r="L20" i="2169" s="1"/>
  <c r="D20" i="2169" s="1"/>
  <c r="L22" i="2169"/>
  <c r="D22" i="2169"/>
  <c r="R21" i="2169"/>
  <c r="L21" i="2169"/>
  <c r="D21" i="2169"/>
  <c r="R20" i="2169"/>
  <c r="R19" i="2169"/>
  <c r="L19" i="2169"/>
  <c r="D19" i="2169" s="1"/>
  <c r="R18" i="2169"/>
  <c r="L18" i="2169"/>
  <c r="D18" i="2169"/>
  <c r="R17" i="2169"/>
  <c r="L17" i="2169"/>
  <c r="D17" i="2169" s="1"/>
  <c r="R16" i="2169"/>
  <c r="R15" i="2169"/>
  <c r="L15" i="2169"/>
  <c r="D15" i="2169" s="1"/>
  <c r="R14" i="2169"/>
  <c r="D14" i="2169"/>
  <c r="R13" i="2169"/>
  <c r="D13" i="2169"/>
  <c r="R12" i="2169"/>
  <c r="L12" i="2169"/>
  <c r="D12" i="2169" s="1"/>
  <c r="R11" i="2169"/>
  <c r="L8" i="2169"/>
  <c r="D8" i="2169"/>
  <c r="L7" i="2169"/>
  <c r="D7" i="2169"/>
  <c r="R6" i="2169"/>
  <c r="L16" i="2169" s="1"/>
  <c r="D16" i="2169" s="1"/>
  <c r="L6" i="2169"/>
  <c r="D6" i="2169" s="1"/>
  <c r="R5" i="2169"/>
  <c r="R4" i="2169"/>
  <c r="R52" i="2168"/>
  <c r="R51" i="2168"/>
  <c r="D50" i="2168"/>
  <c r="R49" i="2168"/>
  <c r="D49" i="2168"/>
  <c r="R48" i="2168"/>
  <c r="D48" i="2168"/>
  <c r="D46" i="2168"/>
  <c r="D45" i="2168"/>
  <c r="R44" i="2168"/>
  <c r="D44" i="2168"/>
  <c r="R42" i="2168"/>
  <c r="D42" i="2168"/>
  <c r="R41" i="2168"/>
  <c r="D41" i="2168"/>
  <c r="R40" i="2168"/>
  <c r="D40" i="2168"/>
  <c r="R39" i="2168"/>
  <c r="H39" i="2168"/>
  <c r="D39" i="2168"/>
  <c r="R38" i="2168"/>
  <c r="L9" i="2168" s="1"/>
  <c r="D9" i="2168" s="1"/>
  <c r="H38" i="2168"/>
  <c r="D38" i="2168"/>
  <c r="R37" i="2168"/>
  <c r="H37" i="2168"/>
  <c r="D37" i="2168"/>
  <c r="R36" i="2168"/>
  <c r="H36" i="2168"/>
  <c r="D36" i="2168"/>
  <c r="R35" i="2168"/>
  <c r="H35" i="2168"/>
  <c r="D35" i="2168"/>
  <c r="R34" i="2168"/>
  <c r="L12" i="2168" s="1"/>
  <c r="D12" i="2168" s="1"/>
  <c r="H34" i="2168"/>
  <c r="D34" i="2168"/>
  <c r="R33" i="2168"/>
  <c r="L19" i="2168" s="1"/>
  <c r="D19" i="2168" s="1"/>
  <c r="R32" i="2168"/>
  <c r="R31" i="2168"/>
  <c r="R30" i="2168"/>
  <c r="R29" i="2168"/>
  <c r="R28" i="2168"/>
  <c r="L28" i="2168"/>
  <c r="D28" i="2168"/>
  <c r="R27" i="2168"/>
  <c r="L27" i="2168"/>
  <c r="D27" i="2168" s="1"/>
  <c r="R26" i="2168"/>
  <c r="L26" i="2168"/>
  <c r="D26" i="2168" s="1"/>
  <c r="R25" i="2168"/>
  <c r="L25" i="2168"/>
  <c r="D25" i="2168" s="1"/>
  <c r="R24" i="2168"/>
  <c r="L24" i="2168"/>
  <c r="D24" i="2168"/>
  <c r="R23" i="2168"/>
  <c r="L23" i="2168"/>
  <c r="D23" i="2168"/>
  <c r="R22" i="2168"/>
  <c r="L20" i="2168" s="1"/>
  <c r="D20" i="2168" s="1"/>
  <c r="L22" i="2168"/>
  <c r="D22" i="2168"/>
  <c r="R21" i="2168"/>
  <c r="D21" i="2168"/>
  <c r="R20" i="2168"/>
  <c r="R19" i="2168"/>
  <c r="R18" i="2168"/>
  <c r="L18" i="2168"/>
  <c r="D18" i="2168" s="1"/>
  <c r="R17" i="2168"/>
  <c r="L17" i="2168"/>
  <c r="D17" i="2168"/>
  <c r="R16" i="2168"/>
  <c r="R15" i="2168"/>
  <c r="R14" i="2168"/>
  <c r="D14" i="2168"/>
  <c r="R13" i="2168"/>
  <c r="D13" i="2168"/>
  <c r="R12" i="2168"/>
  <c r="R11" i="2168"/>
  <c r="L11" i="2168"/>
  <c r="D11" i="2168" s="1"/>
  <c r="L10" i="2168"/>
  <c r="D10" i="2168" s="1"/>
  <c r="L8" i="2168"/>
  <c r="D8" i="2168" s="1"/>
  <c r="L7" i="2168"/>
  <c r="D7" i="2168" s="1"/>
  <c r="R6" i="2168"/>
  <c r="L16" i="2168" s="1"/>
  <c r="D16" i="2168" s="1"/>
  <c r="L6" i="2168"/>
  <c r="D6" i="2168" s="1"/>
  <c r="R5" i="2168"/>
  <c r="R4" i="2168"/>
  <c r="L15" i="2168" s="1"/>
  <c r="D15" i="2168" s="1"/>
  <c r="R52" i="2167"/>
  <c r="R51" i="2167"/>
  <c r="D50" i="2167"/>
  <c r="R49" i="2167"/>
  <c r="G49" i="2167"/>
  <c r="D49" i="2167"/>
  <c r="R48" i="2167"/>
  <c r="D48" i="2167"/>
  <c r="D46" i="2167"/>
  <c r="D45" i="2167"/>
  <c r="R44" i="2167"/>
  <c r="L28" i="2167" s="1"/>
  <c r="D28" i="2167" s="1"/>
  <c r="D44" i="2167"/>
  <c r="R42" i="2167"/>
  <c r="D42" i="2167"/>
  <c r="R41" i="2167"/>
  <c r="D41" i="2167"/>
  <c r="R40" i="2167"/>
  <c r="D40" i="2167"/>
  <c r="R39" i="2167"/>
  <c r="H39" i="2167"/>
  <c r="D39" i="2167"/>
  <c r="R38" i="2167"/>
  <c r="H38" i="2167"/>
  <c r="D38" i="2167"/>
  <c r="R37" i="2167"/>
  <c r="H37" i="2167"/>
  <c r="D37" i="2167"/>
  <c r="R36" i="2167"/>
  <c r="L10" i="2167" s="1"/>
  <c r="D10" i="2167" s="1"/>
  <c r="H36" i="2167"/>
  <c r="D36" i="2167"/>
  <c r="R35" i="2167"/>
  <c r="H35" i="2167"/>
  <c r="D35" i="2167"/>
  <c r="R34" i="2167"/>
  <c r="H34" i="2167"/>
  <c r="D34" i="2167"/>
  <c r="R33" i="2167"/>
  <c r="L19" i="2167" s="1"/>
  <c r="D19" i="2167" s="1"/>
  <c r="R32" i="2167"/>
  <c r="L11" i="2167" s="1"/>
  <c r="D11" i="2167" s="1"/>
  <c r="R31" i="2167"/>
  <c r="R30" i="2167"/>
  <c r="R29" i="2167"/>
  <c r="R28" i="2167"/>
  <c r="R27" i="2167"/>
  <c r="L27" i="2167"/>
  <c r="D27" i="2167" s="1"/>
  <c r="R26" i="2167"/>
  <c r="L26" i="2167"/>
  <c r="D26" i="2167"/>
  <c r="R25" i="2167"/>
  <c r="L25" i="2167"/>
  <c r="D25" i="2167" s="1"/>
  <c r="R24" i="2167"/>
  <c r="L24" i="2167"/>
  <c r="D24" i="2167"/>
  <c r="R23" i="2167"/>
  <c r="L23" i="2167"/>
  <c r="D23" i="2167" s="1"/>
  <c r="R22" i="2167"/>
  <c r="L22" i="2167"/>
  <c r="D22" i="2167"/>
  <c r="R21" i="2167"/>
  <c r="L21" i="2167"/>
  <c r="D21" i="2167"/>
  <c r="R20" i="2167"/>
  <c r="L20" i="2167"/>
  <c r="D20" i="2167" s="1"/>
  <c r="R19" i="2167"/>
  <c r="R18" i="2167"/>
  <c r="L18" i="2167"/>
  <c r="D18" i="2167"/>
  <c r="R17" i="2167"/>
  <c r="L17" i="2167"/>
  <c r="D17" i="2167" s="1"/>
  <c r="R16" i="2167"/>
  <c r="R15" i="2167"/>
  <c r="L15" i="2167"/>
  <c r="D15" i="2167" s="1"/>
  <c r="R14" i="2167"/>
  <c r="D14" i="2167"/>
  <c r="R13" i="2167"/>
  <c r="D13" i="2167"/>
  <c r="R12" i="2167"/>
  <c r="L12" i="2167"/>
  <c r="D12" i="2167" s="1"/>
  <c r="R11" i="2167"/>
  <c r="L9" i="2167"/>
  <c r="D9" i="2167" s="1"/>
  <c r="L8" i="2167"/>
  <c r="D8" i="2167"/>
  <c r="L7" i="2167"/>
  <c r="D7" i="2167"/>
  <c r="R6" i="2167"/>
  <c r="L16" i="2167" s="1"/>
  <c r="D16" i="2167" s="1"/>
  <c r="L6" i="2167"/>
  <c r="D6" i="2167" s="1"/>
  <c r="R5" i="2167"/>
  <c r="R4" i="2167"/>
  <c r="R52" i="2166"/>
  <c r="R51" i="2166"/>
  <c r="D50" i="2166"/>
  <c r="R49" i="2166"/>
  <c r="G49" i="2166"/>
  <c r="D49" i="2166"/>
  <c r="R48" i="2166"/>
  <c r="D48" i="2166"/>
  <c r="D46" i="2166"/>
  <c r="D45" i="2166"/>
  <c r="D44" i="2166"/>
  <c r="R42" i="2166"/>
  <c r="L6" i="2166" s="1"/>
  <c r="D6" i="2166" s="1"/>
  <c r="D42" i="2166"/>
  <c r="R41" i="2166"/>
  <c r="L7" i="2166" s="1"/>
  <c r="D7" i="2166" s="1"/>
  <c r="D41" i="2166"/>
  <c r="R40" i="2166"/>
  <c r="D40" i="2166"/>
  <c r="R39" i="2166"/>
  <c r="D39" i="2166"/>
  <c r="R38" i="2166"/>
  <c r="D38" i="2166"/>
  <c r="R37" i="2166"/>
  <c r="D37" i="2166"/>
  <c r="R36" i="2166"/>
  <c r="D36" i="2166"/>
  <c r="R35" i="2166"/>
  <c r="L19" i="2166" s="1"/>
  <c r="D19" i="2166" s="1"/>
  <c r="D35" i="2166"/>
  <c r="R34" i="2166"/>
  <c r="D34" i="2166"/>
  <c r="D54" i="2166" s="1"/>
  <c r="H14" i="2166" s="1"/>
  <c r="R33" i="2166"/>
  <c r="L23" i="2166" s="1"/>
  <c r="D23" i="2166" s="1"/>
  <c r="R32" i="2166"/>
  <c r="R31" i="2166"/>
  <c r="R30" i="2166"/>
  <c r="R29" i="2166"/>
  <c r="R28" i="2166"/>
  <c r="L16" i="2166" s="1"/>
  <c r="D16" i="2166" s="1"/>
  <c r="D28" i="2166"/>
  <c r="R27" i="2166"/>
  <c r="D27" i="2166"/>
  <c r="R26" i="2166"/>
  <c r="L26" i="2166"/>
  <c r="D26" i="2166" s="1"/>
  <c r="R25" i="2166"/>
  <c r="L25" i="2166"/>
  <c r="D25" i="2166"/>
  <c r="R24" i="2166"/>
  <c r="D24" i="2166"/>
  <c r="R23" i="2166"/>
  <c r="R22" i="2166"/>
  <c r="L22" i="2166"/>
  <c r="D22" i="2166"/>
  <c r="R21" i="2166"/>
  <c r="D21" i="2166"/>
  <c r="R20" i="2166"/>
  <c r="L20" i="2166"/>
  <c r="D20" i="2166" s="1"/>
  <c r="R19" i="2166"/>
  <c r="R18" i="2166"/>
  <c r="D18" i="2166"/>
  <c r="R17" i="2166"/>
  <c r="D17" i="2166"/>
  <c r="R16" i="2166"/>
  <c r="S15" i="2166"/>
  <c r="R15" i="2166"/>
  <c r="D15" i="2166"/>
  <c r="S14" i="2166"/>
  <c r="R14" i="2166"/>
  <c r="D14" i="2166"/>
  <c r="R13" i="2166"/>
  <c r="D13" i="2166"/>
  <c r="R12" i="2166"/>
  <c r="L12" i="2166"/>
  <c r="D12" i="2166" s="1"/>
  <c r="R11" i="2166"/>
  <c r="L11" i="2166"/>
  <c r="D11" i="2166"/>
  <c r="L10" i="2166"/>
  <c r="D10" i="2166" s="1"/>
  <c r="L9" i="2166"/>
  <c r="D9" i="2166"/>
  <c r="L8" i="2166"/>
  <c r="D8" i="2166"/>
  <c r="R6" i="2166"/>
  <c r="R5" i="2166"/>
  <c r="R4" i="2166"/>
  <c r="R52" i="2165"/>
  <c r="R51" i="2165"/>
  <c r="D50" i="2165"/>
  <c r="R49" i="2165"/>
  <c r="D49" i="2165"/>
  <c r="R48" i="2165"/>
  <c r="D48" i="2165"/>
  <c r="D46" i="2165"/>
  <c r="D45" i="2165"/>
  <c r="R44" i="2165"/>
  <c r="D44" i="2165"/>
  <c r="R42" i="2165"/>
  <c r="L6" i="2165" s="1"/>
  <c r="D6" i="2165" s="1"/>
  <c r="D42" i="2165"/>
  <c r="R41" i="2165"/>
  <c r="D41" i="2165"/>
  <c r="R40" i="2165"/>
  <c r="D40" i="2165"/>
  <c r="R39" i="2165"/>
  <c r="H39" i="2165"/>
  <c r="D39" i="2165"/>
  <c r="R38" i="2165"/>
  <c r="H38" i="2165"/>
  <c r="D38" i="2165"/>
  <c r="R37" i="2165"/>
  <c r="H37" i="2165"/>
  <c r="D37" i="2165"/>
  <c r="R36" i="2165"/>
  <c r="H36" i="2165"/>
  <c r="D36" i="2165"/>
  <c r="R35" i="2165"/>
  <c r="H35" i="2165"/>
  <c r="D35" i="2165"/>
  <c r="R34" i="2165"/>
  <c r="H34" i="2165"/>
  <c r="D34" i="2165"/>
  <c r="R33" i="2165"/>
  <c r="L19" i="2165" s="1"/>
  <c r="D19" i="2165" s="1"/>
  <c r="R32" i="2165"/>
  <c r="L11" i="2165" s="1"/>
  <c r="D11" i="2165" s="1"/>
  <c r="R31" i="2165"/>
  <c r="R30" i="2165"/>
  <c r="R29" i="2165"/>
  <c r="R28" i="2165"/>
  <c r="L28" i="2165"/>
  <c r="D28" i="2165"/>
  <c r="R27" i="2165"/>
  <c r="L27" i="2165"/>
  <c r="D27" i="2165" s="1"/>
  <c r="R26" i="2165"/>
  <c r="L26" i="2165"/>
  <c r="D26" i="2165"/>
  <c r="R25" i="2165"/>
  <c r="L25" i="2165"/>
  <c r="D25" i="2165" s="1"/>
  <c r="R24" i="2165"/>
  <c r="L24" i="2165"/>
  <c r="D24" i="2165"/>
  <c r="R23" i="2165"/>
  <c r="L23" i="2165"/>
  <c r="D23" i="2165"/>
  <c r="R22" i="2165"/>
  <c r="L22" i="2165"/>
  <c r="D22" i="2165"/>
  <c r="R21" i="2165"/>
  <c r="L21" i="2165"/>
  <c r="D21" i="2165"/>
  <c r="R20" i="2165"/>
  <c r="L20" i="2165"/>
  <c r="D20" i="2165" s="1"/>
  <c r="R19" i="2165"/>
  <c r="R18" i="2165"/>
  <c r="L18" i="2165"/>
  <c r="D18" i="2165" s="1"/>
  <c r="R17" i="2165"/>
  <c r="L17" i="2165"/>
  <c r="D17" i="2165" s="1"/>
  <c r="R16" i="2165"/>
  <c r="R15" i="2165"/>
  <c r="L15" i="2165"/>
  <c r="D15" i="2165" s="1"/>
  <c r="R14" i="2165"/>
  <c r="D14" i="2165"/>
  <c r="R13" i="2165"/>
  <c r="D13" i="2165"/>
  <c r="R12" i="2165"/>
  <c r="L12" i="2165"/>
  <c r="D12" i="2165" s="1"/>
  <c r="R11" i="2165"/>
  <c r="L10" i="2165"/>
  <c r="D10" i="2165"/>
  <c r="L9" i="2165"/>
  <c r="D9" i="2165" s="1"/>
  <c r="L8" i="2165"/>
  <c r="D8" i="2165"/>
  <c r="L7" i="2165"/>
  <c r="D7" i="2165"/>
  <c r="R6" i="2165"/>
  <c r="L16" i="2165" s="1"/>
  <c r="D16" i="2165" s="1"/>
  <c r="R5" i="2165"/>
  <c r="R4" i="2165"/>
  <c r="R52" i="2164"/>
  <c r="R51" i="2164"/>
  <c r="D50" i="2164"/>
  <c r="R49" i="2164"/>
  <c r="D49" i="2164"/>
  <c r="R48" i="2164"/>
  <c r="D48" i="2164"/>
  <c r="D46" i="2164"/>
  <c r="D45" i="2164"/>
  <c r="R44" i="2164"/>
  <c r="D44" i="2164"/>
  <c r="R42" i="2164"/>
  <c r="L6" i="2164" s="1"/>
  <c r="D6" i="2164" s="1"/>
  <c r="D42" i="2164"/>
  <c r="R41" i="2164"/>
  <c r="D41" i="2164"/>
  <c r="R40" i="2164"/>
  <c r="D40" i="2164"/>
  <c r="R39" i="2164"/>
  <c r="H39" i="2164"/>
  <c r="D39" i="2164"/>
  <c r="R38" i="2164"/>
  <c r="L9" i="2164" s="1"/>
  <c r="D9" i="2164" s="1"/>
  <c r="H38" i="2164"/>
  <c r="D38" i="2164"/>
  <c r="R37" i="2164"/>
  <c r="H37" i="2164"/>
  <c r="D37" i="2164"/>
  <c r="R36" i="2164"/>
  <c r="L10" i="2164" s="1"/>
  <c r="D10" i="2164" s="1"/>
  <c r="H36" i="2164"/>
  <c r="D36" i="2164"/>
  <c r="R35" i="2164"/>
  <c r="H35" i="2164"/>
  <c r="D35" i="2164"/>
  <c r="R34" i="2164"/>
  <c r="H34" i="2164"/>
  <c r="D34" i="2164"/>
  <c r="R33" i="2164"/>
  <c r="R32" i="2164"/>
  <c r="L11" i="2164" s="1"/>
  <c r="D11" i="2164" s="1"/>
  <c r="R31" i="2164"/>
  <c r="R30" i="2164"/>
  <c r="R29" i="2164"/>
  <c r="R28" i="2164"/>
  <c r="L28" i="2164"/>
  <c r="D28" i="2164"/>
  <c r="R27" i="2164"/>
  <c r="L27" i="2164"/>
  <c r="D27" i="2164" s="1"/>
  <c r="R26" i="2164"/>
  <c r="L26" i="2164"/>
  <c r="D26" i="2164" s="1"/>
  <c r="R25" i="2164"/>
  <c r="L25" i="2164"/>
  <c r="D25" i="2164" s="1"/>
  <c r="R24" i="2164"/>
  <c r="L24" i="2164"/>
  <c r="D24" i="2164"/>
  <c r="R23" i="2164"/>
  <c r="L23" i="2164"/>
  <c r="D23" i="2164"/>
  <c r="R22" i="2164"/>
  <c r="L20" i="2164" s="1"/>
  <c r="D20" i="2164" s="1"/>
  <c r="L22" i="2164"/>
  <c r="D22" i="2164"/>
  <c r="R21" i="2164"/>
  <c r="D21" i="2164"/>
  <c r="R20" i="2164"/>
  <c r="R19" i="2164"/>
  <c r="L19" i="2164"/>
  <c r="D19" i="2164"/>
  <c r="R18" i="2164"/>
  <c r="L18" i="2164"/>
  <c r="D18" i="2164"/>
  <c r="R17" i="2164"/>
  <c r="L17" i="2164"/>
  <c r="D17" i="2164" s="1"/>
  <c r="R16" i="2164"/>
  <c r="R15" i="2164"/>
  <c r="R14" i="2164"/>
  <c r="D14" i="2164"/>
  <c r="R13" i="2164"/>
  <c r="D13" i="2164"/>
  <c r="R12" i="2164"/>
  <c r="L12" i="2164"/>
  <c r="D12" i="2164"/>
  <c r="R11" i="2164"/>
  <c r="L8" i="2164"/>
  <c r="D8" i="2164" s="1"/>
  <c r="L7" i="2164"/>
  <c r="D7" i="2164" s="1"/>
  <c r="R6" i="2164"/>
  <c r="L16" i="2164" s="1"/>
  <c r="D16" i="2164" s="1"/>
  <c r="R5" i="2164"/>
  <c r="R4" i="2164"/>
  <c r="L15" i="2164" s="1"/>
  <c r="D15" i="2164" s="1"/>
  <c r="R52" i="2163"/>
  <c r="R51" i="2163"/>
  <c r="D50" i="2163"/>
  <c r="R49" i="2163"/>
  <c r="D49" i="2163"/>
  <c r="R48" i="2163"/>
  <c r="D48" i="2163"/>
  <c r="D46" i="2163"/>
  <c r="D45" i="2163"/>
  <c r="R44" i="2163"/>
  <c r="D44" i="2163"/>
  <c r="R42" i="2163"/>
  <c r="L6" i="2163" s="1"/>
  <c r="D6" i="2163" s="1"/>
  <c r="D42" i="2163"/>
  <c r="R41" i="2163"/>
  <c r="D41" i="2163"/>
  <c r="R40" i="2163"/>
  <c r="D40" i="2163"/>
  <c r="R39" i="2163"/>
  <c r="H39" i="2163"/>
  <c r="D39" i="2163"/>
  <c r="R38" i="2163"/>
  <c r="H38" i="2163"/>
  <c r="D38" i="2163"/>
  <c r="R37" i="2163"/>
  <c r="H37" i="2163"/>
  <c r="D37" i="2163"/>
  <c r="R36" i="2163"/>
  <c r="H36" i="2163"/>
  <c r="D36" i="2163"/>
  <c r="R35" i="2163"/>
  <c r="H35" i="2163"/>
  <c r="D35" i="2163"/>
  <c r="R34" i="2163"/>
  <c r="H34" i="2163"/>
  <c r="D34" i="2163"/>
  <c r="R33" i="2163"/>
  <c r="L19" i="2163" s="1"/>
  <c r="D19" i="2163" s="1"/>
  <c r="R32" i="2163"/>
  <c r="R31" i="2163"/>
  <c r="R30" i="2163"/>
  <c r="R29" i="2163"/>
  <c r="R28" i="2163"/>
  <c r="L28" i="2163"/>
  <c r="D28" i="2163"/>
  <c r="R27" i="2163"/>
  <c r="L27" i="2163"/>
  <c r="D27" i="2163"/>
  <c r="R26" i="2163"/>
  <c r="L26" i="2163"/>
  <c r="D26" i="2163" s="1"/>
  <c r="R25" i="2163"/>
  <c r="L25" i="2163"/>
  <c r="D25" i="2163"/>
  <c r="R24" i="2163"/>
  <c r="L24" i="2163"/>
  <c r="D24" i="2163"/>
  <c r="R23" i="2163"/>
  <c r="L23" i="2163"/>
  <c r="D23" i="2163"/>
  <c r="R22" i="2163"/>
  <c r="L20" i="2163" s="1"/>
  <c r="D20" i="2163" s="1"/>
  <c r="L22" i="2163"/>
  <c r="D22" i="2163"/>
  <c r="R21" i="2163"/>
  <c r="L21" i="2163"/>
  <c r="D21" i="2163"/>
  <c r="R20" i="2163"/>
  <c r="R19" i="2163"/>
  <c r="R18" i="2163"/>
  <c r="L18" i="2163"/>
  <c r="D18" i="2163" s="1"/>
  <c r="R17" i="2163"/>
  <c r="L17" i="2163"/>
  <c r="D17" i="2163" s="1"/>
  <c r="R16" i="2163"/>
  <c r="R15" i="2163"/>
  <c r="L15" i="2163"/>
  <c r="D15" i="2163" s="1"/>
  <c r="R14" i="2163"/>
  <c r="D14" i="2163"/>
  <c r="R13" i="2163"/>
  <c r="D13" i="2163"/>
  <c r="R12" i="2163"/>
  <c r="L12" i="2163"/>
  <c r="D12" i="2163" s="1"/>
  <c r="R11" i="2163"/>
  <c r="L11" i="2163"/>
  <c r="D11" i="2163"/>
  <c r="L10" i="2163"/>
  <c r="D10" i="2163" s="1"/>
  <c r="L9" i="2163"/>
  <c r="D9" i="2163" s="1"/>
  <c r="L8" i="2163"/>
  <c r="D8" i="2163"/>
  <c r="L7" i="2163"/>
  <c r="D7" i="2163"/>
  <c r="R6" i="2163"/>
  <c r="L16" i="2163" s="1"/>
  <c r="D16" i="2163" s="1"/>
  <c r="R5" i="2163"/>
  <c r="R4" i="2163"/>
  <c r="R52" i="2162"/>
  <c r="R51" i="2162"/>
  <c r="D50" i="2162"/>
  <c r="R49" i="2162"/>
  <c r="G49" i="2162"/>
  <c r="D49" i="2162"/>
  <c r="R48" i="2162"/>
  <c r="D48" i="2162"/>
  <c r="D46" i="2162"/>
  <c r="D45" i="2162"/>
  <c r="D44" i="2162"/>
  <c r="R42" i="2162"/>
  <c r="L6" i="2162" s="1"/>
  <c r="D6" i="2162" s="1"/>
  <c r="D42" i="2162"/>
  <c r="R41" i="2162"/>
  <c r="L7" i="2162" s="1"/>
  <c r="D7" i="2162" s="1"/>
  <c r="D41" i="2162"/>
  <c r="R40" i="2162"/>
  <c r="D40" i="2162"/>
  <c r="R39" i="2162"/>
  <c r="D39" i="2162"/>
  <c r="R38" i="2162"/>
  <c r="D38" i="2162"/>
  <c r="R37" i="2162"/>
  <c r="D37" i="2162"/>
  <c r="R36" i="2162"/>
  <c r="L10" i="2162" s="1"/>
  <c r="D10" i="2162" s="1"/>
  <c r="D36" i="2162"/>
  <c r="R35" i="2162"/>
  <c r="L19" i="2162" s="1"/>
  <c r="D19" i="2162" s="1"/>
  <c r="D35" i="2162"/>
  <c r="R34" i="2162"/>
  <c r="L12" i="2162" s="1"/>
  <c r="D12" i="2162" s="1"/>
  <c r="D34" i="2162"/>
  <c r="D54" i="2162" s="1"/>
  <c r="H14" i="2162" s="1"/>
  <c r="R33" i="2162"/>
  <c r="L23" i="2162" s="1"/>
  <c r="D23" i="2162" s="1"/>
  <c r="R32" i="2162"/>
  <c r="R31" i="2162"/>
  <c r="R30" i="2162"/>
  <c r="R29" i="2162"/>
  <c r="R28" i="2162"/>
  <c r="L16" i="2162" s="1"/>
  <c r="D16" i="2162" s="1"/>
  <c r="D28" i="2162"/>
  <c r="R27" i="2162"/>
  <c r="D27" i="2162"/>
  <c r="R26" i="2162"/>
  <c r="L26" i="2162"/>
  <c r="D26" i="2162"/>
  <c r="R25" i="2162"/>
  <c r="L25" i="2162"/>
  <c r="D25" i="2162"/>
  <c r="R24" i="2162"/>
  <c r="D24" i="2162"/>
  <c r="R23" i="2162"/>
  <c r="R22" i="2162"/>
  <c r="L22" i="2162"/>
  <c r="D22" i="2162" s="1"/>
  <c r="R21" i="2162"/>
  <c r="D21" i="2162"/>
  <c r="R20" i="2162"/>
  <c r="L20" i="2162"/>
  <c r="D20" i="2162"/>
  <c r="R19" i="2162"/>
  <c r="R18" i="2162"/>
  <c r="D18" i="2162"/>
  <c r="R17" i="2162"/>
  <c r="D17" i="2162"/>
  <c r="R16" i="2162"/>
  <c r="S15" i="2162"/>
  <c r="R15" i="2162"/>
  <c r="D15" i="2162"/>
  <c r="S14" i="2162"/>
  <c r="R14" i="2162"/>
  <c r="D14" i="2162"/>
  <c r="R13" i="2162"/>
  <c r="D13" i="2162"/>
  <c r="R12" i="2162"/>
  <c r="R11" i="2162"/>
  <c r="L11" i="2162"/>
  <c r="D11" i="2162" s="1"/>
  <c r="L9" i="2162"/>
  <c r="D9" i="2162" s="1"/>
  <c r="L8" i="2162"/>
  <c r="D8" i="2162"/>
  <c r="R6" i="2162"/>
  <c r="R5" i="2162"/>
  <c r="R4" i="2162"/>
  <c r="R52" i="2161"/>
  <c r="R51" i="2161"/>
  <c r="D50" i="2161"/>
  <c r="R49" i="2161"/>
  <c r="D49" i="2161"/>
  <c r="R48" i="2161"/>
  <c r="D48" i="2161"/>
  <c r="D46" i="2161"/>
  <c r="D45" i="2161"/>
  <c r="R44" i="2161"/>
  <c r="L28" i="2161" s="1"/>
  <c r="D28" i="2161" s="1"/>
  <c r="D44" i="2161"/>
  <c r="R42" i="2161"/>
  <c r="D42" i="2161"/>
  <c r="R41" i="2161"/>
  <c r="D41" i="2161"/>
  <c r="R40" i="2161"/>
  <c r="L8" i="2161" s="1"/>
  <c r="D8" i="2161" s="1"/>
  <c r="D40" i="2161"/>
  <c r="R39" i="2161"/>
  <c r="H39" i="2161"/>
  <c r="D39" i="2161"/>
  <c r="R38" i="2161"/>
  <c r="H38" i="2161"/>
  <c r="D38" i="2161"/>
  <c r="R37" i="2161"/>
  <c r="H37" i="2161"/>
  <c r="D37" i="2161"/>
  <c r="R36" i="2161"/>
  <c r="H36" i="2161"/>
  <c r="D36" i="2161"/>
  <c r="R35" i="2161"/>
  <c r="L18" i="2161" s="1"/>
  <c r="D18" i="2161" s="1"/>
  <c r="H35" i="2161"/>
  <c r="D35" i="2161"/>
  <c r="R34" i="2161"/>
  <c r="L12" i="2161" s="1"/>
  <c r="D12" i="2161" s="1"/>
  <c r="H34" i="2161"/>
  <c r="D34" i="2161"/>
  <c r="R33" i="2161"/>
  <c r="R32" i="2161"/>
  <c r="R31" i="2161"/>
  <c r="R30" i="2161"/>
  <c r="R29" i="2161"/>
  <c r="R28" i="2161"/>
  <c r="R27" i="2161"/>
  <c r="L27" i="2161"/>
  <c r="D27" i="2161" s="1"/>
  <c r="R26" i="2161"/>
  <c r="L26" i="2161"/>
  <c r="D26" i="2161" s="1"/>
  <c r="R25" i="2161"/>
  <c r="L25" i="2161"/>
  <c r="D25" i="2161"/>
  <c r="R24" i="2161"/>
  <c r="L24" i="2161"/>
  <c r="D24" i="2161"/>
  <c r="R23" i="2161"/>
  <c r="L23" i="2161"/>
  <c r="D23" i="2161" s="1"/>
  <c r="R22" i="2161"/>
  <c r="L20" i="2161" s="1"/>
  <c r="D20" i="2161" s="1"/>
  <c r="L22" i="2161"/>
  <c r="D22" i="2161"/>
  <c r="R21" i="2161"/>
  <c r="L17" i="2161" s="1"/>
  <c r="D17" i="2161" s="1"/>
  <c r="L21" i="2161"/>
  <c r="D21" i="2161"/>
  <c r="R20" i="2161"/>
  <c r="R19" i="2161"/>
  <c r="L19" i="2161"/>
  <c r="D19" i="2161"/>
  <c r="R18" i="2161"/>
  <c r="R17" i="2161"/>
  <c r="R16" i="2161"/>
  <c r="L16" i="2161"/>
  <c r="D16" i="2161"/>
  <c r="R15" i="2161"/>
  <c r="L15" i="2161"/>
  <c r="D15" i="2161" s="1"/>
  <c r="R14" i="2161"/>
  <c r="D14" i="2161"/>
  <c r="R13" i="2161"/>
  <c r="D13" i="2161"/>
  <c r="R12" i="2161"/>
  <c r="R11" i="2161"/>
  <c r="L11" i="2161"/>
  <c r="D11" i="2161"/>
  <c r="L10" i="2161"/>
  <c r="D10" i="2161" s="1"/>
  <c r="L9" i="2161"/>
  <c r="D9" i="2161"/>
  <c r="L7" i="2161"/>
  <c r="D7" i="2161"/>
  <c r="R6" i="2161"/>
  <c r="L6" i="2161"/>
  <c r="D6" i="2161" s="1"/>
  <c r="R5" i="2161"/>
  <c r="R4" i="2161"/>
  <c r="R52" i="2160"/>
  <c r="R51" i="2160"/>
  <c r="D50" i="2160"/>
  <c r="R49" i="2160"/>
  <c r="D49" i="2160"/>
  <c r="R48" i="2160"/>
  <c r="D48" i="2160"/>
  <c r="D46" i="2160"/>
  <c r="D45" i="2160"/>
  <c r="R44" i="2160"/>
  <c r="D44" i="2160"/>
  <c r="R42" i="2160"/>
  <c r="L6" i="2160" s="1"/>
  <c r="D6" i="2160" s="1"/>
  <c r="D42" i="2160"/>
  <c r="R41" i="2160"/>
  <c r="D41" i="2160"/>
  <c r="R40" i="2160"/>
  <c r="D40" i="2160"/>
  <c r="R39" i="2160"/>
  <c r="H39" i="2160"/>
  <c r="D39" i="2160"/>
  <c r="R38" i="2160"/>
  <c r="H38" i="2160"/>
  <c r="D38" i="2160"/>
  <c r="R37" i="2160"/>
  <c r="H37" i="2160"/>
  <c r="D37" i="2160"/>
  <c r="R36" i="2160"/>
  <c r="L10" i="2160" s="1"/>
  <c r="D10" i="2160" s="1"/>
  <c r="H36" i="2160"/>
  <c r="D36" i="2160"/>
  <c r="R35" i="2160"/>
  <c r="H35" i="2160"/>
  <c r="D35" i="2160"/>
  <c r="R34" i="2160"/>
  <c r="H34" i="2160"/>
  <c r="D34" i="2160"/>
  <c r="R33" i="2160"/>
  <c r="R32" i="2160"/>
  <c r="R31" i="2160"/>
  <c r="R30" i="2160"/>
  <c r="R29" i="2160"/>
  <c r="R28" i="2160"/>
  <c r="L28" i="2160"/>
  <c r="D28" i="2160"/>
  <c r="R27" i="2160"/>
  <c r="L27" i="2160"/>
  <c r="D27" i="2160" s="1"/>
  <c r="R26" i="2160"/>
  <c r="L26" i="2160"/>
  <c r="D26" i="2160" s="1"/>
  <c r="R25" i="2160"/>
  <c r="L25" i="2160"/>
  <c r="D25" i="2160"/>
  <c r="R24" i="2160"/>
  <c r="L24" i="2160"/>
  <c r="D24" i="2160"/>
  <c r="R23" i="2160"/>
  <c r="L23" i="2160"/>
  <c r="D23" i="2160"/>
  <c r="R22" i="2160"/>
  <c r="L20" i="2160" s="1"/>
  <c r="D20" i="2160" s="1"/>
  <c r="L22" i="2160"/>
  <c r="D22" i="2160"/>
  <c r="R21" i="2160"/>
  <c r="D21" i="2160"/>
  <c r="R20" i="2160"/>
  <c r="R19" i="2160"/>
  <c r="L19" i="2160"/>
  <c r="D19" i="2160" s="1"/>
  <c r="R18" i="2160"/>
  <c r="L18" i="2160"/>
  <c r="D18" i="2160"/>
  <c r="R17" i="2160"/>
  <c r="L17" i="2160"/>
  <c r="D17" i="2160"/>
  <c r="R16" i="2160"/>
  <c r="R15" i="2160"/>
  <c r="R14" i="2160"/>
  <c r="D14" i="2160"/>
  <c r="R13" i="2160"/>
  <c r="D13" i="2160"/>
  <c r="R12" i="2160"/>
  <c r="L12" i="2160"/>
  <c r="D12" i="2160"/>
  <c r="R11" i="2160"/>
  <c r="L11" i="2160"/>
  <c r="D11" i="2160" s="1"/>
  <c r="L9" i="2160"/>
  <c r="D9" i="2160" s="1"/>
  <c r="L8" i="2160"/>
  <c r="D8" i="2160"/>
  <c r="L7" i="2160"/>
  <c r="D7" i="2160" s="1"/>
  <c r="R6" i="2160"/>
  <c r="L16" i="2160" s="1"/>
  <c r="D16" i="2160" s="1"/>
  <c r="R5" i="2160"/>
  <c r="R4" i="2160"/>
  <c r="L15" i="2160" s="1"/>
  <c r="D15" i="2160" s="1"/>
  <c r="R52" i="2159"/>
  <c r="R51" i="2159"/>
  <c r="D50" i="2159"/>
  <c r="R49" i="2159"/>
  <c r="D49" i="2159"/>
  <c r="R48" i="2159"/>
  <c r="D48" i="2159"/>
  <c r="D46" i="2159"/>
  <c r="D45" i="2159"/>
  <c r="R44" i="2159"/>
  <c r="D44" i="2159"/>
  <c r="R42" i="2159"/>
  <c r="L6" i="2159" s="1"/>
  <c r="D6" i="2159" s="1"/>
  <c r="D42" i="2159"/>
  <c r="R41" i="2159"/>
  <c r="D41" i="2159"/>
  <c r="R40" i="2159"/>
  <c r="D40" i="2159"/>
  <c r="R39" i="2159"/>
  <c r="H39" i="2159"/>
  <c r="D39" i="2159"/>
  <c r="R38" i="2159"/>
  <c r="L9" i="2159" s="1"/>
  <c r="D9" i="2159" s="1"/>
  <c r="H38" i="2159"/>
  <c r="D38" i="2159"/>
  <c r="R37" i="2159"/>
  <c r="H37" i="2159"/>
  <c r="D37" i="2159"/>
  <c r="R36" i="2159"/>
  <c r="L10" i="2159" s="1"/>
  <c r="D10" i="2159" s="1"/>
  <c r="H36" i="2159"/>
  <c r="D36" i="2159"/>
  <c r="R35" i="2159"/>
  <c r="H35" i="2159"/>
  <c r="D35" i="2159"/>
  <c r="R34" i="2159"/>
  <c r="H34" i="2159"/>
  <c r="D34" i="2159"/>
  <c r="R33" i="2159"/>
  <c r="R32" i="2159"/>
  <c r="L11" i="2159" s="1"/>
  <c r="D11" i="2159" s="1"/>
  <c r="R31" i="2159"/>
  <c r="R30" i="2159"/>
  <c r="R29" i="2159"/>
  <c r="R28" i="2159"/>
  <c r="L28" i="2159"/>
  <c r="D28" i="2159"/>
  <c r="R27" i="2159"/>
  <c r="L27" i="2159"/>
  <c r="D27" i="2159"/>
  <c r="R26" i="2159"/>
  <c r="L26" i="2159"/>
  <c r="D26" i="2159" s="1"/>
  <c r="R25" i="2159"/>
  <c r="L25" i="2159"/>
  <c r="D25" i="2159"/>
  <c r="R24" i="2159"/>
  <c r="L24" i="2159"/>
  <c r="D24" i="2159"/>
  <c r="R23" i="2159"/>
  <c r="L23" i="2159"/>
  <c r="D23" i="2159"/>
  <c r="R22" i="2159"/>
  <c r="L20" i="2159" s="1"/>
  <c r="D20" i="2159" s="1"/>
  <c r="L22" i="2159"/>
  <c r="D22" i="2159" s="1"/>
  <c r="R21" i="2159"/>
  <c r="L21" i="2159"/>
  <c r="D21" i="2159"/>
  <c r="R20" i="2159"/>
  <c r="R19" i="2159"/>
  <c r="L19" i="2159"/>
  <c r="D19" i="2159"/>
  <c r="R18" i="2159"/>
  <c r="L18" i="2159"/>
  <c r="D18" i="2159"/>
  <c r="R17" i="2159"/>
  <c r="L17" i="2159"/>
  <c r="D17" i="2159" s="1"/>
  <c r="R16" i="2159"/>
  <c r="R15" i="2159"/>
  <c r="R14" i="2159"/>
  <c r="D14" i="2159"/>
  <c r="R13" i="2159"/>
  <c r="D13" i="2159"/>
  <c r="R12" i="2159"/>
  <c r="L12" i="2159"/>
  <c r="D12" i="2159" s="1"/>
  <c r="R11" i="2159"/>
  <c r="L8" i="2159"/>
  <c r="D8" i="2159"/>
  <c r="L7" i="2159"/>
  <c r="D7" i="2159"/>
  <c r="R6" i="2159"/>
  <c r="L16" i="2159" s="1"/>
  <c r="D16" i="2159" s="1"/>
  <c r="R5" i="2159"/>
  <c r="R4" i="2159"/>
  <c r="L15" i="2159" s="1"/>
  <c r="D15" i="2159" s="1"/>
  <c r="R52" i="2158"/>
  <c r="R51" i="2158"/>
  <c r="D50" i="2158"/>
  <c r="R49" i="2158"/>
  <c r="G49" i="2158"/>
  <c r="D49" i="2158"/>
  <c r="R48" i="2158"/>
  <c r="D48" i="2158"/>
  <c r="D46" i="2158"/>
  <c r="D45" i="2158"/>
  <c r="D44" i="2158"/>
  <c r="R42" i="2158"/>
  <c r="L6" i="2158" s="1"/>
  <c r="D6" i="2158" s="1"/>
  <c r="D29" i="2158" s="1"/>
  <c r="H13" i="2158" s="1"/>
  <c r="H15" i="2158" s="1"/>
  <c r="H29" i="2158" s="1"/>
  <c r="D42" i="2158"/>
  <c r="R41" i="2158"/>
  <c r="D41" i="2158"/>
  <c r="R40" i="2158"/>
  <c r="D40" i="2158"/>
  <c r="R39" i="2158"/>
  <c r="D39" i="2158"/>
  <c r="R38" i="2158"/>
  <c r="D38" i="2158"/>
  <c r="R37" i="2158"/>
  <c r="D37" i="2158"/>
  <c r="R36" i="2158"/>
  <c r="L10" i="2158" s="1"/>
  <c r="D10" i="2158" s="1"/>
  <c r="D36" i="2158"/>
  <c r="R35" i="2158"/>
  <c r="L19" i="2158" s="1"/>
  <c r="D19" i="2158" s="1"/>
  <c r="D35" i="2158"/>
  <c r="D54" i="2158" s="1"/>
  <c r="H14" i="2158" s="1"/>
  <c r="R34" i="2158"/>
  <c r="L12" i="2158" s="1"/>
  <c r="D12" i="2158" s="1"/>
  <c r="D34" i="2158"/>
  <c r="R33" i="2158"/>
  <c r="R32" i="2158"/>
  <c r="R31" i="2158"/>
  <c r="R30" i="2158"/>
  <c r="R29" i="2158"/>
  <c r="R28" i="2158"/>
  <c r="L16" i="2158" s="1"/>
  <c r="D16" i="2158" s="1"/>
  <c r="D28" i="2158"/>
  <c r="R27" i="2158"/>
  <c r="D27" i="2158"/>
  <c r="R26" i="2158"/>
  <c r="L26" i="2158"/>
  <c r="D26" i="2158"/>
  <c r="R25" i="2158"/>
  <c r="L25" i="2158"/>
  <c r="D25" i="2158"/>
  <c r="R24" i="2158"/>
  <c r="D24" i="2158"/>
  <c r="R23" i="2158"/>
  <c r="L23" i="2158"/>
  <c r="D23" i="2158"/>
  <c r="R22" i="2158"/>
  <c r="L22" i="2158"/>
  <c r="D22" i="2158"/>
  <c r="R21" i="2158"/>
  <c r="D21" i="2158"/>
  <c r="R20" i="2158"/>
  <c r="L20" i="2158"/>
  <c r="D20" i="2158"/>
  <c r="R19" i="2158"/>
  <c r="R18" i="2158"/>
  <c r="D18" i="2158"/>
  <c r="R17" i="2158"/>
  <c r="D17" i="2158"/>
  <c r="R16" i="2158"/>
  <c r="S15" i="2158"/>
  <c r="R15" i="2158"/>
  <c r="D15" i="2158"/>
  <c r="S14" i="2158"/>
  <c r="R14" i="2158"/>
  <c r="D14" i="2158"/>
  <c r="R13" i="2158"/>
  <c r="D13" i="2158"/>
  <c r="R12" i="2158"/>
  <c r="R11" i="2158"/>
  <c r="L11" i="2158"/>
  <c r="D11" i="2158"/>
  <c r="L9" i="2158"/>
  <c r="D9" i="2158" s="1"/>
  <c r="L8" i="2158"/>
  <c r="D8" i="2158"/>
  <c r="L7" i="2158"/>
  <c r="D7" i="2158"/>
  <c r="R6" i="2158"/>
  <c r="R5" i="2158"/>
  <c r="R4" i="2158"/>
  <c r="G49" i="2169" l="1"/>
  <c r="G49" i="2168"/>
  <c r="D54" i="2169"/>
  <c r="H14" i="2169" s="1"/>
  <c r="D54" i="2168"/>
  <c r="H14" i="2168" s="1"/>
  <c r="D54" i="2167"/>
  <c r="H14" i="2167" s="1"/>
  <c r="G49" i="2165"/>
  <c r="G49" i="2164"/>
  <c r="G49" i="2163"/>
  <c r="D54" i="2165"/>
  <c r="H14" i="2165" s="1"/>
  <c r="D29" i="2165"/>
  <c r="H13" i="2165" s="1"/>
  <c r="D54" i="2164"/>
  <c r="H14" i="2164" s="1"/>
  <c r="D54" i="2163"/>
  <c r="H14" i="2163" s="1"/>
  <c r="G49" i="2161"/>
  <c r="G49" i="2160"/>
  <c r="G49" i="2159"/>
  <c r="D54" i="2161"/>
  <c r="H14" i="2161" s="1"/>
  <c r="D54" i="2160"/>
  <c r="H14" i="2160" s="1"/>
  <c r="D54" i="2159"/>
  <c r="H14" i="2159" s="1"/>
  <c r="D29" i="2169"/>
  <c r="H13" i="2169" s="1"/>
  <c r="D29" i="2168"/>
  <c r="H13" i="2168" s="1"/>
  <c r="H15" i="2168" s="1"/>
  <c r="H29" i="2168" s="1"/>
  <c r="D29" i="2167"/>
  <c r="H13" i="2167" s="1"/>
  <c r="H15" i="2167" s="1"/>
  <c r="H29" i="2167" s="1"/>
  <c r="G51" i="2167" s="1"/>
  <c r="D29" i="2166"/>
  <c r="H13" i="2166" s="1"/>
  <c r="H15" i="2166" s="1"/>
  <c r="H29" i="2166" s="1"/>
  <c r="G51" i="2166" s="1"/>
  <c r="D29" i="2164"/>
  <c r="H13" i="2164" s="1"/>
  <c r="D29" i="2163"/>
  <c r="H13" i="2163" s="1"/>
  <c r="D29" i="2162"/>
  <c r="H13" i="2162" s="1"/>
  <c r="H15" i="2162" s="1"/>
  <c r="H29" i="2162" s="1"/>
  <c r="G51" i="2162"/>
  <c r="D29" i="2161"/>
  <c r="H13" i="2161" s="1"/>
  <c r="D29" i="2160"/>
  <c r="H13" i="2160" s="1"/>
  <c r="D29" i="2159"/>
  <c r="H13" i="2159" s="1"/>
  <c r="G51" i="2158"/>
  <c r="R52" i="2157"/>
  <c r="R51" i="2157"/>
  <c r="D50" i="2157"/>
  <c r="R49" i="2157"/>
  <c r="D49" i="2157"/>
  <c r="R48" i="2157"/>
  <c r="D48" i="2157"/>
  <c r="D46" i="2157"/>
  <c r="D45" i="2157"/>
  <c r="R44" i="2157"/>
  <c r="D44" i="2157"/>
  <c r="R42" i="2157"/>
  <c r="D42" i="2157"/>
  <c r="R41" i="2157"/>
  <c r="L7" i="2157" s="1"/>
  <c r="D7" i="2157" s="1"/>
  <c r="D41" i="2157"/>
  <c r="R40" i="2157"/>
  <c r="D40" i="2157"/>
  <c r="R39" i="2157"/>
  <c r="H39" i="2157"/>
  <c r="D39" i="2157"/>
  <c r="R38" i="2157"/>
  <c r="L9" i="2157" s="1"/>
  <c r="D9" i="2157" s="1"/>
  <c r="H38" i="2157"/>
  <c r="D38" i="2157"/>
  <c r="R37" i="2157"/>
  <c r="H37" i="2157"/>
  <c r="D37" i="2157"/>
  <c r="R36" i="2157"/>
  <c r="L10" i="2157" s="1"/>
  <c r="D10" i="2157" s="1"/>
  <c r="H36" i="2157"/>
  <c r="D36" i="2157"/>
  <c r="D54" i="2157" s="1"/>
  <c r="H14" i="2157" s="1"/>
  <c r="R35" i="2157"/>
  <c r="L18" i="2157" s="1"/>
  <c r="D18" i="2157" s="1"/>
  <c r="H35" i="2157"/>
  <c r="D35" i="2157"/>
  <c r="R34" i="2157"/>
  <c r="H34" i="2157"/>
  <c r="G49" i="2157" s="1"/>
  <c r="D34" i="2157"/>
  <c r="R33" i="2157"/>
  <c r="L19" i="2157" s="1"/>
  <c r="D19" i="2157" s="1"/>
  <c r="R32" i="2157"/>
  <c r="L11" i="2157" s="1"/>
  <c r="D11" i="2157" s="1"/>
  <c r="R31" i="2157"/>
  <c r="R30" i="2157"/>
  <c r="R29" i="2157"/>
  <c r="R28" i="2157"/>
  <c r="L28" i="2157"/>
  <c r="D28" i="2157"/>
  <c r="R27" i="2157"/>
  <c r="L27" i="2157"/>
  <c r="D27" i="2157"/>
  <c r="R26" i="2157"/>
  <c r="L26" i="2157"/>
  <c r="D26" i="2157" s="1"/>
  <c r="R25" i="2157"/>
  <c r="L25" i="2157"/>
  <c r="D25" i="2157"/>
  <c r="R24" i="2157"/>
  <c r="L24" i="2157"/>
  <c r="D24" i="2157" s="1"/>
  <c r="R23" i="2157"/>
  <c r="L23" i="2157"/>
  <c r="D23" i="2157" s="1"/>
  <c r="R22" i="2157"/>
  <c r="L20" i="2157" s="1"/>
  <c r="D20" i="2157" s="1"/>
  <c r="L22" i="2157"/>
  <c r="D22" i="2157" s="1"/>
  <c r="R21" i="2157"/>
  <c r="L21" i="2157"/>
  <c r="D21" i="2157"/>
  <c r="R20" i="2157"/>
  <c r="R19" i="2157"/>
  <c r="R18" i="2157"/>
  <c r="R17" i="2157"/>
  <c r="L17" i="2157"/>
  <c r="D17" i="2157" s="1"/>
  <c r="R16" i="2157"/>
  <c r="R15" i="2157"/>
  <c r="R14" i="2157"/>
  <c r="D14" i="2157"/>
  <c r="R13" i="2157"/>
  <c r="D13" i="2157"/>
  <c r="R12" i="2157"/>
  <c r="L12" i="2157"/>
  <c r="D12" i="2157" s="1"/>
  <c r="R11" i="2157"/>
  <c r="L8" i="2157"/>
  <c r="D8" i="2157" s="1"/>
  <c r="R6" i="2157"/>
  <c r="L16" i="2157" s="1"/>
  <c r="D16" i="2157" s="1"/>
  <c r="L6" i="2157"/>
  <c r="D6" i="2157"/>
  <c r="R5" i="2157"/>
  <c r="R4" i="2157"/>
  <c r="L15" i="2157" s="1"/>
  <c r="D15" i="2157" s="1"/>
  <c r="D54" i="2156"/>
  <c r="H14" i="2156" s="1"/>
  <c r="R52" i="2156"/>
  <c r="R51" i="2156"/>
  <c r="D50" i="2156"/>
  <c r="R49" i="2156"/>
  <c r="G49" i="2156"/>
  <c r="D49" i="2156"/>
  <c r="R48" i="2156"/>
  <c r="D48" i="2156"/>
  <c r="D46" i="2156"/>
  <c r="D45" i="2156"/>
  <c r="D44" i="2156"/>
  <c r="R42" i="2156"/>
  <c r="L6" i="2156" s="1"/>
  <c r="D6" i="2156" s="1"/>
  <c r="D42" i="2156"/>
  <c r="R41" i="2156"/>
  <c r="L7" i="2156" s="1"/>
  <c r="D7" i="2156" s="1"/>
  <c r="D41" i="2156"/>
  <c r="R40" i="2156"/>
  <c r="D40" i="2156"/>
  <c r="R39" i="2156"/>
  <c r="D39" i="2156"/>
  <c r="R38" i="2156"/>
  <c r="D38" i="2156"/>
  <c r="R37" i="2156"/>
  <c r="D37" i="2156"/>
  <c r="R36" i="2156"/>
  <c r="L10" i="2156" s="1"/>
  <c r="D10" i="2156" s="1"/>
  <c r="D36" i="2156"/>
  <c r="R35" i="2156"/>
  <c r="D35" i="2156"/>
  <c r="R34" i="2156"/>
  <c r="L12" i="2156" s="1"/>
  <c r="D12" i="2156" s="1"/>
  <c r="D34" i="2156"/>
  <c r="R33" i="2156"/>
  <c r="L23" i="2156" s="1"/>
  <c r="D23" i="2156" s="1"/>
  <c r="R32" i="2156"/>
  <c r="L11" i="2156" s="1"/>
  <c r="D11" i="2156" s="1"/>
  <c r="R31" i="2156"/>
  <c r="R30" i="2156"/>
  <c r="R29" i="2156"/>
  <c r="R28" i="2156"/>
  <c r="D28" i="2156"/>
  <c r="R27" i="2156"/>
  <c r="D27" i="2156"/>
  <c r="R26" i="2156"/>
  <c r="L26" i="2156"/>
  <c r="D26" i="2156"/>
  <c r="R25" i="2156"/>
  <c r="L25" i="2156"/>
  <c r="D25" i="2156"/>
  <c r="R24" i="2156"/>
  <c r="D24" i="2156"/>
  <c r="R23" i="2156"/>
  <c r="R22" i="2156"/>
  <c r="L22" i="2156"/>
  <c r="D22" i="2156"/>
  <c r="R21" i="2156"/>
  <c r="D21" i="2156"/>
  <c r="R20" i="2156"/>
  <c r="L20" i="2156"/>
  <c r="D20" i="2156"/>
  <c r="R19" i="2156"/>
  <c r="L19" i="2156"/>
  <c r="D19" i="2156"/>
  <c r="R18" i="2156"/>
  <c r="D18" i="2156"/>
  <c r="R17" i="2156"/>
  <c r="D17" i="2156"/>
  <c r="R16" i="2156"/>
  <c r="L16" i="2156"/>
  <c r="D16" i="2156" s="1"/>
  <c r="S15" i="2156"/>
  <c r="R15" i="2156"/>
  <c r="D15" i="2156"/>
  <c r="S14" i="2156"/>
  <c r="R14" i="2156"/>
  <c r="D14" i="2156"/>
  <c r="R13" i="2156"/>
  <c r="D13" i="2156"/>
  <c r="R12" i="2156"/>
  <c r="R11" i="2156"/>
  <c r="L9" i="2156"/>
  <c r="D9" i="2156"/>
  <c r="L8" i="2156"/>
  <c r="D8" i="2156"/>
  <c r="R6" i="2156"/>
  <c r="R5" i="2156"/>
  <c r="R4" i="2156"/>
  <c r="G51" i="2168" l="1"/>
  <c r="H15" i="2169"/>
  <c r="H29" i="2169" s="1"/>
  <c r="G51" i="2169" s="1"/>
  <c r="H15" i="2165"/>
  <c r="H29" i="2165" s="1"/>
  <c r="G51" i="2165" s="1"/>
  <c r="H15" i="2164"/>
  <c r="H29" i="2164" s="1"/>
  <c r="G51" i="2164" s="1"/>
  <c r="H15" i="2163"/>
  <c r="H29" i="2163" s="1"/>
  <c r="G51" i="2163" s="1"/>
  <c r="H15" i="2161"/>
  <c r="H29" i="2161" s="1"/>
  <c r="G51" i="2161" s="1"/>
  <c r="H15" i="2160"/>
  <c r="H29" i="2160" s="1"/>
  <c r="G51" i="2160" s="1"/>
  <c r="H15" i="2159"/>
  <c r="H29" i="2159" s="1"/>
  <c r="G51" i="2159" s="1"/>
  <c r="D29" i="2157"/>
  <c r="H13" i="2157" s="1"/>
  <c r="H15" i="2157" s="1"/>
  <c r="H29" i="2157" s="1"/>
  <c r="G51" i="2157" s="1"/>
  <c r="D29" i="2156"/>
  <c r="H13" i="2156" s="1"/>
  <c r="H15" i="2156" s="1"/>
  <c r="H29" i="2156" s="1"/>
  <c r="G51" i="2156" s="1"/>
  <c r="C15" i="2145"/>
  <c r="C16" i="2139" l="1"/>
  <c r="C16" i="2137"/>
  <c r="C12" i="2131" l="1"/>
  <c r="C16" i="2130"/>
  <c r="C12" i="2129"/>
  <c r="C16" i="2129"/>
  <c r="C12" i="2122" l="1"/>
  <c r="C16" i="2117" l="1"/>
  <c r="C16" i="2118" l="1"/>
  <c r="H16" i="2118"/>
  <c r="L27" i="2118" l="1"/>
  <c r="C16" i="2112" l="1"/>
  <c r="L25" i="2110" l="1"/>
  <c r="C17" i="2110" l="1"/>
  <c r="L21" i="2110"/>
  <c r="C18" i="2110"/>
  <c r="C12" i="2110"/>
  <c r="L26" i="2110"/>
  <c r="C16" i="2110"/>
  <c r="C15" i="2110"/>
  <c r="L24" i="2110" l="1"/>
  <c r="H16" i="2089" l="1"/>
  <c r="L23" i="2087"/>
  <c r="L21" i="2087"/>
  <c r="R52" i="2155" l="1"/>
  <c r="R51" i="2155"/>
  <c r="D50" i="2155"/>
  <c r="R49" i="2155"/>
  <c r="D49" i="2155"/>
  <c r="R48" i="2155"/>
  <c r="D48" i="2155"/>
  <c r="D46" i="2155"/>
  <c r="D45" i="2155"/>
  <c r="R44" i="2155"/>
  <c r="L28" i="2155" s="1"/>
  <c r="D28" i="2155" s="1"/>
  <c r="D44" i="2155"/>
  <c r="R42" i="2155"/>
  <c r="D42" i="2155"/>
  <c r="R41" i="2155"/>
  <c r="L7" i="2155" s="1"/>
  <c r="D7" i="2155" s="1"/>
  <c r="D41" i="2155"/>
  <c r="R40" i="2155"/>
  <c r="D40" i="2155"/>
  <c r="R39" i="2155"/>
  <c r="H39" i="2155"/>
  <c r="D39" i="2155"/>
  <c r="R38" i="2155"/>
  <c r="H38" i="2155"/>
  <c r="D38" i="2155"/>
  <c r="R37" i="2155"/>
  <c r="H37" i="2155"/>
  <c r="D37" i="2155"/>
  <c r="R36" i="2155"/>
  <c r="H36" i="2155"/>
  <c r="D36" i="2155"/>
  <c r="R35" i="2155"/>
  <c r="H35" i="2155"/>
  <c r="D35" i="2155"/>
  <c r="R34" i="2155"/>
  <c r="L12" i="2155" s="1"/>
  <c r="D12" i="2155" s="1"/>
  <c r="H34" i="2155"/>
  <c r="D34" i="2155"/>
  <c r="R33" i="2155"/>
  <c r="L19" i="2155" s="1"/>
  <c r="D19" i="2155" s="1"/>
  <c r="R32" i="2155"/>
  <c r="L11" i="2155" s="1"/>
  <c r="D11" i="2155" s="1"/>
  <c r="R31" i="2155"/>
  <c r="R30" i="2155"/>
  <c r="R29" i="2155"/>
  <c r="R28" i="2155"/>
  <c r="R27" i="2155"/>
  <c r="L27" i="2155"/>
  <c r="D27" i="2155"/>
  <c r="R26" i="2155"/>
  <c r="L26" i="2155"/>
  <c r="D26" i="2155"/>
  <c r="R25" i="2155"/>
  <c r="L25" i="2155"/>
  <c r="D25" i="2155" s="1"/>
  <c r="R24" i="2155"/>
  <c r="L24" i="2155"/>
  <c r="D24" i="2155"/>
  <c r="R23" i="2155"/>
  <c r="L23" i="2155"/>
  <c r="D23" i="2155" s="1"/>
  <c r="R22" i="2155"/>
  <c r="L22" i="2155"/>
  <c r="D22" i="2155" s="1"/>
  <c r="R21" i="2155"/>
  <c r="L21" i="2155"/>
  <c r="D21" i="2155" s="1"/>
  <c r="R20" i="2155"/>
  <c r="L20" i="2155"/>
  <c r="D20" i="2155" s="1"/>
  <c r="R19" i="2155"/>
  <c r="R18" i="2155"/>
  <c r="L18" i="2155"/>
  <c r="D18" i="2155" s="1"/>
  <c r="R17" i="2155"/>
  <c r="L17" i="2155"/>
  <c r="D17" i="2155" s="1"/>
  <c r="R16" i="2155"/>
  <c r="R15" i="2155"/>
  <c r="L15" i="2155"/>
  <c r="D15" i="2155" s="1"/>
  <c r="R14" i="2155"/>
  <c r="D14" i="2155"/>
  <c r="R13" i="2155"/>
  <c r="D13" i="2155"/>
  <c r="R12" i="2155"/>
  <c r="R11" i="2155"/>
  <c r="L10" i="2155"/>
  <c r="D10" i="2155"/>
  <c r="L9" i="2155"/>
  <c r="D9" i="2155" s="1"/>
  <c r="L8" i="2155"/>
  <c r="D8" i="2155" s="1"/>
  <c r="R6" i="2155"/>
  <c r="L16" i="2155" s="1"/>
  <c r="D16" i="2155" s="1"/>
  <c r="L6" i="2155"/>
  <c r="D6" i="2155" s="1"/>
  <c r="R5" i="2155"/>
  <c r="R4" i="2155"/>
  <c r="R52" i="2154"/>
  <c r="R51" i="2154"/>
  <c r="D50" i="2154"/>
  <c r="R49" i="2154"/>
  <c r="D49" i="2154"/>
  <c r="R48" i="2154"/>
  <c r="D48" i="2154"/>
  <c r="D46" i="2154"/>
  <c r="D45" i="2154"/>
  <c r="R44" i="2154"/>
  <c r="D44" i="2154"/>
  <c r="R42" i="2154"/>
  <c r="L6" i="2154" s="1"/>
  <c r="D6" i="2154" s="1"/>
  <c r="D42" i="2154"/>
  <c r="R41" i="2154"/>
  <c r="L7" i="2154" s="1"/>
  <c r="D7" i="2154" s="1"/>
  <c r="D41" i="2154"/>
  <c r="R40" i="2154"/>
  <c r="D40" i="2154"/>
  <c r="R39" i="2154"/>
  <c r="H39" i="2154"/>
  <c r="D39" i="2154"/>
  <c r="R38" i="2154"/>
  <c r="L9" i="2154" s="1"/>
  <c r="D9" i="2154" s="1"/>
  <c r="H38" i="2154"/>
  <c r="D38" i="2154"/>
  <c r="R37" i="2154"/>
  <c r="H37" i="2154"/>
  <c r="D37" i="2154"/>
  <c r="R36" i="2154"/>
  <c r="L10" i="2154" s="1"/>
  <c r="D10" i="2154" s="1"/>
  <c r="H36" i="2154"/>
  <c r="D36" i="2154"/>
  <c r="R35" i="2154"/>
  <c r="L18" i="2154" s="1"/>
  <c r="D18" i="2154" s="1"/>
  <c r="H35" i="2154"/>
  <c r="D35" i="2154"/>
  <c r="R34" i="2154"/>
  <c r="H34" i="2154"/>
  <c r="D34" i="2154"/>
  <c r="R33" i="2154"/>
  <c r="L19" i="2154" s="1"/>
  <c r="D19" i="2154" s="1"/>
  <c r="R32" i="2154"/>
  <c r="R31" i="2154"/>
  <c r="R30" i="2154"/>
  <c r="R29" i="2154"/>
  <c r="R28" i="2154"/>
  <c r="L28" i="2154"/>
  <c r="D28" i="2154"/>
  <c r="R27" i="2154"/>
  <c r="L27" i="2154"/>
  <c r="D27" i="2154" s="1"/>
  <c r="R26" i="2154"/>
  <c r="L26" i="2154"/>
  <c r="D26" i="2154"/>
  <c r="R25" i="2154"/>
  <c r="L25" i="2154"/>
  <c r="D25" i="2154" s="1"/>
  <c r="R24" i="2154"/>
  <c r="L24" i="2154"/>
  <c r="D24" i="2154"/>
  <c r="R23" i="2154"/>
  <c r="L23" i="2154"/>
  <c r="D23" i="2154"/>
  <c r="R22" i="2154"/>
  <c r="L22" i="2154"/>
  <c r="D22" i="2154"/>
  <c r="R21" i="2154"/>
  <c r="L17" i="2154" s="1"/>
  <c r="D17" i="2154" s="1"/>
  <c r="D21" i="2154"/>
  <c r="R20" i="2154"/>
  <c r="L20" i="2154"/>
  <c r="D20" i="2154"/>
  <c r="R19" i="2154"/>
  <c r="R18" i="2154"/>
  <c r="R17" i="2154"/>
  <c r="R16" i="2154"/>
  <c r="L16" i="2154"/>
  <c r="D16" i="2154" s="1"/>
  <c r="R15" i="2154"/>
  <c r="R14" i="2154"/>
  <c r="D14" i="2154"/>
  <c r="R13" i="2154"/>
  <c r="D13" i="2154"/>
  <c r="R12" i="2154"/>
  <c r="L12" i="2154"/>
  <c r="D12" i="2154"/>
  <c r="R11" i="2154"/>
  <c r="L11" i="2154"/>
  <c r="D11" i="2154" s="1"/>
  <c r="L8" i="2154"/>
  <c r="D8" i="2154" s="1"/>
  <c r="R6" i="2154"/>
  <c r="R5" i="2154"/>
  <c r="R4" i="2154"/>
  <c r="L15" i="2154" s="1"/>
  <c r="D15" i="2154" s="1"/>
  <c r="R52" i="2153"/>
  <c r="R51" i="2153"/>
  <c r="D50" i="2153"/>
  <c r="R49" i="2153"/>
  <c r="D49" i="2153"/>
  <c r="R48" i="2153"/>
  <c r="D48" i="2153"/>
  <c r="D46" i="2153"/>
  <c r="D45" i="2153"/>
  <c r="R44" i="2153"/>
  <c r="D44" i="2153"/>
  <c r="R42" i="2153"/>
  <c r="L6" i="2153" s="1"/>
  <c r="D6" i="2153" s="1"/>
  <c r="D42" i="2153"/>
  <c r="R41" i="2153"/>
  <c r="L7" i="2153" s="1"/>
  <c r="D7" i="2153" s="1"/>
  <c r="D41" i="2153"/>
  <c r="R40" i="2153"/>
  <c r="L8" i="2153" s="1"/>
  <c r="D8" i="2153" s="1"/>
  <c r="D40" i="2153"/>
  <c r="R39" i="2153"/>
  <c r="H39" i="2153"/>
  <c r="D39" i="2153"/>
  <c r="R38" i="2153"/>
  <c r="H38" i="2153"/>
  <c r="D38" i="2153"/>
  <c r="R37" i="2153"/>
  <c r="H37" i="2153"/>
  <c r="D37" i="2153"/>
  <c r="R36" i="2153"/>
  <c r="L10" i="2153" s="1"/>
  <c r="D10" i="2153" s="1"/>
  <c r="H36" i="2153"/>
  <c r="D36" i="2153"/>
  <c r="R35" i="2153"/>
  <c r="L18" i="2153" s="1"/>
  <c r="D18" i="2153" s="1"/>
  <c r="H35" i="2153"/>
  <c r="D35" i="2153"/>
  <c r="R34" i="2153"/>
  <c r="H34" i="2153"/>
  <c r="D34" i="2153"/>
  <c r="R33" i="2153"/>
  <c r="R32" i="2153"/>
  <c r="R31" i="2153"/>
  <c r="R30" i="2153"/>
  <c r="R29" i="2153"/>
  <c r="R28" i="2153"/>
  <c r="L28" i="2153"/>
  <c r="D28" i="2153"/>
  <c r="R27" i="2153"/>
  <c r="L27" i="2153"/>
  <c r="D27" i="2153"/>
  <c r="R26" i="2153"/>
  <c r="L26" i="2153"/>
  <c r="D26" i="2153"/>
  <c r="R25" i="2153"/>
  <c r="L25" i="2153"/>
  <c r="D25" i="2153"/>
  <c r="R24" i="2153"/>
  <c r="L24" i="2153"/>
  <c r="D24" i="2153"/>
  <c r="R23" i="2153"/>
  <c r="L23" i="2153"/>
  <c r="D23" i="2153"/>
  <c r="R22" i="2153"/>
  <c r="L20" i="2153" s="1"/>
  <c r="D20" i="2153" s="1"/>
  <c r="L22" i="2153"/>
  <c r="D22" i="2153" s="1"/>
  <c r="R21" i="2153"/>
  <c r="L21" i="2153"/>
  <c r="D21" i="2153" s="1"/>
  <c r="R20" i="2153"/>
  <c r="R19" i="2153"/>
  <c r="L19" i="2153"/>
  <c r="D19" i="2153" s="1"/>
  <c r="R18" i="2153"/>
  <c r="R17" i="2153"/>
  <c r="L17" i="2153"/>
  <c r="D17" i="2153" s="1"/>
  <c r="R16" i="2153"/>
  <c r="L16" i="2153"/>
  <c r="D16" i="2153" s="1"/>
  <c r="R15" i="2153"/>
  <c r="R14" i="2153"/>
  <c r="D14" i="2153"/>
  <c r="R13" i="2153"/>
  <c r="D13" i="2153"/>
  <c r="R12" i="2153"/>
  <c r="L12" i="2153"/>
  <c r="D12" i="2153"/>
  <c r="R11" i="2153"/>
  <c r="L11" i="2153"/>
  <c r="D11" i="2153" s="1"/>
  <c r="L9" i="2153"/>
  <c r="D9" i="2153" s="1"/>
  <c r="R6" i="2153"/>
  <c r="R5" i="2153"/>
  <c r="R4" i="2153"/>
  <c r="L15" i="2153" s="1"/>
  <c r="D15" i="2153" s="1"/>
  <c r="R52" i="2152"/>
  <c r="R51" i="2152"/>
  <c r="D50" i="2152"/>
  <c r="R49" i="2152"/>
  <c r="G49" i="2152"/>
  <c r="D49" i="2152"/>
  <c r="R48" i="2152"/>
  <c r="D48" i="2152"/>
  <c r="D46" i="2152"/>
  <c r="D45" i="2152"/>
  <c r="D44" i="2152"/>
  <c r="R42" i="2152"/>
  <c r="D42" i="2152"/>
  <c r="R41" i="2152"/>
  <c r="D41" i="2152"/>
  <c r="R40" i="2152"/>
  <c r="D40" i="2152"/>
  <c r="R39" i="2152"/>
  <c r="D39" i="2152"/>
  <c r="R38" i="2152"/>
  <c r="L9" i="2152" s="1"/>
  <c r="D9" i="2152" s="1"/>
  <c r="D38" i="2152"/>
  <c r="R37" i="2152"/>
  <c r="D37" i="2152"/>
  <c r="R36" i="2152"/>
  <c r="L10" i="2152" s="1"/>
  <c r="D10" i="2152" s="1"/>
  <c r="D36" i="2152"/>
  <c r="R35" i="2152"/>
  <c r="D35" i="2152"/>
  <c r="R34" i="2152"/>
  <c r="D34" i="2152"/>
  <c r="D54" i="2152" s="1"/>
  <c r="H14" i="2152" s="1"/>
  <c r="R33" i="2152"/>
  <c r="L23" i="2152" s="1"/>
  <c r="D23" i="2152" s="1"/>
  <c r="R32" i="2152"/>
  <c r="R31" i="2152"/>
  <c r="R30" i="2152"/>
  <c r="R29" i="2152"/>
  <c r="R28" i="2152"/>
  <c r="L16" i="2152" s="1"/>
  <c r="D16" i="2152" s="1"/>
  <c r="D28" i="2152"/>
  <c r="R27" i="2152"/>
  <c r="D27" i="2152"/>
  <c r="R26" i="2152"/>
  <c r="L26" i="2152"/>
  <c r="D26" i="2152"/>
  <c r="R25" i="2152"/>
  <c r="L25" i="2152"/>
  <c r="D25" i="2152" s="1"/>
  <c r="R24" i="2152"/>
  <c r="D24" i="2152"/>
  <c r="R23" i="2152"/>
  <c r="R22" i="2152"/>
  <c r="L22" i="2152"/>
  <c r="D22" i="2152" s="1"/>
  <c r="R21" i="2152"/>
  <c r="D21" i="2152"/>
  <c r="R20" i="2152"/>
  <c r="L20" i="2152"/>
  <c r="D20" i="2152"/>
  <c r="R19" i="2152"/>
  <c r="L19" i="2152"/>
  <c r="D19" i="2152" s="1"/>
  <c r="R18" i="2152"/>
  <c r="D18" i="2152"/>
  <c r="R17" i="2152"/>
  <c r="D17" i="2152"/>
  <c r="R16" i="2152"/>
  <c r="S15" i="2152"/>
  <c r="R15" i="2152"/>
  <c r="D15" i="2152"/>
  <c r="S14" i="2152"/>
  <c r="R14" i="2152"/>
  <c r="D14" i="2152"/>
  <c r="R13" i="2152"/>
  <c r="D13" i="2152"/>
  <c r="R12" i="2152"/>
  <c r="L12" i="2152"/>
  <c r="D12" i="2152"/>
  <c r="R11" i="2152"/>
  <c r="L11" i="2152"/>
  <c r="D11" i="2152" s="1"/>
  <c r="L8" i="2152"/>
  <c r="D8" i="2152" s="1"/>
  <c r="L7" i="2152"/>
  <c r="D7" i="2152" s="1"/>
  <c r="R6" i="2152"/>
  <c r="L6" i="2152"/>
  <c r="D6" i="2152" s="1"/>
  <c r="D29" i="2152" s="1"/>
  <c r="H13" i="2152" s="1"/>
  <c r="H15" i="2152" s="1"/>
  <c r="H29" i="2152" s="1"/>
  <c r="R5" i="2152"/>
  <c r="R4" i="2152"/>
  <c r="R52" i="2151"/>
  <c r="R51" i="2151"/>
  <c r="D50" i="2151"/>
  <c r="R49" i="2151"/>
  <c r="D49" i="2151"/>
  <c r="R48" i="2151"/>
  <c r="D48" i="2151"/>
  <c r="D46" i="2151"/>
  <c r="D45" i="2151"/>
  <c r="R44" i="2151"/>
  <c r="D44" i="2151"/>
  <c r="R42" i="2151"/>
  <c r="D42" i="2151"/>
  <c r="R41" i="2151"/>
  <c r="D41" i="2151"/>
  <c r="R40" i="2151"/>
  <c r="D40" i="2151"/>
  <c r="R39" i="2151"/>
  <c r="H39" i="2151"/>
  <c r="D39" i="2151"/>
  <c r="R38" i="2151"/>
  <c r="H38" i="2151"/>
  <c r="D38" i="2151"/>
  <c r="R37" i="2151"/>
  <c r="H37" i="2151"/>
  <c r="D37" i="2151"/>
  <c r="R36" i="2151"/>
  <c r="L10" i="2151" s="1"/>
  <c r="D10" i="2151" s="1"/>
  <c r="H36" i="2151"/>
  <c r="D36" i="2151"/>
  <c r="R35" i="2151"/>
  <c r="L18" i="2151" s="1"/>
  <c r="D18" i="2151" s="1"/>
  <c r="H35" i="2151"/>
  <c r="D35" i="2151"/>
  <c r="R34" i="2151"/>
  <c r="H34" i="2151"/>
  <c r="D34" i="2151"/>
  <c r="R33" i="2151"/>
  <c r="L19" i="2151" s="1"/>
  <c r="D19" i="2151" s="1"/>
  <c r="R32" i="2151"/>
  <c r="L11" i="2151" s="1"/>
  <c r="D11" i="2151" s="1"/>
  <c r="R31" i="2151"/>
  <c r="R30" i="2151"/>
  <c r="R29" i="2151"/>
  <c r="R28" i="2151"/>
  <c r="L28" i="2151"/>
  <c r="D28" i="2151"/>
  <c r="R27" i="2151"/>
  <c r="L27" i="2151"/>
  <c r="D27" i="2151"/>
  <c r="R26" i="2151"/>
  <c r="L26" i="2151"/>
  <c r="D26" i="2151"/>
  <c r="R25" i="2151"/>
  <c r="L25" i="2151"/>
  <c r="D25" i="2151" s="1"/>
  <c r="R24" i="2151"/>
  <c r="L24" i="2151"/>
  <c r="D24" i="2151" s="1"/>
  <c r="R23" i="2151"/>
  <c r="L23" i="2151"/>
  <c r="D23" i="2151" s="1"/>
  <c r="R22" i="2151"/>
  <c r="L22" i="2151"/>
  <c r="D22" i="2151" s="1"/>
  <c r="R21" i="2151"/>
  <c r="L21" i="2151"/>
  <c r="D21" i="2151"/>
  <c r="R20" i="2151"/>
  <c r="L20" i="2151"/>
  <c r="D20" i="2151" s="1"/>
  <c r="R19" i="2151"/>
  <c r="R18" i="2151"/>
  <c r="R17" i="2151"/>
  <c r="L17" i="2151"/>
  <c r="D17" i="2151" s="1"/>
  <c r="R16" i="2151"/>
  <c r="L16" i="2151"/>
  <c r="D16" i="2151" s="1"/>
  <c r="R15" i="2151"/>
  <c r="L15" i="2151"/>
  <c r="D15" i="2151"/>
  <c r="R14" i="2151"/>
  <c r="D14" i="2151"/>
  <c r="R13" i="2151"/>
  <c r="D13" i="2151"/>
  <c r="R12" i="2151"/>
  <c r="L12" i="2151"/>
  <c r="D12" i="2151" s="1"/>
  <c r="R11" i="2151"/>
  <c r="L9" i="2151"/>
  <c r="D9" i="2151" s="1"/>
  <c r="L8" i="2151"/>
  <c r="D8" i="2151" s="1"/>
  <c r="L7" i="2151"/>
  <c r="D7" i="2151" s="1"/>
  <c r="R6" i="2151"/>
  <c r="L6" i="2151"/>
  <c r="D6" i="2151" s="1"/>
  <c r="R5" i="2151"/>
  <c r="R4" i="2151"/>
  <c r="R52" i="2150"/>
  <c r="R51" i="2150"/>
  <c r="D50" i="2150"/>
  <c r="R49" i="2150"/>
  <c r="D49" i="2150"/>
  <c r="R48" i="2150"/>
  <c r="D48" i="2150"/>
  <c r="D46" i="2150"/>
  <c r="D45" i="2150"/>
  <c r="R44" i="2150"/>
  <c r="D44" i="2150"/>
  <c r="R42" i="2150"/>
  <c r="D42" i="2150"/>
  <c r="R41" i="2150"/>
  <c r="L7" i="2150" s="1"/>
  <c r="D7" i="2150" s="1"/>
  <c r="D41" i="2150"/>
  <c r="R40" i="2150"/>
  <c r="D40" i="2150"/>
  <c r="R39" i="2150"/>
  <c r="H39" i="2150"/>
  <c r="D39" i="2150"/>
  <c r="R38" i="2150"/>
  <c r="H38" i="2150"/>
  <c r="D38" i="2150"/>
  <c r="R37" i="2150"/>
  <c r="H37" i="2150"/>
  <c r="D37" i="2150"/>
  <c r="R36" i="2150"/>
  <c r="H36" i="2150"/>
  <c r="D36" i="2150"/>
  <c r="R35" i="2150"/>
  <c r="L18" i="2150" s="1"/>
  <c r="D18" i="2150" s="1"/>
  <c r="H35" i="2150"/>
  <c r="G49" i="2150" s="1"/>
  <c r="D35" i="2150"/>
  <c r="R34" i="2150"/>
  <c r="L12" i="2150" s="1"/>
  <c r="D12" i="2150" s="1"/>
  <c r="H34" i="2150"/>
  <c r="D34" i="2150"/>
  <c r="R33" i="2150"/>
  <c r="L19" i="2150" s="1"/>
  <c r="D19" i="2150" s="1"/>
  <c r="R32" i="2150"/>
  <c r="L11" i="2150" s="1"/>
  <c r="D11" i="2150" s="1"/>
  <c r="R31" i="2150"/>
  <c r="R30" i="2150"/>
  <c r="R29" i="2150"/>
  <c r="R28" i="2150"/>
  <c r="L28" i="2150"/>
  <c r="D28" i="2150"/>
  <c r="R27" i="2150"/>
  <c r="L27" i="2150"/>
  <c r="D27" i="2150"/>
  <c r="R26" i="2150"/>
  <c r="L26" i="2150"/>
  <c r="D26" i="2150"/>
  <c r="R25" i="2150"/>
  <c r="L25" i="2150"/>
  <c r="D25" i="2150" s="1"/>
  <c r="R24" i="2150"/>
  <c r="L24" i="2150"/>
  <c r="D24" i="2150"/>
  <c r="R23" i="2150"/>
  <c r="L23" i="2150"/>
  <c r="D23" i="2150" s="1"/>
  <c r="R22" i="2150"/>
  <c r="L22" i="2150"/>
  <c r="D22" i="2150" s="1"/>
  <c r="R21" i="2150"/>
  <c r="L17" i="2150" s="1"/>
  <c r="D17" i="2150" s="1"/>
  <c r="D21" i="2150"/>
  <c r="R20" i="2150"/>
  <c r="L20" i="2150"/>
  <c r="D20" i="2150"/>
  <c r="R19" i="2150"/>
  <c r="R18" i="2150"/>
  <c r="R17" i="2150"/>
  <c r="R16" i="2150"/>
  <c r="R15" i="2150"/>
  <c r="L15" i="2150"/>
  <c r="D15" i="2150"/>
  <c r="R14" i="2150"/>
  <c r="D14" i="2150"/>
  <c r="R13" i="2150"/>
  <c r="D13" i="2150"/>
  <c r="R12" i="2150"/>
  <c r="R11" i="2150"/>
  <c r="L10" i="2150"/>
  <c r="D10" i="2150"/>
  <c r="L9" i="2150"/>
  <c r="D9" i="2150"/>
  <c r="L8" i="2150"/>
  <c r="D8" i="2150" s="1"/>
  <c r="R6" i="2150"/>
  <c r="L16" i="2150" s="1"/>
  <c r="D16" i="2150" s="1"/>
  <c r="L6" i="2150"/>
  <c r="D6" i="2150"/>
  <c r="R5" i="2150"/>
  <c r="R4" i="2150"/>
  <c r="R52" i="2149"/>
  <c r="R51" i="2149"/>
  <c r="D50" i="2149"/>
  <c r="R49" i="2149"/>
  <c r="D49" i="2149"/>
  <c r="R48" i="2149"/>
  <c r="D48" i="2149"/>
  <c r="D46" i="2149"/>
  <c r="D45" i="2149"/>
  <c r="R44" i="2149"/>
  <c r="L28" i="2149" s="1"/>
  <c r="D28" i="2149" s="1"/>
  <c r="D44" i="2149"/>
  <c r="R42" i="2149"/>
  <c r="D42" i="2149"/>
  <c r="R41" i="2149"/>
  <c r="L7" i="2149" s="1"/>
  <c r="D7" i="2149" s="1"/>
  <c r="D41" i="2149"/>
  <c r="R40" i="2149"/>
  <c r="L8" i="2149" s="1"/>
  <c r="D8" i="2149" s="1"/>
  <c r="D40" i="2149"/>
  <c r="R39" i="2149"/>
  <c r="H39" i="2149"/>
  <c r="D39" i="2149"/>
  <c r="R38" i="2149"/>
  <c r="H38" i="2149"/>
  <c r="D38" i="2149"/>
  <c r="R37" i="2149"/>
  <c r="H37" i="2149"/>
  <c r="D37" i="2149"/>
  <c r="R36" i="2149"/>
  <c r="H36" i="2149"/>
  <c r="D36" i="2149"/>
  <c r="R35" i="2149"/>
  <c r="H35" i="2149"/>
  <c r="D35" i="2149"/>
  <c r="R34" i="2149"/>
  <c r="L12" i="2149" s="1"/>
  <c r="D12" i="2149" s="1"/>
  <c r="H34" i="2149"/>
  <c r="D34" i="2149"/>
  <c r="R33" i="2149"/>
  <c r="L19" i="2149" s="1"/>
  <c r="D19" i="2149" s="1"/>
  <c r="R32" i="2149"/>
  <c r="R31" i="2149"/>
  <c r="R30" i="2149"/>
  <c r="R29" i="2149"/>
  <c r="R28" i="2149"/>
  <c r="R27" i="2149"/>
  <c r="L27" i="2149"/>
  <c r="D27" i="2149"/>
  <c r="R26" i="2149"/>
  <c r="L26" i="2149"/>
  <c r="D26" i="2149"/>
  <c r="R25" i="2149"/>
  <c r="L25" i="2149"/>
  <c r="D25" i="2149" s="1"/>
  <c r="R24" i="2149"/>
  <c r="L24" i="2149"/>
  <c r="D24" i="2149"/>
  <c r="R23" i="2149"/>
  <c r="L23" i="2149"/>
  <c r="D23" i="2149"/>
  <c r="R22" i="2149"/>
  <c r="L22" i="2149"/>
  <c r="D22" i="2149"/>
  <c r="R21" i="2149"/>
  <c r="L17" i="2149" s="1"/>
  <c r="D17" i="2149" s="1"/>
  <c r="L21" i="2149"/>
  <c r="D21" i="2149" s="1"/>
  <c r="R20" i="2149"/>
  <c r="L20" i="2149"/>
  <c r="D20" i="2149" s="1"/>
  <c r="R19" i="2149"/>
  <c r="R18" i="2149"/>
  <c r="L18" i="2149"/>
  <c r="D18" i="2149" s="1"/>
  <c r="R17" i="2149"/>
  <c r="R16" i="2149"/>
  <c r="L16" i="2149"/>
  <c r="D16" i="2149" s="1"/>
  <c r="R15" i="2149"/>
  <c r="L15" i="2149"/>
  <c r="D15" i="2149" s="1"/>
  <c r="R14" i="2149"/>
  <c r="D14" i="2149"/>
  <c r="R13" i="2149"/>
  <c r="D13" i="2149"/>
  <c r="R12" i="2149"/>
  <c r="R11" i="2149"/>
  <c r="L11" i="2149"/>
  <c r="D11" i="2149" s="1"/>
  <c r="L10" i="2149"/>
  <c r="D10" i="2149"/>
  <c r="L9" i="2149"/>
  <c r="D9" i="2149" s="1"/>
  <c r="R6" i="2149"/>
  <c r="L6" i="2149"/>
  <c r="D6" i="2149" s="1"/>
  <c r="R5" i="2149"/>
  <c r="R4" i="2149"/>
  <c r="R52" i="2148"/>
  <c r="R51" i="2148"/>
  <c r="D50" i="2148"/>
  <c r="R49" i="2148"/>
  <c r="G49" i="2148"/>
  <c r="D49" i="2148"/>
  <c r="R48" i="2148"/>
  <c r="D48" i="2148"/>
  <c r="D46" i="2148"/>
  <c r="D45" i="2148"/>
  <c r="D44" i="2148"/>
  <c r="R42" i="2148"/>
  <c r="L6" i="2148" s="1"/>
  <c r="D6" i="2148" s="1"/>
  <c r="D42" i="2148"/>
  <c r="R41" i="2148"/>
  <c r="L7" i="2148" s="1"/>
  <c r="D7" i="2148" s="1"/>
  <c r="D41" i="2148"/>
  <c r="R40" i="2148"/>
  <c r="D40" i="2148"/>
  <c r="R39" i="2148"/>
  <c r="D39" i="2148"/>
  <c r="R38" i="2148"/>
  <c r="L9" i="2148" s="1"/>
  <c r="D9" i="2148" s="1"/>
  <c r="D38" i="2148"/>
  <c r="R37" i="2148"/>
  <c r="D37" i="2148"/>
  <c r="R36" i="2148"/>
  <c r="L10" i="2148" s="1"/>
  <c r="D10" i="2148" s="1"/>
  <c r="D36" i="2148"/>
  <c r="R35" i="2148"/>
  <c r="D35" i="2148"/>
  <c r="R34" i="2148"/>
  <c r="L12" i="2148" s="1"/>
  <c r="D12" i="2148" s="1"/>
  <c r="D34" i="2148"/>
  <c r="D54" i="2148" s="1"/>
  <c r="H14" i="2148" s="1"/>
  <c r="R33" i="2148"/>
  <c r="L23" i="2148" s="1"/>
  <c r="D23" i="2148" s="1"/>
  <c r="R32" i="2148"/>
  <c r="R31" i="2148"/>
  <c r="R30" i="2148"/>
  <c r="R29" i="2148"/>
  <c r="R28" i="2148"/>
  <c r="D28" i="2148"/>
  <c r="R27" i="2148"/>
  <c r="D27" i="2148"/>
  <c r="R26" i="2148"/>
  <c r="L26" i="2148"/>
  <c r="D26" i="2148"/>
  <c r="R25" i="2148"/>
  <c r="L25" i="2148"/>
  <c r="D25" i="2148"/>
  <c r="R24" i="2148"/>
  <c r="D24" i="2148"/>
  <c r="R23" i="2148"/>
  <c r="R22" i="2148"/>
  <c r="L22" i="2148"/>
  <c r="D22" i="2148"/>
  <c r="R21" i="2148"/>
  <c r="D21" i="2148"/>
  <c r="R20" i="2148"/>
  <c r="L20" i="2148"/>
  <c r="D20" i="2148"/>
  <c r="R19" i="2148"/>
  <c r="L19" i="2148"/>
  <c r="D19" i="2148"/>
  <c r="R18" i="2148"/>
  <c r="D18" i="2148"/>
  <c r="R17" i="2148"/>
  <c r="D17" i="2148"/>
  <c r="R16" i="2148"/>
  <c r="L16" i="2148"/>
  <c r="D16" i="2148" s="1"/>
  <c r="S15" i="2148"/>
  <c r="R15" i="2148"/>
  <c r="D15" i="2148"/>
  <c r="S14" i="2148"/>
  <c r="R14" i="2148"/>
  <c r="D14" i="2148"/>
  <c r="R13" i="2148"/>
  <c r="D13" i="2148"/>
  <c r="R12" i="2148"/>
  <c r="R11" i="2148"/>
  <c r="L11" i="2148"/>
  <c r="D11" i="2148"/>
  <c r="L8" i="2148"/>
  <c r="D8" i="2148"/>
  <c r="R6" i="2148"/>
  <c r="R5" i="2148"/>
  <c r="R4" i="2148"/>
  <c r="R52" i="2147"/>
  <c r="R51" i="2147"/>
  <c r="D50" i="2147"/>
  <c r="R49" i="2147"/>
  <c r="D49" i="2147"/>
  <c r="R48" i="2147"/>
  <c r="D48" i="2147"/>
  <c r="D46" i="2147"/>
  <c r="D45" i="2147"/>
  <c r="R44" i="2147"/>
  <c r="L28" i="2147" s="1"/>
  <c r="D28" i="2147" s="1"/>
  <c r="D44" i="2147"/>
  <c r="R42" i="2147"/>
  <c r="D42" i="2147"/>
  <c r="R41" i="2147"/>
  <c r="D41" i="2147"/>
  <c r="R40" i="2147"/>
  <c r="L8" i="2147" s="1"/>
  <c r="D8" i="2147" s="1"/>
  <c r="D40" i="2147"/>
  <c r="R39" i="2147"/>
  <c r="H39" i="2147"/>
  <c r="D39" i="2147"/>
  <c r="R38" i="2147"/>
  <c r="H38" i="2147"/>
  <c r="D38" i="2147"/>
  <c r="R37" i="2147"/>
  <c r="H37" i="2147"/>
  <c r="D37" i="2147"/>
  <c r="R36" i="2147"/>
  <c r="H36" i="2147"/>
  <c r="D36" i="2147"/>
  <c r="R35" i="2147"/>
  <c r="L18" i="2147" s="1"/>
  <c r="D18" i="2147" s="1"/>
  <c r="H35" i="2147"/>
  <c r="D35" i="2147"/>
  <c r="R34" i="2147"/>
  <c r="L12" i="2147" s="1"/>
  <c r="D12" i="2147" s="1"/>
  <c r="H34" i="2147"/>
  <c r="G49" i="2147" s="1"/>
  <c r="D34" i="2147"/>
  <c r="D54" i="2147" s="1"/>
  <c r="H14" i="2147" s="1"/>
  <c r="R33" i="2147"/>
  <c r="L19" i="2147" s="1"/>
  <c r="D19" i="2147" s="1"/>
  <c r="R32" i="2147"/>
  <c r="R31" i="2147"/>
  <c r="R30" i="2147"/>
  <c r="R29" i="2147"/>
  <c r="R28" i="2147"/>
  <c r="R27" i="2147"/>
  <c r="L27" i="2147"/>
  <c r="D27" i="2147" s="1"/>
  <c r="R26" i="2147"/>
  <c r="L26" i="2147"/>
  <c r="D26" i="2147" s="1"/>
  <c r="R25" i="2147"/>
  <c r="L25" i="2147"/>
  <c r="D25" i="2147" s="1"/>
  <c r="R24" i="2147"/>
  <c r="L24" i="2147"/>
  <c r="D24" i="2147" s="1"/>
  <c r="R23" i="2147"/>
  <c r="L23" i="2147"/>
  <c r="D23" i="2147" s="1"/>
  <c r="R22" i="2147"/>
  <c r="L22" i="2147"/>
  <c r="D22" i="2147"/>
  <c r="R21" i="2147"/>
  <c r="L17" i="2147" s="1"/>
  <c r="D17" i="2147" s="1"/>
  <c r="L21" i="2147"/>
  <c r="D21" i="2147"/>
  <c r="R20" i="2147"/>
  <c r="L20" i="2147"/>
  <c r="D20" i="2147"/>
  <c r="R19" i="2147"/>
  <c r="R18" i="2147"/>
  <c r="R17" i="2147"/>
  <c r="R16" i="2147"/>
  <c r="L16" i="2147"/>
  <c r="D16" i="2147"/>
  <c r="R15" i="2147"/>
  <c r="L15" i="2147"/>
  <c r="D15" i="2147"/>
  <c r="R14" i="2147"/>
  <c r="D14" i="2147"/>
  <c r="R13" i="2147"/>
  <c r="D13" i="2147"/>
  <c r="R12" i="2147"/>
  <c r="R11" i="2147"/>
  <c r="L11" i="2147"/>
  <c r="D11" i="2147"/>
  <c r="L10" i="2147"/>
  <c r="D10" i="2147" s="1"/>
  <c r="L9" i="2147"/>
  <c r="D9" i="2147"/>
  <c r="L7" i="2147"/>
  <c r="D7" i="2147" s="1"/>
  <c r="R6" i="2147"/>
  <c r="L6" i="2147"/>
  <c r="D6" i="2147" s="1"/>
  <c r="R5" i="2147"/>
  <c r="R4" i="2147"/>
  <c r="R52" i="2146"/>
  <c r="R51" i="2146"/>
  <c r="D50" i="2146"/>
  <c r="R49" i="2146"/>
  <c r="D49" i="2146"/>
  <c r="R48" i="2146"/>
  <c r="D48" i="2146"/>
  <c r="D46" i="2146"/>
  <c r="D45" i="2146"/>
  <c r="R44" i="2146"/>
  <c r="L28" i="2146" s="1"/>
  <c r="D28" i="2146" s="1"/>
  <c r="D44" i="2146"/>
  <c r="R42" i="2146"/>
  <c r="D42" i="2146"/>
  <c r="R41" i="2146"/>
  <c r="L7" i="2146" s="1"/>
  <c r="D7" i="2146" s="1"/>
  <c r="D41" i="2146"/>
  <c r="R40" i="2146"/>
  <c r="D40" i="2146"/>
  <c r="R39" i="2146"/>
  <c r="H39" i="2146"/>
  <c r="D39" i="2146"/>
  <c r="R38" i="2146"/>
  <c r="H38" i="2146"/>
  <c r="D38" i="2146"/>
  <c r="R37" i="2146"/>
  <c r="H37" i="2146"/>
  <c r="D37" i="2146"/>
  <c r="R36" i="2146"/>
  <c r="H36" i="2146"/>
  <c r="D36" i="2146"/>
  <c r="R35" i="2146"/>
  <c r="L18" i="2146" s="1"/>
  <c r="D18" i="2146" s="1"/>
  <c r="H35" i="2146"/>
  <c r="D35" i="2146"/>
  <c r="R34" i="2146"/>
  <c r="L12" i="2146" s="1"/>
  <c r="D12" i="2146" s="1"/>
  <c r="H34" i="2146"/>
  <c r="D34" i="2146"/>
  <c r="R33" i="2146"/>
  <c r="L19" i="2146" s="1"/>
  <c r="D19" i="2146" s="1"/>
  <c r="R32" i="2146"/>
  <c r="L11" i="2146" s="1"/>
  <c r="D11" i="2146" s="1"/>
  <c r="R31" i="2146"/>
  <c r="R30" i="2146"/>
  <c r="R29" i="2146"/>
  <c r="R28" i="2146"/>
  <c r="R27" i="2146"/>
  <c r="L27" i="2146"/>
  <c r="D27" i="2146"/>
  <c r="R26" i="2146"/>
  <c r="L26" i="2146"/>
  <c r="D26" i="2146"/>
  <c r="R25" i="2146"/>
  <c r="L25" i="2146"/>
  <c r="D25" i="2146"/>
  <c r="R24" i="2146"/>
  <c r="L24" i="2146"/>
  <c r="D24" i="2146"/>
  <c r="R23" i="2146"/>
  <c r="L23" i="2146"/>
  <c r="D23" i="2146" s="1"/>
  <c r="R22" i="2146"/>
  <c r="L22" i="2146"/>
  <c r="D22" i="2146" s="1"/>
  <c r="R21" i="2146"/>
  <c r="D21" i="2146"/>
  <c r="R20" i="2146"/>
  <c r="L20" i="2146"/>
  <c r="D20" i="2146"/>
  <c r="R19" i="2146"/>
  <c r="R18" i="2146"/>
  <c r="R17" i="2146"/>
  <c r="L17" i="2146"/>
  <c r="D17" i="2146"/>
  <c r="R16" i="2146"/>
  <c r="R15" i="2146"/>
  <c r="L15" i="2146"/>
  <c r="D15" i="2146"/>
  <c r="R14" i="2146"/>
  <c r="D14" i="2146"/>
  <c r="R13" i="2146"/>
  <c r="D13" i="2146"/>
  <c r="R12" i="2146"/>
  <c r="R11" i="2146"/>
  <c r="L10" i="2146"/>
  <c r="D10" i="2146"/>
  <c r="L9" i="2146"/>
  <c r="D9" i="2146"/>
  <c r="L8" i="2146"/>
  <c r="D8" i="2146"/>
  <c r="R6" i="2146"/>
  <c r="L16" i="2146" s="1"/>
  <c r="D16" i="2146" s="1"/>
  <c r="L6" i="2146"/>
  <c r="D6" i="2146" s="1"/>
  <c r="R5" i="2146"/>
  <c r="R4" i="2146"/>
  <c r="R52" i="2145"/>
  <c r="R51" i="2145"/>
  <c r="D50" i="2145"/>
  <c r="R49" i="2145"/>
  <c r="D49" i="2145"/>
  <c r="R48" i="2145"/>
  <c r="D48" i="2145"/>
  <c r="D46" i="2145"/>
  <c r="D45" i="2145"/>
  <c r="R44" i="2145"/>
  <c r="L28" i="2145" s="1"/>
  <c r="D28" i="2145" s="1"/>
  <c r="D44" i="2145"/>
  <c r="R42" i="2145"/>
  <c r="D42" i="2145"/>
  <c r="R41" i="2145"/>
  <c r="D41" i="2145"/>
  <c r="R40" i="2145"/>
  <c r="L8" i="2145" s="1"/>
  <c r="D8" i="2145" s="1"/>
  <c r="D40" i="2145"/>
  <c r="R39" i="2145"/>
  <c r="H39" i="2145"/>
  <c r="D39" i="2145"/>
  <c r="R38" i="2145"/>
  <c r="L9" i="2145" s="1"/>
  <c r="D9" i="2145" s="1"/>
  <c r="H38" i="2145"/>
  <c r="D38" i="2145"/>
  <c r="R37" i="2145"/>
  <c r="H37" i="2145"/>
  <c r="D37" i="2145"/>
  <c r="R36" i="2145"/>
  <c r="H36" i="2145"/>
  <c r="D36" i="2145"/>
  <c r="R35" i="2145"/>
  <c r="H35" i="2145"/>
  <c r="D35" i="2145"/>
  <c r="R34" i="2145"/>
  <c r="H34" i="2145"/>
  <c r="D34" i="2145"/>
  <c r="R33" i="2145"/>
  <c r="L19" i="2145" s="1"/>
  <c r="D19" i="2145" s="1"/>
  <c r="R32" i="2145"/>
  <c r="L11" i="2145" s="1"/>
  <c r="D11" i="2145" s="1"/>
  <c r="R31" i="2145"/>
  <c r="R30" i="2145"/>
  <c r="R29" i="2145"/>
  <c r="R28" i="2145"/>
  <c r="R27" i="2145"/>
  <c r="L27" i="2145"/>
  <c r="D27" i="2145"/>
  <c r="R26" i="2145"/>
  <c r="L26" i="2145"/>
  <c r="D26" i="2145"/>
  <c r="R25" i="2145"/>
  <c r="L25" i="2145"/>
  <c r="D25" i="2145" s="1"/>
  <c r="R24" i="2145"/>
  <c r="L24" i="2145"/>
  <c r="D24" i="2145"/>
  <c r="R23" i="2145"/>
  <c r="L23" i="2145"/>
  <c r="D23" i="2145" s="1"/>
  <c r="R22" i="2145"/>
  <c r="L22" i="2145"/>
  <c r="D22" i="2145" s="1"/>
  <c r="R21" i="2145"/>
  <c r="L21" i="2145"/>
  <c r="D21" i="2145"/>
  <c r="R20" i="2145"/>
  <c r="L20" i="2145"/>
  <c r="D20" i="2145"/>
  <c r="R19" i="2145"/>
  <c r="R18" i="2145"/>
  <c r="L18" i="2145"/>
  <c r="D18" i="2145" s="1"/>
  <c r="R17" i="2145"/>
  <c r="L17" i="2145"/>
  <c r="D17" i="2145" s="1"/>
  <c r="R16" i="2145"/>
  <c r="R15" i="2145"/>
  <c r="L15" i="2145"/>
  <c r="D15" i="2145"/>
  <c r="R14" i="2145"/>
  <c r="D14" i="2145"/>
  <c r="R13" i="2145"/>
  <c r="D13" i="2145"/>
  <c r="R12" i="2145"/>
  <c r="L12" i="2145"/>
  <c r="D12" i="2145" s="1"/>
  <c r="R11" i="2145"/>
  <c r="L10" i="2145"/>
  <c r="D10" i="2145"/>
  <c r="L7" i="2145"/>
  <c r="D7" i="2145"/>
  <c r="R6" i="2145"/>
  <c r="L16" i="2145" s="1"/>
  <c r="D16" i="2145" s="1"/>
  <c r="L6" i="2145"/>
  <c r="D6" i="2145" s="1"/>
  <c r="R5" i="2145"/>
  <c r="R4" i="2145"/>
  <c r="R52" i="2144"/>
  <c r="R51" i="2144"/>
  <c r="D50" i="2144"/>
  <c r="R49" i="2144"/>
  <c r="G49" i="2144"/>
  <c r="D49" i="2144"/>
  <c r="R48" i="2144"/>
  <c r="D48" i="2144"/>
  <c r="D46" i="2144"/>
  <c r="D45" i="2144"/>
  <c r="D44" i="2144"/>
  <c r="R42" i="2144"/>
  <c r="L6" i="2144" s="1"/>
  <c r="D6" i="2144" s="1"/>
  <c r="D42" i="2144"/>
  <c r="R41" i="2144"/>
  <c r="D41" i="2144"/>
  <c r="R40" i="2144"/>
  <c r="D40" i="2144"/>
  <c r="R39" i="2144"/>
  <c r="D39" i="2144"/>
  <c r="R38" i="2144"/>
  <c r="L9" i="2144" s="1"/>
  <c r="D9" i="2144" s="1"/>
  <c r="D38" i="2144"/>
  <c r="R37" i="2144"/>
  <c r="D37" i="2144"/>
  <c r="R36" i="2144"/>
  <c r="D36" i="2144"/>
  <c r="R35" i="2144"/>
  <c r="D35" i="2144"/>
  <c r="R34" i="2144"/>
  <c r="L12" i="2144" s="1"/>
  <c r="D12" i="2144" s="1"/>
  <c r="D34" i="2144"/>
  <c r="D54" i="2144" s="1"/>
  <c r="H14" i="2144" s="1"/>
  <c r="R33" i="2144"/>
  <c r="L23" i="2144" s="1"/>
  <c r="D23" i="2144" s="1"/>
  <c r="R32" i="2144"/>
  <c r="L11" i="2144" s="1"/>
  <c r="D11" i="2144" s="1"/>
  <c r="R31" i="2144"/>
  <c r="R30" i="2144"/>
  <c r="R29" i="2144"/>
  <c r="R28" i="2144"/>
  <c r="D28" i="2144"/>
  <c r="R27" i="2144"/>
  <c r="D27" i="2144"/>
  <c r="R26" i="2144"/>
  <c r="L26" i="2144"/>
  <c r="D26" i="2144"/>
  <c r="R25" i="2144"/>
  <c r="L25" i="2144"/>
  <c r="D25" i="2144" s="1"/>
  <c r="R24" i="2144"/>
  <c r="D24" i="2144"/>
  <c r="R23" i="2144"/>
  <c r="R22" i="2144"/>
  <c r="L22" i="2144"/>
  <c r="D22" i="2144" s="1"/>
  <c r="R21" i="2144"/>
  <c r="D21" i="2144"/>
  <c r="R20" i="2144"/>
  <c r="L20" i="2144"/>
  <c r="D20" i="2144"/>
  <c r="R19" i="2144"/>
  <c r="L19" i="2144"/>
  <c r="D19" i="2144" s="1"/>
  <c r="R18" i="2144"/>
  <c r="D18" i="2144"/>
  <c r="R17" i="2144"/>
  <c r="D17" i="2144"/>
  <c r="R16" i="2144"/>
  <c r="L16" i="2144"/>
  <c r="D16" i="2144" s="1"/>
  <c r="S15" i="2144"/>
  <c r="R15" i="2144"/>
  <c r="D15" i="2144"/>
  <c r="S14" i="2144"/>
  <c r="R14" i="2144"/>
  <c r="D14" i="2144"/>
  <c r="R13" i="2144"/>
  <c r="D13" i="2144"/>
  <c r="R12" i="2144"/>
  <c r="R11" i="2144"/>
  <c r="L10" i="2144"/>
  <c r="D10" i="2144" s="1"/>
  <c r="L8" i="2144"/>
  <c r="D8" i="2144"/>
  <c r="L7" i="2144"/>
  <c r="D7" i="2144" s="1"/>
  <c r="R6" i="2144"/>
  <c r="R5" i="2144"/>
  <c r="R4" i="2144"/>
  <c r="R52" i="2143"/>
  <c r="R51" i="2143"/>
  <c r="D50" i="2143"/>
  <c r="R49" i="2143"/>
  <c r="D49" i="2143"/>
  <c r="R48" i="2143"/>
  <c r="D48" i="2143"/>
  <c r="D46" i="2143"/>
  <c r="D45" i="2143"/>
  <c r="R44" i="2143"/>
  <c r="L28" i="2143" s="1"/>
  <c r="D28" i="2143" s="1"/>
  <c r="D44" i="2143"/>
  <c r="R42" i="2143"/>
  <c r="D42" i="2143"/>
  <c r="R41" i="2143"/>
  <c r="D41" i="2143"/>
  <c r="R40" i="2143"/>
  <c r="L8" i="2143" s="1"/>
  <c r="D8" i="2143" s="1"/>
  <c r="D40" i="2143"/>
  <c r="R39" i="2143"/>
  <c r="H39" i="2143"/>
  <c r="D39" i="2143"/>
  <c r="R38" i="2143"/>
  <c r="H38" i="2143"/>
  <c r="D38" i="2143"/>
  <c r="R37" i="2143"/>
  <c r="H37" i="2143"/>
  <c r="D37" i="2143"/>
  <c r="R36" i="2143"/>
  <c r="H36" i="2143"/>
  <c r="D36" i="2143"/>
  <c r="R35" i="2143"/>
  <c r="H35" i="2143"/>
  <c r="D35" i="2143"/>
  <c r="R34" i="2143"/>
  <c r="L12" i="2143" s="1"/>
  <c r="D12" i="2143" s="1"/>
  <c r="H34" i="2143"/>
  <c r="G49" i="2143" s="1"/>
  <c r="D34" i="2143"/>
  <c r="R33" i="2143"/>
  <c r="L19" i="2143" s="1"/>
  <c r="D19" i="2143" s="1"/>
  <c r="R32" i="2143"/>
  <c r="R31" i="2143"/>
  <c r="R30" i="2143"/>
  <c r="R29" i="2143"/>
  <c r="R28" i="2143"/>
  <c r="R27" i="2143"/>
  <c r="L27" i="2143"/>
  <c r="D27" i="2143"/>
  <c r="R26" i="2143"/>
  <c r="L26" i="2143"/>
  <c r="D26" i="2143" s="1"/>
  <c r="R25" i="2143"/>
  <c r="L25" i="2143"/>
  <c r="D25" i="2143" s="1"/>
  <c r="R24" i="2143"/>
  <c r="L24" i="2143"/>
  <c r="D24" i="2143"/>
  <c r="R23" i="2143"/>
  <c r="L23" i="2143"/>
  <c r="D23" i="2143"/>
  <c r="R22" i="2143"/>
  <c r="L22" i="2143"/>
  <c r="D22" i="2143"/>
  <c r="R21" i="2143"/>
  <c r="L17" i="2143" s="1"/>
  <c r="D17" i="2143" s="1"/>
  <c r="L21" i="2143"/>
  <c r="D21" i="2143"/>
  <c r="R20" i="2143"/>
  <c r="L20" i="2143"/>
  <c r="D20" i="2143" s="1"/>
  <c r="R19" i="2143"/>
  <c r="R18" i="2143"/>
  <c r="L18" i="2143"/>
  <c r="D18" i="2143" s="1"/>
  <c r="R17" i="2143"/>
  <c r="R16" i="2143"/>
  <c r="R15" i="2143"/>
  <c r="L15" i="2143"/>
  <c r="D15" i="2143" s="1"/>
  <c r="R14" i="2143"/>
  <c r="D14" i="2143"/>
  <c r="R13" i="2143"/>
  <c r="D13" i="2143"/>
  <c r="R12" i="2143"/>
  <c r="R11" i="2143"/>
  <c r="L11" i="2143"/>
  <c r="D11" i="2143"/>
  <c r="L10" i="2143"/>
  <c r="D10" i="2143"/>
  <c r="L9" i="2143"/>
  <c r="D9" i="2143" s="1"/>
  <c r="L7" i="2143"/>
  <c r="D7" i="2143"/>
  <c r="R6" i="2143"/>
  <c r="L16" i="2143" s="1"/>
  <c r="D16" i="2143" s="1"/>
  <c r="L6" i="2143"/>
  <c r="D6" i="2143"/>
  <c r="R5" i="2143"/>
  <c r="R4" i="2143"/>
  <c r="R52" i="2142"/>
  <c r="R51" i="2142"/>
  <c r="D50" i="2142"/>
  <c r="R49" i="2142"/>
  <c r="D49" i="2142"/>
  <c r="R48" i="2142"/>
  <c r="D48" i="2142"/>
  <c r="D46" i="2142"/>
  <c r="D45" i="2142"/>
  <c r="R44" i="2142"/>
  <c r="L28" i="2142" s="1"/>
  <c r="D28" i="2142" s="1"/>
  <c r="D44" i="2142"/>
  <c r="R42" i="2142"/>
  <c r="D42" i="2142"/>
  <c r="R41" i="2142"/>
  <c r="D41" i="2142"/>
  <c r="R40" i="2142"/>
  <c r="D40" i="2142"/>
  <c r="R39" i="2142"/>
  <c r="H39" i="2142"/>
  <c r="D39" i="2142"/>
  <c r="R38" i="2142"/>
  <c r="L9" i="2142" s="1"/>
  <c r="D9" i="2142" s="1"/>
  <c r="H38" i="2142"/>
  <c r="D38" i="2142"/>
  <c r="R37" i="2142"/>
  <c r="H37" i="2142"/>
  <c r="D37" i="2142"/>
  <c r="R36" i="2142"/>
  <c r="L10" i="2142" s="1"/>
  <c r="D10" i="2142" s="1"/>
  <c r="H36" i="2142"/>
  <c r="D36" i="2142"/>
  <c r="R35" i="2142"/>
  <c r="H35" i="2142"/>
  <c r="D35" i="2142"/>
  <c r="R34" i="2142"/>
  <c r="H34" i="2142"/>
  <c r="D34" i="2142"/>
  <c r="R33" i="2142"/>
  <c r="L19" i="2142" s="1"/>
  <c r="D19" i="2142" s="1"/>
  <c r="R32" i="2142"/>
  <c r="L11" i="2142" s="1"/>
  <c r="D11" i="2142" s="1"/>
  <c r="R31" i="2142"/>
  <c r="R30" i="2142"/>
  <c r="R29" i="2142"/>
  <c r="R28" i="2142"/>
  <c r="R27" i="2142"/>
  <c r="L27" i="2142"/>
  <c r="D27" i="2142"/>
  <c r="R26" i="2142"/>
  <c r="L26" i="2142"/>
  <c r="D26" i="2142"/>
  <c r="R25" i="2142"/>
  <c r="L25" i="2142"/>
  <c r="D25" i="2142" s="1"/>
  <c r="R24" i="2142"/>
  <c r="L24" i="2142"/>
  <c r="D24" i="2142"/>
  <c r="R23" i="2142"/>
  <c r="L23" i="2142"/>
  <c r="D23" i="2142" s="1"/>
  <c r="R22" i="2142"/>
  <c r="L20" i="2142" s="1"/>
  <c r="D20" i="2142" s="1"/>
  <c r="L22" i="2142"/>
  <c r="D22" i="2142" s="1"/>
  <c r="R21" i="2142"/>
  <c r="D21" i="2142"/>
  <c r="R20" i="2142"/>
  <c r="R19" i="2142"/>
  <c r="R18" i="2142"/>
  <c r="L18" i="2142"/>
  <c r="D18" i="2142"/>
  <c r="R17" i="2142"/>
  <c r="L17" i="2142"/>
  <c r="D17" i="2142"/>
  <c r="R16" i="2142"/>
  <c r="R15" i="2142"/>
  <c r="R14" i="2142"/>
  <c r="D14" i="2142"/>
  <c r="R13" i="2142"/>
  <c r="D13" i="2142"/>
  <c r="R12" i="2142"/>
  <c r="L12" i="2142"/>
  <c r="D12" i="2142"/>
  <c r="R11" i="2142"/>
  <c r="L8" i="2142"/>
  <c r="D8" i="2142" s="1"/>
  <c r="L7" i="2142"/>
  <c r="D7" i="2142"/>
  <c r="R6" i="2142"/>
  <c r="L16" i="2142" s="1"/>
  <c r="D16" i="2142" s="1"/>
  <c r="L6" i="2142"/>
  <c r="D6" i="2142" s="1"/>
  <c r="R5" i="2142"/>
  <c r="R4" i="2142"/>
  <c r="L15" i="2142" s="1"/>
  <c r="D15" i="2142" s="1"/>
  <c r="R52" i="2141"/>
  <c r="R51" i="2141"/>
  <c r="D50" i="2141"/>
  <c r="R49" i="2141"/>
  <c r="D49" i="2141"/>
  <c r="R48" i="2141"/>
  <c r="D48" i="2141"/>
  <c r="D46" i="2141"/>
  <c r="D45" i="2141"/>
  <c r="R44" i="2141"/>
  <c r="L28" i="2141" s="1"/>
  <c r="D28" i="2141" s="1"/>
  <c r="D44" i="2141"/>
  <c r="R42" i="2141"/>
  <c r="D42" i="2141"/>
  <c r="R41" i="2141"/>
  <c r="D41" i="2141"/>
  <c r="R40" i="2141"/>
  <c r="D40" i="2141"/>
  <c r="R39" i="2141"/>
  <c r="H39" i="2141"/>
  <c r="D39" i="2141"/>
  <c r="R38" i="2141"/>
  <c r="L9" i="2141" s="1"/>
  <c r="D9" i="2141" s="1"/>
  <c r="H38" i="2141"/>
  <c r="D38" i="2141"/>
  <c r="R37" i="2141"/>
  <c r="H37" i="2141"/>
  <c r="G49" i="2141" s="1"/>
  <c r="D37" i="2141"/>
  <c r="R36" i="2141"/>
  <c r="H36" i="2141"/>
  <c r="D36" i="2141"/>
  <c r="R35" i="2141"/>
  <c r="H35" i="2141"/>
  <c r="D35" i="2141"/>
  <c r="R34" i="2141"/>
  <c r="L12" i="2141" s="1"/>
  <c r="D12" i="2141" s="1"/>
  <c r="H34" i="2141"/>
  <c r="D34" i="2141"/>
  <c r="D54" i="2141" s="1"/>
  <c r="H14" i="2141" s="1"/>
  <c r="R33" i="2141"/>
  <c r="R32" i="2141"/>
  <c r="L11" i="2141" s="1"/>
  <c r="D11" i="2141" s="1"/>
  <c r="R31" i="2141"/>
  <c r="R30" i="2141"/>
  <c r="R29" i="2141"/>
  <c r="R28" i="2141"/>
  <c r="R27" i="2141"/>
  <c r="L27" i="2141"/>
  <c r="D27" i="2141"/>
  <c r="R26" i="2141"/>
  <c r="L26" i="2141"/>
  <c r="D26" i="2141"/>
  <c r="R25" i="2141"/>
  <c r="L25" i="2141"/>
  <c r="D25" i="2141"/>
  <c r="R24" i="2141"/>
  <c r="L24" i="2141"/>
  <c r="D24" i="2141"/>
  <c r="R23" i="2141"/>
  <c r="L23" i="2141"/>
  <c r="D23" i="2141"/>
  <c r="R22" i="2141"/>
  <c r="L22" i="2141"/>
  <c r="D22" i="2141"/>
  <c r="R21" i="2141"/>
  <c r="L17" i="2141" s="1"/>
  <c r="D17" i="2141" s="1"/>
  <c r="L21" i="2141"/>
  <c r="D21" i="2141"/>
  <c r="R20" i="2141"/>
  <c r="L20" i="2141"/>
  <c r="D20" i="2141"/>
  <c r="R19" i="2141"/>
  <c r="L19" i="2141"/>
  <c r="D19" i="2141"/>
  <c r="R18" i="2141"/>
  <c r="L18" i="2141"/>
  <c r="D18" i="2141" s="1"/>
  <c r="R17" i="2141"/>
  <c r="R16" i="2141"/>
  <c r="R15" i="2141"/>
  <c r="L15" i="2141"/>
  <c r="D15" i="2141"/>
  <c r="R14" i="2141"/>
  <c r="D14" i="2141"/>
  <c r="R13" i="2141"/>
  <c r="D13" i="2141"/>
  <c r="R12" i="2141"/>
  <c r="R11" i="2141"/>
  <c r="L10" i="2141"/>
  <c r="D10" i="2141"/>
  <c r="L8" i="2141"/>
  <c r="D8" i="2141"/>
  <c r="L7" i="2141"/>
  <c r="D7" i="2141"/>
  <c r="R6" i="2141"/>
  <c r="L16" i="2141" s="1"/>
  <c r="D16" i="2141" s="1"/>
  <c r="L6" i="2141"/>
  <c r="D6" i="2141" s="1"/>
  <c r="R5" i="2141"/>
  <c r="R4" i="2141"/>
  <c r="R52" i="2140"/>
  <c r="R51" i="2140"/>
  <c r="D50" i="2140"/>
  <c r="R49" i="2140"/>
  <c r="G49" i="2140"/>
  <c r="D49" i="2140"/>
  <c r="R48" i="2140"/>
  <c r="D48" i="2140"/>
  <c r="D46" i="2140"/>
  <c r="D45" i="2140"/>
  <c r="D44" i="2140"/>
  <c r="R42" i="2140"/>
  <c r="L6" i="2140" s="1"/>
  <c r="D6" i="2140" s="1"/>
  <c r="D42" i="2140"/>
  <c r="R41" i="2140"/>
  <c r="L7" i="2140" s="1"/>
  <c r="D7" i="2140" s="1"/>
  <c r="D41" i="2140"/>
  <c r="R40" i="2140"/>
  <c r="D40" i="2140"/>
  <c r="R39" i="2140"/>
  <c r="D39" i="2140"/>
  <c r="R38" i="2140"/>
  <c r="D38" i="2140"/>
  <c r="R37" i="2140"/>
  <c r="D37" i="2140"/>
  <c r="R36" i="2140"/>
  <c r="D36" i="2140"/>
  <c r="R35" i="2140"/>
  <c r="D35" i="2140"/>
  <c r="R34" i="2140"/>
  <c r="L12" i="2140" s="1"/>
  <c r="D12" i="2140" s="1"/>
  <c r="D34" i="2140"/>
  <c r="D54" i="2140" s="1"/>
  <c r="H14" i="2140" s="1"/>
  <c r="R33" i="2140"/>
  <c r="L23" i="2140" s="1"/>
  <c r="D23" i="2140" s="1"/>
  <c r="R32" i="2140"/>
  <c r="L11" i="2140" s="1"/>
  <c r="D11" i="2140" s="1"/>
  <c r="R31" i="2140"/>
  <c r="R30" i="2140"/>
  <c r="R29" i="2140"/>
  <c r="R28" i="2140"/>
  <c r="D28" i="2140"/>
  <c r="R27" i="2140"/>
  <c r="D27" i="2140"/>
  <c r="R26" i="2140"/>
  <c r="L26" i="2140"/>
  <c r="D26" i="2140"/>
  <c r="R25" i="2140"/>
  <c r="L25" i="2140"/>
  <c r="D25" i="2140"/>
  <c r="R24" i="2140"/>
  <c r="D24" i="2140"/>
  <c r="R23" i="2140"/>
  <c r="R22" i="2140"/>
  <c r="L22" i="2140"/>
  <c r="D22" i="2140" s="1"/>
  <c r="R21" i="2140"/>
  <c r="D21" i="2140"/>
  <c r="R20" i="2140"/>
  <c r="L20" i="2140"/>
  <c r="D20" i="2140"/>
  <c r="R19" i="2140"/>
  <c r="L19" i="2140"/>
  <c r="D19" i="2140"/>
  <c r="R18" i="2140"/>
  <c r="D18" i="2140"/>
  <c r="R17" i="2140"/>
  <c r="D17" i="2140"/>
  <c r="R16" i="2140"/>
  <c r="L16" i="2140"/>
  <c r="D16" i="2140" s="1"/>
  <c r="S15" i="2140"/>
  <c r="R15" i="2140"/>
  <c r="D15" i="2140"/>
  <c r="S14" i="2140"/>
  <c r="R14" i="2140"/>
  <c r="D14" i="2140"/>
  <c r="R13" i="2140"/>
  <c r="D13" i="2140"/>
  <c r="R12" i="2140"/>
  <c r="R11" i="2140"/>
  <c r="L10" i="2140"/>
  <c r="D10" i="2140" s="1"/>
  <c r="L9" i="2140"/>
  <c r="D9" i="2140" s="1"/>
  <c r="L8" i="2140"/>
  <c r="D8" i="2140"/>
  <c r="R6" i="2140"/>
  <c r="R5" i="2140"/>
  <c r="R4" i="2140"/>
  <c r="D54" i="2151" l="1"/>
  <c r="H14" i="2151" s="1"/>
  <c r="D54" i="2150"/>
  <c r="H14" i="2150" s="1"/>
  <c r="D54" i="2149"/>
  <c r="H14" i="2149" s="1"/>
  <c r="G49" i="2149"/>
  <c r="G49" i="2155"/>
  <c r="G49" i="2153"/>
  <c r="D54" i="2153"/>
  <c r="H14" i="2153" s="1"/>
  <c r="G49" i="2154"/>
  <c r="D54" i="2155"/>
  <c r="H14" i="2155" s="1"/>
  <c r="D54" i="2154"/>
  <c r="H14" i="2154" s="1"/>
  <c r="G49" i="2145"/>
  <c r="G49" i="2146"/>
  <c r="D54" i="2145"/>
  <c r="H14" i="2145" s="1"/>
  <c r="D54" i="2146"/>
  <c r="H14" i="2146" s="1"/>
  <c r="G49" i="2142"/>
  <c r="D54" i="2142"/>
  <c r="H14" i="2142" s="1"/>
  <c r="D54" i="2143"/>
  <c r="H14" i="2143" s="1"/>
  <c r="D29" i="2155"/>
  <c r="H13" i="2155" s="1"/>
  <c r="D29" i="2154"/>
  <c r="H13" i="2154" s="1"/>
  <c r="D29" i="2153"/>
  <c r="H13" i="2153" s="1"/>
  <c r="G51" i="2152"/>
  <c r="D29" i="2151"/>
  <c r="H13" i="2151" s="1"/>
  <c r="H15" i="2151" s="1"/>
  <c r="H29" i="2151" s="1"/>
  <c r="G51" i="2151" s="1"/>
  <c r="D29" i="2150"/>
  <c r="H13" i="2150" s="1"/>
  <c r="D29" i="2149"/>
  <c r="H13" i="2149" s="1"/>
  <c r="D29" i="2148"/>
  <c r="H13" i="2148" s="1"/>
  <c r="H15" i="2148" s="1"/>
  <c r="H29" i="2148" s="1"/>
  <c r="G51" i="2148" s="1"/>
  <c r="D29" i="2147"/>
  <c r="H13" i="2147" s="1"/>
  <c r="H15" i="2147" s="1"/>
  <c r="H29" i="2147" s="1"/>
  <c r="G51" i="2147"/>
  <c r="D29" i="2146"/>
  <c r="H13" i="2146" s="1"/>
  <c r="D29" i="2145"/>
  <c r="H13" i="2145" s="1"/>
  <c r="D29" i="2144"/>
  <c r="H13" i="2144" s="1"/>
  <c r="H15" i="2144" s="1"/>
  <c r="H29" i="2144" s="1"/>
  <c r="G51" i="2144" s="1"/>
  <c r="D29" i="2143"/>
  <c r="H13" i="2143" s="1"/>
  <c r="D29" i="2142"/>
  <c r="H13" i="2142" s="1"/>
  <c r="D29" i="2141"/>
  <c r="H13" i="2141" s="1"/>
  <c r="H15" i="2141" s="1"/>
  <c r="H29" i="2141" s="1"/>
  <c r="G51" i="2141"/>
  <c r="D29" i="2140"/>
  <c r="H13" i="2140" s="1"/>
  <c r="H15" i="2140" s="1"/>
  <c r="H29" i="2140" s="1"/>
  <c r="G51" i="2140" s="1"/>
  <c r="R52" i="2139"/>
  <c r="R51" i="2139"/>
  <c r="D50" i="2139"/>
  <c r="R49" i="2139"/>
  <c r="D49" i="2139"/>
  <c r="R48" i="2139"/>
  <c r="D48" i="2139"/>
  <c r="D46" i="2139"/>
  <c r="D45" i="2139"/>
  <c r="R44" i="2139"/>
  <c r="D44" i="2139"/>
  <c r="R42" i="2139"/>
  <c r="D42" i="2139"/>
  <c r="R41" i="2139"/>
  <c r="D41" i="2139"/>
  <c r="R40" i="2139"/>
  <c r="L8" i="2139" s="1"/>
  <c r="D8" i="2139" s="1"/>
  <c r="D40" i="2139"/>
  <c r="R39" i="2139"/>
  <c r="H39" i="2139"/>
  <c r="D39" i="2139"/>
  <c r="R38" i="2139"/>
  <c r="L9" i="2139" s="1"/>
  <c r="D9" i="2139" s="1"/>
  <c r="H38" i="2139"/>
  <c r="D38" i="2139"/>
  <c r="R37" i="2139"/>
  <c r="H37" i="2139"/>
  <c r="D37" i="2139"/>
  <c r="R36" i="2139"/>
  <c r="H36" i="2139"/>
  <c r="D36" i="2139"/>
  <c r="R35" i="2139"/>
  <c r="L18" i="2139" s="1"/>
  <c r="D18" i="2139" s="1"/>
  <c r="H35" i="2139"/>
  <c r="D35" i="2139"/>
  <c r="R34" i="2139"/>
  <c r="H34" i="2139"/>
  <c r="D34" i="2139"/>
  <c r="R33" i="2139"/>
  <c r="R32" i="2139"/>
  <c r="L11" i="2139" s="1"/>
  <c r="D11" i="2139" s="1"/>
  <c r="R31" i="2139"/>
  <c r="R30" i="2139"/>
  <c r="R29" i="2139"/>
  <c r="R28" i="2139"/>
  <c r="L28" i="2139"/>
  <c r="D28" i="2139"/>
  <c r="R27" i="2139"/>
  <c r="L27" i="2139"/>
  <c r="D27" i="2139" s="1"/>
  <c r="R26" i="2139"/>
  <c r="L26" i="2139"/>
  <c r="D26" i="2139" s="1"/>
  <c r="R25" i="2139"/>
  <c r="L25" i="2139"/>
  <c r="D25" i="2139" s="1"/>
  <c r="R24" i="2139"/>
  <c r="L24" i="2139"/>
  <c r="D24" i="2139"/>
  <c r="R23" i="2139"/>
  <c r="L23" i="2139"/>
  <c r="D23" i="2139" s="1"/>
  <c r="R22" i="2139"/>
  <c r="L20" i="2139" s="1"/>
  <c r="D20" i="2139" s="1"/>
  <c r="L22" i="2139"/>
  <c r="D22" i="2139"/>
  <c r="R21" i="2139"/>
  <c r="L21" i="2139"/>
  <c r="D21" i="2139" s="1"/>
  <c r="R20" i="2139"/>
  <c r="R19" i="2139"/>
  <c r="L19" i="2139"/>
  <c r="D19" i="2139" s="1"/>
  <c r="R18" i="2139"/>
  <c r="R17" i="2139"/>
  <c r="L17" i="2139"/>
  <c r="D17" i="2139" s="1"/>
  <c r="R16" i="2139"/>
  <c r="L16" i="2139"/>
  <c r="D16" i="2139"/>
  <c r="R15" i="2139"/>
  <c r="L15" i="2139"/>
  <c r="D15" i="2139"/>
  <c r="R14" i="2139"/>
  <c r="D14" i="2139"/>
  <c r="R13" i="2139"/>
  <c r="D13" i="2139"/>
  <c r="R12" i="2139"/>
  <c r="L12" i="2139"/>
  <c r="D12" i="2139" s="1"/>
  <c r="R11" i="2139"/>
  <c r="L10" i="2139"/>
  <c r="D10" i="2139" s="1"/>
  <c r="L7" i="2139"/>
  <c r="D7" i="2139"/>
  <c r="R6" i="2139"/>
  <c r="L6" i="2139"/>
  <c r="D6" i="2139" s="1"/>
  <c r="R5" i="2139"/>
  <c r="R4" i="2139"/>
  <c r="R52" i="2138"/>
  <c r="R51" i="2138"/>
  <c r="D50" i="2138"/>
  <c r="R49" i="2138"/>
  <c r="D49" i="2138"/>
  <c r="R48" i="2138"/>
  <c r="D48" i="2138"/>
  <c r="D46" i="2138"/>
  <c r="D45" i="2138"/>
  <c r="R44" i="2138"/>
  <c r="D44" i="2138"/>
  <c r="R42" i="2138"/>
  <c r="L6" i="2138" s="1"/>
  <c r="D6" i="2138" s="1"/>
  <c r="D42" i="2138"/>
  <c r="R41" i="2138"/>
  <c r="L7" i="2138" s="1"/>
  <c r="D7" i="2138" s="1"/>
  <c r="D41" i="2138"/>
  <c r="R40" i="2138"/>
  <c r="L8" i="2138" s="1"/>
  <c r="D8" i="2138" s="1"/>
  <c r="D40" i="2138"/>
  <c r="R39" i="2138"/>
  <c r="H39" i="2138"/>
  <c r="D39" i="2138"/>
  <c r="R38" i="2138"/>
  <c r="L9" i="2138" s="1"/>
  <c r="D9" i="2138" s="1"/>
  <c r="H38" i="2138"/>
  <c r="D38" i="2138"/>
  <c r="R37" i="2138"/>
  <c r="H37" i="2138"/>
  <c r="D37" i="2138"/>
  <c r="R36" i="2138"/>
  <c r="L10" i="2138" s="1"/>
  <c r="D10" i="2138" s="1"/>
  <c r="H36" i="2138"/>
  <c r="D36" i="2138"/>
  <c r="R35" i="2138"/>
  <c r="L18" i="2138" s="1"/>
  <c r="D18" i="2138" s="1"/>
  <c r="H35" i="2138"/>
  <c r="D35" i="2138"/>
  <c r="R34" i="2138"/>
  <c r="H34" i="2138"/>
  <c r="G49" i="2138" s="1"/>
  <c r="D34" i="2138"/>
  <c r="R33" i="2138"/>
  <c r="R32" i="2138"/>
  <c r="L11" i="2138" s="1"/>
  <c r="D11" i="2138" s="1"/>
  <c r="R31" i="2138"/>
  <c r="R30" i="2138"/>
  <c r="R29" i="2138"/>
  <c r="R28" i="2138"/>
  <c r="L28" i="2138"/>
  <c r="D28" i="2138"/>
  <c r="R27" i="2138"/>
  <c r="L27" i="2138"/>
  <c r="D27" i="2138"/>
  <c r="R26" i="2138"/>
  <c r="L26" i="2138"/>
  <c r="D26" i="2138" s="1"/>
  <c r="R25" i="2138"/>
  <c r="L25" i="2138"/>
  <c r="D25" i="2138"/>
  <c r="R24" i="2138"/>
  <c r="L24" i="2138"/>
  <c r="D24" i="2138"/>
  <c r="R23" i="2138"/>
  <c r="L23" i="2138"/>
  <c r="D23" i="2138" s="1"/>
  <c r="R22" i="2138"/>
  <c r="L20" i="2138" s="1"/>
  <c r="D20" i="2138" s="1"/>
  <c r="L22" i="2138"/>
  <c r="D22" i="2138" s="1"/>
  <c r="R21" i="2138"/>
  <c r="D21" i="2138"/>
  <c r="R20" i="2138"/>
  <c r="R19" i="2138"/>
  <c r="L19" i="2138"/>
  <c r="D19" i="2138" s="1"/>
  <c r="R18" i="2138"/>
  <c r="R17" i="2138"/>
  <c r="L17" i="2138"/>
  <c r="D17" i="2138"/>
  <c r="R16" i="2138"/>
  <c r="R15" i="2138"/>
  <c r="R14" i="2138"/>
  <c r="D14" i="2138"/>
  <c r="R13" i="2138"/>
  <c r="D13" i="2138"/>
  <c r="R12" i="2138"/>
  <c r="L12" i="2138"/>
  <c r="D12" i="2138"/>
  <c r="R11" i="2138"/>
  <c r="R6" i="2138"/>
  <c r="L16" i="2138" s="1"/>
  <c r="D16" i="2138" s="1"/>
  <c r="R5" i="2138"/>
  <c r="R4" i="2138"/>
  <c r="L15" i="2138" s="1"/>
  <c r="D15" i="2138" s="1"/>
  <c r="R52" i="2137"/>
  <c r="R51" i="2137"/>
  <c r="D50" i="2137"/>
  <c r="R49" i="2137"/>
  <c r="D49" i="2137"/>
  <c r="R48" i="2137"/>
  <c r="D48" i="2137"/>
  <c r="D46" i="2137"/>
  <c r="D45" i="2137"/>
  <c r="R44" i="2137"/>
  <c r="D44" i="2137"/>
  <c r="R42" i="2137"/>
  <c r="L6" i="2137" s="1"/>
  <c r="D6" i="2137" s="1"/>
  <c r="D42" i="2137"/>
  <c r="R41" i="2137"/>
  <c r="L7" i="2137" s="1"/>
  <c r="D7" i="2137" s="1"/>
  <c r="D41" i="2137"/>
  <c r="R40" i="2137"/>
  <c r="D40" i="2137"/>
  <c r="R39" i="2137"/>
  <c r="H39" i="2137"/>
  <c r="D39" i="2137"/>
  <c r="R38" i="2137"/>
  <c r="H38" i="2137"/>
  <c r="D38" i="2137"/>
  <c r="R37" i="2137"/>
  <c r="H37" i="2137"/>
  <c r="D37" i="2137"/>
  <c r="R36" i="2137"/>
  <c r="H36" i="2137"/>
  <c r="D36" i="2137"/>
  <c r="R35" i="2137"/>
  <c r="L18" i="2137" s="1"/>
  <c r="D18" i="2137" s="1"/>
  <c r="H35" i="2137"/>
  <c r="D35" i="2137"/>
  <c r="R34" i="2137"/>
  <c r="H34" i="2137"/>
  <c r="D34" i="2137"/>
  <c r="R33" i="2137"/>
  <c r="R32" i="2137"/>
  <c r="R31" i="2137"/>
  <c r="R30" i="2137"/>
  <c r="R29" i="2137"/>
  <c r="R28" i="2137"/>
  <c r="D28" i="2137"/>
  <c r="R27" i="2137"/>
  <c r="L27" i="2137"/>
  <c r="D27" i="2137"/>
  <c r="R26" i="2137"/>
  <c r="L26" i="2137"/>
  <c r="D26" i="2137" s="1"/>
  <c r="R25" i="2137"/>
  <c r="L25" i="2137"/>
  <c r="D25" i="2137"/>
  <c r="R24" i="2137"/>
  <c r="L24" i="2137"/>
  <c r="D24" i="2137"/>
  <c r="R23" i="2137"/>
  <c r="L23" i="2137"/>
  <c r="D23" i="2137"/>
  <c r="R22" i="2137"/>
  <c r="L20" i="2137" s="1"/>
  <c r="D20" i="2137" s="1"/>
  <c r="L22" i="2137"/>
  <c r="D22" i="2137" s="1"/>
  <c r="R21" i="2137"/>
  <c r="L21" i="2137"/>
  <c r="D21" i="2137"/>
  <c r="R20" i="2137"/>
  <c r="R19" i="2137"/>
  <c r="L19" i="2137"/>
  <c r="D19" i="2137"/>
  <c r="R18" i="2137"/>
  <c r="R17" i="2137"/>
  <c r="L17" i="2137"/>
  <c r="D17" i="2137"/>
  <c r="R16" i="2137"/>
  <c r="R15" i="2137"/>
  <c r="R14" i="2137"/>
  <c r="D14" i="2137"/>
  <c r="R13" i="2137"/>
  <c r="D13" i="2137"/>
  <c r="R12" i="2137"/>
  <c r="L12" i="2137"/>
  <c r="D12" i="2137" s="1"/>
  <c r="R11" i="2137"/>
  <c r="L11" i="2137"/>
  <c r="D11" i="2137"/>
  <c r="L10" i="2137"/>
  <c r="D10" i="2137" s="1"/>
  <c r="L9" i="2137"/>
  <c r="D9" i="2137" s="1"/>
  <c r="L8" i="2137"/>
  <c r="D8" i="2137"/>
  <c r="R6" i="2137"/>
  <c r="L16" i="2137" s="1"/>
  <c r="D16" i="2137" s="1"/>
  <c r="R5" i="2137"/>
  <c r="R4" i="2137"/>
  <c r="L15" i="2137" s="1"/>
  <c r="D15" i="2137" s="1"/>
  <c r="D54" i="2136"/>
  <c r="H14" i="2136" s="1"/>
  <c r="R52" i="2136"/>
  <c r="R51" i="2136"/>
  <c r="D50" i="2136"/>
  <c r="R49" i="2136"/>
  <c r="G49" i="2136"/>
  <c r="D49" i="2136"/>
  <c r="R48" i="2136"/>
  <c r="D48" i="2136"/>
  <c r="D46" i="2136"/>
  <c r="D45" i="2136"/>
  <c r="D44" i="2136"/>
  <c r="R42" i="2136"/>
  <c r="D42" i="2136"/>
  <c r="R41" i="2136"/>
  <c r="L7" i="2136" s="1"/>
  <c r="D7" i="2136" s="1"/>
  <c r="D41" i="2136"/>
  <c r="R40" i="2136"/>
  <c r="L8" i="2136" s="1"/>
  <c r="D8" i="2136" s="1"/>
  <c r="D40" i="2136"/>
  <c r="R39" i="2136"/>
  <c r="D39" i="2136"/>
  <c r="R38" i="2136"/>
  <c r="D38" i="2136"/>
  <c r="R37" i="2136"/>
  <c r="D37" i="2136"/>
  <c r="R36" i="2136"/>
  <c r="L10" i="2136" s="1"/>
  <c r="D10" i="2136" s="1"/>
  <c r="D36" i="2136"/>
  <c r="R35" i="2136"/>
  <c r="L19" i="2136" s="1"/>
  <c r="D19" i="2136" s="1"/>
  <c r="D35" i="2136"/>
  <c r="R34" i="2136"/>
  <c r="D34" i="2136"/>
  <c r="R33" i="2136"/>
  <c r="R32" i="2136"/>
  <c r="L11" i="2136" s="1"/>
  <c r="D11" i="2136" s="1"/>
  <c r="R31" i="2136"/>
  <c r="R30" i="2136"/>
  <c r="R29" i="2136"/>
  <c r="R28" i="2136"/>
  <c r="D28" i="2136"/>
  <c r="R27" i="2136"/>
  <c r="D27" i="2136"/>
  <c r="R26" i="2136"/>
  <c r="L26" i="2136"/>
  <c r="D26" i="2136" s="1"/>
  <c r="R25" i="2136"/>
  <c r="L25" i="2136"/>
  <c r="D25" i="2136"/>
  <c r="R24" i="2136"/>
  <c r="D24" i="2136"/>
  <c r="R23" i="2136"/>
  <c r="L23" i="2136"/>
  <c r="D23" i="2136" s="1"/>
  <c r="R22" i="2136"/>
  <c r="L22" i="2136"/>
  <c r="D22" i="2136" s="1"/>
  <c r="R21" i="2136"/>
  <c r="D21" i="2136"/>
  <c r="R20" i="2136"/>
  <c r="L20" i="2136"/>
  <c r="D20" i="2136" s="1"/>
  <c r="R19" i="2136"/>
  <c r="R18" i="2136"/>
  <c r="D18" i="2136"/>
  <c r="R17" i="2136"/>
  <c r="D17" i="2136"/>
  <c r="R16" i="2136"/>
  <c r="L16" i="2136"/>
  <c r="D16" i="2136" s="1"/>
  <c r="S15" i="2136"/>
  <c r="R15" i="2136"/>
  <c r="D15" i="2136"/>
  <c r="S14" i="2136"/>
  <c r="R14" i="2136"/>
  <c r="D14" i="2136"/>
  <c r="R13" i="2136"/>
  <c r="D13" i="2136"/>
  <c r="R12" i="2136"/>
  <c r="L12" i="2136"/>
  <c r="D12" i="2136" s="1"/>
  <c r="R11" i="2136"/>
  <c r="L9" i="2136"/>
  <c r="D9" i="2136" s="1"/>
  <c r="R6" i="2136"/>
  <c r="L6" i="2136"/>
  <c r="D6" i="2136" s="1"/>
  <c r="D29" i="2136" s="1"/>
  <c r="H13" i="2136" s="1"/>
  <c r="H15" i="2136" s="1"/>
  <c r="H29" i="2136" s="1"/>
  <c r="G51" i="2136" s="1"/>
  <c r="R5" i="2136"/>
  <c r="R4" i="2136"/>
  <c r="R52" i="2135"/>
  <c r="R51" i="2135"/>
  <c r="D50" i="2135"/>
  <c r="R49" i="2135"/>
  <c r="D49" i="2135"/>
  <c r="R48" i="2135"/>
  <c r="D48" i="2135"/>
  <c r="D46" i="2135"/>
  <c r="D45" i="2135"/>
  <c r="R44" i="2135"/>
  <c r="L28" i="2135" s="1"/>
  <c r="D28" i="2135" s="1"/>
  <c r="D44" i="2135"/>
  <c r="R42" i="2135"/>
  <c r="D42" i="2135"/>
  <c r="R41" i="2135"/>
  <c r="D41" i="2135"/>
  <c r="R40" i="2135"/>
  <c r="L8" i="2135" s="1"/>
  <c r="D8" i="2135" s="1"/>
  <c r="D40" i="2135"/>
  <c r="R39" i="2135"/>
  <c r="H39" i="2135"/>
  <c r="D39" i="2135"/>
  <c r="R38" i="2135"/>
  <c r="L9" i="2135" s="1"/>
  <c r="D9" i="2135" s="1"/>
  <c r="H38" i="2135"/>
  <c r="D38" i="2135"/>
  <c r="R37" i="2135"/>
  <c r="H37" i="2135"/>
  <c r="D37" i="2135"/>
  <c r="R36" i="2135"/>
  <c r="H36" i="2135"/>
  <c r="D36" i="2135"/>
  <c r="R35" i="2135"/>
  <c r="H35" i="2135"/>
  <c r="D35" i="2135"/>
  <c r="R34" i="2135"/>
  <c r="L12" i="2135" s="1"/>
  <c r="D12" i="2135" s="1"/>
  <c r="H34" i="2135"/>
  <c r="D34" i="2135"/>
  <c r="R33" i="2135"/>
  <c r="L19" i="2135" s="1"/>
  <c r="D19" i="2135" s="1"/>
  <c r="R32" i="2135"/>
  <c r="L11" i="2135" s="1"/>
  <c r="D11" i="2135" s="1"/>
  <c r="R31" i="2135"/>
  <c r="R30" i="2135"/>
  <c r="R29" i="2135"/>
  <c r="R28" i="2135"/>
  <c r="R27" i="2135"/>
  <c r="L27" i="2135"/>
  <c r="D27" i="2135"/>
  <c r="R26" i="2135"/>
  <c r="L26" i="2135"/>
  <c r="D26" i="2135" s="1"/>
  <c r="R25" i="2135"/>
  <c r="L25" i="2135"/>
  <c r="D25" i="2135" s="1"/>
  <c r="R24" i="2135"/>
  <c r="L24" i="2135"/>
  <c r="D24" i="2135"/>
  <c r="R23" i="2135"/>
  <c r="L23" i="2135"/>
  <c r="D23" i="2135"/>
  <c r="R22" i="2135"/>
  <c r="L20" i="2135" s="1"/>
  <c r="D20" i="2135" s="1"/>
  <c r="L22" i="2135"/>
  <c r="D22" i="2135" s="1"/>
  <c r="R21" i="2135"/>
  <c r="L21" i="2135"/>
  <c r="D21" i="2135" s="1"/>
  <c r="R20" i="2135"/>
  <c r="R19" i="2135"/>
  <c r="R18" i="2135"/>
  <c r="L18" i="2135"/>
  <c r="D18" i="2135" s="1"/>
  <c r="R17" i="2135"/>
  <c r="L17" i="2135"/>
  <c r="D17" i="2135" s="1"/>
  <c r="R16" i="2135"/>
  <c r="R15" i="2135"/>
  <c r="L15" i="2135"/>
  <c r="D15" i="2135"/>
  <c r="R14" i="2135"/>
  <c r="D14" i="2135"/>
  <c r="R13" i="2135"/>
  <c r="D13" i="2135"/>
  <c r="R12" i="2135"/>
  <c r="R11" i="2135"/>
  <c r="L10" i="2135"/>
  <c r="D10" i="2135" s="1"/>
  <c r="L7" i="2135"/>
  <c r="D7" i="2135"/>
  <c r="R6" i="2135"/>
  <c r="L16" i="2135" s="1"/>
  <c r="D16" i="2135" s="1"/>
  <c r="L6" i="2135"/>
  <c r="D6" i="2135" s="1"/>
  <c r="R5" i="2135"/>
  <c r="R4" i="2135"/>
  <c r="R52" i="2134"/>
  <c r="R51" i="2134"/>
  <c r="D50" i="2134"/>
  <c r="R49" i="2134"/>
  <c r="D49" i="2134"/>
  <c r="R48" i="2134"/>
  <c r="D48" i="2134"/>
  <c r="D46" i="2134"/>
  <c r="D45" i="2134"/>
  <c r="R44" i="2134"/>
  <c r="L28" i="2134" s="1"/>
  <c r="D28" i="2134" s="1"/>
  <c r="D44" i="2134"/>
  <c r="R42" i="2134"/>
  <c r="D42" i="2134"/>
  <c r="R41" i="2134"/>
  <c r="D41" i="2134"/>
  <c r="R40" i="2134"/>
  <c r="D40" i="2134"/>
  <c r="R39" i="2134"/>
  <c r="H39" i="2134"/>
  <c r="D39" i="2134"/>
  <c r="R38" i="2134"/>
  <c r="H38" i="2134"/>
  <c r="D38" i="2134"/>
  <c r="R37" i="2134"/>
  <c r="H37" i="2134"/>
  <c r="D37" i="2134"/>
  <c r="R36" i="2134"/>
  <c r="L10" i="2134" s="1"/>
  <c r="D10" i="2134" s="1"/>
  <c r="H36" i="2134"/>
  <c r="D36" i="2134"/>
  <c r="R35" i="2134"/>
  <c r="H35" i="2134"/>
  <c r="D35" i="2134"/>
  <c r="R34" i="2134"/>
  <c r="L12" i="2134" s="1"/>
  <c r="D12" i="2134" s="1"/>
  <c r="H34" i="2134"/>
  <c r="D34" i="2134"/>
  <c r="R33" i="2134"/>
  <c r="L19" i="2134" s="1"/>
  <c r="D19" i="2134" s="1"/>
  <c r="R32" i="2134"/>
  <c r="R31" i="2134"/>
  <c r="R30" i="2134"/>
  <c r="R29" i="2134"/>
  <c r="R28" i="2134"/>
  <c r="R27" i="2134"/>
  <c r="L27" i="2134"/>
  <c r="D27" i="2134"/>
  <c r="R26" i="2134"/>
  <c r="L26" i="2134"/>
  <c r="D26" i="2134"/>
  <c r="R25" i="2134"/>
  <c r="L25" i="2134"/>
  <c r="D25" i="2134" s="1"/>
  <c r="R24" i="2134"/>
  <c r="L24" i="2134"/>
  <c r="D24" i="2134" s="1"/>
  <c r="R23" i="2134"/>
  <c r="L23" i="2134"/>
  <c r="D23" i="2134" s="1"/>
  <c r="R22" i="2134"/>
  <c r="L22" i="2134"/>
  <c r="D22" i="2134"/>
  <c r="R21" i="2134"/>
  <c r="L17" i="2134" s="1"/>
  <c r="D17" i="2134" s="1"/>
  <c r="D21" i="2134"/>
  <c r="R20" i="2134"/>
  <c r="L20" i="2134"/>
  <c r="D20" i="2134" s="1"/>
  <c r="R19" i="2134"/>
  <c r="R18" i="2134"/>
  <c r="L18" i="2134"/>
  <c r="D18" i="2134"/>
  <c r="R17" i="2134"/>
  <c r="R16" i="2134"/>
  <c r="L16" i="2134"/>
  <c r="D16" i="2134"/>
  <c r="R15" i="2134"/>
  <c r="L15" i="2134"/>
  <c r="D15" i="2134" s="1"/>
  <c r="R14" i="2134"/>
  <c r="D14" i="2134"/>
  <c r="R13" i="2134"/>
  <c r="D13" i="2134"/>
  <c r="R12" i="2134"/>
  <c r="R11" i="2134"/>
  <c r="L11" i="2134"/>
  <c r="D11" i="2134"/>
  <c r="L9" i="2134"/>
  <c r="D9" i="2134" s="1"/>
  <c r="L8" i="2134"/>
  <c r="D8" i="2134" s="1"/>
  <c r="L7" i="2134"/>
  <c r="D7" i="2134"/>
  <c r="R6" i="2134"/>
  <c r="L6" i="2134"/>
  <c r="D6" i="2134"/>
  <c r="R5" i="2134"/>
  <c r="R4" i="2134"/>
  <c r="R52" i="2133"/>
  <c r="R51" i="2133"/>
  <c r="D50" i="2133"/>
  <c r="R49" i="2133"/>
  <c r="D49" i="2133"/>
  <c r="R48" i="2133"/>
  <c r="D48" i="2133"/>
  <c r="D46" i="2133"/>
  <c r="D45" i="2133"/>
  <c r="R44" i="2133"/>
  <c r="L28" i="2133" s="1"/>
  <c r="D28" i="2133" s="1"/>
  <c r="D44" i="2133"/>
  <c r="R42" i="2133"/>
  <c r="D42" i="2133"/>
  <c r="R41" i="2133"/>
  <c r="D41" i="2133"/>
  <c r="R40" i="2133"/>
  <c r="L8" i="2133" s="1"/>
  <c r="D8" i="2133" s="1"/>
  <c r="D40" i="2133"/>
  <c r="R39" i="2133"/>
  <c r="H39" i="2133"/>
  <c r="D39" i="2133"/>
  <c r="R38" i="2133"/>
  <c r="H38" i="2133"/>
  <c r="D38" i="2133"/>
  <c r="R37" i="2133"/>
  <c r="H37" i="2133"/>
  <c r="D37" i="2133"/>
  <c r="R36" i="2133"/>
  <c r="L10" i="2133" s="1"/>
  <c r="D10" i="2133" s="1"/>
  <c r="H36" i="2133"/>
  <c r="D36" i="2133"/>
  <c r="R35" i="2133"/>
  <c r="H35" i="2133"/>
  <c r="D35" i="2133"/>
  <c r="R34" i="2133"/>
  <c r="H34" i="2133"/>
  <c r="G49" i="2133" s="1"/>
  <c r="D34" i="2133"/>
  <c r="D54" i="2133" s="1"/>
  <c r="H14" i="2133" s="1"/>
  <c r="R33" i="2133"/>
  <c r="R32" i="2133"/>
  <c r="R31" i="2133"/>
  <c r="R30" i="2133"/>
  <c r="R29" i="2133"/>
  <c r="R28" i="2133"/>
  <c r="R27" i="2133"/>
  <c r="L27" i="2133"/>
  <c r="D27" i="2133" s="1"/>
  <c r="R26" i="2133"/>
  <c r="L26" i="2133"/>
  <c r="D26" i="2133"/>
  <c r="R25" i="2133"/>
  <c r="L25" i="2133"/>
  <c r="D25" i="2133" s="1"/>
  <c r="R24" i="2133"/>
  <c r="L24" i="2133"/>
  <c r="D24" i="2133" s="1"/>
  <c r="R23" i="2133"/>
  <c r="L23" i="2133"/>
  <c r="D23" i="2133" s="1"/>
  <c r="R22" i="2133"/>
  <c r="L20" i="2133" s="1"/>
  <c r="D20" i="2133" s="1"/>
  <c r="L22" i="2133"/>
  <c r="D22" i="2133"/>
  <c r="R21" i="2133"/>
  <c r="L21" i="2133"/>
  <c r="D21" i="2133" s="1"/>
  <c r="R20" i="2133"/>
  <c r="R19" i="2133"/>
  <c r="L19" i="2133"/>
  <c r="D19" i="2133" s="1"/>
  <c r="R18" i="2133"/>
  <c r="L18" i="2133"/>
  <c r="D18" i="2133"/>
  <c r="R17" i="2133"/>
  <c r="L17" i="2133"/>
  <c r="D17" i="2133" s="1"/>
  <c r="R16" i="2133"/>
  <c r="R15" i="2133"/>
  <c r="L15" i="2133"/>
  <c r="D15" i="2133" s="1"/>
  <c r="R14" i="2133"/>
  <c r="D14" i="2133"/>
  <c r="R13" i="2133"/>
  <c r="D13" i="2133"/>
  <c r="R12" i="2133"/>
  <c r="L12" i="2133"/>
  <c r="D12" i="2133" s="1"/>
  <c r="R11" i="2133"/>
  <c r="L11" i="2133"/>
  <c r="D11" i="2133"/>
  <c r="L9" i="2133"/>
  <c r="D9" i="2133"/>
  <c r="L7" i="2133"/>
  <c r="D7" i="2133" s="1"/>
  <c r="R6" i="2133"/>
  <c r="L16" i="2133" s="1"/>
  <c r="D16" i="2133" s="1"/>
  <c r="L6" i="2133"/>
  <c r="D6" i="2133" s="1"/>
  <c r="R5" i="2133"/>
  <c r="R4" i="2133"/>
  <c r="R52" i="2132"/>
  <c r="R51" i="2132"/>
  <c r="D50" i="2132"/>
  <c r="R49" i="2132"/>
  <c r="G49" i="2132"/>
  <c r="D49" i="2132"/>
  <c r="R48" i="2132"/>
  <c r="D48" i="2132"/>
  <c r="D46" i="2132"/>
  <c r="D45" i="2132"/>
  <c r="D44" i="2132"/>
  <c r="R42" i="2132"/>
  <c r="L6" i="2132" s="1"/>
  <c r="D6" i="2132" s="1"/>
  <c r="D42" i="2132"/>
  <c r="R41" i="2132"/>
  <c r="D41" i="2132"/>
  <c r="R40" i="2132"/>
  <c r="D40" i="2132"/>
  <c r="R39" i="2132"/>
  <c r="D39" i="2132"/>
  <c r="R38" i="2132"/>
  <c r="L9" i="2132" s="1"/>
  <c r="D9" i="2132" s="1"/>
  <c r="D38" i="2132"/>
  <c r="R37" i="2132"/>
  <c r="D37" i="2132"/>
  <c r="R36" i="2132"/>
  <c r="L10" i="2132" s="1"/>
  <c r="D10" i="2132" s="1"/>
  <c r="D36" i="2132"/>
  <c r="R35" i="2132"/>
  <c r="D35" i="2132"/>
  <c r="R34" i="2132"/>
  <c r="L12" i="2132" s="1"/>
  <c r="D12" i="2132" s="1"/>
  <c r="D34" i="2132"/>
  <c r="D54" i="2132" s="1"/>
  <c r="H14" i="2132" s="1"/>
  <c r="R33" i="2132"/>
  <c r="L23" i="2132" s="1"/>
  <c r="D23" i="2132" s="1"/>
  <c r="R32" i="2132"/>
  <c r="L11" i="2132" s="1"/>
  <c r="D11" i="2132" s="1"/>
  <c r="R31" i="2132"/>
  <c r="R30" i="2132"/>
  <c r="R29" i="2132"/>
  <c r="R28" i="2132"/>
  <c r="D28" i="2132"/>
  <c r="R27" i="2132"/>
  <c r="D27" i="2132"/>
  <c r="R26" i="2132"/>
  <c r="L26" i="2132"/>
  <c r="D26" i="2132"/>
  <c r="R25" i="2132"/>
  <c r="L25" i="2132"/>
  <c r="D25" i="2132" s="1"/>
  <c r="R24" i="2132"/>
  <c r="D24" i="2132"/>
  <c r="R23" i="2132"/>
  <c r="R22" i="2132"/>
  <c r="L22" i="2132"/>
  <c r="D22" i="2132"/>
  <c r="R21" i="2132"/>
  <c r="D21" i="2132"/>
  <c r="R20" i="2132"/>
  <c r="L20" i="2132"/>
  <c r="D20" i="2132"/>
  <c r="R19" i="2132"/>
  <c r="L19" i="2132"/>
  <c r="D19" i="2132" s="1"/>
  <c r="R18" i="2132"/>
  <c r="D18" i="2132"/>
  <c r="R17" i="2132"/>
  <c r="D17" i="2132"/>
  <c r="R16" i="2132"/>
  <c r="L16" i="2132"/>
  <c r="D16" i="2132" s="1"/>
  <c r="S15" i="2132"/>
  <c r="R15" i="2132"/>
  <c r="D15" i="2132"/>
  <c r="S14" i="2132"/>
  <c r="R14" i="2132"/>
  <c r="D14" i="2132"/>
  <c r="R13" i="2132"/>
  <c r="D13" i="2132"/>
  <c r="R12" i="2132"/>
  <c r="R11" i="2132"/>
  <c r="L8" i="2132"/>
  <c r="D8" i="2132"/>
  <c r="L7" i="2132"/>
  <c r="D7" i="2132" s="1"/>
  <c r="R6" i="2132"/>
  <c r="R5" i="2132"/>
  <c r="R4" i="2132"/>
  <c r="R52" i="2131"/>
  <c r="R51" i="2131"/>
  <c r="D50" i="2131"/>
  <c r="R49" i="2131"/>
  <c r="D49" i="2131"/>
  <c r="R48" i="2131"/>
  <c r="D48" i="2131"/>
  <c r="D46" i="2131"/>
  <c r="D45" i="2131"/>
  <c r="R44" i="2131"/>
  <c r="D44" i="2131"/>
  <c r="R42" i="2131"/>
  <c r="L6" i="2131" s="1"/>
  <c r="D6" i="2131" s="1"/>
  <c r="D42" i="2131"/>
  <c r="R41" i="2131"/>
  <c r="D41" i="2131"/>
  <c r="R40" i="2131"/>
  <c r="D40" i="2131"/>
  <c r="R39" i="2131"/>
  <c r="H39" i="2131"/>
  <c r="D39" i="2131"/>
  <c r="R38" i="2131"/>
  <c r="H38" i="2131"/>
  <c r="D38" i="2131"/>
  <c r="R37" i="2131"/>
  <c r="H37" i="2131"/>
  <c r="D37" i="2131"/>
  <c r="R36" i="2131"/>
  <c r="H36" i="2131"/>
  <c r="D36" i="2131"/>
  <c r="R35" i="2131"/>
  <c r="H35" i="2131"/>
  <c r="D35" i="2131"/>
  <c r="R34" i="2131"/>
  <c r="H34" i="2131"/>
  <c r="D34" i="2131"/>
  <c r="R33" i="2131"/>
  <c r="L19" i="2131" s="1"/>
  <c r="D19" i="2131" s="1"/>
  <c r="R32" i="2131"/>
  <c r="L11" i="2131" s="1"/>
  <c r="D11" i="2131" s="1"/>
  <c r="R31" i="2131"/>
  <c r="R30" i="2131"/>
  <c r="R29" i="2131"/>
  <c r="R28" i="2131"/>
  <c r="L28" i="2131"/>
  <c r="D28" i="2131"/>
  <c r="R27" i="2131"/>
  <c r="L27" i="2131"/>
  <c r="D27" i="2131" s="1"/>
  <c r="R26" i="2131"/>
  <c r="L26" i="2131"/>
  <c r="D26" i="2131" s="1"/>
  <c r="R25" i="2131"/>
  <c r="L25" i="2131"/>
  <c r="D25" i="2131" s="1"/>
  <c r="R24" i="2131"/>
  <c r="L24" i="2131"/>
  <c r="D24" i="2131" s="1"/>
  <c r="R23" i="2131"/>
  <c r="L23" i="2131"/>
  <c r="D23" i="2131"/>
  <c r="R22" i="2131"/>
  <c r="L20" i="2131" s="1"/>
  <c r="D20" i="2131" s="1"/>
  <c r="L22" i="2131"/>
  <c r="D22" i="2131"/>
  <c r="R21" i="2131"/>
  <c r="L21" i="2131"/>
  <c r="D21" i="2131"/>
  <c r="R20" i="2131"/>
  <c r="R19" i="2131"/>
  <c r="R18" i="2131"/>
  <c r="L18" i="2131"/>
  <c r="D18" i="2131" s="1"/>
  <c r="R17" i="2131"/>
  <c r="L17" i="2131"/>
  <c r="D17" i="2131" s="1"/>
  <c r="R16" i="2131"/>
  <c r="R15" i="2131"/>
  <c r="L15" i="2131"/>
  <c r="D15" i="2131"/>
  <c r="R14" i="2131"/>
  <c r="D14" i="2131"/>
  <c r="R13" i="2131"/>
  <c r="D13" i="2131"/>
  <c r="R12" i="2131"/>
  <c r="L12" i="2131"/>
  <c r="D12" i="2131" s="1"/>
  <c r="R11" i="2131"/>
  <c r="L10" i="2131"/>
  <c r="D10" i="2131" s="1"/>
  <c r="L9" i="2131"/>
  <c r="D9" i="2131" s="1"/>
  <c r="L8" i="2131"/>
  <c r="D8" i="2131"/>
  <c r="L7" i="2131"/>
  <c r="D7" i="2131" s="1"/>
  <c r="R6" i="2131"/>
  <c r="L16" i="2131" s="1"/>
  <c r="D16" i="2131" s="1"/>
  <c r="R5" i="2131"/>
  <c r="R4" i="2131"/>
  <c r="R52" i="2130"/>
  <c r="R51" i="2130"/>
  <c r="D50" i="2130"/>
  <c r="R49" i="2130"/>
  <c r="D49" i="2130"/>
  <c r="R48" i="2130"/>
  <c r="D48" i="2130"/>
  <c r="D46" i="2130"/>
  <c r="D45" i="2130"/>
  <c r="R44" i="2130"/>
  <c r="L28" i="2130" s="1"/>
  <c r="D28" i="2130" s="1"/>
  <c r="D44" i="2130"/>
  <c r="R42" i="2130"/>
  <c r="D42" i="2130"/>
  <c r="R41" i="2130"/>
  <c r="D41" i="2130"/>
  <c r="R40" i="2130"/>
  <c r="L8" i="2130" s="1"/>
  <c r="D8" i="2130" s="1"/>
  <c r="D40" i="2130"/>
  <c r="R39" i="2130"/>
  <c r="H39" i="2130"/>
  <c r="D39" i="2130"/>
  <c r="R38" i="2130"/>
  <c r="L9" i="2130" s="1"/>
  <c r="D9" i="2130" s="1"/>
  <c r="H38" i="2130"/>
  <c r="D38" i="2130"/>
  <c r="R37" i="2130"/>
  <c r="H37" i="2130"/>
  <c r="D37" i="2130"/>
  <c r="R36" i="2130"/>
  <c r="H36" i="2130"/>
  <c r="D36" i="2130"/>
  <c r="R35" i="2130"/>
  <c r="H35" i="2130"/>
  <c r="D35" i="2130"/>
  <c r="R34" i="2130"/>
  <c r="L12" i="2130" s="1"/>
  <c r="D12" i="2130" s="1"/>
  <c r="H34" i="2130"/>
  <c r="G49" i="2130" s="1"/>
  <c r="D34" i="2130"/>
  <c r="R33" i="2130"/>
  <c r="L19" i="2130" s="1"/>
  <c r="D19" i="2130" s="1"/>
  <c r="R32" i="2130"/>
  <c r="R31" i="2130"/>
  <c r="R30" i="2130"/>
  <c r="R29" i="2130"/>
  <c r="R28" i="2130"/>
  <c r="R27" i="2130"/>
  <c r="L27" i="2130"/>
  <c r="D27" i="2130"/>
  <c r="R26" i="2130"/>
  <c r="L26" i="2130"/>
  <c r="D26" i="2130" s="1"/>
  <c r="R25" i="2130"/>
  <c r="L25" i="2130"/>
  <c r="D25" i="2130" s="1"/>
  <c r="R24" i="2130"/>
  <c r="L24" i="2130"/>
  <c r="D24" i="2130" s="1"/>
  <c r="R23" i="2130"/>
  <c r="L23" i="2130"/>
  <c r="D23" i="2130" s="1"/>
  <c r="R22" i="2130"/>
  <c r="L20" i="2130" s="1"/>
  <c r="D20" i="2130" s="1"/>
  <c r="L22" i="2130"/>
  <c r="D22" i="2130"/>
  <c r="R21" i="2130"/>
  <c r="L17" i="2130" s="1"/>
  <c r="D17" i="2130" s="1"/>
  <c r="D21" i="2130"/>
  <c r="R20" i="2130"/>
  <c r="R19" i="2130"/>
  <c r="R18" i="2130"/>
  <c r="L18" i="2130"/>
  <c r="D18" i="2130"/>
  <c r="R17" i="2130"/>
  <c r="R16" i="2130"/>
  <c r="L16" i="2130"/>
  <c r="D16" i="2130"/>
  <c r="R15" i="2130"/>
  <c r="L15" i="2130"/>
  <c r="D15" i="2130" s="1"/>
  <c r="R14" i="2130"/>
  <c r="D14" i="2130"/>
  <c r="R13" i="2130"/>
  <c r="D13" i="2130"/>
  <c r="R12" i="2130"/>
  <c r="R11" i="2130"/>
  <c r="L11" i="2130"/>
  <c r="D11" i="2130"/>
  <c r="L10" i="2130"/>
  <c r="D10" i="2130"/>
  <c r="L7" i="2130"/>
  <c r="D7" i="2130"/>
  <c r="R6" i="2130"/>
  <c r="L6" i="2130"/>
  <c r="D6" i="2130"/>
  <c r="R5" i="2130"/>
  <c r="R4" i="2130"/>
  <c r="R52" i="2129"/>
  <c r="R51" i="2129"/>
  <c r="D50" i="2129"/>
  <c r="R49" i="2129"/>
  <c r="D49" i="2129"/>
  <c r="R48" i="2129"/>
  <c r="D48" i="2129"/>
  <c r="D46" i="2129"/>
  <c r="D45" i="2129"/>
  <c r="R44" i="2129"/>
  <c r="L28" i="2129" s="1"/>
  <c r="D28" i="2129" s="1"/>
  <c r="D44" i="2129"/>
  <c r="R42" i="2129"/>
  <c r="D42" i="2129"/>
  <c r="R41" i="2129"/>
  <c r="D41" i="2129"/>
  <c r="R40" i="2129"/>
  <c r="L8" i="2129" s="1"/>
  <c r="D8" i="2129" s="1"/>
  <c r="D40" i="2129"/>
  <c r="R39" i="2129"/>
  <c r="H39" i="2129"/>
  <c r="D39" i="2129"/>
  <c r="R38" i="2129"/>
  <c r="H38" i="2129"/>
  <c r="D38" i="2129"/>
  <c r="R37" i="2129"/>
  <c r="H37" i="2129"/>
  <c r="D37" i="2129"/>
  <c r="R36" i="2129"/>
  <c r="H36" i="2129"/>
  <c r="D36" i="2129"/>
  <c r="R35" i="2129"/>
  <c r="H35" i="2129"/>
  <c r="D35" i="2129"/>
  <c r="R34" i="2129"/>
  <c r="H34" i="2129"/>
  <c r="D34" i="2129"/>
  <c r="R33" i="2129"/>
  <c r="L19" i="2129" s="1"/>
  <c r="D19" i="2129" s="1"/>
  <c r="R32" i="2129"/>
  <c r="R31" i="2129"/>
  <c r="R30" i="2129"/>
  <c r="R29" i="2129"/>
  <c r="R28" i="2129"/>
  <c r="R27" i="2129"/>
  <c r="L27" i="2129"/>
  <c r="D27" i="2129" s="1"/>
  <c r="R26" i="2129"/>
  <c r="L26" i="2129"/>
  <c r="D26" i="2129"/>
  <c r="R25" i="2129"/>
  <c r="L25" i="2129"/>
  <c r="D25" i="2129" s="1"/>
  <c r="R24" i="2129"/>
  <c r="L24" i="2129"/>
  <c r="D24" i="2129" s="1"/>
  <c r="R23" i="2129"/>
  <c r="L23" i="2129"/>
  <c r="D23" i="2129" s="1"/>
  <c r="R22" i="2129"/>
  <c r="L22" i="2129"/>
  <c r="D22" i="2129"/>
  <c r="R21" i="2129"/>
  <c r="L21" i="2129"/>
  <c r="D21" i="2129" s="1"/>
  <c r="R20" i="2129"/>
  <c r="L20" i="2129"/>
  <c r="D20" i="2129" s="1"/>
  <c r="R19" i="2129"/>
  <c r="R18" i="2129"/>
  <c r="L18" i="2129"/>
  <c r="D18" i="2129" s="1"/>
  <c r="R17" i="2129"/>
  <c r="L17" i="2129"/>
  <c r="D17" i="2129" s="1"/>
  <c r="R16" i="2129"/>
  <c r="L16" i="2129"/>
  <c r="D16" i="2129"/>
  <c r="R15" i="2129"/>
  <c r="L15" i="2129"/>
  <c r="D15" i="2129" s="1"/>
  <c r="R14" i="2129"/>
  <c r="D14" i="2129"/>
  <c r="R13" i="2129"/>
  <c r="D13" i="2129"/>
  <c r="R12" i="2129"/>
  <c r="L12" i="2129"/>
  <c r="D12" i="2129" s="1"/>
  <c r="R11" i="2129"/>
  <c r="L11" i="2129"/>
  <c r="D11" i="2129"/>
  <c r="L10" i="2129"/>
  <c r="D10" i="2129"/>
  <c r="L9" i="2129"/>
  <c r="D9" i="2129" s="1"/>
  <c r="L7" i="2129"/>
  <c r="D7" i="2129" s="1"/>
  <c r="R6" i="2129"/>
  <c r="L6" i="2129"/>
  <c r="D6" i="2129" s="1"/>
  <c r="R5" i="2129"/>
  <c r="R4" i="2129"/>
  <c r="R52" i="2128"/>
  <c r="R51" i="2128"/>
  <c r="D50" i="2128"/>
  <c r="R49" i="2128"/>
  <c r="G49" i="2128"/>
  <c r="D49" i="2128"/>
  <c r="R48" i="2128"/>
  <c r="D48" i="2128"/>
  <c r="D46" i="2128"/>
  <c r="D45" i="2128"/>
  <c r="D44" i="2128"/>
  <c r="R42" i="2128"/>
  <c r="D42" i="2128"/>
  <c r="R41" i="2128"/>
  <c r="L7" i="2128" s="1"/>
  <c r="D7" i="2128" s="1"/>
  <c r="D41" i="2128"/>
  <c r="R40" i="2128"/>
  <c r="L8" i="2128" s="1"/>
  <c r="D8" i="2128" s="1"/>
  <c r="D40" i="2128"/>
  <c r="R39" i="2128"/>
  <c r="D39" i="2128"/>
  <c r="R38" i="2128"/>
  <c r="L9" i="2128" s="1"/>
  <c r="D9" i="2128" s="1"/>
  <c r="D38" i="2128"/>
  <c r="R37" i="2128"/>
  <c r="D37" i="2128"/>
  <c r="R36" i="2128"/>
  <c r="L10" i="2128" s="1"/>
  <c r="D10" i="2128" s="1"/>
  <c r="D36" i="2128"/>
  <c r="D54" i="2128" s="1"/>
  <c r="H14" i="2128" s="1"/>
  <c r="R35" i="2128"/>
  <c r="L19" i="2128" s="1"/>
  <c r="D19" i="2128" s="1"/>
  <c r="D35" i="2128"/>
  <c r="R34" i="2128"/>
  <c r="L12" i="2128" s="1"/>
  <c r="D12" i="2128" s="1"/>
  <c r="D34" i="2128"/>
  <c r="R33" i="2128"/>
  <c r="L23" i="2128" s="1"/>
  <c r="D23" i="2128" s="1"/>
  <c r="R32" i="2128"/>
  <c r="R31" i="2128"/>
  <c r="R30" i="2128"/>
  <c r="R29" i="2128"/>
  <c r="R28" i="2128"/>
  <c r="D28" i="2128"/>
  <c r="R27" i="2128"/>
  <c r="D27" i="2128"/>
  <c r="R26" i="2128"/>
  <c r="L26" i="2128"/>
  <c r="D26" i="2128" s="1"/>
  <c r="R25" i="2128"/>
  <c r="L25" i="2128"/>
  <c r="D25" i="2128"/>
  <c r="R24" i="2128"/>
  <c r="D24" i="2128"/>
  <c r="R23" i="2128"/>
  <c r="R22" i="2128"/>
  <c r="L22" i="2128"/>
  <c r="D22" i="2128" s="1"/>
  <c r="R21" i="2128"/>
  <c r="D21" i="2128"/>
  <c r="R20" i="2128"/>
  <c r="L20" i="2128"/>
  <c r="D20" i="2128" s="1"/>
  <c r="R19" i="2128"/>
  <c r="R18" i="2128"/>
  <c r="D18" i="2128"/>
  <c r="R17" i="2128"/>
  <c r="D17" i="2128"/>
  <c r="R16" i="2128"/>
  <c r="L16" i="2128"/>
  <c r="D16" i="2128" s="1"/>
  <c r="S15" i="2128"/>
  <c r="R15" i="2128"/>
  <c r="D15" i="2128"/>
  <c r="S14" i="2128"/>
  <c r="R14" i="2128"/>
  <c r="D14" i="2128"/>
  <c r="R13" i="2128"/>
  <c r="D13" i="2128"/>
  <c r="R12" i="2128"/>
  <c r="R11" i="2128"/>
  <c r="L11" i="2128"/>
  <c r="D11" i="2128" s="1"/>
  <c r="R6" i="2128"/>
  <c r="L6" i="2128"/>
  <c r="D6" i="2128"/>
  <c r="R5" i="2128"/>
  <c r="R4" i="2128"/>
  <c r="R52" i="2127"/>
  <c r="R51" i="2127"/>
  <c r="D50" i="2127"/>
  <c r="R49" i="2127"/>
  <c r="D49" i="2127"/>
  <c r="R48" i="2127"/>
  <c r="D48" i="2127"/>
  <c r="D46" i="2127"/>
  <c r="D45" i="2127"/>
  <c r="R44" i="2127"/>
  <c r="D44" i="2127"/>
  <c r="R42" i="2127"/>
  <c r="L6" i="2127" s="1"/>
  <c r="D6" i="2127" s="1"/>
  <c r="D42" i="2127"/>
  <c r="R41" i="2127"/>
  <c r="D41" i="2127"/>
  <c r="R40" i="2127"/>
  <c r="L8" i="2127" s="1"/>
  <c r="D8" i="2127" s="1"/>
  <c r="D40" i="2127"/>
  <c r="R39" i="2127"/>
  <c r="H39" i="2127"/>
  <c r="D39" i="2127"/>
  <c r="R38" i="2127"/>
  <c r="H38" i="2127"/>
  <c r="D38" i="2127"/>
  <c r="R37" i="2127"/>
  <c r="H37" i="2127"/>
  <c r="D37" i="2127"/>
  <c r="R36" i="2127"/>
  <c r="L10" i="2127" s="1"/>
  <c r="D10" i="2127" s="1"/>
  <c r="H36" i="2127"/>
  <c r="D36" i="2127"/>
  <c r="R35" i="2127"/>
  <c r="H35" i="2127"/>
  <c r="D35" i="2127"/>
  <c r="R34" i="2127"/>
  <c r="H34" i="2127"/>
  <c r="D34" i="2127"/>
  <c r="D54" i="2127" s="1"/>
  <c r="H14" i="2127" s="1"/>
  <c r="R33" i="2127"/>
  <c r="L19" i="2127" s="1"/>
  <c r="D19" i="2127" s="1"/>
  <c r="R32" i="2127"/>
  <c r="R31" i="2127"/>
  <c r="R30" i="2127"/>
  <c r="R29" i="2127"/>
  <c r="R28" i="2127"/>
  <c r="L28" i="2127"/>
  <c r="D28" i="2127"/>
  <c r="R27" i="2127"/>
  <c r="L27" i="2127"/>
  <c r="D27" i="2127"/>
  <c r="R26" i="2127"/>
  <c r="L26" i="2127"/>
  <c r="D26" i="2127"/>
  <c r="R25" i="2127"/>
  <c r="L25" i="2127"/>
  <c r="D25" i="2127" s="1"/>
  <c r="R24" i="2127"/>
  <c r="L24" i="2127"/>
  <c r="D24" i="2127"/>
  <c r="R23" i="2127"/>
  <c r="L23" i="2127"/>
  <c r="D23" i="2127"/>
  <c r="R22" i="2127"/>
  <c r="L20" i="2127" s="1"/>
  <c r="D20" i="2127" s="1"/>
  <c r="L22" i="2127"/>
  <c r="D22" i="2127"/>
  <c r="R21" i="2127"/>
  <c r="L21" i="2127"/>
  <c r="D21" i="2127" s="1"/>
  <c r="R20" i="2127"/>
  <c r="R19" i="2127"/>
  <c r="R18" i="2127"/>
  <c r="L18" i="2127"/>
  <c r="D18" i="2127" s="1"/>
  <c r="R17" i="2127"/>
  <c r="L17" i="2127"/>
  <c r="D17" i="2127" s="1"/>
  <c r="R16" i="2127"/>
  <c r="L16" i="2127"/>
  <c r="D16" i="2127" s="1"/>
  <c r="R15" i="2127"/>
  <c r="L15" i="2127"/>
  <c r="D15" i="2127" s="1"/>
  <c r="R14" i="2127"/>
  <c r="D14" i="2127"/>
  <c r="R13" i="2127"/>
  <c r="D13" i="2127"/>
  <c r="R12" i="2127"/>
  <c r="L12" i="2127"/>
  <c r="D12" i="2127" s="1"/>
  <c r="R11" i="2127"/>
  <c r="L11" i="2127"/>
  <c r="D11" i="2127" s="1"/>
  <c r="L9" i="2127"/>
  <c r="D9" i="2127" s="1"/>
  <c r="L7" i="2127"/>
  <c r="D7" i="2127"/>
  <c r="R6" i="2127"/>
  <c r="R5" i="2127"/>
  <c r="R4" i="2127"/>
  <c r="R52" i="2126"/>
  <c r="R51" i="2126"/>
  <c r="D50" i="2126"/>
  <c r="R49" i="2126"/>
  <c r="D49" i="2126"/>
  <c r="R48" i="2126"/>
  <c r="D48" i="2126"/>
  <c r="D46" i="2126"/>
  <c r="D45" i="2126"/>
  <c r="R44" i="2126"/>
  <c r="L28" i="2126" s="1"/>
  <c r="D28" i="2126" s="1"/>
  <c r="D44" i="2126"/>
  <c r="R42" i="2126"/>
  <c r="D42" i="2126"/>
  <c r="R41" i="2126"/>
  <c r="L7" i="2126" s="1"/>
  <c r="D7" i="2126" s="1"/>
  <c r="D41" i="2126"/>
  <c r="R40" i="2126"/>
  <c r="D40" i="2126"/>
  <c r="R39" i="2126"/>
  <c r="H39" i="2126"/>
  <c r="D39" i="2126"/>
  <c r="R38" i="2126"/>
  <c r="L9" i="2126" s="1"/>
  <c r="D9" i="2126" s="1"/>
  <c r="H38" i="2126"/>
  <c r="D38" i="2126"/>
  <c r="R37" i="2126"/>
  <c r="H37" i="2126"/>
  <c r="D37" i="2126"/>
  <c r="R36" i="2126"/>
  <c r="H36" i="2126"/>
  <c r="D36" i="2126"/>
  <c r="R35" i="2126"/>
  <c r="L18" i="2126" s="1"/>
  <c r="D18" i="2126" s="1"/>
  <c r="H35" i="2126"/>
  <c r="D35" i="2126"/>
  <c r="R34" i="2126"/>
  <c r="L12" i="2126" s="1"/>
  <c r="D12" i="2126" s="1"/>
  <c r="H34" i="2126"/>
  <c r="G49" i="2126" s="1"/>
  <c r="D34" i="2126"/>
  <c r="D54" i="2126" s="1"/>
  <c r="H14" i="2126" s="1"/>
  <c r="R33" i="2126"/>
  <c r="R32" i="2126"/>
  <c r="L11" i="2126" s="1"/>
  <c r="D11" i="2126" s="1"/>
  <c r="R31" i="2126"/>
  <c r="R30" i="2126"/>
  <c r="R29" i="2126"/>
  <c r="R28" i="2126"/>
  <c r="R27" i="2126"/>
  <c r="L27" i="2126"/>
  <c r="D27" i="2126" s="1"/>
  <c r="R26" i="2126"/>
  <c r="L26" i="2126"/>
  <c r="D26" i="2126" s="1"/>
  <c r="R25" i="2126"/>
  <c r="L25" i="2126"/>
  <c r="D25" i="2126" s="1"/>
  <c r="R24" i="2126"/>
  <c r="L24" i="2126"/>
  <c r="D24" i="2126"/>
  <c r="R23" i="2126"/>
  <c r="L23" i="2126"/>
  <c r="D23" i="2126"/>
  <c r="R22" i="2126"/>
  <c r="L22" i="2126"/>
  <c r="D22" i="2126" s="1"/>
  <c r="R21" i="2126"/>
  <c r="L17" i="2126" s="1"/>
  <c r="D17" i="2126" s="1"/>
  <c r="L21" i="2126"/>
  <c r="D21" i="2126" s="1"/>
  <c r="R20" i="2126"/>
  <c r="L20" i="2126"/>
  <c r="D20" i="2126"/>
  <c r="R19" i="2126"/>
  <c r="L19" i="2126"/>
  <c r="D19" i="2126" s="1"/>
  <c r="R18" i="2126"/>
  <c r="R17" i="2126"/>
  <c r="R16" i="2126"/>
  <c r="R15" i="2126"/>
  <c r="R14" i="2126"/>
  <c r="D14" i="2126"/>
  <c r="R13" i="2126"/>
  <c r="D13" i="2126"/>
  <c r="R12" i="2126"/>
  <c r="R11" i="2126"/>
  <c r="L10" i="2126"/>
  <c r="D10" i="2126" s="1"/>
  <c r="L8" i="2126"/>
  <c r="D8" i="2126" s="1"/>
  <c r="R6" i="2126"/>
  <c r="L16" i="2126" s="1"/>
  <c r="D16" i="2126" s="1"/>
  <c r="L6" i="2126"/>
  <c r="D6" i="2126"/>
  <c r="R5" i="2126"/>
  <c r="R4" i="2126"/>
  <c r="L15" i="2126" s="1"/>
  <c r="D15" i="2126" s="1"/>
  <c r="R52" i="2125"/>
  <c r="R51" i="2125"/>
  <c r="D50" i="2125"/>
  <c r="R49" i="2125"/>
  <c r="D49" i="2125"/>
  <c r="R48" i="2125"/>
  <c r="D48" i="2125"/>
  <c r="D46" i="2125"/>
  <c r="D45" i="2125"/>
  <c r="R44" i="2125"/>
  <c r="L28" i="2125" s="1"/>
  <c r="D28" i="2125" s="1"/>
  <c r="D44" i="2125"/>
  <c r="R42" i="2125"/>
  <c r="D42" i="2125"/>
  <c r="R41" i="2125"/>
  <c r="D41" i="2125"/>
  <c r="R40" i="2125"/>
  <c r="D40" i="2125"/>
  <c r="R39" i="2125"/>
  <c r="H39" i="2125"/>
  <c r="D39" i="2125"/>
  <c r="R38" i="2125"/>
  <c r="H38" i="2125"/>
  <c r="D38" i="2125"/>
  <c r="R37" i="2125"/>
  <c r="H37" i="2125"/>
  <c r="D37" i="2125"/>
  <c r="R36" i="2125"/>
  <c r="H36" i="2125"/>
  <c r="D36" i="2125"/>
  <c r="R35" i="2125"/>
  <c r="H35" i="2125"/>
  <c r="D35" i="2125"/>
  <c r="R34" i="2125"/>
  <c r="L12" i="2125" s="1"/>
  <c r="D12" i="2125" s="1"/>
  <c r="H34" i="2125"/>
  <c r="G49" i="2125" s="1"/>
  <c r="D34" i="2125"/>
  <c r="D54" i="2125" s="1"/>
  <c r="H14" i="2125" s="1"/>
  <c r="R33" i="2125"/>
  <c r="R32" i="2125"/>
  <c r="L11" i="2125" s="1"/>
  <c r="D11" i="2125" s="1"/>
  <c r="R31" i="2125"/>
  <c r="R30" i="2125"/>
  <c r="R29" i="2125"/>
  <c r="R28" i="2125"/>
  <c r="R27" i="2125"/>
  <c r="L27" i="2125"/>
  <c r="D27" i="2125" s="1"/>
  <c r="R26" i="2125"/>
  <c r="L26" i="2125"/>
  <c r="D26" i="2125"/>
  <c r="R25" i="2125"/>
  <c r="L25" i="2125"/>
  <c r="D25" i="2125" s="1"/>
  <c r="R24" i="2125"/>
  <c r="L24" i="2125"/>
  <c r="D24" i="2125" s="1"/>
  <c r="R23" i="2125"/>
  <c r="L23" i="2125"/>
  <c r="D23" i="2125"/>
  <c r="R22" i="2125"/>
  <c r="L20" i="2125" s="1"/>
  <c r="D20" i="2125" s="1"/>
  <c r="L22" i="2125"/>
  <c r="D22" i="2125" s="1"/>
  <c r="R21" i="2125"/>
  <c r="L17" i="2125" s="1"/>
  <c r="D17" i="2125" s="1"/>
  <c r="D21" i="2125"/>
  <c r="R20" i="2125"/>
  <c r="R19" i="2125"/>
  <c r="L19" i="2125"/>
  <c r="D19" i="2125" s="1"/>
  <c r="R18" i="2125"/>
  <c r="L18" i="2125"/>
  <c r="D18" i="2125"/>
  <c r="R17" i="2125"/>
  <c r="R16" i="2125"/>
  <c r="R15" i="2125"/>
  <c r="R14" i="2125"/>
  <c r="D14" i="2125"/>
  <c r="R13" i="2125"/>
  <c r="D13" i="2125"/>
  <c r="R12" i="2125"/>
  <c r="R11" i="2125"/>
  <c r="L10" i="2125"/>
  <c r="D10" i="2125" s="1"/>
  <c r="L9" i="2125"/>
  <c r="D9" i="2125" s="1"/>
  <c r="L8" i="2125"/>
  <c r="D8" i="2125" s="1"/>
  <c r="L7" i="2125"/>
  <c r="D7" i="2125" s="1"/>
  <c r="R6" i="2125"/>
  <c r="L16" i="2125" s="1"/>
  <c r="D16" i="2125" s="1"/>
  <c r="L6" i="2125"/>
  <c r="D6" i="2125" s="1"/>
  <c r="R5" i="2125"/>
  <c r="R4" i="2125"/>
  <c r="L15" i="2125" s="1"/>
  <c r="D15" i="2125" s="1"/>
  <c r="R52" i="2123"/>
  <c r="R51" i="2123"/>
  <c r="D50" i="2123"/>
  <c r="R49" i="2123"/>
  <c r="G49" i="2123"/>
  <c r="D49" i="2123"/>
  <c r="R48" i="2123"/>
  <c r="D48" i="2123"/>
  <c r="D46" i="2123"/>
  <c r="D45" i="2123"/>
  <c r="D44" i="2123"/>
  <c r="R42" i="2123"/>
  <c r="D42" i="2123"/>
  <c r="R41" i="2123"/>
  <c r="L7" i="2123" s="1"/>
  <c r="D7" i="2123" s="1"/>
  <c r="D41" i="2123"/>
  <c r="R40" i="2123"/>
  <c r="L8" i="2123" s="1"/>
  <c r="D8" i="2123" s="1"/>
  <c r="D40" i="2123"/>
  <c r="R39" i="2123"/>
  <c r="D39" i="2123"/>
  <c r="R38" i="2123"/>
  <c r="D38" i="2123"/>
  <c r="R37" i="2123"/>
  <c r="D37" i="2123"/>
  <c r="R36" i="2123"/>
  <c r="L10" i="2123" s="1"/>
  <c r="D10" i="2123" s="1"/>
  <c r="D36" i="2123"/>
  <c r="R35" i="2123"/>
  <c r="D35" i="2123"/>
  <c r="R34" i="2123"/>
  <c r="D34" i="2123"/>
  <c r="D54" i="2123" s="1"/>
  <c r="H14" i="2123" s="1"/>
  <c r="R33" i="2123"/>
  <c r="L23" i="2123" s="1"/>
  <c r="D23" i="2123" s="1"/>
  <c r="R32" i="2123"/>
  <c r="R31" i="2123"/>
  <c r="R30" i="2123"/>
  <c r="R29" i="2123"/>
  <c r="R28" i="2123"/>
  <c r="D28" i="2123"/>
  <c r="R27" i="2123"/>
  <c r="D27" i="2123"/>
  <c r="R26" i="2123"/>
  <c r="L26" i="2123"/>
  <c r="D26" i="2123"/>
  <c r="R25" i="2123"/>
  <c r="L25" i="2123"/>
  <c r="D25" i="2123"/>
  <c r="R24" i="2123"/>
  <c r="D24" i="2123"/>
  <c r="R23" i="2123"/>
  <c r="R22" i="2123"/>
  <c r="L22" i="2123"/>
  <c r="D22" i="2123"/>
  <c r="R21" i="2123"/>
  <c r="D21" i="2123"/>
  <c r="R20" i="2123"/>
  <c r="L20" i="2123"/>
  <c r="D20" i="2123"/>
  <c r="R19" i="2123"/>
  <c r="L19" i="2123"/>
  <c r="D19" i="2123"/>
  <c r="R18" i="2123"/>
  <c r="D18" i="2123"/>
  <c r="R17" i="2123"/>
  <c r="D17" i="2123"/>
  <c r="R16" i="2123"/>
  <c r="L16" i="2123"/>
  <c r="D16" i="2123" s="1"/>
  <c r="S15" i="2123"/>
  <c r="R15" i="2123"/>
  <c r="D15" i="2123"/>
  <c r="S14" i="2123"/>
  <c r="R14" i="2123"/>
  <c r="D14" i="2123"/>
  <c r="R13" i="2123"/>
  <c r="D13" i="2123"/>
  <c r="R12" i="2123"/>
  <c r="L12" i="2123"/>
  <c r="D12" i="2123" s="1"/>
  <c r="R11" i="2123"/>
  <c r="L11" i="2123"/>
  <c r="D11" i="2123"/>
  <c r="L9" i="2123"/>
  <c r="D9" i="2123" s="1"/>
  <c r="R6" i="2123"/>
  <c r="L6" i="2123"/>
  <c r="D6" i="2123" s="1"/>
  <c r="R5" i="2123"/>
  <c r="R4" i="2123"/>
  <c r="R52" i="2122"/>
  <c r="R51" i="2122"/>
  <c r="D50" i="2122"/>
  <c r="R49" i="2122"/>
  <c r="D49" i="2122"/>
  <c r="R48" i="2122"/>
  <c r="D48" i="2122"/>
  <c r="D46" i="2122"/>
  <c r="D45" i="2122"/>
  <c r="R44" i="2122"/>
  <c r="D44" i="2122"/>
  <c r="R42" i="2122"/>
  <c r="L6" i="2122" s="1"/>
  <c r="D6" i="2122" s="1"/>
  <c r="D42" i="2122"/>
  <c r="R41" i="2122"/>
  <c r="L7" i="2122" s="1"/>
  <c r="D7" i="2122" s="1"/>
  <c r="D41" i="2122"/>
  <c r="R40" i="2122"/>
  <c r="L8" i="2122" s="1"/>
  <c r="D8" i="2122" s="1"/>
  <c r="D40" i="2122"/>
  <c r="R39" i="2122"/>
  <c r="H39" i="2122"/>
  <c r="D39" i="2122"/>
  <c r="R38" i="2122"/>
  <c r="H38" i="2122"/>
  <c r="D38" i="2122"/>
  <c r="R37" i="2122"/>
  <c r="H37" i="2122"/>
  <c r="D37" i="2122"/>
  <c r="R36" i="2122"/>
  <c r="L10" i="2122" s="1"/>
  <c r="D10" i="2122" s="1"/>
  <c r="H36" i="2122"/>
  <c r="D36" i="2122"/>
  <c r="R35" i="2122"/>
  <c r="L18" i="2122" s="1"/>
  <c r="D18" i="2122" s="1"/>
  <c r="H35" i="2122"/>
  <c r="D35" i="2122"/>
  <c r="R34" i="2122"/>
  <c r="H34" i="2122"/>
  <c r="D34" i="2122"/>
  <c r="R33" i="2122"/>
  <c r="R32" i="2122"/>
  <c r="R31" i="2122"/>
  <c r="R30" i="2122"/>
  <c r="R29" i="2122"/>
  <c r="R28" i="2122"/>
  <c r="L28" i="2122"/>
  <c r="D28" i="2122"/>
  <c r="R27" i="2122"/>
  <c r="L27" i="2122"/>
  <c r="D27" i="2122"/>
  <c r="R26" i="2122"/>
  <c r="L26" i="2122"/>
  <c r="D26" i="2122"/>
  <c r="R25" i="2122"/>
  <c r="L25" i="2122"/>
  <c r="D25" i="2122"/>
  <c r="R24" i="2122"/>
  <c r="L24" i="2122"/>
  <c r="D24" i="2122" s="1"/>
  <c r="R23" i="2122"/>
  <c r="L23" i="2122"/>
  <c r="D23" i="2122"/>
  <c r="R22" i="2122"/>
  <c r="L20" i="2122" s="1"/>
  <c r="D20" i="2122" s="1"/>
  <c r="L22" i="2122"/>
  <c r="D22" i="2122" s="1"/>
  <c r="R21" i="2122"/>
  <c r="L21" i="2122"/>
  <c r="D21" i="2122" s="1"/>
  <c r="R20" i="2122"/>
  <c r="R19" i="2122"/>
  <c r="L19" i="2122"/>
  <c r="D19" i="2122"/>
  <c r="R18" i="2122"/>
  <c r="R17" i="2122"/>
  <c r="L17" i="2122"/>
  <c r="D17" i="2122"/>
  <c r="R16" i="2122"/>
  <c r="L16" i="2122"/>
  <c r="D16" i="2122" s="1"/>
  <c r="R15" i="2122"/>
  <c r="R14" i="2122"/>
  <c r="D14" i="2122"/>
  <c r="R13" i="2122"/>
  <c r="D13" i="2122"/>
  <c r="R12" i="2122"/>
  <c r="L12" i="2122"/>
  <c r="D12" i="2122"/>
  <c r="R11" i="2122"/>
  <c r="L11" i="2122"/>
  <c r="D11" i="2122" s="1"/>
  <c r="L9" i="2122"/>
  <c r="D9" i="2122" s="1"/>
  <c r="R6" i="2122"/>
  <c r="R5" i="2122"/>
  <c r="R4" i="2122"/>
  <c r="L15" i="2122" s="1"/>
  <c r="D15" i="2122" s="1"/>
  <c r="R52" i="2121"/>
  <c r="R51" i="2121"/>
  <c r="D50" i="2121"/>
  <c r="R49" i="2121"/>
  <c r="D49" i="2121"/>
  <c r="R48" i="2121"/>
  <c r="D48" i="2121"/>
  <c r="D46" i="2121"/>
  <c r="D45" i="2121"/>
  <c r="R44" i="2121"/>
  <c r="L28" i="2121" s="1"/>
  <c r="D28" i="2121" s="1"/>
  <c r="D44" i="2121"/>
  <c r="R42" i="2121"/>
  <c r="D42" i="2121"/>
  <c r="R41" i="2121"/>
  <c r="D41" i="2121"/>
  <c r="R40" i="2121"/>
  <c r="L8" i="2121" s="1"/>
  <c r="D8" i="2121" s="1"/>
  <c r="D40" i="2121"/>
  <c r="R39" i="2121"/>
  <c r="H39" i="2121"/>
  <c r="D39" i="2121"/>
  <c r="R38" i="2121"/>
  <c r="H38" i="2121"/>
  <c r="D38" i="2121"/>
  <c r="R37" i="2121"/>
  <c r="H37" i="2121"/>
  <c r="D37" i="2121"/>
  <c r="R36" i="2121"/>
  <c r="L10" i="2121" s="1"/>
  <c r="D10" i="2121" s="1"/>
  <c r="H36" i="2121"/>
  <c r="D36" i="2121"/>
  <c r="R35" i="2121"/>
  <c r="L18" i="2121" s="1"/>
  <c r="D18" i="2121" s="1"/>
  <c r="H35" i="2121"/>
  <c r="D35" i="2121"/>
  <c r="R34" i="2121"/>
  <c r="H34" i="2121"/>
  <c r="D34" i="2121"/>
  <c r="R33" i="2121"/>
  <c r="L19" i="2121" s="1"/>
  <c r="D19" i="2121" s="1"/>
  <c r="R32" i="2121"/>
  <c r="R31" i="2121"/>
  <c r="R30" i="2121"/>
  <c r="R29" i="2121"/>
  <c r="R28" i="2121"/>
  <c r="R27" i="2121"/>
  <c r="L27" i="2121"/>
  <c r="D27" i="2121" s="1"/>
  <c r="R26" i="2121"/>
  <c r="L26" i="2121"/>
  <c r="D26" i="2121"/>
  <c r="R25" i="2121"/>
  <c r="L25" i="2121"/>
  <c r="D25" i="2121"/>
  <c r="R24" i="2121"/>
  <c r="L24" i="2121"/>
  <c r="D24" i="2121" s="1"/>
  <c r="R23" i="2121"/>
  <c r="L23" i="2121"/>
  <c r="D23" i="2121" s="1"/>
  <c r="R22" i="2121"/>
  <c r="L22" i="2121"/>
  <c r="D22" i="2121" s="1"/>
  <c r="R21" i="2121"/>
  <c r="L17" i="2121" s="1"/>
  <c r="D17" i="2121" s="1"/>
  <c r="D21" i="2121"/>
  <c r="R20" i="2121"/>
  <c r="L20" i="2121"/>
  <c r="D20" i="2121"/>
  <c r="R19" i="2121"/>
  <c r="R18" i="2121"/>
  <c r="R17" i="2121"/>
  <c r="R16" i="2121"/>
  <c r="R15" i="2121"/>
  <c r="L15" i="2121"/>
  <c r="D15" i="2121"/>
  <c r="R14" i="2121"/>
  <c r="D14" i="2121"/>
  <c r="R13" i="2121"/>
  <c r="D13" i="2121"/>
  <c r="R12" i="2121"/>
  <c r="L12" i="2121"/>
  <c r="D12" i="2121"/>
  <c r="R11" i="2121"/>
  <c r="L11" i="2121"/>
  <c r="D11" i="2121" s="1"/>
  <c r="L9" i="2121"/>
  <c r="D9" i="2121"/>
  <c r="L7" i="2121"/>
  <c r="D7" i="2121"/>
  <c r="R6" i="2121"/>
  <c r="L16" i="2121" s="1"/>
  <c r="D16" i="2121" s="1"/>
  <c r="L6" i="2121"/>
  <c r="D6" i="2121" s="1"/>
  <c r="R5" i="2121"/>
  <c r="R4" i="2121"/>
  <c r="R52" i="2120"/>
  <c r="R51" i="2120"/>
  <c r="D50" i="2120"/>
  <c r="R49" i="2120"/>
  <c r="D49" i="2120"/>
  <c r="R48" i="2120"/>
  <c r="D48" i="2120"/>
  <c r="D46" i="2120"/>
  <c r="D45" i="2120"/>
  <c r="R44" i="2120"/>
  <c r="L28" i="2120" s="1"/>
  <c r="D28" i="2120" s="1"/>
  <c r="D44" i="2120"/>
  <c r="R42" i="2120"/>
  <c r="D42" i="2120"/>
  <c r="R41" i="2120"/>
  <c r="D41" i="2120"/>
  <c r="R40" i="2120"/>
  <c r="L8" i="2120" s="1"/>
  <c r="D8" i="2120" s="1"/>
  <c r="D40" i="2120"/>
  <c r="R39" i="2120"/>
  <c r="H39" i="2120"/>
  <c r="D39" i="2120"/>
  <c r="R38" i="2120"/>
  <c r="H38" i="2120"/>
  <c r="D38" i="2120"/>
  <c r="R37" i="2120"/>
  <c r="H37" i="2120"/>
  <c r="D37" i="2120"/>
  <c r="R36" i="2120"/>
  <c r="H36" i="2120"/>
  <c r="D36" i="2120"/>
  <c r="R35" i="2120"/>
  <c r="H35" i="2120"/>
  <c r="D35" i="2120"/>
  <c r="R34" i="2120"/>
  <c r="H34" i="2120"/>
  <c r="G49" i="2120" s="1"/>
  <c r="D34" i="2120"/>
  <c r="D54" i="2120" s="1"/>
  <c r="H14" i="2120" s="1"/>
  <c r="R33" i="2120"/>
  <c r="L19" i="2120" s="1"/>
  <c r="D19" i="2120" s="1"/>
  <c r="R32" i="2120"/>
  <c r="R31" i="2120"/>
  <c r="R30" i="2120"/>
  <c r="R29" i="2120"/>
  <c r="R28" i="2120"/>
  <c r="R27" i="2120"/>
  <c r="L27" i="2120"/>
  <c r="D27" i="2120"/>
  <c r="R26" i="2120"/>
  <c r="L26" i="2120"/>
  <c r="D26" i="2120"/>
  <c r="R25" i="2120"/>
  <c r="L25" i="2120"/>
  <c r="D25" i="2120" s="1"/>
  <c r="R24" i="2120"/>
  <c r="L24" i="2120"/>
  <c r="D24" i="2120" s="1"/>
  <c r="R23" i="2120"/>
  <c r="L23" i="2120"/>
  <c r="D23" i="2120" s="1"/>
  <c r="R22" i="2120"/>
  <c r="L20" i="2120" s="1"/>
  <c r="D20" i="2120" s="1"/>
  <c r="L22" i="2120"/>
  <c r="D22" i="2120"/>
  <c r="R21" i="2120"/>
  <c r="L21" i="2120"/>
  <c r="D21" i="2120" s="1"/>
  <c r="R20" i="2120"/>
  <c r="R19" i="2120"/>
  <c r="R18" i="2120"/>
  <c r="L18" i="2120"/>
  <c r="D18" i="2120" s="1"/>
  <c r="R17" i="2120"/>
  <c r="L17" i="2120"/>
  <c r="D17" i="2120" s="1"/>
  <c r="R16" i="2120"/>
  <c r="L16" i="2120"/>
  <c r="D16" i="2120" s="1"/>
  <c r="R15" i="2120"/>
  <c r="L15" i="2120"/>
  <c r="D15" i="2120" s="1"/>
  <c r="R14" i="2120"/>
  <c r="D14" i="2120"/>
  <c r="R13" i="2120"/>
  <c r="D13" i="2120"/>
  <c r="R12" i="2120"/>
  <c r="L12" i="2120"/>
  <c r="D12" i="2120" s="1"/>
  <c r="R11" i="2120"/>
  <c r="L11" i="2120"/>
  <c r="D11" i="2120" s="1"/>
  <c r="L10" i="2120"/>
  <c r="D10" i="2120"/>
  <c r="L9" i="2120"/>
  <c r="D9" i="2120" s="1"/>
  <c r="L7" i="2120"/>
  <c r="D7" i="2120" s="1"/>
  <c r="R6" i="2120"/>
  <c r="L6" i="2120"/>
  <c r="D6" i="2120" s="1"/>
  <c r="R5" i="2120"/>
  <c r="R4" i="2120"/>
  <c r="R52" i="2119"/>
  <c r="R51" i="2119"/>
  <c r="D50" i="2119"/>
  <c r="R49" i="2119"/>
  <c r="G49" i="2119"/>
  <c r="D49" i="2119"/>
  <c r="R48" i="2119"/>
  <c r="D48" i="2119"/>
  <c r="D46" i="2119"/>
  <c r="D45" i="2119"/>
  <c r="D44" i="2119"/>
  <c r="R42" i="2119"/>
  <c r="D42" i="2119"/>
  <c r="R41" i="2119"/>
  <c r="L7" i="2119" s="1"/>
  <c r="D7" i="2119" s="1"/>
  <c r="D41" i="2119"/>
  <c r="R40" i="2119"/>
  <c r="D40" i="2119"/>
  <c r="R39" i="2119"/>
  <c r="D39" i="2119"/>
  <c r="R38" i="2119"/>
  <c r="D38" i="2119"/>
  <c r="R37" i="2119"/>
  <c r="D37" i="2119"/>
  <c r="R36" i="2119"/>
  <c r="D36" i="2119"/>
  <c r="R35" i="2119"/>
  <c r="L19" i="2119" s="1"/>
  <c r="D19" i="2119" s="1"/>
  <c r="D35" i="2119"/>
  <c r="D54" i="2119" s="1"/>
  <c r="H14" i="2119" s="1"/>
  <c r="R34" i="2119"/>
  <c r="D34" i="2119"/>
  <c r="R33" i="2119"/>
  <c r="L23" i="2119" s="1"/>
  <c r="D23" i="2119" s="1"/>
  <c r="R32" i="2119"/>
  <c r="R31" i="2119"/>
  <c r="R30" i="2119"/>
  <c r="R29" i="2119"/>
  <c r="R28" i="2119"/>
  <c r="D28" i="2119"/>
  <c r="R27" i="2119"/>
  <c r="D27" i="2119"/>
  <c r="R26" i="2119"/>
  <c r="L26" i="2119"/>
  <c r="D26" i="2119"/>
  <c r="R25" i="2119"/>
  <c r="L25" i="2119"/>
  <c r="D25" i="2119"/>
  <c r="R24" i="2119"/>
  <c r="D24" i="2119"/>
  <c r="R23" i="2119"/>
  <c r="R22" i="2119"/>
  <c r="L22" i="2119"/>
  <c r="D22" i="2119" s="1"/>
  <c r="R21" i="2119"/>
  <c r="D21" i="2119"/>
  <c r="R20" i="2119"/>
  <c r="L20" i="2119"/>
  <c r="D20" i="2119"/>
  <c r="R19" i="2119"/>
  <c r="R18" i="2119"/>
  <c r="D18" i="2119"/>
  <c r="R17" i="2119"/>
  <c r="D17" i="2119"/>
  <c r="R16" i="2119"/>
  <c r="L16" i="2119"/>
  <c r="D16" i="2119" s="1"/>
  <c r="S15" i="2119"/>
  <c r="R15" i="2119"/>
  <c r="D15" i="2119"/>
  <c r="S14" i="2119"/>
  <c r="R14" i="2119"/>
  <c r="D14" i="2119"/>
  <c r="R13" i="2119"/>
  <c r="D13" i="2119"/>
  <c r="R12" i="2119"/>
  <c r="L12" i="2119"/>
  <c r="D12" i="2119"/>
  <c r="R11" i="2119"/>
  <c r="L11" i="2119"/>
  <c r="D11" i="2119" s="1"/>
  <c r="L10" i="2119"/>
  <c r="D10" i="2119" s="1"/>
  <c r="L9" i="2119"/>
  <c r="D9" i="2119" s="1"/>
  <c r="L8" i="2119"/>
  <c r="D8" i="2119" s="1"/>
  <c r="R6" i="2119"/>
  <c r="L6" i="2119"/>
  <c r="D6" i="2119"/>
  <c r="D29" i="2119" s="1"/>
  <c r="H13" i="2119" s="1"/>
  <c r="H15" i="2119" s="1"/>
  <c r="H29" i="2119" s="1"/>
  <c r="R5" i="2119"/>
  <c r="R4" i="2119"/>
  <c r="R52" i="2118"/>
  <c r="R51" i="2118"/>
  <c r="D50" i="2118"/>
  <c r="R49" i="2118"/>
  <c r="D49" i="2118"/>
  <c r="R48" i="2118"/>
  <c r="D48" i="2118"/>
  <c r="D46" i="2118"/>
  <c r="D45" i="2118"/>
  <c r="R44" i="2118"/>
  <c r="L28" i="2118" s="1"/>
  <c r="D28" i="2118" s="1"/>
  <c r="D44" i="2118"/>
  <c r="R42" i="2118"/>
  <c r="D42" i="2118"/>
  <c r="R41" i="2118"/>
  <c r="D41" i="2118"/>
  <c r="R40" i="2118"/>
  <c r="L8" i="2118" s="1"/>
  <c r="D8" i="2118" s="1"/>
  <c r="D40" i="2118"/>
  <c r="R39" i="2118"/>
  <c r="H39" i="2118"/>
  <c r="D39" i="2118"/>
  <c r="R38" i="2118"/>
  <c r="H38" i="2118"/>
  <c r="D38" i="2118"/>
  <c r="R37" i="2118"/>
  <c r="H37" i="2118"/>
  <c r="D37" i="2118"/>
  <c r="R36" i="2118"/>
  <c r="H36" i="2118"/>
  <c r="D36" i="2118"/>
  <c r="R35" i="2118"/>
  <c r="H35" i="2118"/>
  <c r="D35" i="2118"/>
  <c r="R34" i="2118"/>
  <c r="L12" i="2118" s="1"/>
  <c r="D12" i="2118" s="1"/>
  <c r="H34" i="2118"/>
  <c r="D34" i="2118"/>
  <c r="R33" i="2118"/>
  <c r="L19" i="2118" s="1"/>
  <c r="D19" i="2118" s="1"/>
  <c r="R32" i="2118"/>
  <c r="L11" i="2118" s="1"/>
  <c r="D11" i="2118" s="1"/>
  <c r="R31" i="2118"/>
  <c r="R30" i="2118"/>
  <c r="R29" i="2118"/>
  <c r="R28" i="2118"/>
  <c r="R27" i="2118"/>
  <c r="D27" i="2118"/>
  <c r="R26" i="2118"/>
  <c r="L26" i="2118"/>
  <c r="D26" i="2118"/>
  <c r="R25" i="2118"/>
  <c r="L25" i="2118"/>
  <c r="D25" i="2118" s="1"/>
  <c r="R24" i="2118"/>
  <c r="L24" i="2118"/>
  <c r="D24" i="2118" s="1"/>
  <c r="R23" i="2118"/>
  <c r="L23" i="2118"/>
  <c r="D23" i="2118" s="1"/>
  <c r="R22" i="2118"/>
  <c r="L22" i="2118"/>
  <c r="D22" i="2118"/>
  <c r="R21" i="2118"/>
  <c r="L21" i="2118"/>
  <c r="D21" i="2118" s="1"/>
  <c r="R20" i="2118"/>
  <c r="L20" i="2118"/>
  <c r="D20" i="2118" s="1"/>
  <c r="R19" i="2118"/>
  <c r="R18" i="2118"/>
  <c r="L18" i="2118"/>
  <c r="D18" i="2118"/>
  <c r="R17" i="2118"/>
  <c r="L17" i="2118"/>
  <c r="D17" i="2118" s="1"/>
  <c r="R16" i="2118"/>
  <c r="R15" i="2118"/>
  <c r="L15" i="2118"/>
  <c r="D15" i="2118" s="1"/>
  <c r="R14" i="2118"/>
  <c r="D14" i="2118"/>
  <c r="R13" i="2118"/>
  <c r="D13" i="2118"/>
  <c r="R12" i="2118"/>
  <c r="R11" i="2118"/>
  <c r="L10" i="2118"/>
  <c r="D10" i="2118"/>
  <c r="L9" i="2118"/>
  <c r="D9" i="2118" s="1"/>
  <c r="L7" i="2118"/>
  <c r="D7" i="2118" s="1"/>
  <c r="R6" i="2118"/>
  <c r="L16" i="2118" s="1"/>
  <c r="D16" i="2118" s="1"/>
  <c r="L6" i="2118"/>
  <c r="D6" i="2118" s="1"/>
  <c r="R5" i="2118"/>
  <c r="R4" i="2118"/>
  <c r="R52" i="2117"/>
  <c r="R51" i="2117"/>
  <c r="D50" i="2117"/>
  <c r="R49" i="2117"/>
  <c r="D49" i="2117"/>
  <c r="R48" i="2117"/>
  <c r="D48" i="2117"/>
  <c r="D46" i="2117"/>
  <c r="D45" i="2117"/>
  <c r="R44" i="2117"/>
  <c r="L28" i="2117" s="1"/>
  <c r="D28" i="2117" s="1"/>
  <c r="D44" i="2117"/>
  <c r="R42" i="2117"/>
  <c r="D42" i="2117"/>
  <c r="R41" i="2117"/>
  <c r="L7" i="2117" s="1"/>
  <c r="D7" i="2117" s="1"/>
  <c r="D41" i="2117"/>
  <c r="R40" i="2117"/>
  <c r="D40" i="2117"/>
  <c r="R39" i="2117"/>
  <c r="H39" i="2117"/>
  <c r="D39" i="2117"/>
  <c r="R38" i="2117"/>
  <c r="H38" i="2117"/>
  <c r="D38" i="2117"/>
  <c r="R37" i="2117"/>
  <c r="H37" i="2117"/>
  <c r="D37" i="2117"/>
  <c r="R36" i="2117"/>
  <c r="L10" i="2117" s="1"/>
  <c r="D10" i="2117" s="1"/>
  <c r="H36" i="2117"/>
  <c r="D36" i="2117"/>
  <c r="R35" i="2117"/>
  <c r="L18" i="2117" s="1"/>
  <c r="D18" i="2117" s="1"/>
  <c r="H35" i="2117"/>
  <c r="D35" i="2117"/>
  <c r="R34" i="2117"/>
  <c r="L12" i="2117" s="1"/>
  <c r="D12" i="2117" s="1"/>
  <c r="H34" i="2117"/>
  <c r="D34" i="2117"/>
  <c r="R33" i="2117"/>
  <c r="R32" i="2117"/>
  <c r="L11" i="2117" s="1"/>
  <c r="D11" i="2117" s="1"/>
  <c r="R31" i="2117"/>
  <c r="R30" i="2117"/>
  <c r="R29" i="2117"/>
  <c r="R28" i="2117"/>
  <c r="R27" i="2117"/>
  <c r="L27" i="2117"/>
  <c r="D27" i="2117"/>
  <c r="R26" i="2117"/>
  <c r="L26" i="2117"/>
  <c r="D26" i="2117"/>
  <c r="R25" i="2117"/>
  <c r="L25" i="2117"/>
  <c r="D25" i="2117"/>
  <c r="R24" i="2117"/>
  <c r="L24" i="2117"/>
  <c r="D24" i="2117" s="1"/>
  <c r="R23" i="2117"/>
  <c r="L23" i="2117"/>
  <c r="D23" i="2117" s="1"/>
  <c r="R22" i="2117"/>
  <c r="L22" i="2117"/>
  <c r="D22" i="2117" s="1"/>
  <c r="R21" i="2117"/>
  <c r="L17" i="2117" s="1"/>
  <c r="D17" i="2117" s="1"/>
  <c r="D21" i="2117"/>
  <c r="R20" i="2117"/>
  <c r="L20" i="2117"/>
  <c r="D20" i="2117" s="1"/>
  <c r="R19" i="2117"/>
  <c r="L19" i="2117"/>
  <c r="D19" i="2117" s="1"/>
  <c r="R18" i="2117"/>
  <c r="R17" i="2117"/>
  <c r="R16" i="2117"/>
  <c r="R15" i="2117"/>
  <c r="L15" i="2117"/>
  <c r="D15" i="2117"/>
  <c r="R14" i="2117"/>
  <c r="D14" i="2117"/>
  <c r="R13" i="2117"/>
  <c r="D13" i="2117"/>
  <c r="R12" i="2117"/>
  <c r="R11" i="2117"/>
  <c r="L9" i="2117"/>
  <c r="D9" i="2117" s="1"/>
  <c r="L8" i="2117"/>
  <c r="D8" i="2117"/>
  <c r="R6" i="2117"/>
  <c r="L16" i="2117" s="1"/>
  <c r="D16" i="2117" s="1"/>
  <c r="L6" i="2117"/>
  <c r="D6" i="2117"/>
  <c r="R5" i="2117"/>
  <c r="R4" i="2117"/>
  <c r="R52" i="2116"/>
  <c r="R51" i="2116"/>
  <c r="D50" i="2116"/>
  <c r="R49" i="2116"/>
  <c r="D49" i="2116"/>
  <c r="R48" i="2116"/>
  <c r="D48" i="2116"/>
  <c r="D46" i="2116"/>
  <c r="D45" i="2116"/>
  <c r="R44" i="2116"/>
  <c r="L28" i="2116" s="1"/>
  <c r="D28" i="2116" s="1"/>
  <c r="D44" i="2116"/>
  <c r="R42" i="2116"/>
  <c r="D42" i="2116"/>
  <c r="R41" i="2116"/>
  <c r="L7" i="2116" s="1"/>
  <c r="D7" i="2116" s="1"/>
  <c r="D41" i="2116"/>
  <c r="R40" i="2116"/>
  <c r="D40" i="2116"/>
  <c r="R39" i="2116"/>
  <c r="H39" i="2116"/>
  <c r="D39" i="2116"/>
  <c r="R38" i="2116"/>
  <c r="H38" i="2116"/>
  <c r="D38" i="2116"/>
  <c r="R37" i="2116"/>
  <c r="H37" i="2116"/>
  <c r="D37" i="2116"/>
  <c r="R36" i="2116"/>
  <c r="H36" i="2116"/>
  <c r="D36" i="2116"/>
  <c r="R35" i="2116"/>
  <c r="L18" i="2116" s="1"/>
  <c r="D18" i="2116" s="1"/>
  <c r="H35" i="2116"/>
  <c r="D35" i="2116"/>
  <c r="R34" i="2116"/>
  <c r="H34" i="2116"/>
  <c r="D34" i="2116"/>
  <c r="R33" i="2116"/>
  <c r="L19" i="2116" s="1"/>
  <c r="D19" i="2116" s="1"/>
  <c r="R32" i="2116"/>
  <c r="L11" i="2116" s="1"/>
  <c r="D11" i="2116" s="1"/>
  <c r="R31" i="2116"/>
  <c r="R30" i="2116"/>
  <c r="R29" i="2116"/>
  <c r="R28" i="2116"/>
  <c r="R27" i="2116"/>
  <c r="L27" i="2116"/>
  <c r="D27" i="2116"/>
  <c r="R26" i="2116"/>
  <c r="L26" i="2116"/>
  <c r="D26" i="2116"/>
  <c r="R25" i="2116"/>
  <c r="L25" i="2116"/>
  <c r="D25" i="2116"/>
  <c r="R24" i="2116"/>
  <c r="L24" i="2116"/>
  <c r="D24" i="2116" s="1"/>
  <c r="R23" i="2116"/>
  <c r="L23" i="2116"/>
  <c r="D23" i="2116" s="1"/>
  <c r="R22" i="2116"/>
  <c r="L22" i="2116"/>
  <c r="D22" i="2116" s="1"/>
  <c r="R21" i="2116"/>
  <c r="L21" i="2116"/>
  <c r="D21" i="2116"/>
  <c r="R20" i="2116"/>
  <c r="L20" i="2116"/>
  <c r="D20" i="2116" s="1"/>
  <c r="R19" i="2116"/>
  <c r="R18" i="2116"/>
  <c r="R17" i="2116"/>
  <c r="L17" i="2116"/>
  <c r="D17" i="2116"/>
  <c r="R16" i="2116"/>
  <c r="R15" i="2116"/>
  <c r="L15" i="2116"/>
  <c r="D15" i="2116" s="1"/>
  <c r="R14" i="2116"/>
  <c r="D14" i="2116"/>
  <c r="R13" i="2116"/>
  <c r="D13" i="2116"/>
  <c r="R12" i="2116"/>
  <c r="L12" i="2116"/>
  <c r="D12" i="2116"/>
  <c r="R11" i="2116"/>
  <c r="L10" i="2116"/>
  <c r="D10" i="2116"/>
  <c r="L9" i="2116"/>
  <c r="D9" i="2116" s="1"/>
  <c r="L8" i="2116"/>
  <c r="D8" i="2116" s="1"/>
  <c r="R6" i="2116"/>
  <c r="L16" i="2116" s="1"/>
  <c r="D16" i="2116" s="1"/>
  <c r="L6" i="2116"/>
  <c r="D6" i="2116" s="1"/>
  <c r="R5" i="2116"/>
  <c r="R4" i="2116"/>
  <c r="R52" i="2115"/>
  <c r="R51" i="2115"/>
  <c r="D50" i="2115"/>
  <c r="R49" i="2115"/>
  <c r="G49" i="2115"/>
  <c r="D49" i="2115"/>
  <c r="R48" i="2115"/>
  <c r="D48" i="2115"/>
  <c r="D46" i="2115"/>
  <c r="D45" i="2115"/>
  <c r="D44" i="2115"/>
  <c r="R42" i="2115"/>
  <c r="L6" i="2115" s="1"/>
  <c r="D6" i="2115" s="1"/>
  <c r="D42" i="2115"/>
  <c r="R41" i="2115"/>
  <c r="L7" i="2115" s="1"/>
  <c r="D7" i="2115" s="1"/>
  <c r="D41" i="2115"/>
  <c r="R40" i="2115"/>
  <c r="L8" i="2115" s="1"/>
  <c r="D8" i="2115" s="1"/>
  <c r="D40" i="2115"/>
  <c r="R39" i="2115"/>
  <c r="D39" i="2115"/>
  <c r="R38" i="2115"/>
  <c r="L9" i="2115" s="1"/>
  <c r="D9" i="2115" s="1"/>
  <c r="D38" i="2115"/>
  <c r="R37" i="2115"/>
  <c r="D37" i="2115"/>
  <c r="R36" i="2115"/>
  <c r="L10" i="2115" s="1"/>
  <c r="D10" i="2115" s="1"/>
  <c r="D36" i="2115"/>
  <c r="R35" i="2115"/>
  <c r="L19" i="2115" s="1"/>
  <c r="D19" i="2115" s="1"/>
  <c r="D35" i="2115"/>
  <c r="R34" i="2115"/>
  <c r="D34" i="2115"/>
  <c r="D54" i="2115" s="1"/>
  <c r="H14" i="2115" s="1"/>
  <c r="R33" i="2115"/>
  <c r="R32" i="2115"/>
  <c r="R31" i="2115"/>
  <c r="R30" i="2115"/>
  <c r="R29" i="2115"/>
  <c r="R28" i="2115"/>
  <c r="D28" i="2115"/>
  <c r="R27" i="2115"/>
  <c r="D27" i="2115"/>
  <c r="R26" i="2115"/>
  <c r="L26" i="2115"/>
  <c r="D26" i="2115" s="1"/>
  <c r="R25" i="2115"/>
  <c r="L25" i="2115"/>
  <c r="D25" i="2115"/>
  <c r="R24" i="2115"/>
  <c r="D24" i="2115"/>
  <c r="R23" i="2115"/>
  <c r="L23" i="2115"/>
  <c r="D23" i="2115"/>
  <c r="R22" i="2115"/>
  <c r="L22" i="2115"/>
  <c r="D22" i="2115" s="1"/>
  <c r="R21" i="2115"/>
  <c r="D21" i="2115"/>
  <c r="R20" i="2115"/>
  <c r="L20" i="2115"/>
  <c r="D20" i="2115" s="1"/>
  <c r="R19" i="2115"/>
  <c r="R18" i="2115"/>
  <c r="D18" i="2115"/>
  <c r="R17" i="2115"/>
  <c r="D17" i="2115"/>
  <c r="R16" i="2115"/>
  <c r="L16" i="2115"/>
  <c r="D16" i="2115" s="1"/>
  <c r="S15" i="2115"/>
  <c r="R15" i="2115"/>
  <c r="D15" i="2115"/>
  <c r="S14" i="2115"/>
  <c r="R14" i="2115"/>
  <c r="D14" i="2115"/>
  <c r="R13" i="2115"/>
  <c r="D13" i="2115"/>
  <c r="R12" i="2115"/>
  <c r="L12" i="2115"/>
  <c r="D12" i="2115"/>
  <c r="R11" i="2115"/>
  <c r="L11" i="2115"/>
  <c r="D11" i="2115" s="1"/>
  <c r="R6" i="2115"/>
  <c r="R5" i="2115"/>
  <c r="R4" i="2115"/>
  <c r="R52" i="2114"/>
  <c r="R51" i="2114"/>
  <c r="D50" i="2114"/>
  <c r="R49" i="2114"/>
  <c r="D49" i="2114"/>
  <c r="R48" i="2114"/>
  <c r="D48" i="2114"/>
  <c r="D46" i="2114"/>
  <c r="D45" i="2114"/>
  <c r="R44" i="2114"/>
  <c r="L28" i="2114" s="1"/>
  <c r="D28" i="2114" s="1"/>
  <c r="D44" i="2114"/>
  <c r="R42" i="2114"/>
  <c r="L6" i="2114" s="1"/>
  <c r="D6" i="2114" s="1"/>
  <c r="D42" i="2114"/>
  <c r="R41" i="2114"/>
  <c r="D41" i="2114"/>
  <c r="R40" i="2114"/>
  <c r="L8" i="2114" s="1"/>
  <c r="D8" i="2114" s="1"/>
  <c r="D40" i="2114"/>
  <c r="R39" i="2114"/>
  <c r="H39" i="2114"/>
  <c r="D39" i="2114"/>
  <c r="R38" i="2114"/>
  <c r="H38" i="2114"/>
  <c r="D38" i="2114"/>
  <c r="R37" i="2114"/>
  <c r="H37" i="2114"/>
  <c r="D37" i="2114"/>
  <c r="R36" i="2114"/>
  <c r="H36" i="2114"/>
  <c r="D36" i="2114"/>
  <c r="R35" i="2114"/>
  <c r="H35" i="2114"/>
  <c r="D35" i="2114"/>
  <c r="R34" i="2114"/>
  <c r="L12" i="2114" s="1"/>
  <c r="D12" i="2114" s="1"/>
  <c r="H34" i="2114"/>
  <c r="G49" i="2114" s="1"/>
  <c r="D34" i="2114"/>
  <c r="D54" i="2114" s="1"/>
  <c r="H14" i="2114" s="1"/>
  <c r="R33" i="2114"/>
  <c r="R32" i="2114"/>
  <c r="R31" i="2114"/>
  <c r="R30" i="2114"/>
  <c r="R29" i="2114"/>
  <c r="R28" i="2114"/>
  <c r="R27" i="2114"/>
  <c r="L27" i="2114"/>
  <c r="D27" i="2114"/>
  <c r="R26" i="2114"/>
  <c r="L26" i="2114"/>
  <c r="D26" i="2114" s="1"/>
  <c r="R25" i="2114"/>
  <c r="L25" i="2114"/>
  <c r="D25" i="2114"/>
  <c r="R24" i="2114"/>
  <c r="L24" i="2114"/>
  <c r="D24" i="2114"/>
  <c r="R23" i="2114"/>
  <c r="L23" i="2114"/>
  <c r="D23" i="2114"/>
  <c r="R22" i="2114"/>
  <c r="L20" i="2114" s="1"/>
  <c r="D20" i="2114" s="1"/>
  <c r="L22" i="2114"/>
  <c r="D22" i="2114"/>
  <c r="R21" i="2114"/>
  <c r="L21" i="2114"/>
  <c r="D21" i="2114"/>
  <c r="R20" i="2114"/>
  <c r="R19" i="2114"/>
  <c r="L19" i="2114"/>
  <c r="D19" i="2114" s="1"/>
  <c r="R18" i="2114"/>
  <c r="L18" i="2114"/>
  <c r="D18" i="2114" s="1"/>
  <c r="R17" i="2114"/>
  <c r="L17" i="2114"/>
  <c r="D17" i="2114" s="1"/>
  <c r="R16" i="2114"/>
  <c r="L16" i="2114"/>
  <c r="D16" i="2114"/>
  <c r="R15" i="2114"/>
  <c r="L15" i="2114"/>
  <c r="D15" i="2114"/>
  <c r="R14" i="2114"/>
  <c r="D14" i="2114"/>
  <c r="R13" i="2114"/>
  <c r="D13" i="2114"/>
  <c r="R12" i="2114"/>
  <c r="R11" i="2114"/>
  <c r="L11" i="2114"/>
  <c r="D11" i="2114"/>
  <c r="L10" i="2114"/>
  <c r="D10" i="2114" s="1"/>
  <c r="L9" i="2114"/>
  <c r="D9" i="2114" s="1"/>
  <c r="L7" i="2114"/>
  <c r="D7" i="2114"/>
  <c r="R6" i="2114"/>
  <c r="R5" i="2114"/>
  <c r="R4" i="2114"/>
  <c r="R52" i="2113"/>
  <c r="R51" i="2113"/>
  <c r="D50" i="2113"/>
  <c r="R49" i="2113"/>
  <c r="D49" i="2113"/>
  <c r="R48" i="2113"/>
  <c r="D48" i="2113"/>
  <c r="D46" i="2113"/>
  <c r="D45" i="2113"/>
  <c r="R44" i="2113"/>
  <c r="D44" i="2113"/>
  <c r="R42" i="2113"/>
  <c r="D42" i="2113"/>
  <c r="R41" i="2113"/>
  <c r="D41" i="2113"/>
  <c r="R40" i="2113"/>
  <c r="D40" i="2113"/>
  <c r="R39" i="2113"/>
  <c r="H39" i="2113"/>
  <c r="D39" i="2113"/>
  <c r="R38" i="2113"/>
  <c r="L9" i="2113" s="1"/>
  <c r="D9" i="2113" s="1"/>
  <c r="H38" i="2113"/>
  <c r="D38" i="2113"/>
  <c r="R37" i="2113"/>
  <c r="H37" i="2113"/>
  <c r="D37" i="2113"/>
  <c r="R36" i="2113"/>
  <c r="H36" i="2113"/>
  <c r="D36" i="2113"/>
  <c r="R35" i="2113"/>
  <c r="H35" i="2113"/>
  <c r="D35" i="2113"/>
  <c r="R34" i="2113"/>
  <c r="L12" i="2113" s="1"/>
  <c r="D12" i="2113" s="1"/>
  <c r="H34" i="2113"/>
  <c r="G49" i="2113" s="1"/>
  <c r="D34" i="2113"/>
  <c r="D54" i="2113" s="1"/>
  <c r="H14" i="2113" s="1"/>
  <c r="R33" i="2113"/>
  <c r="L19" i="2113" s="1"/>
  <c r="D19" i="2113" s="1"/>
  <c r="R32" i="2113"/>
  <c r="L11" i="2113" s="1"/>
  <c r="D11" i="2113" s="1"/>
  <c r="R31" i="2113"/>
  <c r="R30" i="2113"/>
  <c r="R29" i="2113"/>
  <c r="R28" i="2113"/>
  <c r="L28" i="2113"/>
  <c r="D28" i="2113"/>
  <c r="R27" i="2113"/>
  <c r="L27" i="2113"/>
  <c r="D27" i="2113"/>
  <c r="R26" i="2113"/>
  <c r="L26" i="2113"/>
  <c r="D26" i="2113" s="1"/>
  <c r="R25" i="2113"/>
  <c r="L25" i="2113"/>
  <c r="D25" i="2113" s="1"/>
  <c r="R24" i="2113"/>
  <c r="L24" i="2113"/>
  <c r="D24" i="2113"/>
  <c r="R23" i="2113"/>
  <c r="L23" i="2113"/>
  <c r="D23" i="2113" s="1"/>
  <c r="R22" i="2113"/>
  <c r="L22" i="2113"/>
  <c r="D22" i="2113"/>
  <c r="R21" i="2113"/>
  <c r="L17" i="2113" s="1"/>
  <c r="D17" i="2113" s="1"/>
  <c r="D21" i="2113"/>
  <c r="R20" i="2113"/>
  <c r="L20" i="2113"/>
  <c r="D20" i="2113" s="1"/>
  <c r="R19" i="2113"/>
  <c r="R18" i="2113"/>
  <c r="L18" i="2113"/>
  <c r="D18" i="2113" s="1"/>
  <c r="R17" i="2113"/>
  <c r="R16" i="2113"/>
  <c r="R15" i="2113"/>
  <c r="L15" i="2113"/>
  <c r="D15" i="2113" s="1"/>
  <c r="R14" i="2113"/>
  <c r="D14" i="2113"/>
  <c r="R13" i="2113"/>
  <c r="D13" i="2113"/>
  <c r="R12" i="2113"/>
  <c r="R11" i="2113"/>
  <c r="L10" i="2113"/>
  <c r="D10" i="2113"/>
  <c r="L8" i="2113"/>
  <c r="D8" i="2113" s="1"/>
  <c r="L7" i="2113"/>
  <c r="D7" i="2113" s="1"/>
  <c r="R6" i="2113"/>
  <c r="L16" i="2113" s="1"/>
  <c r="D16" i="2113" s="1"/>
  <c r="L6" i="2113"/>
  <c r="D6" i="2113"/>
  <c r="R5" i="2113"/>
  <c r="R4" i="2113"/>
  <c r="R52" i="2112"/>
  <c r="R51" i="2112"/>
  <c r="D50" i="2112"/>
  <c r="R49" i="2112"/>
  <c r="D49" i="2112"/>
  <c r="R48" i="2112"/>
  <c r="D48" i="2112"/>
  <c r="D46" i="2112"/>
  <c r="D45" i="2112"/>
  <c r="R44" i="2112"/>
  <c r="L28" i="2112" s="1"/>
  <c r="D28" i="2112" s="1"/>
  <c r="D44" i="2112"/>
  <c r="R42" i="2112"/>
  <c r="D42" i="2112"/>
  <c r="R41" i="2112"/>
  <c r="D41" i="2112"/>
  <c r="R40" i="2112"/>
  <c r="L8" i="2112" s="1"/>
  <c r="D8" i="2112" s="1"/>
  <c r="D40" i="2112"/>
  <c r="R39" i="2112"/>
  <c r="H39" i="2112"/>
  <c r="D39" i="2112"/>
  <c r="R38" i="2112"/>
  <c r="L9" i="2112" s="1"/>
  <c r="D9" i="2112" s="1"/>
  <c r="H38" i="2112"/>
  <c r="D38" i="2112"/>
  <c r="R37" i="2112"/>
  <c r="H37" i="2112"/>
  <c r="D37" i="2112"/>
  <c r="R36" i="2112"/>
  <c r="L10" i="2112" s="1"/>
  <c r="D10" i="2112" s="1"/>
  <c r="H36" i="2112"/>
  <c r="D36" i="2112"/>
  <c r="R35" i="2112"/>
  <c r="H35" i="2112"/>
  <c r="D35" i="2112"/>
  <c r="R34" i="2112"/>
  <c r="H34" i="2112"/>
  <c r="D34" i="2112"/>
  <c r="R33" i="2112"/>
  <c r="L19" i="2112" s="1"/>
  <c r="D19" i="2112" s="1"/>
  <c r="R32" i="2112"/>
  <c r="L11" i="2112" s="1"/>
  <c r="D11" i="2112" s="1"/>
  <c r="R31" i="2112"/>
  <c r="R30" i="2112"/>
  <c r="R29" i="2112"/>
  <c r="R28" i="2112"/>
  <c r="R27" i="2112"/>
  <c r="L27" i="2112"/>
  <c r="D27" i="2112"/>
  <c r="R26" i="2112"/>
  <c r="L26" i="2112"/>
  <c r="D26" i="2112"/>
  <c r="R25" i="2112"/>
  <c r="L25" i="2112"/>
  <c r="D25" i="2112" s="1"/>
  <c r="R24" i="2112"/>
  <c r="L24" i="2112"/>
  <c r="D24" i="2112"/>
  <c r="R23" i="2112"/>
  <c r="L23" i="2112"/>
  <c r="D23" i="2112" s="1"/>
  <c r="R22" i="2112"/>
  <c r="L22" i="2112"/>
  <c r="D22" i="2112"/>
  <c r="R21" i="2112"/>
  <c r="L21" i="2112"/>
  <c r="D21" i="2112"/>
  <c r="R20" i="2112"/>
  <c r="L20" i="2112"/>
  <c r="D20" i="2112"/>
  <c r="R19" i="2112"/>
  <c r="R18" i="2112"/>
  <c r="L18" i="2112"/>
  <c r="D18" i="2112"/>
  <c r="R17" i="2112"/>
  <c r="L17" i="2112"/>
  <c r="D17" i="2112" s="1"/>
  <c r="R16" i="2112"/>
  <c r="R15" i="2112"/>
  <c r="L15" i="2112"/>
  <c r="D15" i="2112"/>
  <c r="R14" i="2112"/>
  <c r="D14" i="2112"/>
  <c r="R13" i="2112"/>
  <c r="D13" i="2112"/>
  <c r="R12" i="2112"/>
  <c r="L12" i="2112"/>
  <c r="D12" i="2112" s="1"/>
  <c r="R11" i="2112"/>
  <c r="L7" i="2112"/>
  <c r="D7" i="2112"/>
  <c r="R6" i="2112"/>
  <c r="L16" i="2112" s="1"/>
  <c r="D16" i="2112" s="1"/>
  <c r="L6" i="2112"/>
  <c r="D6" i="2112" s="1"/>
  <c r="R5" i="2112"/>
  <c r="R4" i="2112"/>
  <c r="R52" i="2111"/>
  <c r="R51" i="2111"/>
  <c r="D50" i="2111"/>
  <c r="R49" i="2111"/>
  <c r="G49" i="2111"/>
  <c r="D49" i="2111"/>
  <c r="R48" i="2111"/>
  <c r="D48" i="2111"/>
  <c r="D46" i="2111"/>
  <c r="D45" i="2111"/>
  <c r="D44" i="2111"/>
  <c r="R42" i="2111"/>
  <c r="D42" i="2111"/>
  <c r="R41" i="2111"/>
  <c r="L7" i="2111" s="1"/>
  <c r="D7" i="2111" s="1"/>
  <c r="D41" i="2111"/>
  <c r="R40" i="2111"/>
  <c r="L8" i="2111" s="1"/>
  <c r="D8" i="2111" s="1"/>
  <c r="D40" i="2111"/>
  <c r="R39" i="2111"/>
  <c r="D39" i="2111"/>
  <c r="R38" i="2111"/>
  <c r="L9" i="2111" s="1"/>
  <c r="D9" i="2111" s="1"/>
  <c r="D38" i="2111"/>
  <c r="R37" i="2111"/>
  <c r="D37" i="2111"/>
  <c r="R36" i="2111"/>
  <c r="L10" i="2111" s="1"/>
  <c r="D10" i="2111" s="1"/>
  <c r="D36" i="2111"/>
  <c r="R35" i="2111"/>
  <c r="L19" i="2111" s="1"/>
  <c r="D19" i="2111" s="1"/>
  <c r="D35" i="2111"/>
  <c r="D54" i="2111" s="1"/>
  <c r="H14" i="2111" s="1"/>
  <c r="R34" i="2111"/>
  <c r="D34" i="2111"/>
  <c r="R33" i="2111"/>
  <c r="R32" i="2111"/>
  <c r="L11" i="2111" s="1"/>
  <c r="D11" i="2111" s="1"/>
  <c r="R31" i="2111"/>
  <c r="R30" i="2111"/>
  <c r="R29" i="2111"/>
  <c r="R28" i="2111"/>
  <c r="D28" i="2111"/>
  <c r="R27" i="2111"/>
  <c r="D27" i="2111"/>
  <c r="R26" i="2111"/>
  <c r="L26" i="2111"/>
  <c r="D26" i="2111"/>
  <c r="R25" i="2111"/>
  <c r="L25" i="2111"/>
  <c r="D25" i="2111"/>
  <c r="R24" i="2111"/>
  <c r="D24" i="2111"/>
  <c r="R23" i="2111"/>
  <c r="L23" i="2111"/>
  <c r="D23" i="2111"/>
  <c r="R22" i="2111"/>
  <c r="L22" i="2111"/>
  <c r="D22" i="2111" s="1"/>
  <c r="R21" i="2111"/>
  <c r="D21" i="2111"/>
  <c r="R20" i="2111"/>
  <c r="L20" i="2111"/>
  <c r="D20" i="2111"/>
  <c r="R19" i="2111"/>
  <c r="R18" i="2111"/>
  <c r="D18" i="2111"/>
  <c r="R17" i="2111"/>
  <c r="D17" i="2111"/>
  <c r="R16" i="2111"/>
  <c r="L16" i="2111"/>
  <c r="D16" i="2111" s="1"/>
  <c r="S15" i="2111"/>
  <c r="R15" i="2111"/>
  <c r="D15" i="2111"/>
  <c r="S14" i="2111"/>
  <c r="R14" i="2111"/>
  <c r="D14" i="2111"/>
  <c r="R13" i="2111"/>
  <c r="D13" i="2111"/>
  <c r="R12" i="2111"/>
  <c r="L12" i="2111"/>
  <c r="D12" i="2111"/>
  <c r="R11" i="2111"/>
  <c r="R6" i="2111"/>
  <c r="L6" i="2111"/>
  <c r="D6" i="2111"/>
  <c r="R5" i="2111"/>
  <c r="R4" i="2111"/>
  <c r="R52" i="2110"/>
  <c r="R51" i="2110"/>
  <c r="D50" i="2110"/>
  <c r="R49" i="2110"/>
  <c r="D49" i="2110"/>
  <c r="R48" i="2110"/>
  <c r="D48" i="2110"/>
  <c r="D46" i="2110"/>
  <c r="D45" i="2110"/>
  <c r="R44" i="2110"/>
  <c r="L28" i="2110" s="1"/>
  <c r="D28" i="2110" s="1"/>
  <c r="D44" i="2110"/>
  <c r="R42" i="2110"/>
  <c r="D42" i="2110"/>
  <c r="R41" i="2110"/>
  <c r="D41" i="2110"/>
  <c r="R40" i="2110"/>
  <c r="D40" i="2110"/>
  <c r="R39" i="2110"/>
  <c r="H39" i="2110"/>
  <c r="D39" i="2110"/>
  <c r="R38" i="2110"/>
  <c r="L9" i="2110" s="1"/>
  <c r="D9" i="2110" s="1"/>
  <c r="H38" i="2110"/>
  <c r="D38" i="2110"/>
  <c r="R37" i="2110"/>
  <c r="H37" i="2110"/>
  <c r="D37" i="2110"/>
  <c r="R36" i="2110"/>
  <c r="H36" i="2110"/>
  <c r="D36" i="2110"/>
  <c r="R35" i="2110"/>
  <c r="L18" i="2110" s="1"/>
  <c r="D18" i="2110" s="1"/>
  <c r="H35" i="2110"/>
  <c r="D35" i="2110"/>
  <c r="R34" i="2110"/>
  <c r="H34" i="2110"/>
  <c r="D34" i="2110"/>
  <c r="R33" i="2110"/>
  <c r="R32" i="2110"/>
  <c r="L11" i="2110" s="1"/>
  <c r="D11" i="2110" s="1"/>
  <c r="R31" i="2110"/>
  <c r="R30" i="2110"/>
  <c r="R29" i="2110"/>
  <c r="R28" i="2110"/>
  <c r="R27" i="2110"/>
  <c r="D27" i="2110"/>
  <c r="R26" i="2110"/>
  <c r="D26" i="2110"/>
  <c r="R25" i="2110"/>
  <c r="D25" i="2110"/>
  <c r="R24" i="2110"/>
  <c r="D24" i="2110"/>
  <c r="R23" i="2110"/>
  <c r="D23" i="2110"/>
  <c r="R22" i="2110"/>
  <c r="D22" i="2110"/>
  <c r="R21" i="2110"/>
  <c r="L17" i="2110" s="1"/>
  <c r="D17" i="2110" s="1"/>
  <c r="D21" i="2110"/>
  <c r="R20" i="2110"/>
  <c r="L20" i="2110"/>
  <c r="D20" i="2110"/>
  <c r="R19" i="2110"/>
  <c r="L19" i="2110"/>
  <c r="D19" i="2110"/>
  <c r="R18" i="2110"/>
  <c r="R17" i="2110"/>
  <c r="R16" i="2110"/>
  <c r="L16" i="2110"/>
  <c r="D16" i="2110" s="1"/>
  <c r="R15" i="2110"/>
  <c r="L15" i="2110"/>
  <c r="D15" i="2110"/>
  <c r="R14" i="2110"/>
  <c r="D14" i="2110"/>
  <c r="R13" i="2110"/>
  <c r="D13" i="2110"/>
  <c r="R12" i="2110"/>
  <c r="L12" i="2110"/>
  <c r="D12" i="2110"/>
  <c r="R11" i="2110"/>
  <c r="L10" i="2110"/>
  <c r="D10" i="2110"/>
  <c r="L8" i="2110"/>
  <c r="D8" i="2110"/>
  <c r="L7" i="2110"/>
  <c r="D7" i="2110" s="1"/>
  <c r="R6" i="2110"/>
  <c r="L6" i="2110"/>
  <c r="D6" i="2110" s="1"/>
  <c r="R5" i="2110"/>
  <c r="R4" i="2110"/>
  <c r="R52" i="2109"/>
  <c r="R51" i="2109"/>
  <c r="D50" i="2109"/>
  <c r="R49" i="2109"/>
  <c r="D49" i="2109"/>
  <c r="R48" i="2109"/>
  <c r="D48" i="2109"/>
  <c r="D46" i="2109"/>
  <c r="D45" i="2109"/>
  <c r="R44" i="2109"/>
  <c r="L28" i="2109" s="1"/>
  <c r="D28" i="2109" s="1"/>
  <c r="D44" i="2109"/>
  <c r="R42" i="2109"/>
  <c r="D42" i="2109"/>
  <c r="R41" i="2109"/>
  <c r="D41" i="2109"/>
  <c r="R40" i="2109"/>
  <c r="D40" i="2109"/>
  <c r="R39" i="2109"/>
  <c r="H39" i="2109"/>
  <c r="D39" i="2109"/>
  <c r="R38" i="2109"/>
  <c r="H38" i="2109"/>
  <c r="D38" i="2109"/>
  <c r="R37" i="2109"/>
  <c r="H37" i="2109"/>
  <c r="D37" i="2109"/>
  <c r="R36" i="2109"/>
  <c r="L10" i="2109" s="1"/>
  <c r="D10" i="2109" s="1"/>
  <c r="H36" i="2109"/>
  <c r="D36" i="2109"/>
  <c r="R35" i="2109"/>
  <c r="H35" i="2109"/>
  <c r="D35" i="2109"/>
  <c r="R34" i="2109"/>
  <c r="L12" i="2109" s="1"/>
  <c r="D12" i="2109" s="1"/>
  <c r="H34" i="2109"/>
  <c r="D34" i="2109"/>
  <c r="R33" i="2109"/>
  <c r="L19" i="2109" s="1"/>
  <c r="D19" i="2109" s="1"/>
  <c r="R32" i="2109"/>
  <c r="L11" i="2109" s="1"/>
  <c r="D11" i="2109" s="1"/>
  <c r="R31" i="2109"/>
  <c r="R30" i="2109"/>
  <c r="R29" i="2109"/>
  <c r="R28" i="2109"/>
  <c r="R27" i="2109"/>
  <c r="L27" i="2109"/>
  <c r="D27" i="2109"/>
  <c r="R26" i="2109"/>
  <c r="L26" i="2109"/>
  <c r="D26" i="2109"/>
  <c r="R25" i="2109"/>
  <c r="L25" i="2109"/>
  <c r="D25" i="2109" s="1"/>
  <c r="R24" i="2109"/>
  <c r="L24" i="2109"/>
  <c r="D24" i="2109"/>
  <c r="R23" i="2109"/>
  <c r="L23" i="2109"/>
  <c r="D23" i="2109" s="1"/>
  <c r="R22" i="2109"/>
  <c r="L20" i="2109" s="1"/>
  <c r="D20" i="2109" s="1"/>
  <c r="L22" i="2109"/>
  <c r="D22" i="2109"/>
  <c r="R21" i="2109"/>
  <c r="D21" i="2109"/>
  <c r="R20" i="2109"/>
  <c r="R19" i="2109"/>
  <c r="R18" i="2109"/>
  <c r="L18" i="2109"/>
  <c r="D18" i="2109"/>
  <c r="R17" i="2109"/>
  <c r="L17" i="2109"/>
  <c r="D17" i="2109"/>
  <c r="R16" i="2109"/>
  <c r="R15" i="2109"/>
  <c r="R14" i="2109"/>
  <c r="D14" i="2109"/>
  <c r="R13" i="2109"/>
  <c r="D13" i="2109"/>
  <c r="R12" i="2109"/>
  <c r="R11" i="2109"/>
  <c r="L9" i="2109"/>
  <c r="D9" i="2109" s="1"/>
  <c r="L8" i="2109"/>
  <c r="D8" i="2109" s="1"/>
  <c r="L7" i="2109"/>
  <c r="D7" i="2109"/>
  <c r="R6" i="2109"/>
  <c r="L16" i="2109" s="1"/>
  <c r="D16" i="2109" s="1"/>
  <c r="L6" i="2109"/>
  <c r="D6" i="2109"/>
  <c r="R5" i="2109"/>
  <c r="R4" i="2109"/>
  <c r="L15" i="2109" s="1"/>
  <c r="D15" i="2109" s="1"/>
  <c r="R52" i="2108"/>
  <c r="R51" i="2108"/>
  <c r="D50" i="2108"/>
  <c r="R49" i="2108"/>
  <c r="D49" i="2108"/>
  <c r="R48" i="2108"/>
  <c r="D48" i="2108"/>
  <c r="D46" i="2108"/>
  <c r="D45" i="2108"/>
  <c r="R44" i="2108"/>
  <c r="D44" i="2108"/>
  <c r="R42" i="2108"/>
  <c r="D42" i="2108"/>
  <c r="R41" i="2108"/>
  <c r="D41" i="2108"/>
  <c r="R40" i="2108"/>
  <c r="L8" i="2108" s="1"/>
  <c r="D8" i="2108" s="1"/>
  <c r="D40" i="2108"/>
  <c r="R39" i="2108"/>
  <c r="H39" i="2108"/>
  <c r="D39" i="2108"/>
  <c r="R38" i="2108"/>
  <c r="L9" i="2108" s="1"/>
  <c r="D9" i="2108" s="1"/>
  <c r="H38" i="2108"/>
  <c r="D38" i="2108"/>
  <c r="R37" i="2108"/>
  <c r="H37" i="2108"/>
  <c r="D37" i="2108"/>
  <c r="R36" i="2108"/>
  <c r="H36" i="2108"/>
  <c r="D36" i="2108"/>
  <c r="R35" i="2108"/>
  <c r="H35" i="2108"/>
  <c r="D35" i="2108"/>
  <c r="R34" i="2108"/>
  <c r="H34" i="2108"/>
  <c r="D34" i="2108"/>
  <c r="R33" i="2108"/>
  <c r="R32" i="2108"/>
  <c r="R31" i="2108"/>
  <c r="R30" i="2108"/>
  <c r="R29" i="2108"/>
  <c r="R28" i="2108"/>
  <c r="L28" i="2108"/>
  <c r="D28" i="2108"/>
  <c r="R27" i="2108"/>
  <c r="L27" i="2108"/>
  <c r="D27" i="2108"/>
  <c r="R26" i="2108"/>
  <c r="L26" i="2108"/>
  <c r="D26" i="2108" s="1"/>
  <c r="R25" i="2108"/>
  <c r="L25" i="2108"/>
  <c r="D25" i="2108" s="1"/>
  <c r="R24" i="2108"/>
  <c r="L24" i="2108"/>
  <c r="D24" i="2108"/>
  <c r="R23" i="2108"/>
  <c r="L23" i="2108"/>
  <c r="D23" i="2108"/>
  <c r="R22" i="2108"/>
  <c r="L20" i="2108" s="1"/>
  <c r="D20" i="2108" s="1"/>
  <c r="L22" i="2108"/>
  <c r="D22" i="2108"/>
  <c r="R21" i="2108"/>
  <c r="L21" i="2108"/>
  <c r="D21" i="2108"/>
  <c r="R20" i="2108"/>
  <c r="R19" i="2108"/>
  <c r="L19" i="2108"/>
  <c r="D19" i="2108"/>
  <c r="R18" i="2108"/>
  <c r="L18" i="2108"/>
  <c r="D18" i="2108"/>
  <c r="R17" i="2108"/>
  <c r="L17" i="2108"/>
  <c r="D17" i="2108" s="1"/>
  <c r="R16" i="2108"/>
  <c r="R15" i="2108"/>
  <c r="R14" i="2108"/>
  <c r="D14" i="2108"/>
  <c r="R13" i="2108"/>
  <c r="D13" i="2108"/>
  <c r="R12" i="2108"/>
  <c r="L12" i="2108"/>
  <c r="D12" i="2108" s="1"/>
  <c r="R11" i="2108"/>
  <c r="L11" i="2108"/>
  <c r="D11" i="2108"/>
  <c r="L10" i="2108"/>
  <c r="D10" i="2108" s="1"/>
  <c r="L7" i="2108"/>
  <c r="D7" i="2108"/>
  <c r="R6" i="2108"/>
  <c r="L16" i="2108" s="1"/>
  <c r="D16" i="2108" s="1"/>
  <c r="L6" i="2108"/>
  <c r="D6" i="2108"/>
  <c r="R5" i="2108"/>
  <c r="R4" i="2108"/>
  <c r="L15" i="2108" s="1"/>
  <c r="D15" i="2108" s="1"/>
  <c r="H15" i="2150" l="1"/>
  <c r="H29" i="2150" s="1"/>
  <c r="G51" i="2150" s="1"/>
  <c r="H15" i="2149"/>
  <c r="H29" i="2149" s="1"/>
  <c r="G51" i="2149" s="1"/>
  <c r="H15" i="2153"/>
  <c r="H29" i="2153" s="1"/>
  <c r="G51" i="2153" s="1"/>
  <c r="H15" i="2155"/>
  <c r="H29" i="2155" s="1"/>
  <c r="G51" i="2155" s="1"/>
  <c r="H15" i="2154"/>
  <c r="H29" i="2154" s="1"/>
  <c r="G51" i="2154" s="1"/>
  <c r="H15" i="2145"/>
  <c r="H29" i="2145" s="1"/>
  <c r="G51" i="2145" s="1"/>
  <c r="H15" i="2146"/>
  <c r="H29" i="2146" s="1"/>
  <c r="G51" i="2146" s="1"/>
  <c r="H15" i="2142"/>
  <c r="H29" i="2142" s="1"/>
  <c r="G51" i="2142" s="1"/>
  <c r="H15" i="2143"/>
  <c r="H29" i="2143" s="1"/>
  <c r="G51" i="2143" s="1"/>
  <c r="D54" i="2137"/>
  <c r="H14" i="2137" s="1"/>
  <c r="G49" i="2137"/>
  <c r="G49" i="2139"/>
  <c r="D54" i="2139"/>
  <c r="H14" i="2139" s="1"/>
  <c r="D54" i="2138"/>
  <c r="H14" i="2138" s="1"/>
  <c r="D54" i="2131"/>
  <c r="H14" i="2131" s="1"/>
  <c r="D54" i="2130"/>
  <c r="H14" i="2130" s="1"/>
  <c r="D29" i="2130"/>
  <c r="H13" i="2130" s="1"/>
  <c r="D54" i="2129"/>
  <c r="H14" i="2129" s="1"/>
  <c r="G49" i="2131"/>
  <c r="G49" i="2129"/>
  <c r="G49" i="2135"/>
  <c r="G49" i="2134"/>
  <c r="D54" i="2135"/>
  <c r="H14" i="2135" s="1"/>
  <c r="D54" i="2134"/>
  <c r="H14" i="2134" s="1"/>
  <c r="G49" i="2127"/>
  <c r="G49" i="2122"/>
  <c r="G49" i="2121"/>
  <c r="D54" i="2122"/>
  <c r="H14" i="2122" s="1"/>
  <c r="D54" i="2121"/>
  <c r="H14" i="2121" s="1"/>
  <c r="D54" i="2117"/>
  <c r="H14" i="2117" s="1"/>
  <c r="G49" i="2117"/>
  <c r="G49" i="2118"/>
  <c r="G49" i="2116"/>
  <c r="D54" i="2118"/>
  <c r="H14" i="2118" s="1"/>
  <c r="D54" i="2116"/>
  <c r="H14" i="2116" s="1"/>
  <c r="D29" i="2116"/>
  <c r="H13" i="2116" s="1"/>
  <c r="D54" i="2112"/>
  <c r="H14" i="2112" s="1"/>
  <c r="G49" i="2112"/>
  <c r="D54" i="2110"/>
  <c r="H14" i="2110" s="1"/>
  <c r="G49" i="2110"/>
  <c r="G49" i="2109"/>
  <c r="D54" i="2109"/>
  <c r="H14" i="2109" s="1"/>
  <c r="G49" i="2108"/>
  <c r="D54" i="2108"/>
  <c r="H14" i="2108" s="1"/>
  <c r="D29" i="2139"/>
  <c r="H13" i="2139" s="1"/>
  <c r="D29" i="2138"/>
  <c r="H13" i="2138" s="1"/>
  <c r="D29" i="2137"/>
  <c r="H13" i="2137" s="1"/>
  <c r="D29" i="2135"/>
  <c r="H13" i="2135" s="1"/>
  <c r="D29" i="2134"/>
  <c r="H13" i="2134" s="1"/>
  <c r="D29" i="2133"/>
  <c r="H13" i="2133" s="1"/>
  <c r="H15" i="2133" s="1"/>
  <c r="H29" i="2133" s="1"/>
  <c r="G51" i="2133"/>
  <c r="D29" i="2132"/>
  <c r="H13" i="2132" s="1"/>
  <c r="H15" i="2132" s="1"/>
  <c r="H29" i="2132" s="1"/>
  <c r="G51" i="2132" s="1"/>
  <c r="D29" i="2131"/>
  <c r="H13" i="2131" s="1"/>
  <c r="D29" i="2129"/>
  <c r="H13" i="2129" s="1"/>
  <c r="D29" i="2128"/>
  <c r="H13" i="2128" s="1"/>
  <c r="H15" i="2128" s="1"/>
  <c r="H29" i="2128" s="1"/>
  <c r="G51" i="2128" s="1"/>
  <c r="D29" i="2127"/>
  <c r="H13" i="2127" s="1"/>
  <c r="H15" i="2127" s="1"/>
  <c r="H29" i="2127" s="1"/>
  <c r="G51" i="2127" s="1"/>
  <c r="D29" i="2126"/>
  <c r="H13" i="2126" s="1"/>
  <c r="H15" i="2126" s="1"/>
  <c r="H29" i="2126" s="1"/>
  <c r="G51" i="2126" s="1"/>
  <c r="D29" i="2125"/>
  <c r="H13" i="2125" s="1"/>
  <c r="H15" i="2125" s="1"/>
  <c r="H29" i="2125" s="1"/>
  <c r="G51" i="2125" s="1"/>
  <c r="D29" i="2123"/>
  <c r="H13" i="2123" s="1"/>
  <c r="H15" i="2123" s="1"/>
  <c r="H29" i="2123" s="1"/>
  <c r="G51" i="2123" s="1"/>
  <c r="D29" i="2122"/>
  <c r="H13" i="2122" s="1"/>
  <c r="D29" i="2121"/>
  <c r="H13" i="2121" s="1"/>
  <c r="D29" i="2120"/>
  <c r="H13" i="2120" s="1"/>
  <c r="H15" i="2120" s="1"/>
  <c r="H29" i="2120" s="1"/>
  <c r="G51" i="2120"/>
  <c r="G51" i="2119"/>
  <c r="D29" i="2118"/>
  <c r="H13" i="2118" s="1"/>
  <c r="D29" i="2117"/>
  <c r="H13" i="2117" s="1"/>
  <c r="D29" i="2115"/>
  <c r="H13" i="2115" s="1"/>
  <c r="H15" i="2115" s="1"/>
  <c r="H29" i="2115" s="1"/>
  <c r="G51" i="2115" s="1"/>
  <c r="D29" i="2114"/>
  <c r="H13" i="2114" s="1"/>
  <c r="H15" i="2114" s="1"/>
  <c r="H29" i="2114" s="1"/>
  <c r="G51" i="2114"/>
  <c r="D29" i="2113"/>
  <c r="H13" i="2113" s="1"/>
  <c r="H15" i="2113" s="1"/>
  <c r="H29" i="2113" s="1"/>
  <c r="G51" i="2113" s="1"/>
  <c r="D29" i="2112"/>
  <c r="H13" i="2112" s="1"/>
  <c r="D29" i="2111"/>
  <c r="H13" i="2111" s="1"/>
  <c r="H15" i="2111" s="1"/>
  <c r="H29" i="2111" s="1"/>
  <c r="G51" i="2111" s="1"/>
  <c r="D29" i="2110"/>
  <c r="H13" i="2110" s="1"/>
  <c r="D29" i="2109"/>
  <c r="H13" i="2109" s="1"/>
  <c r="D29" i="2108"/>
  <c r="H13" i="2108" s="1"/>
  <c r="R52" i="2107"/>
  <c r="R51" i="2107"/>
  <c r="D50" i="2107"/>
  <c r="R49" i="2107"/>
  <c r="G49" i="2107"/>
  <c r="D49" i="2107"/>
  <c r="R48" i="2107"/>
  <c r="D48" i="2107"/>
  <c r="D46" i="2107"/>
  <c r="D45" i="2107"/>
  <c r="D44" i="2107"/>
  <c r="R42" i="2107"/>
  <c r="D42" i="2107"/>
  <c r="R41" i="2107"/>
  <c r="L7" i="2107" s="1"/>
  <c r="D7" i="2107" s="1"/>
  <c r="D41" i="2107"/>
  <c r="R40" i="2107"/>
  <c r="L8" i="2107" s="1"/>
  <c r="D8" i="2107" s="1"/>
  <c r="D40" i="2107"/>
  <c r="R39" i="2107"/>
  <c r="D39" i="2107"/>
  <c r="R38" i="2107"/>
  <c r="L9" i="2107" s="1"/>
  <c r="D9" i="2107" s="1"/>
  <c r="D38" i="2107"/>
  <c r="D54" i="2107" s="1"/>
  <c r="H14" i="2107" s="1"/>
  <c r="R37" i="2107"/>
  <c r="D37" i="2107"/>
  <c r="R36" i="2107"/>
  <c r="L10" i="2107" s="1"/>
  <c r="D10" i="2107" s="1"/>
  <c r="D36" i="2107"/>
  <c r="R35" i="2107"/>
  <c r="D35" i="2107"/>
  <c r="R34" i="2107"/>
  <c r="L12" i="2107" s="1"/>
  <c r="D12" i="2107" s="1"/>
  <c r="D34" i="2107"/>
  <c r="R33" i="2107"/>
  <c r="L23" i="2107" s="1"/>
  <c r="D23" i="2107" s="1"/>
  <c r="R32" i="2107"/>
  <c r="R31" i="2107"/>
  <c r="R30" i="2107"/>
  <c r="R29" i="2107"/>
  <c r="R28" i="2107"/>
  <c r="L16" i="2107" s="1"/>
  <c r="D16" i="2107" s="1"/>
  <c r="D28" i="2107"/>
  <c r="R27" i="2107"/>
  <c r="D27" i="2107"/>
  <c r="R26" i="2107"/>
  <c r="L26" i="2107"/>
  <c r="D26" i="2107" s="1"/>
  <c r="R25" i="2107"/>
  <c r="L25" i="2107"/>
  <c r="D25" i="2107"/>
  <c r="R24" i="2107"/>
  <c r="D24" i="2107"/>
  <c r="R23" i="2107"/>
  <c r="R22" i="2107"/>
  <c r="L22" i="2107"/>
  <c r="D22" i="2107" s="1"/>
  <c r="R21" i="2107"/>
  <c r="D21" i="2107"/>
  <c r="R20" i="2107"/>
  <c r="L20" i="2107"/>
  <c r="D20" i="2107"/>
  <c r="R19" i="2107"/>
  <c r="L19" i="2107"/>
  <c r="D19" i="2107"/>
  <c r="R18" i="2107"/>
  <c r="D18" i="2107"/>
  <c r="R17" i="2107"/>
  <c r="D17" i="2107"/>
  <c r="R16" i="2107"/>
  <c r="S15" i="2107"/>
  <c r="R15" i="2107"/>
  <c r="D15" i="2107"/>
  <c r="S14" i="2107"/>
  <c r="R14" i="2107"/>
  <c r="D14" i="2107"/>
  <c r="R13" i="2107"/>
  <c r="D13" i="2107"/>
  <c r="R12" i="2107"/>
  <c r="R11" i="2107"/>
  <c r="L11" i="2107"/>
  <c r="D11" i="2107" s="1"/>
  <c r="R6" i="2107"/>
  <c r="L6" i="2107"/>
  <c r="D6" i="2107" s="1"/>
  <c r="R5" i="2107"/>
  <c r="R4" i="2107"/>
  <c r="H15" i="2137" l="1"/>
  <c r="H29" i="2137" s="1"/>
  <c r="G51" i="2137" s="1"/>
  <c r="H15" i="2139"/>
  <c r="H29" i="2139" s="1"/>
  <c r="G51" i="2139" s="1"/>
  <c r="H15" i="2138"/>
  <c r="H29" i="2138" s="1"/>
  <c r="G51" i="2138" s="1"/>
  <c r="H15" i="2131"/>
  <c r="H29" i="2131" s="1"/>
  <c r="G51" i="2131" s="1"/>
  <c r="H15" i="2130"/>
  <c r="H29" i="2130" s="1"/>
  <c r="G51" i="2130" s="1"/>
  <c r="H15" i="2129"/>
  <c r="H29" i="2129" s="1"/>
  <c r="G51" i="2129" s="1"/>
  <c r="H15" i="2135"/>
  <c r="H29" i="2135" s="1"/>
  <c r="G51" i="2135" s="1"/>
  <c r="H15" i="2134"/>
  <c r="H29" i="2134" s="1"/>
  <c r="G51" i="2134" s="1"/>
  <c r="H15" i="2122"/>
  <c r="H29" i="2122" s="1"/>
  <c r="G51" i="2122" s="1"/>
  <c r="H15" i="2121"/>
  <c r="H29" i="2121" s="1"/>
  <c r="G51" i="2121" s="1"/>
  <c r="H15" i="2117"/>
  <c r="H29" i="2117" s="1"/>
  <c r="G51" i="2117" s="1"/>
  <c r="H15" i="2118"/>
  <c r="H29" i="2118" s="1"/>
  <c r="G51" i="2118" s="1"/>
  <c r="H15" i="2116"/>
  <c r="H29" i="2116" s="1"/>
  <c r="G51" i="2116" s="1"/>
  <c r="H15" i="2112"/>
  <c r="H29" i="2112" s="1"/>
  <c r="G51" i="2112" s="1"/>
  <c r="H15" i="2110"/>
  <c r="H29" i="2110" s="1"/>
  <c r="G51" i="2110" s="1"/>
  <c r="H15" i="2109"/>
  <c r="H29" i="2109" s="1"/>
  <c r="G51" i="2109" s="1"/>
  <c r="H15" i="2108"/>
  <c r="H29" i="2108" s="1"/>
  <c r="G51" i="2108" s="1"/>
  <c r="D29" i="2107"/>
  <c r="H13" i="2107" s="1"/>
  <c r="H15" i="2107" s="1"/>
  <c r="H29" i="2107" s="1"/>
  <c r="G51" i="2107"/>
  <c r="R52" i="2089"/>
  <c r="R51" i="2089"/>
  <c r="D50" i="2089"/>
  <c r="R49" i="2089"/>
  <c r="D49" i="2089"/>
  <c r="R48" i="2089"/>
  <c r="D48" i="2089"/>
  <c r="D46" i="2089"/>
  <c r="D45" i="2089"/>
  <c r="R44" i="2089"/>
  <c r="D44" i="2089"/>
  <c r="R42" i="2089"/>
  <c r="L6" i="2089" s="1"/>
  <c r="D6" i="2089" s="1"/>
  <c r="D42" i="2089"/>
  <c r="R41" i="2089"/>
  <c r="D41" i="2089"/>
  <c r="R40" i="2089"/>
  <c r="D40" i="2089"/>
  <c r="R39" i="2089"/>
  <c r="H39" i="2089"/>
  <c r="D39" i="2089"/>
  <c r="R38" i="2089"/>
  <c r="L9" i="2089" s="1"/>
  <c r="D9" i="2089" s="1"/>
  <c r="H38" i="2089"/>
  <c r="D38" i="2089"/>
  <c r="R37" i="2089"/>
  <c r="H37" i="2089"/>
  <c r="D37" i="2089"/>
  <c r="R36" i="2089"/>
  <c r="L10" i="2089" s="1"/>
  <c r="D10" i="2089" s="1"/>
  <c r="H36" i="2089"/>
  <c r="D36" i="2089"/>
  <c r="R35" i="2089"/>
  <c r="H35" i="2089"/>
  <c r="D35" i="2089"/>
  <c r="R34" i="2089"/>
  <c r="H34" i="2089"/>
  <c r="D34" i="2089"/>
  <c r="R33" i="2089"/>
  <c r="R32" i="2089"/>
  <c r="L11" i="2089" s="1"/>
  <c r="D11" i="2089" s="1"/>
  <c r="R31" i="2089"/>
  <c r="R30" i="2089"/>
  <c r="R29" i="2089"/>
  <c r="R28" i="2089"/>
  <c r="L28" i="2089"/>
  <c r="D28" i="2089"/>
  <c r="R27" i="2089"/>
  <c r="L27" i="2089"/>
  <c r="D27" i="2089" s="1"/>
  <c r="R26" i="2089"/>
  <c r="L26" i="2089"/>
  <c r="D26" i="2089" s="1"/>
  <c r="R25" i="2089"/>
  <c r="L25" i="2089"/>
  <c r="D25" i="2089"/>
  <c r="R24" i="2089"/>
  <c r="L24" i="2089"/>
  <c r="D24" i="2089"/>
  <c r="R23" i="2089"/>
  <c r="L23" i="2089"/>
  <c r="D23" i="2089"/>
  <c r="R22" i="2089"/>
  <c r="L20" i="2089" s="1"/>
  <c r="D20" i="2089" s="1"/>
  <c r="L22" i="2089"/>
  <c r="D22" i="2089"/>
  <c r="R21" i="2089"/>
  <c r="L21" i="2089"/>
  <c r="D21" i="2089"/>
  <c r="R20" i="2089"/>
  <c r="R19" i="2089"/>
  <c r="L19" i="2089"/>
  <c r="D19" i="2089"/>
  <c r="R18" i="2089"/>
  <c r="L18" i="2089"/>
  <c r="D18" i="2089"/>
  <c r="R17" i="2089"/>
  <c r="L17" i="2089"/>
  <c r="D17" i="2089" s="1"/>
  <c r="R16" i="2089"/>
  <c r="R15" i="2089"/>
  <c r="L15" i="2089"/>
  <c r="D15" i="2089"/>
  <c r="R14" i="2089"/>
  <c r="D14" i="2089"/>
  <c r="R13" i="2089"/>
  <c r="D13" i="2089"/>
  <c r="R12" i="2089"/>
  <c r="L12" i="2089"/>
  <c r="D12" i="2089" s="1"/>
  <c r="R11" i="2089"/>
  <c r="L8" i="2089"/>
  <c r="D8" i="2089"/>
  <c r="L7" i="2089"/>
  <c r="D7" i="2089"/>
  <c r="R6" i="2089"/>
  <c r="L16" i="2089" s="1"/>
  <c r="D16" i="2089" s="1"/>
  <c r="R5" i="2089"/>
  <c r="R4" i="2089"/>
  <c r="R52" i="2088"/>
  <c r="R51" i="2088"/>
  <c r="D50" i="2088"/>
  <c r="R49" i="2088"/>
  <c r="D49" i="2088"/>
  <c r="R48" i="2088"/>
  <c r="D48" i="2088"/>
  <c r="D46" i="2088"/>
  <c r="D45" i="2088"/>
  <c r="R44" i="2088"/>
  <c r="L28" i="2088" s="1"/>
  <c r="D28" i="2088" s="1"/>
  <c r="D44" i="2088"/>
  <c r="R42" i="2088"/>
  <c r="L6" i="2088" s="1"/>
  <c r="D6" i="2088" s="1"/>
  <c r="D42" i="2088"/>
  <c r="R41" i="2088"/>
  <c r="L7" i="2088" s="1"/>
  <c r="D7" i="2088" s="1"/>
  <c r="D41" i="2088"/>
  <c r="R40" i="2088"/>
  <c r="D40" i="2088"/>
  <c r="R39" i="2088"/>
  <c r="H39" i="2088"/>
  <c r="D39" i="2088"/>
  <c r="R38" i="2088"/>
  <c r="H38" i="2088"/>
  <c r="D38" i="2088"/>
  <c r="R37" i="2088"/>
  <c r="H37" i="2088"/>
  <c r="D37" i="2088"/>
  <c r="R36" i="2088"/>
  <c r="L10" i="2088" s="1"/>
  <c r="D10" i="2088" s="1"/>
  <c r="H36" i="2088"/>
  <c r="D36" i="2088"/>
  <c r="R35" i="2088"/>
  <c r="L18" i="2088" s="1"/>
  <c r="D18" i="2088" s="1"/>
  <c r="H35" i="2088"/>
  <c r="D35" i="2088"/>
  <c r="R34" i="2088"/>
  <c r="H34" i="2088"/>
  <c r="D34" i="2088"/>
  <c r="R33" i="2088"/>
  <c r="L19" i="2088" s="1"/>
  <c r="D19" i="2088" s="1"/>
  <c r="R32" i="2088"/>
  <c r="L11" i="2088" s="1"/>
  <c r="D11" i="2088" s="1"/>
  <c r="R31" i="2088"/>
  <c r="R30" i="2088"/>
  <c r="R29" i="2088"/>
  <c r="R28" i="2088"/>
  <c r="R27" i="2088"/>
  <c r="L27" i="2088"/>
  <c r="D27" i="2088" s="1"/>
  <c r="R26" i="2088"/>
  <c r="L26" i="2088"/>
  <c r="D26" i="2088"/>
  <c r="R25" i="2088"/>
  <c r="L25" i="2088"/>
  <c r="D25" i="2088"/>
  <c r="R24" i="2088"/>
  <c r="L24" i="2088"/>
  <c r="D24" i="2088"/>
  <c r="R23" i="2088"/>
  <c r="L23" i="2088"/>
  <c r="D23" i="2088"/>
  <c r="R22" i="2088"/>
  <c r="L20" i="2088" s="1"/>
  <c r="D20" i="2088" s="1"/>
  <c r="L22" i="2088"/>
  <c r="D22" i="2088" s="1"/>
  <c r="R21" i="2088"/>
  <c r="D21" i="2088"/>
  <c r="R20" i="2088"/>
  <c r="R19" i="2088"/>
  <c r="R18" i="2088"/>
  <c r="R17" i="2088"/>
  <c r="L17" i="2088"/>
  <c r="D17" i="2088"/>
  <c r="R16" i="2088"/>
  <c r="R15" i="2088"/>
  <c r="R14" i="2088"/>
  <c r="D14" i="2088"/>
  <c r="R13" i="2088"/>
  <c r="D13" i="2088"/>
  <c r="R12" i="2088"/>
  <c r="L12" i="2088"/>
  <c r="D12" i="2088"/>
  <c r="R11" i="2088"/>
  <c r="L9" i="2088"/>
  <c r="D9" i="2088"/>
  <c r="L8" i="2088"/>
  <c r="D8" i="2088" s="1"/>
  <c r="R6" i="2088"/>
  <c r="L16" i="2088" s="1"/>
  <c r="D16" i="2088" s="1"/>
  <c r="R5" i="2088"/>
  <c r="R4" i="2088"/>
  <c r="L15" i="2088" s="1"/>
  <c r="D15" i="2088" s="1"/>
  <c r="R52" i="2087"/>
  <c r="R51" i="2087"/>
  <c r="D50" i="2087"/>
  <c r="R49" i="2087"/>
  <c r="D49" i="2087"/>
  <c r="R48" i="2087"/>
  <c r="D48" i="2087"/>
  <c r="D46" i="2087"/>
  <c r="D45" i="2087"/>
  <c r="R44" i="2087"/>
  <c r="L28" i="2087" s="1"/>
  <c r="D28" i="2087" s="1"/>
  <c r="D44" i="2087"/>
  <c r="R42" i="2087"/>
  <c r="D42" i="2087"/>
  <c r="R41" i="2087"/>
  <c r="D41" i="2087"/>
  <c r="R40" i="2087"/>
  <c r="L8" i="2087" s="1"/>
  <c r="D8" i="2087" s="1"/>
  <c r="D40" i="2087"/>
  <c r="R39" i="2087"/>
  <c r="H39" i="2087"/>
  <c r="D39" i="2087"/>
  <c r="R38" i="2087"/>
  <c r="H38" i="2087"/>
  <c r="D38" i="2087"/>
  <c r="R37" i="2087"/>
  <c r="H37" i="2087"/>
  <c r="D37" i="2087"/>
  <c r="R36" i="2087"/>
  <c r="L10" i="2087" s="1"/>
  <c r="D10" i="2087" s="1"/>
  <c r="H36" i="2087"/>
  <c r="D36" i="2087"/>
  <c r="R35" i="2087"/>
  <c r="H35" i="2087"/>
  <c r="D35" i="2087"/>
  <c r="R34" i="2087"/>
  <c r="H34" i="2087"/>
  <c r="D34" i="2087"/>
  <c r="R33" i="2087"/>
  <c r="L19" i="2087" s="1"/>
  <c r="D19" i="2087" s="1"/>
  <c r="R32" i="2087"/>
  <c r="R31" i="2087"/>
  <c r="R30" i="2087"/>
  <c r="R29" i="2087"/>
  <c r="R28" i="2087"/>
  <c r="R27" i="2087"/>
  <c r="L27" i="2087"/>
  <c r="D27" i="2087"/>
  <c r="R26" i="2087"/>
  <c r="L26" i="2087"/>
  <c r="D26" i="2087"/>
  <c r="R25" i="2087"/>
  <c r="L25" i="2087"/>
  <c r="D25" i="2087"/>
  <c r="R24" i="2087"/>
  <c r="L24" i="2087"/>
  <c r="D24" i="2087"/>
  <c r="R23" i="2087"/>
  <c r="D23" i="2087"/>
  <c r="R22" i="2087"/>
  <c r="L22" i="2087"/>
  <c r="D22" i="2087"/>
  <c r="R21" i="2087"/>
  <c r="D21" i="2087"/>
  <c r="R20" i="2087"/>
  <c r="L20" i="2087"/>
  <c r="D20" i="2087"/>
  <c r="R19" i="2087"/>
  <c r="R18" i="2087"/>
  <c r="L18" i="2087"/>
  <c r="D18" i="2087" s="1"/>
  <c r="R17" i="2087"/>
  <c r="L17" i="2087"/>
  <c r="D17" i="2087"/>
  <c r="R16" i="2087"/>
  <c r="R15" i="2087"/>
  <c r="L15" i="2087"/>
  <c r="D15" i="2087" s="1"/>
  <c r="R14" i="2087"/>
  <c r="D14" i="2087"/>
  <c r="R13" i="2087"/>
  <c r="D13" i="2087"/>
  <c r="R12" i="2087"/>
  <c r="L12" i="2087"/>
  <c r="D12" i="2087"/>
  <c r="R11" i="2087"/>
  <c r="L11" i="2087"/>
  <c r="D11" i="2087"/>
  <c r="L9" i="2087"/>
  <c r="D9" i="2087"/>
  <c r="L7" i="2087"/>
  <c r="D7" i="2087"/>
  <c r="R6" i="2087"/>
  <c r="L16" i="2087" s="1"/>
  <c r="D16" i="2087" s="1"/>
  <c r="L6" i="2087"/>
  <c r="D6" i="2087"/>
  <c r="R5" i="2087"/>
  <c r="R4" i="2087"/>
  <c r="G49" i="2089" l="1"/>
  <c r="D54" i="2089"/>
  <c r="H14" i="2089" s="1"/>
  <c r="D29" i="2089"/>
  <c r="H13" i="2089" s="1"/>
  <c r="G49" i="2088"/>
  <c r="D54" i="2088"/>
  <c r="H14" i="2088" s="1"/>
  <c r="G49" i="2087"/>
  <c r="D54" i="2087"/>
  <c r="H14" i="2087" s="1"/>
  <c r="D29" i="2087"/>
  <c r="H13" i="2087" s="1"/>
  <c r="D29" i="2088"/>
  <c r="H13" i="2088" s="1"/>
  <c r="H15" i="2089" l="1"/>
  <c r="H29" i="2089" s="1"/>
  <c r="G51" i="2089" s="1"/>
  <c r="H15" i="2088"/>
  <c r="H29" i="2088" s="1"/>
  <c r="G51" i="2088" s="1"/>
  <c r="H15" i="2087"/>
  <c r="H29" i="2087" s="1"/>
  <c r="G51" i="2087" s="1"/>
  <c r="R52" i="2086"/>
  <c r="R51" i="2086"/>
  <c r="D50" i="2086"/>
  <c r="R49" i="2086"/>
  <c r="G49" i="2086"/>
  <c r="D49" i="2086"/>
  <c r="R48" i="2086"/>
  <c r="D48" i="2086"/>
  <c r="D46" i="2086"/>
  <c r="D45" i="2086"/>
  <c r="D44" i="2086"/>
  <c r="R42" i="2086"/>
  <c r="L6" i="2086" s="1"/>
  <c r="D6" i="2086" s="1"/>
  <c r="D42" i="2086"/>
  <c r="R41" i="2086"/>
  <c r="L7" i="2086" s="1"/>
  <c r="D7" i="2086" s="1"/>
  <c r="D41" i="2086"/>
  <c r="R40" i="2086"/>
  <c r="D40" i="2086"/>
  <c r="R39" i="2086"/>
  <c r="D39" i="2086"/>
  <c r="R38" i="2086"/>
  <c r="L9" i="2086" s="1"/>
  <c r="D9" i="2086" s="1"/>
  <c r="D38" i="2086"/>
  <c r="R37" i="2086"/>
  <c r="D37" i="2086"/>
  <c r="R36" i="2086"/>
  <c r="D36" i="2086"/>
  <c r="D54" i="2086" s="1"/>
  <c r="H14" i="2086" s="1"/>
  <c r="R35" i="2086"/>
  <c r="D35" i="2086"/>
  <c r="R34" i="2086"/>
  <c r="D34" i="2086"/>
  <c r="R33" i="2086"/>
  <c r="R32" i="2086"/>
  <c r="R31" i="2086"/>
  <c r="R30" i="2086"/>
  <c r="R29" i="2086"/>
  <c r="R28" i="2086"/>
  <c r="D28" i="2086"/>
  <c r="R27" i="2086"/>
  <c r="D27" i="2086"/>
  <c r="R26" i="2086"/>
  <c r="L26" i="2086"/>
  <c r="D26" i="2086"/>
  <c r="R25" i="2086"/>
  <c r="L25" i="2086"/>
  <c r="D25" i="2086"/>
  <c r="R24" i="2086"/>
  <c r="D24" i="2086"/>
  <c r="R23" i="2086"/>
  <c r="L23" i="2086"/>
  <c r="D23" i="2086"/>
  <c r="R22" i="2086"/>
  <c r="L22" i="2086"/>
  <c r="D22" i="2086"/>
  <c r="R21" i="2086"/>
  <c r="D21" i="2086"/>
  <c r="R20" i="2086"/>
  <c r="L20" i="2086"/>
  <c r="D20" i="2086"/>
  <c r="R19" i="2086"/>
  <c r="L19" i="2086"/>
  <c r="D19" i="2086"/>
  <c r="R18" i="2086"/>
  <c r="D18" i="2086"/>
  <c r="R17" i="2086"/>
  <c r="D17" i="2086"/>
  <c r="R16" i="2086"/>
  <c r="L16" i="2086"/>
  <c r="D16" i="2086" s="1"/>
  <c r="S15" i="2086"/>
  <c r="R15" i="2086"/>
  <c r="D15" i="2086"/>
  <c r="S14" i="2086"/>
  <c r="R14" i="2086"/>
  <c r="D14" i="2086"/>
  <c r="R13" i="2086"/>
  <c r="D13" i="2086"/>
  <c r="R12" i="2086"/>
  <c r="L12" i="2086"/>
  <c r="D12" i="2086"/>
  <c r="R11" i="2086"/>
  <c r="L11" i="2086"/>
  <c r="D11" i="2086"/>
  <c r="L10" i="2086"/>
  <c r="D10" i="2086" s="1"/>
  <c r="L8" i="2086"/>
  <c r="D8" i="2086"/>
  <c r="R6" i="2086"/>
  <c r="R5" i="2086"/>
  <c r="R4" i="2086"/>
  <c r="D29" i="2086" l="1"/>
  <c r="H13" i="2086" s="1"/>
  <c r="H15" i="2086" s="1"/>
  <c r="H29" i="2086" s="1"/>
  <c r="G51" i="2086" s="1"/>
</calcChain>
</file>

<file path=xl/sharedStrings.xml><?xml version="1.0" encoding="utf-8"?>
<sst xmlns="http://schemas.openxmlformats.org/spreadsheetml/2006/main" count="13829" uniqueCount="235">
  <si>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</si>
  <si>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</si>
  <si>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</si>
  <si>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</si>
  <si>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</si>
  <si>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</si>
  <si>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</si>
  <si>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</si>
  <si>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</si>
  <si>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</si>
  <si>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</si>
  <si>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</si>
  <si>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</si>
  <si>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</si>
  <si>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</si>
  <si>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</si>
  <si>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</si>
  <si>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</si>
  <si>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</si>
  <si>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</si>
  <si>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</si>
  <si>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</si>
  <si>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</si>
  <si>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</si>
  <si>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</si>
  <si>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</si>
  <si>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</si>
  <si>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</si>
  <si>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</si>
  <si>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</si>
  <si>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</si>
  <si>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</si>
  <si>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</si>
  <si>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</si>
  <si>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</si>
  <si>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</si>
  <si>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</si>
  <si>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</si>
  <si>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</si>
  <si>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</si>
  <si>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</si>
  <si>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</si>
  <si>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</si>
  <si>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</si>
  <si>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</si>
  <si>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</si>
  <si>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</si>
  <si>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</si>
  <si>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</si>
  <si>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</si>
  <si>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</si>
  <si>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</si>
  <si>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</si>
  <si>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</si>
  <si>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</si>
  <si>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</si>
  <si>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</si>
  <si>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</si>
  <si>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</si>
  <si>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</si>
  <si>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</si>
  <si>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</si>
  <si>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</si>
  <si>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</si>
  <si>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</si>
  <si>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</si>
  <si>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</si>
  <si>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</si>
  <si>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</si>
  <si>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</si>
  <si>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</si>
  <si>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</si>
  <si>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</si>
  <si>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</si>
  <si>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</si>
  <si>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</si>
  <si>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</si>
  <si>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</si>
  <si>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</si>
  <si>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</si>
  <si>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</si>
  <si>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</si>
  <si>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</si>
  <si>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</si>
  <si>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</si>
  <si>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</si>
  <si>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</si>
  <si>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</si>
  <si>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</si>
  <si>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</si>
  <si>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</si>
  <si>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</si>
  <si>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</si>
  <si>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</si>
  <si>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</si>
  <si>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</si>
  <si>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</si>
  <si>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</si>
  <si>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</si>
  <si>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</si>
  <si>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</si>
  <si>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</si>
  <si>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</si>
  <si>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</si>
  <si>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</si>
  <si>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</si>
  <si>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</si>
  <si>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</si>
  <si>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</si>
  <si>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</si>
  <si>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</si>
  <si>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</si>
  <si>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</si>
  <si>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</si>
  <si>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</si>
  <si>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</si>
  <si>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</si>
  <si>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</si>
  <si>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</si>
  <si>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</si>
  <si>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</si>
  <si>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</si>
  <si>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</si>
  <si>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</si>
  <si>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</si>
  <si>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</si>
  <si>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</si>
  <si>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</si>
  <si>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</si>
  <si>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</si>
  <si>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CB BOTT</t>
  </si>
  <si>
    <t>PL BOTT.</t>
  </si>
  <si>
    <t>BDO</t>
  </si>
  <si>
    <t>150203</t>
  </si>
  <si>
    <t>120727</t>
  </si>
  <si>
    <t xml:space="preserve"> BANK TRANSFER</t>
  </si>
  <si>
    <t>SOUND CHECK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</si>
  <si>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</si>
  <si>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</si>
  <si>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56834</t>
  </si>
  <si>
    <t>G-CASH</t>
  </si>
  <si>
    <r>
      <rPr>
        <u/>
        <sz val="11"/>
        <color rgb="FFFF0000"/>
        <rFont val="Calibri"/>
        <family val="2"/>
        <scheme val="minor"/>
      </rPr>
      <t xml:space="preserve">(SHORT) </t>
    </r>
    <r>
      <rPr>
        <sz val="11"/>
        <rFont val="Calibri"/>
        <family val="2"/>
        <scheme val="minor"/>
      </rPr>
      <t>/ OVER</t>
    </r>
  </si>
  <si>
    <t>PODIOTAN, AIR JOHN</t>
  </si>
  <si>
    <t xml:space="preserve">                           AIR JOHN PODIOTAN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</si>
  <si>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</si>
  <si>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43081</t>
  </si>
  <si>
    <t>51713</t>
  </si>
  <si>
    <t xml:space="preserve">PPG </t>
  </si>
  <si>
    <t>SMFC</t>
  </si>
  <si>
    <t>HSC</t>
  </si>
  <si>
    <t>MGYZ</t>
  </si>
  <si>
    <t>KRB</t>
  </si>
  <si>
    <t>SMZB</t>
  </si>
  <si>
    <t>SML500C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</si>
  <si>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</si>
  <si>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PNB</t>
  </si>
  <si>
    <t>BANK TRANSFER</t>
  </si>
  <si>
    <t>BALWARTE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</si>
  <si>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</si>
  <si>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150836</t>
  </si>
  <si>
    <t>2000006089</t>
  </si>
  <si>
    <t>2000003113</t>
  </si>
  <si>
    <t>2000008115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</si>
  <si>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</t>
    </r>
    <r>
      <rPr>
        <u/>
        <sz val="11"/>
        <rFont val="Calibri"/>
        <family val="2"/>
        <scheme val="minor"/>
      </rPr>
      <t>OVER</t>
    </r>
  </si>
  <si>
    <t>150598</t>
  </si>
  <si>
    <t>PSBC</t>
  </si>
  <si>
    <t>2130020946</t>
  </si>
  <si>
    <t>1ST VB</t>
  </si>
  <si>
    <t>5089432</t>
  </si>
  <si>
    <t>43089</t>
  </si>
  <si>
    <t>DANDAYO,RONNEL</t>
  </si>
  <si>
    <t xml:space="preserve">                            RONNEL DANDAYO</t>
  </si>
  <si>
    <t xml:space="preserve">                        ESTEMARK PORMENTO</t>
  </si>
  <si>
    <t xml:space="preserve">                         RONNEL DANDAYO</t>
  </si>
  <si>
    <t>43093</t>
  </si>
  <si>
    <t>132776</t>
  </si>
  <si>
    <t>2000003130</t>
  </si>
  <si>
    <t>2000008133</t>
  </si>
  <si>
    <t xml:space="preserve">                         AIR JOHN PODIOTAN</t>
  </si>
  <si>
    <t>2000003136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</si>
  <si>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</t>
    </r>
    <r>
      <rPr>
        <u/>
        <sz val="11"/>
        <rFont val="Calibri"/>
        <family val="2"/>
        <scheme val="minor"/>
      </rPr>
      <t xml:space="preserve"> OVER</t>
    </r>
  </si>
  <si>
    <t xml:space="preserve">                            PODIOTAN, AIR JOHN </t>
  </si>
  <si>
    <t>2120013091</t>
  </si>
  <si>
    <t>43098</t>
  </si>
  <si>
    <t>150629</t>
  </si>
  <si>
    <t>150871</t>
  </si>
  <si>
    <t>JONATHAN CENAS</t>
  </si>
  <si>
    <t>2120013215</t>
  </si>
  <si>
    <t>150253</t>
  </si>
  <si>
    <t>150875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</si>
  <si>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</si>
  <si>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1VB</t>
  </si>
  <si>
    <t>51151</t>
  </si>
  <si>
    <t>56870</t>
  </si>
  <si>
    <t>5089433</t>
  </si>
  <si>
    <t>DANYEN STORE</t>
  </si>
  <si>
    <t>2130020961</t>
  </si>
  <si>
    <t>2000006117</t>
  </si>
  <si>
    <t>2000008154</t>
  </si>
  <si>
    <t>2000008153</t>
  </si>
  <si>
    <t>2000003144</t>
  </si>
  <si>
    <t>51152</t>
  </si>
  <si>
    <t>56880</t>
  </si>
  <si>
    <t>2100013219</t>
  </si>
  <si>
    <t>150636</t>
  </si>
  <si>
    <t>2000008161</t>
  </si>
  <si>
    <t>2000003154</t>
  </si>
  <si>
    <t>2000006125</t>
  </si>
  <si>
    <t>150892</t>
  </si>
  <si>
    <t>DANYEN</t>
  </si>
  <si>
    <t>51155</t>
  </si>
  <si>
    <t>51156</t>
  </si>
  <si>
    <t>56884</t>
  </si>
  <si>
    <t>000150207</t>
  </si>
  <si>
    <t>000150901</t>
  </si>
  <si>
    <t>2130022101</t>
  </si>
  <si>
    <t>2000008176</t>
  </si>
  <si>
    <t>2000003164</t>
  </si>
  <si>
    <t>5089437</t>
  </si>
  <si>
    <t>51157</t>
  </si>
  <si>
    <t>2000008180</t>
  </si>
  <si>
    <t>RACAZA, ALEX</t>
  </si>
  <si>
    <t>PSB</t>
  </si>
  <si>
    <t>147957</t>
  </si>
  <si>
    <t>2120013128</t>
  </si>
  <si>
    <t>150684</t>
  </si>
  <si>
    <t>2000008187</t>
  </si>
  <si>
    <t>2000003175</t>
  </si>
  <si>
    <t>2130022103</t>
  </si>
  <si>
    <t>51793</t>
  </si>
  <si>
    <t>2000003182</t>
  </si>
  <si>
    <t>2000008303</t>
  </si>
  <si>
    <t>151087</t>
  </si>
  <si>
    <t>150701</t>
  </si>
  <si>
    <t>51160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</si>
</sst>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99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2" fillId="0" borderId="16" xfId="0" applyFont="1" applyBorder="1"/>
    <xf numFmtId="0" fontId="21" fillId="0" borderId="21" xfId="0" applyFont="1" applyBorder="1"/>
    <xf numFmtId="0" fontId="21" fillId="0" borderId="0" xfId="0" applyFont="1"/>
    <xf numFmtId="0" fontId="21" fillId="0" borderId="10" xfId="0" applyFont="1" applyBorder="1"/>
    <xf numFmtId="0" fontId="21" fillId="0" borderId="16" xfId="0" applyFont="1" applyBorder="1"/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21" fillId="0" borderId="16" xfId="0" applyNumberFormat="1" applyFont="1" applyBorder="1" applyAlignment="1">
      <alignment horizontal="left"/>
    </xf>
    <xf numFmtId="0" fontId="4" fillId="0" borderId="16" xfId="0" applyFont="1" applyFill="1" applyBorder="1"/>
    <xf numFmtId="49" fontId="21" fillId="0" borderId="16" xfId="0" applyNumberFormat="1" applyFont="1" applyBorder="1" applyAlignment="1">
      <alignment horizontal="right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9" fontId="21" fillId="0" borderId="16" xfId="0" applyNumberFormat="1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165" fontId="23" fillId="0" borderId="6" xfId="0" applyNumberFormat="1" applyFont="1" applyBorder="1" applyAlignment="1">
      <alignment horizontal="left" vertical="center"/>
    </xf>
    <xf numFmtId="165" fontId="23" fillId="0" borderId="4" xfId="0" applyNumberFormat="1" applyFont="1" applyBorder="1" applyAlignment="1">
      <alignment horizontal="left" vertical="center"/>
    </xf>
    <xf numFmtId="165" fontId="23" fillId="0" borderId="7" xfId="0" applyNumberFormat="1" applyFont="1" applyBorder="1" applyAlignment="1">
      <alignment horizontal="left" vertical="center"/>
    </xf>
    <xf numFmtId="165" fontId="23" fillId="0" borderId="50" xfId="0" applyNumberFormat="1" applyFont="1" applyBorder="1" applyAlignment="1">
      <alignment horizontal="left" vertical="center"/>
    </xf>
    <xf numFmtId="165" fontId="23" fillId="0" borderId="51" xfId="0" applyNumberFormat="1" applyFont="1" applyBorder="1" applyAlignment="1">
      <alignment horizontal="left" vertical="center"/>
    </xf>
    <xf numFmtId="165" fontId="23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07" Type="http://schemas.openxmlformats.org/officeDocument/2006/relationships/calcChain" Target="calcChain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5C9F51-92B1-4D81-89A5-79AB9722C3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972696-EF49-4A69-A96D-48B11D9C4C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47625</xdr:colOff>
      <xdr:row>46</xdr:row>
      <xdr:rowOff>129855</xdr:rowOff>
    </xdr:from>
    <xdr:to>
      <xdr:col>3</xdr:col>
      <xdr:colOff>1228725</xdr:colOff>
      <xdr:row>66</xdr:row>
      <xdr:rowOff>3872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E6AC297-3553-41CA-8431-26E9B15AD0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125" y="911193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5B6B48-98D6-4FC7-91A8-CC7FE988D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E35F63-64DD-49B8-A47B-66AB8DB57D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ED17397-4B18-422D-987F-D9B07015E2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133350</xdr:rowOff>
    </xdr:from>
    <xdr:to>
      <xdr:col>3</xdr:col>
      <xdr:colOff>1181100</xdr:colOff>
      <xdr:row>66</xdr:row>
      <xdr:rowOff>7367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008EE23-9807-4939-8782-CDFC4F4FBE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154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210B45-69F0-40B6-A71C-B3C53CCE0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11DE24-F3B1-4258-8A6E-E58823E8BA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C84782-0407-4746-A5B5-E2D6E1C248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46</xdr:row>
      <xdr:rowOff>142875</xdr:rowOff>
    </xdr:from>
    <xdr:to>
      <xdr:col>3</xdr:col>
      <xdr:colOff>1133475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2FFD0C-69D0-4230-87ED-E63181675D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F9EAA3-E133-4DCB-BF91-C97FDEC741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E9F02B-7F5A-4D87-B0FA-24B0C12750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5E1A965-6079-4CD7-B332-17B091FA8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46</xdr:row>
      <xdr:rowOff>142875</xdr:rowOff>
    </xdr:from>
    <xdr:to>
      <xdr:col>3</xdr:col>
      <xdr:colOff>1219200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FBF290B-1956-4B46-A50D-602265534D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880B96-AC6A-4ED7-B3C9-8EBF880F73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D92EB5-1E3C-4DFC-9D2A-61696F0FDB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7DF647-63BB-4681-B263-384F063FE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152400</xdr:rowOff>
    </xdr:from>
    <xdr:to>
      <xdr:col>3</xdr:col>
      <xdr:colOff>1152525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606A348-7582-46FC-8ABF-C2E206CEAD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304800</xdr:colOff>
      <xdr:row>54</xdr:row>
      <xdr:rowOff>104775</xdr:rowOff>
    </xdr:from>
    <xdr:to>
      <xdr:col>3</xdr:col>
      <xdr:colOff>533400</xdr:colOff>
      <xdr:row>58</xdr:row>
      <xdr:rowOff>1458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E287DA7-40C5-45A3-8310-EBB8644ACF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95300" y="10658475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04F89A-4C56-4D27-849B-889514C3F0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68B97-95E6-4681-8043-ABA98F58E0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171450</xdr:rowOff>
    </xdr:from>
    <xdr:to>
      <xdr:col>3</xdr:col>
      <xdr:colOff>1200150</xdr:colOff>
      <xdr:row>66</xdr:row>
      <xdr:rowOff>45467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EEE5F1-6E9C-42D2-9F35-BB9B14A5D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8101C7-7CB1-44E8-A25D-58C4B4961E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83AD32D-79DC-4105-9D42-15939A1B2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1E8CAC-51BC-436B-9BDD-C10308D25F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6C08841-04CB-4AF7-B3EB-F532AD9BA4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238126</xdr:colOff>
      <xdr:row>54</xdr:row>
      <xdr:rowOff>105352</xdr:rowOff>
    </xdr:from>
    <xdr:to>
      <xdr:col>3</xdr:col>
      <xdr:colOff>466726</xdr:colOff>
      <xdr:row>58</xdr:row>
      <xdr:rowOff>2035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1B8E27-A9A5-4F89-BAF6-EBB954EA6B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6" y="10659052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4BF723-4369-483A-AB2E-16E5676670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20174D9-1B44-4331-982D-E1918D9443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142875</xdr:rowOff>
    </xdr:from>
    <xdr:to>
      <xdr:col>3</xdr:col>
      <xdr:colOff>1181100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9CAC406-9B93-47D7-A358-580614E678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76199</xdr:colOff>
      <xdr:row>54</xdr:row>
      <xdr:rowOff>76997</xdr:rowOff>
    </xdr:from>
    <xdr:to>
      <xdr:col>3</xdr:col>
      <xdr:colOff>619125</xdr:colOff>
      <xdr:row>58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E1F8C0-45B0-4082-873D-5D2504FB5A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66699" y="10630697"/>
          <a:ext cx="2162176" cy="770728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540F82-230C-4D8D-863E-8C6DAEDEB2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8450176-86C6-4053-8DD4-551DFF42B7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46</xdr:row>
      <xdr:rowOff>142875</xdr:rowOff>
    </xdr:from>
    <xdr:to>
      <xdr:col>3</xdr:col>
      <xdr:colOff>1152525</xdr:colOff>
      <xdr:row>66</xdr:row>
      <xdr:rowOff>16892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9D36929-BA15-411B-BFE5-77319A7321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9124950"/>
          <a:ext cx="2800350" cy="373164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54</xdr:row>
      <xdr:rowOff>47625</xdr:rowOff>
    </xdr:from>
    <xdr:to>
      <xdr:col>3</xdr:col>
      <xdr:colOff>781051</xdr:colOff>
      <xdr:row>58</xdr:row>
      <xdr:rowOff>56353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C6203E0-5F97-4046-B923-96285C855F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28625" y="10601325"/>
          <a:ext cx="2162176" cy="770728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1FB72C-72DD-4886-9B7D-07EA21F3B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B109B2-EF2C-4421-8042-E235F17F32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152400</xdr:rowOff>
    </xdr:from>
    <xdr:to>
      <xdr:col>3</xdr:col>
      <xdr:colOff>1181100</xdr:colOff>
      <xdr:row>66</xdr:row>
      <xdr:rowOff>26417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85652C5-7CBF-440D-8B9E-AF4572C13D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34475"/>
          <a:ext cx="2800350" cy="373164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415952</xdr:colOff>
      <xdr:row>54</xdr:row>
      <xdr:rowOff>81932</xdr:rowOff>
    </xdr:from>
    <xdr:to>
      <xdr:col>3</xdr:col>
      <xdr:colOff>609259</xdr:colOff>
      <xdr:row>57</xdr:row>
      <xdr:rowOff>156535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AAA58F7-F23C-46A0-93EF-7C435B81AF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110252">
          <a:off x="606452" y="10635632"/>
          <a:ext cx="1812557" cy="646103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47EB07-5713-4624-BC93-3836CA8D9E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48CC11-9871-436E-82DF-6CC7C5EBBF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</xdr:colOff>
      <xdr:row>46</xdr:row>
      <xdr:rowOff>161925</xdr:rowOff>
    </xdr:from>
    <xdr:to>
      <xdr:col>3</xdr:col>
      <xdr:colOff>1200150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D6B907A-D95F-4571-A38D-A28CADDBE2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955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180D63-C24A-4EAB-B6BC-C35CA44AD4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25340C-6324-4C13-860D-F5EDB0F6D3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2239C8-8F2B-400E-9581-747107914C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03EC68-47D4-4AE6-9819-E46BC4818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A859D9E-8E9D-47D5-8132-1A45D8368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180975</xdr:colOff>
      <xdr:row>46</xdr:row>
      <xdr:rowOff>190500</xdr:rowOff>
    </xdr:from>
    <xdr:to>
      <xdr:col>3</xdr:col>
      <xdr:colOff>1171575</xdr:colOff>
      <xdr:row>66</xdr:row>
      <xdr:rowOff>64517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02845CB-BA0C-489E-940B-BE35E9FAC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0975" y="9172575"/>
          <a:ext cx="2800350" cy="3731642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AE62A-2AD1-4B4A-8B8D-1C29F9397A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46CFC7-28E1-4ED0-AF03-71D3F531DD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B03A075-5BC4-44F9-AF04-0D921D09BF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C98F31F-DCCE-4E76-B7B6-B441705EAA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1F95A-6580-4985-9115-56F0DF65E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10F833F-937A-43E5-A348-CF11E7032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5A9F65-47FD-414B-9EBF-54898D1EA8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80FCFF-9445-4E05-836D-9071F2FC9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2BABF0-4CEF-4D7F-994C-B671D529D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2C7408-9BDA-408E-9303-0B372E49C7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D8AD77-126C-4FA0-8564-75D81D1A5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7A5AB8-20BF-4ABD-B880-BC027A5F2C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F74ACC-475B-4DF0-A8BE-347E8B0488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E939ED2-8F0A-488A-857F-86EFFA985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1DE80F-E997-4AD1-A8F2-57955C856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8722ED1-1FF7-4ED9-A9C2-7243CF9626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EA3416-292F-47DA-A0CD-B9BE2F23B5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3B6506-600B-4294-B108-DC9CC1905E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E84F1C-8858-4500-9D4D-A1DF8FF31F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53E7-8548-4433-BC77-A7D959D58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006A308-00DB-4CAD-A319-996C8D982E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1E792C-7A00-45B1-9CBD-E3CF28F063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8FEE76-871D-48B4-BD15-105D9EF72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917B18-27C5-470E-8F82-E57D2B5F0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ECDA2F3-B02A-4A3C-A5A9-A2E7125C9B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5023BE-E0EB-4586-BDD5-CBD5422FE9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2E24BF-988C-42FD-AC7A-6EDD2257FD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308A85-DC36-42DD-AD19-A7BE570F5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E48DC4-99AC-4396-A32E-E9569DCD22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AF7363-5874-49C2-8607-2791B0823F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9BEE3D-AD19-4218-9C34-1936FEF79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C03852-A026-4504-B44D-E44E430DA4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2587FD-3850-40E9-B97A-6BE77195E4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27AE922-21D5-4E09-B352-0B2D017092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C51BC5-BC0F-4CA6-9E33-57DAC88C7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BFB78B-7898-4D2A-A530-C76CA0BD97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6599FE1-CC62-489A-8DA0-FED53872F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E8E244-94D6-4084-97CD-655C9DCC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4F6D12-D5DC-43EE-A5EE-64E495CF24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F16E56-38BD-4898-8AA8-923CEE175A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4BF4DB-EDEE-4309-B24F-2C3AF05E59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889A17-1BF1-489F-9CCB-5CB14A4942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D46537-2EC9-44BC-A0AF-8AD2F239B4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142875</xdr:colOff>
      <xdr:row>50</xdr:row>
      <xdr:rowOff>133350</xdr:rowOff>
    </xdr:from>
    <xdr:to>
      <xdr:col>4</xdr:col>
      <xdr:colOff>0</xdr:colOff>
      <xdr:row>70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34CB0D-BFC7-4786-AA72-BD38715CDB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33375" y="9906000"/>
          <a:ext cx="2800350" cy="3731642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7936AA7-07AB-4F77-B4B9-AF676EE8B6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5E855E-9D9F-4EE5-A5CA-F0B3E30174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E99C2F-A467-45E8-95E6-337091DF0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47</xdr:row>
      <xdr:rowOff>76200</xdr:rowOff>
    </xdr:from>
    <xdr:to>
      <xdr:col>3</xdr:col>
      <xdr:colOff>1181100</xdr:colOff>
      <xdr:row>65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A9ED4C2-D191-403E-BC7C-D3CC035A4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258300"/>
          <a:ext cx="2800350" cy="3495675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4F9308-D0AC-4138-9B15-25AE218755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K25" sqref="K2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C7E892-0B5C-4E84-8213-D4BEBB407C9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89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87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AEBBA-D316-42F4-9EC3-07F8BAADED3C}">
  <dimension ref="A1:R59"/>
  <sheetViews>
    <sheetView topLeftCell="A34" zoomScaleNormal="100" zoomScaleSheetLayoutView="85" workbookViewId="0">
      <selection activeCell="D64" sqref="D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46174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570</v>
      </c>
      <c r="D6" s="13">
        <f t="shared" ref="D6:D28" si="1">C6*L6</f>
        <v>433770</v>
      </c>
      <c r="F6" s="169" t="s">
        <v>16</v>
      </c>
      <c r="G6" s="171" t="s">
        <v>142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99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13</v>
      </c>
      <c r="D9" s="13">
        <f t="shared" si="1"/>
        <v>9529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10</v>
      </c>
      <c r="D10" s="13">
        <f t="shared" si="1"/>
        <v>10320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10</v>
      </c>
      <c r="D12" s="48">
        <f t="shared" si="1"/>
        <v>9920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6</v>
      </c>
      <c r="D13" s="48">
        <f t="shared" si="1"/>
        <v>1842</v>
      </c>
      <c r="F13" s="191" t="s">
        <v>36</v>
      </c>
      <c r="G13" s="192"/>
      <c r="H13" s="193">
        <f>D29</f>
        <v>475222.5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54630.75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420591.75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2760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130</v>
      </c>
      <c r="C21" s="10">
        <v>22</v>
      </c>
      <c r="D21" s="48">
        <f t="shared" si="1"/>
        <v>491.33333333333331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500/24+1.5</f>
        <v>22.333333333333332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131</v>
      </c>
      <c r="C23" s="10">
        <v>1</v>
      </c>
      <c r="D23" s="48">
        <f t="shared" si="1"/>
        <v>108.16666666666667</v>
      </c>
      <c r="F23" s="76"/>
      <c r="G23" s="78"/>
      <c r="H23" s="287"/>
      <c r="I23" s="288"/>
      <c r="J23" s="288"/>
      <c r="L23" s="47">
        <f>622/6+4.5</f>
        <v>108.16666666666667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136</v>
      </c>
      <c r="G26" s="65">
        <v>10819</v>
      </c>
      <c r="H26" s="230">
        <v>68780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4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2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475222.5</v>
      </c>
      <c r="F29" s="214" t="s">
        <v>54</v>
      </c>
      <c r="G29" s="215"/>
      <c r="H29" s="218">
        <f>H15-H16-H17-H18-H19-H20-H22-H23-H24+H26+H27+H28</f>
        <v>486611.75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116</v>
      </c>
      <c r="H34" s="246">
        <f t="shared" ref="H34:H39" si="2">F34*G34</f>
        <v>116000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246">
        <f t="shared" si="2"/>
        <v>4500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440</v>
      </c>
      <c r="D37" s="12">
        <f>C37*111</f>
        <v>48840</v>
      </c>
      <c r="F37" s="12">
        <v>100</v>
      </c>
      <c r="G37" s="39">
        <v>2</v>
      </c>
      <c r="H37" s="246">
        <f t="shared" si="2"/>
        <v>200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6">
        <v>80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4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14</v>
      </c>
      <c r="D44" s="12">
        <f>C44*120</f>
        <v>1680</v>
      </c>
      <c r="F44" s="37" t="s">
        <v>132</v>
      </c>
      <c r="G44" s="62" t="s">
        <v>133</v>
      </c>
      <c r="H44" s="230">
        <v>317788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230">
        <v>13533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107" t="s">
        <v>135</v>
      </c>
      <c r="H46" s="230">
        <v>33800</v>
      </c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16</v>
      </c>
      <c r="D48" s="12">
        <f>C48*78</f>
        <v>1248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26</v>
      </c>
      <c r="D49" s="12">
        <f>C49*42</f>
        <v>1092</v>
      </c>
      <c r="F49" s="271" t="s">
        <v>85</v>
      </c>
      <c r="G49" s="218">
        <f>H34+H35+H36+H37+H38+H39+H40+H41+G42+H44+H45+H46</f>
        <v>485901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19</v>
      </c>
      <c r="D50" s="12">
        <f>C50*1.5</f>
        <v>28.5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138</v>
      </c>
      <c r="G51" s="281">
        <f>G49-H29</f>
        <v>-710.75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54630.75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D0300-D5DF-4ECC-B875-3DCA2AF990E5}">
  <dimension ref="A1:R59"/>
  <sheetViews>
    <sheetView topLeftCell="A40" zoomScaleNormal="100" zoomScaleSheetLayoutView="85" workbookViewId="0">
      <selection activeCell="C70" sqref="C7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46174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275</v>
      </c>
      <c r="D6" s="13">
        <f t="shared" ref="D6:D28" si="1">C6*L6</f>
        <v>209275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40</v>
      </c>
      <c r="D9" s="13">
        <f t="shared" si="1"/>
        <v>29320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</v>
      </c>
      <c r="D11" s="13">
        <f t="shared" si="1"/>
        <v>1170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3</v>
      </c>
      <c r="D13" s="48">
        <f t="shared" si="1"/>
        <v>921</v>
      </c>
      <c r="F13" s="191" t="s">
        <v>36</v>
      </c>
      <c r="G13" s="192"/>
      <c r="H13" s="193">
        <f>D29</f>
        <v>247146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36182.25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210963.75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v>696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2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247146</v>
      </c>
      <c r="F29" s="214" t="s">
        <v>54</v>
      </c>
      <c r="G29" s="215"/>
      <c r="H29" s="218">
        <f>H15-H16-H17-H18-H19-H20-H22-H23-H24+H26+H27</f>
        <v>210267.75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186</v>
      </c>
      <c r="H34" s="246">
        <f>F34*G34</f>
        <v>186000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47</v>
      </c>
      <c r="H35" s="246">
        <f>F35*G35</f>
        <v>23500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3</v>
      </c>
      <c r="H37" s="246">
        <f t="shared" si="2"/>
        <v>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6">
        <v>242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4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2</v>
      </c>
      <c r="D44" s="12">
        <f>C44*120</f>
        <v>240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210092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3</v>
      </c>
      <c r="D50" s="12">
        <f>C50*1.5</f>
        <v>4.5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137</v>
      </c>
      <c r="G51" s="281">
        <f>G49-H29</f>
        <v>-175.75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36182.25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D5910C-4766-4062-B66C-D11AF49AE199}">
  <dimension ref="A1:R59"/>
  <sheetViews>
    <sheetView topLeftCell="A28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46174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307</v>
      </c>
      <c r="D6" s="13">
        <f t="shared" ref="D6:D28" si="1">C6*L6</f>
        <v>233627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25</v>
      </c>
      <c r="D9" s="13">
        <f t="shared" si="1"/>
        <v>18325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3</v>
      </c>
      <c r="D12" s="48">
        <f t="shared" si="1"/>
        <v>2976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191" t="s">
        <v>36</v>
      </c>
      <c r="G13" s="192"/>
      <c r="H13" s="193">
        <f>D29</f>
        <v>266056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58272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207784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588+504</f>
        <v>1092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92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266056</v>
      </c>
      <c r="F29" s="214" t="s">
        <v>54</v>
      </c>
      <c r="G29" s="215"/>
      <c r="H29" s="218">
        <f>H15-H16-H17-H18-H19-H20-H22-H23-H24+H26+H27</f>
        <v>206692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73</v>
      </c>
      <c r="H34" s="246">
        <f>F34*G34</f>
        <v>73000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111</v>
      </c>
      <c r="H35" s="246">
        <f>F35*G35</f>
        <v>55500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6">
        <f t="shared" ref="H36:H39" si="2">F36*G36</f>
        <v>200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506</v>
      </c>
      <c r="D37" s="12">
        <f>C37*111</f>
        <v>56166</v>
      </c>
      <c r="F37" s="12">
        <v>100</v>
      </c>
      <c r="G37" s="39">
        <v>121</v>
      </c>
      <c r="H37" s="246">
        <f t="shared" si="2"/>
        <v>12100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61</v>
      </c>
      <c r="H38" s="246">
        <f t="shared" si="2"/>
        <v>3050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6">
        <v>401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4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2</v>
      </c>
      <c r="D44" s="12">
        <f>C44*120</f>
        <v>240</v>
      </c>
      <c r="F44" s="37" t="s">
        <v>132</v>
      </c>
      <c r="G44" s="75" t="s">
        <v>139</v>
      </c>
      <c r="H44" s="230">
        <v>55389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140</v>
      </c>
      <c r="G45" s="75"/>
      <c r="H45" s="230">
        <v>1032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</v>
      </c>
      <c r="D46" s="12">
        <f>C46*1.5</f>
        <v>1.5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2</v>
      </c>
      <c r="D49" s="12">
        <f>C49*42</f>
        <v>84</v>
      </c>
      <c r="F49" s="271" t="s">
        <v>85</v>
      </c>
      <c r="G49" s="218">
        <f>H34+H35+H36+H37+H38+H39+H40+H41+G42+H44+H45+H46</f>
        <v>200692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13</v>
      </c>
      <c r="D50" s="12">
        <f>C50*1.5</f>
        <v>19.5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141</v>
      </c>
      <c r="G51" s="281">
        <f>G49-H29</f>
        <v>-6000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58272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21B5A-F7CB-4BCE-9108-E31933DEA22A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96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8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FC5552-2C84-434D-85E9-BD7B20B7AB9C}">
  <dimension ref="A1:R59"/>
  <sheetViews>
    <sheetView topLeftCell="A3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46175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304</v>
      </c>
      <c r="D6" s="13">
        <f t="shared" ref="D6:D28" si="1">C6*L6</f>
        <v>231344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</v>
      </c>
      <c r="D7" s="13">
        <f t="shared" si="1"/>
        <v>1562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11</v>
      </c>
      <c r="D9" s="13">
        <f t="shared" si="1"/>
        <v>8063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242753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35565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v>1</v>
      </c>
      <c r="D15" s="31">
        <f t="shared" si="1"/>
        <v>620</v>
      </c>
      <c r="F15" s="201" t="s">
        <v>39</v>
      </c>
      <c r="G15" s="192"/>
      <c r="H15" s="202">
        <f>H13-H14</f>
        <v>207188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42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242753</v>
      </c>
      <c r="F29" s="214" t="s">
        <v>54</v>
      </c>
      <c r="G29" s="215"/>
      <c r="H29" s="218">
        <f>H15-H16-H17-H18-H19-H20-H22-H23-H24+H26+H27+H28</f>
        <v>207146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114</v>
      </c>
      <c r="H34" s="246">
        <f t="shared" ref="H34:H39" si="2">F34*G34</f>
        <v>114000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46">
        <f t="shared" si="2"/>
        <v>22000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23</v>
      </c>
      <c r="D36" s="12">
        <f>C36*1.5</f>
        <v>34.5</v>
      </c>
      <c r="F36" s="12">
        <v>200</v>
      </c>
      <c r="G36" s="37">
        <v>2</v>
      </c>
      <c r="H36" s="246">
        <f t="shared" si="2"/>
        <v>400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19</v>
      </c>
      <c r="H37" s="246">
        <f t="shared" si="2"/>
        <v>1900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3</v>
      </c>
      <c r="H38" s="246">
        <f t="shared" si="2"/>
        <v>150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46">
        <f t="shared" si="2"/>
        <v>40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124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140</v>
      </c>
      <c r="G44" s="62"/>
      <c r="H44" s="230">
        <v>55000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2</v>
      </c>
      <c r="D45" s="12">
        <f>C45*84</f>
        <v>168</v>
      </c>
      <c r="F45" s="37" t="s">
        <v>140</v>
      </c>
      <c r="G45" s="62"/>
      <c r="H45" s="230">
        <v>13650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</v>
      </c>
      <c r="D46" s="12">
        <f>C46*1.5</f>
        <v>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207264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6</v>
      </c>
      <c r="D50" s="12">
        <f>C50*1.5</f>
        <v>9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144</v>
      </c>
      <c r="G51" s="293">
        <f>G49-H29</f>
        <v>118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35565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A8269-5C15-46E2-9DAD-5811CFAA89FE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46175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330</v>
      </c>
      <c r="D6" s="13">
        <f t="shared" ref="D6:D28" si="1">C6*L6</f>
        <v>251130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</v>
      </c>
      <c r="D9" s="13">
        <f t="shared" si="1"/>
        <v>733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13</v>
      </c>
      <c r="D13" s="48">
        <f t="shared" si="1"/>
        <v>3991</v>
      </c>
      <c r="F13" s="191" t="s">
        <v>36</v>
      </c>
      <c r="G13" s="192"/>
      <c r="H13" s="193">
        <f>D29</f>
        <v>256886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37893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218993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1944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256886</v>
      </c>
      <c r="F29" s="214" t="s">
        <v>54</v>
      </c>
      <c r="G29" s="215"/>
      <c r="H29" s="218">
        <f>H15-H16-H17-H18-H19-H20-H22-H23-H24+H26+H27</f>
        <v>217049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102</v>
      </c>
      <c r="H34" s="246">
        <f>F34*G34</f>
        <v>102000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229</v>
      </c>
      <c r="H35" s="246">
        <f>F35*G35</f>
        <v>114500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6">
        <f t="shared" ref="H36:H39" si="2">F36*G36</f>
        <v>200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334</v>
      </c>
      <c r="D37" s="12">
        <f>C37*111</f>
        <v>37074</v>
      </c>
      <c r="F37" s="12">
        <v>100</v>
      </c>
      <c r="G37" s="39">
        <v>1</v>
      </c>
      <c r="H37" s="246">
        <f t="shared" si="2"/>
        <v>100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14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11</v>
      </c>
      <c r="D49" s="12">
        <f>C49*42</f>
        <v>462</v>
      </c>
      <c r="F49" s="271" t="s">
        <v>85</v>
      </c>
      <c r="G49" s="218">
        <f>H34+H35+H36+H37+H38+H39+H40+H41+G42+H44+H45+H46</f>
        <v>216834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2</v>
      </c>
      <c r="D50" s="12">
        <f>C50*1.5</f>
        <v>3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141</v>
      </c>
      <c r="G51" s="281">
        <f>G49-H29</f>
        <v>-215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37893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40BF-D1FF-48D8-874F-7EF05E3C062C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46175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8">
        <v>346</v>
      </c>
      <c r="D6" s="13">
        <f t="shared" ref="D6:D28" si="1">C6*L6</f>
        <v>263306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8">
        <v>20</v>
      </c>
      <c r="D7" s="13">
        <f t="shared" si="1"/>
        <v>15620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8">
        <v>1</v>
      </c>
      <c r="D8" s="13">
        <f t="shared" si="1"/>
        <v>1093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8">
        <v>74</v>
      </c>
      <c r="D9" s="13">
        <f t="shared" si="1"/>
        <v>54242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8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8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8">
        <f>10+10+2</f>
        <v>22</v>
      </c>
      <c r="D12" s="48">
        <f t="shared" si="1"/>
        <v>21824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8">
        <v>1</v>
      </c>
      <c r="D13" s="48">
        <f t="shared" si="1"/>
        <v>307</v>
      </c>
      <c r="F13" s="191" t="s">
        <v>36</v>
      </c>
      <c r="G13" s="192"/>
      <c r="H13" s="193">
        <f>D29</f>
        <v>403944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8"/>
      <c r="D14" s="31">
        <f t="shared" si="1"/>
        <v>0</v>
      </c>
      <c r="F14" s="196" t="s">
        <v>38</v>
      </c>
      <c r="G14" s="197"/>
      <c r="H14" s="198">
        <f>D54</f>
        <v>72575.25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8">
        <f>10</f>
        <v>10</v>
      </c>
      <c r="D15" s="31">
        <f t="shared" si="1"/>
        <v>6200</v>
      </c>
      <c r="F15" s="201" t="s">
        <v>39</v>
      </c>
      <c r="G15" s="192"/>
      <c r="H15" s="202">
        <f>H13-H14</f>
        <v>331368.75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8">
        <f>5+2+5</f>
        <v>12</v>
      </c>
      <c r="D16" s="48">
        <f t="shared" si="1"/>
        <v>7800</v>
      </c>
      <c r="F16" s="67" t="s">
        <v>41</v>
      </c>
      <c r="G16" s="66" t="s">
        <v>42</v>
      </c>
      <c r="H16" s="205">
        <v>918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8">
        <f>1+1+1+1</f>
        <v>4</v>
      </c>
      <c r="D17" s="48">
        <f t="shared" si="1"/>
        <v>6808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8">
        <f>2+2</f>
        <v>4</v>
      </c>
      <c r="D18" s="48">
        <f t="shared" si="1"/>
        <v>4408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8">
        <v>1</v>
      </c>
      <c r="D19" s="48">
        <f t="shared" si="1"/>
        <v>1175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8">
        <v>1</v>
      </c>
      <c r="D20" s="13">
        <f t="shared" si="1"/>
        <v>1582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147</v>
      </c>
      <c r="C21" s="108">
        <v>1</v>
      </c>
      <c r="D21" s="48">
        <f t="shared" si="1"/>
        <v>1242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1122+120</f>
        <v>1242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148</v>
      </c>
      <c r="C22" s="108">
        <v>1</v>
      </c>
      <c r="D22" s="48">
        <f t="shared" si="1"/>
        <v>1102</v>
      </c>
      <c r="F22" s="76"/>
      <c r="G22" s="72"/>
      <c r="H22" s="228"/>
      <c r="I22" s="228"/>
      <c r="J22" s="228"/>
      <c r="L22" s="7">
        <v>1102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149</v>
      </c>
      <c r="C23" s="108">
        <v>1</v>
      </c>
      <c r="D23" s="48">
        <f t="shared" si="1"/>
        <v>1204</v>
      </c>
      <c r="F23" s="77"/>
      <c r="G23" s="78"/>
      <c r="H23" s="292"/>
      <c r="I23" s="228"/>
      <c r="J23" s="228"/>
      <c r="L23" s="47">
        <v>1204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150</v>
      </c>
      <c r="C24" s="108">
        <v>1</v>
      </c>
      <c r="D24" s="48">
        <f t="shared" si="1"/>
        <v>1582</v>
      </c>
      <c r="F24" s="38"/>
      <c r="G24" s="37"/>
      <c r="H24" s="229"/>
      <c r="I24" s="230"/>
      <c r="J24" s="230"/>
      <c r="L24" s="47">
        <f>1582</f>
        <v>1582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151</v>
      </c>
      <c r="C25" s="108">
        <v>1</v>
      </c>
      <c r="D25" s="48">
        <f t="shared" si="1"/>
        <v>1728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1728</f>
        <v>1728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152</v>
      </c>
      <c r="C26" s="108">
        <v>1</v>
      </c>
      <c r="D26" s="48">
        <f t="shared" si="1"/>
        <v>1277</v>
      </c>
      <c r="F26" s="64"/>
      <c r="G26" s="59"/>
      <c r="H26" s="234"/>
      <c r="I26" s="235"/>
      <c r="J26" s="236"/>
      <c r="L26" s="7">
        <f>1157+120</f>
        <v>1277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153</v>
      </c>
      <c r="C27" s="108">
        <v>2</v>
      </c>
      <c r="D27" s="44">
        <f t="shared" si="1"/>
        <v>3334</v>
      </c>
      <c r="F27" s="25"/>
      <c r="G27" s="79"/>
      <c r="H27" s="237"/>
      <c r="I27" s="238"/>
      <c r="J27" s="239"/>
      <c r="L27" s="7">
        <v>1667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8">
        <v>10</v>
      </c>
      <c r="D28" s="48">
        <f t="shared" si="1"/>
        <v>8110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403944</v>
      </c>
      <c r="F29" s="214" t="s">
        <v>54</v>
      </c>
      <c r="G29" s="215"/>
      <c r="H29" s="218">
        <f>H15-H16-H17-H18-H19-H20-H22-H23-H24+H26+H27</f>
        <v>330400.75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13</v>
      </c>
      <c r="H35" s="246">
        <f>F35*G35</f>
        <v>6500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11</v>
      </c>
      <c r="D36" s="12">
        <f>C36*1.5</f>
        <v>16.5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278</v>
      </c>
      <c r="D37" s="12">
        <f>C37*111</f>
        <v>30858</v>
      </c>
      <c r="F37" s="12">
        <v>100</v>
      </c>
      <c r="G37" s="39">
        <v>30</v>
      </c>
      <c r="H37" s="246">
        <f t="shared" si="2"/>
        <v>3000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382</v>
      </c>
      <c r="D38" s="12">
        <f>C38*84</f>
        <v>32088</v>
      </c>
      <c r="F38" s="30">
        <v>50</v>
      </c>
      <c r="G38" s="39">
        <v>3</v>
      </c>
      <c r="H38" s="246">
        <f t="shared" si="2"/>
        <v>150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32</v>
      </c>
      <c r="D41" s="12">
        <f>C41*84</f>
        <v>2688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6">
        <v>38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3</v>
      </c>
      <c r="D44" s="12">
        <f>C44*120</f>
        <v>360</v>
      </c>
      <c r="F44" s="37" t="s">
        <v>132</v>
      </c>
      <c r="G44" s="75" t="s">
        <v>145</v>
      </c>
      <c r="H44" s="230">
        <v>98416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69</v>
      </c>
      <c r="D45" s="12">
        <f>C45*84</f>
        <v>5796</v>
      </c>
      <c r="F45" s="37" t="s">
        <v>132</v>
      </c>
      <c r="G45" s="75" t="s">
        <v>146</v>
      </c>
      <c r="H45" s="230">
        <v>221673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10</v>
      </c>
      <c r="D46" s="12">
        <f>C46*1.5</f>
        <v>15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329777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5</v>
      </c>
      <c r="D50" s="12">
        <f>C50*1.5</f>
        <v>7.5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154</v>
      </c>
      <c r="G51" s="281">
        <f>G49-H29</f>
        <v>-623.75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72575.25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16274-D9C6-4DF3-A750-53BAD6AEC132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008A8-7BD6-4FD4-AB39-31F263AFCBFF}">
  <dimension ref="A1:R59"/>
  <sheetViews>
    <sheetView topLeftCell="A36" zoomScaleNormal="100" zoomScaleSheetLayoutView="85" workbookViewId="0">
      <selection activeCell="C51" sqref="C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46176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441</v>
      </c>
      <c r="D6" s="13">
        <f t="shared" ref="D6:D28" si="1">C6*L6</f>
        <v>335601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</v>
      </c>
      <c r="D7" s="13">
        <f t="shared" si="1"/>
        <v>3905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</v>
      </c>
      <c r="D9" s="13">
        <f t="shared" si="1"/>
        <v>7330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13</v>
      </c>
      <c r="D13" s="48">
        <f t="shared" si="1"/>
        <v>3991</v>
      </c>
      <c r="F13" s="191" t="s">
        <v>36</v>
      </c>
      <c r="G13" s="192"/>
      <c r="H13" s="193">
        <f>D29</f>
        <v>361570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41899.5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v>2</v>
      </c>
      <c r="D15" s="31">
        <f t="shared" si="1"/>
        <v>1240</v>
      </c>
      <c r="F15" s="201" t="s">
        <v>39</v>
      </c>
      <c r="G15" s="192"/>
      <c r="H15" s="202">
        <f>H13-H14</f>
        <v>319670.5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5">
        <v>1944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157</v>
      </c>
      <c r="G22" s="72">
        <v>10843</v>
      </c>
      <c r="H22" s="228">
        <v>88549</v>
      </c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157</v>
      </c>
      <c r="G26" s="65">
        <v>10547</v>
      </c>
      <c r="H26" s="230">
        <v>78233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2</v>
      </c>
      <c r="D28" s="48">
        <f t="shared" si="1"/>
        <v>1622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361570</v>
      </c>
      <c r="F29" s="214" t="s">
        <v>54</v>
      </c>
      <c r="G29" s="215"/>
      <c r="H29" s="218">
        <f>H15-H16-H17-H18-H19-H20-H22-H23-H24+H26+H27+H28</f>
        <v>307410.5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180</v>
      </c>
      <c r="H34" s="246">
        <f t="shared" ref="H34:H39" si="2">F34*G34</f>
        <v>180000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6">
        <f t="shared" si="2"/>
        <v>1000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351</v>
      </c>
      <c r="D37" s="12">
        <f>C37*111</f>
        <v>38961</v>
      </c>
      <c r="F37" s="12">
        <v>100</v>
      </c>
      <c r="G37" s="39">
        <v>437</v>
      </c>
      <c r="H37" s="246">
        <f t="shared" si="2"/>
        <v>43700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64</v>
      </c>
      <c r="H38" s="246">
        <f t="shared" si="2"/>
        <v>3200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6</v>
      </c>
      <c r="D42" s="12">
        <f>C42*2.25</f>
        <v>13.5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8</v>
      </c>
      <c r="D44" s="12">
        <f>C44*120</f>
        <v>960</v>
      </c>
      <c r="F44" s="37" t="s">
        <v>155</v>
      </c>
      <c r="G44" s="109" t="s">
        <v>156</v>
      </c>
      <c r="H44" s="230">
        <v>78233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7</v>
      </c>
      <c r="D49" s="12">
        <f>C49*42</f>
        <v>294</v>
      </c>
      <c r="F49" s="271" t="s">
        <v>85</v>
      </c>
      <c r="G49" s="218">
        <f>H34+H35+H36+H37+H38+H39+H40+H41+G42+H44+H45+H46</f>
        <v>306133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11</v>
      </c>
      <c r="D50" s="12">
        <f>C50*1.5</f>
        <v>16.5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-1277.5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41899.5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119D6-AB60-483E-9247-34913FE9A1BE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46176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603ED-621E-4A79-9D61-DD3BBCB2107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46176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DAD88-DA0F-4B36-80DB-F867549639C9}">
  <dimension ref="A1:S59"/>
  <sheetViews>
    <sheetView zoomScaleNormal="100" zoomScaleSheetLayoutView="85" workbookViewId="0">
      <selection activeCell="G54" sqref="G5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A62EF-4DDF-4599-8C20-CEA5C6D75910}">
  <dimension ref="A1:R59"/>
  <sheetViews>
    <sheetView topLeftCell="A37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46177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370</v>
      </c>
      <c r="D6" s="13">
        <f t="shared" ref="D6:D28" si="1">C6*L6</f>
        <v>281570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50</v>
      </c>
      <c r="D7" s="13">
        <f t="shared" si="1"/>
        <v>39050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65</v>
      </c>
      <c r="D8" s="13">
        <f t="shared" si="1"/>
        <v>71045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117</v>
      </c>
      <c r="D9" s="13">
        <f t="shared" si="1"/>
        <v>85761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26</v>
      </c>
      <c r="D12" s="48">
        <f t="shared" si="1"/>
        <v>25792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191" t="s">
        <v>36</v>
      </c>
      <c r="G13" s="192"/>
      <c r="H13" s="193">
        <f>D29</f>
        <v>508853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82236.75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426616.25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3042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136</v>
      </c>
      <c r="G22" s="72">
        <v>10850</v>
      </c>
      <c r="H22" s="228">
        <v>62272</v>
      </c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3</v>
      </c>
      <c r="D28" s="48">
        <f t="shared" si="1"/>
        <v>2433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508853</v>
      </c>
      <c r="F29" s="214" t="s">
        <v>54</v>
      </c>
      <c r="G29" s="215"/>
      <c r="H29" s="218">
        <f>H15-H16-H17-H18-H19-H20-H22-H23-H24+H26+H27+H28</f>
        <v>361302.25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23</v>
      </c>
      <c r="H34" s="246">
        <f t="shared" ref="H34:H39" si="2">F34*G34</f>
        <v>23000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46">
        <f t="shared" si="2"/>
        <v>3500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603</v>
      </c>
      <c r="D37" s="12">
        <f>C37*111</f>
        <v>66933</v>
      </c>
      <c r="F37" s="12">
        <v>100</v>
      </c>
      <c r="G37" s="39">
        <v>23</v>
      </c>
      <c r="H37" s="246">
        <f t="shared" si="2"/>
        <v>2300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9</v>
      </c>
      <c r="H38" s="246">
        <f t="shared" si="2"/>
        <v>450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11</v>
      </c>
      <c r="D39" s="31">
        <f>C39*4.5</f>
        <v>49.5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6">
        <v>80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68</v>
      </c>
      <c r="D44" s="12">
        <f>C44*120</f>
        <v>8160</v>
      </c>
      <c r="F44" s="37" t="s">
        <v>132</v>
      </c>
      <c r="G44" s="62" t="s">
        <v>159</v>
      </c>
      <c r="H44" s="230">
        <v>321116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140</v>
      </c>
      <c r="G45" s="62"/>
      <c r="H45" s="230">
        <v>10122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360568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138</v>
      </c>
      <c r="G51" s="281">
        <f>G49-H29</f>
        <v>-734.25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82236.75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4DC5A-FEE3-4212-9206-33811C254683}">
  <dimension ref="A1:R59"/>
  <sheetViews>
    <sheetView topLeftCell="A28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46177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297</v>
      </c>
      <c r="D6" s="13">
        <f t="shared" ref="D6:D28" si="1">C6*L6</f>
        <v>226017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</v>
      </c>
      <c r="D7" s="13">
        <f t="shared" si="1"/>
        <v>781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23</v>
      </c>
      <c r="D9" s="13">
        <f t="shared" si="1"/>
        <v>16859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7</v>
      </c>
      <c r="D13" s="48">
        <f t="shared" si="1"/>
        <v>2149</v>
      </c>
      <c r="F13" s="191" t="s">
        <v>36</v>
      </c>
      <c r="G13" s="192"/>
      <c r="H13" s="193">
        <f>D29</f>
        <v>248406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41370.75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207035.25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5">
        <v>1896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248406</v>
      </c>
      <c r="F29" s="214" t="s">
        <v>54</v>
      </c>
      <c r="G29" s="215"/>
      <c r="H29" s="218">
        <f>H15-H16-H17-H18-H19-H20-H22-H23-H24+H26+H27</f>
        <v>205139.25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26</v>
      </c>
      <c r="H34" s="246">
        <f>F34*G34</f>
        <v>26000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105</v>
      </c>
      <c r="H35" s="246">
        <f>F35*G35</f>
        <v>52500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3</v>
      </c>
      <c r="D42" s="12">
        <f>C42*2.25</f>
        <v>6.75</v>
      </c>
      <c r="F42" s="39" t="s">
        <v>78</v>
      </c>
      <c r="G42" s="246">
        <v>85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132</v>
      </c>
      <c r="G44" s="75" t="s">
        <v>164</v>
      </c>
      <c r="H44" s="230">
        <v>126406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</v>
      </c>
      <c r="D46" s="12">
        <f>C46*1.5</f>
        <v>1.5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9</v>
      </c>
      <c r="D49" s="12">
        <f>C49*42</f>
        <v>378</v>
      </c>
      <c r="F49" s="271" t="s">
        <v>85</v>
      </c>
      <c r="G49" s="218">
        <f>H34+H35+H36+H37+H38+H39+H40+H41+G42+H44+H45+H46</f>
        <v>205091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1</v>
      </c>
      <c r="D50" s="12">
        <f>C50*1.5</f>
        <v>1.5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137</v>
      </c>
      <c r="G51" s="281">
        <f>G49-H29</f>
        <v>-48.25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41370.75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C710A-CE86-4A85-8418-0479340726B7}">
  <dimension ref="A1:R59"/>
  <sheetViews>
    <sheetView topLeftCell="A37" zoomScaleNormal="100" zoomScaleSheetLayoutView="85" workbookViewId="0">
      <selection activeCell="L58" sqref="L5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46177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539</v>
      </c>
      <c r="D6" s="13">
        <f t="shared" ref="D6:D28" si="1">C6*L6</f>
        <v>410179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20</v>
      </c>
      <c r="D7" s="13">
        <f t="shared" si="1"/>
        <v>15620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135</v>
      </c>
      <c r="D9" s="13">
        <f t="shared" si="1"/>
        <v>98955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20</v>
      </c>
      <c r="D11" s="13">
        <f t="shared" si="1"/>
        <v>23400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20</v>
      </c>
      <c r="D12" s="48">
        <f t="shared" si="1"/>
        <v>19840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24</v>
      </c>
      <c r="D13" s="48">
        <f t="shared" si="1"/>
        <v>7368</v>
      </c>
      <c r="F13" s="191" t="s">
        <v>36</v>
      </c>
      <c r="G13" s="192"/>
      <c r="H13" s="193">
        <f>D29</f>
        <v>582314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89697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492617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2+7</f>
        <v>9</v>
      </c>
      <c r="D16" s="48">
        <f t="shared" si="1"/>
        <v>5850</v>
      </c>
      <c r="F16" s="67" t="s">
        <v>41</v>
      </c>
      <c r="G16" s="66" t="s">
        <v>42</v>
      </c>
      <c r="H16" s="205">
        <f>924+306</f>
        <v>1230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148</v>
      </c>
      <c r="C27" s="10">
        <v>1</v>
      </c>
      <c r="D27" s="44">
        <f t="shared" si="1"/>
        <v>1102</v>
      </c>
      <c r="F27" s="25"/>
      <c r="G27" s="79"/>
      <c r="H27" s="237"/>
      <c r="I27" s="238"/>
      <c r="J27" s="239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582314</v>
      </c>
      <c r="F29" s="214" t="s">
        <v>54</v>
      </c>
      <c r="G29" s="215"/>
      <c r="H29" s="218">
        <f>H15-H16-H17-H18-H19-H20-H22-H23-H24+H26+H27</f>
        <v>491387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24</v>
      </c>
      <c r="H34" s="246">
        <f>F34*G34</f>
        <v>24000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</v>
      </c>
      <c r="H35" s="246">
        <f>F35*G35</f>
        <v>2000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19</v>
      </c>
      <c r="D36" s="12">
        <f>C36*1.5</f>
        <v>28.5</v>
      </c>
      <c r="F36" s="12">
        <v>200</v>
      </c>
      <c r="G36" s="37">
        <v>1</v>
      </c>
      <c r="H36" s="246">
        <f t="shared" ref="H36:H39" si="2">F36*G36</f>
        <v>200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756</v>
      </c>
      <c r="D37" s="12">
        <f>C37*111</f>
        <v>83916</v>
      </c>
      <c r="F37" s="12">
        <v>100</v>
      </c>
      <c r="G37" s="39">
        <v>59</v>
      </c>
      <c r="H37" s="246">
        <f t="shared" si="2"/>
        <v>5900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6">
        <v>30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13</v>
      </c>
      <c r="D44" s="12">
        <f>C44*120</f>
        <v>1560</v>
      </c>
      <c r="F44" s="37" t="s">
        <v>155</v>
      </c>
      <c r="G44" s="75" t="s">
        <v>160</v>
      </c>
      <c r="H44" s="230">
        <v>30346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155</v>
      </c>
      <c r="G45" s="75" t="s">
        <v>161</v>
      </c>
      <c r="H45" s="230">
        <v>328788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7</v>
      </c>
      <c r="D46" s="12">
        <f>C46*1.5</f>
        <v>10.5</v>
      </c>
      <c r="F46" s="37" t="s">
        <v>155</v>
      </c>
      <c r="G46" s="110" t="s">
        <v>162</v>
      </c>
      <c r="H46" s="230">
        <v>99736</v>
      </c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24</v>
      </c>
      <c r="D49" s="12">
        <f>C49*42</f>
        <v>1008</v>
      </c>
      <c r="F49" s="271" t="s">
        <v>85</v>
      </c>
      <c r="G49" s="218">
        <f>H34+H35+H36+H37+H38+H39+H40+H41+G42+H44+H45+H46</f>
        <v>491050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14</v>
      </c>
      <c r="D50" s="12">
        <f>C50*1.5</f>
        <v>21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163</v>
      </c>
      <c r="G51" s="281">
        <f>G49-H29</f>
        <v>-337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89697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40189-D465-4967-A348-0B7586C2B4F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7DD10-A8AA-46BD-BD11-3486487D218F}">
  <dimension ref="A1:R59"/>
  <sheetViews>
    <sheetView zoomScaleNormal="100" zoomScaleSheetLayoutView="85" workbookViewId="0">
      <selection activeCell="G36" sqref="G3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46178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6">
        <f t="shared" ref="H34:H39" si="2"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62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BB878-5D4A-486D-B0EB-E2633C3ADD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46178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384</v>
      </c>
      <c r="D6" s="13">
        <f t="shared" ref="D6:D28" si="1">C6*L6</f>
        <v>292224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4</v>
      </c>
      <c r="D7" s="13">
        <f t="shared" si="1"/>
        <v>3124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6</v>
      </c>
      <c r="D9" s="13">
        <f t="shared" si="1"/>
        <v>4398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191" t="s">
        <v>36</v>
      </c>
      <c r="G13" s="192"/>
      <c r="H13" s="193">
        <f>D29</f>
        <v>302509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39733.5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262775.5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302509</v>
      </c>
      <c r="F29" s="214" t="s">
        <v>54</v>
      </c>
      <c r="G29" s="215"/>
      <c r="H29" s="218">
        <f>H15-H16-H17-H18-H19-H20-H22-H23-H24+H26+H27</f>
        <v>261479.5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90</v>
      </c>
      <c r="H34" s="246">
        <f>F34*G34</f>
        <v>90000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51</v>
      </c>
      <c r="H35" s="246">
        <f>F35*G35</f>
        <v>25500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46">
        <f t="shared" si="2"/>
        <v>40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77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165</v>
      </c>
      <c r="G44" s="75" t="s">
        <v>166</v>
      </c>
      <c r="H44" s="230">
        <v>145825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4</v>
      </c>
      <c r="D49" s="12">
        <f>C49*42</f>
        <v>168</v>
      </c>
      <c r="F49" s="271" t="s">
        <v>85</v>
      </c>
      <c r="G49" s="218">
        <f>H34+H35+H36+H37+H38+H39+H40+H41+G42+H44+H45+H46</f>
        <v>261542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5</v>
      </c>
      <c r="D50" s="12">
        <f>C50*1.5</f>
        <v>7.5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62.5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39733.5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D1A631-B913-4B0D-B333-83CB150626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46178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389</v>
      </c>
      <c r="D6" s="13">
        <f t="shared" ref="D6:D28" si="1">C6*L6</f>
        <v>296029</v>
      </c>
      <c r="F6" s="169" t="s">
        <v>16</v>
      </c>
      <c r="G6" s="171" t="s">
        <v>170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20</v>
      </c>
      <c r="D7" s="13">
        <f t="shared" si="1"/>
        <v>15620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46</v>
      </c>
      <c r="D9" s="13">
        <f t="shared" si="1"/>
        <v>33718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4+1</f>
        <v>5</v>
      </c>
      <c r="D12" s="48">
        <f t="shared" si="1"/>
        <v>4960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8</v>
      </c>
      <c r="D13" s="48">
        <f t="shared" si="1"/>
        <v>2456</v>
      </c>
      <c r="F13" s="191" t="s">
        <v>36</v>
      </c>
      <c r="G13" s="192"/>
      <c r="H13" s="193">
        <f>D29</f>
        <v>357319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52380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304939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1092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357319</v>
      </c>
      <c r="F29" s="214" t="s">
        <v>54</v>
      </c>
      <c r="G29" s="215"/>
      <c r="H29" s="218">
        <f>H15-H16-H17-H18-H19-H20-H22-H23-H24+H26+H27</f>
        <v>303847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3">
        <v>103</v>
      </c>
      <c r="H34" s="246">
        <f>F34*G34</f>
        <v>103000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246">
        <f>F35*G35</f>
        <v>4500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6">
        <f t="shared" ref="H36:H39" si="2">F36*G36</f>
        <v>200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421</v>
      </c>
      <c r="D37" s="12">
        <f>C37*111</f>
        <v>46731</v>
      </c>
      <c r="F37" s="12">
        <v>100</v>
      </c>
      <c r="G37" s="39">
        <v>63</v>
      </c>
      <c r="H37" s="246">
        <f t="shared" si="2"/>
        <v>6300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8</v>
      </c>
      <c r="D42" s="12">
        <f>C42*2.25</f>
        <v>18</v>
      </c>
      <c r="F42" s="39" t="s">
        <v>78</v>
      </c>
      <c r="G42" s="246">
        <v>20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5</v>
      </c>
      <c r="D44" s="12">
        <f>C44*120</f>
        <v>600</v>
      </c>
      <c r="F44" s="37" t="s">
        <v>167</v>
      </c>
      <c r="G44" s="75" t="s">
        <v>168</v>
      </c>
      <c r="H44" s="230">
        <v>69159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1</v>
      </c>
      <c r="D45" s="12">
        <f>C45*84</f>
        <v>84</v>
      </c>
      <c r="F45" s="37" t="s">
        <v>132</v>
      </c>
      <c r="G45" s="75" t="s">
        <v>169</v>
      </c>
      <c r="H45" s="230">
        <v>119736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5</v>
      </c>
      <c r="D46" s="12">
        <f>C46*1.5</f>
        <v>7.5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302965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14</v>
      </c>
      <c r="D50" s="12">
        <f>C50*1.5</f>
        <v>21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137</v>
      </c>
      <c r="G51" s="281">
        <f>G49-H29</f>
        <v>-882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52380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17099-48C1-4AB9-8DE1-CFCA6E12A1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05E38-9FEB-4220-A304-1BDE55C2F912}">
  <dimension ref="A1:R59"/>
  <sheetViews>
    <sheetView topLeftCell="A37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46179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136</v>
      </c>
      <c r="G26" s="65">
        <v>10850</v>
      </c>
      <c r="H26" s="230">
        <v>62272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62272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246">
        <f t="shared" ref="H34:H39" si="2">F34*G34</f>
        <v>62000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6">
        <f t="shared" si="2"/>
        <v>200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22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62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62272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99B0C-322E-48B7-9B4B-6300806FCF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46179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E8C9-59EB-4F59-95D5-B1F89CA82ECB}">
  <dimension ref="A1:R59"/>
  <sheetViews>
    <sheetView topLeftCell="A28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46179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E651FE-F86D-4E78-9CB8-C5B260A23C0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DEFF-527F-43BE-B19C-0010A5A9817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46181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6">
        <f t="shared" ref="H34:H39" si="2"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62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0EF23-8C0D-4138-B964-08AD5AE13EA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46181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457</v>
      </c>
      <c r="D6" s="13">
        <f t="shared" ref="D6:D28" si="1">C6*L6</f>
        <v>347777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4</v>
      </c>
      <c r="D7" s="13">
        <f t="shared" si="1"/>
        <v>3124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33</v>
      </c>
      <c r="D9" s="13">
        <f t="shared" si="1"/>
        <v>24189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15</v>
      </c>
      <c r="D13" s="48">
        <f t="shared" si="1"/>
        <v>4605</v>
      </c>
      <c r="F13" s="191" t="s">
        <v>36</v>
      </c>
      <c r="G13" s="192"/>
      <c r="H13" s="193">
        <f>D29</f>
        <v>379695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56268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323427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2832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379695</v>
      </c>
      <c r="F29" s="214" t="s">
        <v>54</v>
      </c>
      <c r="G29" s="215"/>
      <c r="H29" s="218">
        <f>H15-H16-H17-H18-H19-H20-H22-H23-H24+H26+H27</f>
        <v>320595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151</v>
      </c>
      <c r="H34" s="246">
        <f>F34*G34</f>
        <v>151000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334</v>
      </c>
      <c r="H35" s="246">
        <f>F35*G35</f>
        <v>167000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495</v>
      </c>
      <c r="D37" s="12">
        <f>C37*111</f>
        <v>54945</v>
      </c>
      <c r="F37" s="12">
        <v>100</v>
      </c>
      <c r="G37" s="39">
        <v>7</v>
      </c>
      <c r="H37" s="246">
        <f t="shared" si="2"/>
        <v>700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5</v>
      </c>
      <c r="H38" s="246">
        <f t="shared" si="2"/>
        <v>250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8</v>
      </c>
      <c r="D42" s="12">
        <f>C42*2.25</f>
        <v>18</v>
      </c>
      <c r="F42" s="39" t="s">
        <v>78</v>
      </c>
      <c r="G42" s="246">
        <v>76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15</v>
      </c>
      <c r="D49" s="12">
        <f>C49*42</f>
        <v>630</v>
      </c>
      <c r="F49" s="271" t="s">
        <v>85</v>
      </c>
      <c r="G49" s="218">
        <f>H34+H35+H36+H37+H38+H39+H40+H41+G42+H44+H45+H46</f>
        <v>319046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-1549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56268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D3B36-C091-4981-BB45-62747301CC83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46181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416</v>
      </c>
      <c r="D6" s="13">
        <f t="shared" ref="D6:D28" si="1">C6*L6</f>
        <v>316576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76</v>
      </c>
      <c r="D9" s="13">
        <f t="shared" si="1"/>
        <v>55708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</v>
      </c>
      <c r="D11" s="13">
        <f t="shared" si="1"/>
        <v>1170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5</v>
      </c>
      <c r="D12" s="48">
        <f t="shared" si="1"/>
        <v>4960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191" t="s">
        <v>36</v>
      </c>
      <c r="G13" s="192"/>
      <c r="H13" s="193">
        <f>D29</f>
        <v>389426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56689.5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332736.5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2478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389426</v>
      </c>
      <c r="F29" s="214" t="s">
        <v>54</v>
      </c>
      <c r="G29" s="215"/>
      <c r="H29" s="218">
        <f>H15-H16-H17-H18-H19-H20-H22-H23-H24+H26+H27</f>
        <v>330258.5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122</v>
      </c>
      <c r="H34" s="246">
        <f>F34*G34</f>
        <v>122000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60</v>
      </c>
      <c r="H35" s="246">
        <f>F35*G35</f>
        <v>30000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10</v>
      </c>
      <c r="D36" s="12">
        <f>C36*1.5</f>
        <v>15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467</v>
      </c>
      <c r="D37" s="12">
        <f>C37*111</f>
        <v>51837</v>
      </c>
      <c r="F37" s="12">
        <v>100</v>
      </c>
      <c r="G37" s="39">
        <v>52</v>
      </c>
      <c r="H37" s="246">
        <f t="shared" si="2"/>
        <v>5200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18</v>
      </c>
      <c r="H38" s="246">
        <f t="shared" si="2"/>
        <v>900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25</v>
      </c>
      <c r="D40" s="12">
        <f>C40*111</f>
        <v>2775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22</v>
      </c>
      <c r="D42" s="12">
        <f>C42*2.25</f>
        <v>49.5</v>
      </c>
      <c r="F42" s="39" t="s">
        <v>78</v>
      </c>
      <c r="G42" s="246">
        <v>204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174</v>
      </c>
      <c r="H44" s="230">
        <v>164463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1</v>
      </c>
      <c r="D45" s="12">
        <f>C45*84</f>
        <v>84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8</v>
      </c>
      <c r="D46" s="12">
        <f>C46*1.5</f>
        <v>12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5</v>
      </c>
      <c r="D49" s="12">
        <f>C49*42</f>
        <v>210</v>
      </c>
      <c r="F49" s="271" t="s">
        <v>85</v>
      </c>
      <c r="G49" s="218">
        <f>H34+H35+H36+H37+H38+H39+H40+H41+G42+H44+H45+H46</f>
        <v>322767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7</v>
      </c>
      <c r="D50" s="12">
        <f>C50*1.5</f>
        <v>10.5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-7491.5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56689.5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173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C6EB1-AF3E-4268-8DB4-DF2088B102B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FE4E9-1FE8-4F3F-ACA7-1DA10B4A02D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46182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339</v>
      </c>
      <c r="D6" s="13">
        <f t="shared" ref="D6:D28" si="1">C6*L6</f>
        <v>257979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9</v>
      </c>
      <c r="D7" s="13">
        <f t="shared" si="1"/>
        <v>7029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20</v>
      </c>
      <c r="D9" s="13">
        <f t="shared" si="1"/>
        <v>14660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1+1</f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</v>
      </c>
      <c r="D13" s="48">
        <f t="shared" si="1"/>
        <v>614</v>
      </c>
      <c r="F13" s="191" t="s">
        <v>36</v>
      </c>
      <c r="G13" s="192"/>
      <c r="H13" s="193">
        <f>D29</f>
        <v>284998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35218.5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249779.5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284998</v>
      </c>
      <c r="F29" s="214" t="s">
        <v>54</v>
      </c>
      <c r="G29" s="215"/>
      <c r="H29" s="218">
        <f>H15-H16-H17-H18-H19-H20-H22-H23-H24+H26+H27+H28</f>
        <v>249779.5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129</v>
      </c>
      <c r="H34" s="246">
        <f t="shared" ref="H34:H39" si="2">F34*G34</f>
        <v>129000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73</v>
      </c>
      <c r="H35" s="246">
        <f t="shared" si="2"/>
        <v>36500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300</v>
      </c>
      <c r="D37" s="12">
        <f>C37*111</f>
        <v>33300</v>
      </c>
      <c r="F37" s="12">
        <v>100</v>
      </c>
      <c r="G37" s="39">
        <v>36</v>
      </c>
      <c r="H37" s="246">
        <f t="shared" si="2"/>
        <v>3600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18</v>
      </c>
      <c r="H38" s="246">
        <f t="shared" si="2"/>
        <v>900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58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2</v>
      </c>
      <c r="D44" s="12">
        <f>C44*120</f>
        <v>240</v>
      </c>
      <c r="F44" s="37" t="s">
        <v>155</v>
      </c>
      <c r="G44" s="109" t="s">
        <v>156</v>
      </c>
      <c r="H44" s="230">
        <v>67000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140</v>
      </c>
      <c r="G45" s="62"/>
      <c r="H45" s="230">
        <v>12350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2</v>
      </c>
      <c r="D49" s="12">
        <f>C49*42</f>
        <v>84</v>
      </c>
      <c r="F49" s="271" t="s">
        <v>85</v>
      </c>
      <c r="G49" s="218">
        <f>H34+H35+H36+H37+H38+H39+H40+H41+G42+H44+H45+H46</f>
        <v>249428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21</v>
      </c>
      <c r="D50" s="12">
        <f>C50*1.5</f>
        <v>31.5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-351.5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35218.5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81FFC-57F5-4046-A495-6C2AFA3D99E4}">
  <dimension ref="A1:R59"/>
  <sheetViews>
    <sheetView topLeftCell="A25" zoomScaleNormal="100" zoomScaleSheetLayoutView="85" workbookViewId="0">
      <selection activeCell="M57" sqref="M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46182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323</v>
      </c>
      <c r="D6" s="13">
        <f t="shared" ref="D6:D28" si="1">C6*L6</f>
        <v>245803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3</v>
      </c>
      <c r="D7" s="13">
        <f t="shared" si="1"/>
        <v>2343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50</v>
      </c>
      <c r="D9" s="13">
        <f t="shared" si="1"/>
        <v>36650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5</v>
      </c>
      <c r="D10" s="13">
        <f t="shared" si="1"/>
        <v>5160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12</v>
      </c>
      <c r="D13" s="48">
        <f t="shared" si="1"/>
        <v>3684</v>
      </c>
      <c r="F13" s="191" t="s">
        <v>36</v>
      </c>
      <c r="G13" s="192"/>
      <c r="H13" s="193">
        <f>D29</f>
        <v>296582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46258.5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250323.5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5">
        <v>2070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296582</v>
      </c>
      <c r="F29" s="214" t="s">
        <v>54</v>
      </c>
      <c r="G29" s="215"/>
      <c r="H29" s="218">
        <f>H15-H16-H17-H18-H19-H20-H22-H23-H24+H26+H27</f>
        <v>248253.5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73">
        <v>18</v>
      </c>
      <c r="H34" s="246">
        <f>F34*G34</f>
        <v>18000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6">
        <f>F35*G35</f>
        <v>5000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386</v>
      </c>
      <c r="D37" s="12">
        <f>C37*111</f>
        <v>42846</v>
      </c>
      <c r="F37" s="12">
        <v>100</v>
      </c>
      <c r="G37" s="39">
        <v>1</v>
      </c>
      <c r="H37" s="246">
        <f t="shared" si="2"/>
        <v>100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20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175</v>
      </c>
      <c r="H44" s="230">
        <v>224866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1</v>
      </c>
      <c r="D45" s="12">
        <f>C45*84</f>
        <v>84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</v>
      </c>
      <c r="D49" s="12">
        <f>C49*42</f>
        <v>42</v>
      </c>
      <c r="F49" s="271" t="s">
        <v>85</v>
      </c>
      <c r="G49" s="218">
        <f>H34+H35+H36+H37+H38+H39+H40+H41+G42+H44+H45+H46</f>
        <v>247986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1</v>
      </c>
      <c r="D50" s="12">
        <f>C50*1.5</f>
        <v>1.5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-267.5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46258.5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F5F7AE-32C5-452C-AAE9-68EC1209A3FC}">
  <dimension ref="A1:R59"/>
  <sheetViews>
    <sheetView topLeftCell="A34" zoomScaleNormal="100" zoomScaleSheetLayoutView="85" workbookViewId="0">
      <selection activeCell="L64" sqref="L6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46182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490</v>
      </c>
      <c r="D6" s="13">
        <f t="shared" ref="D6:D28" si="1">C6*L6</f>
        <v>372890</v>
      </c>
      <c r="F6" s="169" t="s">
        <v>16</v>
      </c>
      <c r="G6" s="171" t="s">
        <v>142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27</v>
      </c>
      <c r="D7" s="13">
        <f t="shared" si="1"/>
        <v>21087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108</v>
      </c>
      <c r="D9" s="13">
        <f t="shared" si="1"/>
        <v>79164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5</v>
      </c>
      <c r="D10" s="13">
        <f t="shared" si="1"/>
        <v>5160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7+2</f>
        <v>9</v>
      </c>
      <c r="D12" s="48">
        <f t="shared" si="1"/>
        <v>8928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19</v>
      </c>
      <c r="D13" s="48">
        <f t="shared" si="1"/>
        <v>5833</v>
      </c>
      <c r="F13" s="191" t="s">
        <v>36</v>
      </c>
      <c r="G13" s="192"/>
      <c r="H13" s="193">
        <f>D29</f>
        <v>494155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67279.5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426875.5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3288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494155</v>
      </c>
      <c r="F29" s="214" t="s">
        <v>54</v>
      </c>
      <c r="G29" s="215"/>
      <c r="H29" s="218">
        <f>H15-H16-H17-H18-H19-H20-H22-H23-H24+H26+H27</f>
        <v>423587.5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30</v>
      </c>
      <c r="H34" s="246">
        <f>F34*G34</f>
        <v>30000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246">
        <f>F35*G35</f>
        <v>29500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24</v>
      </c>
      <c r="D36" s="12">
        <f>C36*1.5</f>
        <v>36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562</v>
      </c>
      <c r="D37" s="12">
        <f>C37*111</f>
        <v>62382</v>
      </c>
      <c r="F37" s="12">
        <v>100</v>
      </c>
      <c r="G37" s="39">
        <v>8</v>
      </c>
      <c r="H37" s="246">
        <f t="shared" si="2"/>
        <v>800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246">
        <f t="shared" si="2"/>
        <v>150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8</v>
      </c>
      <c r="D42" s="12">
        <f>C42*2.25</f>
        <v>18</v>
      </c>
      <c r="F42" s="39" t="s">
        <v>78</v>
      </c>
      <c r="G42" s="246">
        <v>42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7</v>
      </c>
      <c r="D44" s="12">
        <f>C44*120</f>
        <v>840</v>
      </c>
      <c r="F44" s="37" t="s">
        <v>155</v>
      </c>
      <c r="G44" s="75" t="s">
        <v>176</v>
      </c>
      <c r="H44" s="230">
        <v>129945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4</v>
      </c>
      <c r="D45" s="12">
        <f>C45*84</f>
        <v>336</v>
      </c>
      <c r="F45" s="37" t="s">
        <v>155</v>
      </c>
      <c r="G45" s="75" t="s">
        <v>177</v>
      </c>
      <c r="H45" s="230">
        <v>233114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4</v>
      </c>
      <c r="D46" s="12">
        <f>C46*1.5</f>
        <v>6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5</v>
      </c>
      <c r="D49" s="12">
        <f>C49*42</f>
        <v>210</v>
      </c>
      <c r="F49" s="271" t="s">
        <v>85</v>
      </c>
      <c r="G49" s="218">
        <f>H34+H35+H36+H37+H38+H39+H40+H41+G42+H44+H45+H46</f>
        <v>423571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22</v>
      </c>
      <c r="D50" s="12">
        <f>C50*1.5</f>
        <v>33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-16.5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67279.5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178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3826-2DAB-44E2-951B-F359D94D7E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0EFB-94EB-4F08-B6B7-8A30824DE5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46183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312</v>
      </c>
      <c r="D6" s="13">
        <f t="shared" ref="D6:D28" si="1">C6*L6</f>
        <v>237432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8</v>
      </c>
      <c r="D7" s="13">
        <f t="shared" si="1"/>
        <v>6248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15</v>
      </c>
      <c r="D9" s="13">
        <f t="shared" si="1"/>
        <v>10995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262429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37573.5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v>2</v>
      </c>
      <c r="D15" s="31">
        <f t="shared" si="1"/>
        <v>1240</v>
      </c>
      <c r="F15" s="201" t="s">
        <v>39</v>
      </c>
      <c r="G15" s="192"/>
      <c r="H15" s="202">
        <f>H13-H14</f>
        <v>224855.5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2+4</f>
        <v>6</v>
      </c>
      <c r="D16" s="48">
        <f t="shared" si="1"/>
        <v>3900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9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2</v>
      </c>
      <c r="D28" s="48">
        <f t="shared" si="1"/>
        <v>1622</v>
      </c>
      <c r="F28" s="101"/>
      <c r="G28" s="61"/>
      <c r="H28" s="240"/>
      <c r="I28" s="241"/>
      <c r="J28" s="242"/>
      <c r="L28" s="47"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262429</v>
      </c>
      <c r="F29" s="214" t="s">
        <v>54</v>
      </c>
      <c r="G29" s="215"/>
      <c r="H29" s="218">
        <f>H15-H16-H17-H18-H19-H20-H22-H23-H24+H26+H27+H28</f>
        <v>224855.5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54</v>
      </c>
      <c r="H34" s="246">
        <f t="shared" ref="H34:H39" si="2">F34*G34</f>
        <v>54000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246">
        <f t="shared" si="2"/>
        <v>7000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6">
        <f t="shared" si="2"/>
        <v>200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18</v>
      </c>
      <c r="H37" s="246">
        <f t="shared" si="2"/>
        <v>1800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4</v>
      </c>
      <c r="D42" s="12">
        <f>C42*2.25</f>
        <v>9</v>
      </c>
      <c r="F42" s="39" t="s">
        <v>78</v>
      </c>
      <c r="G42" s="246">
        <v>60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2</v>
      </c>
      <c r="D44" s="12">
        <f>C44*120</f>
        <v>240</v>
      </c>
      <c r="F44" s="37" t="s">
        <v>140</v>
      </c>
      <c r="G44" s="62"/>
      <c r="H44" s="230">
        <v>11360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1</v>
      </c>
      <c r="D45" s="12">
        <f>C45*84</f>
        <v>84</v>
      </c>
      <c r="F45" s="37" t="s">
        <v>165</v>
      </c>
      <c r="G45" s="110" t="s">
        <v>182</v>
      </c>
      <c r="H45" s="230">
        <v>150130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1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33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8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11"/>
      <c r="D49" s="12">
        <f>C49*42</f>
        <v>0</v>
      </c>
      <c r="F49" s="271" t="s">
        <v>85</v>
      </c>
      <c r="G49" s="218">
        <f>H34+H35+H36+H37+H38+H39+H40+H41+G42+H44+H45+H46</f>
        <v>224670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138</v>
      </c>
      <c r="G51" s="281">
        <f>G49-H29</f>
        <v>-185.5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37573.5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4701A-C8BE-4D0B-AA33-18B49BEDF3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46183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D04DCD-753A-48DD-9791-A6ED4B4130C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0" t="s">
        <v>2</v>
      </c>
      <c r="Q1" s="10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46183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338</v>
      </c>
      <c r="D6" s="13">
        <f t="shared" ref="D6:D28" si="1">C6*L6</f>
        <v>257218</v>
      </c>
      <c r="F6" s="169" t="s">
        <v>16</v>
      </c>
      <c r="G6" s="171" t="s">
        <v>142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</v>
      </c>
      <c r="D7" s="13">
        <f t="shared" si="1"/>
        <v>781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14</v>
      </c>
      <c r="D9" s="13">
        <f t="shared" si="1"/>
        <v>10262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5</v>
      </c>
      <c r="D12" s="48">
        <f t="shared" si="1"/>
        <v>4960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191" t="s">
        <v>36</v>
      </c>
      <c r="G13" s="192"/>
      <c r="H13" s="193">
        <f>D29</f>
        <v>297741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41929.5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255811.5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17+16</f>
        <v>33</v>
      </c>
      <c r="D16" s="48">
        <f t="shared" si="1"/>
        <v>21450</v>
      </c>
      <c r="F16" s="67" t="s">
        <v>41</v>
      </c>
      <c r="G16" s="66" t="s">
        <v>42</v>
      </c>
      <c r="H16" s="205"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297741</v>
      </c>
      <c r="F29" s="214" t="s">
        <v>54</v>
      </c>
      <c r="G29" s="215"/>
      <c r="H29" s="218">
        <f>H15-H16-H17-H18-H19-H20-H22-H23-H24+H26+H27</f>
        <v>254515.5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107</v>
      </c>
      <c r="H34" s="246">
        <f>F34*G34</f>
        <v>107000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12</v>
      </c>
      <c r="H35" s="246">
        <f>F35*G35</f>
        <v>6000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343</v>
      </c>
      <c r="D37" s="12">
        <f>C37*111</f>
        <v>38073</v>
      </c>
      <c r="F37" s="12">
        <v>100</v>
      </c>
      <c r="G37" s="39">
        <v>1</v>
      </c>
      <c r="H37" s="246">
        <f t="shared" si="2"/>
        <v>100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9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155</v>
      </c>
      <c r="G44" s="75" t="s">
        <v>179</v>
      </c>
      <c r="H44" s="230">
        <v>140790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3</v>
      </c>
      <c r="D45" s="12">
        <f>C45*84</f>
        <v>252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13</v>
      </c>
      <c r="D46" s="12">
        <f>C46*1.5</f>
        <v>19.5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8</v>
      </c>
      <c r="D49" s="12">
        <f>C49*42</f>
        <v>336</v>
      </c>
      <c r="F49" s="271" t="s">
        <v>85</v>
      </c>
      <c r="G49" s="218">
        <f>H34+H35+H36+H37+H38+H39+H40+H41+G42+H44+H45+H46</f>
        <v>253940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22</v>
      </c>
      <c r="D50" s="12">
        <f>C50*1.5</f>
        <v>33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180</v>
      </c>
      <c r="G51" s="281">
        <f>G49-H29</f>
        <v>-575.5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41929.5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181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4146B-A016-42CA-9F38-644908F1E97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4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2FB5F-FFC3-492B-861A-322686639109}">
  <dimension ref="A1:R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46184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06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6">
        <f t="shared" ref="H34:H39" si="2"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62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5BEE0-5CA6-422A-88EC-17D960ADF2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46184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265</v>
      </c>
      <c r="D6" s="13">
        <f t="shared" ref="D6:D28" si="1">C6*L6</f>
        <v>201665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108</v>
      </c>
      <c r="D9" s="13">
        <f t="shared" si="1"/>
        <v>79164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15</v>
      </c>
      <c r="D13" s="48">
        <f t="shared" si="1"/>
        <v>4605</v>
      </c>
      <c r="F13" s="191" t="s">
        <v>36</v>
      </c>
      <c r="G13" s="192"/>
      <c r="H13" s="193">
        <f>D29</f>
        <v>286866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41175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245691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1932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286866</v>
      </c>
      <c r="F29" s="214" t="s">
        <v>54</v>
      </c>
      <c r="G29" s="215"/>
      <c r="H29" s="218">
        <f>H15-H16-H17-H18-H19-H20-H22-H23-H24+H26+H27</f>
        <v>243759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46">
        <f>F34*G34</f>
        <v>138000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211</v>
      </c>
      <c r="H35" s="246">
        <f>F35*G35</f>
        <v>105500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33</v>
      </c>
      <c r="D38" s="12">
        <f>C38*84</f>
        <v>2772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9</v>
      </c>
      <c r="D49" s="12">
        <f>C49*42</f>
        <v>378</v>
      </c>
      <c r="F49" s="271" t="s">
        <v>85</v>
      </c>
      <c r="G49" s="218">
        <f>H34+H35+H36+H37+H38+H39+H40+H41+G42+H44+H45+H46</f>
        <v>243500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3</v>
      </c>
      <c r="D50" s="12">
        <f>C50*1.5</f>
        <v>4.5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-259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41175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D21DE8-261D-4456-91A8-E216D4EACED6}">
  <dimension ref="A1:R59"/>
  <sheetViews>
    <sheetView topLeftCell="A34" zoomScaleNormal="100" zoomScaleSheetLayoutView="85" workbookViewId="0">
      <selection activeCell="H17" sqref="H17:J1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46184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269</v>
      </c>
      <c r="D6" s="13">
        <f t="shared" ref="D6:D28" si="1">C6*L6</f>
        <v>204709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11</v>
      </c>
      <c r="D7" s="13">
        <f t="shared" si="1"/>
        <v>8591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26</v>
      </c>
      <c r="D8" s="13">
        <f t="shared" si="1"/>
        <v>28418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53</v>
      </c>
      <c r="D9" s="13">
        <f t="shared" si="1"/>
        <v>38849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5</v>
      </c>
      <c r="D11" s="13">
        <f t="shared" si="1"/>
        <v>5850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</v>
      </c>
      <c r="D13" s="48">
        <f t="shared" si="1"/>
        <v>614</v>
      </c>
      <c r="F13" s="191" t="s">
        <v>36</v>
      </c>
      <c r="G13" s="192"/>
      <c r="H13" s="193">
        <f>D29</f>
        <v>291580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43789.5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247790.5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1242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136</v>
      </c>
      <c r="G22" s="72">
        <v>10938</v>
      </c>
      <c r="H22" s="228">
        <v>35098</v>
      </c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3</v>
      </c>
      <c r="D28" s="48">
        <f t="shared" si="1"/>
        <v>2433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291580</v>
      </c>
      <c r="F29" s="214" t="s">
        <v>54</v>
      </c>
      <c r="G29" s="215"/>
      <c r="H29" s="218">
        <f>H15-H16-H17-H18-H19-H20-H22-H23-H24+H26+H27</f>
        <v>211400.5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83</v>
      </c>
      <c r="H34" s="246">
        <f>F34*G34</f>
        <v>83000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46">
        <f>F35*G35</f>
        <v>20000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</v>
      </c>
      <c r="D42" s="12">
        <f>C42*2.25</f>
        <v>4.5</v>
      </c>
      <c r="F42" s="39" t="s">
        <v>78</v>
      </c>
      <c r="G42" s="246">
        <v>26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33</v>
      </c>
      <c r="D44" s="12">
        <f>C44*120</f>
        <v>3960</v>
      </c>
      <c r="F44" s="37" t="s">
        <v>132</v>
      </c>
      <c r="G44" s="62" t="s">
        <v>183</v>
      </c>
      <c r="H44" s="230">
        <v>97440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140</v>
      </c>
      <c r="G45" s="75"/>
      <c r="H45" s="230">
        <v>17976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15</v>
      </c>
      <c r="D46" s="12">
        <f>C46*1.5</f>
        <v>22.5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218542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16</v>
      </c>
      <c r="D50" s="12">
        <f>C50*1.5</f>
        <v>24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7141.5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43789.5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171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5A8CC-3D34-4E5F-A9F4-65A17F0BD4A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4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AFE3C-D593-4EA9-AC6D-5D0BDC7FCD74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46185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422</v>
      </c>
      <c r="D6" s="13">
        <f t="shared" ref="D6:D28" si="1">C6*L6</f>
        <v>321142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8</v>
      </c>
      <c r="D7" s="13">
        <f t="shared" si="1"/>
        <v>6248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103</v>
      </c>
      <c r="D9" s="13">
        <f t="shared" si="1"/>
        <v>75499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12</v>
      </c>
      <c r="D13" s="48">
        <f t="shared" si="1"/>
        <v>3684</v>
      </c>
      <c r="F13" s="191" t="s">
        <v>36</v>
      </c>
      <c r="G13" s="192"/>
      <c r="H13" s="193">
        <f>D29</f>
        <v>410353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40264.5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f>3+1</f>
        <v>4</v>
      </c>
      <c r="D15" s="31">
        <f t="shared" si="1"/>
        <v>2480</v>
      </c>
      <c r="F15" s="201" t="s">
        <v>39</v>
      </c>
      <c r="G15" s="192"/>
      <c r="H15" s="202">
        <f>H13-H14</f>
        <v>370088.5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1074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186</v>
      </c>
      <c r="G22" s="72">
        <v>10941</v>
      </c>
      <c r="H22" s="228">
        <v>123065</v>
      </c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06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410353</v>
      </c>
      <c r="F29" s="214" t="s">
        <v>54</v>
      </c>
      <c r="G29" s="215"/>
      <c r="H29" s="218">
        <f>H15-H16-H17-H18-H19-H20-H22-H23-H24+H26+H27+H28</f>
        <v>245949.5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38</v>
      </c>
      <c r="H34" s="246">
        <f t="shared" ref="H34:H39" si="2">F34*G34</f>
        <v>38000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45</v>
      </c>
      <c r="H35" s="246">
        <f t="shared" si="2"/>
        <v>22500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344</v>
      </c>
      <c r="D37" s="12">
        <f>C37*111</f>
        <v>38184</v>
      </c>
      <c r="F37" s="12">
        <v>100</v>
      </c>
      <c r="G37" s="39">
        <v>1</v>
      </c>
      <c r="H37" s="246">
        <f t="shared" si="2"/>
        <v>100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9</v>
      </c>
      <c r="H38" s="246">
        <f t="shared" si="2"/>
        <v>450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12</v>
      </c>
      <c r="D42" s="12">
        <f>C42*2.25</f>
        <v>27</v>
      </c>
      <c r="F42" s="39" t="s">
        <v>78</v>
      </c>
      <c r="G42" s="246">
        <v>16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185</v>
      </c>
      <c r="H44" s="230">
        <v>134999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2</v>
      </c>
      <c r="D45" s="12">
        <f>C45*84</f>
        <v>168</v>
      </c>
      <c r="F45" s="37" t="s">
        <v>155</v>
      </c>
      <c r="G45" s="109" t="s">
        <v>156</v>
      </c>
      <c r="H45" s="230">
        <v>45000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22</v>
      </c>
      <c r="D46" s="12">
        <f>C46*1.5</f>
        <v>33</v>
      </c>
      <c r="F46" s="37" t="s">
        <v>140</v>
      </c>
      <c r="G46" s="62"/>
      <c r="H46" s="230">
        <v>4550</v>
      </c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245615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-334.5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40264.5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E2A24-9CEE-4C26-84A2-5D6F37E644C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46185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277</v>
      </c>
      <c r="D6" s="13">
        <f t="shared" ref="D6:D28" si="1">C6*L6</f>
        <v>210797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</v>
      </c>
      <c r="D7" s="13">
        <f t="shared" si="1"/>
        <v>3905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68</v>
      </c>
      <c r="D9" s="13">
        <f t="shared" si="1"/>
        <v>49844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191" t="s">
        <v>36</v>
      </c>
      <c r="G13" s="192"/>
      <c r="H13" s="193">
        <f>D29</f>
        <v>273580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46170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v>1</v>
      </c>
      <c r="D15" s="31">
        <f t="shared" si="1"/>
        <v>620</v>
      </c>
      <c r="F15" s="201" t="s">
        <v>39</v>
      </c>
      <c r="G15" s="192"/>
      <c r="H15" s="202">
        <f>H13-H14</f>
        <v>227410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5">
        <v>1140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273580</v>
      </c>
      <c r="F29" s="214" t="s">
        <v>54</v>
      </c>
      <c r="G29" s="215"/>
      <c r="H29" s="218">
        <f>H15-H16-H17-H18-H19-H20-H22-H23-H24+H26+H27</f>
        <v>226270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85</v>
      </c>
      <c r="H34" s="246">
        <f>F34*G34</f>
        <v>85000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30</v>
      </c>
      <c r="H35" s="246">
        <f>F35*G35</f>
        <v>15000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66</v>
      </c>
      <c r="H37" s="246">
        <f t="shared" si="2"/>
        <v>6600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</v>
      </c>
      <c r="D42" s="12">
        <f>C42*2.25</f>
        <v>4.5</v>
      </c>
      <c r="F42" s="39" t="s">
        <v>78</v>
      </c>
      <c r="G42" s="246">
        <v>41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5</v>
      </c>
      <c r="D44" s="12">
        <f>C44*120</f>
        <v>600</v>
      </c>
      <c r="F44" s="37" t="s">
        <v>132</v>
      </c>
      <c r="G44" s="62" t="s">
        <v>184</v>
      </c>
      <c r="H44" s="230">
        <v>119356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5</v>
      </c>
      <c r="D49" s="12">
        <f>C49*42</f>
        <v>210</v>
      </c>
      <c r="F49" s="271" t="s">
        <v>85</v>
      </c>
      <c r="G49" s="218">
        <f>H34+H35+H36+H37+H38+H39+H40+H41+G42+H44+H45+H46</f>
        <v>225997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-273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46170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8BC48-0951-457B-B2CA-8BB17711EB7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46185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5B010-DACC-44D9-9E75-5440F6B8B3D7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11" t="s">
        <v>2</v>
      </c>
      <c r="Q1" s="11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2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4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061AA3-9E39-4318-80F9-A9402597D8BF}">
  <dimension ref="A1:R59"/>
  <sheetViews>
    <sheetView topLeftCell="A3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46186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186</v>
      </c>
      <c r="G26" s="65">
        <v>10941</v>
      </c>
      <c r="H26" s="230">
        <v>123065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14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2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123065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6">
        <f t="shared" ref="H34:H39" si="2"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4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165</v>
      </c>
      <c r="G44" s="110" t="s">
        <v>187</v>
      </c>
      <c r="H44" s="230">
        <v>123065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123065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C6A5C-4C8A-4F21-A99A-9C77C9DC1FA4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4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AED45-E4BF-40A8-B1B0-7D252080AA8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46188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322</v>
      </c>
      <c r="D6" s="13">
        <f t="shared" ref="D6:D28" si="1">C6*L6</f>
        <v>245042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111</v>
      </c>
      <c r="D9" s="13">
        <f t="shared" si="1"/>
        <v>81363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191" t="s">
        <v>36</v>
      </c>
      <c r="G13" s="192"/>
      <c r="H13" s="193">
        <f>D29</f>
        <v>337138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68018.25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269119.75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2430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>
        <v>125.84</v>
      </c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136</v>
      </c>
      <c r="G26" s="65">
        <v>10938</v>
      </c>
      <c r="H26" s="230">
        <v>35098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06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337138</v>
      </c>
      <c r="F29" s="214" t="s">
        <v>54</v>
      </c>
      <c r="G29" s="215"/>
      <c r="H29" s="218">
        <f>H15-H16-H17-H18-H19-H20-H22-H23-H24+H26+H27+H28</f>
        <v>301661.90999999997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9</v>
      </c>
      <c r="D34" s="30">
        <f>C34*120</f>
        <v>1080</v>
      </c>
      <c r="F34" s="12">
        <v>1000</v>
      </c>
      <c r="G34" s="40">
        <v>58</v>
      </c>
      <c r="H34" s="246">
        <f t="shared" ref="H34:H39" si="2">F34*G34</f>
        <v>58000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</v>
      </c>
      <c r="H35" s="246">
        <f t="shared" si="2"/>
        <v>1000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539</v>
      </c>
      <c r="D37" s="12">
        <f>C37*111</f>
        <v>59829</v>
      </c>
      <c r="F37" s="12">
        <v>100</v>
      </c>
      <c r="G37" s="39">
        <v>7</v>
      </c>
      <c r="H37" s="246">
        <f t="shared" si="2"/>
        <v>700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5</v>
      </c>
      <c r="H38" s="246">
        <f t="shared" si="2"/>
        <v>250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10</v>
      </c>
      <c r="D39" s="31">
        <f>C39*4.5</f>
        <v>45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17</v>
      </c>
      <c r="D42" s="12">
        <f>C42*2.25</f>
        <v>38.25</v>
      </c>
      <c r="F42" s="39" t="s">
        <v>78</v>
      </c>
      <c r="G42" s="246">
        <v>48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10</v>
      </c>
      <c r="D44" s="12">
        <f>C44*120</f>
        <v>1200</v>
      </c>
      <c r="F44" s="37" t="s">
        <v>132</v>
      </c>
      <c r="G44" s="62" t="s">
        <v>188</v>
      </c>
      <c r="H44" s="230">
        <v>183077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132</v>
      </c>
      <c r="G45" s="62" t="s">
        <v>189</v>
      </c>
      <c r="H45" s="230">
        <v>57853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23</v>
      </c>
      <c r="D46" s="12">
        <f>C46*1.5</f>
        <v>34.5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24</v>
      </c>
      <c r="D48" s="12">
        <f>C48*78</f>
        <v>1872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2</v>
      </c>
      <c r="D49" s="12">
        <f>C49*42</f>
        <v>84</v>
      </c>
      <c r="F49" s="271" t="s">
        <v>85</v>
      </c>
      <c r="G49" s="218">
        <f>H34+H35+H36+H37+H38+H39+H40+H41+G42+H44+H45+H46</f>
        <v>300948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11</v>
      </c>
      <c r="D50" s="12">
        <f>C50*1.5</f>
        <v>16.5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190</v>
      </c>
      <c r="G51" s="281">
        <f>G49-H29</f>
        <v>-713.90999999997439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68018.25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A1C0D-0B56-4E00-A8D6-1C517E800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46188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379</v>
      </c>
      <c r="D6" s="13">
        <f t="shared" ref="D6:D28" si="1">C6*L6</f>
        <v>288419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6</v>
      </c>
      <c r="D9" s="13">
        <f t="shared" si="1"/>
        <v>4398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12</v>
      </c>
      <c r="D13" s="48">
        <f t="shared" si="1"/>
        <v>3684</v>
      </c>
      <c r="F13" s="191" t="s">
        <v>36</v>
      </c>
      <c r="G13" s="192"/>
      <c r="H13" s="193">
        <f>D29</f>
        <v>301187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45102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256085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2316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301187</v>
      </c>
      <c r="F29" s="214" t="s">
        <v>54</v>
      </c>
      <c r="G29" s="215"/>
      <c r="H29" s="218">
        <f>H15-H16-H17-H18-H19-H20-H22-H23-H24+H26+H27</f>
        <v>253769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77</v>
      </c>
      <c r="H34" s="246">
        <f>F34*G34</f>
        <v>77000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353</v>
      </c>
      <c r="H35" s="246">
        <f>F35*G35</f>
        <v>176500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395</v>
      </c>
      <c r="D37" s="12">
        <f>C37*111</f>
        <v>43845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246">
        <f t="shared" si="2"/>
        <v>250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44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9</v>
      </c>
      <c r="D49" s="12">
        <f>C49*42</f>
        <v>378</v>
      </c>
      <c r="F49" s="271" t="s">
        <v>85</v>
      </c>
      <c r="G49" s="218">
        <f>H34+H35+H36+H37+H38+H39+H40+H41+G42+H44+H45+H46</f>
        <v>253794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45102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81C5-8248-4D9E-A668-767AA27D942D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46188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483</v>
      </c>
      <c r="D6" s="13">
        <f t="shared" ref="D6:D28" si="1">C6*L6</f>
        <v>367563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</v>
      </c>
      <c r="D7" s="13">
        <f t="shared" si="1"/>
        <v>3905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162</v>
      </c>
      <c r="D9" s="13">
        <f t="shared" si="1"/>
        <v>118746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3+1</f>
        <v>4</v>
      </c>
      <c r="D12" s="48">
        <f t="shared" si="1"/>
        <v>3968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23</v>
      </c>
      <c r="D13" s="48">
        <f t="shared" si="1"/>
        <v>7061</v>
      </c>
      <c r="F13" s="191" t="s">
        <v>36</v>
      </c>
      <c r="G13" s="192"/>
      <c r="H13" s="193">
        <f>D29</f>
        <v>510083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51577.5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458505.5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5">
        <f>828+726</f>
        <v>1554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510083</v>
      </c>
      <c r="F29" s="214" t="s">
        <v>54</v>
      </c>
      <c r="G29" s="215"/>
      <c r="H29" s="218">
        <f>H15-H16-H17-H18-H19-H20-H22-H23-H24+H26+H27</f>
        <v>456901.5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49</v>
      </c>
      <c r="H34" s="246">
        <f>F34*G34</f>
        <v>49000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6">
        <f>F35*G35</f>
        <v>1500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35</v>
      </c>
      <c r="H37" s="246">
        <f t="shared" si="2"/>
        <v>3500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25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132</v>
      </c>
      <c r="G44" s="62" t="s">
        <v>192</v>
      </c>
      <c r="H44" s="230">
        <v>89622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4</v>
      </c>
      <c r="D45" s="12">
        <f>C45*84</f>
        <v>336</v>
      </c>
      <c r="F45" s="37" t="s">
        <v>132</v>
      </c>
      <c r="G45" s="62" t="s">
        <v>193</v>
      </c>
      <c r="H45" s="230">
        <v>78268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 t="s">
        <v>191</v>
      </c>
      <c r="G46" s="62" t="s">
        <v>194</v>
      </c>
      <c r="H46" s="230">
        <v>235016</v>
      </c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</v>
      </c>
      <c r="D49" s="12">
        <f>C49*42</f>
        <v>42</v>
      </c>
      <c r="F49" s="271" t="s">
        <v>85</v>
      </c>
      <c r="G49" s="218">
        <f>H34+H35+H36+H37+H38+H39+H40+H41+G42+H44+H45+H46</f>
        <v>456931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17</v>
      </c>
      <c r="D50" s="12">
        <f>C50*1.5</f>
        <v>25.5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29.5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51577.5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39B67-093E-4891-82D8-448E7D763F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04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E46F4-F846-48B6-B64A-3936176933C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46189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583</v>
      </c>
      <c r="D6" s="13">
        <f t="shared" ref="D6:D28" si="1">C6*L6</f>
        <v>443663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8</v>
      </c>
      <c r="D7" s="13">
        <f t="shared" si="1"/>
        <v>6248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121</v>
      </c>
      <c r="D9" s="13">
        <f t="shared" si="1"/>
        <v>88693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1+1</f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191" t="s">
        <v>36</v>
      </c>
      <c r="G13" s="192"/>
      <c r="H13" s="193">
        <f>D29</f>
        <v>550495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102604.5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447890.5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2592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195</v>
      </c>
      <c r="G22" s="72">
        <v>11001</v>
      </c>
      <c r="H22" s="228">
        <v>261949</v>
      </c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 t="s">
        <v>157</v>
      </c>
      <c r="G23" s="78">
        <v>10950</v>
      </c>
      <c r="H23" s="287">
        <v>93725</v>
      </c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157</v>
      </c>
      <c r="G26" s="65">
        <v>10843</v>
      </c>
      <c r="H26" s="230">
        <v>88549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06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3</v>
      </c>
      <c r="D28" s="48">
        <f t="shared" si="1"/>
        <v>2433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550495</v>
      </c>
      <c r="F29" s="214" t="s">
        <v>54</v>
      </c>
      <c r="G29" s="215"/>
      <c r="H29" s="218">
        <f>H15-H16-H17-H18-H19-H20-H22-H23-H24+H26+H27+H28</f>
        <v>178173.5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40</v>
      </c>
      <c r="H34" s="246">
        <f t="shared" ref="H34:H39" si="2">F34*G34</f>
        <v>40000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26</v>
      </c>
      <c r="H35" s="246">
        <f t="shared" si="2"/>
        <v>13000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825</v>
      </c>
      <c r="D37" s="12">
        <f>C37*111</f>
        <v>91575</v>
      </c>
      <c r="F37" s="12">
        <v>100</v>
      </c>
      <c r="G37" s="39">
        <v>53</v>
      </c>
      <c r="H37" s="246">
        <f t="shared" si="2"/>
        <v>5300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62</v>
      </c>
      <c r="D38" s="12">
        <f>C38*84</f>
        <v>5208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8</v>
      </c>
      <c r="D42" s="12">
        <f>C42*2.25</f>
        <v>18</v>
      </c>
      <c r="F42" s="39" t="s">
        <v>78</v>
      </c>
      <c r="G42" s="246">
        <v>114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10</v>
      </c>
      <c r="D44" s="12">
        <f>C44*120</f>
        <v>1200</v>
      </c>
      <c r="F44" s="37" t="s">
        <v>155</v>
      </c>
      <c r="G44" s="109" t="s">
        <v>156</v>
      </c>
      <c r="H44" s="230">
        <v>80000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155</v>
      </c>
      <c r="G45" s="109" t="s">
        <v>156</v>
      </c>
      <c r="H45" s="230">
        <v>38726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</v>
      </c>
      <c r="D46" s="12">
        <f>C46*1.5</f>
        <v>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28</v>
      </c>
      <c r="D48" s="12">
        <f>C48*78</f>
        <v>2184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</v>
      </c>
      <c r="D49" s="12">
        <f>C49*42</f>
        <v>42</v>
      </c>
      <c r="F49" s="271" t="s">
        <v>85</v>
      </c>
      <c r="G49" s="218">
        <f>H34+H35+H36+H37+H38+H39+H40+H41+G42+H44+H45+H46</f>
        <v>177190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</v>
      </c>
      <c r="D50" s="12">
        <f>C50*1.5</f>
        <v>1.5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138</v>
      </c>
      <c r="G51" s="281">
        <f>G49-H29</f>
        <v>-983.5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102604.5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1B74-47AA-4CE9-BB01-65ECFC6D83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46189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318</v>
      </c>
      <c r="D6" s="13">
        <f t="shared" ref="D6:D28" si="1">C6*L6</f>
        <v>241998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7</v>
      </c>
      <c r="D7" s="13">
        <f t="shared" si="1"/>
        <v>5467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4</v>
      </c>
      <c r="D9" s="13">
        <f t="shared" si="1"/>
        <v>2932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7</v>
      </c>
      <c r="D13" s="48">
        <f t="shared" si="1"/>
        <v>2149</v>
      </c>
      <c r="F13" s="191" t="s">
        <v>36</v>
      </c>
      <c r="G13" s="192"/>
      <c r="H13" s="193">
        <f>D29</f>
        <v>252546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37899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214647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1332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252546</v>
      </c>
      <c r="F29" s="214" t="s">
        <v>54</v>
      </c>
      <c r="G29" s="215"/>
      <c r="H29" s="218">
        <f>H15-H16-H17-H18-H19-H20-H22-H23-H24+H26+H27</f>
        <v>213315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246">
        <f>F34*G34</f>
        <v>55000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27</v>
      </c>
      <c r="H35" s="246">
        <f>F35*G35</f>
        <v>13500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331</v>
      </c>
      <c r="D37" s="12">
        <f>C37*111</f>
        <v>36741</v>
      </c>
      <c r="F37" s="12">
        <v>100</v>
      </c>
      <c r="G37" s="39">
        <v>4</v>
      </c>
      <c r="H37" s="246">
        <f t="shared" si="2"/>
        <v>400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8</v>
      </c>
      <c r="D42" s="12">
        <f>C42*2.25</f>
        <v>18</v>
      </c>
      <c r="F42" s="39" t="s">
        <v>78</v>
      </c>
      <c r="G42" s="246">
        <v>49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165</v>
      </c>
      <c r="G44" s="75" t="s">
        <v>196</v>
      </c>
      <c r="H44" s="230">
        <v>144678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8</v>
      </c>
      <c r="D49" s="12">
        <f>C49*42</f>
        <v>336</v>
      </c>
      <c r="F49" s="271" t="s">
        <v>85</v>
      </c>
      <c r="G49" s="218">
        <f>H34+H35+H36+H37+H38+H39+H40+H41+G42+H44+H45+H46</f>
        <v>213727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19</v>
      </c>
      <c r="D50" s="12">
        <f>C50*1.5</f>
        <v>28.5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412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37899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9679E-C6E6-41CF-A472-CBD3EBCCF548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03" t="s">
        <v>2</v>
      </c>
      <c r="Q1" s="10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46189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648</v>
      </c>
      <c r="D6" s="13">
        <f t="shared" ref="D6:D28" si="1">C6*L6</f>
        <v>493128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18</v>
      </c>
      <c r="D7" s="13">
        <f t="shared" si="1"/>
        <v>14058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40</v>
      </c>
      <c r="D9" s="13">
        <f t="shared" si="1"/>
        <v>29320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15</v>
      </c>
      <c r="D11" s="13">
        <f t="shared" si="1"/>
        <v>17550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17+5</f>
        <v>22</v>
      </c>
      <c r="D12" s="48">
        <f t="shared" si="1"/>
        <v>21824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22</v>
      </c>
      <c r="D13" s="48">
        <f t="shared" si="1"/>
        <v>6754</v>
      </c>
      <c r="F13" s="191" t="s">
        <v>36</v>
      </c>
      <c r="G13" s="192"/>
      <c r="H13" s="193">
        <f>D29</f>
        <v>586130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85962.75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500167.25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f>1296+720</f>
        <v>2016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0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586130</v>
      </c>
      <c r="F29" s="214" t="s">
        <v>54</v>
      </c>
      <c r="G29" s="215"/>
      <c r="H29" s="218">
        <f>H15-H16-H17-H18-H19-H20-H22-H23-H24+H26+H27</f>
        <v>498151.25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5</v>
      </c>
      <c r="H34" s="246">
        <f>F34*G34</f>
        <v>5000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2</v>
      </c>
      <c r="D35" s="30">
        <f>C35*84</f>
        <v>168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34</v>
      </c>
      <c r="D36" s="12">
        <f>C36*1.5</f>
        <v>51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705</v>
      </c>
      <c r="D37" s="12">
        <f>C37*111</f>
        <v>78255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</v>
      </c>
      <c r="D42" s="12">
        <f>C42*2.25</f>
        <v>2.25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0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30</v>
      </c>
      <c r="D44" s="12">
        <f>C44*120</f>
        <v>3600</v>
      </c>
      <c r="F44" s="37" t="s">
        <v>155</v>
      </c>
      <c r="G44" s="75" t="s">
        <v>197</v>
      </c>
      <c r="H44" s="230">
        <v>80689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155</v>
      </c>
      <c r="G45" s="75" t="s">
        <v>198</v>
      </c>
      <c r="H45" s="230">
        <v>2061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 t="s">
        <v>155</v>
      </c>
      <c r="G46" s="110" t="s">
        <v>199</v>
      </c>
      <c r="H46" s="230">
        <v>140400</v>
      </c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37" t="s">
        <v>155</v>
      </c>
      <c r="G47" s="110" t="s">
        <v>200</v>
      </c>
      <c r="H47" s="230">
        <v>271017</v>
      </c>
      <c r="I47" s="230"/>
      <c r="J47" s="230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18</v>
      </c>
      <c r="D49" s="12">
        <f>C49*42</f>
        <v>756</v>
      </c>
      <c r="F49" s="271" t="s">
        <v>85</v>
      </c>
      <c r="G49" s="218">
        <f>H34+H35+H36+H37+H38+H39+H40+H41+G42+H44+H45+H46+H47</f>
        <v>499167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13</v>
      </c>
      <c r="D50" s="12">
        <f>C50*1.5</f>
        <v>19.5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1015.75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85962.75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8EEA02-244D-46F6-8E11-C8F270E1CB1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6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F10684-CC4C-4928-911E-1720238017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46190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335</v>
      </c>
      <c r="D6" s="13">
        <f t="shared" ref="D6:D28" si="1">C6*L6</f>
        <v>254935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12</v>
      </c>
      <c r="D9" s="13">
        <f t="shared" si="1"/>
        <v>8796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5</v>
      </c>
      <c r="D13" s="48">
        <f t="shared" si="1"/>
        <v>1535</v>
      </c>
      <c r="F13" s="191" t="s">
        <v>36</v>
      </c>
      <c r="G13" s="192"/>
      <c r="H13" s="193">
        <f>D29</f>
        <v>265398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38468.25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226929.75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18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265398</v>
      </c>
      <c r="F29" s="214" t="s">
        <v>54</v>
      </c>
      <c r="G29" s="215"/>
      <c r="H29" s="218">
        <f>H15-H16-H17-H18-H19-H20-H22-H23-H24+H26+H27+H28</f>
        <v>226929.75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122</v>
      </c>
      <c r="H34" s="246">
        <f t="shared" ref="H34:H39" si="2">F34*G34</f>
        <v>122000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46">
        <f t="shared" si="2"/>
        <v>34000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46">
        <f t="shared" si="2"/>
        <v>200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340</v>
      </c>
      <c r="D37" s="12">
        <f>C37*111</f>
        <v>37740</v>
      </c>
      <c r="F37" s="12">
        <v>100</v>
      </c>
      <c r="G37" s="39">
        <v>7</v>
      </c>
      <c r="H37" s="246">
        <f t="shared" si="2"/>
        <v>700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</v>
      </c>
      <c r="D42" s="12">
        <f>C42*2.25</f>
        <v>2.25</v>
      </c>
      <c r="F42" s="39" t="s">
        <v>78</v>
      </c>
      <c r="G42" s="246">
        <v>59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155</v>
      </c>
      <c r="G44" s="109" t="s">
        <v>156</v>
      </c>
      <c r="H44" s="230">
        <v>60000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140</v>
      </c>
      <c r="G45" s="62"/>
      <c r="H45" s="230">
        <v>9694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</v>
      </c>
      <c r="D49" s="12">
        <f>C49*42</f>
        <v>42</v>
      </c>
      <c r="F49" s="271" t="s">
        <v>85</v>
      </c>
      <c r="G49" s="218">
        <f>H34+H35+H36+H37+H38+H39+H40+H41+G42+H44+H45+H46</f>
        <v>226653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18</v>
      </c>
      <c r="D50" s="12">
        <f>C50*1.5</f>
        <v>27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-276.75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38468.25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6599D-0B90-4979-8E82-528328BA28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46190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292</v>
      </c>
      <c r="D6" s="13">
        <f t="shared" ref="D6:D28" si="1">C6*L6</f>
        <v>222212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15</v>
      </c>
      <c r="D9" s="13">
        <f t="shared" si="1"/>
        <v>10995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191" t="s">
        <v>36</v>
      </c>
      <c r="G13" s="192"/>
      <c r="H13" s="193">
        <f>D29</f>
        <v>238898.5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34831.5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204067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>
        <v>12</v>
      </c>
      <c r="D22" s="48">
        <f t="shared" si="1"/>
        <v>504.5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238898.5</v>
      </c>
      <c r="F29" s="214" t="s">
        <v>54</v>
      </c>
      <c r="G29" s="215"/>
      <c r="H29" s="218">
        <f>H15-H16-H17-H18-H19-H20-H22-H23-H24+H26+H27</f>
        <v>202771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145</v>
      </c>
      <c r="H34" s="246">
        <f>F34*G34</f>
        <v>145000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246">
        <f>F35*G35</f>
        <v>51500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35</v>
      </c>
      <c r="H37" s="246">
        <f t="shared" si="2"/>
        <v>3500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41</v>
      </c>
      <c r="H38" s="246">
        <f t="shared" si="2"/>
        <v>2050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449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</v>
      </c>
      <c r="D44" s="12">
        <f>C44*120</f>
        <v>120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13</v>
      </c>
      <c r="D46" s="12">
        <f>C46*1.5</f>
        <v>19.5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</v>
      </c>
      <c r="D49" s="12">
        <f>C49*42</f>
        <v>42</v>
      </c>
      <c r="F49" s="271" t="s">
        <v>85</v>
      </c>
      <c r="G49" s="218">
        <f>H34+H35+H36+H37+H38+H39+H40+H41+G42+H44+H45+H46</f>
        <v>202519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16</v>
      </c>
      <c r="D50" s="12">
        <f>C50*1.5</f>
        <v>24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-252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34831.5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2A8D6-A869-456C-90F0-F5369F14FD6A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46190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452</v>
      </c>
      <c r="D6" s="13">
        <f t="shared" ref="D6:D28" si="1">C6*L6</f>
        <v>343972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58</v>
      </c>
      <c r="D9" s="13">
        <f t="shared" si="1"/>
        <v>42514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3</v>
      </c>
      <c r="D10" s="13">
        <f t="shared" si="1"/>
        <v>3096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15</v>
      </c>
      <c r="D13" s="48">
        <f t="shared" si="1"/>
        <v>4605</v>
      </c>
      <c r="F13" s="191" t="s">
        <v>36</v>
      </c>
      <c r="G13" s="192"/>
      <c r="H13" s="193">
        <f>D29</f>
        <v>403382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59484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343898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f>654+786+678</f>
        <v>2118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403382</v>
      </c>
      <c r="F29" s="214" t="s">
        <v>54</v>
      </c>
      <c r="G29" s="215"/>
      <c r="H29" s="218">
        <f>H15-H16-H17-H18-H19-H20-H22-H23-H24+H26+H27</f>
        <v>341730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107</v>
      </c>
      <c r="H34" s="246">
        <f>F34*G34</f>
        <v>107000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142</v>
      </c>
      <c r="H35" s="246">
        <f>F35*G35</f>
        <v>71000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512</v>
      </c>
      <c r="D37" s="12">
        <f>C37*111</f>
        <v>56832</v>
      </c>
      <c r="F37" s="12">
        <v>100</v>
      </c>
      <c r="G37" s="39">
        <v>18</v>
      </c>
      <c r="H37" s="246">
        <f t="shared" si="2"/>
        <v>1800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6">
        <v>111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201</v>
      </c>
      <c r="H44" s="230">
        <v>85945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132</v>
      </c>
      <c r="G45" s="62" t="s">
        <v>202</v>
      </c>
      <c r="H45" s="230">
        <v>72690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6</v>
      </c>
      <c r="D49" s="12">
        <f>C49*42</f>
        <v>252</v>
      </c>
      <c r="F49" s="271" t="s">
        <v>85</v>
      </c>
      <c r="G49" s="218">
        <f>H34+H35+H36+H37+H38+H39+H40+H41+G42+H44+H45+H46</f>
        <v>338646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7</v>
      </c>
      <c r="D50" s="12">
        <f>C50*1.5</f>
        <v>10.5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-3084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59484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2617-1602-4283-AEB3-5D04D22EE40E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6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25B63-A0F6-4E70-B3FD-101FB0A1FC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46191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431</v>
      </c>
      <c r="D6" s="13">
        <f t="shared" ref="D6:D28" si="1">C6*L6</f>
        <v>327991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70</v>
      </c>
      <c r="D8" s="13">
        <f t="shared" si="1"/>
        <v>76510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191" t="s">
        <v>36</v>
      </c>
      <c r="G13" s="192"/>
      <c r="H13" s="193">
        <f>D29</f>
        <v>407264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65709.75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341554.25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1296</f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136</v>
      </c>
      <c r="G22" s="72">
        <v>11015</v>
      </c>
      <c r="H22" s="228">
        <v>68110</v>
      </c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18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407264</v>
      </c>
      <c r="F29" s="214" t="s">
        <v>54</v>
      </c>
      <c r="G29" s="215"/>
      <c r="H29" s="218">
        <f>H15-H16-H17-H18-H19-H20-H22-H23-H24+H26+H27+H28</f>
        <v>272148.25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246">
        <f t="shared" ref="H34:H39" si="2">F34*G34</f>
        <v>41000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165</v>
      </c>
      <c r="H35" s="246">
        <f t="shared" si="2"/>
        <v>82500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496</v>
      </c>
      <c r="D37" s="12">
        <f>C37*111</f>
        <v>55056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11</v>
      </c>
      <c r="D38" s="12">
        <f>C38*84</f>
        <v>924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46">
        <f t="shared" si="2"/>
        <v>40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6">
        <v>101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70</v>
      </c>
      <c r="D44" s="12">
        <f>C44*120</f>
        <v>8400</v>
      </c>
      <c r="F44" s="37" t="s">
        <v>165</v>
      </c>
      <c r="G44" s="110" t="s">
        <v>203</v>
      </c>
      <c r="H44" s="230">
        <f>148000</f>
        <v>148000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2</v>
      </c>
      <c r="D45" s="12">
        <f>C45*84</f>
        <v>168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21</v>
      </c>
      <c r="D46" s="12">
        <f>C46*1.5</f>
        <v>31.5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10</v>
      </c>
      <c r="D49" s="12">
        <f>C49*42</f>
        <v>420</v>
      </c>
      <c r="F49" s="271" t="s">
        <v>85</v>
      </c>
      <c r="G49" s="218">
        <f>H34+H35+H36+H37+H38+H39+H40+H41+G42+H44+H45+H46</f>
        <v>271641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-507.25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65709.75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4C48C-7236-49BE-8C17-2E4368C84C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46191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262</v>
      </c>
      <c r="D6" s="13">
        <f t="shared" ref="D6:D28" si="1">C6*L6</f>
        <v>199382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20</v>
      </c>
      <c r="D9" s="13">
        <f t="shared" si="1"/>
        <v>14660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2+1</f>
        <v>3</v>
      </c>
      <c r="D12" s="48">
        <f t="shared" si="1"/>
        <v>2976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191" t="s">
        <v>36</v>
      </c>
      <c r="G13" s="192"/>
      <c r="H13" s="193">
        <f>D29</f>
        <v>230743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32746.5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197996.5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v>1092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230743</v>
      </c>
      <c r="F29" s="214" t="s">
        <v>54</v>
      </c>
      <c r="G29" s="215"/>
      <c r="H29" s="218">
        <f>H15-H16-H17-H18-H19-H20-H22-H23-H24+H26+H27</f>
        <v>196904.5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42</v>
      </c>
      <c r="H34" s="246">
        <f>F34*G34</f>
        <v>42000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246">
        <f>F35*G35</f>
        <v>21000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279</v>
      </c>
      <c r="D37" s="12">
        <f>C37*111</f>
        <v>30969</v>
      </c>
      <c r="F37" s="12">
        <v>100</v>
      </c>
      <c r="G37" s="39">
        <v>100</v>
      </c>
      <c r="H37" s="246">
        <f t="shared" si="2"/>
        <v>10000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32</v>
      </c>
      <c r="H38" s="246">
        <f t="shared" si="2"/>
        <v>1600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15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204</v>
      </c>
      <c r="H44" s="230">
        <v>122242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7</v>
      </c>
      <c r="D49" s="12">
        <f>C49*42</f>
        <v>294</v>
      </c>
      <c r="F49" s="271" t="s">
        <v>85</v>
      </c>
      <c r="G49" s="218">
        <f>H34+H35+H36+H37+H38+H39+H40+H41+G42+H44+H45+H46</f>
        <v>196857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4</v>
      </c>
      <c r="D50" s="12">
        <f>C50*1.5</f>
        <v>6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-47.5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32746.5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A2BF61-A3BE-4CC6-8B2A-7A894F6C31AB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46191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520</v>
      </c>
      <c r="D6" s="13">
        <f t="shared" ref="D6:D28" si="1">C6*L6</f>
        <v>395720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</v>
      </c>
      <c r="D9" s="13">
        <f t="shared" si="1"/>
        <v>1466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13</v>
      </c>
      <c r="D13" s="48">
        <f t="shared" si="1"/>
        <v>3991</v>
      </c>
      <c r="F13" s="191" t="s">
        <v>36</v>
      </c>
      <c r="G13" s="192"/>
      <c r="H13" s="193">
        <f>D29</f>
        <v>403373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67381.5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335991.5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654+312+1296+648</f>
        <v>2910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403373</v>
      </c>
      <c r="F29" s="214" t="s">
        <v>54</v>
      </c>
      <c r="G29" s="215"/>
      <c r="H29" s="218">
        <f>H15-H16-H17-H18-H19-H20-H22-H23-H24+H26+H27</f>
        <v>333081.5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84</v>
      </c>
      <c r="H34" s="246">
        <f>F34*G34</f>
        <v>84000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246">
        <f>F35*G35</f>
        <v>5500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246">
        <f t="shared" ref="H36:H39" si="2">F36*G36</f>
        <v>600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548</v>
      </c>
      <c r="D37" s="12">
        <f>C37*111</f>
        <v>60828</v>
      </c>
      <c r="F37" s="12">
        <v>100</v>
      </c>
      <c r="G37" s="39">
        <v>4</v>
      </c>
      <c r="H37" s="246">
        <f t="shared" si="2"/>
        <v>400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8</v>
      </c>
      <c r="H38" s="246">
        <f t="shared" si="2"/>
        <v>400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29</v>
      </c>
      <c r="D40" s="12">
        <f>C40*111</f>
        <v>3219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4</v>
      </c>
      <c r="D42" s="12">
        <f>C42*2.25</f>
        <v>9</v>
      </c>
      <c r="F42" s="39" t="s">
        <v>78</v>
      </c>
      <c r="G42" s="246">
        <v>4899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6</v>
      </c>
      <c r="D44" s="12">
        <f>C44*120</f>
        <v>720</v>
      </c>
      <c r="F44" s="37" t="s">
        <v>155</v>
      </c>
      <c r="G44" s="75" t="s">
        <v>205</v>
      </c>
      <c r="H44" s="230">
        <v>70468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1</v>
      </c>
      <c r="D45" s="12">
        <f>C45*84</f>
        <v>84</v>
      </c>
      <c r="F45" s="37" t="s">
        <v>155</v>
      </c>
      <c r="G45" s="75" t="s">
        <v>206</v>
      </c>
      <c r="H45" s="230">
        <v>140020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5</v>
      </c>
      <c r="D46" s="12">
        <f>C46*1.5</f>
        <v>7.5</v>
      </c>
      <c r="F46" s="37" t="s">
        <v>155</v>
      </c>
      <c r="G46" s="110" t="s">
        <v>207</v>
      </c>
      <c r="H46" s="230">
        <v>28290</v>
      </c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21</v>
      </c>
      <c r="D48" s="12">
        <f>C48*78</f>
        <v>1638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7</v>
      </c>
      <c r="D49" s="12">
        <f>C49*42</f>
        <v>294</v>
      </c>
      <c r="F49" s="271" t="s">
        <v>85</v>
      </c>
      <c r="G49" s="218">
        <f>H34+H35+H36+H37+H38+H39+H40+H41+G42+H44+H45+H46</f>
        <v>334577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13</v>
      </c>
      <c r="D50" s="12">
        <f>C50*1.5</f>
        <v>19.5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1495.5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67381.5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49218-B4AD-4049-A811-025113FBA69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16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BDDF9-3F9C-4B0B-A0B5-BB2408F8A4E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209</v>
      </c>
      <c r="G26" s="65">
        <v>11001</v>
      </c>
      <c r="H26" s="230">
        <v>261949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18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261949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6">
        <f t="shared" ref="H34:H39" si="2"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132</v>
      </c>
      <c r="G44" s="62" t="s">
        <v>208</v>
      </c>
      <c r="H44" s="230">
        <v>261949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261949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58FB12-509A-495D-9F19-E9DCBF17B5F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312</v>
      </c>
      <c r="D6" s="13">
        <f t="shared" ref="D6:D28" si="1">C6*L6</f>
        <v>237432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</v>
      </c>
      <c r="D7" s="13">
        <f t="shared" si="1"/>
        <v>3905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</v>
      </c>
      <c r="D9" s="13">
        <f t="shared" si="1"/>
        <v>7330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8</v>
      </c>
      <c r="D13" s="48">
        <f t="shared" si="1"/>
        <v>2456</v>
      </c>
      <c r="F13" s="191" t="s">
        <v>36</v>
      </c>
      <c r="G13" s="192"/>
      <c r="H13" s="193">
        <f>D29</f>
        <v>251255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34557.75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216697.25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648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251255</v>
      </c>
      <c r="F29" s="214" t="s">
        <v>54</v>
      </c>
      <c r="G29" s="215"/>
      <c r="H29" s="218">
        <f>H15-H16-H17-H18-H19-H20-H22-H23-H24+H26+H27</f>
        <v>216049.25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179</v>
      </c>
      <c r="H34" s="246">
        <f>F34*G34</f>
        <v>179000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68</v>
      </c>
      <c r="H35" s="246">
        <f>F35*G35</f>
        <v>34000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46">
        <f t="shared" ref="H36:H39" si="2">F36*G36</f>
        <v>200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298</v>
      </c>
      <c r="D37" s="12">
        <f>C37*111</f>
        <v>33078</v>
      </c>
      <c r="F37" s="12">
        <v>100</v>
      </c>
      <c r="G37" s="39">
        <v>13</v>
      </c>
      <c r="H37" s="246">
        <f t="shared" si="2"/>
        <v>1300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12</v>
      </c>
      <c r="H38" s="246">
        <f t="shared" si="2"/>
        <v>600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6">
        <v>188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</v>
      </c>
      <c r="D49" s="12">
        <f>C49*42</f>
        <v>42</v>
      </c>
      <c r="F49" s="271" t="s">
        <v>85</v>
      </c>
      <c r="G49" s="218">
        <f>H34+H35+H36+H37+H38+H39+H40+H41+G42+H44+H45+H46</f>
        <v>215288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3</v>
      </c>
      <c r="D50" s="12">
        <f>C50*1.5</f>
        <v>4.5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-761.25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34557.75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B1C7A1-7453-4C95-89E2-2C4DED02F3C9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15" t="s">
        <v>2</v>
      </c>
      <c r="Q1" s="11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379</v>
      </c>
      <c r="D6" s="13">
        <f t="shared" ref="D6:D28" si="1">C6*L6</f>
        <v>288419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35</v>
      </c>
      <c r="D9" s="13">
        <f t="shared" si="1"/>
        <v>25655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13</v>
      </c>
      <c r="D13" s="48">
        <f t="shared" si="1"/>
        <v>3991</v>
      </c>
      <c r="F13" s="191" t="s">
        <v>36</v>
      </c>
      <c r="G13" s="192"/>
      <c r="H13" s="193">
        <f>D29</f>
        <v>327175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50172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277003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f>900+798+420</f>
        <v>2118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1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327175</v>
      </c>
      <c r="F29" s="214" t="s">
        <v>54</v>
      </c>
      <c r="G29" s="215"/>
      <c r="H29" s="218">
        <f>H15-H16-H17-H18-H19-H20-H22-H23-H24+H26+H27</f>
        <v>274885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132</v>
      </c>
      <c r="H34" s="246">
        <f>F34*G34</f>
        <v>132000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85</v>
      </c>
      <c r="H35" s="246">
        <f>F35*G35</f>
        <v>42500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6">
        <f t="shared" ref="H36:H39" si="2">F36*G36</f>
        <v>400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422</v>
      </c>
      <c r="D37" s="12">
        <f>C37*111</f>
        <v>46842</v>
      </c>
      <c r="F37" s="12">
        <v>100</v>
      </c>
      <c r="G37" s="39">
        <v>23</v>
      </c>
      <c r="H37" s="246">
        <f t="shared" si="2"/>
        <v>2300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15</v>
      </c>
      <c r="D38" s="12">
        <f>C38*84</f>
        <v>1260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6</v>
      </c>
      <c r="D42" s="12">
        <f>C42*2.25</f>
        <v>13.5</v>
      </c>
      <c r="F42" s="39" t="s">
        <v>78</v>
      </c>
      <c r="G42" s="246">
        <v>15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132</v>
      </c>
      <c r="G44" s="62" t="s">
        <v>210</v>
      </c>
      <c r="H44" s="230">
        <v>98385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</v>
      </c>
      <c r="D49" s="12">
        <f>C49*42</f>
        <v>42</v>
      </c>
      <c r="F49" s="271" t="s">
        <v>85</v>
      </c>
      <c r="G49" s="218">
        <f>H34+H35+H36+H37+H38+H39+H40+H41+G42+H44+H45+H46</f>
        <v>275620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3</v>
      </c>
      <c r="D50" s="12">
        <f>C50*1.5</f>
        <v>4.5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735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50172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754BE-F164-47DD-9463-0A843B002333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20" t="s">
        <v>2</v>
      </c>
      <c r="Q1" s="12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2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74D4A-D676-446A-9863-B8392A4C7A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136</v>
      </c>
      <c r="G26" s="65">
        <v>11015</v>
      </c>
      <c r="H26" s="230">
        <v>68110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1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68110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67</v>
      </c>
      <c r="H34" s="246">
        <f t="shared" ref="H34:H39" si="2">F34*G34</f>
        <v>67000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6">
        <f t="shared" si="2"/>
        <v>1000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1</v>
      </c>
      <c r="H37" s="246">
        <f t="shared" si="2"/>
        <v>100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10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62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68110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479497-FB44-4201-82EB-D16FEC084BD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B2FB2-B400-4F4F-913B-EECD174601A6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0" t="s">
        <v>2</v>
      </c>
      <c r="Q1" s="12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1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F68AC-ED09-412C-8F9F-BC61EF0EAC95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25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23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3FB1F-F449-4F11-9DAC-9689C352CE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298</v>
      </c>
      <c r="D6" s="13">
        <f t="shared" ref="D6:D28" si="1">C6*L6</f>
        <v>226778</v>
      </c>
      <c r="F6" s="169" t="s">
        <v>16</v>
      </c>
      <c r="G6" s="171" t="s">
        <v>142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56</v>
      </c>
      <c r="D7" s="13">
        <f t="shared" si="1"/>
        <v>43736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5</v>
      </c>
      <c r="D8" s="13">
        <f t="shared" si="1"/>
        <v>5465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</v>
      </c>
      <c r="D9" s="13">
        <f t="shared" si="1"/>
        <v>3665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11</v>
      </c>
      <c r="D10" s="13">
        <f t="shared" si="1"/>
        <v>11352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5</v>
      </c>
      <c r="D11" s="13">
        <f t="shared" si="1"/>
        <v>5850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191" t="s">
        <v>36</v>
      </c>
      <c r="G13" s="192"/>
      <c r="H13" s="193">
        <f>D29</f>
        <v>302668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45939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256729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v>1728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23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5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302668</v>
      </c>
      <c r="F29" s="214" t="s">
        <v>54</v>
      </c>
      <c r="G29" s="215"/>
      <c r="H29" s="218">
        <f>H15-H16-H17-H18-H19-H20-H22-H23-H24+H26+H27+H28</f>
        <v>255001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52</v>
      </c>
      <c r="H34" s="246">
        <f t="shared" ref="H34:H39" si="2">F34*G34</f>
        <v>52000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19</v>
      </c>
      <c r="H35" s="246">
        <f t="shared" si="2"/>
        <v>9500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363</v>
      </c>
      <c r="D37" s="12">
        <f>C37*111</f>
        <v>40293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2</v>
      </c>
      <c r="D42" s="12">
        <f>C42*2.25</f>
        <v>4.5</v>
      </c>
      <c r="F42" s="39" t="s">
        <v>78</v>
      </c>
      <c r="G42" s="246">
        <v>31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23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2</v>
      </c>
      <c r="D44" s="12">
        <f>C44*120</f>
        <v>240</v>
      </c>
      <c r="F44" s="37" t="s">
        <v>132</v>
      </c>
      <c r="G44" s="62" t="s">
        <v>213</v>
      </c>
      <c r="H44" s="230">
        <v>193299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4</v>
      </c>
      <c r="D46" s="12">
        <f>C46*1.5</f>
        <v>6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47</v>
      </c>
      <c r="D49" s="12">
        <f>C49*42</f>
        <v>1974</v>
      </c>
      <c r="F49" s="271" t="s">
        <v>85</v>
      </c>
      <c r="G49" s="218">
        <f>H34+H35+H36+H37+H38+H39+H40+H41+G42+H44+H45+H46</f>
        <v>254830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37</v>
      </c>
      <c r="D50" s="12">
        <f>C50*1.5</f>
        <v>55.5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-171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0BD4-24C3-423B-922C-11257576D2A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328</v>
      </c>
      <c r="D6" s="13">
        <f t="shared" ref="D6:D28" si="1">C6*L6</f>
        <v>249608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</v>
      </c>
      <c r="D7" s="13">
        <f t="shared" si="1"/>
        <v>781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</v>
      </c>
      <c r="D9" s="13">
        <f t="shared" si="1"/>
        <v>7330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10</v>
      </c>
      <c r="D13" s="48">
        <f t="shared" si="1"/>
        <v>3070</v>
      </c>
      <c r="F13" s="191" t="s">
        <v>36</v>
      </c>
      <c r="G13" s="192"/>
      <c r="H13" s="193">
        <f>D29</f>
        <v>262664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37476.75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225187.25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f>1296</f>
        <v>1296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5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262664</v>
      </c>
      <c r="F29" s="214" t="s">
        <v>54</v>
      </c>
      <c r="G29" s="215"/>
      <c r="H29" s="218">
        <f>H15-H16-H17-H18-H19-H20-H22-H23-H24+H26+H27</f>
        <v>223891.25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46">
        <f>F34*G34</f>
        <v>175000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91</v>
      </c>
      <c r="H35" s="246">
        <f>F35*G35</f>
        <v>45500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324</v>
      </c>
      <c r="D37" s="12">
        <f>C37*111</f>
        <v>35964</v>
      </c>
      <c r="F37" s="12">
        <v>100</v>
      </c>
      <c r="G37" s="39">
        <v>10</v>
      </c>
      <c r="H37" s="246">
        <f t="shared" si="2"/>
        <v>1000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5</v>
      </c>
      <c r="D42" s="12">
        <f>C42*2.25</f>
        <v>11.25</v>
      </c>
      <c r="F42" s="39" t="s">
        <v>78</v>
      </c>
      <c r="G42" s="246">
        <v>2305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23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</v>
      </c>
      <c r="D44" s="12">
        <f>C44*120</f>
        <v>120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10</v>
      </c>
      <c r="D49" s="12">
        <f>C49*42</f>
        <v>420</v>
      </c>
      <c r="F49" s="271" t="s">
        <v>85</v>
      </c>
      <c r="G49" s="218">
        <f>H34+H35+H36+H37+H38+H39+H40+H41+G42+H44+H45+H46</f>
        <v>223875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1</v>
      </c>
      <c r="D50" s="12">
        <f>C50*1.5</f>
        <v>1.5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-16.25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37476.75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8104ED-4A6F-4167-B6E6-5855E23C2D09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46195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300</v>
      </c>
      <c r="D6" s="13">
        <f t="shared" ref="D6:D28" si="1">C6*L6</f>
        <v>228300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13</v>
      </c>
      <c r="D7" s="13">
        <f t="shared" si="1"/>
        <v>10153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71</v>
      </c>
      <c r="D9" s="13">
        <f t="shared" si="1"/>
        <v>52043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7</v>
      </c>
      <c r="D13" s="48">
        <f t="shared" si="1"/>
        <v>2149</v>
      </c>
      <c r="F13" s="191" t="s">
        <v>36</v>
      </c>
      <c r="G13" s="192"/>
      <c r="H13" s="193">
        <f>D29</f>
        <v>294801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37740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257061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1044+150+654+42</f>
        <v>1890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5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294801</v>
      </c>
      <c r="F29" s="214" t="s">
        <v>54</v>
      </c>
      <c r="G29" s="215"/>
      <c r="H29" s="218">
        <f>H15-H16-H17-H18-H19-H20-H22-H23-H24+H26+H27</f>
        <v>255121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42</v>
      </c>
      <c r="H34" s="246">
        <f>F34*G34</f>
        <v>42000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33</v>
      </c>
      <c r="H35" s="246">
        <f>F35*G35</f>
        <v>16500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314</v>
      </c>
      <c r="D37" s="12">
        <f>C37*111</f>
        <v>34854</v>
      </c>
      <c r="F37" s="12">
        <v>100</v>
      </c>
      <c r="G37" s="39">
        <v>25</v>
      </c>
      <c r="H37" s="246">
        <f t="shared" si="2"/>
        <v>2500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14</v>
      </c>
      <c r="H38" s="246">
        <f t="shared" si="2"/>
        <v>700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6">
        <v>67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23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132</v>
      </c>
      <c r="G44" s="62" t="s">
        <v>211</v>
      </c>
      <c r="H44" s="230">
        <v>117994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132</v>
      </c>
      <c r="G45" s="62" t="s">
        <v>212</v>
      </c>
      <c r="H45" s="230">
        <v>71401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12</v>
      </c>
      <c r="D46" s="12">
        <f>C46*1.5</f>
        <v>18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4</v>
      </c>
      <c r="D49" s="12">
        <f>C49*42</f>
        <v>168</v>
      </c>
      <c r="F49" s="271" t="s">
        <v>85</v>
      </c>
      <c r="G49" s="218">
        <f>H34+H35+H36+H37+H38+H39+H40+H41+G42+H44+H45+H46</f>
        <v>251162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11</v>
      </c>
      <c r="D50" s="12">
        <f>C50*1.5</f>
        <v>16.5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-3959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37740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24" t="s">
        <v>2</v>
      </c>
      <c r="Q1" s="12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25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23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46196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459</v>
      </c>
      <c r="D6" s="13">
        <f t="shared" ref="D6:D28" si="1">C6*L6</f>
        <v>349299</v>
      </c>
      <c r="F6" s="169" t="s">
        <v>16</v>
      </c>
      <c r="G6" s="171" t="s">
        <v>142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</v>
      </c>
      <c r="D7" s="13">
        <f t="shared" si="1"/>
        <v>3905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99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6</v>
      </c>
      <c r="D9" s="13">
        <f t="shared" si="1"/>
        <v>4398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12</v>
      </c>
      <c r="D11" s="13">
        <f t="shared" si="1"/>
        <v>14040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6</v>
      </c>
      <c r="D13" s="48">
        <f t="shared" si="1"/>
        <v>1842</v>
      </c>
      <c r="F13" s="191" t="s">
        <v>36</v>
      </c>
      <c r="G13" s="192"/>
      <c r="H13" s="193">
        <f>D29</f>
        <v>379402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37230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f>1+1</f>
        <v>2</v>
      </c>
      <c r="D15" s="31">
        <f t="shared" si="1"/>
        <v>1240</v>
      </c>
      <c r="F15" s="201" t="s">
        <v>39</v>
      </c>
      <c r="G15" s="192"/>
      <c r="H15" s="202">
        <f>H13-H14</f>
        <v>342172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2652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23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2</v>
      </c>
      <c r="D28" s="48">
        <f t="shared" si="1"/>
        <v>1622</v>
      </c>
      <c r="F28" s="125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379402</v>
      </c>
      <c r="F29" s="214" t="s">
        <v>54</v>
      </c>
      <c r="G29" s="215"/>
      <c r="H29" s="218">
        <f>H15-H16-H17-H18-H19-H20-H22-H23-H24+H26+H27+H28</f>
        <v>339520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7</v>
      </c>
      <c r="H34" s="246">
        <f t="shared" ref="H34:H39" si="2">F34*G34</f>
        <v>7000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305</v>
      </c>
      <c r="D37" s="12">
        <f>C37*111</f>
        <v>33855</v>
      </c>
      <c r="F37" s="12">
        <v>100</v>
      </c>
      <c r="G37" s="39">
        <v>3</v>
      </c>
      <c r="H37" s="246">
        <f t="shared" si="2"/>
        <v>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9</v>
      </c>
      <c r="D39" s="31">
        <f>C39*4.5</f>
        <v>40.5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6</v>
      </c>
      <c r="D42" s="12">
        <f>C42*2.25</f>
        <v>13.5</v>
      </c>
      <c r="F42" s="39" t="s">
        <v>78</v>
      </c>
      <c r="G42" s="246">
        <v>88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23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214</v>
      </c>
      <c r="H44" s="230">
        <v>309113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1</v>
      </c>
      <c r="D45" s="12">
        <f>C45*84</f>
        <v>84</v>
      </c>
      <c r="F45" s="37" t="s">
        <v>155</v>
      </c>
      <c r="G45" s="109" t="s">
        <v>156</v>
      </c>
      <c r="H45" s="230">
        <v>10350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12</v>
      </c>
      <c r="D46" s="12">
        <f>C46*1.5</f>
        <v>18</v>
      </c>
      <c r="F46" s="37" t="s">
        <v>140</v>
      </c>
      <c r="G46" s="62"/>
      <c r="H46" s="230">
        <v>12619</v>
      </c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339470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15</v>
      </c>
      <c r="D50" s="12">
        <f>C50*1.5</f>
        <v>22.5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-50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37230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143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46196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277</v>
      </c>
      <c r="D6" s="13">
        <f t="shared" ref="D6:D28" si="1">C6*L6</f>
        <v>210797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4</v>
      </c>
      <c r="D7" s="13">
        <f t="shared" si="1"/>
        <v>3124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20</v>
      </c>
      <c r="D9" s="13">
        <f t="shared" si="1"/>
        <v>14660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8</v>
      </c>
      <c r="D13" s="48">
        <f t="shared" si="1"/>
        <v>2456</v>
      </c>
      <c r="F13" s="191" t="s">
        <v>36</v>
      </c>
      <c r="G13" s="192"/>
      <c r="H13" s="193">
        <f>D29</f>
        <v>231037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35286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195751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1440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5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231037</v>
      </c>
      <c r="F29" s="214" t="s">
        <v>54</v>
      </c>
      <c r="G29" s="215"/>
      <c r="H29" s="218">
        <f>H15-H16-H17-H18-H19-H20-H22-H23-H24+H26+H27</f>
        <v>194311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246">
        <f>F34*G34</f>
        <v>37000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246">
        <f>F35*G35</f>
        <v>1500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309</v>
      </c>
      <c r="D37" s="12">
        <f>C37*111</f>
        <v>34299</v>
      </c>
      <c r="F37" s="12">
        <v>100</v>
      </c>
      <c r="G37" s="39">
        <v>3</v>
      </c>
      <c r="H37" s="246">
        <f t="shared" si="2"/>
        <v>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64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23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165</v>
      </c>
      <c r="G44" s="75" t="s">
        <v>215</v>
      </c>
      <c r="H44" s="230">
        <v>155670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8</v>
      </c>
      <c r="D49" s="12">
        <f>C49*42</f>
        <v>336</v>
      </c>
      <c r="F49" s="271" t="s">
        <v>85</v>
      </c>
      <c r="G49" s="218">
        <f>H34+H35+H36+H37+H38+H39+H40+H41+G42+H44+H45+H46</f>
        <v>194534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2</v>
      </c>
      <c r="D50" s="12">
        <f>C50*1.5</f>
        <v>3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223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35286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4" t="s">
        <v>2</v>
      </c>
      <c r="Q1" s="12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46196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536</v>
      </c>
      <c r="D6" s="13">
        <f t="shared" ref="D6:D28" si="1">C6*L6</f>
        <v>407896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51</v>
      </c>
      <c r="D7" s="13">
        <f t="shared" si="1"/>
        <v>39831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10</v>
      </c>
      <c r="D8" s="13">
        <f t="shared" si="1"/>
        <v>10930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108</v>
      </c>
      <c r="D9" s="13">
        <f t="shared" si="1"/>
        <v>79164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5</v>
      </c>
      <c r="D10" s="13">
        <f t="shared" si="1"/>
        <v>5160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12</v>
      </c>
      <c r="D11" s="13">
        <f t="shared" si="1"/>
        <v>14040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4+1</f>
        <v>5</v>
      </c>
      <c r="D12" s="48">
        <f t="shared" si="1"/>
        <v>4960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20</v>
      </c>
      <c r="D13" s="48">
        <f t="shared" si="1"/>
        <v>6140</v>
      </c>
      <c r="F13" s="191" t="s">
        <v>36</v>
      </c>
      <c r="G13" s="192"/>
      <c r="H13" s="193">
        <f>D29</f>
        <v>570554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83077.5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487476.5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3240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3</v>
      </c>
      <c r="D28" s="48">
        <f t="shared" si="1"/>
        <v>2433</v>
      </c>
      <c r="F28" s="125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570554</v>
      </c>
      <c r="F29" s="214" t="s">
        <v>54</v>
      </c>
      <c r="G29" s="215"/>
      <c r="H29" s="218">
        <f>H15-H16-H17-H18-H19-H20-H22-H23-H24+H26+H27</f>
        <v>484236.5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6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122</v>
      </c>
      <c r="H34" s="246">
        <f>F34*G34</f>
        <v>122000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246">
        <f>F35*G35</f>
        <v>4000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9</v>
      </c>
      <c r="D36" s="12">
        <f>C36*1.5</f>
        <v>13.5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698</v>
      </c>
      <c r="D37" s="12">
        <f>C37*111</f>
        <v>77478</v>
      </c>
      <c r="F37" s="12">
        <v>100</v>
      </c>
      <c r="G37" s="39">
        <v>14</v>
      </c>
      <c r="H37" s="246">
        <f t="shared" si="2"/>
        <v>1400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6</v>
      </c>
      <c r="D42" s="12">
        <f>C42*2.25</f>
        <v>13.5</v>
      </c>
      <c r="F42" s="39" t="s">
        <v>78</v>
      </c>
      <c r="G42" s="246">
        <v>3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23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17</v>
      </c>
      <c r="D44" s="12">
        <f>C44*120</f>
        <v>2040</v>
      </c>
      <c r="F44" s="37" t="s">
        <v>155</v>
      </c>
      <c r="G44" s="75" t="s">
        <v>216</v>
      </c>
      <c r="H44" s="230">
        <v>142126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2</v>
      </c>
      <c r="D45" s="12">
        <f>C45*84</f>
        <v>168</v>
      </c>
      <c r="F45" s="37" t="s">
        <v>155</v>
      </c>
      <c r="G45" s="75" t="s">
        <v>217</v>
      </c>
      <c r="H45" s="230">
        <v>222234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11</v>
      </c>
      <c r="D46" s="12">
        <f>C46*1.5</f>
        <v>16.5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4</v>
      </c>
      <c r="D49" s="12">
        <f>C49*42</f>
        <v>168</v>
      </c>
      <c r="F49" s="271" t="s">
        <v>85</v>
      </c>
      <c r="G49" s="218">
        <f>H34+H35+H36+H37+H38+H39+H40+H41+G42+H44+H45+H46</f>
        <v>491863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2</v>
      </c>
      <c r="D50" s="12">
        <f>C50*1.5</f>
        <v>3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7626.5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83077.5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65C753-983E-492A-AC6C-A991E7F3028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28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0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3EA3A-63D0-4C3F-8CC4-6B01AA2692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46197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315</v>
      </c>
      <c r="D6" s="13">
        <f t="shared" ref="D6:D28" si="1">C6*L6</f>
        <v>239715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5</v>
      </c>
      <c r="D7" s="13">
        <f t="shared" si="1"/>
        <v>3905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43</v>
      </c>
      <c r="D9" s="13">
        <f t="shared" si="1"/>
        <v>31519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</v>
      </c>
      <c r="D10" s="13">
        <f t="shared" si="1"/>
        <v>1032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</v>
      </c>
      <c r="D11" s="13">
        <f t="shared" si="1"/>
        <v>1170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1+1</f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</v>
      </c>
      <c r="D13" s="48">
        <f t="shared" si="1"/>
        <v>614</v>
      </c>
      <c r="F13" s="191" t="s">
        <v>36</v>
      </c>
      <c r="G13" s="192"/>
      <c r="H13" s="193">
        <f>D29</f>
        <v>287816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42750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245066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>
        <f>1+1+1</f>
        <v>3</v>
      </c>
      <c r="D19" s="48">
        <f t="shared" si="1"/>
        <v>3525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30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8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287816</v>
      </c>
      <c r="F29" s="214" t="s">
        <v>54</v>
      </c>
      <c r="G29" s="215"/>
      <c r="H29" s="218">
        <f>H15-H16-H17-H18-H19-H20-H22-H23-H24+H26+H27+H28</f>
        <v>245066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146</v>
      </c>
      <c r="H34" s="246">
        <f t="shared" ref="H34:H39" si="2">F34*G34</f>
        <v>146000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53</v>
      </c>
      <c r="H35" s="246">
        <f t="shared" si="2"/>
        <v>26500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369</v>
      </c>
      <c r="D37" s="12">
        <f>C37*111</f>
        <v>40959</v>
      </c>
      <c r="F37" s="12">
        <v>100</v>
      </c>
      <c r="G37" s="39">
        <v>18</v>
      </c>
      <c r="H37" s="246">
        <f t="shared" si="2"/>
        <v>1800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7</v>
      </c>
      <c r="H38" s="246">
        <f t="shared" si="2"/>
        <v>350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10</v>
      </c>
      <c r="D42" s="12">
        <f>C42*2.25</f>
        <v>22.5</v>
      </c>
      <c r="F42" s="39" t="s">
        <v>78</v>
      </c>
      <c r="G42" s="246">
        <v>66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0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</v>
      </c>
      <c r="D44" s="12">
        <f>C44*120</f>
        <v>120</v>
      </c>
      <c r="F44" s="37" t="s">
        <v>155</v>
      </c>
      <c r="G44" s="109" t="s">
        <v>156</v>
      </c>
      <c r="H44" s="230">
        <v>70000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2</v>
      </c>
      <c r="D45" s="12">
        <f>C45*84</f>
        <v>168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244716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19</v>
      </c>
      <c r="D50" s="12">
        <f>C50*1.5</f>
        <v>28.5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-350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42750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5338B2-F28D-4B09-AB64-576D962A57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46197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327</v>
      </c>
      <c r="D6" s="13">
        <f t="shared" ref="D6:D28" si="1">C6*L6</f>
        <v>248847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</v>
      </c>
      <c r="D7" s="13">
        <f t="shared" si="1"/>
        <v>1562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</v>
      </c>
      <c r="D9" s="13">
        <f t="shared" si="1"/>
        <v>3665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221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11</v>
      </c>
      <c r="D13" s="48">
        <f t="shared" si="1"/>
        <v>3377</v>
      </c>
      <c r="F13" s="191" t="s">
        <v>36</v>
      </c>
      <c r="G13" s="192"/>
      <c r="H13" s="193">
        <f>D29</f>
        <v>259093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38200.5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220892.5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5">
        <v>1926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8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259093</v>
      </c>
      <c r="F29" s="214" t="s">
        <v>54</v>
      </c>
      <c r="G29" s="215"/>
      <c r="H29" s="218">
        <f>H15-H16-H17-H18-H19-H20-H22-H23-H24+H26+H27</f>
        <v>218966.5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175</v>
      </c>
      <c r="H34" s="246">
        <f>F34*G34</f>
        <v>175000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246">
        <f>F35*G35</f>
        <v>44000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0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8</v>
      </c>
      <c r="D49" s="12">
        <f>C49*42</f>
        <v>336</v>
      </c>
      <c r="F49" s="271" t="s">
        <v>85</v>
      </c>
      <c r="G49" s="218">
        <f>H34+H35+H36+H37+H38+H39+H40+H41+G42+H44+H45+H46</f>
        <v>219120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19</v>
      </c>
      <c r="D50" s="12">
        <f>C50*1.5</f>
        <v>28.5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153.5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38200.5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DADD1-4A01-4FBE-B48A-940E0CE339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46197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573</v>
      </c>
      <c r="D6" s="13">
        <f t="shared" ref="D6:D28" si="1">C6*L6</f>
        <v>436053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23</v>
      </c>
      <c r="D7" s="13">
        <f t="shared" si="1"/>
        <v>17963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20</v>
      </c>
      <c r="D9" s="13">
        <f t="shared" si="1"/>
        <v>14660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1+1</f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16</v>
      </c>
      <c r="D13" s="48">
        <f t="shared" si="1"/>
        <v>4912</v>
      </c>
      <c r="F13" s="191" t="s">
        <v>36</v>
      </c>
      <c r="G13" s="192"/>
      <c r="H13" s="193">
        <f>D29</f>
        <v>475704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</v>
      </c>
      <c r="F14" s="196" t="s">
        <v>38</v>
      </c>
      <c r="G14" s="197"/>
      <c r="H14" s="198">
        <f>D54</f>
        <v>78024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397680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f>2142</f>
        <v>2142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>
        <v>50</v>
      </c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28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475704</v>
      </c>
      <c r="F29" s="214" t="s">
        <v>54</v>
      </c>
      <c r="G29" s="215"/>
      <c r="H29" s="218">
        <f>H15-H16-H17-H18-H19-H20-H22-H23-H24+H26+H27</f>
        <v>395488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92</v>
      </c>
      <c r="H34" s="246">
        <f>F34*G34</f>
        <v>92000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6">
        <f>F35*G35</f>
        <v>5000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657</v>
      </c>
      <c r="D37" s="12">
        <f>C37*111</f>
        <v>72927</v>
      </c>
      <c r="F37" s="12">
        <v>100</v>
      </c>
      <c r="G37" s="39">
        <v>2</v>
      </c>
      <c r="H37" s="246">
        <f t="shared" si="2"/>
        <v>200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4</v>
      </c>
      <c r="D42" s="12">
        <f>C42*2.25</f>
        <v>9</v>
      </c>
      <c r="F42" s="39" t="s">
        <v>78</v>
      </c>
      <c r="G42" s="246">
        <v>25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0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2</v>
      </c>
      <c r="D44" s="12">
        <f>C44*120</f>
        <v>240</v>
      </c>
      <c r="F44" s="37" t="s">
        <v>191</v>
      </c>
      <c r="G44" s="62" t="s">
        <v>218</v>
      </c>
      <c r="H44" s="230">
        <v>59301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132</v>
      </c>
      <c r="G45" s="62" t="s">
        <v>219</v>
      </c>
      <c r="H45" s="230">
        <v>126586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12</v>
      </c>
      <c r="D46" s="12">
        <f>C46*1.5</f>
        <v>18</v>
      </c>
      <c r="F46" s="37" t="s">
        <v>132</v>
      </c>
      <c r="G46" s="110" t="s">
        <v>220</v>
      </c>
      <c r="H46" s="230">
        <v>111689</v>
      </c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18</v>
      </c>
      <c r="D48" s="12">
        <f>C48*78</f>
        <v>1404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5</v>
      </c>
      <c r="D49" s="12">
        <f>C49*42</f>
        <v>210</v>
      </c>
      <c r="F49" s="271" t="s">
        <v>85</v>
      </c>
      <c r="G49" s="218">
        <f>H34+H35+H36+H37+H38+H39+H40+H41+G42+H44+H45+H46</f>
        <v>394871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15</v>
      </c>
      <c r="D50" s="12">
        <f>C50*1.5</f>
        <v>22.5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-617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78024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28A4ED-7ECD-41CE-BC44-902323D7A606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32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4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93E2FF-2746-4442-B55F-F2751E93A325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456</v>
      </c>
      <c r="D6" s="13">
        <f t="shared" ref="D6:D28" si="1">C6*L6</f>
        <v>347016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25</v>
      </c>
      <c r="D7" s="13">
        <f t="shared" si="1"/>
        <v>19525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50</v>
      </c>
      <c r="D8" s="13">
        <f t="shared" si="1"/>
        <v>54650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</v>
      </c>
      <c r="D9" s="13">
        <f t="shared" si="1"/>
        <v>7330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3</v>
      </c>
      <c r="D10" s="13">
        <f t="shared" si="1"/>
        <v>3096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4</v>
      </c>
      <c r="D11" s="13">
        <f t="shared" si="1"/>
        <v>4680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1+1+1</f>
        <v>3</v>
      </c>
      <c r="D12" s="48">
        <f t="shared" si="1"/>
        <v>2976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</v>
      </c>
      <c r="D13" s="48">
        <f t="shared" si="1"/>
        <v>307</v>
      </c>
      <c r="F13" s="191" t="s">
        <v>36</v>
      </c>
      <c r="G13" s="192"/>
      <c r="H13" s="193">
        <f>D29</f>
        <v>452512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67101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v>1</v>
      </c>
      <c r="D15" s="31">
        <f t="shared" si="1"/>
        <v>620</v>
      </c>
      <c r="F15" s="201" t="s">
        <v>39</v>
      </c>
      <c r="G15" s="192"/>
      <c r="H15" s="202">
        <f>H13-H14</f>
        <v>385411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>
        <v>2</v>
      </c>
      <c r="D18" s="48">
        <f t="shared" si="1"/>
        <v>2204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136</v>
      </c>
      <c r="G22" s="72">
        <v>11174</v>
      </c>
      <c r="H22" s="228">
        <v>58202</v>
      </c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34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3</v>
      </c>
      <c r="D28" s="48">
        <f t="shared" si="1"/>
        <v>2433</v>
      </c>
      <c r="F28" s="132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452512</v>
      </c>
      <c r="F29" s="214" t="s">
        <v>54</v>
      </c>
      <c r="G29" s="215"/>
      <c r="H29" s="218">
        <f>H15-H16-H17-H18-H19-H20-H22-H23-H24+H26+H27+H28</f>
        <v>327209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23</v>
      </c>
      <c r="H34" s="246">
        <f t="shared" ref="H34:H39" si="2">F34*G34</f>
        <v>23000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246">
        <f t="shared" si="2"/>
        <v>4000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321</v>
      </c>
      <c r="D37" s="12">
        <f>C37*111</f>
        <v>35631</v>
      </c>
      <c r="F37" s="12">
        <v>100</v>
      </c>
      <c r="G37" s="39">
        <v>7</v>
      </c>
      <c r="H37" s="246">
        <f t="shared" si="2"/>
        <v>700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193</v>
      </c>
      <c r="D38" s="12">
        <f>C38*84</f>
        <v>16212</v>
      </c>
      <c r="F38" s="30">
        <v>50</v>
      </c>
      <c r="G38" s="39">
        <v>1</v>
      </c>
      <c r="H38" s="246">
        <f t="shared" si="2"/>
        <v>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19</v>
      </c>
      <c r="D41" s="12">
        <f>C41*84</f>
        <v>1596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130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4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59</v>
      </c>
      <c r="D44" s="12">
        <f>C44*120</f>
        <v>7080</v>
      </c>
      <c r="F44" s="37" t="s">
        <v>132</v>
      </c>
      <c r="G44" s="62" t="s">
        <v>223</v>
      </c>
      <c r="H44" s="230">
        <v>152718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58</v>
      </c>
      <c r="D45" s="12">
        <f>C45*84</f>
        <v>4872</v>
      </c>
      <c r="F45" s="37" t="s">
        <v>222</v>
      </c>
      <c r="G45" s="110" t="s">
        <v>224</v>
      </c>
      <c r="H45" s="230">
        <v>144421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325019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9</v>
      </c>
      <c r="D50" s="12">
        <f>C50*1.5</f>
        <v>13.5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-2190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67101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B242E-7102-4254-9F9A-B8B91E45BF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265</v>
      </c>
      <c r="D6" s="13">
        <f t="shared" ref="D6:D28" si="1">C6*L6</f>
        <v>201665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20</v>
      </c>
      <c r="D9" s="13">
        <f t="shared" si="1"/>
        <v>14660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9</v>
      </c>
      <c r="D13" s="48">
        <f t="shared" si="1"/>
        <v>2763</v>
      </c>
      <c r="F13" s="191" t="s">
        <v>36</v>
      </c>
      <c r="G13" s="192"/>
      <c r="H13" s="193">
        <f>D29</f>
        <v>234047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31532.25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202514.75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4</v>
      </c>
      <c r="D16" s="48">
        <f t="shared" si="1"/>
        <v>2600</v>
      </c>
      <c r="F16" s="67" t="s">
        <v>41</v>
      </c>
      <c r="G16" s="66" t="s">
        <v>42</v>
      </c>
      <c r="H16" s="205">
        <v>1164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32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234047</v>
      </c>
      <c r="F29" s="214" t="s">
        <v>54</v>
      </c>
      <c r="G29" s="215"/>
      <c r="H29" s="218">
        <f>H15-H16-H17-H18-H19-H20-H22-H23-H24+H26+H27</f>
        <v>201350.75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59</v>
      </c>
      <c r="H34" s="246">
        <f>F34*G34</f>
        <v>59000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23</v>
      </c>
      <c r="H35" s="246">
        <f>F35*G35</f>
        <v>11500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267</v>
      </c>
      <c r="D37" s="12">
        <f>C37*111</f>
        <v>29637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6">
        <v>13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4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132</v>
      </c>
      <c r="G44" s="62" t="s">
        <v>225</v>
      </c>
      <c r="H44" s="230">
        <v>130487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2</v>
      </c>
      <c r="D45" s="12">
        <f>C45*84</f>
        <v>168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18</v>
      </c>
      <c r="D46" s="12">
        <f>C46*1.5</f>
        <v>27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5</v>
      </c>
      <c r="D49" s="12">
        <f>C49*42</f>
        <v>210</v>
      </c>
      <c r="F49" s="271" t="s">
        <v>85</v>
      </c>
      <c r="G49" s="218">
        <f>H34+H35+H36+H37+H38+H39+H40+H41+G42+H44+H45+H46</f>
        <v>201000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7</v>
      </c>
      <c r="D50" s="12">
        <f>C50*1.5</f>
        <v>10.5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-350.75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31532.25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B6E88-AED2-40C0-8F3B-1B4DE22D69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46198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447</v>
      </c>
      <c r="D6" s="13">
        <f t="shared" ref="D6:D28" si="1">C6*L6</f>
        <v>340167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17</v>
      </c>
      <c r="D7" s="13">
        <f t="shared" si="1"/>
        <v>13277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2</v>
      </c>
      <c r="D8" s="13">
        <f t="shared" si="1"/>
        <v>2186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20</v>
      </c>
      <c r="D9" s="13">
        <f t="shared" si="1"/>
        <v>14660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2</v>
      </c>
      <c r="D11" s="13">
        <f t="shared" si="1"/>
        <v>2340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17</v>
      </c>
      <c r="D12" s="48">
        <f t="shared" si="1"/>
        <v>16864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17</v>
      </c>
      <c r="D13" s="48">
        <f t="shared" si="1"/>
        <v>5219</v>
      </c>
      <c r="F13" s="191" t="s">
        <v>36</v>
      </c>
      <c r="G13" s="192"/>
      <c r="H13" s="193">
        <f>D29</f>
        <v>398637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53112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v>3</v>
      </c>
      <c r="D15" s="31">
        <f t="shared" si="1"/>
        <v>1860</v>
      </c>
      <c r="F15" s="201" t="s">
        <v>39</v>
      </c>
      <c r="G15" s="192"/>
      <c r="H15" s="202">
        <f>H13-H14</f>
        <v>345525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648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32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398637</v>
      </c>
      <c r="F29" s="214" t="s">
        <v>54</v>
      </c>
      <c r="G29" s="215"/>
      <c r="H29" s="218">
        <f>H15-H16-H17-H18-H19-H20-H22-H23-H24+H26+H27</f>
        <v>344877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94</v>
      </c>
      <c r="H34" s="246">
        <f>F34*G34</f>
        <v>94000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10</v>
      </c>
      <c r="H35" s="246">
        <f>F35*G35</f>
        <v>5000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26</v>
      </c>
      <c r="H37" s="246">
        <f t="shared" si="2"/>
        <v>2600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8</v>
      </c>
      <c r="H38" s="246">
        <f t="shared" si="2"/>
        <v>400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22</v>
      </c>
      <c r="D40" s="12">
        <f>C40*111</f>
        <v>2442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4</v>
      </c>
      <c r="D42" s="12">
        <f>C42*2.25</f>
        <v>9</v>
      </c>
      <c r="F42" s="39" t="s">
        <v>78</v>
      </c>
      <c r="G42" s="246">
        <v>43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4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11</v>
      </c>
      <c r="D44" s="12">
        <f>C44*120</f>
        <v>1320</v>
      </c>
      <c r="F44" s="37" t="s">
        <v>155</v>
      </c>
      <c r="G44" s="75" t="s">
        <v>226</v>
      </c>
      <c r="H44" s="230">
        <v>74353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155</v>
      </c>
      <c r="G45" s="75" t="s">
        <v>227</v>
      </c>
      <c r="H45" s="230">
        <v>162392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2</v>
      </c>
      <c r="D46" s="12">
        <f>C46*1.5</f>
        <v>3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13</v>
      </c>
      <c r="D48" s="12">
        <f>C48*78</f>
        <v>1014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3</v>
      </c>
      <c r="D49" s="12">
        <f>C49*42</f>
        <v>126</v>
      </c>
      <c r="F49" s="271" t="s">
        <v>85</v>
      </c>
      <c r="G49" s="218">
        <f>H34+H35+H36+H37+H38+H39+H40+H41+G42+H44+H45+H46</f>
        <v>338788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2</v>
      </c>
      <c r="D50" s="12">
        <f>C50*1.5</f>
        <v>3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154</v>
      </c>
      <c r="G51" s="281">
        <f>G49-H29</f>
        <v>-6089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53112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B1E83-CE13-43F8-9928-A9680F69635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35" t="s">
        <v>2</v>
      </c>
      <c r="Q1" s="13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36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8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D2ECD-C668-474E-AA66-B06A63F3A3FD}">
  <dimension ref="A1:R59"/>
  <sheetViews>
    <sheetView topLeftCell="A22"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46197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38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3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46">
        <f t="shared" ref="H34:H39" si="2"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62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F2B96-72A8-4C71-A872-8A4FE33AAFC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46199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433</v>
      </c>
      <c r="D6" s="13">
        <f t="shared" ref="D6:D28" si="1">C6*L6</f>
        <v>329513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3</v>
      </c>
      <c r="D7" s="13">
        <f t="shared" si="1"/>
        <v>2343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66</v>
      </c>
      <c r="D9" s="13">
        <f t="shared" si="1"/>
        <v>48378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15</v>
      </c>
      <c r="D13" s="48">
        <f t="shared" si="1"/>
        <v>4605</v>
      </c>
      <c r="F13" s="191" t="s">
        <v>36</v>
      </c>
      <c r="G13" s="192"/>
      <c r="H13" s="193">
        <f>D29</f>
        <v>384839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47219.25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337619.75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2244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3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384839</v>
      </c>
      <c r="F29" s="214" t="s">
        <v>54</v>
      </c>
      <c r="G29" s="215"/>
      <c r="H29" s="218">
        <f>H15-H16-H17-H18-H19-H20-H22-H23-H24+H26+H27</f>
        <v>335375.75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138</v>
      </c>
      <c r="H34" s="246">
        <f>F34*G34</f>
        <v>138000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246">
        <f>F35*G35</f>
        <v>72500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381</v>
      </c>
      <c r="D37" s="12">
        <f>C37*111</f>
        <v>42291</v>
      </c>
      <c r="F37" s="12">
        <v>100</v>
      </c>
      <c r="G37" s="39">
        <v>133</v>
      </c>
      <c r="H37" s="246">
        <f t="shared" si="2"/>
        <v>13300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100</v>
      </c>
      <c r="H38" s="246">
        <f t="shared" si="2"/>
        <v>5000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20</v>
      </c>
      <c r="D40" s="12">
        <f>C40*111</f>
        <v>2220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7</v>
      </c>
      <c r="D42" s="12">
        <f>C42*2.25</f>
        <v>15.75</v>
      </c>
      <c r="F42" s="39" t="s">
        <v>78</v>
      </c>
      <c r="G42" s="246">
        <v>25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165</v>
      </c>
      <c r="G44" s="75" t="s">
        <v>228</v>
      </c>
      <c r="H44" s="230">
        <v>108072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4</v>
      </c>
      <c r="D46" s="12">
        <f>C46*1.5</f>
        <v>6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10</v>
      </c>
      <c r="D49" s="12">
        <f>C49*42</f>
        <v>420</v>
      </c>
      <c r="F49" s="271" t="s">
        <v>85</v>
      </c>
      <c r="G49" s="218">
        <f>H34+H35+H36+H37+H38+H39+H40+H41+G42+H44+H45+H46</f>
        <v>336897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1521.25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47219.25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00E74-AD93-4060-B647-60820BAB0A1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35" t="s">
        <v>2</v>
      </c>
      <c r="Q1" s="13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46199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205</v>
      </c>
      <c r="D6" s="13">
        <f t="shared" ref="D6:D28" si="1">C6*L6</f>
        <v>156005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20</v>
      </c>
      <c r="D7" s="13">
        <f t="shared" si="1"/>
        <v>15620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10</v>
      </c>
      <c r="D8" s="13">
        <f t="shared" si="1"/>
        <v>10930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52</v>
      </c>
      <c r="D9" s="13">
        <f t="shared" si="1"/>
        <v>38116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10</v>
      </c>
      <c r="D10" s="13">
        <f t="shared" si="1"/>
        <v>10320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>
        <v>10</v>
      </c>
      <c r="D11" s="13">
        <f t="shared" si="1"/>
        <v>11700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20+5</f>
        <v>25</v>
      </c>
      <c r="D12" s="48">
        <f t="shared" si="1"/>
        <v>24800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296303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28881.75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>
        <f>5+10</f>
        <v>15</v>
      </c>
      <c r="D15" s="31">
        <f t="shared" si="1"/>
        <v>9300</v>
      </c>
      <c r="F15" s="201" t="s">
        <v>39</v>
      </c>
      <c r="G15" s="192"/>
      <c r="H15" s="202">
        <f>H13-H14</f>
        <v>267421.25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>
        <f>1+1+4</f>
        <v>6</v>
      </c>
      <c r="D19" s="48">
        <f t="shared" si="1"/>
        <v>7050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10</v>
      </c>
      <c r="D28" s="48">
        <f t="shared" si="1"/>
        <v>8110</v>
      </c>
      <c r="F28" s="136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296303</v>
      </c>
      <c r="F29" s="214" t="s">
        <v>54</v>
      </c>
      <c r="G29" s="215"/>
      <c r="H29" s="218">
        <f>H15-H16-H17-H18-H19-H20-H22-H23-H24+H26+H27</f>
        <v>267421.25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7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6</v>
      </c>
      <c r="H34" s="246">
        <f>F34*G34</f>
        <v>6000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7</v>
      </c>
      <c r="H35" s="246">
        <f>F35*G35</f>
        <v>3500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>
        <v>8</v>
      </c>
      <c r="D36" s="12">
        <f>C36*1.5</f>
        <v>12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59</v>
      </c>
      <c r="D37" s="12">
        <f>C37*111</f>
        <v>6549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194</v>
      </c>
      <c r="D38" s="12">
        <f>C38*84</f>
        <v>16296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20</v>
      </c>
      <c r="D41" s="12">
        <f>C41*84</f>
        <v>1680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8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132</v>
      </c>
      <c r="G44" s="62" t="s">
        <v>229</v>
      </c>
      <c r="H44" s="230">
        <v>264323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43</v>
      </c>
      <c r="D45" s="12">
        <f>C45*84</f>
        <v>3612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273823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6401.75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28881.75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099DFF-7E8C-44AE-AD43-992E7A47C6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40" t="s">
        <v>2</v>
      </c>
      <c r="Q1" s="14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41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9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D78529-8ABF-4FBF-B032-D13285C09F49}">
  <dimension ref="A1:R59"/>
  <sheetViews>
    <sheetView topLeftCell="A28" zoomScaleNormal="100" zoomScaleSheetLayoutView="85" workbookViewId="0">
      <selection activeCell="M46" sqref="M4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46200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136</v>
      </c>
      <c r="G26" s="65">
        <v>11174</v>
      </c>
      <c r="H26" s="230">
        <v>58202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39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4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H15-H16-H17-H18-H19-H20-H22-H23-H24+H26+H27+H28</f>
        <v>58202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58</v>
      </c>
      <c r="H34" s="246">
        <f t="shared" ref="H34:H39" si="2">F34*G34</f>
        <v>58000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 t="shared" si="2"/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246">
        <f t="shared" si="2"/>
        <v>200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2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62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58202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129</v>
      </c>
      <c r="G51" s="293">
        <f>G49-H29</f>
        <v>0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94F46-3F60-4CBC-AA1E-C0E5C11C6125}">
  <dimension ref="A1:R59"/>
  <sheetViews>
    <sheetView topLeftCell="A10" zoomScaleNormal="100" zoomScaleSheetLayoutView="85" workbookViewId="0">
      <selection activeCell="M39" sqref="M3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46200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4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96A5E-7E31-41AE-87F8-5D03F74AE73D}">
  <dimension ref="A1:R59"/>
  <sheetViews>
    <sheetView zoomScaleNormal="100" zoomScaleSheetLayoutView="85" workbookViewId="0">
      <selection activeCell="M34" sqref="M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0" t="s">
        <v>2</v>
      </c>
      <c r="Q1" s="14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46200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/>
      <c r="D6" s="13">
        <f t="shared" ref="D6:D28" si="1">C6*L6</f>
        <v>0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41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2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>
        <f>F34*G34</f>
        <v>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>
        <f t="shared" si="2"/>
        <v>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39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1136B-DED5-40D7-A3B1-F63D0571E32D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44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46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D863-DC9A-442A-AD70-945DB166BCF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46202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592</v>
      </c>
      <c r="D6" s="13">
        <f t="shared" ref="D6:D28" si="1">C6*L6</f>
        <v>450512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3</v>
      </c>
      <c r="D7" s="13">
        <f t="shared" si="1"/>
        <v>2343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21</v>
      </c>
      <c r="D9" s="13">
        <f t="shared" si="1"/>
        <v>15393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22</v>
      </c>
      <c r="D13" s="48">
        <f t="shared" si="1"/>
        <v>6754</v>
      </c>
      <c r="F13" s="191" t="s">
        <v>36</v>
      </c>
      <c r="G13" s="192"/>
      <c r="H13" s="193">
        <f>D29</f>
        <v>475002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57194.25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417807.75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3348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/>
      <c r="G26" s="65"/>
      <c r="H26" s="230"/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46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4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475002</v>
      </c>
      <c r="F29" s="214" t="s">
        <v>54</v>
      </c>
      <c r="G29" s="215"/>
      <c r="H29" s="218">
        <f>H15-H16-H17-H18-H19-H20-H22-H23-H24+H26+H27+H28</f>
        <v>414459.75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316</v>
      </c>
      <c r="H34" s="246">
        <f t="shared" ref="H34:H39" si="2">F34*G34</f>
        <v>316000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198</v>
      </c>
      <c r="H35" s="246">
        <f t="shared" si="2"/>
        <v>99000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499</v>
      </c>
      <c r="D37" s="12">
        <f>C37*111</f>
        <v>55389</v>
      </c>
      <c r="F37" s="12">
        <v>100</v>
      </c>
      <c r="G37" s="39">
        <v>4</v>
      </c>
      <c r="H37" s="246">
        <f t="shared" si="2"/>
        <v>400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246">
        <f t="shared" si="2"/>
        <v>100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6">
        <v>63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4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62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62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21</v>
      </c>
      <c r="D49" s="12">
        <f>C49*42</f>
        <v>882</v>
      </c>
      <c r="F49" s="271" t="s">
        <v>85</v>
      </c>
      <c r="G49" s="218">
        <f>H34+H35+H36+H37+H38+H39+H40+H41+G42+H44+H45+H46</f>
        <v>415563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8</v>
      </c>
      <c r="D50" s="12">
        <f>C50*1.5</f>
        <v>12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144</v>
      </c>
      <c r="G51" s="293">
        <f>G49-H29</f>
        <v>1103.25</v>
      </c>
      <c r="H51" s="294"/>
      <c r="I51" s="294"/>
      <c r="J51" s="29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96"/>
      <c r="H52" s="297"/>
      <c r="I52" s="297"/>
      <c r="J52" s="29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57194.25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A6367-C233-4AD5-8DCC-9295A61930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46202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263</v>
      </c>
      <c r="D6" s="13">
        <f t="shared" ref="D6:D28" si="1">C6*L6</f>
        <v>200143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6</v>
      </c>
      <c r="D7" s="13">
        <f t="shared" si="1"/>
        <v>4686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30</v>
      </c>
      <c r="D9" s="13">
        <f t="shared" si="1"/>
        <v>21990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1</v>
      </c>
      <c r="D12" s="48">
        <f t="shared" si="1"/>
        <v>992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4</v>
      </c>
      <c r="D13" s="48">
        <f t="shared" si="1"/>
        <v>1228</v>
      </c>
      <c r="F13" s="191" t="s">
        <v>36</v>
      </c>
      <c r="G13" s="192"/>
      <c r="H13" s="193">
        <f>D29</f>
        <v>232541.5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132.5</v>
      </c>
      <c r="F14" s="196" t="s">
        <v>38</v>
      </c>
      <c r="G14" s="197"/>
      <c r="H14" s="198">
        <f>D54</f>
        <v>34172.25</v>
      </c>
      <c r="I14" s="199"/>
      <c r="J14" s="20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198369.25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810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>
        <v>1</v>
      </c>
      <c r="D18" s="48">
        <f t="shared" si="1"/>
        <v>1102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4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232541.5</v>
      </c>
      <c r="F29" s="214" t="s">
        <v>54</v>
      </c>
      <c r="G29" s="215"/>
      <c r="H29" s="218">
        <f>H15-H16-H17-H18-H19-H20-H22-H23-H24+H26+H27</f>
        <v>197559.25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105</v>
      </c>
      <c r="H34" s="246">
        <f>F34*G34</f>
        <v>105000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169</v>
      </c>
      <c r="H35" s="246">
        <f>F35*G35</f>
        <v>84500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46">
        <f t="shared" ref="H36:H39" si="2">F36*G36</f>
        <v>400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56</v>
      </c>
      <c r="H37" s="246">
        <f t="shared" si="2"/>
        <v>5600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6</v>
      </c>
      <c r="H38" s="246">
        <f t="shared" si="2"/>
        <v>300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6">
        <v>43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4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5</v>
      </c>
      <c r="D46" s="12">
        <f>C46*1.5</f>
        <v>7.5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195863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20</v>
      </c>
      <c r="D50" s="12">
        <f>C50*1.5</f>
        <v>30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-1696.25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34172.25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1C710-12C7-499D-97CF-4F0286CC65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46202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474</v>
      </c>
      <c r="D6" s="13">
        <f t="shared" ref="D6:D28" si="1">C6*L6</f>
        <v>360714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59</v>
      </c>
      <c r="D9" s="13">
        <f t="shared" si="1"/>
        <v>43247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15</v>
      </c>
      <c r="D13" s="48">
        <f t="shared" si="1"/>
        <v>4605</v>
      </c>
      <c r="F13" s="191" t="s">
        <v>36</v>
      </c>
      <c r="G13" s="192"/>
      <c r="H13" s="193">
        <f>D29</f>
        <v>419626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60675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358951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205">
        <v>2832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44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419626</v>
      </c>
      <c r="F29" s="214" t="s">
        <v>54</v>
      </c>
      <c r="G29" s="215"/>
      <c r="H29" s="218">
        <f>H15-H16-H17-H18-H19-H20-H22-H23-H24+H26+H27</f>
        <v>356119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43</v>
      </c>
      <c r="H34" s="246">
        <f>F34*G34</f>
        <v>43000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>
        <f>F35*G35</f>
        <v>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531</v>
      </c>
      <c r="D37" s="12">
        <f>C37*111</f>
        <v>58941</v>
      </c>
      <c r="F37" s="12">
        <v>100</v>
      </c>
      <c r="G37" s="39">
        <v>2</v>
      </c>
      <c r="H37" s="246">
        <f t="shared" si="2"/>
        <v>200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>
        <v>25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46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 t="s">
        <v>155</v>
      </c>
      <c r="G44" s="75" t="s">
        <v>230</v>
      </c>
      <c r="H44" s="230">
        <v>239316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 t="s">
        <v>155</v>
      </c>
      <c r="G45" s="75" t="s">
        <v>231</v>
      </c>
      <c r="H45" s="230">
        <v>69684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352225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-3894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60675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DA230-252E-4A20-ABA2-6791A9C8F17C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52" t="s">
        <v>1</v>
      </c>
      <c r="O1" s="152"/>
      <c r="P1" s="148" t="s">
        <v>2</v>
      </c>
      <c r="Q1" s="14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3" t="s">
        <v>7</v>
      </c>
      <c r="B4" s="154"/>
      <c r="C4" s="154"/>
      <c r="D4" s="155"/>
      <c r="F4" s="156" t="s">
        <v>8</v>
      </c>
      <c r="G4" s="158"/>
      <c r="H4" s="160" t="s">
        <v>9</v>
      </c>
      <c r="I4" s="162"/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67"/>
      <c r="B6" s="16"/>
      <c r="C6" s="10"/>
      <c r="D6" s="13">
        <f t="shared" ref="D6:D28" si="1">C6*L6</f>
        <v>0</v>
      </c>
      <c r="F6" s="169" t="s">
        <v>16</v>
      </c>
      <c r="G6" s="171"/>
      <c r="H6" s="172"/>
      <c r="I6" s="172"/>
      <c r="J6" s="17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67"/>
      <c r="B7" s="16"/>
      <c r="C7" s="10"/>
      <c r="D7" s="13">
        <f t="shared" si="1"/>
        <v>0</v>
      </c>
      <c r="F7" s="170"/>
      <c r="G7" s="174"/>
      <c r="H7" s="175"/>
      <c r="I7" s="175"/>
      <c r="J7" s="17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67"/>
      <c r="B8" s="16"/>
      <c r="C8" s="10"/>
      <c r="D8" s="13">
        <f t="shared" si="1"/>
        <v>0</v>
      </c>
      <c r="F8" s="177" t="s">
        <v>21</v>
      </c>
      <c r="G8" s="179"/>
      <c r="H8" s="180"/>
      <c r="I8" s="180"/>
      <c r="J8" s="181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67"/>
      <c r="B9" s="16"/>
      <c r="C9" s="10"/>
      <c r="D9" s="13">
        <f t="shared" si="1"/>
        <v>0</v>
      </c>
      <c r="F9" s="170"/>
      <c r="G9" s="182"/>
      <c r="H9" s="183"/>
      <c r="I9" s="183"/>
      <c r="J9" s="184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67"/>
      <c r="C10" s="10"/>
      <c r="D10" s="13">
        <f t="shared" si="1"/>
        <v>0</v>
      </c>
      <c r="F10" s="169" t="s">
        <v>26</v>
      </c>
      <c r="G10" s="185"/>
      <c r="H10" s="186"/>
      <c r="I10" s="186"/>
      <c r="J10" s="187"/>
      <c r="K10" s="8"/>
      <c r="L10" s="6">
        <f>R36</f>
        <v>972</v>
      </c>
      <c r="P10" s="4"/>
      <c r="Q10" s="4"/>
      <c r="R10" s="5"/>
    </row>
    <row r="11" spans="1:19" ht="15.75" x14ac:dyDescent="0.25">
      <c r="A11" s="167"/>
      <c r="B11" s="17"/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67"/>
      <c r="B12" s="17"/>
      <c r="C12" s="10"/>
      <c r="D12" s="48">
        <f t="shared" si="1"/>
        <v>0</v>
      </c>
      <c r="F12" s="188" t="s">
        <v>33</v>
      </c>
      <c r="G12" s="189"/>
      <c r="H12" s="189"/>
      <c r="I12" s="189"/>
      <c r="J12" s="190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67"/>
      <c r="B13" s="17"/>
      <c r="C13" s="10"/>
      <c r="D13" s="48">
        <f t="shared" si="1"/>
        <v>0</v>
      </c>
      <c r="F13" s="191" t="s">
        <v>36</v>
      </c>
      <c r="G13" s="192"/>
      <c r="H13" s="193">
        <f>D29</f>
        <v>0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67"/>
      <c r="B14" s="14"/>
      <c r="C14" s="10"/>
      <c r="D14" s="31">
        <f t="shared" si="1"/>
        <v>0</v>
      </c>
      <c r="F14" s="196" t="s">
        <v>38</v>
      </c>
      <c r="G14" s="197"/>
      <c r="H14" s="198">
        <f>D54</f>
        <v>0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67"/>
      <c r="B15" s="14"/>
      <c r="C15" s="10"/>
      <c r="D15" s="31">
        <f t="shared" si="1"/>
        <v>0</v>
      </c>
      <c r="F15" s="201" t="s">
        <v>39</v>
      </c>
      <c r="G15" s="192"/>
      <c r="H15" s="202">
        <f>H13-H14</f>
        <v>0</v>
      </c>
      <c r="I15" s="203"/>
      <c r="J15" s="204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67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5"/>
      <c r="I16" s="205"/>
      <c r="J16" s="20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19"/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14"/>
      <c r="C19" s="10"/>
      <c r="D19" s="48">
        <f t="shared" si="1"/>
        <v>0</v>
      </c>
      <c r="F19" s="56"/>
      <c r="G19" s="68" t="s">
        <v>49</v>
      </c>
      <c r="H19" s="224"/>
      <c r="I19" s="224"/>
      <c r="J19" s="22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67"/>
      <c r="B20" s="46"/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67"/>
      <c r="B22" s="46"/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/>
      <c r="C23" s="10"/>
      <c r="D23" s="48">
        <f t="shared" si="1"/>
        <v>0</v>
      </c>
      <c r="F23" s="77"/>
      <c r="G23" s="78"/>
      <c r="H23" s="229"/>
      <c r="I23" s="230"/>
      <c r="J23" s="230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/>
      <c r="C24" s="10"/>
      <c r="D24" s="48">
        <f t="shared" si="1"/>
        <v>0</v>
      </c>
      <c r="F24" s="38"/>
      <c r="G24" s="37"/>
      <c r="H24" s="229"/>
      <c r="I24" s="230"/>
      <c r="J24" s="230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/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67"/>
      <c r="B27" s="14"/>
      <c r="C27" s="10"/>
      <c r="D27" s="44">
        <f t="shared" si="1"/>
        <v>0</v>
      </c>
      <c r="F27" s="25"/>
      <c r="G27" s="79"/>
      <c r="H27" s="237"/>
      <c r="I27" s="238"/>
      <c r="J27" s="239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/>
      <c r="C28" s="10"/>
      <c r="D28" s="48">
        <f t="shared" si="1"/>
        <v>0</v>
      </c>
      <c r="F28" s="149"/>
      <c r="G28" s="61"/>
      <c r="H28" s="240"/>
      <c r="I28" s="241"/>
      <c r="J28" s="242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6" t="s">
        <v>36</v>
      </c>
      <c r="B29" s="207"/>
      <c r="C29" s="208"/>
      <c r="D29" s="212">
        <f>SUM(D6:D28)</f>
        <v>0</v>
      </c>
      <c r="F29" s="214" t="s">
        <v>54</v>
      </c>
      <c r="G29" s="215"/>
      <c r="H29" s="218">
        <f>H15-H16-H17-H18-H19-H20-H22-H23-H24+H26+H27</f>
        <v>0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246"/>
      <c r="I34" s="247"/>
      <c r="J34" s="2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/>
      <c r="H35" s="246"/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/>
      <c r="I36" s="247"/>
      <c r="J36" s="2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66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46"/>
      <c r="I37" s="247"/>
      <c r="J37" s="2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67"/>
      <c r="B38" s="29" t="s">
        <v>67</v>
      </c>
      <c r="C38" s="54"/>
      <c r="D38" s="12">
        <f>C38*84</f>
        <v>0</v>
      </c>
      <c r="F38" s="30">
        <v>50</v>
      </c>
      <c r="G38" s="39"/>
      <c r="H38" s="246"/>
      <c r="I38" s="247"/>
      <c r="J38" s="2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68"/>
      <c r="B39" s="29" t="s">
        <v>69</v>
      </c>
      <c r="C39" s="52"/>
      <c r="D39" s="31">
        <f>C39*4.5</f>
        <v>0</v>
      </c>
      <c r="F39" s="12">
        <v>20</v>
      </c>
      <c r="G39" s="37"/>
      <c r="H39" s="246"/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46"/>
      <c r="I40" s="247"/>
      <c r="J40" s="2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68"/>
      <c r="B42" s="27" t="s">
        <v>69</v>
      </c>
      <c r="C42" s="11"/>
      <c r="D42" s="12">
        <f>C42*2.25</f>
        <v>0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47" t="s">
        <v>82</v>
      </c>
      <c r="H43" s="252" t="s">
        <v>13</v>
      </c>
      <c r="I43" s="253"/>
      <c r="J43" s="254"/>
      <c r="K43" s="21"/>
      <c r="P43" s="4"/>
      <c r="Q43" s="4"/>
      <c r="R43" s="5"/>
    </row>
    <row r="44" spans="1:18" ht="15.75" x14ac:dyDescent="0.25">
      <c r="A44" s="250"/>
      <c r="B44" s="27" t="s">
        <v>65</v>
      </c>
      <c r="C44" s="10"/>
      <c r="D44" s="12">
        <f>C44*120</f>
        <v>0</v>
      </c>
      <c r="F44" s="37"/>
      <c r="G44" s="75"/>
      <c r="H44" s="230"/>
      <c r="I44" s="230"/>
      <c r="J44" s="230"/>
      <c r="K44" s="21"/>
      <c r="P44" s="4"/>
      <c r="Q44" s="4"/>
      <c r="R44" s="5"/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/>
      <c r="D46" s="12">
        <f>C46*1.5</f>
        <v>0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/>
      <c r="D48" s="12">
        <f>C48*78</f>
        <v>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/>
      <c r="D49" s="12">
        <f>C49*42</f>
        <v>0</v>
      </c>
      <c r="F49" s="271" t="s">
        <v>85</v>
      </c>
      <c r="G49" s="218">
        <f>H34+H35+H36+H37+H38+H39+H40+H41+G42+H44+H45+H46</f>
        <v>0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/>
      <c r="D50" s="12">
        <f>C50*1.5</f>
        <v>0</v>
      </c>
      <c r="F50" s="272"/>
      <c r="G50" s="221"/>
      <c r="H50" s="222"/>
      <c r="I50" s="222"/>
      <c r="J50" s="223"/>
      <c r="P50" s="4"/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106</v>
      </c>
      <c r="G51" s="275">
        <f>G49-H29</f>
        <v>0</v>
      </c>
      <c r="H51" s="276"/>
      <c r="I51" s="276"/>
      <c r="J51" s="277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0</v>
      </c>
      <c r="F54" s="21"/>
      <c r="J54" s="34"/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6B902-EF68-42CB-8400-7D5EB31B0AB8}">
  <dimension ref="A1:R59"/>
  <sheetViews>
    <sheetView topLeftCell="A4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1</v>
      </c>
      <c r="H4" s="160" t="s">
        <v>9</v>
      </c>
      <c r="I4" s="162">
        <v>46203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382</v>
      </c>
      <c r="D6" s="13">
        <f t="shared" ref="D6:D28" si="1">C6*L6</f>
        <v>290702</v>
      </c>
      <c r="F6" s="169" t="s">
        <v>16</v>
      </c>
      <c r="G6" s="171" t="s">
        <v>99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10</v>
      </c>
      <c r="D7" s="13">
        <f t="shared" si="1"/>
        <v>7810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117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108</v>
      </c>
      <c r="D9" s="13">
        <f t="shared" si="1"/>
        <v>79164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>
        <v>2</v>
      </c>
      <c r="D10" s="13">
        <f t="shared" si="1"/>
        <v>2064</v>
      </c>
      <c r="F10" s="169" t="s">
        <v>26</v>
      </c>
      <c r="G10" s="185" t="s">
        <v>108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29</v>
      </c>
      <c r="D13" s="48">
        <f t="shared" si="1"/>
        <v>8903</v>
      </c>
      <c r="F13" s="191" t="s">
        <v>36</v>
      </c>
      <c r="G13" s="192"/>
      <c r="H13" s="193">
        <f>D29</f>
        <v>393812.5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>
        <v>12</v>
      </c>
      <c r="D14" s="31">
        <f t="shared" si="1"/>
        <v>132.5</v>
      </c>
      <c r="F14" s="196" t="s">
        <v>38</v>
      </c>
      <c r="G14" s="197"/>
      <c r="H14" s="198">
        <f>D54</f>
        <v>56001</v>
      </c>
      <c r="I14" s="199"/>
      <c r="J14" s="200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8">
        <v>1</v>
      </c>
      <c r="D15" s="31">
        <f t="shared" si="1"/>
        <v>620</v>
      </c>
      <c r="F15" s="201" t="s">
        <v>39</v>
      </c>
      <c r="G15" s="192"/>
      <c r="H15" s="202">
        <f>H13-H14</f>
        <v>337811.5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5">
        <v>1944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5"/>
      <c r="I19" s="205"/>
      <c r="J19" s="20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 t="s">
        <v>157</v>
      </c>
      <c r="G22" s="72">
        <v>11180</v>
      </c>
      <c r="H22" s="228">
        <v>84261</v>
      </c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6"/>
      <c r="G23" s="78"/>
      <c r="H23" s="287"/>
      <c r="I23" s="288"/>
      <c r="J23" s="28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76"/>
      <c r="G24" s="78"/>
      <c r="H24" s="287"/>
      <c r="I24" s="288"/>
      <c r="J24" s="288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74" t="s">
        <v>157</v>
      </c>
      <c r="G26" s="65">
        <v>10950</v>
      </c>
      <c r="H26" s="230">
        <v>93725</v>
      </c>
      <c r="I26" s="230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71"/>
      <c r="G27" s="147"/>
      <c r="H27" s="289"/>
      <c r="I27" s="290"/>
      <c r="J27" s="290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>
        <v>3</v>
      </c>
      <c r="D28" s="48">
        <f t="shared" si="1"/>
        <v>2433</v>
      </c>
      <c r="F28" s="149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393812.5</v>
      </c>
      <c r="F29" s="214" t="s">
        <v>54</v>
      </c>
      <c r="G29" s="215"/>
      <c r="H29" s="218">
        <f>H15-H16-H17-H18-H19-H20-H22-H23-H24+H26+H27+H28</f>
        <v>345331.5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39</v>
      </c>
      <c r="H34" s="246">
        <f t="shared" ref="H34:H39" si="2">F34*G34</f>
        <v>39000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2</v>
      </c>
      <c r="H35" s="246">
        <f t="shared" si="2"/>
        <v>1000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si="2"/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458</v>
      </c>
      <c r="D37" s="12">
        <f>C37*111</f>
        <v>50838</v>
      </c>
      <c r="F37" s="12">
        <v>100</v>
      </c>
      <c r="G37" s="39">
        <v>4</v>
      </c>
      <c r="H37" s="246">
        <f t="shared" si="2"/>
        <v>400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246">
        <f t="shared" si="2"/>
        <v>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8</v>
      </c>
      <c r="D42" s="12">
        <f>C42*2.25</f>
        <v>18</v>
      </c>
      <c r="F42" s="39" t="s">
        <v>78</v>
      </c>
      <c r="G42" s="246"/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47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4</v>
      </c>
      <c r="D44" s="12">
        <f>C44*120</f>
        <v>480</v>
      </c>
      <c r="F44" s="37" t="s">
        <v>132</v>
      </c>
      <c r="G44" s="62" t="s">
        <v>232</v>
      </c>
      <c r="H44" s="230">
        <v>211117.5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1</v>
      </c>
      <c r="D45" s="12">
        <f>C45*84</f>
        <v>84</v>
      </c>
      <c r="F45" s="37" t="s">
        <v>155</v>
      </c>
      <c r="G45" s="151" t="s">
        <v>156</v>
      </c>
      <c r="H45" s="230">
        <v>93725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22</v>
      </c>
      <c r="D46" s="12">
        <f>C46*1.5</f>
        <v>33</v>
      </c>
      <c r="F46" s="37"/>
      <c r="G46" s="62"/>
      <c r="H46" s="230"/>
      <c r="I46" s="230"/>
      <c r="J46" s="230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25</v>
      </c>
      <c r="D48" s="12">
        <f>C48*78</f>
        <v>1950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5</v>
      </c>
      <c r="D49" s="12">
        <f>C49*42</f>
        <v>210</v>
      </c>
      <c r="F49" s="271" t="s">
        <v>85</v>
      </c>
      <c r="G49" s="218">
        <f>H34+H35+H36+H37+H38+H39+H40+H41+G42+H44+H45+H46</f>
        <v>345242.5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/>
      <c r="D50" s="12">
        <f>C50*1.5</f>
        <v>0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158</v>
      </c>
      <c r="G51" s="281">
        <f>G49-H29</f>
        <v>-89</v>
      </c>
      <c r="H51" s="282"/>
      <c r="I51" s="282"/>
      <c r="J51" s="283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84"/>
      <c r="H52" s="285"/>
      <c r="I52" s="285"/>
      <c r="J52" s="286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56001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137-1673-4651-A4DB-8F45047D07FD}">
  <dimension ref="A1:R59"/>
  <sheetViews>
    <sheetView tabSelected="1" zoomScaleNormal="100" zoomScaleSheetLayoutView="85" workbookViewId="0">
      <selection activeCell="M18" sqref="M1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2</v>
      </c>
      <c r="H4" s="160" t="s">
        <v>9</v>
      </c>
      <c r="I4" s="162">
        <v>46203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259</v>
      </c>
      <c r="D6" s="13">
        <f t="shared" ref="D6:D28" si="1">C6*L6</f>
        <v>197099</v>
      </c>
      <c r="F6" s="169" t="s">
        <v>16</v>
      </c>
      <c r="G6" s="171" t="s">
        <v>107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8</v>
      </c>
      <c r="D7" s="13">
        <f t="shared" si="1"/>
        <v>6248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>
        <v>1</v>
      </c>
      <c r="D8" s="13">
        <f t="shared" si="1"/>
        <v>1093</v>
      </c>
      <c r="F8" s="177" t="s">
        <v>21</v>
      </c>
      <c r="G8" s="179" t="s">
        <v>100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28</v>
      </c>
      <c r="D9" s="13">
        <f t="shared" si="1"/>
        <v>20524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101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f>1+1</f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8</v>
      </c>
      <c r="D13" s="48">
        <f t="shared" si="1"/>
        <v>2456</v>
      </c>
      <c r="F13" s="191" t="s">
        <v>36</v>
      </c>
      <c r="G13" s="192"/>
      <c r="H13" s="193">
        <f>D29</f>
        <v>231354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35021.25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196332.75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5">
        <v>1110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128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49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231354</v>
      </c>
      <c r="F29" s="214" t="s">
        <v>54</v>
      </c>
      <c r="G29" s="215"/>
      <c r="H29" s="218">
        <f>H15-H16-H17-H18-H19-H20-H22-H23-H24+H26+H27</f>
        <v>195222.75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60</v>
      </c>
      <c r="H34" s="246">
        <f>F34*G34</f>
        <v>60000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246">
        <f>F35*G35</f>
        <v>12500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291</v>
      </c>
      <c r="D37" s="12">
        <f>C37*111</f>
        <v>32301</v>
      </c>
      <c r="F37" s="12">
        <v>100</v>
      </c>
      <c r="G37" s="39">
        <v>5</v>
      </c>
      <c r="H37" s="246">
        <f t="shared" si="2"/>
        <v>500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12</v>
      </c>
      <c r="D38" s="12">
        <f>C38*84</f>
        <v>1008</v>
      </c>
      <c r="F38" s="30">
        <v>50</v>
      </c>
      <c r="G38" s="39">
        <v>5</v>
      </c>
      <c r="H38" s="246">
        <f t="shared" si="2"/>
        <v>250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46">
        <f t="shared" si="2"/>
        <v>20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/>
      <c r="D41" s="12">
        <f>C41*84</f>
        <v>0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9</v>
      </c>
      <c r="D42" s="12">
        <f>C42*2.25</f>
        <v>20.25</v>
      </c>
      <c r="F42" s="39" t="s">
        <v>78</v>
      </c>
      <c r="G42" s="246">
        <v>61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47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233</v>
      </c>
      <c r="H44" s="230">
        <v>122110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/>
      <c r="D45" s="12">
        <f>C45*84</f>
        <v>0</v>
      </c>
      <c r="F45" s="37"/>
      <c r="G45" s="75"/>
      <c r="H45" s="230"/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3</v>
      </c>
      <c r="D46" s="12">
        <f>C46*1.5</f>
        <v>4.5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5</v>
      </c>
      <c r="D49" s="12">
        <f>C49*42</f>
        <v>210</v>
      </c>
      <c r="F49" s="271" t="s">
        <v>85</v>
      </c>
      <c r="G49" s="218">
        <f>H34+H35+H36+H37+H38+H39+H40+H41+G42+H44+H45+H46</f>
        <v>195441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80">
        <v>13</v>
      </c>
      <c r="D50" s="12">
        <f>C50*1.5</f>
        <v>19.5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218.25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35021.25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172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2BA6A-2037-4D87-8502-8A1247800A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52" t="s">
        <v>1</v>
      </c>
      <c r="O1" s="152"/>
      <c r="P1" s="148" t="s">
        <v>2</v>
      </c>
      <c r="Q1" s="14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3" t="s">
        <v>7</v>
      </c>
      <c r="B4" s="154"/>
      <c r="C4" s="154"/>
      <c r="D4" s="155"/>
      <c r="F4" s="156" t="s">
        <v>8</v>
      </c>
      <c r="G4" s="158">
        <v>3</v>
      </c>
      <c r="H4" s="160" t="s">
        <v>9</v>
      </c>
      <c r="I4" s="162">
        <v>46203</v>
      </c>
      <c r="J4" s="163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66" t="s">
        <v>7</v>
      </c>
      <c r="B5" s="15" t="s">
        <v>11</v>
      </c>
      <c r="C5" s="9" t="s">
        <v>12</v>
      </c>
      <c r="D5" s="25" t="s">
        <v>13</v>
      </c>
      <c r="F5" s="157"/>
      <c r="G5" s="159"/>
      <c r="H5" s="161"/>
      <c r="I5" s="164"/>
      <c r="J5" s="165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67"/>
      <c r="B6" s="16" t="s">
        <v>15</v>
      </c>
      <c r="C6" s="10">
        <v>317</v>
      </c>
      <c r="D6" s="13">
        <f t="shared" ref="D6:D28" si="1">C6*L6</f>
        <v>241237</v>
      </c>
      <c r="F6" s="169" t="s">
        <v>16</v>
      </c>
      <c r="G6" s="171" t="s">
        <v>115</v>
      </c>
      <c r="H6" s="172"/>
      <c r="I6" s="172"/>
      <c r="J6" s="17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67"/>
      <c r="B7" s="16" t="s">
        <v>18</v>
      </c>
      <c r="C7" s="10">
        <v>19</v>
      </c>
      <c r="D7" s="13">
        <f t="shared" si="1"/>
        <v>14839</v>
      </c>
      <c r="F7" s="170"/>
      <c r="G7" s="174"/>
      <c r="H7" s="175"/>
      <c r="I7" s="175"/>
      <c r="J7" s="17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67"/>
      <c r="B8" s="16" t="s">
        <v>20</v>
      </c>
      <c r="C8" s="10"/>
      <c r="D8" s="13">
        <f t="shared" si="1"/>
        <v>0</v>
      </c>
      <c r="F8" s="177" t="s">
        <v>21</v>
      </c>
      <c r="G8" s="179" t="s">
        <v>109</v>
      </c>
      <c r="H8" s="180"/>
      <c r="I8" s="180"/>
      <c r="J8" s="181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67"/>
      <c r="B9" s="16" t="s">
        <v>23</v>
      </c>
      <c r="C9" s="10">
        <v>59</v>
      </c>
      <c r="D9" s="13">
        <f t="shared" si="1"/>
        <v>43247</v>
      </c>
      <c r="F9" s="170"/>
      <c r="G9" s="182"/>
      <c r="H9" s="183"/>
      <c r="I9" s="183"/>
      <c r="J9" s="184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67"/>
      <c r="B10" t="s">
        <v>25</v>
      </c>
      <c r="C10" s="10"/>
      <c r="D10" s="13">
        <f t="shared" si="1"/>
        <v>0</v>
      </c>
      <c r="F10" s="169" t="s">
        <v>26</v>
      </c>
      <c r="G10" s="185" t="s">
        <v>121</v>
      </c>
      <c r="H10" s="186"/>
      <c r="I10" s="186"/>
      <c r="J10" s="187"/>
      <c r="K10" s="8"/>
      <c r="L10" s="6">
        <f>R36</f>
        <v>1032</v>
      </c>
      <c r="P10" s="4"/>
      <c r="Q10" s="4"/>
      <c r="R10" s="5"/>
    </row>
    <row r="11" spans="1:18" ht="15.75" x14ac:dyDescent="0.25">
      <c r="A11" s="167"/>
      <c r="B11" s="17" t="s">
        <v>28</v>
      </c>
      <c r="C11" s="10"/>
      <c r="D11" s="13">
        <f t="shared" si="1"/>
        <v>0</v>
      </c>
      <c r="F11" s="170"/>
      <c r="G11" s="182"/>
      <c r="H11" s="183"/>
      <c r="I11" s="183"/>
      <c r="J11" s="184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67"/>
      <c r="B12" s="17" t="s">
        <v>30</v>
      </c>
      <c r="C12" s="10">
        <v>2</v>
      </c>
      <c r="D12" s="48">
        <f t="shared" si="1"/>
        <v>1984</v>
      </c>
      <c r="F12" s="188" t="s">
        <v>33</v>
      </c>
      <c r="G12" s="189"/>
      <c r="H12" s="189"/>
      <c r="I12" s="189"/>
      <c r="J12" s="190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67"/>
      <c r="B13" s="17" t="s">
        <v>32</v>
      </c>
      <c r="C13" s="10">
        <v>8</v>
      </c>
      <c r="D13" s="48">
        <f t="shared" si="1"/>
        <v>2456</v>
      </c>
      <c r="F13" s="191" t="s">
        <v>36</v>
      </c>
      <c r="G13" s="192"/>
      <c r="H13" s="193">
        <f>D29</f>
        <v>305063</v>
      </c>
      <c r="I13" s="194"/>
      <c r="J13" s="195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67"/>
      <c r="B14" s="14" t="s">
        <v>35</v>
      </c>
      <c r="C14" s="10"/>
      <c r="D14" s="31">
        <f t="shared" si="1"/>
        <v>0</v>
      </c>
      <c r="F14" s="196" t="s">
        <v>38</v>
      </c>
      <c r="G14" s="197"/>
      <c r="H14" s="198">
        <f>D54</f>
        <v>46435.5</v>
      </c>
      <c r="I14" s="199"/>
      <c r="J14" s="200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67"/>
      <c r="B15" s="14" t="s">
        <v>119</v>
      </c>
      <c r="C15" s="10"/>
      <c r="D15" s="31">
        <f t="shared" si="1"/>
        <v>0</v>
      </c>
      <c r="F15" s="201" t="s">
        <v>39</v>
      </c>
      <c r="G15" s="192"/>
      <c r="H15" s="202">
        <f>H13-H14</f>
        <v>258627.5</v>
      </c>
      <c r="I15" s="203"/>
      <c r="J15" s="204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67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5">
        <v>1578</v>
      </c>
      <c r="I16" s="205"/>
      <c r="J16" s="20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67"/>
      <c r="B17" s="84" t="s">
        <v>120</v>
      </c>
      <c r="C17" s="10"/>
      <c r="D17" s="48">
        <f t="shared" si="1"/>
        <v>0</v>
      </c>
      <c r="F17" s="56"/>
      <c r="G17" s="66" t="s">
        <v>44</v>
      </c>
      <c r="H17" s="178"/>
      <c r="I17" s="178"/>
      <c r="J17" s="17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67"/>
      <c r="B18" s="85" t="s">
        <v>122</v>
      </c>
      <c r="C18" s="10"/>
      <c r="D18" s="48">
        <f t="shared" si="1"/>
        <v>0</v>
      </c>
      <c r="F18" s="56"/>
      <c r="G18" s="66" t="s">
        <v>46</v>
      </c>
      <c r="H18" s="178"/>
      <c r="I18" s="178"/>
      <c r="J18" s="17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67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1"/>
      <c r="I19" s="291"/>
      <c r="J19" s="291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67"/>
      <c r="B20" s="83" t="s">
        <v>123</v>
      </c>
      <c r="C20" s="10"/>
      <c r="D20" s="13">
        <f t="shared" si="1"/>
        <v>0</v>
      </c>
      <c r="F20" s="57"/>
      <c r="G20" s="70" t="s">
        <v>102</v>
      </c>
      <c r="H20" s="205"/>
      <c r="I20" s="205"/>
      <c r="J20" s="20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67"/>
      <c r="B21" s="14" t="s">
        <v>124</v>
      </c>
      <c r="C21" s="10"/>
      <c r="D21" s="48">
        <f t="shared" si="1"/>
        <v>0</v>
      </c>
      <c r="F21" s="69" t="s">
        <v>94</v>
      </c>
      <c r="G21" s="81" t="s">
        <v>93</v>
      </c>
      <c r="H21" s="225" t="s">
        <v>13</v>
      </c>
      <c r="I21" s="226"/>
      <c r="J21" s="227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67"/>
      <c r="B22" s="46" t="s">
        <v>103</v>
      </c>
      <c r="C22" s="10"/>
      <c r="D22" s="48">
        <f t="shared" si="1"/>
        <v>0</v>
      </c>
      <c r="F22" s="76"/>
      <c r="G22" s="72"/>
      <c r="H22" s="228"/>
      <c r="I22" s="228"/>
      <c r="J22" s="228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67"/>
      <c r="B23" s="14" t="s">
        <v>118</v>
      </c>
      <c r="C23" s="10"/>
      <c r="D23" s="48">
        <f t="shared" si="1"/>
        <v>0</v>
      </c>
      <c r="F23" s="77"/>
      <c r="G23" s="78"/>
      <c r="H23" s="292"/>
      <c r="I23" s="228"/>
      <c r="J23" s="228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67"/>
      <c r="B24" s="14" t="s">
        <v>125</v>
      </c>
      <c r="C24" s="10"/>
      <c r="D24" s="48">
        <f t="shared" si="1"/>
        <v>0</v>
      </c>
      <c r="F24" s="38"/>
      <c r="G24" s="37"/>
      <c r="H24" s="229"/>
      <c r="I24" s="230"/>
      <c r="J24" s="23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67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31" t="s">
        <v>13</v>
      </c>
      <c r="I25" s="232"/>
      <c r="J25" s="233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67"/>
      <c r="B26" s="14" t="s">
        <v>126</v>
      </c>
      <c r="C26" s="10"/>
      <c r="D26" s="48">
        <f t="shared" si="1"/>
        <v>0</v>
      </c>
      <c r="F26" s="64"/>
      <c r="G26" s="59"/>
      <c r="H26" s="234"/>
      <c r="I26" s="235"/>
      <c r="J26" s="236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67"/>
      <c r="B27" s="14" t="s">
        <v>127</v>
      </c>
      <c r="C27" s="10"/>
      <c r="D27" s="44">
        <f t="shared" si="1"/>
        <v>0</v>
      </c>
      <c r="F27" s="25"/>
      <c r="G27" s="79"/>
      <c r="H27" s="237"/>
      <c r="I27" s="238"/>
      <c r="J27" s="239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68"/>
      <c r="B28" s="46" t="s">
        <v>92</v>
      </c>
      <c r="C28" s="10"/>
      <c r="D28" s="48">
        <f t="shared" si="1"/>
        <v>0</v>
      </c>
      <c r="F28" s="149"/>
      <c r="G28" s="61"/>
      <c r="H28" s="240"/>
      <c r="I28" s="241"/>
      <c r="J28" s="242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6" t="s">
        <v>36</v>
      </c>
      <c r="B29" s="207"/>
      <c r="C29" s="208"/>
      <c r="D29" s="212">
        <f>SUM(D6:D28)</f>
        <v>305063</v>
      </c>
      <c r="F29" s="214" t="s">
        <v>54</v>
      </c>
      <c r="G29" s="215"/>
      <c r="H29" s="218">
        <f>H15-H16-H17-H18-H19-H20-H22-H23-H24+H26+H27</f>
        <v>257049.5</v>
      </c>
      <c r="I29" s="219"/>
      <c r="J29" s="220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09"/>
      <c r="B30" s="210"/>
      <c r="C30" s="211"/>
      <c r="D30" s="213"/>
      <c r="F30" s="216"/>
      <c r="G30" s="217"/>
      <c r="H30" s="221"/>
      <c r="I30" s="222"/>
      <c r="J30" s="223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53" t="s">
        <v>57</v>
      </c>
      <c r="B32" s="154"/>
      <c r="C32" s="154"/>
      <c r="D32" s="155"/>
      <c r="F32" s="243" t="s">
        <v>58</v>
      </c>
      <c r="G32" s="244"/>
      <c r="H32" s="244"/>
      <c r="I32" s="244"/>
      <c r="J32" s="245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0" t="s">
        <v>62</v>
      </c>
      <c r="H33" s="243" t="s">
        <v>13</v>
      </c>
      <c r="I33" s="244"/>
      <c r="J33" s="245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66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98</v>
      </c>
      <c r="H34" s="246">
        <f>F34*G34</f>
        <v>98000</v>
      </c>
      <c r="I34" s="247"/>
      <c r="J34" s="2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67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246">
        <f>F35*G35</f>
        <v>19500</v>
      </c>
      <c r="I35" s="247"/>
      <c r="J35" s="2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68"/>
      <c r="B36" s="26" t="s">
        <v>69</v>
      </c>
      <c r="C36" s="10"/>
      <c r="D36" s="12">
        <f>C36*1.5</f>
        <v>0</v>
      </c>
      <c r="F36" s="12">
        <v>200</v>
      </c>
      <c r="G36" s="37"/>
      <c r="H36" s="246">
        <f t="shared" ref="H36:H39" si="2">F36*G36</f>
        <v>0</v>
      </c>
      <c r="I36" s="247"/>
      <c r="J36" s="2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66" t="s">
        <v>71</v>
      </c>
      <c r="B37" s="28" t="s">
        <v>65</v>
      </c>
      <c r="C37" s="53">
        <v>396</v>
      </c>
      <c r="D37" s="12">
        <f>C37*111</f>
        <v>43956</v>
      </c>
      <c r="F37" s="12">
        <v>100</v>
      </c>
      <c r="G37" s="39">
        <v>11</v>
      </c>
      <c r="H37" s="246">
        <f t="shared" si="2"/>
        <v>1100</v>
      </c>
      <c r="I37" s="247"/>
      <c r="J37" s="2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67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3</v>
      </c>
      <c r="H38" s="246">
        <f t="shared" si="2"/>
        <v>150</v>
      </c>
      <c r="I38" s="247"/>
      <c r="J38" s="2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68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46">
        <f t="shared" si="2"/>
        <v>0</v>
      </c>
      <c r="I39" s="247"/>
      <c r="J39" s="2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66" t="s">
        <v>75</v>
      </c>
      <c r="B40" s="27" t="s">
        <v>65</v>
      </c>
      <c r="C40" s="63">
        <v>11</v>
      </c>
      <c r="D40" s="12">
        <f>C40*111</f>
        <v>1221</v>
      </c>
      <c r="F40" s="12">
        <v>10</v>
      </c>
      <c r="G40" s="42"/>
      <c r="H40" s="246"/>
      <c r="I40" s="247"/>
      <c r="J40" s="2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67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46"/>
      <c r="I41" s="247"/>
      <c r="J41" s="2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68"/>
      <c r="B42" s="27" t="s">
        <v>69</v>
      </c>
      <c r="C42" s="11">
        <v>6</v>
      </c>
      <c r="D42" s="12">
        <f>C42*2.25</f>
        <v>13.5</v>
      </c>
      <c r="F42" s="39" t="s">
        <v>78</v>
      </c>
      <c r="G42" s="246">
        <v>83</v>
      </c>
      <c r="H42" s="247"/>
      <c r="I42" s="247"/>
      <c r="J42" s="2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49" t="s">
        <v>80</v>
      </c>
      <c r="C43" s="11"/>
      <c r="D43" s="12"/>
      <c r="F43" s="59" t="s">
        <v>81</v>
      </c>
      <c r="G43" s="147" t="s">
        <v>82</v>
      </c>
      <c r="H43" s="252" t="s">
        <v>13</v>
      </c>
      <c r="I43" s="253"/>
      <c r="J43" s="254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50"/>
      <c r="B44" s="27" t="s">
        <v>65</v>
      </c>
      <c r="C44" s="10">
        <v>3</v>
      </c>
      <c r="D44" s="12">
        <f>C44*120</f>
        <v>360</v>
      </c>
      <c r="F44" s="37" t="s">
        <v>132</v>
      </c>
      <c r="G44" s="62" t="s">
        <v>234</v>
      </c>
      <c r="H44" s="230">
        <v>139471.5</v>
      </c>
      <c r="I44" s="230"/>
      <c r="J44" s="230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50"/>
      <c r="B45" s="27" t="s">
        <v>67</v>
      </c>
      <c r="C45" s="33">
        <v>1</v>
      </c>
      <c r="D45" s="12">
        <f>C45*84</f>
        <v>84</v>
      </c>
      <c r="F45" s="37" t="s">
        <v>140</v>
      </c>
      <c r="G45" s="75"/>
      <c r="H45" s="230">
        <v>3150</v>
      </c>
      <c r="I45" s="230"/>
      <c r="J45" s="230"/>
      <c r="K45" s="21"/>
      <c r="P45" s="4"/>
      <c r="Q45" s="4"/>
      <c r="R45" s="5"/>
    </row>
    <row r="46" spans="1:18" ht="15.75" x14ac:dyDescent="0.25">
      <c r="A46" s="250"/>
      <c r="B46" s="49" t="s">
        <v>69</v>
      </c>
      <c r="C46" s="80">
        <v>10</v>
      </c>
      <c r="D46" s="12">
        <f>C46*1.5</f>
        <v>15</v>
      </c>
      <c r="F46" s="37"/>
      <c r="G46" s="62"/>
      <c r="H46" s="255"/>
      <c r="I46" s="255"/>
      <c r="J46" s="255"/>
      <c r="K46" s="21"/>
      <c r="P46" s="4"/>
      <c r="Q46" s="4"/>
      <c r="R46" s="5"/>
    </row>
    <row r="47" spans="1:18" ht="15.75" x14ac:dyDescent="0.25">
      <c r="A47" s="251"/>
      <c r="B47" s="27"/>
      <c r="C47" s="11"/>
      <c r="D47" s="12"/>
      <c r="F47" s="59"/>
      <c r="G47" s="59"/>
      <c r="H47" s="256"/>
      <c r="I47" s="257"/>
      <c r="J47" s="258"/>
      <c r="K47" s="21"/>
      <c r="P47" s="4"/>
      <c r="Q47" s="4"/>
      <c r="R47" s="5"/>
    </row>
    <row r="48" spans="1:18" ht="15" customHeight="1" x14ac:dyDescent="0.25">
      <c r="A48" s="249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56"/>
      <c r="I48" s="257"/>
      <c r="J48" s="258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50"/>
      <c r="B49" s="29" t="s">
        <v>67</v>
      </c>
      <c r="C49" s="33">
        <v>3</v>
      </c>
      <c r="D49" s="12">
        <f>C49*42</f>
        <v>126</v>
      </c>
      <c r="F49" s="271" t="s">
        <v>85</v>
      </c>
      <c r="G49" s="218">
        <f>H34+H35+H36+H37+H38+H39+H40+H41+G42+H44+H45+H46</f>
        <v>261454.5</v>
      </c>
      <c r="H49" s="219"/>
      <c r="I49" s="219"/>
      <c r="J49" s="220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50"/>
      <c r="B50" s="32" t="s">
        <v>69</v>
      </c>
      <c r="C50" s="11">
        <v>9</v>
      </c>
      <c r="D50" s="12">
        <f>C50*1.5</f>
        <v>13.5</v>
      </c>
      <c r="F50" s="272"/>
      <c r="G50" s="221"/>
      <c r="H50" s="222"/>
      <c r="I50" s="222"/>
      <c r="J50" s="223"/>
      <c r="O50" t="s">
        <v>112</v>
      </c>
      <c r="P50" s="4">
        <v>1204</v>
      </c>
      <c r="Q50" s="4"/>
      <c r="R50" s="5"/>
    </row>
    <row r="51" spans="1:18" ht="15" customHeight="1" x14ac:dyDescent="0.25">
      <c r="A51" s="250"/>
      <c r="B51" s="27"/>
      <c r="C51" s="10"/>
      <c r="D51" s="31"/>
      <c r="F51" s="273" t="s">
        <v>113</v>
      </c>
      <c r="G51" s="275">
        <f>G49-H29</f>
        <v>4405</v>
      </c>
      <c r="H51" s="276"/>
      <c r="I51" s="276"/>
      <c r="J51" s="27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50"/>
      <c r="B52" s="29"/>
      <c r="C52" s="33"/>
      <c r="D52" s="45"/>
      <c r="F52" s="274"/>
      <c r="G52" s="278"/>
      <c r="H52" s="279"/>
      <c r="I52" s="279"/>
      <c r="J52" s="28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51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214" t="s">
        <v>89</v>
      </c>
      <c r="B54" s="259"/>
      <c r="C54" s="260"/>
      <c r="D54" s="263">
        <f>SUM(D34:D53)</f>
        <v>46435.5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216"/>
      <c r="B55" s="261"/>
      <c r="C55" s="262"/>
      <c r="D55" s="264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65" t="s">
        <v>90</v>
      </c>
      <c r="B58" s="266"/>
      <c r="C58" s="266"/>
      <c r="D58" s="267"/>
      <c r="F58" s="265" t="s">
        <v>91</v>
      </c>
      <c r="G58" s="266"/>
      <c r="H58" s="266"/>
      <c r="I58" s="266"/>
      <c r="J58" s="267"/>
    </row>
    <row r="59" spans="1:18" x14ac:dyDescent="0.25">
      <c r="A59" s="268"/>
      <c r="B59" s="269"/>
      <c r="C59" s="269"/>
      <c r="D59" s="270"/>
      <c r="F59" s="268"/>
      <c r="G59" s="269"/>
      <c r="H59" s="269"/>
      <c r="I59" s="269"/>
      <c r="J59" s="270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103</vt:i4>
      </vt:variant>
      <vt:variant>
        <vt:lpstr>Named Ranges</vt:lpstr>
      </vt:variant>
      <vt:variant>
        <vt:i4>102</vt:i4>
      </vt:variant>
    </vt:vector>
  </HeadingPairs>
  <TitlesOfParts>
    <vt:vector size="205" baseType="lpstr">
      <vt:lpstr>(JUNE 2026)</vt:lpstr>
      <vt:lpstr>(01)</vt:lpstr>
      <vt:lpstr>06,01 R1</vt:lpstr>
      <vt:lpstr>06,01 R2</vt:lpstr>
      <vt:lpstr>06,01 R3</vt:lpstr>
      <vt:lpstr>(2)</vt:lpstr>
      <vt:lpstr>06,02 R1 </vt:lpstr>
      <vt:lpstr>06,02 R2 </vt:lpstr>
      <vt:lpstr>06,02 R3</vt:lpstr>
      <vt:lpstr>(3)</vt:lpstr>
      <vt:lpstr>06,03 R1 </vt:lpstr>
      <vt:lpstr>06,03 R2 NO TRIP </vt:lpstr>
      <vt:lpstr>06,03 R3 NO TRIP</vt:lpstr>
      <vt:lpstr>(4)</vt:lpstr>
      <vt:lpstr>06,04 R1 </vt:lpstr>
      <vt:lpstr>06,04 R2 </vt:lpstr>
      <vt:lpstr>06,04 R3  </vt:lpstr>
      <vt:lpstr>(5)</vt:lpstr>
      <vt:lpstr>06,05 R1 NO TRIP</vt:lpstr>
      <vt:lpstr>06,05 R2 </vt:lpstr>
      <vt:lpstr>06,05 R3  </vt:lpstr>
      <vt:lpstr>(6)</vt:lpstr>
      <vt:lpstr>06,06 R1 COLLECTION</vt:lpstr>
      <vt:lpstr>06,06 R2 NO TRIP</vt:lpstr>
      <vt:lpstr>06,06 R3 NO TRIP </vt:lpstr>
      <vt:lpstr>(8)</vt:lpstr>
      <vt:lpstr>06,08 R1 NO TRIP</vt:lpstr>
      <vt:lpstr>06,08 R2</vt:lpstr>
      <vt:lpstr>06,08 R3</vt:lpstr>
      <vt:lpstr>(9)</vt:lpstr>
      <vt:lpstr>06,09 R1</vt:lpstr>
      <vt:lpstr>06,09 R2 </vt:lpstr>
      <vt:lpstr>06,09 R3 </vt:lpstr>
      <vt:lpstr>(10)</vt:lpstr>
      <vt:lpstr>06,10 R1 </vt:lpstr>
      <vt:lpstr>06,10 R2 NO TRIP  </vt:lpstr>
      <vt:lpstr>06,10 R3 </vt:lpstr>
      <vt:lpstr>(11)</vt:lpstr>
      <vt:lpstr>06,11 R1 NO TRIP</vt:lpstr>
      <vt:lpstr>06,11 R2 </vt:lpstr>
      <vt:lpstr>06,11 R3</vt:lpstr>
      <vt:lpstr>(12)</vt:lpstr>
      <vt:lpstr>06,12 R1  </vt:lpstr>
      <vt:lpstr>06,12 R2  </vt:lpstr>
      <vt:lpstr>06,12 R3 NO TRIP</vt:lpstr>
      <vt:lpstr>(13)</vt:lpstr>
      <vt:lpstr>06,13 R1</vt:lpstr>
      <vt:lpstr>(15)</vt:lpstr>
      <vt:lpstr>06,15 R1</vt:lpstr>
      <vt:lpstr>06,15 R2</vt:lpstr>
      <vt:lpstr>06,15 R3</vt:lpstr>
      <vt:lpstr>(16)</vt:lpstr>
      <vt:lpstr>06,16 R1 </vt:lpstr>
      <vt:lpstr>06,16 R2 </vt:lpstr>
      <vt:lpstr>06,16 R3 </vt:lpstr>
      <vt:lpstr>(17)</vt:lpstr>
      <vt:lpstr>06,17 R1</vt:lpstr>
      <vt:lpstr>06,17 R2 </vt:lpstr>
      <vt:lpstr>06,17 R3</vt:lpstr>
      <vt:lpstr>(18)</vt:lpstr>
      <vt:lpstr>06,18 R1</vt:lpstr>
      <vt:lpstr>06,18 R2</vt:lpstr>
      <vt:lpstr>06,18 R3</vt:lpstr>
      <vt:lpstr>(19)</vt:lpstr>
      <vt:lpstr>06,19 R1 COLLECTION</vt:lpstr>
      <vt:lpstr>06,19 R2</vt:lpstr>
      <vt:lpstr>06,19 R3</vt:lpstr>
      <vt:lpstr>(20)</vt:lpstr>
      <vt:lpstr>06,20 R1 </vt:lpstr>
      <vt:lpstr>06,20 R2</vt:lpstr>
      <vt:lpstr>06,20 R3</vt:lpstr>
      <vt:lpstr>(22)</vt:lpstr>
      <vt:lpstr>06,22 R1</vt:lpstr>
      <vt:lpstr>06,22 R2</vt:lpstr>
      <vt:lpstr>06,22 R3</vt:lpstr>
      <vt:lpstr>(23)</vt:lpstr>
      <vt:lpstr>06,23 R1</vt:lpstr>
      <vt:lpstr>06,23 R2</vt:lpstr>
      <vt:lpstr>06,23 R3</vt:lpstr>
      <vt:lpstr>(24)</vt:lpstr>
      <vt:lpstr>06,24 R1</vt:lpstr>
      <vt:lpstr>06,24 R2</vt:lpstr>
      <vt:lpstr>06,24 R3</vt:lpstr>
      <vt:lpstr>(25)</vt:lpstr>
      <vt:lpstr>06,25 R1</vt:lpstr>
      <vt:lpstr>06,25 R2</vt:lpstr>
      <vt:lpstr>06,25 R3</vt:lpstr>
      <vt:lpstr>(26)</vt:lpstr>
      <vt:lpstr>06,26 R1 NO TRIP</vt:lpstr>
      <vt:lpstr>06,26 R2</vt:lpstr>
      <vt:lpstr>06,26 R3</vt:lpstr>
      <vt:lpstr>(27)</vt:lpstr>
      <vt:lpstr>06,27 R1 COLLECTION</vt:lpstr>
      <vt:lpstr>06,24 R2 NO TRIP</vt:lpstr>
      <vt:lpstr>06,24 R3 NO TRIP</vt:lpstr>
      <vt:lpstr>(29)</vt:lpstr>
      <vt:lpstr>06,29 R1 </vt:lpstr>
      <vt:lpstr>06,29 R2</vt:lpstr>
      <vt:lpstr>06,29 R3</vt:lpstr>
      <vt:lpstr>(30)</vt:lpstr>
      <vt:lpstr>06,30 R1 </vt:lpstr>
      <vt:lpstr>06,30 R2</vt:lpstr>
      <vt:lpstr>06,30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'(16)'!Print_Area</vt:lpstr>
      <vt:lpstr>'(17)'!Print_Area</vt:lpstr>
      <vt:lpstr>'(18)'!Print_Area</vt:lpstr>
      <vt:lpstr>'(19)'!Print_Area</vt:lpstr>
      <vt:lpstr>'(2)'!Print_Area</vt:lpstr>
      <vt:lpstr>'(20)'!Print_Area</vt:lpstr>
      <vt:lpstr>'(22)'!Print_Area</vt:lpstr>
      <vt:lpstr>'(23)'!Print_Area</vt:lpstr>
      <vt:lpstr>'(24)'!Print_Area</vt:lpstr>
      <vt:lpstr>'(25)'!Print_Area</vt:lpstr>
      <vt:lpstr>'(26)'!Print_Area</vt:lpstr>
      <vt:lpstr>'(27)'!Print_Area</vt:lpstr>
      <vt:lpstr>'(29)'!Print_Area</vt:lpstr>
      <vt:lpstr>'(3)'!Print_Area</vt:lpstr>
      <vt:lpstr>'(30)'!Print_Area</vt:lpstr>
      <vt:lpstr>'(4)'!Print_Area</vt:lpstr>
      <vt:lpstr>'(5)'!Print_Area</vt:lpstr>
      <vt:lpstr>'(6)'!Print_Area</vt:lpstr>
      <vt:lpstr>'(8)'!Print_Area</vt:lpstr>
      <vt:lpstr>'(9)'!Print_Area</vt:lpstr>
      <vt:lpstr>'06,01 R1'!Print_Area</vt:lpstr>
      <vt:lpstr>'06,01 R2'!Print_Area</vt:lpstr>
      <vt:lpstr>'06,01 R3'!Print_Area</vt:lpstr>
      <vt:lpstr>'06,02 R1 '!Print_Area</vt:lpstr>
      <vt:lpstr>'06,02 R2 '!Print_Area</vt:lpstr>
      <vt:lpstr>'06,02 R3'!Print_Area</vt:lpstr>
      <vt:lpstr>'06,03 R1 '!Print_Area</vt:lpstr>
      <vt:lpstr>'06,03 R2 NO TRIP '!Print_Area</vt:lpstr>
      <vt:lpstr>'06,03 R3 NO TRIP'!Print_Area</vt:lpstr>
      <vt:lpstr>'06,04 R1 '!Print_Area</vt:lpstr>
      <vt:lpstr>'06,04 R2 '!Print_Area</vt:lpstr>
      <vt:lpstr>'06,04 R3  '!Print_Area</vt:lpstr>
      <vt:lpstr>'06,05 R1 NO TRIP'!Print_Area</vt:lpstr>
      <vt:lpstr>'06,05 R2 '!Print_Area</vt:lpstr>
      <vt:lpstr>'06,05 R3  '!Print_Area</vt:lpstr>
      <vt:lpstr>'06,06 R1 COLLECTION'!Print_Area</vt:lpstr>
      <vt:lpstr>'06,06 R2 NO TRIP'!Print_Area</vt:lpstr>
      <vt:lpstr>'06,06 R3 NO TRIP '!Print_Area</vt:lpstr>
      <vt:lpstr>'06,08 R1 NO TRIP'!Print_Area</vt:lpstr>
      <vt:lpstr>'06,08 R2'!Print_Area</vt:lpstr>
      <vt:lpstr>'06,08 R3'!Print_Area</vt:lpstr>
      <vt:lpstr>'06,09 R1'!Print_Area</vt:lpstr>
      <vt:lpstr>'06,09 R2 '!Print_Area</vt:lpstr>
      <vt:lpstr>'06,09 R3 '!Print_Area</vt:lpstr>
      <vt:lpstr>'06,10 R1 '!Print_Area</vt:lpstr>
      <vt:lpstr>'06,10 R2 NO TRIP  '!Print_Area</vt:lpstr>
      <vt:lpstr>'06,10 R3 '!Print_Area</vt:lpstr>
      <vt:lpstr>'06,11 R1 NO TRIP'!Print_Area</vt:lpstr>
      <vt:lpstr>'06,11 R2 '!Print_Area</vt:lpstr>
      <vt:lpstr>'06,11 R3'!Print_Area</vt:lpstr>
      <vt:lpstr>'06,12 R1  '!Print_Area</vt:lpstr>
      <vt:lpstr>'06,12 R2  '!Print_Area</vt:lpstr>
      <vt:lpstr>'06,12 R3 NO TRIP'!Print_Area</vt:lpstr>
      <vt:lpstr>'06,13 R1'!Print_Area</vt:lpstr>
      <vt:lpstr>'06,15 R1'!Print_Area</vt:lpstr>
      <vt:lpstr>'06,15 R2'!Print_Area</vt:lpstr>
      <vt:lpstr>'06,15 R3'!Print_Area</vt:lpstr>
      <vt:lpstr>'06,16 R1 '!Print_Area</vt:lpstr>
      <vt:lpstr>'06,16 R2 '!Print_Area</vt:lpstr>
      <vt:lpstr>'06,16 R3 '!Print_Area</vt:lpstr>
      <vt:lpstr>'06,17 R1'!Print_Area</vt:lpstr>
      <vt:lpstr>'06,17 R2 '!Print_Area</vt:lpstr>
      <vt:lpstr>'06,17 R3'!Print_Area</vt:lpstr>
      <vt:lpstr>'06,18 R1'!Print_Area</vt:lpstr>
      <vt:lpstr>'06,18 R2'!Print_Area</vt:lpstr>
      <vt:lpstr>'06,18 R3'!Print_Area</vt:lpstr>
      <vt:lpstr>'06,19 R1 COLLECTION'!Print_Area</vt:lpstr>
      <vt:lpstr>'06,19 R2'!Print_Area</vt:lpstr>
      <vt:lpstr>'06,19 R3'!Print_Area</vt:lpstr>
      <vt:lpstr>'06,20 R1 '!Print_Area</vt:lpstr>
      <vt:lpstr>'06,20 R2'!Print_Area</vt:lpstr>
      <vt:lpstr>'06,20 R3'!Print_Area</vt:lpstr>
      <vt:lpstr>'06,22 R1'!Print_Area</vt:lpstr>
      <vt:lpstr>'06,22 R2'!Print_Area</vt:lpstr>
      <vt:lpstr>'06,22 R3'!Print_Area</vt:lpstr>
      <vt:lpstr>'06,23 R1'!Print_Area</vt:lpstr>
      <vt:lpstr>'06,23 R2'!Print_Area</vt:lpstr>
      <vt:lpstr>'06,23 R3'!Print_Area</vt:lpstr>
      <vt:lpstr>'06,24 R1'!Print_Area</vt:lpstr>
      <vt:lpstr>'06,24 R2'!Print_Area</vt:lpstr>
      <vt:lpstr>'06,24 R2 NO TRIP'!Print_Area</vt:lpstr>
      <vt:lpstr>'06,24 R3'!Print_Area</vt:lpstr>
      <vt:lpstr>'06,24 R3 NO TRIP'!Print_Area</vt:lpstr>
      <vt:lpstr>'06,25 R1'!Print_Area</vt:lpstr>
      <vt:lpstr>'06,25 R2'!Print_Area</vt:lpstr>
      <vt:lpstr>'06,25 R3'!Print_Area</vt:lpstr>
      <vt:lpstr>'06,26 R1 NO TRIP'!Print_Area</vt:lpstr>
      <vt:lpstr>'06,26 R2'!Print_Area</vt:lpstr>
      <vt:lpstr>'06,26 R3'!Print_Area</vt:lpstr>
      <vt:lpstr>'06,27 R1 COLLECTION'!Print_Area</vt:lpstr>
      <vt:lpstr>'06,29 R1 '!Print_Area</vt:lpstr>
      <vt:lpstr>'06,29 R2'!Print_Area</vt:lpstr>
      <vt:lpstr>'06,29 R3'!Print_Area</vt:lpstr>
      <vt:lpstr>'06,30 R1 '!Print_Area</vt:lpstr>
      <vt:lpstr>'06,30 R2'!Print_Area</vt:lpstr>
      <vt:lpstr>'06,30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2026-07-01T00:06:05Z</cp:lastPrinted>
  <dcterms:created xsi:type="dcterms:W3CDTF">2024-09-01T23:36:50Z</dcterms:created>
  <dcterms:modified xsi:type="dcterms:W3CDTF">2026-07-03T03:19:36Z</dcterms:modified>
</cp:coreProperties>
</file>