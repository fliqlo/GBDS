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314EC996-DF37-4A43-88C5-1BDBFCF909ED}" xr6:coauthVersionLast="45" xr6:coauthVersionMax="47" xr10:uidLastSave="{00000000-0000-0000-0000-000000000000}"/>
  <bookViews>
    <workbookView xWindow="-120" yWindow="420" windowWidth="29040" windowHeight="15900" firstSheet="67" activeTab="68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 COLLECTION" sheetId="2167" r:id="rId65"/>
    <sheet name="06,19 R2" sheetId="2168" r:id="rId66"/>
    <sheet name="06,19 R3" sheetId="2169" r:id="rId67"/>
    <sheet name="(20)" sheetId="2170" r:id="rId68"/>
    <sheet name="06,20 R1 " sheetId="2171" r:id="rId69"/>
    <sheet name="06,20 R2" sheetId="2172" r:id="rId70"/>
    <sheet name="06,20 R3" sheetId="2173" r:id="rId71"/>
    <sheet name="(22)" sheetId="2174" r:id="rId72"/>
    <sheet name="06,22 R1" sheetId="2175" r:id="rId73"/>
    <sheet name="06,22 R2" sheetId="2176" r:id="rId74"/>
    <sheet name="06,22 R3" sheetId="2177" r:id="rId75"/>
    <sheet name="(23)" sheetId="2178" r:id="rId76"/>
    <sheet name="06,23 R1" sheetId="2179" r:id="rId77"/>
    <sheet name="06,23 R2" sheetId="2180" r:id="rId78"/>
    <sheet name="06,23 R3" sheetId="2181" r:id="rId7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67">'(20)'!$A$1:$J$60</definedName>
    <definedName name="_xlnm.Print_Area" localSheetId="71">'(22)'!$A$1:$J$60</definedName>
    <definedName name="_xlnm.Print_Area" localSheetId="75">'(23)'!$A$1:$J$60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 COLLECTION'!$A$1:$J$60</definedName>
    <definedName name="_xlnm.Print_Area" localSheetId="65">'06,19 R2'!$A$1:$J$60</definedName>
    <definedName name="_xlnm.Print_Area" localSheetId="66">'06,19 R3'!$A$1:$J$60</definedName>
    <definedName name="_xlnm.Print_Area" localSheetId="68">'06,20 R1 '!$A$1:$J$60</definedName>
    <definedName name="_xlnm.Print_Area" localSheetId="69">'06,20 R2'!$A$1:$J$60</definedName>
    <definedName name="_xlnm.Print_Area" localSheetId="70">'06,20 R3'!$A$1:$J$60</definedName>
    <definedName name="_xlnm.Print_Area" localSheetId="72">'06,22 R1'!$A$1:$J$60</definedName>
    <definedName name="_xlnm.Print_Area" localSheetId="73">'06,22 R2'!$A$1:$J$60</definedName>
    <definedName name="_xlnm.Print_Area" localSheetId="74">'06,22 R3'!$A$1:$J$60</definedName>
    <definedName name="_xlnm.Print_Area" localSheetId="76">'06,23 R1'!$A$1:$J$60</definedName>
    <definedName name="_xlnm.Print_Area" localSheetId="77">'06,23 R2'!$A$1:$J$60</definedName>
    <definedName name="_xlnm.Print_Area" localSheetId="78">'06,23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181" l="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G49" i="2181" s="1"/>
  <c r="D36" i="2181"/>
  <c r="R35" i="2181"/>
  <c r="H35" i="2181"/>
  <c r="D35" i="2181"/>
  <c r="R34" i="2181"/>
  <c r="L12" i="2181" s="1"/>
  <c r="D12" i="2181" s="1"/>
  <c r="H34" i="2181"/>
  <c r="D34" i="2181"/>
  <c r="D54" i="2181" s="1"/>
  <c r="H14" i="2181" s="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D29" i="2181" s="1"/>
  <c r="H13" i="2181" s="1"/>
  <c r="H15" i="2181" s="1"/>
  <c r="H29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G49" i="2180" s="1"/>
  <c r="D34" i="2180"/>
  <c r="D54" i="2180" s="1"/>
  <c r="H14" i="2180" s="1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D54" i="2179"/>
  <c r="H14" i="2179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G49" i="2179" s="1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R52" i="2177"/>
  <c r="R51" i="2177"/>
  <c r="D50" i="2177"/>
  <c r="R49" i="2177"/>
  <c r="D49" i="2177"/>
  <c r="R48" i="2177"/>
  <c r="D48" i="2177"/>
  <c r="D46" i="2177"/>
  <c r="D45" i="2177"/>
  <c r="R44" i="2177"/>
  <c r="D44" i="2177"/>
  <c r="R42" i="2177"/>
  <c r="L6" i="2177" s="1"/>
  <c r="D6" i="2177" s="1"/>
  <c r="D42" i="2177"/>
  <c r="R41" i="2177"/>
  <c r="D41" i="2177"/>
  <c r="R40" i="2177"/>
  <c r="D40" i="2177"/>
  <c r="R39" i="2177"/>
  <c r="H39" i="2177"/>
  <c r="D39" i="2177"/>
  <c r="R38" i="2177"/>
  <c r="L9" i="2177" s="1"/>
  <c r="D9" i="2177" s="1"/>
  <c r="H38" i="2177"/>
  <c r="D38" i="2177"/>
  <c r="R37" i="2177"/>
  <c r="H37" i="2177"/>
  <c r="D37" i="2177"/>
  <c r="R36" i="2177"/>
  <c r="L10" i="2177" s="1"/>
  <c r="D10" i="2177" s="1"/>
  <c r="H36" i="2177"/>
  <c r="D36" i="2177"/>
  <c r="R35" i="2177"/>
  <c r="H35" i="2177"/>
  <c r="D35" i="2177"/>
  <c r="R34" i="2177"/>
  <c r="H34" i="2177"/>
  <c r="G49" i="2177" s="1"/>
  <c r="D34" i="2177"/>
  <c r="D54" i="2177" s="1"/>
  <c r="H14" i="2177" s="1"/>
  <c r="R33" i="2177"/>
  <c r="R32" i="2177"/>
  <c r="L11" i="2177" s="1"/>
  <c r="D11" i="2177" s="1"/>
  <c r="R31" i="2177"/>
  <c r="R30" i="2177"/>
  <c r="R29" i="2177"/>
  <c r="R28" i="2177"/>
  <c r="L28" i="2177"/>
  <c r="D28" i="2177"/>
  <c r="R27" i="2177"/>
  <c r="L27" i="2177"/>
  <c r="D27" i="2177" s="1"/>
  <c r="R26" i="2177"/>
  <c r="L26" i="2177"/>
  <c r="D26" i="2177"/>
  <c r="R25" i="2177"/>
  <c r="L25" i="2177"/>
  <c r="D25" i="2177"/>
  <c r="R24" i="2177"/>
  <c r="L24" i="2177"/>
  <c r="D24" i="2177"/>
  <c r="R23" i="2177"/>
  <c r="L23" i="2177"/>
  <c r="D23" i="2177"/>
  <c r="R22" i="2177"/>
  <c r="L20" i="2177" s="1"/>
  <c r="D20" i="2177" s="1"/>
  <c r="L22" i="2177"/>
  <c r="D22" i="2177" s="1"/>
  <c r="R21" i="2177"/>
  <c r="L21" i="2177"/>
  <c r="D21" i="2177"/>
  <c r="R20" i="2177"/>
  <c r="R19" i="2177"/>
  <c r="L19" i="2177"/>
  <c r="D19" i="2177"/>
  <c r="R18" i="2177"/>
  <c r="L18" i="2177"/>
  <c r="D18" i="2177"/>
  <c r="R17" i="2177"/>
  <c r="L17" i="2177"/>
  <c r="D17" i="2177" s="1"/>
  <c r="R16" i="2177"/>
  <c r="R15" i="2177"/>
  <c r="L15" i="2177"/>
  <c r="D15" i="2177"/>
  <c r="R14" i="2177"/>
  <c r="D14" i="2177"/>
  <c r="R13" i="2177"/>
  <c r="D13" i="2177"/>
  <c r="R12" i="2177"/>
  <c r="L12" i="2177"/>
  <c r="D12" i="2177" s="1"/>
  <c r="R11" i="2177"/>
  <c r="L8" i="2177"/>
  <c r="D8" i="2177"/>
  <c r="L7" i="2177"/>
  <c r="D7" i="2177"/>
  <c r="R6" i="2177"/>
  <c r="L16" i="2177" s="1"/>
  <c r="D16" i="2177" s="1"/>
  <c r="R5" i="2177"/>
  <c r="R4" i="2177"/>
  <c r="R52" i="2176"/>
  <c r="R51" i="2176"/>
  <c r="D50" i="2176"/>
  <c r="R49" i="2176"/>
  <c r="D49" i="2176"/>
  <c r="R48" i="2176"/>
  <c r="D48" i="2176"/>
  <c r="D46" i="2176"/>
  <c r="D45" i="2176"/>
  <c r="R44" i="2176"/>
  <c r="L28" i="2176" s="1"/>
  <c r="D28" i="2176" s="1"/>
  <c r="D44" i="2176"/>
  <c r="R42" i="2176"/>
  <c r="D42" i="2176"/>
  <c r="R41" i="2176"/>
  <c r="D41" i="2176"/>
  <c r="R40" i="2176"/>
  <c r="D40" i="2176"/>
  <c r="R39" i="2176"/>
  <c r="H39" i="2176"/>
  <c r="D39" i="2176"/>
  <c r="R38" i="2176"/>
  <c r="L9" i="2176" s="1"/>
  <c r="D9" i="2176" s="1"/>
  <c r="H38" i="2176"/>
  <c r="D38" i="2176"/>
  <c r="R37" i="2176"/>
  <c r="H37" i="2176"/>
  <c r="D37" i="2176"/>
  <c r="R36" i="2176"/>
  <c r="L10" i="2176" s="1"/>
  <c r="D10" i="2176" s="1"/>
  <c r="H36" i="2176"/>
  <c r="D36" i="2176"/>
  <c r="R35" i="2176"/>
  <c r="H35" i="2176"/>
  <c r="D35" i="2176"/>
  <c r="R34" i="2176"/>
  <c r="H34" i="2176"/>
  <c r="G49" i="2176" s="1"/>
  <c r="D34" i="2176"/>
  <c r="D54" i="2176" s="1"/>
  <c r="H14" i="2176" s="1"/>
  <c r="R33" i="2176"/>
  <c r="R32" i="2176"/>
  <c r="L11" i="2176" s="1"/>
  <c r="D11" i="2176" s="1"/>
  <c r="R31" i="2176"/>
  <c r="R30" i="2176"/>
  <c r="R29" i="2176"/>
  <c r="R28" i="2176"/>
  <c r="R27" i="2176"/>
  <c r="L27" i="2176"/>
  <c r="D27" i="2176"/>
  <c r="R26" i="2176"/>
  <c r="L26" i="2176"/>
  <c r="D26" i="2176" s="1"/>
  <c r="R25" i="2176"/>
  <c r="L25" i="2176"/>
  <c r="D25" i="2176"/>
  <c r="R24" i="2176"/>
  <c r="L24" i="2176"/>
  <c r="D24" i="2176"/>
  <c r="R23" i="2176"/>
  <c r="L23" i="2176"/>
  <c r="D23" i="2176" s="1"/>
  <c r="R22" i="2176"/>
  <c r="L20" i="2176" s="1"/>
  <c r="D20" i="2176" s="1"/>
  <c r="L22" i="2176"/>
  <c r="D22" i="2176" s="1"/>
  <c r="R21" i="2176"/>
  <c r="D21" i="2176"/>
  <c r="R20" i="2176"/>
  <c r="R19" i="2176"/>
  <c r="L19" i="2176"/>
  <c r="D19" i="2176" s="1"/>
  <c r="R18" i="2176"/>
  <c r="L18" i="2176"/>
  <c r="D18" i="2176"/>
  <c r="R17" i="2176"/>
  <c r="L17" i="2176"/>
  <c r="D17" i="2176"/>
  <c r="R16" i="2176"/>
  <c r="R15" i="2176"/>
  <c r="R14" i="2176"/>
  <c r="D14" i="2176"/>
  <c r="R13" i="2176"/>
  <c r="D13" i="2176"/>
  <c r="R12" i="2176"/>
  <c r="L12" i="2176"/>
  <c r="D12" i="2176"/>
  <c r="R11" i="2176"/>
  <c r="L8" i="2176"/>
  <c r="D8" i="2176"/>
  <c r="L7" i="2176"/>
  <c r="D7" i="2176"/>
  <c r="R6" i="2176"/>
  <c r="L16" i="2176" s="1"/>
  <c r="D16" i="2176" s="1"/>
  <c r="L6" i="2176"/>
  <c r="D6" i="2176" s="1"/>
  <c r="R5" i="2176"/>
  <c r="R4" i="2176"/>
  <c r="L15" i="2176" s="1"/>
  <c r="D15" i="2176" s="1"/>
  <c r="D54" i="2175"/>
  <c r="H14" i="2175" s="1"/>
  <c r="R52" i="2175"/>
  <c r="R51" i="2175"/>
  <c r="D50" i="2175"/>
  <c r="R49" i="2175"/>
  <c r="G49" i="2175"/>
  <c r="D49" i="2175"/>
  <c r="R48" i="2175"/>
  <c r="D48" i="2175"/>
  <c r="D46" i="2175"/>
  <c r="D45" i="2175"/>
  <c r="R44" i="2175"/>
  <c r="L28" i="2175" s="1"/>
  <c r="D28" i="2175" s="1"/>
  <c r="D44" i="2175"/>
  <c r="R42" i="2175"/>
  <c r="D42" i="2175"/>
  <c r="R41" i="2175"/>
  <c r="L7" i="2175" s="1"/>
  <c r="D7" i="2175" s="1"/>
  <c r="D41" i="2175"/>
  <c r="R40" i="2175"/>
  <c r="D40" i="2175"/>
  <c r="R39" i="2175"/>
  <c r="H39" i="2175"/>
  <c r="D39" i="2175"/>
  <c r="R38" i="2175"/>
  <c r="H38" i="2175"/>
  <c r="D38" i="2175"/>
  <c r="R37" i="2175"/>
  <c r="H37" i="2175"/>
  <c r="D37" i="2175"/>
  <c r="R36" i="2175"/>
  <c r="L10" i="2175" s="1"/>
  <c r="D10" i="2175" s="1"/>
  <c r="H36" i="2175"/>
  <c r="D36" i="2175"/>
  <c r="R35" i="2175"/>
  <c r="L18" i="2175" s="1"/>
  <c r="D18" i="2175" s="1"/>
  <c r="H35" i="2175"/>
  <c r="D35" i="2175"/>
  <c r="R34" i="2175"/>
  <c r="H34" i="2175"/>
  <c r="D34" i="2175"/>
  <c r="R33" i="2175"/>
  <c r="L19" i="2175" s="1"/>
  <c r="D19" i="2175" s="1"/>
  <c r="R32" i="2175"/>
  <c r="R31" i="2175"/>
  <c r="R30" i="2175"/>
  <c r="R29" i="2175"/>
  <c r="R28" i="2175"/>
  <c r="R27" i="2175"/>
  <c r="L27" i="2175"/>
  <c r="D27" i="2175"/>
  <c r="R26" i="2175"/>
  <c r="L26" i="2175"/>
  <c r="D26" i="2175"/>
  <c r="R25" i="2175"/>
  <c r="L25" i="2175"/>
  <c r="D25" i="2175"/>
  <c r="R24" i="2175"/>
  <c r="L24" i="2175"/>
  <c r="D24" i="2175"/>
  <c r="R23" i="2175"/>
  <c r="L23" i="2175"/>
  <c r="D23" i="2175" s="1"/>
  <c r="R22" i="2175"/>
  <c r="L22" i="2175"/>
  <c r="D22" i="2175" s="1"/>
  <c r="R21" i="2175"/>
  <c r="L21" i="2175"/>
  <c r="D21" i="2175"/>
  <c r="R20" i="2175"/>
  <c r="L20" i="2175"/>
  <c r="D20" i="2175" s="1"/>
  <c r="R19" i="2175"/>
  <c r="R18" i="2175"/>
  <c r="R17" i="2175"/>
  <c r="L17" i="2175"/>
  <c r="D17" i="2175"/>
  <c r="R16" i="2175"/>
  <c r="R15" i="2175"/>
  <c r="R14" i="2175"/>
  <c r="D14" i="2175"/>
  <c r="R13" i="2175"/>
  <c r="D13" i="2175"/>
  <c r="R12" i="2175"/>
  <c r="L12" i="2175"/>
  <c r="D12" i="2175"/>
  <c r="R11" i="2175"/>
  <c r="L11" i="2175"/>
  <c r="D11" i="2175"/>
  <c r="L9" i="2175"/>
  <c r="D9" i="2175" s="1"/>
  <c r="L8" i="2175"/>
  <c r="D8" i="2175" s="1"/>
  <c r="R6" i="2175"/>
  <c r="L16" i="2175" s="1"/>
  <c r="D16" i="2175" s="1"/>
  <c r="L6" i="2175"/>
  <c r="D6" i="2175" s="1"/>
  <c r="R5" i="2175"/>
  <c r="R4" i="2175"/>
  <c r="L15" i="2175" s="1"/>
  <c r="D15" i="2175" s="1"/>
  <c r="R52" i="2174"/>
  <c r="R51" i="2174"/>
  <c r="D50" i="2174"/>
  <c r="R49" i="2174"/>
  <c r="G49" i="2174"/>
  <c r="D49" i="2174"/>
  <c r="R48" i="2174"/>
  <c r="D48" i="2174"/>
  <c r="D46" i="2174"/>
  <c r="D45" i="2174"/>
  <c r="D44" i="2174"/>
  <c r="R42" i="2174"/>
  <c r="D42" i="2174"/>
  <c r="R41" i="2174"/>
  <c r="L7" i="2174" s="1"/>
  <c r="D7" i="2174" s="1"/>
  <c r="D41" i="2174"/>
  <c r="R40" i="2174"/>
  <c r="L8" i="2174" s="1"/>
  <c r="D8" i="2174" s="1"/>
  <c r="D40" i="2174"/>
  <c r="R39" i="2174"/>
  <c r="D39" i="2174"/>
  <c r="R38" i="2174"/>
  <c r="L9" i="2174" s="1"/>
  <c r="D9" i="2174" s="1"/>
  <c r="D38" i="2174"/>
  <c r="R37" i="2174"/>
  <c r="D37" i="2174"/>
  <c r="D54" i="2174" s="1"/>
  <c r="H14" i="2174" s="1"/>
  <c r="R36" i="2174"/>
  <c r="L10" i="2174" s="1"/>
  <c r="D10" i="2174" s="1"/>
  <c r="D36" i="2174"/>
  <c r="R35" i="2174"/>
  <c r="D35" i="2174"/>
  <c r="R34" i="2174"/>
  <c r="L12" i="2174" s="1"/>
  <c r="D12" i="2174" s="1"/>
  <c r="D34" i="2174"/>
  <c r="R33" i="2174"/>
  <c r="L23" i="2174" s="1"/>
  <c r="D23" i="2174" s="1"/>
  <c r="R32" i="2174"/>
  <c r="R31" i="2174"/>
  <c r="R30" i="2174"/>
  <c r="R29" i="2174"/>
  <c r="R28" i="2174"/>
  <c r="L16" i="2174" s="1"/>
  <c r="D16" i="2174" s="1"/>
  <c r="D28" i="2174"/>
  <c r="R27" i="2174"/>
  <c r="D27" i="2174"/>
  <c r="R26" i="2174"/>
  <c r="L26" i="2174"/>
  <c r="D26" i="2174"/>
  <c r="R25" i="2174"/>
  <c r="L25" i="2174"/>
  <c r="D25" i="2174"/>
  <c r="R24" i="2174"/>
  <c r="D24" i="2174"/>
  <c r="R23" i="2174"/>
  <c r="R22" i="2174"/>
  <c r="L22" i="2174"/>
  <c r="D22" i="2174" s="1"/>
  <c r="R21" i="2174"/>
  <c r="D21" i="2174"/>
  <c r="R20" i="2174"/>
  <c r="L20" i="2174"/>
  <c r="D20" i="2174"/>
  <c r="R19" i="2174"/>
  <c r="L19" i="2174"/>
  <c r="D19" i="2174"/>
  <c r="R18" i="2174"/>
  <c r="D18" i="2174"/>
  <c r="R17" i="2174"/>
  <c r="D17" i="2174"/>
  <c r="R16" i="2174"/>
  <c r="S15" i="2174"/>
  <c r="R15" i="2174"/>
  <c r="D15" i="2174"/>
  <c r="S14" i="2174"/>
  <c r="R14" i="2174"/>
  <c r="D14" i="2174"/>
  <c r="R13" i="2174"/>
  <c r="D13" i="2174"/>
  <c r="R12" i="2174"/>
  <c r="R11" i="2174"/>
  <c r="L11" i="2174"/>
  <c r="D11" i="2174" s="1"/>
  <c r="R6" i="2174"/>
  <c r="L6" i="2174"/>
  <c r="D6" i="2174" s="1"/>
  <c r="R5" i="2174"/>
  <c r="R4" i="2174"/>
  <c r="G51" i="2181" l="1"/>
  <c r="D29" i="2180"/>
  <c r="H13" i="2180" s="1"/>
  <c r="H15" i="2180" s="1"/>
  <c r="H29" i="2180" s="1"/>
  <c r="G51" i="2180"/>
  <c r="D29" i="2179"/>
  <c r="H13" i="2179" s="1"/>
  <c r="H15" i="2179" s="1"/>
  <c r="H29" i="2179" s="1"/>
  <c r="G51" i="2179"/>
  <c r="D29" i="2178"/>
  <c r="H13" i="2178" s="1"/>
  <c r="H15" i="2178" s="1"/>
  <c r="H29" i="2178" s="1"/>
  <c r="G51" i="2178" s="1"/>
  <c r="D29" i="2177"/>
  <c r="H13" i="2177" s="1"/>
  <c r="H15" i="2177" s="1"/>
  <c r="H29" i="2177" s="1"/>
  <c r="G51" i="2177"/>
  <c r="D29" i="2176"/>
  <c r="H13" i="2176" s="1"/>
  <c r="H15" i="2176" s="1"/>
  <c r="H29" i="2176" s="1"/>
  <c r="G51" i="2176"/>
  <c r="G51" i="2175"/>
  <c r="D29" i="2175"/>
  <c r="H13" i="2175" s="1"/>
  <c r="H15" i="2175" s="1"/>
  <c r="H29" i="2175" s="1"/>
  <c r="D29" i="2174"/>
  <c r="H13" i="2174" s="1"/>
  <c r="H15" i="2174" s="1"/>
  <c r="H29" i="2174" s="1"/>
  <c r="G51" i="2174"/>
  <c r="H16" i="2169"/>
  <c r="D54" i="2173"/>
  <c r="H14" i="2173" s="1"/>
  <c r="R52" i="2173"/>
  <c r="R51" i="2173"/>
  <c r="D50" i="2173"/>
  <c r="R49" i="2173"/>
  <c r="D49" i="2173"/>
  <c r="R48" i="2173"/>
  <c r="D48" i="2173"/>
  <c r="D46" i="2173"/>
  <c r="D45" i="2173"/>
  <c r="R44" i="2173"/>
  <c r="L28" i="2173" s="1"/>
  <c r="D28" i="2173" s="1"/>
  <c r="D44" i="2173"/>
  <c r="R42" i="2173"/>
  <c r="D42" i="2173"/>
  <c r="R41" i="2173"/>
  <c r="L7" i="2173" s="1"/>
  <c r="D7" i="2173" s="1"/>
  <c r="D41" i="2173"/>
  <c r="R40" i="2173"/>
  <c r="L8" i="2173" s="1"/>
  <c r="D8" i="2173" s="1"/>
  <c r="D40" i="2173"/>
  <c r="R39" i="2173"/>
  <c r="H39" i="2173"/>
  <c r="D39" i="2173"/>
  <c r="R38" i="2173"/>
  <c r="L9" i="2173" s="1"/>
  <c r="D9" i="2173" s="1"/>
  <c r="H38" i="2173"/>
  <c r="D38" i="2173"/>
  <c r="R37" i="2173"/>
  <c r="H37" i="2173"/>
  <c r="D37" i="2173"/>
  <c r="R36" i="2173"/>
  <c r="L10" i="2173" s="1"/>
  <c r="D10" i="2173" s="1"/>
  <c r="H36" i="2173"/>
  <c r="D36" i="2173"/>
  <c r="R35" i="2173"/>
  <c r="L18" i="2173" s="1"/>
  <c r="D18" i="2173" s="1"/>
  <c r="H35" i="2173"/>
  <c r="D35" i="2173"/>
  <c r="R34" i="2173"/>
  <c r="H34" i="2173"/>
  <c r="G49" i="2173" s="1"/>
  <c r="D34" i="2173"/>
  <c r="R33" i="2173"/>
  <c r="R32" i="2173"/>
  <c r="R31" i="2173"/>
  <c r="R30" i="2173"/>
  <c r="R29" i="2173"/>
  <c r="R28" i="2173"/>
  <c r="R27" i="2173"/>
  <c r="L27" i="2173"/>
  <c r="D27" i="2173"/>
  <c r="R26" i="2173"/>
  <c r="L26" i="2173"/>
  <c r="D26" i="2173"/>
  <c r="R25" i="2173"/>
  <c r="L25" i="2173"/>
  <c r="D25" i="2173"/>
  <c r="R24" i="2173"/>
  <c r="L24" i="2173"/>
  <c r="D24" i="2173"/>
  <c r="R23" i="2173"/>
  <c r="L23" i="2173"/>
  <c r="D23" i="2173" s="1"/>
  <c r="R22" i="2173"/>
  <c r="L20" i="2173" s="1"/>
  <c r="D20" i="2173" s="1"/>
  <c r="L22" i="2173"/>
  <c r="D22" i="2173" s="1"/>
  <c r="R21" i="2173"/>
  <c r="L21" i="2173"/>
  <c r="D21" i="2173"/>
  <c r="R20" i="2173"/>
  <c r="R19" i="2173"/>
  <c r="L19" i="2173"/>
  <c r="D19" i="2173"/>
  <c r="R18" i="2173"/>
  <c r="R17" i="2173"/>
  <c r="L17" i="2173"/>
  <c r="D17" i="2173"/>
  <c r="R16" i="2173"/>
  <c r="R15" i="2173"/>
  <c r="R14" i="2173"/>
  <c r="D14" i="2173"/>
  <c r="R13" i="2173"/>
  <c r="D13" i="2173"/>
  <c r="R12" i="2173"/>
  <c r="L12" i="2173"/>
  <c r="D12" i="2173"/>
  <c r="R11" i="2173"/>
  <c r="L11" i="2173"/>
  <c r="D11" i="2173" s="1"/>
  <c r="R6" i="2173"/>
  <c r="L16" i="2173" s="1"/>
  <c r="D16" i="2173" s="1"/>
  <c r="L6" i="2173"/>
  <c r="D6" i="2173" s="1"/>
  <c r="R5" i="2173"/>
  <c r="R4" i="2173"/>
  <c r="L15" i="2173" s="1"/>
  <c r="D15" i="2173" s="1"/>
  <c r="D54" i="2172"/>
  <c r="H14" i="2172" s="1"/>
  <c r="R52" i="2172"/>
  <c r="R51" i="2172"/>
  <c r="D50" i="2172"/>
  <c r="R49" i="2172"/>
  <c r="D49" i="2172"/>
  <c r="R48" i="2172"/>
  <c r="D48" i="2172"/>
  <c r="D46" i="2172"/>
  <c r="D45" i="2172"/>
  <c r="R44" i="2172"/>
  <c r="D44" i="2172"/>
  <c r="R42" i="2172"/>
  <c r="L6" i="2172" s="1"/>
  <c r="D6" i="2172" s="1"/>
  <c r="D42" i="2172"/>
  <c r="R41" i="2172"/>
  <c r="L7" i="2172" s="1"/>
  <c r="D7" i="2172" s="1"/>
  <c r="D41" i="2172"/>
  <c r="R40" i="2172"/>
  <c r="L8" i="2172" s="1"/>
  <c r="D8" i="2172" s="1"/>
  <c r="D40" i="2172"/>
  <c r="R39" i="2172"/>
  <c r="H39" i="2172"/>
  <c r="D39" i="2172"/>
  <c r="R38" i="2172"/>
  <c r="L9" i="2172" s="1"/>
  <c r="D9" i="2172" s="1"/>
  <c r="H38" i="2172"/>
  <c r="D38" i="2172"/>
  <c r="R37" i="2172"/>
  <c r="H37" i="2172"/>
  <c r="D37" i="2172"/>
  <c r="R36" i="2172"/>
  <c r="L10" i="2172" s="1"/>
  <c r="D10" i="2172" s="1"/>
  <c r="H36" i="2172"/>
  <c r="D36" i="2172"/>
  <c r="R35" i="2172"/>
  <c r="L18" i="2172" s="1"/>
  <c r="D18" i="2172" s="1"/>
  <c r="H35" i="2172"/>
  <c r="D35" i="2172"/>
  <c r="R34" i="2172"/>
  <c r="H34" i="2172"/>
  <c r="G49" i="2172" s="1"/>
  <c r="D34" i="2172"/>
  <c r="R33" i="2172"/>
  <c r="R32" i="2172"/>
  <c r="L11" i="2172" s="1"/>
  <c r="D11" i="2172" s="1"/>
  <c r="R31" i="2172"/>
  <c r="R30" i="2172"/>
  <c r="R29" i="2172"/>
  <c r="R28" i="2172"/>
  <c r="L28" i="2172"/>
  <c r="D28" i="2172"/>
  <c r="R27" i="2172"/>
  <c r="L27" i="2172"/>
  <c r="D27" i="2172"/>
  <c r="R26" i="2172"/>
  <c r="L26" i="2172"/>
  <c r="D26" i="2172" s="1"/>
  <c r="R25" i="2172"/>
  <c r="L25" i="2172"/>
  <c r="D25" i="2172"/>
  <c r="R24" i="2172"/>
  <c r="L24" i="2172"/>
  <c r="D24" i="2172"/>
  <c r="R23" i="2172"/>
  <c r="L23" i="2172"/>
  <c r="D23" i="2172"/>
  <c r="R22" i="2172"/>
  <c r="L20" i="2172" s="1"/>
  <c r="D20" i="2172" s="1"/>
  <c r="L22" i="2172"/>
  <c r="D22" i="2172" s="1"/>
  <c r="R21" i="2172"/>
  <c r="D21" i="2172"/>
  <c r="R20" i="2172"/>
  <c r="R19" i="2172"/>
  <c r="L19" i="2172"/>
  <c r="D19" i="2172" s="1"/>
  <c r="R18" i="2172"/>
  <c r="R17" i="2172"/>
  <c r="L17" i="2172"/>
  <c r="D17" i="2172"/>
  <c r="R16" i="2172"/>
  <c r="R15" i="2172"/>
  <c r="R14" i="2172"/>
  <c r="D14" i="2172"/>
  <c r="R13" i="2172"/>
  <c r="D13" i="2172"/>
  <c r="R12" i="2172"/>
  <c r="L12" i="2172"/>
  <c r="D12" i="2172"/>
  <c r="R11" i="2172"/>
  <c r="R6" i="2172"/>
  <c r="L16" i="2172" s="1"/>
  <c r="D16" i="2172" s="1"/>
  <c r="R5" i="2172"/>
  <c r="R4" i="2172"/>
  <c r="L15" i="2172" s="1"/>
  <c r="D15" i="2172" s="1"/>
  <c r="R52" i="2171"/>
  <c r="R51" i="2171"/>
  <c r="D50" i="2171"/>
  <c r="R49" i="2171"/>
  <c r="D49" i="2171"/>
  <c r="R48" i="2171"/>
  <c r="D48" i="2171"/>
  <c r="D46" i="2171"/>
  <c r="D45" i="2171"/>
  <c r="R44" i="2171"/>
  <c r="D44" i="2171"/>
  <c r="R42" i="2171"/>
  <c r="L6" i="2171" s="1"/>
  <c r="D6" i="2171" s="1"/>
  <c r="D42" i="2171"/>
  <c r="R41" i="2171"/>
  <c r="D41" i="2171"/>
  <c r="R40" i="2171"/>
  <c r="D40" i="2171"/>
  <c r="R39" i="2171"/>
  <c r="H39" i="2171"/>
  <c r="D39" i="2171"/>
  <c r="R38" i="2171"/>
  <c r="L9" i="2171" s="1"/>
  <c r="D9" i="2171" s="1"/>
  <c r="H38" i="2171"/>
  <c r="D38" i="2171"/>
  <c r="R37" i="2171"/>
  <c r="H37" i="2171"/>
  <c r="D37" i="2171"/>
  <c r="R36" i="2171"/>
  <c r="L10" i="2171" s="1"/>
  <c r="D10" i="2171" s="1"/>
  <c r="H36" i="2171"/>
  <c r="D36" i="2171"/>
  <c r="R35" i="2171"/>
  <c r="H35" i="2171"/>
  <c r="D35" i="2171"/>
  <c r="R34" i="2171"/>
  <c r="H34" i="2171"/>
  <c r="D34" i="2171"/>
  <c r="D54" i="2171" s="1"/>
  <c r="H14" i="2171" s="1"/>
  <c r="R33" i="2171"/>
  <c r="R32" i="2171"/>
  <c r="L11" i="2171" s="1"/>
  <c r="D11" i="2171" s="1"/>
  <c r="R31" i="2171"/>
  <c r="R30" i="2171"/>
  <c r="R29" i="2171"/>
  <c r="R28" i="2171"/>
  <c r="L28" i="2171"/>
  <c r="D28" i="2171"/>
  <c r="R27" i="2171"/>
  <c r="L27" i="2171"/>
  <c r="D27" i="2171"/>
  <c r="R26" i="2171"/>
  <c r="L26" i="2171"/>
  <c r="D26" i="2171" s="1"/>
  <c r="R25" i="2171"/>
  <c r="L25" i="2171"/>
  <c r="D25" i="2171" s="1"/>
  <c r="R24" i="2171"/>
  <c r="L24" i="2171"/>
  <c r="D24" i="2171"/>
  <c r="R23" i="2171"/>
  <c r="L23" i="2171"/>
  <c r="D23" i="2171"/>
  <c r="R22" i="2171"/>
  <c r="L20" i="2171" s="1"/>
  <c r="D20" i="2171" s="1"/>
  <c r="L22" i="2171"/>
  <c r="D22" i="2171" s="1"/>
  <c r="R21" i="2171"/>
  <c r="L21" i="2171"/>
  <c r="D21" i="2171"/>
  <c r="R20" i="2171"/>
  <c r="R19" i="2171"/>
  <c r="L19" i="2171"/>
  <c r="D19" i="2171" s="1"/>
  <c r="R18" i="2171"/>
  <c r="L18" i="2171"/>
  <c r="D18" i="2171"/>
  <c r="R17" i="2171"/>
  <c r="L17" i="2171"/>
  <c r="D17" i="2171" s="1"/>
  <c r="R16" i="2171"/>
  <c r="R15" i="2171"/>
  <c r="R14" i="2171"/>
  <c r="D14" i="2171"/>
  <c r="R13" i="2171"/>
  <c r="D13" i="2171"/>
  <c r="R12" i="2171"/>
  <c r="L12" i="2171"/>
  <c r="D12" i="2171" s="1"/>
  <c r="R11" i="2171"/>
  <c r="L8" i="2171"/>
  <c r="D8" i="2171"/>
  <c r="L7" i="2171"/>
  <c r="D7" i="2171"/>
  <c r="R6" i="2171"/>
  <c r="L16" i="2171" s="1"/>
  <c r="D16" i="2171" s="1"/>
  <c r="R5" i="2171"/>
  <c r="R4" i="2171"/>
  <c r="L15" i="2171" s="1"/>
  <c r="D15" i="2171" s="1"/>
  <c r="R52" i="2170"/>
  <c r="R51" i="2170"/>
  <c r="D50" i="2170"/>
  <c r="R49" i="2170"/>
  <c r="G49" i="2170"/>
  <c r="D49" i="2170"/>
  <c r="R48" i="2170"/>
  <c r="D48" i="2170"/>
  <c r="D46" i="2170"/>
  <c r="D45" i="2170"/>
  <c r="D44" i="2170"/>
  <c r="R42" i="2170"/>
  <c r="D42" i="2170"/>
  <c r="R41" i="2170"/>
  <c r="L7" i="2170" s="1"/>
  <c r="D7" i="2170" s="1"/>
  <c r="D41" i="2170"/>
  <c r="R40" i="2170"/>
  <c r="L8" i="2170" s="1"/>
  <c r="D8" i="2170" s="1"/>
  <c r="D40" i="2170"/>
  <c r="R39" i="2170"/>
  <c r="D39" i="2170"/>
  <c r="R38" i="2170"/>
  <c r="D38" i="2170"/>
  <c r="R37" i="2170"/>
  <c r="D37" i="2170"/>
  <c r="R36" i="2170"/>
  <c r="L10" i="2170" s="1"/>
  <c r="D10" i="2170" s="1"/>
  <c r="D36" i="2170"/>
  <c r="D54" i="2170" s="1"/>
  <c r="H14" i="2170" s="1"/>
  <c r="R35" i="2170"/>
  <c r="D35" i="2170"/>
  <c r="R34" i="2170"/>
  <c r="D34" i="2170"/>
  <c r="R33" i="2170"/>
  <c r="R32" i="2170"/>
  <c r="R31" i="2170"/>
  <c r="R30" i="2170"/>
  <c r="R29" i="2170"/>
  <c r="R28" i="2170"/>
  <c r="L16" i="2170" s="1"/>
  <c r="D16" i="2170" s="1"/>
  <c r="D28" i="2170"/>
  <c r="R27" i="2170"/>
  <c r="D27" i="2170"/>
  <c r="R26" i="2170"/>
  <c r="L26" i="2170"/>
  <c r="D26" i="2170"/>
  <c r="R25" i="2170"/>
  <c r="L25" i="2170"/>
  <c r="D25" i="2170"/>
  <c r="R24" i="2170"/>
  <c r="D24" i="2170"/>
  <c r="R23" i="2170"/>
  <c r="L23" i="2170"/>
  <c r="D23" i="2170"/>
  <c r="R22" i="2170"/>
  <c r="L22" i="2170"/>
  <c r="D22" i="2170"/>
  <c r="R21" i="2170"/>
  <c r="D21" i="2170"/>
  <c r="R20" i="2170"/>
  <c r="L20" i="2170"/>
  <c r="D20" i="2170"/>
  <c r="R19" i="2170"/>
  <c r="L19" i="2170"/>
  <c r="D19" i="2170"/>
  <c r="R18" i="2170"/>
  <c r="D18" i="2170"/>
  <c r="R17" i="2170"/>
  <c r="D17" i="2170"/>
  <c r="R16" i="2170"/>
  <c r="S15" i="2170"/>
  <c r="R15" i="2170"/>
  <c r="D15" i="2170"/>
  <c r="S14" i="2170"/>
  <c r="R14" i="2170"/>
  <c r="D14" i="2170"/>
  <c r="R13" i="2170"/>
  <c r="D13" i="2170"/>
  <c r="R12" i="2170"/>
  <c r="L12" i="2170"/>
  <c r="D12" i="2170"/>
  <c r="R11" i="2170"/>
  <c r="L11" i="2170"/>
  <c r="D11" i="2170"/>
  <c r="L9" i="2170"/>
  <c r="D9" i="2170" s="1"/>
  <c r="R6" i="2170"/>
  <c r="L6" i="2170"/>
  <c r="D6" i="2170"/>
  <c r="D29" i="2170" s="1"/>
  <c r="H13" i="2170" s="1"/>
  <c r="H15" i="2170" s="1"/>
  <c r="H29" i="2170" s="1"/>
  <c r="G51" i="2170" s="1"/>
  <c r="R5" i="2170"/>
  <c r="R4" i="2170"/>
  <c r="G49" i="2171" l="1"/>
  <c r="G51" i="2173"/>
  <c r="D29" i="2173"/>
  <c r="H13" i="2173" s="1"/>
  <c r="H15" i="2173" s="1"/>
  <c r="H29" i="2173" s="1"/>
  <c r="D29" i="2172"/>
  <c r="H13" i="2172" s="1"/>
  <c r="H15" i="2172" s="1"/>
  <c r="H29" i="2172" s="1"/>
  <c r="G51" i="2172" s="1"/>
  <c r="D29" i="2171"/>
  <c r="H13" i="2171" s="1"/>
  <c r="H15" i="2171" s="1"/>
  <c r="H29" i="2171" s="1"/>
  <c r="H16" i="2165"/>
  <c r="H16" i="2163"/>
  <c r="H44" i="2163"/>
  <c r="G51" i="2171" l="1"/>
  <c r="C12" i="2164"/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D34" i="2169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D34" i="2168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D49" i="2165"/>
  <c r="R48" i="2165"/>
  <c r="D48" i="2165"/>
  <c r="D46" i="2165"/>
  <c r="D45" i="2165"/>
  <c r="R44" i="2165"/>
  <c r="D44" i="2165"/>
  <c r="R42" i="2165"/>
  <c r="L6" i="2165" s="1"/>
  <c r="D6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D34" i="2164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D34" i="2163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G49" i="2169" l="1"/>
  <c r="G49" i="2168"/>
  <c r="D54" i="2169"/>
  <c r="H14" i="2169" s="1"/>
  <c r="D54" i="2168"/>
  <c r="H14" i="2168" s="1"/>
  <c r="D54" i="2167"/>
  <c r="H14" i="2167" s="1"/>
  <c r="G49" i="2165"/>
  <c r="G49" i="2164"/>
  <c r="G49" i="2163"/>
  <c r="D54" i="2165"/>
  <c r="H14" i="2165" s="1"/>
  <c r="D29" i="2165"/>
  <c r="H13" i="2165" s="1"/>
  <c r="D54" i="2164"/>
  <c r="H14" i="2164" s="1"/>
  <c r="D54" i="2163"/>
  <c r="H14" i="2163" s="1"/>
  <c r="G49" i="2161"/>
  <c r="G49" i="2160"/>
  <c r="G49" i="2159"/>
  <c r="D54" i="2161"/>
  <c r="H14" i="2161" s="1"/>
  <c r="D54" i="2160"/>
  <c r="H14" i="2160" s="1"/>
  <c r="D54" i="2159"/>
  <c r="H14" i="2159" s="1"/>
  <c r="D29" i="2169"/>
  <c r="H13" i="2169" s="1"/>
  <c r="D29" i="2168"/>
  <c r="H13" i="2168" s="1"/>
  <c r="H15" i="2168" s="1"/>
  <c r="H29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D29" i="2164"/>
  <c r="H13" i="2164" s="1"/>
  <c r="D29" i="2163"/>
  <c r="H13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G51" i="2168" l="1"/>
  <c r="H15" i="2169"/>
  <c r="H29" i="2169" s="1"/>
  <c r="G51" i="2169" s="1"/>
  <c r="H15" i="2165"/>
  <c r="H29" i="2165" s="1"/>
  <c r="G51" i="2165" s="1"/>
  <c r="H15" i="2164"/>
  <c r="H29" i="2164" s="1"/>
  <c r="G51" i="2164" s="1"/>
  <c r="H15" i="2163"/>
  <c r="H29" i="2163" s="1"/>
  <c r="G51" i="2163" s="1"/>
  <c r="H15" i="216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<sst xmlns="http://schemas.openxmlformats.org/spreadsheetml/2006/main" count="10557" uniqueCount="211">
  <si>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</si>
  <si>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</si>
  <si>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</si>
  <si>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</si>
  <si>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</si>
  <si>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</si>
  <si>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</si>
  <si>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</si>
  <si>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</si>
  <si>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</si>
  <si>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</si>
  <si>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</si>
  <si>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</si>
  <si>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</si>
  <si>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</si>
  <si>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</si>
  <si>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</si>
  <si>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</si>
  <si>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</si>
  <si>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</si>
  <si>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</si>
  <si>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</si>
  <si>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</si>
  <si>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</si>
  <si>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</si>
  <si>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</si>
  <si>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</si>
  <si>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</si>
  <si>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</si>
  <si>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</si>
  <si>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</si>
  <si>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</si>
  <si>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</si>
  <si>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</si>
  <si>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</si>
  <si>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</si>
  <si>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</si>
  <si>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</si>
  <si>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</si>
  <si>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</si>
  <si>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</si>
  <si>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</si>
  <si>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</si>
  <si>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</si>
  <si>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</si>
  <si>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</si>
  <si>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</si>
  <si>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</si>
  <si>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</si>
  <si>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</si>
  <si>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</si>
  <si>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</si>
  <si>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</si>
  <si>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</si>
  <si>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</si>
  <si>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</si>
  <si>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</si>
  <si>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</si>
  <si>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</si>
  <si>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</si>
  <si>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</si>
  <si>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</si>
  <si>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</si>
  <si>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</si>
  <si>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</si>
  <si>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</si>
  <si>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</si>
  <si>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</si>
  <si>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</si>
  <si>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</si>
  <si>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</si>
  <si>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</si>
  <si>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</si>
  <si>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</si>
  <si>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</si>
  <si>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</si>
  <si>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</si>
  <si>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</si>
  <si>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</si>
  <si>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</si>
  <si>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</si>
  <si>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</si>
  <si>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</si>
  <si>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</si>
  <si>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</si>
  <si>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</si>
  <si>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</si>
  <si>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</si>
  <si>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</si>
  <si>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</si>
  <si>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</si>
  <si>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</si>
  <si>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</si>
  <si>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</si>
  <si>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</si>
  <si>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</si>
  <si>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</si>
  <si>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</si>
  <si>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</si>
  <si>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</si>
  <si>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</si>
  <si>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</si>
  <si>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</si>
  <si>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</si>
  <si>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</si>
  <si>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</si>
  <si>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</si>
  <si>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</si>
  <si>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</si>
  <si>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</si>
  <si>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</si>
  <si>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</si>
  <si>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</si>
  <si>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</si>
  <si>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</si>
  <si>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</si>
  <si>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</si>
  <si>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</si>
  <si>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</si>
  <si>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</si>
  <si>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</si>
  <si>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</si>
  <si>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</si>
  <si>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</si>
  <si>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</si>
  <si>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</si>
  <si>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</si>
  <si>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</si>
  <si>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</si>
  <si>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</si>
  <si>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</si>
  <si>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</si>
  <si>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</si>
  <si>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</si>
  <si>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</si>
  <si>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</si>
  <si>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</si>
  <si>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</si>
  <si>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</si>
  <si>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</si>
  <si>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</si>
  <si>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</si>
  <si>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</si>
  <si>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</si>
  <si>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</si>
  <si>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</si>
  <si>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</si>
  <si>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</si>
  <si>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</si>
  <si>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</si>
  <si>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</si>
  <si>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</si>
  <si>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</si>
  <si>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</si>
  <si>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</si>
  <si>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</si>
  <si>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</si>
  <si>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</si>
  <si>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</si>
  <si>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</si>
  <si>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</si>
  <si>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</si>
  <si>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</si>
  <si>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</si>
  <si>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</si>
  <si>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</si>
  <si>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</si>
  <si>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</si>
  <si>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</si>
  <si>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</si>
  <si>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</si>
  <si>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</si>
  <si>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</si>
  <si>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</si>
  <si>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</si>
  <si>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</si>
  <si>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</si>
  <si>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</si>
  <si>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</si>
  <si>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</si>
  <si>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</si>
  <si>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</si>
  <si>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</si>
  <si>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</si>
  <si>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</si>
  <si>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</si>
  <si>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</si>
  <si>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</si>
  <si>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</si>
  <si>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</si>
  <si>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</si>
  <si>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</si>
  <si>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</si>
  <si>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</si>
  <si>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</si>
  <si>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</si>
  <si>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</si>
  <si>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</si>
  <si>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</si>
  <si>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</si>
  <si>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</si>
  <si>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</si>
  <si>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</si>
  <si>
    <t>2100013219</t>
  </si>
  <si>
    <t>150636</t>
  </si>
  <si>
    <t>2000008161</t>
  </si>
  <si>
    <t>2000003154</t>
  </si>
  <si>
    <t>2000006125</t>
  </si>
  <si>
    <t>150892</t>
  </si>
  <si>
    <t>DANYEN</t>
  </si>
  <si>
    <t>51155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</si>
</sst>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3B6506-600B-4294-B108-DC9CC1905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E84F1C-8858-4500-9D4D-A1DF8FF31F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53E7-8548-4433-BC77-A7D959D58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06A308-00DB-4CAD-A319-996C8D982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1E792C-7A00-45B1-9CBD-E3CF28F06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8FEE76-871D-48B4-BD15-105D9EF7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917B18-27C5-470E-8F82-E57D2B5F0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CDA2F3-B02A-4A3C-A5A9-A2E7125C9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89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87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46174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570</v>
      </c>
      <c r="D6" s="13">
        <f t="shared" ref="D6:D28" si="1">C6*L6</f>
        <v>433770</v>
      </c>
      <c r="F6" s="144" t="s">
        <v>16</v>
      </c>
      <c r="G6" s="146" t="s">
        <v>142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10</v>
      </c>
      <c r="D7" s="13">
        <f t="shared" si="1"/>
        <v>7810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99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13</v>
      </c>
      <c r="D9" s="13">
        <f t="shared" si="1"/>
        <v>9529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10</v>
      </c>
      <c r="D10" s="13">
        <f t="shared" si="1"/>
        <v>10320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10</v>
      </c>
      <c r="D12" s="48">
        <f t="shared" si="1"/>
        <v>9920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6</v>
      </c>
      <c r="D13" s="48">
        <f t="shared" si="1"/>
        <v>1842</v>
      </c>
      <c r="F13" s="166" t="s">
        <v>36</v>
      </c>
      <c r="G13" s="167"/>
      <c r="H13" s="168">
        <f>D29</f>
        <v>475222.5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54630.75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420591.75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2760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62"/>
      <c r="I23" s="263"/>
      <c r="J23" s="263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205">
        <v>68780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94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475222.5</v>
      </c>
      <c r="F29" s="189" t="s">
        <v>54</v>
      </c>
      <c r="G29" s="190"/>
      <c r="H29" s="193">
        <f>H15-H16-H17-H18-H19-H20-H22-H23-H24+H26+H27+H28</f>
        <v>486611.75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221">
        <f t="shared" ref="H34:H39" si="2">F34*G34</f>
        <v>116000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21">
        <f t="shared" si="2"/>
        <v>4500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221">
        <f t="shared" si="2"/>
        <v>200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1">
        <v>80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4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205">
        <v>317788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205">
        <v>13533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107" t="s">
        <v>135</v>
      </c>
      <c r="H46" s="205">
        <v>33800</v>
      </c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26</v>
      </c>
      <c r="D49" s="12">
        <f>C49*42</f>
        <v>1092</v>
      </c>
      <c r="F49" s="246" t="s">
        <v>85</v>
      </c>
      <c r="G49" s="193">
        <f>H34+H35+H36+H37+H38+H39+H40+H41+G42+H44+H45+H46</f>
        <v>485901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19</v>
      </c>
      <c r="D50" s="12">
        <f>C50*1.5</f>
        <v>28.5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138</v>
      </c>
      <c r="G51" s="256">
        <f>G49-H29</f>
        <v>-710.75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46174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275</v>
      </c>
      <c r="D6" s="13">
        <f t="shared" ref="D6:D28" si="1">C6*L6</f>
        <v>209275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6</v>
      </c>
      <c r="D7" s="13">
        <f t="shared" si="1"/>
        <v>4686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40</v>
      </c>
      <c r="D9" s="13">
        <f t="shared" si="1"/>
        <v>29320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</v>
      </c>
      <c r="D11" s="13">
        <f t="shared" si="1"/>
        <v>1170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3</v>
      </c>
      <c r="D13" s="48">
        <f t="shared" si="1"/>
        <v>921</v>
      </c>
      <c r="F13" s="166" t="s">
        <v>36</v>
      </c>
      <c r="G13" s="167"/>
      <c r="H13" s="168">
        <f>D29</f>
        <v>247146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36182.25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210963.75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v>696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247146</v>
      </c>
      <c r="F29" s="189" t="s">
        <v>54</v>
      </c>
      <c r="G29" s="190"/>
      <c r="H29" s="193">
        <f>H15-H16-H17-H18-H19-H20-H22-H23-H24+H26+H27</f>
        <v>210267.75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221">
        <f>F34*G34</f>
        <v>186000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21">
        <f>F35*G35</f>
        <v>23500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21">
        <f t="shared" si="2"/>
        <v>300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1">
        <v>242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4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2</v>
      </c>
      <c r="D44" s="12">
        <f>C44*120</f>
        <v>240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210092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>
        <v>3</v>
      </c>
      <c r="D50" s="12">
        <f>C50*1.5</f>
        <v>4.5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137</v>
      </c>
      <c r="G51" s="256">
        <f>G49-H29</f>
        <v>-175.75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46174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307</v>
      </c>
      <c r="D6" s="13">
        <f t="shared" ref="D6:D28" si="1">C6*L6</f>
        <v>233627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6</v>
      </c>
      <c r="D7" s="13">
        <f t="shared" si="1"/>
        <v>4686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25</v>
      </c>
      <c r="D9" s="13">
        <f t="shared" si="1"/>
        <v>18325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1032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2</v>
      </c>
      <c r="D11" s="13">
        <f t="shared" si="1"/>
        <v>2340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3</v>
      </c>
      <c r="D12" s="48">
        <f t="shared" si="1"/>
        <v>2976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166" t="s">
        <v>36</v>
      </c>
      <c r="G13" s="167"/>
      <c r="H13" s="168">
        <f>D29</f>
        <v>266056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58272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207784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588+504</f>
        <v>1092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266056</v>
      </c>
      <c r="F29" s="189" t="s">
        <v>54</v>
      </c>
      <c r="G29" s="190"/>
      <c r="H29" s="193">
        <f>H15-H16-H17-H18-H19-H20-H22-H23-H24+H26+H27</f>
        <v>206692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221">
        <f>F34*G34</f>
        <v>73000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221">
        <f>F35*G35</f>
        <v>55500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1">
        <f t="shared" ref="H36:H39" si="2">F36*G36</f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221">
        <f t="shared" si="2"/>
        <v>12100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221">
        <f t="shared" si="2"/>
        <v>3050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1">
        <v>401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4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205">
        <v>55389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140</v>
      </c>
      <c r="G45" s="75"/>
      <c r="H45" s="205">
        <v>1032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1</v>
      </c>
      <c r="D46" s="12">
        <f>C46*1.5</f>
        <v>1.5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2</v>
      </c>
      <c r="D49" s="12">
        <f>C49*42</f>
        <v>84</v>
      </c>
      <c r="F49" s="246" t="s">
        <v>85</v>
      </c>
      <c r="G49" s="193">
        <f>H34+H35+H36+H37+H38+H39+H40+H41+G42+H44+H45+H46</f>
        <v>200692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13</v>
      </c>
      <c r="D50" s="12">
        <f>C50*1.5</f>
        <v>19.5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141</v>
      </c>
      <c r="G51" s="256">
        <f>G49-H29</f>
        <v>-6000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6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8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46175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304</v>
      </c>
      <c r="D6" s="13">
        <f t="shared" ref="D6:D28" si="1">C6*L6</f>
        <v>231344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</v>
      </c>
      <c r="D7" s="13">
        <f t="shared" si="1"/>
        <v>1562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11</v>
      </c>
      <c r="D9" s="13">
        <f t="shared" si="1"/>
        <v>8063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1032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242753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35565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>
        <v>1</v>
      </c>
      <c r="D15" s="31">
        <f t="shared" si="1"/>
        <v>620</v>
      </c>
      <c r="F15" s="176" t="s">
        <v>39</v>
      </c>
      <c r="G15" s="167"/>
      <c r="H15" s="177">
        <f>H13-H14</f>
        <v>207188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42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99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242753</v>
      </c>
      <c r="F29" s="189" t="s">
        <v>54</v>
      </c>
      <c r="G29" s="190"/>
      <c r="H29" s="193">
        <f>H15-H16-H17-H18-H19-H20-H22-H23-H24+H26+H27+H28</f>
        <v>207146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221">
        <f t="shared" ref="H34:H39" si="2">F34*G34</f>
        <v>114000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21">
        <f t="shared" si="2"/>
        <v>22000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221">
        <f t="shared" si="2"/>
        <v>400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221">
        <f t="shared" si="2"/>
        <v>1900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221">
        <f t="shared" si="2"/>
        <v>150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21">
        <f t="shared" si="2"/>
        <v>40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124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140</v>
      </c>
      <c r="G44" s="62"/>
      <c r="H44" s="205">
        <v>55000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205">
        <v>13650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1</v>
      </c>
      <c r="D46" s="12">
        <f>C46*1.5</f>
        <v>1.5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207264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6</v>
      </c>
      <c r="D50" s="12">
        <f>C50*1.5</f>
        <v>9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144</v>
      </c>
      <c r="G51" s="268">
        <f>G49-H29</f>
        <v>118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46175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330</v>
      </c>
      <c r="D6" s="13">
        <f t="shared" ref="D6:D28" si="1">C6*L6</f>
        <v>251130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</v>
      </c>
      <c r="D9" s="13">
        <f t="shared" si="1"/>
        <v>733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1032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13</v>
      </c>
      <c r="D13" s="48">
        <f t="shared" si="1"/>
        <v>3991</v>
      </c>
      <c r="F13" s="166" t="s">
        <v>36</v>
      </c>
      <c r="G13" s="167"/>
      <c r="H13" s="168">
        <f>D29</f>
        <v>256886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37893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218993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256886</v>
      </c>
      <c r="F29" s="189" t="s">
        <v>54</v>
      </c>
      <c r="G29" s="190"/>
      <c r="H29" s="193">
        <f>H15-H16-H17-H18-H19-H20-H22-H23-H24+H26+H27</f>
        <v>217049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221">
        <f>F34*G34</f>
        <v>102000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221">
        <f>F35*G35</f>
        <v>114500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1">
        <f t="shared" ref="H36:H39" si="2">F36*G36</f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221">
        <f t="shared" si="2"/>
        <v>100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14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11</v>
      </c>
      <c r="D49" s="12">
        <f>C49*42</f>
        <v>462</v>
      </c>
      <c r="F49" s="246" t="s">
        <v>85</v>
      </c>
      <c r="G49" s="193">
        <f>H34+H35+H36+H37+H38+H39+H40+H41+G42+H44+H45+H46</f>
        <v>216834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>
        <v>2</v>
      </c>
      <c r="D50" s="12">
        <f>C50*1.5</f>
        <v>3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141</v>
      </c>
      <c r="G51" s="256">
        <f>G49-H29</f>
        <v>-215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46175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8">
        <v>346</v>
      </c>
      <c r="D6" s="13">
        <f t="shared" ref="D6:D28" si="1">C6*L6</f>
        <v>263306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8">
        <v>20</v>
      </c>
      <c r="D7" s="13">
        <f t="shared" si="1"/>
        <v>15620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8">
        <v>1</v>
      </c>
      <c r="D8" s="13">
        <f t="shared" si="1"/>
        <v>1093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8">
        <v>74</v>
      </c>
      <c r="D9" s="13">
        <f t="shared" si="1"/>
        <v>54242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8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8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8">
        <f>10+10+2</f>
        <v>22</v>
      </c>
      <c r="D12" s="48">
        <f t="shared" si="1"/>
        <v>21824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8">
        <v>1</v>
      </c>
      <c r="D13" s="48">
        <f t="shared" si="1"/>
        <v>307</v>
      </c>
      <c r="F13" s="166" t="s">
        <v>36</v>
      </c>
      <c r="G13" s="167"/>
      <c r="H13" s="168">
        <f>D29</f>
        <v>403944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8"/>
      <c r="D14" s="31">
        <f t="shared" si="1"/>
        <v>0</v>
      </c>
      <c r="F14" s="171" t="s">
        <v>38</v>
      </c>
      <c r="G14" s="172"/>
      <c r="H14" s="173">
        <f>D54</f>
        <v>72575.25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8">
        <f>10</f>
        <v>10</v>
      </c>
      <c r="D15" s="31">
        <f t="shared" si="1"/>
        <v>6200</v>
      </c>
      <c r="F15" s="176" t="s">
        <v>39</v>
      </c>
      <c r="G15" s="167"/>
      <c r="H15" s="177">
        <f>H13-H14</f>
        <v>331368.75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80">
        <v>918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148</v>
      </c>
      <c r="C22" s="108">
        <v>1</v>
      </c>
      <c r="D22" s="48">
        <f t="shared" si="1"/>
        <v>1102</v>
      </c>
      <c r="F22" s="76"/>
      <c r="G22" s="72"/>
      <c r="H22" s="203"/>
      <c r="I22" s="203"/>
      <c r="J22" s="203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149</v>
      </c>
      <c r="C23" s="108">
        <v>1</v>
      </c>
      <c r="D23" s="48">
        <f t="shared" si="1"/>
        <v>1204</v>
      </c>
      <c r="F23" s="77"/>
      <c r="G23" s="78"/>
      <c r="H23" s="267"/>
      <c r="I23" s="203"/>
      <c r="J23" s="203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150</v>
      </c>
      <c r="C24" s="108">
        <v>1</v>
      </c>
      <c r="D24" s="48">
        <f t="shared" si="1"/>
        <v>1582</v>
      </c>
      <c r="F24" s="38"/>
      <c r="G24" s="37"/>
      <c r="H24" s="204"/>
      <c r="I24" s="205"/>
      <c r="J24" s="205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152</v>
      </c>
      <c r="C26" s="108">
        <v>1</v>
      </c>
      <c r="D26" s="48">
        <f t="shared" si="1"/>
        <v>1277</v>
      </c>
      <c r="F26" s="64"/>
      <c r="G26" s="59"/>
      <c r="H26" s="209"/>
      <c r="I26" s="210"/>
      <c r="J26" s="211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153</v>
      </c>
      <c r="C27" s="108">
        <v>2</v>
      </c>
      <c r="D27" s="44">
        <f t="shared" si="1"/>
        <v>3334</v>
      </c>
      <c r="F27" s="25"/>
      <c r="G27" s="79"/>
      <c r="H27" s="212"/>
      <c r="I27" s="213"/>
      <c r="J27" s="214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403944</v>
      </c>
      <c r="F29" s="189" t="s">
        <v>54</v>
      </c>
      <c r="G29" s="190"/>
      <c r="H29" s="193">
        <f>H15-H16-H17-H18-H19-H20-H22-H23-H24+H26+H27</f>
        <v>330400.75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221">
        <f>F35*G35</f>
        <v>6500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221">
        <f t="shared" si="2"/>
        <v>3000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221">
        <f t="shared" si="2"/>
        <v>150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1">
        <v>38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205">
        <v>98416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205">
        <v>221673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10</v>
      </c>
      <c r="D46" s="12">
        <f>C46*1.5</f>
        <v>15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329777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5</v>
      </c>
      <c r="D50" s="12">
        <f>C50*1.5</f>
        <v>7.5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154</v>
      </c>
      <c r="G51" s="256">
        <f>G49-H29</f>
        <v>-623.75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1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46176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441</v>
      </c>
      <c r="D6" s="13">
        <f t="shared" ref="D6:D28" si="1">C6*L6</f>
        <v>335601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</v>
      </c>
      <c r="D7" s="13">
        <f t="shared" si="1"/>
        <v>3905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1</v>
      </c>
      <c r="D8" s="13">
        <f t="shared" si="1"/>
        <v>1093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10</v>
      </c>
      <c r="D9" s="13">
        <f t="shared" si="1"/>
        <v>7330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1032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2</v>
      </c>
      <c r="D11" s="13">
        <f t="shared" si="1"/>
        <v>2340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2</v>
      </c>
      <c r="D12" s="48">
        <f t="shared" si="1"/>
        <v>1984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13</v>
      </c>
      <c r="D13" s="48">
        <f t="shared" si="1"/>
        <v>3991</v>
      </c>
      <c r="F13" s="166" t="s">
        <v>36</v>
      </c>
      <c r="G13" s="167"/>
      <c r="H13" s="168">
        <f>D29</f>
        <v>361570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41899.5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>
        <v>2</v>
      </c>
      <c r="D15" s="31">
        <f t="shared" si="1"/>
        <v>1240</v>
      </c>
      <c r="F15" s="176" t="s">
        <v>39</v>
      </c>
      <c r="G15" s="167"/>
      <c r="H15" s="177">
        <f>H13-H14</f>
        <v>319670.5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0">
        <v>1944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203">
        <v>88549</v>
      </c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205">
        <v>78233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99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>
        <v>2</v>
      </c>
      <c r="D28" s="48">
        <f t="shared" si="1"/>
        <v>1622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361570</v>
      </c>
      <c r="F29" s="189" t="s">
        <v>54</v>
      </c>
      <c r="G29" s="190"/>
      <c r="H29" s="193">
        <f>H15-H16-H17-H18-H19-H20-H22-H23-H24+H26+H27+H28</f>
        <v>307410.5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221">
        <f t="shared" ref="H34:H39" si="2">F34*G34</f>
        <v>180000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21">
        <f t="shared" si="2"/>
        <v>1000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221">
        <f t="shared" si="2"/>
        <v>43700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221">
        <f t="shared" si="2"/>
        <v>3200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6</v>
      </c>
      <c r="D42" s="12">
        <f>C42*2.25</f>
        <v>13.5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205">
        <v>78233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7</v>
      </c>
      <c r="D49" s="12">
        <f>C49*42</f>
        <v>294</v>
      </c>
      <c r="F49" s="246" t="s">
        <v>85</v>
      </c>
      <c r="G49" s="193">
        <f>H34+H35+H36+H37+H38+H39+H40+H41+G42+H44+H45+H46</f>
        <v>306133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11</v>
      </c>
      <c r="D50" s="12">
        <f>C50*1.5</f>
        <v>16.5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-1277.5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46176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46176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1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46177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370</v>
      </c>
      <c r="D6" s="13">
        <f t="shared" ref="D6:D28" si="1">C6*L6</f>
        <v>281570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50</v>
      </c>
      <c r="D7" s="13">
        <f t="shared" si="1"/>
        <v>39050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65</v>
      </c>
      <c r="D8" s="13">
        <f t="shared" si="1"/>
        <v>71045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117</v>
      </c>
      <c r="D9" s="13">
        <f t="shared" si="1"/>
        <v>85761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26</v>
      </c>
      <c r="D12" s="48">
        <f t="shared" si="1"/>
        <v>25792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166" t="s">
        <v>36</v>
      </c>
      <c r="G13" s="167"/>
      <c r="H13" s="168">
        <f>D29</f>
        <v>508853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82236.75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426616.25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3042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203">
        <v>62272</v>
      </c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99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>
        <v>3</v>
      </c>
      <c r="D28" s="48">
        <f t="shared" si="1"/>
        <v>2433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508853</v>
      </c>
      <c r="F29" s="189" t="s">
        <v>54</v>
      </c>
      <c r="G29" s="190"/>
      <c r="H29" s="193">
        <f>H15-H16-H17-H18-H19-H20-H22-H23-H24+H26+H27+H28</f>
        <v>361302.25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221">
        <f t="shared" ref="H34:H39" si="2">F34*G34</f>
        <v>23000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21">
        <f t="shared" si="2"/>
        <v>3500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221">
        <f t="shared" si="2"/>
        <v>2300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221">
        <f t="shared" si="2"/>
        <v>450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9</v>
      </c>
      <c r="D42" s="12">
        <f>C42*2.25</f>
        <v>20.25</v>
      </c>
      <c r="F42" s="39" t="s">
        <v>78</v>
      </c>
      <c r="G42" s="221">
        <v>80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205">
        <v>321116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140</v>
      </c>
      <c r="G45" s="62"/>
      <c r="H45" s="205">
        <v>10122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360568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138</v>
      </c>
      <c r="G51" s="256">
        <f>G49-H29</f>
        <v>-734.25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46177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297</v>
      </c>
      <c r="D6" s="13">
        <f t="shared" ref="D6:D28" si="1">C6*L6</f>
        <v>226017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</v>
      </c>
      <c r="D7" s="13">
        <f t="shared" si="1"/>
        <v>781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23</v>
      </c>
      <c r="D9" s="13">
        <f t="shared" si="1"/>
        <v>16859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7</v>
      </c>
      <c r="D13" s="48">
        <f t="shared" si="1"/>
        <v>2149</v>
      </c>
      <c r="F13" s="166" t="s">
        <v>36</v>
      </c>
      <c r="G13" s="167"/>
      <c r="H13" s="168">
        <f>D29</f>
        <v>248406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41370.75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207035.25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80">
        <v>1896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248406</v>
      </c>
      <c r="F29" s="189" t="s">
        <v>54</v>
      </c>
      <c r="G29" s="190"/>
      <c r="H29" s="193">
        <f>H15-H16-H17-H18-H19-H20-H22-H23-H24+H26+H27</f>
        <v>205139.25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221">
        <f>F34*G34</f>
        <v>26000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221">
        <f>F35*G35</f>
        <v>52500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21">
        <f t="shared" si="2"/>
        <v>100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3</v>
      </c>
      <c r="D42" s="12">
        <f>C42*2.25</f>
        <v>6.75</v>
      </c>
      <c r="F42" s="39" t="s">
        <v>78</v>
      </c>
      <c r="G42" s="221">
        <v>85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205">
        <v>126406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1</v>
      </c>
      <c r="D46" s="12">
        <f>C46*1.5</f>
        <v>1.5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9</v>
      </c>
      <c r="D49" s="12">
        <f>C49*42</f>
        <v>378</v>
      </c>
      <c r="F49" s="246" t="s">
        <v>85</v>
      </c>
      <c r="G49" s="193">
        <f>H34+H35+H36+H37+H38+H39+H40+H41+G42+H44+H45+H46</f>
        <v>205091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>
        <v>1</v>
      </c>
      <c r="D50" s="12">
        <f>C50*1.5</f>
        <v>1.5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137</v>
      </c>
      <c r="G51" s="256">
        <f>G49-H29</f>
        <v>-48.25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46177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539</v>
      </c>
      <c r="D6" s="13">
        <f t="shared" ref="D6:D28" si="1">C6*L6</f>
        <v>410179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20</v>
      </c>
      <c r="D7" s="13">
        <f t="shared" si="1"/>
        <v>15620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135</v>
      </c>
      <c r="D9" s="13">
        <f t="shared" si="1"/>
        <v>98955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20</v>
      </c>
      <c r="D11" s="13">
        <f t="shared" si="1"/>
        <v>23400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20</v>
      </c>
      <c r="D12" s="48">
        <f t="shared" si="1"/>
        <v>19840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24</v>
      </c>
      <c r="D13" s="48">
        <f t="shared" si="1"/>
        <v>7368</v>
      </c>
      <c r="F13" s="166" t="s">
        <v>36</v>
      </c>
      <c r="G13" s="167"/>
      <c r="H13" s="168">
        <f>D29</f>
        <v>582314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89697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492617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80">
        <f>924+306</f>
        <v>1230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148</v>
      </c>
      <c r="C27" s="10">
        <v>1</v>
      </c>
      <c r="D27" s="44">
        <f t="shared" si="1"/>
        <v>1102</v>
      </c>
      <c r="F27" s="25"/>
      <c r="G27" s="79"/>
      <c r="H27" s="212"/>
      <c r="I27" s="213"/>
      <c r="J27" s="214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582314</v>
      </c>
      <c r="F29" s="189" t="s">
        <v>54</v>
      </c>
      <c r="G29" s="190"/>
      <c r="H29" s="193">
        <f>H15-H16-H17-H18-H19-H20-H22-H23-H24+H26+H27</f>
        <v>491387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221">
        <f>F34*G34</f>
        <v>24000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221">
        <f>F35*G35</f>
        <v>2000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221">
        <f t="shared" ref="H36:H39" si="2">F36*G36</f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221">
        <f t="shared" si="2"/>
        <v>5900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1">
        <v>30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205">
        <v>30346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205">
        <v>328788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205">
        <v>99736</v>
      </c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24</v>
      </c>
      <c r="D49" s="12">
        <f>C49*42</f>
        <v>1008</v>
      </c>
      <c r="F49" s="246" t="s">
        <v>85</v>
      </c>
      <c r="G49" s="193">
        <f>H34+H35+H36+H37+H38+H39+H40+H41+G42+H44+H45+H46</f>
        <v>491050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14</v>
      </c>
      <c r="D50" s="12">
        <f>C50*1.5</f>
        <v>21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163</v>
      </c>
      <c r="G51" s="256">
        <f>G49-H29</f>
        <v>-337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1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46178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99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1">
        <f t="shared" ref="H34:H39" si="2"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46178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384</v>
      </c>
      <c r="D6" s="13">
        <f t="shared" ref="D6:D28" si="1">C6*L6</f>
        <v>292224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4</v>
      </c>
      <c r="D7" s="13">
        <f t="shared" si="1"/>
        <v>3124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6</v>
      </c>
      <c r="D9" s="13">
        <f t="shared" si="1"/>
        <v>4398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9</v>
      </c>
      <c r="D13" s="48">
        <f t="shared" si="1"/>
        <v>2763</v>
      </c>
      <c r="F13" s="166" t="s">
        <v>36</v>
      </c>
      <c r="G13" s="167"/>
      <c r="H13" s="168">
        <f>D29</f>
        <v>302509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39733.5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262775.5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302509</v>
      </c>
      <c r="F29" s="189" t="s">
        <v>54</v>
      </c>
      <c r="G29" s="190"/>
      <c r="H29" s="193">
        <f>H15-H16-H17-H18-H19-H20-H22-H23-H24+H26+H27</f>
        <v>261479.5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221">
        <f>F34*G34</f>
        <v>90000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221">
        <f>F35*G35</f>
        <v>25500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21">
        <f t="shared" si="2"/>
        <v>100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21">
        <f t="shared" si="2"/>
        <v>40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77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205">
        <v>145825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4</v>
      </c>
      <c r="D49" s="12">
        <f>C49*42</f>
        <v>168</v>
      </c>
      <c r="F49" s="246" t="s">
        <v>85</v>
      </c>
      <c r="G49" s="193">
        <f>H34+H35+H36+H37+H38+H39+H40+H41+G42+H44+H45+H46</f>
        <v>261542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>
        <v>5</v>
      </c>
      <c r="D50" s="12">
        <f>C50*1.5</f>
        <v>7.5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62.5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46178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389</v>
      </c>
      <c r="D6" s="13">
        <f t="shared" ref="D6:D28" si="1">C6*L6</f>
        <v>296029</v>
      </c>
      <c r="F6" s="144" t="s">
        <v>16</v>
      </c>
      <c r="G6" s="146" t="s">
        <v>170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20</v>
      </c>
      <c r="D7" s="13">
        <f t="shared" si="1"/>
        <v>15620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46</v>
      </c>
      <c r="D9" s="13">
        <f t="shared" si="1"/>
        <v>33718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2</v>
      </c>
      <c r="D10" s="13">
        <f t="shared" si="1"/>
        <v>2064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2</v>
      </c>
      <c r="D11" s="13">
        <f t="shared" si="1"/>
        <v>2340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4+1</f>
        <v>5</v>
      </c>
      <c r="D12" s="48">
        <f t="shared" si="1"/>
        <v>4960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8</v>
      </c>
      <c r="D13" s="48">
        <f t="shared" si="1"/>
        <v>2456</v>
      </c>
      <c r="F13" s="166" t="s">
        <v>36</v>
      </c>
      <c r="G13" s="167"/>
      <c r="H13" s="168">
        <f>D29</f>
        <v>357319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52380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304939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1092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357319</v>
      </c>
      <c r="F29" s="189" t="s">
        <v>54</v>
      </c>
      <c r="G29" s="190"/>
      <c r="H29" s="193">
        <f>H15-H16-H17-H18-H19-H20-H22-H23-H24+H26+H27</f>
        <v>303847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221">
        <f>F34*G34</f>
        <v>103000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21">
        <f>F35*G35</f>
        <v>4500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1">
        <f t="shared" ref="H36:H39" si="2">F36*G36</f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221">
        <f t="shared" si="2"/>
        <v>6300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8</v>
      </c>
      <c r="D42" s="12">
        <f>C42*2.25</f>
        <v>18</v>
      </c>
      <c r="F42" s="39" t="s">
        <v>78</v>
      </c>
      <c r="G42" s="221">
        <v>20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205">
        <v>69159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205">
        <v>119736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5</v>
      </c>
      <c r="D46" s="12">
        <f>C46*1.5</f>
        <v>7.5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302965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14</v>
      </c>
      <c r="D50" s="12">
        <f>C50*1.5</f>
        <v>21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137</v>
      </c>
      <c r="G51" s="256">
        <f>G49-H29</f>
        <v>-882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1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46179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205">
        <v>62272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99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62272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21">
        <f t="shared" ref="H34:H39" si="2">F34*G34</f>
        <v>62000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21">
        <f t="shared" si="2"/>
        <v>200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22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62272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46179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46179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1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46181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99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1">
        <f t="shared" ref="H34:H39" si="2"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46181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457</v>
      </c>
      <c r="D6" s="13">
        <f t="shared" ref="D6:D28" si="1">C6*L6</f>
        <v>347777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4</v>
      </c>
      <c r="D7" s="13">
        <f t="shared" si="1"/>
        <v>3124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33</v>
      </c>
      <c r="D9" s="13">
        <f t="shared" si="1"/>
        <v>24189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15</v>
      </c>
      <c r="D13" s="48">
        <f t="shared" si="1"/>
        <v>4605</v>
      </c>
      <c r="F13" s="166" t="s">
        <v>36</v>
      </c>
      <c r="G13" s="167"/>
      <c r="H13" s="168">
        <f>D29</f>
        <v>379695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56268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323427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2832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379695</v>
      </c>
      <c r="F29" s="189" t="s">
        <v>54</v>
      </c>
      <c r="G29" s="190"/>
      <c r="H29" s="193">
        <f>H15-H16-H17-H18-H19-H20-H22-H23-H24+H26+H27</f>
        <v>320595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221">
        <f>F34*G34</f>
        <v>151000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221">
        <f>F35*G35</f>
        <v>167000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221">
        <f t="shared" si="2"/>
        <v>700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21">
        <f t="shared" si="2"/>
        <v>250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8</v>
      </c>
      <c r="D42" s="12">
        <f>C42*2.25</f>
        <v>18</v>
      </c>
      <c r="F42" s="39" t="s">
        <v>78</v>
      </c>
      <c r="G42" s="221">
        <v>76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15</v>
      </c>
      <c r="D49" s="12">
        <f>C49*42</f>
        <v>630</v>
      </c>
      <c r="F49" s="246" t="s">
        <v>85</v>
      </c>
      <c r="G49" s="193">
        <f>H34+H35+H36+H37+H38+H39+H40+H41+G42+H44+H45+H46</f>
        <v>319046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-1549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46181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416</v>
      </c>
      <c r="D6" s="13">
        <f t="shared" ref="D6:D28" si="1">C6*L6</f>
        <v>316576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10</v>
      </c>
      <c r="D7" s="13">
        <f t="shared" si="1"/>
        <v>7810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76</v>
      </c>
      <c r="D9" s="13">
        <f t="shared" si="1"/>
        <v>55708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</v>
      </c>
      <c r="D11" s="13">
        <f t="shared" si="1"/>
        <v>1170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5</v>
      </c>
      <c r="D12" s="48">
        <f t="shared" si="1"/>
        <v>4960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166" t="s">
        <v>36</v>
      </c>
      <c r="G13" s="167"/>
      <c r="H13" s="168">
        <f>D29</f>
        <v>389426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56689.5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332736.5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2478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389426</v>
      </c>
      <c r="F29" s="189" t="s">
        <v>54</v>
      </c>
      <c r="G29" s="190"/>
      <c r="H29" s="193">
        <f>H15-H16-H17-H18-H19-H20-H22-H23-H24+H26+H27</f>
        <v>330258.5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221">
        <f>F34*G34</f>
        <v>122000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21">
        <f>F35*G35</f>
        <v>30000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221">
        <f t="shared" si="2"/>
        <v>5200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221">
        <f t="shared" si="2"/>
        <v>900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22</v>
      </c>
      <c r="D42" s="12">
        <f>C42*2.25</f>
        <v>49.5</v>
      </c>
      <c r="F42" s="39" t="s">
        <v>78</v>
      </c>
      <c r="G42" s="221">
        <v>204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205">
        <v>164463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8</v>
      </c>
      <c r="D46" s="12">
        <f>C46*1.5</f>
        <v>12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5</v>
      </c>
      <c r="D49" s="12">
        <f>C49*42</f>
        <v>210</v>
      </c>
      <c r="F49" s="246" t="s">
        <v>85</v>
      </c>
      <c r="G49" s="193">
        <f>H34+H35+H36+H37+H38+H39+H40+H41+G42+H44+H45+H46</f>
        <v>322767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7</v>
      </c>
      <c r="D50" s="12">
        <f>C50*1.5</f>
        <v>10.5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-7491.5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1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46182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339</v>
      </c>
      <c r="D6" s="13">
        <f t="shared" ref="D6:D28" si="1">C6*L6</f>
        <v>257979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9</v>
      </c>
      <c r="D7" s="13">
        <f t="shared" si="1"/>
        <v>7029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20</v>
      </c>
      <c r="D9" s="13">
        <f t="shared" si="1"/>
        <v>14660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1+1</f>
        <v>2</v>
      </c>
      <c r="D12" s="48">
        <f t="shared" si="1"/>
        <v>1984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2</v>
      </c>
      <c r="D13" s="48">
        <f t="shared" si="1"/>
        <v>614</v>
      </c>
      <c r="F13" s="166" t="s">
        <v>36</v>
      </c>
      <c r="G13" s="167"/>
      <c r="H13" s="168">
        <f>D29</f>
        <v>284998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35218.5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249779.5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99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284998</v>
      </c>
      <c r="F29" s="189" t="s">
        <v>54</v>
      </c>
      <c r="G29" s="190"/>
      <c r="H29" s="193">
        <f>H15-H16-H17-H18-H19-H20-H22-H23-H24+H26+H27+H28</f>
        <v>249779.5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221">
        <f t="shared" ref="H34:H39" si="2">F34*G34</f>
        <v>129000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21">
        <f t="shared" si="2"/>
        <v>36500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221">
        <f t="shared" si="2"/>
        <v>3600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221">
        <f t="shared" si="2"/>
        <v>900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58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205">
        <v>67000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140</v>
      </c>
      <c r="G45" s="62"/>
      <c r="H45" s="205">
        <v>12350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2</v>
      </c>
      <c r="D49" s="12">
        <f>C49*42</f>
        <v>84</v>
      </c>
      <c r="F49" s="246" t="s">
        <v>85</v>
      </c>
      <c r="G49" s="193">
        <f>H34+H35+H36+H37+H38+H39+H40+H41+G42+H44+H45+H46</f>
        <v>249428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21</v>
      </c>
      <c r="D50" s="12">
        <f>C50*1.5</f>
        <v>31.5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-351.5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46182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323</v>
      </c>
      <c r="D6" s="13">
        <f t="shared" ref="D6:D28" si="1">C6*L6</f>
        <v>245803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3</v>
      </c>
      <c r="D7" s="13">
        <f t="shared" si="1"/>
        <v>2343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50</v>
      </c>
      <c r="D9" s="13">
        <f t="shared" si="1"/>
        <v>36650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5</v>
      </c>
      <c r="D10" s="13">
        <f t="shared" si="1"/>
        <v>5160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12</v>
      </c>
      <c r="D13" s="48">
        <f t="shared" si="1"/>
        <v>3684</v>
      </c>
      <c r="F13" s="166" t="s">
        <v>36</v>
      </c>
      <c r="G13" s="167"/>
      <c r="H13" s="168">
        <f>D29</f>
        <v>296582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46258.5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250323.5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80">
        <v>2070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296582</v>
      </c>
      <c r="F29" s="189" t="s">
        <v>54</v>
      </c>
      <c r="G29" s="190"/>
      <c r="H29" s="193">
        <f>H15-H16-H17-H18-H19-H20-H22-H23-H24+H26+H27</f>
        <v>248253.5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221">
        <f>F34*G34</f>
        <v>18000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21">
        <f>F35*G35</f>
        <v>5000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221">
        <f t="shared" si="2"/>
        <v>100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20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205">
        <v>224866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</v>
      </c>
      <c r="D49" s="12">
        <f>C49*42</f>
        <v>42</v>
      </c>
      <c r="F49" s="246" t="s">
        <v>85</v>
      </c>
      <c r="G49" s="193">
        <f>H34+H35+H36+H37+H38+H39+H40+H41+G42+H44+H45+H46</f>
        <v>247986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>
        <v>1</v>
      </c>
      <c r="D50" s="12">
        <f>C50*1.5</f>
        <v>1.5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-267.5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46182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490</v>
      </c>
      <c r="D6" s="13">
        <f t="shared" ref="D6:D28" si="1">C6*L6</f>
        <v>372890</v>
      </c>
      <c r="F6" s="144" t="s">
        <v>16</v>
      </c>
      <c r="G6" s="146" t="s">
        <v>142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27</v>
      </c>
      <c r="D7" s="13">
        <f t="shared" si="1"/>
        <v>21087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1</v>
      </c>
      <c r="D8" s="13">
        <f t="shared" si="1"/>
        <v>1093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108</v>
      </c>
      <c r="D9" s="13">
        <f t="shared" si="1"/>
        <v>79164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5</v>
      </c>
      <c r="D10" s="13">
        <f t="shared" si="1"/>
        <v>5160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7+2</f>
        <v>9</v>
      </c>
      <c r="D12" s="48">
        <f t="shared" si="1"/>
        <v>8928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19</v>
      </c>
      <c r="D13" s="48">
        <f t="shared" si="1"/>
        <v>5833</v>
      </c>
      <c r="F13" s="166" t="s">
        <v>36</v>
      </c>
      <c r="G13" s="167"/>
      <c r="H13" s="168">
        <f>D29</f>
        <v>494155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67279.5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426875.5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3288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494155</v>
      </c>
      <c r="F29" s="189" t="s">
        <v>54</v>
      </c>
      <c r="G29" s="190"/>
      <c r="H29" s="193">
        <f>H15-H16-H17-H18-H19-H20-H22-H23-H24+H26+H27</f>
        <v>423587.5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221">
        <f>F34*G34</f>
        <v>30000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21">
        <f>F35*G35</f>
        <v>29500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221">
        <f t="shared" si="2"/>
        <v>800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21">
        <f t="shared" si="2"/>
        <v>150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8</v>
      </c>
      <c r="D42" s="12">
        <f>C42*2.25</f>
        <v>18</v>
      </c>
      <c r="F42" s="39" t="s">
        <v>78</v>
      </c>
      <c r="G42" s="221">
        <v>42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205">
        <v>129945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205">
        <v>233114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4</v>
      </c>
      <c r="D46" s="12">
        <f>C46*1.5</f>
        <v>6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5</v>
      </c>
      <c r="D49" s="12">
        <f>C49*42</f>
        <v>210</v>
      </c>
      <c r="F49" s="246" t="s">
        <v>85</v>
      </c>
      <c r="G49" s="193">
        <f>H34+H35+H36+H37+H38+H39+H40+H41+G42+H44+H45+H46</f>
        <v>423571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22</v>
      </c>
      <c r="D50" s="12">
        <f>C50*1.5</f>
        <v>33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-16.5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1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46183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312</v>
      </c>
      <c r="D6" s="13">
        <f t="shared" ref="D6:D28" si="1">C6*L6</f>
        <v>237432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8</v>
      </c>
      <c r="D7" s="13">
        <f t="shared" si="1"/>
        <v>6248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15</v>
      </c>
      <c r="D9" s="13">
        <f t="shared" si="1"/>
        <v>10995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262429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37573.5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>
        <v>2</v>
      </c>
      <c r="D15" s="31">
        <f t="shared" si="1"/>
        <v>1240</v>
      </c>
      <c r="F15" s="176" t="s">
        <v>39</v>
      </c>
      <c r="G15" s="167"/>
      <c r="H15" s="177">
        <f>H13-H14</f>
        <v>224855.5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99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>
        <v>2</v>
      </c>
      <c r="D28" s="48">
        <f t="shared" si="1"/>
        <v>1622</v>
      </c>
      <c r="F28" s="101"/>
      <c r="G28" s="61"/>
      <c r="H28" s="215"/>
      <c r="I28" s="216"/>
      <c r="J28" s="217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262429</v>
      </c>
      <c r="F29" s="189" t="s">
        <v>54</v>
      </c>
      <c r="G29" s="190"/>
      <c r="H29" s="193">
        <f>H15-H16-H17-H18-H19-H20-H22-H23-H24+H26+H27+H28</f>
        <v>224855.5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221">
        <f t="shared" ref="H34:H39" si="2">F34*G34</f>
        <v>54000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21">
        <f t="shared" si="2"/>
        <v>7000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1">
        <f t="shared" si="2"/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221">
        <f t="shared" si="2"/>
        <v>1800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221">
        <f t="shared" si="2"/>
        <v>100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4</v>
      </c>
      <c r="D42" s="12">
        <f>C42*2.25</f>
        <v>9</v>
      </c>
      <c r="F42" s="39" t="s">
        <v>78</v>
      </c>
      <c r="G42" s="221">
        <v>60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205">
        <v>11360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205">
        <v>150130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1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33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8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11"/>
      <c r="D49" s="12">
        <f>C49*42</f>
        <v>0</v>
      </c>
      <c r="F49" s="246" t="s">
        <v>85</v>
      </c>
      <c r="G49" s="193">
        <f>H34+H35+H36+H37+H38+H39+H40+H41+G42+H44+H45+H46</f>
        <v>224670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138</v>
      </c>
      <c r="G51" s="256">
        <f>G49-H29</f>
        <v>-185.5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46183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46183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338</v>
      </c>
      <c r="D6" s="13">
        <f t="shared" ref="D6:D28" si="1">C6*L6</f>
        <v>257218</v>
      </c>
      <c r="F6" s="144" t="s">
        <v>16</v>
      </c>
      <c r="G6" s="146" t="s">
        <v>142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</v>
      </c>
      <c r="D7" s="13">
        <f t="shared" si="1"/>
        <v>781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14</v>
      </c>
      <c r="D9" s="13">
        <f t="shared" si="1"/>
        <v>10262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5</v>
      </c>
      <c r="D12" s="48">
        <f t="shared" si="1"/>
        <v>4960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166" t="s">
        <v>36</v>
      </c>
      <c r="G13" s="167"/>
      <c r="H13" s="168">
        <f>D29</f>
        <v>297741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41929.5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255811.5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80"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297741</v>
      </c>
      <c r="F29" s="189" t="s">
        <v>54</v>
      </c>
      <c r="G29" s="190"/>
      <c r="H29" s="193">
        <f>H15-H16-H17-H18-H19-H20-H22-H23-H24+H26+H27</f>
        <v>254515.5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221">
        <f>F34*G34</f>
        <v>107000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221">
        <f>F35*G35</f>
        <v>6000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221">
        <f t="shared" si="2"/>
        <v>100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205">
        <v>140790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3</v>
      </c>
      <c r="D45" s="12">
        <f>C45*84</f>
        <v>252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13</v>
      </c>
      <c r="D46" s="12">
        <f>C46*1.5</f>
        <v>19.5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8</v>
      </c>
      <c r="D49" s="12">
        <f>C49*42</f>
        <v>336</v>
      </c>
      <c r="F49" s="246" t="s">
        <v>85</v>
      </c>
      <c r="G49" s="193">
        <f>H34+H35+H36+H37+H38+H39+H40+H41+G42+H44+H45+H46</f>
        <v>253940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22</v>
      </c>
      <c r="D50" s="12">
        <f>C50*1.5</f>
        <v>33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180</v>
      </c>
      <c r="G51" s="256">
        <f>G49-H29</f>
        <v>-575.5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4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46184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0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1">
        <f t="shared" ref="H34:H39" si="2"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46184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265</v>
      </c>
      <c r="D6" s="13">
        <f t="shared" ref="D6:D28" si="1">C6*L6</f>
        <v>201665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108</v>
      </c>
      <c r="D9" s="13">
        <f t="shared" si="1"/>
        <v>79164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15</v>
      </c>
      <c r="D13" s="48">
        <f t="shared" si="1"/>
        <v>4605</v>
      </c>
      <c r="F13" s="166" t="s">
        <v>36</v>
      </c>
      <c r="G13" s="167"/>
      <c r="H13" s="168">
        <f>D29</f>
        <v>286866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41175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245691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1932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286866</v>
      </c>
      <c r="F29" s="189" t="s">
        <v>54</v>
      </c>
      <c r="G29" s="190"/>
      <c r="H29" s="193">
        <f>H15-H16-H17-H18-H19-H20-H22-H23-H24+H26+H27</f>
        <v>243759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21">
        <f>F34*G34</f>
        <v>138000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221">
        <f>F35*G35</f>
        <v>105500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9</v>
      </c>
      <c r="D49" s="12">
        <f>C49*42</f>
        <v>378</v>
      </c>
      <c r="F49" s="246" t="s">
        <v>85</v>
      </c>
      <c r="G49" s="193">
        <f>H34+H35+H36+H37+H38+H39+H40+H41+G42+H44+H45+H46</f>
        <v>243500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>
        <v>3</v>
      </c>
      <c r="D50" s="12">
        <f>C50*1.5</f>
        <v>4.5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-259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46184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269</v>
      </c>
      <c r="D6" s="13">
        <f t="shared" ref="D6:D28" si="1">C6*L6</f>
        <v>204709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11</v>
      </c>
      <c r="D7" s="13">
        <f t="shared" si="1"/>
        <v>8591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26</v>
      </c>
      <c r="D8" s="13">
        <f t="shared" si="1"/>
        <v>28418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53</v>
      </c>
      <c r="D9" s="13">
        <f t="shared" si="1"/>
        <v>38849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5</v>
      </c>
      <c r="D11" s="13">
        <f t="shared" si="1"/>
        <v>5850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2</v>
      </c>
      <c r="D12" s="48">
        <f t="shared" si="1"/>
        <v>1984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2</v>
      </c>
      <c r="D13" s="48">
        <f t="shared" si="1"/>
        <v>614</v>
      </c>
      <c r="F13" s="166" t="s">
        <v>36</v>
      </c>
      <c r="G13" s="167"/>
      <c r="H13" s="168">
        <f>D29</f>
        <v>291580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43789.5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247790.5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1242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203">
        <v>35098</v>
      </c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>
        <v>3</v>
      </c>
      <c r="D28" s="48">
        <f t="shared" si="1"/>
        <v>2433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291580</v>
      </c>
      <c r="F29" s="189" t="s">
        <v>54</v>
      </c>
      <c r="G29" s="190"/>
      <c r="H29" s="193">
        <f>H15-H16-H17-H18-H19-H20-H22-H23-H24+H26+H27</f>
        <v>211400.5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221">
        <f>F34*G34</f>
        <v>83000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21">
        <f>F35*G35</f>
        <v>20000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221">
        <f t="shared" si="2"/>
        <v>100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2</v>
      </c>
      <c r="D42" s="12">
        <f>C42*2.25</f>
        <v>4.5</v>
      </c>
      <c r="F42" s="39" t="s">
        <v>78</v>
      </c>
      <c r="G42" s="221">
        <v>26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205">
        <v>97440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140</v>
      </c>
      <c r="G45" s="75"/>
      <c r="H45" s="205">
        <v>17976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15</v>
      </c>
      <c r="D46" s="12">
        <f>C46*1.5</f>
        <v>22.5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218542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16</v>
      </c>
      <c r="D50" s="12">
        <f>C50*1.5</f>
        <v>24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7141.5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4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46185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422</v>
      </c>
      <c r="D6" s="13">
        <f t="shared" ref="D6:D28" si="1">C6*L6</f>
        <v>321142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8</v>
      </c>
      <c r="D7" s="13">
        <f t="shared" si="1"/>
        <v>6248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103</v>
      </c>
      <c r="D9" s="13">
        <f t="shared" si="1"/>
        <v>75499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12</v>
      </c>
      <c r="D13" s="48">
        <f t="shared" si="1"/>
        <v>3684</v>
      </c>
      <c r="F13" s="166" t="s">
        <v>36</v>
      </c>
      <c r="G13" s="167"/>
      <c r="H13" s="168">
        <f>D29</f>
        <v>410353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40264.5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>
        <f>3+1</f>
        <v>4</v>
      </c>
      <c r="D15" s="31">
        <f t="shared" si="1"/>
        <v>2480</v>
      </c>
      <c r="F15" s="176" t="s">
        <v>39</v>
      </c>
      <c r="G15" s="167"/>
      <c r="H15" s="177">
        <f>H13-H14</f>
        <v>370088.5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1074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203">
        <v>123065</v>
      </c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0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410353</v>
      </c>
      <c r="F29" s="189" t="s">
        <v>54</v>
      </c>
      <c r="G29" s="190"/>
      <c r="H29" s="193">
        <f>H15-H16-H17-H18-H19-H20-H22-H23-H24+H26+H27+H28</f>
        <v>245949.5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221">
        <f t="shared" ref="H34:H39" si="2">F34*G34</f>
        <v>38000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221">
        <f t="shared" si="2"/>
        <v>22500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221">
        <f t="shared" si="2"/>
        <v>100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221">
        <f t="shared" si="2"/>
        <v>450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12</v>
      </c>
      <c r="D42" s="12">
        <f>C42*2.25</f>
        <v>27</v>
      </c>
      <c r="F42" s="39" t="s">
        <v>78</v>
      </c>
      <c r="G42" s="221">
        <v>16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205">
        <v>134999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205">
        <v>45000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205">
        <v>4550</v>
      </c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245615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-334.5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46185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277</v>
      </c>
      <c r="D6" s="13">
        <f t="shared" ref="D6:D28" si="1">C6*L6</f>
        <v>210797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</v>
      </c>
      <c r="D7" s="13">
        <f t="shared" si="1"/>
        <v>3905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68</v>
      </c>
      <c r="D9" s="13">
        <f t="shared" si="1"/>
        <v>49844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166" t="s">
        <v>36</v>
      </c>
      <c r="G13" s="167"/>
      <c r="H13" s="168">
        <f>D29</f>
        <v>273580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46170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>
        <v>1</v>
      </c>
      <c r="D15" s="31">
        <f t="shared" si="1"/>
        <v>620</v>
      </c>
      <c r="F15" s="176" t="s">
        <v>39</v>
      </c>
      <c r="G15" s="167"/>
      <c r="H15" s="177">
        <f>H13-H14</f>
        <v>227410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0">
        <v>1140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273580</v>
      </c>
      <c r="F29" s="189" t="s">
        <v>54</v>
      </c>
      <c r="G29" s="190"/>
      <c r="H29" s="193">
        <f>H15-H16-H17-H18-H19-H20-H22-H23-H24+H26+H27</f>
        <v>226270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221">
        <f>F34*G34</f>
        <v>85000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221">
        <f>F35*G35</f>
        <v>15000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221">
        <f t="shared" si="2"/>
        <v>6600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2</v>
      </c>
      <c r="D42" s="12">
        <f>C42*2.25</f>
        <v>4.5</v>
      </c>
      <c r="F42" s="39" t="s">
        <v>78</v>
      </c>
      <c r="G42" s="221">
        <v>41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205">
        <v>119356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5</v>
      </c>
      <c r="D49" s="12">
        <f>C49*42</f>
        <v>210</v>
      </c>
      <c r="F49" s="246" t="s">
        <v>85</v>
      </c>
      <c r="G49" s="193">
        <f>H34+H35+H36+H37+H38+H39+H40+H41+G42+H44+H45+H46</f>
        <v>225997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-273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46185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12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4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46186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205">
        <v>123065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14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123065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1">
        <f t="shared" ref="H34:H39" si="2"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4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205">
        <v>123065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123065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4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46188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322</v>
      </c>
      <c r="D6" s="13">
        <f t="shared" ref="D6:D28" si="1">C6*L6</f>
        <v>245042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6</v>
      </c>
      <c r="D7" s="13">
        <f t="shared" si="1"/>
        <v>4686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111</v>
      </c>
      <c r="D9" s="13">
        <f t="shared" si="1"/>
        <v>81363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2</v>
      </c>
      <c r="D12" s="48">
        <f t="shared" si="1"/>
        <v>1984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9</v>
      </c>
      <c r="D13" s="48">
        <f t="shared" si="1"/>
        <v>2763</v>
      </c>
      <c r="F13" s="166" t="s">
        <v>36</v>
      </c>
      <c r="G13" s="167"/>
      <c r="H13" s="168">
        <f>D29</f>
        <v>337138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68018.25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269119.75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2430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>
        <v>125.84</v>
      </c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205">
        <v>35098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0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337138</v>
      </c>
      <c r="F29" s="189" t="s">
        <v>54</v>
      </c>
      <c r="G29" s="190"/>
      <c r="H29" s="193">
        <f>H15-H16-H17-H18-H19-H20-H22-H23-H24+H26+H27+H28</f>
        <v>301661.90999999997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221">
        <f t="shared" ref="H34:H39" si="2">F34*G34</f>
        <v>58000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21">
        <f t="shared" si="2"/>
        <v>1000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221">
        <f t="shared" si="2"/>
        <v>700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221">
        <f t="shared" si="2"/>
        <v>250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17</v>
      </c>
      <c r="D42" s="12">
        <f>C42*2.25</f>
        <v>38.25</v>
      </c>
      <c r="F42" s="39" t="s">
        <v>78</v>
      </c>
      <c r="G42" s="221">
        <v>48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205">
        <v>183077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205">
        <v>57853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23</v>
      </c>
      <c r="D46" s="12">
        <f>C46*1.5</f>
        <v>34.5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2</v>
      </c>
      <c r="D49" s="12">
        <f>C49*42</f>
        <v>84</v>
      </c>
      <c r="F49" s="246" t="s">
        <v>85</v>
      </c>
      <c r="G49" s="193">
        <f>H34+H35+H36+H37+H38+H39+H40+H41+G42+H44+H45+H46</f>
        <v>300948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11</v>
      </c>
      <c r="D50" s="12">
        <f>C50*1.5</f>
        <v>16.5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190</v>
      </c>
      <c r="G51" s="256">
        <f>G49-H29</f>
        <v>-713.90999999997439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46188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379</v>
      </c>
      <c r="D6" s="13">
        <f t="shared" ref="D6:D28" si="1">C6*L6</f>
        <v>288419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6</v>
      </c>
      <c r="D7" s="13">
        <f t="shared" si="1"/>
        <v>4686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6</v>
      </c>
      <c r="D9" s="13">
        <f t="shared" si="1"/>
        <v>4398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12</v>
      </c>
      <c r="D13" s="48">
        <f t="shared" si="1"/>
        <v>3684</v>
      </c>
      <c r="F13" s="166" t="s">
        <v>36</v>
      </c>
      <c r="G13" s="167"/>
      <c r="H13" s="168">
        <f>D29</f>
        <v>301187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45102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256085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2316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301187</v>
      </c>
      <c r="F29" s="189" t="s">
        <v>54</v>
      </c>
      <c r="G29" s="190"/>
      <c r="H29" s="193">
        <f>H15-H16-H17-H18-H19-H20-H22-H23-H24+H26+H27</f>
        <v>253769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221">
        <f>F34*G34</f>
        <v>77000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221">
        <f>F35*G35</f>
        <v>176500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21">
        <f t="shared" si="2"/>
        <v>250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44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9</v>
      </c>
      <c r="D49" s="12">
        <f>C49*42</f>
        <v>378</v>
      </c>
      <c r="F49" s="246" t="s">
        <v>85</v>
      </c>
      <c r="G49" s="193">
        <f>H34+H35+H36+H37+H38+H39+H40+H41+G42+H44+H45+H46</f>
        <v>253794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25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46188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483</v>
      </c>
      <c r="D6" s="13">
        <f t="shared" ref="D6:D28" si="1">C6*L6</f>
        <v>367563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</v>
      </c>
      <c r="D7" s="13">
        <f t="shared" si="1"/>
        <v>3905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162</v>
      </c>
      <c r="D9" s="13">
        <f t="shared" si="1"/>
        <v>118746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2</v>
      </c>
      <c r="D11" s="13">
        <f t="shared" si="1"/>
        <v>2340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3+1</f>
        <v>4</v>
      </c>
      <c r="D12" s="48">
        <f t="shared" si="1"/>
        <v>3968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23</v>
      </c>
      <c r="D13" s="48">
        <f t="shared" si="1"/>
        <v>7061</v>
      </c>
      <c r="F13" s="166" t="s">
        <v>36</v>
      </c>
      <c r="G13" s="167"/>
      <c r="H13" s="168">
        <f>D29</f>
        <v>510083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51577.5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458505.5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80">
        <f>828+726</f>
        <v>1554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510083</v>
      </c>
      <c r="F29" s="189" t="s">
        <v>54</v>
      </c>
      <c r="G29" s="190"/>
      <c r="H29" s="193">
        <f>H15-H16-H17-H18-H19-H20-H22-H23-H24+H26+H27</f>
        <v>456901.5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221">
        <f>F34*G34</f>
        <v>49000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21">
        <f>F35*G35</f>
        <v>1500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221">
        <f t="shared" si="2"/>
        <v>3500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25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205">
        <v>89622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205">
        <v>78268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205">
        <v>235016</v>
      </c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</v>
      </c>
      <c r="D49" s="12">
        <f>C49*42</f>
        <v>42</v>
      </c>
      <c r="F49" s="246" t="s">
        <v>85</v>
      </c>
      <c r="G49" s="193">
        <f>H34+H35+H36+H37+H38+H39+H40+H41+G42+H44+H45+H46</f>
        <v>456931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17</v>
      </c>
      <c r="D50" s="12">
        <f>C50*1.5</f>
        <v>25.5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29.5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4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46189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583</v>
      </c>
      <c r="D6" s="13">
        <f t="shared" ref="D6:D28" si="1">C6*L6</f>
        <v>443663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8</v>
      </c>
      <c r="D7" s="13">
        <f t="shared" si="1"/>
        <v>6248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121</v>
      </c>
      <c r="D9" s="13">
        <f t="shared" si="1"/>
        <v>88693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2</v>
      </c>
      <c r="D10" s="13">
        <f t="shared" si="1"/>
        <v>2064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2</v>
      </c>
      <c r="D11" s="13">
        <f t="shared" si="1"/>
        <v>2340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1+1</f>
        <v>2</v>
      </c>
      <c r="D12" s="48">
        <f t="shared" si="1"/>
        <v>1984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166" t="s">
        <v>36</v>
      </c>
      <c r="G13" s="167"/>
      <c r="H13" s="168">
        <f>D29</f>
        <v>550495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102604.5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447890.5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2592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203">
        <v>261949</v>
      </c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62">
        <v>93725</v>
      </c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205">
        <v>88549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0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>
        <v>3</v>
      </c>
      <c r="D28" s="48">
        <f t="shared" si="1"/>
        <v>2433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550495</v>
      </c>
      <c r="F29" s="189" t="s">
        <v>54</v>
      </c>
      <c r="G29" s="190"/>
      <c r="H29" s="193">
        <f>H15-H16-H17-H18-H19-H20-H22-H23-H24+H26+H27+H28</f>
        <v>178173.5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221">
        <f t="shared" ref="H34:H39" si="2">F34*G34</f>
        <v>40000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21">
        <f t="shared" si="2"/>
        <v>13000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221">
        <f t="shared" si="2"/>
        <v>5300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8</v>
      </c>
      <c r="D42" s="12">
        <f>C42*2.25</f>
        <v>18</v>
      </c>
      <c r="F42" s="39" t="s">
        <v>78</v>
      </c>
      <c r="G42" s="221">
        <v>114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205">
        <v>80000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205">
        <v>38726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1</v>
      </c>
      <c r="D46" s="12">
        <f>C46*1.5</f>
        <v>1.5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</v>
      </c>
      <c r="D49" s="12">
        <f>C49*42</f>
        <v>42</v>
      </c>
      <c r="F49" s="246" t="s">
        <v>85</v>
      </c>
      <c r="G49" s="193">
        <f>H34+H35+H36+H37+H38+H39+H40+H41+G42+H44+H45+H46</f>
        <v>177190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</v>
      </c>
      <c r="D50" s="12">
        <f>C50*1.5</f>
        <v>1.5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138</v>
      </c>
      <c r="G51" s="256">
        <f>G49-H29</f>
        <v>-983.5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46189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318</v>
      </c>
      <c r="D6" s="13">
        <f t="shared" ref="D6:D28" si="1">C6*L6</f>
        <v>241998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7</v>
      </c>
      <c r="D7" s="13">
        <f t="shared" si="1"/>
        <v>5467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4</v>
      </c>
      <c r="D9" s="13">
        <f t="shared" si="1"/>
        <v>2932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7</v>
      </c>
      <c r="D13" s="48">
        <f t="shared" si="1"/>
        <v>2149</v>
      </c>
      <c r="F13" s="166" t="s">
        <v>36</v>
      </c>
      <c r="G13" s="167"/>
      <c r="H13" s="168">
        <f>D29</f>
        <v>252546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37899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214647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1332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252546</v>
      </c>
      <c r="F29" s="189" t="s">
        <v>54</v>
      </c>
      <c r="G29" s="190"/>
      <c r="H29" s="193">
        <f>H15-H16-H17-H18-H19-H20-H22-H23-H24+H26+H27</f>
        <v>213315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21">
        <f>F34*G34</f>
        <v>55000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221">
        <f>F35*G35</f>
        <v>13500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221">
        <f t="shared" si="2"/>
        <v>400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21">
        <f t="shared" si="2"/>
        <v>100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8</v>
      </c>
      <c r="D42" s="12">
        <f>C42*2.25</f>
        <v>18</v>
      </c>
      <c r="F42" s="39" t="s">
        <v>78</v>
      </c>
      <c r="G42" s="221">
        <v>49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205">
        <v>144678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8</v>
      </c>
      <c r="D49" s="12">
        <f>C49*42</f>
        <v>336</v>
      </c>
      <c r="F49" s="246" t="s">
        <v>85</v>
      </c>
      <c r="G49" s="193">
        <f>H34+H35+H36+H37+H38+H39+H40+H41+G42+H44+H45+H46</f>
        <v>213727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>
        <v>19</v>
      </c>
      <c r="D50" s="12">
        <f>C50*1.5</f>
        <v>28.5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412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46189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648</v>
      </c>
      <c r="D6" s="13">
        <f t="shared" ref="D6:D28" si="1">C6*L6</f>
        <v>493128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18</v>
      </c>
      <c r="D7" s="13">
        <f t="shared" si="1"/>
        <v>14058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40</v>
      </c>
      <c r="D9" s="13">
        <f t="shared" si="1"/>
        <v>29320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2</v>
      </c>
      <c r="D10" s="13">
        <f t="shared" si="1"/>
        <v>2064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15</v>
      </c>
      <c r="D11" s="13">
        <f t="shared" si="1"/>
        <v>17550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17+5</f>
        <v>22</v>
      </c>
      <c r="D12" s="48">
        <f t="shared" si="1"/>
        <v>21824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22</v>
      </c>
      <c r="D13" s="48">
        <f t="shared" si="1"/>
        <v>6754</v>
      </c>
      <c r="F13" s="166" t="s">
        <v>36</v>
      </c>
      <c r="G13" s="167"/>
      <c r="H13" s="168">
        <f>D29</f>
        <v>586130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85962.75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500167.25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f>1296+720</f>
        <v>2016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586130</v>
      </c>
      <c r="F29" s="189" t="s">
        <v>54</v>
      </c>
      <c r="G29" s="190"/>
      <c r="H29" s="193">
        <f>H15-H16-H17-H18-H19-H20-H22-H23-H24+H26+H27</f>
        <v>498151.25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221">
        <f>F34*G34</f>
        <v>5000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</v>
      </c>
      <c r="D42" s="12">
        <f>C42*2.25</f>
        <v>2.25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205">
        <v>80689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205">
        <v>2061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205">
        <v>140400</v>
      </c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37" t="s">
        <v>155</v>
      </c>
      <c r="G47" s="110" t="s">
        <v>200</v>
      </c>
      <c r="H47" s="205">
        <v>271017</v>
      </c>
      <c r="I47" s="205"/>
      <c r="J47" s="205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18</v>
      </c>
      <c r="D49" s="12">
        <f>C49*42</f>
        <v>756</v>
      </c>
      <c r="F49" s="246" t="s">
        <v>85</v>
      </c>
      <c r="G49" s="193">
        <f>H34+H35+H36+H37+H38+H39+H40+H41+G42+H44+H45+H46+H47</f>
        <v>499167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13</v>
      </c>
      <c r="D50" s="12">
        <f>C50*1.5</f>
        <v>19.5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1015.75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16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46190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335</v>
      </c>
      <c r="D6" s="13">
        <f t="shared" ref="D6:D28" si="1">C6*L6</f>
        <v>254935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12</v>
      </c>
      <c r="D9" s="13">
        <f t="shared" si="1"/>
        <v>8796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5</v>
      </c>
      <c r="D13" s="48">
        <f t="shared" si="1"/>
        <v>1535</v>
      </c>
      <c r="F13" s="166" t="s">
        <v>36</v>
      </c>
      <c r="G13" s="167"/>
      <c r="H13" s="168">
        <f>D29</f>
        <v>265398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38468.25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226929.75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18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6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265398</v>
      </c>
      <c r="F29" s="189" t="s">
        <v>54</v>
      </c>
      <c r="G29" s="190"/>
      <c r="H29" s="193">
        <f>H15-H16-H17-H18-H19-H20-H22-H23-H24+H26+H27+H28</f>
        <v>226929.75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221">
        <f t="shared" ref="H34:H39" si="2">F34*G34</f>
        <v>122000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21">
        <f t="shared" si="2"/>
        <v>34000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1">
        <f t="shared" si="2"/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221">
        <f t="shared" si="2"/>
        <v>700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</v>
      </c>
      <c r="D42" s="12">
        <f>C42*2.25</f>
        <v>2.25</v>
      </c>
      <c r="F42" s="39" t="s">
        <v>78</v>
      </c>
      <c r="G42" s="221">
        <v>59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205">
        <v>60000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140</v>
      </c>
      <c r="G45" s="62"/>
      <c r="H45" s="205">
        <v>9694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</v>
      </c>
      <c r="D49" s="12">
        <f>C49*42</f>
        <v>42</v>
      </c>
      <c r="F49" s="246" t="s">
        <v>85</v>
      </c>
      <c r="G49" s="193">
        <f>H34+H35+H36+H37+H38+H39+H40+H41+G42+H44+H45+H46</f>
        <v>226653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18</v>
      </c>
      <c r="D50" s="12">
        <f>C50*1.5</f>
        <v>27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-276.75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46190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292</v>
      </c>
      <c r="D6" s="13">
        <f t="shared" ref="D6:D28" si="1">C6*L6</f>
        <v>222212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15</v>
      </c>
      <c r="D9" s="13">
        <f t="shared" si="1"/>
        <v>10995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9</v>
      </c>
      <c r="D13" s="48">
        <f t="shared" si="1"/>
        <v>2763</v>
      </c>
      <c r="F13" s="166" t="s">
        <v>36</v>
      </c>
      <c r="G13" s="167"/>
      <c r="H13" s="168">
        <f>D29</f>
        <v>238898.5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34831.5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204067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>
        <v>12</v>
      </c>
      <c r="D22" s="48">
        <f t="shared" si="1"/>
        <v>504.5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6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238898.5</v>
      </c>
      <c r="F29" s="189" t="s">
        <v>54</v>
      </c>
      <c r="G29" s="190"/>
      <c r="H29" s="193">
        <f>H15-H16-H17-H18-H19-H20-H22-H23-H24+H26+H27</f>
        <v>202771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221">
        <f>F34*G34</f>
        <v>145000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21">
        <f>F35*G35</f>
        <v>51500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221">
        <f t="shared" si="2"/>
        <v>3500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221">
        <f t="shared" si="2"/>
        <v>2050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449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</v>
      </c>
      <c r="D44" s="12">
        <f>C44*120</f>
        <v>120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13</v>
      </c>
      <c r="D46" s="12">
        <f>C46*1.5</f>
        <v>19.5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</v>
      </c>
      <c r="D49" s="12">
        <f>C49*42</f>
        <v>42</v>
      </c>
      <c r="F49" s="246" t="s">
        <v>85</v>
      </c>
      <c r="G49" s="193">
        <f>H34+H35+H36+H37+H38+H39+H40+H41+G42+H44+H45+H46</f>
        <v>202519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>
        <v>16</v>
      </c>
      <c r="D50" s="12">
        <f>C50*1.5</f>
        <v>24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-252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46190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452</v>
      </c>
      <c r="D6" s="13">
        <f t="shared" ref="D6:D28" si="1">C6*L6</f>
        <v>343972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6</v>
      </c>
      <c r="D7" s="13">
        <f t="shared" si="1"/>
        <v>4686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1</v>
      </c>
      <c r="D8" s="13">
        <f t="shared" si="1"/>
        <v>1093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58</v>
      </c>
      <c r="D9" s="13">
        <f t="shared" si="1"/>
        <v>42514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3</v>
      </c>
      <c r="D10" s="13">
        <f t="shared" si="1"/>
        <v>3096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2</v>
      </c>
      <c r="D12" s="48">
        <f t="shared" si="1"/>
        <v>1984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15</v>
      </c>
      <c r="D13" s="48">
        <f t="shared" si="1"/>
        <v>4605</v>
      </c>
      <c r="F13" s="166" t="s">
        <v>36</v>
      </c>
      <c r="G13" s="167"/>
      <c r="H13" s="168">
        <f>D29</f>
        <v>403382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59484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343898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f>654+786+678</f>
        <v>2118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6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403382</v>
      </c>
      <c r="F29" s="189" t="s">
        <v>54</v>
      </c>
      <c r="G29" s="190"/>
      <c r="H29" s="193">
        <f>H15-H16-H17-H18-H19-H20-H22-H23-H24+H26+H27</f>
        <v>341730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221">
        <f>F34*G34</f>
        <v>107000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221">
        <f>F35*G35</f>
        <v>71000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221">
        <f t="shared" si="2"/>
        <v>1800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21">
        <f t="shared" si="2"/>
        <v>100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1">
        <v>111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205">
        <v>85945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205">
        <v>72690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6</v>
      </c>
      <c r="D49" s="12">
        <f>C49*42</f>
        <v>252</v>
      </c>
      <c r="F49" s="246" t="s">
        <v>85</v>
      </c>
      <c r="G49" s="193">
        <f>H34+H35+H36+H37+H38+H39+H40+H41+G42+H44+H45+H46</f>
        <v>338646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7</v>
      </c>
      <c r="D50" s="12">
        <f>C50*1.5</f>
        <v>10.5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-3084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16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46191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431</v>
      </c>
      <c r="D6" s="13">
        <f t="shared" ref="D6:D28" si="1">C6*L6</f>
        <v>327991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70</v>
      </c>
      <c r="D8" s="13">
        <f t="shared" si="1"/>
        <v>76510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9</v>
      </c>
      <c r="D13" s="48">
        <f t="shared" si="1"/>
        <v>2763</v>
      </c>
      <c r="F13" s="166" t="s">
        <v>36</v>
      </c>
      <c r="G13" s="167"/>
      <c r="H13" s="168">
        <f>D29</f>
        <v>407264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65709.75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341554.25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1296</f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 t="s">
        <v>136</v>
      </c>
      <c r="G22" s="72">
        <v>11015</v>
      </c>
      <c r="H22" s="203">
        <v>68110</v>
      </c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18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6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407264</v>
      </c>
      <c r="F29" s="189" t="s">
        <v>54</v>
      </c>
      <c r="G29" s="190"/>
      <c r="H29" s="193">
        <f>H15-H16-H17-H18-H19-H20-H22-H23-H24+H26+H27+H28</f>
        <v>272148.25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221">
        <f t="shared" ref="H34:H39" si="2">F34*G34</f>
        <v>41000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165</v>
      </c>
      <c r="H35" s="221">
        <f t="shared" si="2"/>
        <v>82500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496</v>
      </c>
      <c r="D37" s="12">
        <f>C37*111</f>
        <v>55056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11</v>
      </c>
      <c r="D38" s="12">
        <f>C38*84</f>
        <v>924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21">
        <f t="shared" si="2"/>
        <v>40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5</v>
      </c>
      <c r="D42" s="12">
        <f>C42*2.25</f>
        <v>11.25</v>
      </c>
      <c r="F42" s="39" t="s">
        <v>78</v>
      </c>
      <c r="G42" s="221">
        <v>101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70</v>
      </c>
      <c r="D44" s="12">
        <f>C44*120</f>
        <v>8400</v>
      </c>
      <c r="F44" s="37" t="s">
        <v>165</v>
      </c>
      <c r="G44" s="110" t="s">
        <v>203</v>
      </c>
      <c r="H44" s="205">
        <f>148000</f>
        <v>148000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2</v>
      </c>
      <c r="D45" s="12">
        <f>C45*84</f>
        <v>168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21</v>
      </c>
      <c r="D46" s="12">
        <f>C46*1.5</f>
        <v>31.5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10</v>
      </c>
      <c r="D49" s="12">
        <f>C49*42</f>
        <v>420</v>
      </c>
      <c r="F49" s="246" t="s">
        <v>85</v>
      </c>
      <c r="G49" s="193">
        <f>H34+H35+H36+H37+H38+H39+H40+H41+G42+H44+H45+H46</f>
        <v>271641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-507.25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65709.75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46191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262</v>
      </c>
      <c r="D6" s="13">
        <f t="shared" ref="D6:D28" si="1">C6*L6</f>
        <v>199382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10</v>
      </c>
      <c r="D7" s="13">
        <f t="shared" si="1"/>
        <v>7810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1</v>
      </c>
      <c r="D8" s="13">
        <f t="shared" si="1"/>
        <v>1093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20</v>
      </c>
      <c r="D9" s="13">
        <f t="shared" si="1"/>
        <v>14660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2+1</f>
        <v>3</v>
      </c>
      <c r="D12" s="48">
        <f t="shared" si="1"/>
        <v>2976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166" t="s">
        <v>36</v>
      </c>
      <c r="G13" s="167"/>
      <c r="H13" s="168">
        <f>D29</f>
        <v>230743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32746.5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197996.5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v>1092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6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230743</v>
      </c>
      <c r="F29" s="189" t="s">
        <v>54</v>
      </c>
      <c r="G29" s="190"/>
      <c r="H29" s="193">
        <f>H15-H16-H17-H18-H19-H20-H22-H23-H24+H26+H27</f>
        <v>196904.5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42</v>
      </c>
      <c r="H34" s="221">
        <f>F34*G34</f>
        <v>42000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21">
        <f>F35*G35</f>
        <v>21000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100</v>
      </c>
      <c r="H37" s="221">
        <f t="shared" si="2"/>
        <v>10000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32</v>
      </c>
      <c r="H38" s="221">
        <f t="shared" si="2"/>
        <v>1600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15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204</v>
      </c>
      <c r="H44" s="205">
        <v>122242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7</v>
      </c>
      <c r="D49" s="12">
        <f>C49*42</f>
        <v>294</v>
      </c>
      <c r="F49" s="246" t="s">
        <v>85</v>
      </c>
      <c r="G49" s="193">
        <f>H34+H35+H36+H37+H38+H39+H40+H41+G42+H44+H45+H46</f>
        <v>196857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>
        <v>4</v>
      </c>
      <c r="D50" s="12">
        <f>C50*1.5</f>
        <v>6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-47.5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32746.5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46191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520</v>
      </c>
      <c r="D6" s="13">
        <f t="shared" ref="D6:D28" si="1">C6*L6</f>
        <v>395720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</v>
      </c>
      <c r="D9" s="13">
        <f t="shared" si="1"/>
        <v>1466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2</v>
      </c>
      <c r="D10" s="13">
        <f t="shared" si="1"/>
        <v>2064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13</v>
      </c>
      <c r="D13" s="48">
        <f t="shared" si="1"/>
        <v>3991</v>
      </c>
      <c r="F13" s="166" t="s">
        <v>36</v>
      </c>
      <c r="G13" s="167"/>
      <c r="H13" s="168">
        <f>D29</f>
        <v>403373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67381.5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335991.5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654+312+1296+648</f>
        <v>2910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6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403373</v>
      </c>
      <c r="F29" s="189" t="s">
        <v>54</v>
      </c>
      <c r="G29" s="190"/>
      <c r="H29" s="193">
        <f>H15-H16-H17-H18-H19-H20-H22-H23-H24+H26+H27</f>
        <v>333081.5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84</v>
      </c>
      <c r="H34" s="221">
        <f>F34*G34</f>
        <v>84000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21">
        <f>F35*G35</f>
        <v>5500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21">
        <f t="shared" ref="H36:H39" si="2">F36*G36</f>
        <v>600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548</v>
      </c>
      <c r="D37" s="12">
        <f>C37*111</f>
        <v>60828</v>
      </c>
      <c r="F37" s="12">
        <v>100</v>
      </c>
      <c r="G37" s="39">
        <v>4</v>
      </c>
      <c r="H37" s="221">
        <f t="shared" si="2"/>
        <v>400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8</v>
      </c>
      <c r="H38" s="221">
        <f t="shared" si="2"/>
        <v>400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29</v>
      </c>
      <c r="D40" s="12">
        <f>C40*111</f>
        <v>3219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4</v>
      </c>
      <c r="D42" s="12">
        <f>C42*2.25</f>
        <v>9</v>
      </c>
      <c r="F42" s="39" t="s">
        <v>78</v>
      </c>
      <c r="G42" s="221">
        <v>4899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6</v>
      </c>
      <c r="D44" s="12">
        <f>C44*120</f>
        <v>720</v>
      </c>
      <c r="F44" s="37" t="s">
        <v>155</v>
      </c>
      <c r="G44" s="75" t="s">
        <v>205</v>
      </c>
      <c r="H44" s="205">
        <v>70468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 t="s">
        <v>155</v>
      </c>
      <c r="G45" s="75" t="s">
        <v>206</v>
      </c>
      <c r="H45" s="205">
        <v>140020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5</v>
      </c>
      <c r="D46" s="12">
        <f>C46*1.5</f>
        <v>7.5</v>
      </c>
      <c r="F46" s="37" t="s">
        <v>155</v>
      </c>
      <c r="G46" s="110" t="s">
        <v>207</v>
      </c>
      <c r="H46" s="205">
        <v>28290</v>
      </c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7</v>
      </c>
      <c r="D49" s="12">
        <f>C49*42</f>
        <v>294</v>
      </c>
      <c r="F49" s="246" t="s">
        <v>85</v>
      </c>
      <c r="G49" s="193">
        <f>H34+H35+H36+H37+H38+H39+H40+H41+G42+H44+H45+H46</f>
        <v>334577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13</v>
      </c>
      <c r="D50" s="12">
        <f>C50*1.5</f>
        <v>19.5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1495.5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67381.5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16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46192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 t="s">
        <v>209</v>
      </c>
      <c r="G26" s="65">
        <v>11001</v>
      </c>
      <c r="H26" s="205">
        <v>261949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18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6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261949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1">
        <f t="shared" ref="H34:H39" si="2"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132</v>
      </c>
      <c r="G44" s="62" t="s">
        <v>208</v>
      </c>
      <c r="H44" s="205">
        <v>261949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261949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46192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312</v>
      </c>
      <c r="D6" s="13">
        <f t="shared" ref="D6:D28" si="1">C6*L6</f>
        <v>237432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</v>
      </c>
      <c r="D7" s="13">
        <f t="shared" si="1"/>
        <v>3905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10</v>
      </c>
      <c r="D9" s="13">
        <f t="shared" si="1"/>
        <v>7330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8</v>
      </c>
      <c r="D13" s="48">
        <f t="shared" si="1"/>
        <v>2456</v>
      </c>
      <c r="F13" s="166" t="s">
        <v>36</v>
      </c>
      <c r="G13" s="167"/>
      <c r="H13" s="168">
        <f>D29</f>
        <v>251255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34557.75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216697.25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648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6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251255</v>
      </c>
      <c r="F29" s="189" t="s">
        <v>54</v>
      </c>
      <c r="G29" s="190"/>
      <c r="H29" s="193">
        <f>H15-H16-H17-H18-H19-H20-H22-H23-H24+H26+H27</f>
        <v>216049.25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179</v>
      </c>
      <c r="H34" s="221">
        <f>F34*G34</f>
        <v>179000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21">
        <f>F35*G35</f>
        <v>34000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21">
        <f t="shared" ref="H36:H39" si="2">F36*G36</f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13</v>
      </c>
      <c r="H37" s="221">
        <f t="shared" si="2"/>
        <v>1300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12</v>
      </c>
      <c r="H38" s="221">
        <f t="shared" si="2"/>
        <v>600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1">
        <v>188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</v>
      </c>
      <c r="D49" s="12">
        <f>C49*42</f>
        <v>42</v>
      </c>
      <c r="F49" s="246" t="s">
        <v>85</v>
      </c>
      <c r="G49" s="193">
        <f>H34+H35+H36+H37+H38+H39+H40+H41+G42+H44+H45+H46</f>
        <v>215288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3</v>
      </c>
      <c r="D50" s="12">
        <f>C50*1.5</f>
        <v>4.5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-761.25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34557.75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46192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379</v>
      </c>
      <c r="D6" s="13">
        <f t="shared" ref="D6:D28" si="1">C6*L6</f>
        <v>288419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10</v>
      </c>
      <c r="D7" s="13">
        <f t="shared" si="1"/>
        <v>7810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35</v>
      </c>
      <c r="D9" s="13">
        <f t="shared" si="1"/>
        <v>25655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13</v>
      </c>
      <c r="D13" s="48">
        <f t="shared" si="1"/>
        <v>3991</v>
      </c>
      <c r="F13" s="166" t="s">
        <v>36</v>
      </c>
      <c r="G13" s="167"/>
      <c r="H13" s="168">
        <f>D29</f>
        <v>327175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50172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277003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f>900+798+420</f>
        <v>2118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6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327175</v>
      </c>
      <c r="F29" s="189" t="s">
        <v>54</v>
      </c>
      <c r="G29" s="190"/>
      <c r="H29" s="193">
        <f>H15-H16-H17-H18-H19-H20-H22-H23-H24+H26+H27</f>
        <v>274885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132</v>
      </c>
      <c r="H34" s="221">
        <f>F34*G34</f>
        <v>132000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221">
        <f>F35*G35</f>
        <v>42500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21">
        <f t="shared" ref="H36:H39" si="2">F36*G36</f>
        <v>400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422</v>
      </c>
      <c r="D37" s="12">
        <f>C37*111</f>
        <v>46842</v>
      </c>
      <c r="F37" s="12">
        <v>100</v>
      </c>
      <c r="G37" s="39">
        <v>23</v>
      </c>
      <c r="H37" s="221">
        <f t="shared" si="2"/>
        <v>2300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6</v>
      </c>
      <c r="D42" s="12">
        <f>C42*2.25</f>
        <v>13.5</v>
      </c>
      <c r="F42" s="39" t="s">
        <v>78</v>
      </c>
      <c r="G42" s="221">
        <v>15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132</v>
      </c>
      <c r="G44" s="62" t="s">
        <v>210</v>
      </c>
      <c r="H44" s="205">
        <v>98385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</v>
      </c>
      <c r="D49" s="12">
        <f>C49*42</f>
        <v>42</v>
      </c>
      <c r="F49" s="246" t="s">
        <v>85</v>
      </c>
      <c r="G49" s="193">
        <f>H34+H35+H36+H37+H38+H39+H40+H41+G42+H44+H45+H46</f>
        <v>275620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3</v>
      </c>
      <c r="D50" s="12">
        <f>C50*1.5</f>
        <v>4.5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735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50172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54BE-F164-47DD-9463-0A843B00233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20" t="s">
        <v>2</v>
      </c>
      <c r="Q1" s="12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21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9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4D4A-D676-446A-9863-B8392A4C7A7C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46193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 t="s">
        <v>136</v>
      </c>
      <c r="G26" s="65">
        <v>11015</v>
      </c>
      <c r="H26" s="205">
        <v>68110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19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68110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67</v>
      </c>
      <c r="H34" s="221">
        <f t="shared" ref="H34:H39" si="2">F34*G34</f>
        <v>67000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21">
        <f t="shared" si="2"/>
        <v>1000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21">
        <f t="shared" si="2"/>
        <v>100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10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68110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79497-FB44-4201-82EB-D16FEC084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46193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2FB2-B400-4F4F-913B-EECD174601A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46193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F68AC-ED09-412C-8F9F-BC61EF0EAC95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25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3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FB1F-F449-4F11-9DAC-9689C352CE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46195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23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5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1">
        <f t="shared" ref="H34:H39" si="2"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3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0BD4-24C3-423B-922C-11257576D2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46195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5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3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04ED-4A6F-4167-B6E6-5855E23C2D0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46195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5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3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25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3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46196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23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5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1">
        <f t="shared" ref="H34:H39" si="2"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3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46196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5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3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46196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5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3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79</vt:i4>
      </vt:variant>
      <vt:variant>
        <vt:lpstr>Named Ranges</vt:lpstr>
      </vt:variant>
      <vt:variant>
        <vt:i4>78</vt:i4>
      </vt:variant>
    </vt:vector>
  </HeadingPairs>
  <TitlesOfParts>
    <vt:vector size="157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 COLLECTION</vt:lpstr>
      <vt:lpstr>06,19 R2</vt:lpstr>
      <vt:lpstr>06,19 R3</vt:lpstr>
      <vt:lpstr>(20)</vt:lpstr>
      <vt:lpstr>06,20 R1 </vt:lpstr>
      <vt:lpstr>06,20 R2</vt:lpstr>
      <vt:lpstr>06,20 R3</vt:lpstr>
      <vt:lpstr>(22)</vt:lpstr>
      <vt:lpstr>06,22 R1</vt:lpstr>
      <vt:lpstr>06,22 R2</vt:lpstr>
      <vt:lpstr>06,22 R3</vt:lpstr>
      <vt:lpstr>(23)</vt:lpstr>
      <vt:lpstr>06,23 R1</vt:lpstr>
      <vt:lpstr>06,23 R2</vt:lpstr>
      <vt:lpstr>06,23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 COLLECTION'!Print_Area</vt:lpstr>
      <vt:lpstr>'06,19 R2'!Print_Area</vt:lpstr>
      <vt:lpstr>'06,19 R3'!Print_Area</vt:lpstr>
      <vt:lpstr>'06,20 R1 '!Print_Area</vt:lpstr>
      <vt:lpstr>'06,20 R2'!Print_Area</vt:lpstr>
      <vt:lpstr>'06,20 R3'!Print_Area</vt:lpstr>
      <vt:lpstr>'06,22 R1'!Print_Area</vt:lpstr>
      <vt:lpstr>'06,22 R2'!Print_Area</vt:lpstr>
      <vt:lpstr>'06,22 R3'!Print_Area</vt:lpstr>
      <vt:lpstr>'06,23 R1'!Print_Area</vt:lpstr>
      <vt:lpstr>'06,23 R2'!Print_Area</vt:lpstr>
      <vt:lpstr>'06,23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2026-06-22T00:58:43Z</cp:lastPrinted>
  <dcterms:created xsi:type="dcterms:W3CDTF">2024-09-01T23:36:50Z</dcterms:created>
  <dcterms:modified xsi:type="dcterms:W3CDTF">2026-06-22T00:59:29Z</dcterms:modified>
</cp:coreProperties>
</file>