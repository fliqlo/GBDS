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05B0A43-CF66-42FB-9531-076E0C8E6A7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</commentList>
</comments>
</file>

<file path=xl/sharedStrings.xml><?xml version="1.0" encoding="utf-8"?>
<sst xmlns="http://schemas.openxmlformats.org/spreadsheetml/2006/main" count="72" uniqueCount="22">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</sst>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E45" sqref="E4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5" t="s">
        <v>14</v>
      </c>
      <c r="H9" s="14" t="s">
        <v>21</v>
      </c>
      <c r="I9" s="45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/>
      <c r="D11" s="32"/>
      <c r="E11" s="31"/>
      <c r="F11" s="32"/>
      <c r="G11" s="31"/>
      <c r="H11" s="32"/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1"/>
      <c r="H13" s="34"/>
      <c r="I13" s="31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1"/>
      <c r="H14" s="34"/>
      <c r="I14" s="31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2" t="s">
        <v>0</v>
      </c>
      <c r="D16" s="43"/>
      <c r="E16" s="43"/>
      <c r="F16" s="43"/>
      <c r="G16" s="43"/>
      <c r="H16" s="43"/>
      <c r="I16" s="43"/>
      <c r="J16" s="43"/>
      <c r="K16" s="44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1"/>
      <c r="H17" s="34"/>
      <c r="I17" s="31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2"/>
      <c r="D22" s="43"/>
      <c r="E22" s="43"/>
      <c r="F22" s="43"/>
      <c r="G22" s="43"/>
      <c r="H22" s="43"/>
      <c r="I22" s="43"/>
      <c r="J22" s="43"/>
      <c r="K22" s="4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2" t="s">
        <v>0</v>
      </c>
      <c r="D23" s="43"/>
      <c r="E23" s="43"/>
      <c r="F23" s="43"/>
      <c r="G23" s="43"/>
      <c r="H23" s="43"/>
      <c r="I23" s="43"/>
      <c r="J23" s="43"/>
      <c r="K23" s="44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6"/>
      <c r="H27" s="33"/>
      <c r="I27" s="46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6"/>
      <c r="H28" s="33"/>
      <c r="I28" s="46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6"/>
      <c r="H29" s="33"/>
      <c r="I29" s="46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2" t="s">
        <v>0</v>
      </c>
      <c r="D30" s="43"/>
      <c r="E30" s="43"/>
      <c r="F30" s="43"/>
      <c r="G30" s="43"/>
      <c r="H30" s="43"/>
      <c r="I30" s="43"/>
      <c r="J30" s="43"/>
      <c r="K30" s="44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6"/>
      <c r="H31" s="33"/>
      <c r="I31" s="46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6"/>
      <c r="H36" s="33"/>
      <c r="I36" s="46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2" t="s">
        <v>0</v>
      </c>
      <c r="D37" s="43"/>
      <c r="E37" s="43"/>
      <c r="F37" s="43"/>
      <c r="G37" s="43"/>
      <c r="H37" s="43"/>
      <c r="I37" s="43"/>
      <c r="J37" s="43"/>
      <c r="K37" s="44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2"/>
      <c r="D42" s="43"/>
      <c r="E42" s="43"/>
      <c r="F42" s="43"/>
      <c r="G42" s="43"/>
      <c r="H42" s="43"/>
      <c r="I42" s="43"/>
      <c r="J42" s="43"/>
      <c r="K42" s="44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>SUM(C10:C42)</f>
        <v>475222.5</v>
      </c>
      <c r="D43" s="16">
        <f>SUM(D10:D42)</f>
        <v>486611.75</v>
      </c>
      <c r="E43" s="28">
        <f>SUM(E10:E42)</f>
        <v>710.75</v>
      </c>
      <c r="F43" s="16">
        <f>SUM(F10:F42)</f>
        <v>0</v>
      </c>
      <c r="G43" s="28">
        <f>SUM(G10:G42)</f>
        <v>2760</v>
      </c>
      <c r="H43" s="16">
        <f>SUM(H10:H42)</f>
        <v>485901</v>
      </c>
      <c r="I43" s="28">
        <f t="shared" ref="I43:J43" si="0">SUM(I10:I42)</f>
        <v>0</v>
      </c>
      <c r="J43" s="16">
        <f t="shared" si="0"/>
        <v>68780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30:K30"/>
    <mergeCell ref="C37:K37"/>
    <mergeCell ref="C42:K42"/>
    <mergeCell ref="C16:K16"/>
    <mergeCell ref="C22:K22"/>
    <mergeCell ref="C23:K2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B7" sqref="B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5" t="s">
        <v>14</v>
      </c>
      <c r="H9" s="14" t="s">
        <v>21</v>
      </c>
      <c r="I9" s="45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/>
      <c r="D11" s="32"/>
      <c r="E11" s="31"/>
      <c r="F11" s="32"/>
      <c r="G11" s="32"/>
      <c r="H11" s="32"/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2"/>
      <c r="H13" s="34"/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2" t="s">
        <v>0</v>
      </c>
      <c r="D16" s="43"/>
      <c r="E16" s="43"/>
      <c r="F16" s="43"/>
      <c r="G16" s="43"/>
      <c r="H16" s="43"/>
      <c r="I16" s="43"/>
      <c r="J16" s="43"/>
      <c r="K16" s="44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2"/>
      <c r="D22" s="43"/>
      <c r="E22" s="43"/>
      <c r="F22" s="43"/>
      <c r="G22" s="43"/>
      <c r="H22" s="43"/>
      <c r="I22" s="43"/>
      <c r="J22" s="43"/>
      <c r="K22" s="4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2" t="s">
        <v>0</v>
      </c>
      <c r="D23" s="43"/>
      <c r="E23" s="43"/>
      <c r="F23" s="43"/>
      <c r="G23" s="43"/>
      <c r="H23" s="43"/>
      <c r="I23" s="43"/>
      <c r="J23" s="43"/>
      <c r="K23" s="44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2" t="s">
        <v>0</v>
      </c>
      <c r="D30" s="43"/>
      <c r="E30" s="43"/>
      <c r="F30" s="43"/>
      <c r="G30" s="43"/>
      <c r="H30" s="43"/>
      <c r="I30" s="43"/>
      <c r="J30" s="43"/>
      <c r="K30" s="44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2" t="s">
        <v>0</v>
      </c>
      <c r="D37" s="43"/>
      <c r="E37" s="43"/>
      <c r="F37" s="43"/>
      <c r="G37" s="43"/>
      <c r="H37" s="43"/>
      <c r="I37" s="43"/>
      <c r="J37" s="43"/>
      <c r="K37" s="44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2"/>
      <c r="D42" s="43"/>
      <c r="E42" s="43"/>
      <c r="F42" s="43"/>
      <c r="G42" s="43"/>
      <c r="H42" s="43"/>
      <c r="I42" s="43"/>
      <c r="J42" s="43"/>
      <c r="K42" s="44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>SUM(C10:C42)</f>
        <v>247146</v>
      </c>
      <c r="D43" s="16">
        <f>SUM(D10:D42)</f>
        <v>210265.75</v>
      </c>
      <c r="E43" s="28">
        <f>SUM(E10:E42)</f>
        <v>175.75</v>
      </c>
      <c r="F43" s="16">
        <f>SUM(F10:F42)</f>
        <v>0</v>
      </c>
      <c r="G43" s="28">
        <f>SUM(G10:G42)</f>
        <v>696</v>
      </c>
      <c r="H43" s="16">
        <f>SUM(H10:H42)</f>
        <v>210092</v>
      </c>
      <c r="I43" s="28">
        <f t="shared" ref="I43:J43" si="0">SUM(I10:I42)</f>
        <v>0</v>
      </c>
      <c r="J43" s="16">
        <f t="shared" si="0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23:K23"/>
    <mergeCell ref="C16:K16"/>
    <mergeCell ref="C22:K22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B7" sqref="B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5" t="s">
        <v>14</v>
      </c>
      <c r="H9" s="14" t="s">
        <v>21</v>
      </c>
      <c r="I9" s="45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/>
      <c r="D11" s="32"/>
      <c r="E11" s="31"/>
      <c r="F11" s="32"/>
      <c r="G11" s="32"/>
      <c r="H11" s="32"/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2"/>
      <c r="H13" s="34"/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2" t="s">
        <v>0</v>
      </c>
      <c r="D16" s="43"/>
      <c r="E16" s="43"/>
      <c r="F16" s="43"/>
      <c r="G16" s="43"/>
      <c r="H16" s="43"/>
      <c r="I16" s="43"/>
      <c r="J16" s="43"/>
      <c r="K16" s="44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2"/>
      <c r="D22" s="43"/>
      <c r="E22" s="43"/>
      <c r="F22" s="43"/>
      <c r="G22" s="43"/>
      <c r="H22" s="43"/>
      <c r="I22" s="43"/>
      <c r="J22" s="43"/>
      <c r="K22" s="4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2" t="s">
        <v>0</v>
      </c>
      <c r="D23" s="43"/>
      <c r="E23" s="43"/>
      <c r="F23" s="43"/>
      <c r="G23" s="43"/>
      <c r="H23" s="43"/>
      <c r="I23" s="43"/>
      <c r="J23" s="43"/>
      <c r="K23" s="44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2" t="s">
        <v>0</v>
      </c>
      <c r="D30" s="43"/>
      <c r="E30" s="43"/>
      <c r="F30" s="43"/>
      <c r="G30" s="43"/>
      <c r="H30" s="43"/>
      <c r="I30" s="43"/>
      <c r="J30" s="43"/>
      <c r="K30" s="44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2" t="s">
        <v>0</v>
      </c>
      <c r="D37" s="43"/>
      <c r="E37" s="43"/>
      <c r="F37" s="43"/>
      <c r="G37" s="43"/>
      <c r="H37" s="43"/>
      <c r="I37" s="43"/>
      <c r="J37" s="43"/>
      <c r="K37" s="44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2"/>
      <c r="D42" s="43"/>
      <c r="E42" s="43"/>
      <c r="F42" s="43"/>
      <c r="G42" s="43"/>
      <c r="H42" s="43"/>
      <c r="I42" s="43"/>
      <c r="J42" s="43"/>
      <c r="K42" s="44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>SUM(C10:C42)</f>
        <v>266056</v>
      </c>
      <c r="D43" s="16">
        <f>SUM(D10:D42)</f>
        <v>206692</v>
      </c>
      <c r="E43" s="28">
        <f>SUM(E10:E42)</f>
        <v>6000</v>
      </c>
      <c r="F43" s="16">
        <f>SUM(F10:F42)</f>
        <v>0</v>
      </c>
      <c r="G43" s="28">
        <f>SUM(G10:G42)</f>
        <v>1092</v>
      </c>
      <c r="H43" s="16">
        <f>SUM(H10:H42)</f>
        <v>200692</v>
      </c>
      <c r="I43" s="16">
        <f t="shared" ref="I43:J43" si="0">SUM(I10:I42)</f>
        <v>0</v>
      </c>
      <c r="J43" s="16">
        <f t="shared" si="0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6:K16"/>
    <mergeCell ref="C23:K23"/>
    <mergeCell ref="C30:K30"/>
    <mergeCell ref="C37:K37"/>
    <mergeCell ref="C42:K42"/>
    <mergeCell ref="C22:K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2026-06-02T01:04:09Z</dcterms:modified>
</cp:coreProperties>
</file>