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2CB7A92E-F0F5-43D0-A28A-C4198E068673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JUNE, SRS R1" sheetId="6" r:id="rId1"/>
    <sheet name="JUNE, SRS R2" sheetId="12" r:id="rId2"/>
    <sheet name="JUNE, SRS R3" sheetId="13" r:id="rId3"/>
    <sheet name="," sheetId="14" r:id="rId4"/>
  </sheets>
  <definedNames>
    <definedName name="_xlnm.Print_Area" localSheetId="0">'JUNE, SRS R1'!$A$1:$K$44</definedName>
    <definedName name="_xlnm.Print_Area" localSheetId="1">'JUNE, SRS R2'!$A$1:$K$44</definedName>
    <definedName name="_xlnm.Print_Area" localSheetId="2">'JUNE, SRS R3'!$A$1:$K$44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28" i="13" l="1"/>
  <c r="J25" i="6" l="1"/>
  <c r="I25" i="6"/>
  <c r="G11" i="13" l="1"/>
  <c r="I43" i="12" l="1"/>
  <c r="J43" i="12"/>
  <c r="G43" i="12"/>
  <c r="D43" i="12"/>
  <c r="I43" i="6"/>
  <c r="J43" i="6"/>
  <c r="G43" i="6"/>
  <c r="D43" i="6"/>
  <c r="D43" i="13"/>
  <c r="G43" i="13"/>
  <c r="I43" i="13"/>
  <c r="J43" i="13"/>
  <c r="K43" i="6" l="1"/>
  <c r="H43" i="6"/>
  <c r="F43" i="6"/>
  <c r="E43" i="6"/>
  <c r="C43" i="6"/>
  <c r="K43" i="12"/>
  <c r="H43" i="12"/>
  <c r="F43" i="12"/>
  <c r="E43" i="12"/>
  <c r="C43" i="12"/>
  <c r="K43" i="13" l="1"/>
  <c r="H43" i="13"/>
  <c r="F43" i="13"/>
  <c r="E43" i="13"/>
  <c r="C43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0" authorId="0" shapeId="0" xr:uid="{8B38E3D4-1F30-496D-A8D6-9F786023C9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</t>
        </r>
      </text>
    </comment>
    <comment ref="I12" authorId="0" shapeId="0" xr:uid="{23E3D51F-92F5-4A2F-B8A3-FB24079ADD1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S.I. NO. 10843</t>
        </r>
      </text>
    </comment>
    <comment ref="J12" authorId="0" shapeId="0" xr:uid="{FE4B4EC7-5870-4A20-B3D2-51E46B83AAE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S.I. NO. 10547</t>
        </r>
      </text>
    </comment>
    <comment ref="J15" authorId="0" shapeId="0" xr:uid="{867EA403-261B-4920-809A-F301CCEA5C4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SI NO. 10850</t>
        </r>
      </text>
    </comment>
    <comment ref="I21" authorId="0" shapeId="0" xr:uid="{47571E67-2407-454F-B2DA-49E9E464DF8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JONTHAN CENAS
SI NO. 10941</t>
        </r>
      </text>
    </comment>
    <comment ref="J22" authorId="0" shapeId="0" xr:uid="{70424F86-D89D-4272-A5BF-7063AE01EB2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JONATHAN CENAS
SI NO. 10941</t>
        </r>
      </text>
    </comment>
    <comment ref="I25" authorId="0" shapeId="0" xr:uid="{792B610C-9682-4CA9-B70C-97DDC294CA7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DANYEN STORE
SI NO. 11001
BALWARTE
SI NO. 10950</t>
        </r>
      </text>
    </comment>
    <comment ref="I27" authorId="0" shapeId="0" xr:uid="{9823541A-285D-4B03-AE50-3B4F09BBAC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SI NO. 11015</t>
        </r>
      </text>
    </comment>
    <comment ref="J28" authorId="0" shapeId="0" xr:uid="{F9DF04CC-819C-44D3-990E-F5C06D90BB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
SI NO. 11001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20" authorId="0" shapeId="0" xr:uid="{25751F20-122E-4471-B3E9-0CBFBFBE6E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SI NO. 10938</t>
        </r>
      </text>
    </comment>
  </commentList>
</comments>
</file>

<file path=xl/sharedStrings.xml><?xml version="1.0" encoding="utf-8"?>
<sst xmlns="http://schemas.openxmlformats.org/spreadsheetml/2006/main" count="83" uniqueCount="23">
  <si>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</si>
  <si>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</si>
  <si>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</si>
  <si>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</si>
  <si>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</si>
  <si>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</si>
  <si>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</si>
  <si>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</si>
  <si>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</si>
  <si>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</si>
  <si>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</si>
  <si>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</si>
  <si>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</si>
  <si>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</si>
  <si>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DISCOUNT</t>
  </si>
  <si>
    <t>TOTAL SALES</t>
  </si>
  <si>
    <t>NET SALES</t>
  </si>
  <si>
    <t>JUNE</t>
  </si>
  <si>
    <t>COLLECTION</t>
  </si>
  <si>
    <t>CREDIT</t>
  </si>
  <si>
    <t xml:space="preserve">CREDIT </t>
  </si>
  <si>
    <t>TOTAL REM.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</si>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</sst>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7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2" fillId="0" borderId="1" xfId="0" applyFont="1" applyBorder="1"/>
    <xf numFmtId="164" fontId="2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2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2" fillId="0" borderId="6" xfId="1" applyFont="1" applyBorder="1"/>
    <xf numFmtId="164" fontId="2" fillId="0" borderId="1" xfId="1" applyFont="1" applyBorder="1" applyAlignment="1"/>
    <xf numFmtId="165" fontId="9" fillId="0" borderId="1" xfId="0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/>
    </xf>
    <xf numFmtId="164" fontId="2" fillId="0" borderId="4" xfId="1" applyFont="1" applyBorder="1"/>
    <xf numFmtId="0" fontId="0" fillId="0" borderId="4" xfId="0" applyBorder="1" applyAlignment="1">
      <alignment horizontal="center"/>
    </xf>
    <xf numFmtId="165" fontId="9" fillId="0" borderId="0" xfId="0" applyNumberFormat="1" applyFont="1" applyBorder="1" applyAlignment="1">
      <alignment horizontal="center" vertical="center"/>
    </xf>
    <xf numFmtId="164" fontId="9" fillId="0" borderId="1" xfId="1" applyFont="1" applyBorder="1"/>
    <xf numFmtId="0" fontId="0" fillId="0" borderId="0" xfId="0" applyBorder="1"/>
    <xf numFmtId="0" fontId="13" fillId="3" borderId="1" xfId="0" applyFont="1" applyFill="1" applyBorder="1" applyAlignment="1">
      <alignment horizontal="center"/>
    </xf>
    <xf numFmtId="164" fontId="9" fillId="0" borderId="6" xfId="1" applyFont="1" applyBorder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V279"/>
  <sheetViews>
    <sheetView zoomScaleNormal="100" zoomScaleSheetLayoutView="100" workbookViewId="0">
      <selection activeCell="C33" sqref="C33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41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17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10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42" t="s">
        <v>14</v>
      </c>
      <c r="H9" s="14" t="s">
        <v>21</v>
      </c>
      <c r="I9" s="42" t="s">
        <v>19</v>
      </c>
      <c r="J9" s="14" t="s">
        <v>18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7">
        <v>46174</v>
      </c>
      <c r="C10" s="32">
        <v>475222.5</v>
      </c>
      <c r="D10" s="32">
        <v>486611.75</v>
      </c>
      <c r="E10" s="31">
        <v>710.75</v>
      </c>
      <c r="F10" s="32"/>
      <c r="G10" s="31">
        <v>2760</v>
      </c>
      <c r="H10" s="32">
        <v>485901</v>
      </c>
      <c r="I10" s="31"/>
      <c r="J10" s="32">
        <v>68780</v>
      </c>
      <c r="K10" s="3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7">
        <v>46175</v>
      </c>
      <c r="C11" s="32">
        <v>242753</v>
      </c>
      <c r="D11" s="32">
        <v>207146</v>
      </c>
      <c r="E11" s="31"/>
      <c r="F11" s="32">
        <v>118</v>
      </c>
      <c r="G11" s="31">
        <v>42</v>
      </c>
      <c r="H11" s="32">
        <v>207264</v>
      </c>
      <c r="I11" s="31"/>
      <c r="J11" s="32"/>
      <c r="K11" s="3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7">
        <v>46176</v>
      </c>
      <c r="C12" s="32">
        <v>361570</v>
      </c>
      <c r="D12" s="32">
        <v>307410.5</v>
      </c>
      <c r="E12" s="31">
        <v>1277.5</v>
      </c>
      <c r="F12" s="31"/>
      <c r="G12" s="31">
        <v>1944</v>
      </c>
      <c r="H12" s="32">
        <v>306133</v>
      </c>
      <c r="I12" s="31">
        <v>88549</v>
      </c>
      <c r="J12" s="32">
        <v>78233</v>
      </c>
      <c r="K12" s="3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7">
        <v>46177</v>
      </c>
      <c r="C13" s="32">
        <v>508853</v>
      </c>
      <c r="D13" s="32">
        <v>361302.25</v>
      </c>
      <c r="E13" s="31">
        <v>734.25</v>
      </c>
      <c r="F13" s="32"/>
      <c r="G13" s="31">
        <v>3042</v>
      </c>
      <c r="H13" s="34">
        <v>360568</v>
      </c>
      <c r="I13" s="31">
        <v>62272</v>
      </c>
      <c r="J13" s="34"/>
      <c r="K13" s="32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7">
        <v>46178</v>
      </c>
      <c r="C14" s="44" t="s">
        <v>22</v>
      </c>
      <c r="D14" s="45"/>
      <c r="E14" s="45"/>
      <c r="F14" s="45"/>
      <c r="G14" s="45"/>
      <c r="H14" s="45"/>
      <c r="I14" s="45"/>
      <c r="J14" s="45"/>
      <c r="K14" s="46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7">
        <v>46179</v>
      </c>
      <c r="C15" s="31"/>
      <c r="D15" s="31"/>
      <c r="E15" s="31"/>
      <c r="F15" s="31"/>
      <c r="G15" s="31"/>
      <c r="H15" s="31"/>
      <c r="I15" s="31"/>
      <c r="J15" s="34">
        <v>62272</v>
      </c>
      <c r="K15" s="32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35" t="s">
        <v>0</v>
      </c>
      <c r="C16" s="44" t="s">
        <v>0</v>
      </c>
      <c r="D16" s="45"/>
      <c r="E16" s="45"/>
      <c r="F16" s="45"/>
      <c r="G16" s="45"/>
      <c r="H16" s="45"/>
      <c r="I16" s="45"/>
      <c r="J16" s="45"/>
      <c r="K16" s="46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7">
        <v>46181</v>
      </c>
      <c r="C17" s="44" t="s">
        <v>22</v>
      </c>
      <c r="D17" s="45"/>
      <c r="E17" s="45"/>
      <c r="F17" s="45"/>
      <c r="G17" s="45"/>
      <c r="H17" s="45"/>
      <c r="I17" s="45"/>
      <c r="J17" s="45"/>
      <c r="K17" s="46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7">
        <v>46182</v>
      </c>
      <c r="C18" s="32">
        <v>284998</v>
      </c>
      <c r="D18" s="32">
        <v>249779.5</v>
      </c>
      <c r="E18" s="31">
        <v>351.5</v>
      </c>
      <c r="F18" s="31"/>
      <c r="G18" s="31"/>
      <c r="H18" s="32">
        <v>249428</v>
      </c>
      <c r="I18" s="31"/>
      <c r="J18" s="31"/>
      <c r="K18" s="3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7">
        <v>46183</v>
      </c>
      <c r="C19" s="34">
        <v>262429</v>
      </c>
      <c r="D19" s="34">
        <v>224855.5</v>
      </c>
      <c r="E19" s="31">
        <v>185.5</v>
      </c>
      <c r="F19" s="31"/>
      <c r="G19" s="31"/>
      <c r="H19" s="34">
        <v>224670</v>
      </c>
      <c r="I19" s="31"/>
      <c r="J19" s="31"/>
      <c r="K19" s="3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7">
        <v>46184</v>
      </c>
      <c r="C20" s="44" t="s">
        <v>22</v>
      </c>
      <c r="D20" s="45"/>
      <c r="E20" s="45"/>
      <c r="F20" s="45"/>
      <c r="G20" s="45"/>
      <c r="H20" s="45"/>
      <c r="I20" s="45"/>
      <c r="J20" s="45"/>
      <c r="K20" s="46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7">
        <v>46185</v>
      </c>
      <c r="C21" s="32">
        <v>410353</v>
      </c>
      <c r="D21" s="32">
        <v>245949.5</v>
      </c>
      <c r="E21" s="31">
        <v>334.5</v>
      </c>
      <c r="F21" s="34"/>
      <c r="G21" s="31">
        <v>1074</v>
      </c>
      <c r="H21" s="34">
        <v>245615</v>
      </c>
      <c r="I21" s="31">
        <v>123065</v>
      </c>
      <c r="J21" s="34"/>
      <c r="K21" s="34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7">
        <v>46186</v>
      </c>
      <c r="C22" s="32"/>
      <c r="D22" s="32">
        <v>123065</v>
      </c>
      <c r="E22" s="31"/>
      <c r="F22" s="34"/>
      <c r="G22" s="31"/>
      <c r="H22" s="34"/>
      <c r="I22" s="31"/>
      <c r="J22" s="34">
        <v>123065</v>
      </c>
      <c r="K22" s="34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35" t="s">
        <v>0</v>
      </c>
      <c r="C23" s="44" t="s">
        <v>0</v>
      </c>
      <c r="D23" s="45"/>
      <c r="E23" s="45"/>
      <c r="F23" s="45"/>
      <c r="G23" s="45"/>
      <c r="H23" s="45"/>
      <c r="I23" s="45"/>
      <c r="J23" s="45"/>
      <c r="K23" s="46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7">
        <v>46188</v>
      </c>
      <c r="C24" s="32">
        <v>337138</v>
      </c>
      <c r="D24" s="32">
        <v>301661.90999999997</v>
      </c>
      <c r="E24" s="31">
        <v>713.91</v>
      </c>
      <c r="F24" s="34"/>
      <c r="G24" s="31">
        <v>2430</v>
      </c>
      <c r="H24" s="34">
        <v>300948</v>
      </c>
      <c r="I24" s="31"/>
      <c r="J24" s="34"/>
      <c r="K24" s="34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7">
        <v>46189</v>
      </c>
      <c r="C25" s="32">
        <v>550495</v>
      </c>
      <c r="D25" s="32">
        <v>178173.5</v>
      </c>
      <c r="E25" s="31">
        <v>983.5</v>
      </c>
      <c r="F25" s="31"/>
      <c r="G25" s="31">
        <v>2592</v>
      </c>
      <c r="H25" s="32">
        <v>177190</v>
      </c>
      <c r="I25" s="31">
        <f>261949+93725</f>
        <v>355674</v>
      </c>
      <c r="J25" s="32">
        <f>88549</f>
        <v>88549</v>
      </c>
      <c r="K25" s="31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7">
        <v>46190</v>
      </c>
      <c r="C26" s="32">
        <v>265398</v>
      </c>
      <c r="D26" s="32">
        <v>226929.75</v>
      </c>
      <c r="E26" s="31">
        <v>276.75</v>
      </c>
      <c r="F26" s="31"/>
      <c r="G26" s="31"/>
      <c r="H26" s="32">
        <v>226653</v>
      </c>
      <c r="I26" s="31"/>
      <c r="J26" s="31"/>
      <c r="K26" s="31"/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7">
        <v>46191</v>
      </c>
      <c r="C27" s="11">
        <v>407264</v>
      </c>
      <c r="D27" s="37">
        <v>272148.25</v>
      </c>
      <c r="E27" s="13">
        <v>507.25</v>
      </c>
      <c r="F27" s="11"/>
      <c r="G27" s="43">
        <v>1296</v>
      </c>
      <c r="H27" s="33">
        <v>271641</v>
      </c>
      <c r="I27" s="43">
        <v>68110</v>
      </c>
      <c r="J27" s="33"/>
      <c r="K27" s="30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7">
        <v>46192</v>
      </c>
      <c r="C28" s="11"/>
      <c r="D28" s="37">
        <v>261949</v>
      </c>
      <c r="E28" s="13"/>
      <c r="F28" s="11"/>
      <c r="G28" s="43"/>
      <c r="H28" s="33">
        <v>261949</v>
      </c>
      <c r="I28" s="43"/>
      <c r="J28" s="33">
        <v>261949</v>
      </c>
      <c r="K28" s="30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7">
        <v>46193</v>
      </c>
      <c r="C29" s="44" t="s">
        <v>22</v>
      </c>
      <c r="D29" s="45"/>
      <c r="E29" s="45"/>
      <c r="F29" s="45"/>
      <c r="G29" s="45"/>
      <c r="H29" s="45"/>
      <c r="I29" s="45"/>
      <c r="J29" s="45"/>
      <c r="K29" s="46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35" t="s">
        <v>0</v>
      </c>
      <c r="C30" s="44" t="s">
        <v>0</v>
      </c>
      <c r="D30" s="45"/>
      <c r="E30" s="45"/>
      <c r="F30" s="45"/>
      <c r="G30" s="45"/>
      <c r="H30" s="45"/>
      <c r="I30" s="45"/>
      <c r="J30" s="45"/>
      <c r="K30" s="46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7">
        <v>46195</v>
      </c>
      <c r="C31" s="11">
        <v>302668</v>
      </c>
      <c r="D31" s="37">
        <v>255001</v>
      </c>
      <c r="E31" s="13">
        <v>171</v>
      </c>
      <c r="F31" s="11"/>
      <c r="G31" s="43">
        <v>1728</v>
      </c>
      <c r="H31" s="33">
        <v>254830</v>
      </c>
      <c r="I31" s="43"/>
      <c r="J31" s="33"/>
      <c r="K31" s="30"/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7">
        <v>46196</v>
      </c>
      <c r="C32" s="32">
        <v>379402</v>
      </c>
      <c r="D32" s="32">
        <v>339520</v>
      </c>
      <c r="E32" s="31">
        <v>50</v>
      </c>
      <c r="F32" s="31"/>
      <c r="G32" s="31">
        <v>2652</v>
      </c>
      <c r="H32" s="32">
        <v>339470</v>
      </c>
      <c r="I32" s="31"/>
      <c r="J32" s="31"/>
      <c r="K32" s="31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7">
        <v>46197</v>
      </c>
      <c r="C33" s="31"/>
      <c r="D33" s="31"/>
      <c r="E33" s="31"/>
      <c r="F33" s="31"/>
      <c r="G33" s="31"/>
      <c r="H33" s="31"/>
      <c r="I33" s="31"/>
      <c r="J33" s="31"/>
      <c r="K33" s="31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7">
        <v>46198</v>
      </c>
      <c r="C34" s="24"/>
      <c r="D34" s="24"/>
      <c r="E34" s="40"/>
      <c r="F34" s="11"/>
      <c r="G34" s="40"/>
      <c r="H34" s="11"/>
      <c r="I34" s="40"/>
      <c r="J34" s="11"/>
      <c r="K34" s="34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7">
        <v>46199</v>
      </c>
      <c r="C35" s="24"/>
      <c r="D35" s="24"/>
      <c r="E35" s="40"/>
      <c r="F35" s="11"/>
      <c r="G35" s="40"/>
      <c r="H35" s="11"/>
      <c r="I35" s="40"/>
      <c r="J35" s="11"/>
      <c r="K35" s="34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7">
        <v>46200</v>
      </c>
      <c r="C36" s="24"/>
      <c r="D36" s="38"/>
      <c r="E36" s="13"/>
      <c r="F36" s="11"/>
      <c r="G36" s="43"/>
      <c r="H36" s="33"/>
      <c r="I36" s="43"/>
      <c r="J36" s="33"/>
      <c r="K36" s="30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35" t="s">
        <v>0</v>
      </c>
      <c r="C37" s="44" t="s">
        <v>0</v>
      </c>
      <c r="D37" s="45"/>
      <c r="E37" s="45"/>
      <c r="F37" s="45"/>
      <c r="G37" s="45"/>
      <c r="H37" s="45"/>
      <c r="I37" s="45"/>
      <c r="J37" s="45"/>
      <c r="K37" s="46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7">
        <v>46202</v>
      </c>
      <c r="C38" s="24"/>
      <c r="D38" s="24"/>
      <c r="E38" s="40"/>
      <c r="F38" s="11"/>
      <c r="G38" s="40"/>
      <c r="H38" s="11"/>
      <c r="I38" s="40"/>
      <c r="J38" s="11"/>
      <c r="K38" s="34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7">
        <v>46203</v>
      </c>
      <c r="C39" s="31"/>
      <c r="D39" s="31"/>
      <c r="E39" s="31"/>
      <c r="F39" s="31"/>
      <c r="G39" s="31"/>
      <c r="H39" s="31"/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/>
      <c r="B40" s="27"/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7"/>
      <c r="C41" s="11"/>
      <c r="D41" s="11"/>
      <c r="E41" s="31"/>
      <c r="F41" s="31"/>
      <c r="G41" s="31"/>
      <c r="H41" s="31"/>
      <c r="I41" s="31"/>
      <c r="J41" s="31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5"/>
      <c r="C42" s="44"/>
      <c r="D42" s="45"/>
      <c r="E42" s="45"/>
      <c r="F42" s="45"/>
      <c r="G42" s="45"/>
      <c r="H42" s="45"/>
      <c r="I42" s="45"/>
      <c r="J42" s="45"/>
      <c r="K42" s="46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6" t="s">
        <v>1</v>
      </c>
      <c r="B43" s="27"/>
      <c r="C43" s="16">
        <f t="shared" ref="C43:H43" si="0">SUM(C10:C42)</f>
        <v>4788543.5</v>
      </c>
      <c r="D43" s="16">
        <f t="shared" si="0"/>
        <v>4041503.41</v>
      </c>
      <c r="E43" s="28">
        <f t="shared" si="0"/>
        <v>6296.41</v>
      </c>
      <c r="F43" s="16">
        <f t="shared" si="0"/>
        <v>118</v>
      </c>
      <c r="G43" s="28">
        <f t="shared" si="0"/>
        <v>19560</v>
      </c>
      <c r="H43" s="16">
        <f t="shared" si="0"/>
        <v>3912260</v>
      </c>
      <c r="I43" s="28">
        <f t="shared" ref="I43:J43" si="1">SUM(I10:I42)</f>
        <v>697670</v>
      </c>
      <c r="J43" s="16">
        <f t="shared" si="1"/>
        <v>682848</v>
      </c>
      <c r="K43" s="16">
        <f>SUM(K10:K42)</f>
        <v>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29"/>
      <c r="C44" s="20"/>
      <c r="D44" s="20"/>
      <c r="E44" s="25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9">
    <mergeCell ref="C14:K14"/>
    <mergeCell ref="C30:K30"/>
    <mergeCell ref="C37:K37"/>
    <mergeCell ref="C42:K42"/>
    <mergeCell ref="C16:K16"/>
    <mergeCell ref="C23:K23"/>
    <mergeCell ref="C17:K17"/>
    <mergeCell ref="C20:K20"/>
    <mergeCell ref="C29:K29"/>
  </mergeCells>
  <pageMargins left="0.7" right="0.7" top="0.75" bottom="0.75" header="0.3" footer="0.3"/>
  <pageSetup scale="9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V279"/>
  <sheetViews>
    <sheetView zoomScaleNormal="100" zoomScaleSheetLayoutView="100" workbookViewId="0">
      <selection activeCell="C33" sqref="C33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41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17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13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42" t="s">
        <v>14</v>
      </c>
      <c r="H9" s="14" t="s">
        <v>21</v>
      </c>
      <c r="I9" s="42" t="s">
        <v>20</v>
      </c>
      <c r="J9" s="14" t="s">
        <v>18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7">
        <v>46174</v>
      </c>
      <c r="C10" s="32">
        <v>247146</v>
      </c>
      <c r="D10" s="32">
        <v>210265.75</v>
      </c>
      <c r="E10" s="31">
        <v>175.75</v>
      </c>
      <c r="F10" s="32"/>
      <c r="G10" s="31">
        <v>696</v>
      </c>
      <c r="H10" s="32">
        <v>210092</v>
      </c>
      <c r="I10" s="32"/>
      <c r="J10" s="32"/>
      <c r="K10" s="3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7">
        <v>46175</v>
      </c>
      <c r="C11" s="32">
        <v>256886</v>
      </c>
      <c r="D11" s="32">
        <v>217049</v>
      </c>
      <c r="E11" s="31">
        <v>215</v>
      </c>
      <c r="F11" s="32"/>
      <c r="G11" s="31">
        <v>1944</v>
      </c>
      <c r="H11" s="32">
        <v>216834</v>
      </c>
      <c r="I11" s="32"/>
      <c r="J11" s="32"/>
      <c r="K11" s="3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7">
        <v>46176</v>
      </c>
      <c r="C12" s="31"/>
      <c r="D12" s="31"/>
      <c r="E12" s="31"/>
      <c r="F12" s="31"/>
      <c r="G12" s="31"/>
      <c r="H12" s="31"/>
      <c r="I12" s="31"/>
      <c r="J12" s="31"/>
      <c r="K12" s="3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7">
        <v>46177</v>
      </c>
      <c r="C13" s="32">
        <v>248406</v>
      </c>
      <c r="D13" s="32">
        <v>205139.25</v>
      </c>
      <c r="E13" s="31">
        <v>48.25</v>
      </c>
      <c r="F13" s="32"/>
      <c r="G13" s="31">
        <v>1896</v>
      </c>
      <c r="H13" s="34">
        <v>205091</v>
      </c>
      <c r="I13" s="34"/>
      <c r="J13" s="34"/>
      <c r="K13" s="32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7">
        <v>46178</v>
      </c>
      <c r="C14" s="32">
        <v>302509</v>
      </c>
      <c r="D14" s="32">
        <v>261479.5</v>
      </c>
      <c r="E14" s="31"/>
      <c r="F14" s="32">
        <v>62.5</v>
      </c>
      <c r="G14" s="32">
        <v>1296</v>
      </c>
      <c r="H14" s="34">
        <v>261542</v>
      </c>
      <c r="I14" s="34"/>
      <c r="J14" s="34"/>
      <c r="K14" s="3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7">
        <v>46179</v>
      </c>
      <c r="C15" s="44" t="s">
        <v>22</v>
      </c>
      <c r="D15" s="45"/>
      <c r="E15" s="45"/>
      <c r="F15" s="45"/>
      <c r="G15" s="45"/>
      <c r="H15" s="45"/>
      <c r="I15" s="45"/>
      <c r="J15" s="45"/>
      <c r="K15" s="46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35" t="s">
        <v>0</v>
      </c>
      <c r="C16" s="44" t="s">
        <v>0</v>
      </c>
      <c r="D16" s="45"/>
      <c r="E16" s="45"/>
      <c r="F16" s="45"/>
      <c r="G16" s="45"/>
      <c r="H16" s="45"/>
      <c r="I16" s="45"/>
      <c r="J16" s="45"/>
      <c r="K16" s="46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7">
        <v>46181</v>
      </c>
      <c r="C17" s="32">
        <v>379695</v>
      </c>
      <c r="D17" s="32">
        <v>320595</v>
      </c>
      <c r="E17" s="31">
        <v>1549</v>
      </c>
      <c r="F17" s="32"/>
      <c r="G17" s="31">
        <v>2832</v>
      </c>
      <c r="H17" s="34">
        <v>319046</v>
      </c>
      <c r="I17" s="34"/>
      <c r="J17" s="34"/>
      <c r="K17" s="3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7">
        <v>46182</v>
      </c>
      <c r="C18" s="32">
        <v>296582</v>
      </c>
      <c r="D18" s="32">
        <v>248253.5</v>
      </c>
      <c r="E18" s="31">
        <v>267.5</v>
      </c>
      <c r="F18" s="31"/>
      <c r="G18" s="31">
        <v>2070</v>
      </c>
      <c r="H18" s="32">
        <v>247986</v>
      </c>
      <c r="I18" s="31"/>
      <c r="J18" s="31"/>
      <c r="K18" s="3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7">
        <v>46183</v>
      </c>
      <c r="C19" s="44" t="s">
        <v>22</v>
      </c>
      <c r="D19" s="45"/>
      <c r="E19" s="45"/>
      <c r="F19" s="45"/>
      <c r="G19" s="45"/>
      <c r="H19" s="45"/>
      <c r="I19" s="45"/>
      <c r="J19" s="45"/>
      <c r="K19" s="46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7">
        <v>46184</v>
      </c>
      <c r="C20" s="32">
        <v>286866</v>
      </c>
      <c r="D20" s="32">
        <v>243759</v>
      </c>
      <c r="E20" s="31">
        <v>259</v>
      </c>
      <c r="F20" s="34"/>
      <c r="G20" s="31">
        <v>1932</v>
      </c>
      <c r="H20" s="34">
        <v>243500</v>
      </c>
      <c r="I20" s="34"/>
      <c r="J20" s="34"/>
      <c r="K20" s="34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7">
        <v>46185</v>
      </c>
      <c r="C21" s="32">
        <v>273580</v>
      </c>
      <c r="D21" s="32">
        <v>226270</v>
      </c>
      <c r="E21" s="31">
        <v>273</v>
      </c>
      <c r="F21" s="34"/>
      <c r="G21" s="31">
        <v>1140</v>
      </c>
      <c r="H21" s="34">
        <v>225997</v>
      </c>
      <c r="I21" s="34"/>
      <c r="J21" s="34"/>
      <c r="K21" s="34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7">
        <v>46186</v>
      </c>
      <c r="C22" s="44" t="s">
        <v>22</v>
      </c>
      <c r="D22" s="45"/>
      <c r="E22" s="45"/>
      <c r="F22" s="45"/>
      <c r="G22" s="45"/>
      <c r="H22" s="45"/>
      <c r="I22" s="45"/>
      <c r="J22" s="45"/>
      <c r="K22" s="46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35" t="s">
        <v>0</v>
      </c>
      <c r="C23" s="44" t="s">
        <v>0</v>
      </c>
      <c r="D23" s="45"/>
      <c r="E23" s="45"/>
      <c r="F23" s="45"/>
      <c r="G23" s="45"/>
      <c r="H23" s="45"/>
      <c r="I23" s="45"/>
      <c r="J23" s="45"/>
      <c r="K23" s="46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7">
        <v>46188</v>
      </c>
      <c r="C24" s="32">
        <v>301187</v>
      </c>
      <c r="D24" s="32">
        <v>253769</v>
      </c>
      <c r="E24" s="31"/>
      <c r="F24" s="34">
        <v>25</v>
      </c>
      <c r="G24" s="31">
        <v>2316</v>
      </c>
      <c r="H24" s="34">
        <v>253794</v>
      </c>
      <c r="I24" s="34"/>
      <c r="J24" s="34"/>
      <c r="K24" s="34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7">
        <v>46189</v>
      </c>
      <c r="C25" s="32">
        <v>252546</v>
      </c>
      <c r="D25" s="32">
        <v>213315</v>
      </c>
      <c r="E25" s="31"/>
      <c r="F25" s="32">
        <v>412</v>
      </c>
      <c r="G25" s="31">
        <v>1332</v>
      </c>
      <c r="H25" s="32">
        <v>213727</v>
      </c>
      <c r="I25" s="31"/>
      <c r="J25" s="31"/>
      <c r="K25" s="31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7">
        <v>46190</v>
      </c>
      <c r="C26" s="32">
        <v>238898.5</v>
      </c>
      <c r="D26" s="32">
        <v>202771</v>
      </c>
      <c r="E26" s="31">
        <v>252</v>
      </c>
      <c r="F26" s="31"/>
      <c r="G26" s="31">
        <v>1296</v>
      </c>
      <c r="H26" s="32">
        <v>202519</v>
      </c>
      <c r="I26" s="31"/>
      <c r="J26" s="31"/>
      <c r="K26" s="31"/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7">
        <v>46191</v>
      </c>
      <c r="C27" s="11">
        <v>2300743</v>
      </c>
      <c r="D27" s="37">
        <v>196904.5</v>
      </c>
      <c r="E27" s="13">
        <v>47.5</v>
      </c>
      <c r="F27" s="11"/>
      <c r="G27" s="43">
        <v>1092</v>
      </c>
      <c r="H27" s="33">
        <v>196857</v>
      </c>
      <c r="I27" s="33"/>
      <c r="J27" s="33"/>
      <c r="K27" s="30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7">
        <v>46192</v>
      </c>
      <c r="C28" s="11">
        <v>251255</v>
      </c>
      <c r="D28" s="37">
        <v>216049.25</v>
      </c>
      <c r="E28" s="13">
        <v>761.25</v>
      </c>
      <c r="F28" s="11"/>
      <c r="G28" s="43">
        <v>648</v>
      </c>
      <c r="H28" s="33">
        <v>215288</v>
      </c>
      <c r="I28" s="33"/>
      <c r="J28" s="33"/>
      <c r="K28" s="30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7">
        <v>46193</v>
      </c>
      <c r="C29" s="44" t="s">
        <v>22</v>
      </c>
      <c r="D29" s="45"/>
      <c r="E29" s="45"/>
      <c r="F29" s="45"/>
      <c r="G29" s="45"/>
      <c r="H29" s="45"/>
      <c r="I29" s="45"/>
      <c r="J29" s="45"/>
      <c r="K29" s="46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35" t="s">
        <v>0</v>
      </c>
      <c r="C30" s="44" t="s">
        <v>0</v>
      </c>
      <c r="D30" s="45"/>
      <c r="E30" s="45"/>
      <c r="F30" s="45"/>
      <c r="G30" s="45"/>
      <c r="H30" s="45"/>
      <c r="I30" s="45"/>
      <c r="J30" s="45"/>
      <c r="K30" s="46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7">
        <v>46195</v>
      </c>
      <c r="C31" s="11">
        <v>262664</v>
      </c>
      <c r="D31" s="37">
        <v>223891.25</v>
      </c>
      <c r="E31" s="13">
        <v>16.25</v>
      </c>
      <c r="F31" s="11"/>
      <c r="G31" s="43">
        <v>1296</v>
      </c>
      <c r="H31" s="33">
        <v>223875</v>
      </c>
      <c r="I31" s="33"/>
      <c r="J31" s="33"/>
      <c r="K31" s="30"/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7">
        <v>46196</v>
      </c>
      <c r="C32" s="32">
        <v>231037</v>
      </c>
      <c r="D32" s="32">
        <v>194311</v>
      </c>
      <c r="E32" s="31"/>
      <c r="F32" s="32">
        <v>223</v>
      </c>
      <c r="G32" s="31">
        <v>1440</v>
      </c>
      <c r="H32" s="32">
        <v>194534</v>
      </c>
      <c r="I32" s="31"/>
      <c r="J32" s="31"/>
      <c r="K32" s="31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7">
        <v>46197</v>
      </c>
      <c r="C33" s="31"/>
      <c r="D33" s="31"/>
      <c r="E33" s="31"/>
      <c r="F33" s="31"/>
      <c r="G33" s="31"/>
      <c r="H33" s="31"/>
      <c r="I33" s="31"/>
      <c r="J33" s="31"/>
      <c r="K33" s="31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7">
        <v>46198</v>
      </c>
      <c r="C34" s="24"/>
      <c r="D34" s="24"/>
      <c r="E34" s="40"/>
      <c r="F34" s="11"/>
      <c r="G34" s="11"/>
      <c r="H34" s="11"/>
      <c r="I34" s="11"/>
      <c r="J34" s="11"/>
      <c r="K34" s="34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7">
        <v>46199</v>
      </c>
      <c r="C35" s="24"/>
      <c r="D35" s="24"/>
      <c r="E35" s="40"/>
      <c r="F35" s="11"/>
      <c r="G35" s="11"/>
      <c r="H35" s="11"/>
      <c r="I35" s="11"/>
      <c r="J35" s="11"/>
      <c r="K35" s="34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7">
        <v>46200</v>
      </c>
      <c r="C36" s="24"/>
      <c r="D36" s="38"/>
      <c r="E36" s="13"/>
      <c r="F36" s="11"/>
      <c r="G36" s="33"/>
      <c r="H36" s="33"/>
      <c r="I36" s="33"/>
      <c r="J36" s="33"/>
      <c r="K36" s="30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35" t="s">
        <v>0</v>
      </c>
      <c r="C37" s="44" t="s">
        <v>0</v>
      </c>
      <c r="D37" s="45"/>
      <c r="E37" s="45"/>
      <c r="F37" s="45"/>
      <c r="G37" s="45"/>
      <c r="H37" s="45"/>
      <c r="I37" s="45"/>
      <c r="J37" s="45"/>
      <c r="K37" s="46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7">
        <v>46202</v>
      </c>
      <c r="C38" s="24"/>
      <c r="D38" s="24"/>
      <c r="E38" s="40"/>
      <c r="F38" s="11"/>
      <c r="G38" s="11"/>
      <c r="H38" s="11"/>
      <c r="I38" s="11"/>
      <c r="J38" s="11"/>
      <c r="K38" s="34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7">
        <v>46203</v>
      </c>
      <c r="C39" s="31"/>
      <c r="D39" s="31"/>
      <c r="E39" s="31"/>
      <c r="F39" s="31"/>
      <c r="G39" s="31"/>
      <c r="H39" s="31"/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/>
      <c r="B40" s="27"/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7"/>
      <c r="C41" s="11"/>
      <c r="D41" s="11"/>
      <c r="E41" s="31"/>
      <c r="F41" s="31"/>
      <c r="G41" s="31"/>
      <c r="H41" s="31"/>
      <c r="I41" s="31"/>
      <c r="J41" s="31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5"/>
      <c r="C42" s="44"/>
      <c r="D42" s="45"/>
      <c r="E42" s="45"/>
      <c r="F42" s="45"/>
      <c r="G42" s="45"/>
      <c r="H42" s="45"/>
      <c r="I42" s="45"/>
      <c r="J42" s="45"/>
      <c r="K42" s="46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6" t="s">
        <v>1</v>
      </c>
      <c r="B43" s="27"/>
      <c r="C43" s="16">
        <f t="shared" ref="C43:H43" si="0">SUM(C10:C42)</f>
        <v>6130000.5</v>
      </c>
      <c r="D43" s="16">
        <f t="shared" si="0"/>
        <v>3433822</v>
      </c>
      <c r="E43" s="28">
        <f t="shared" si="0"/>
        <v>3864.5</v>
      </c>
      <c r="F43" s="16">
        <f t="shared" si="0"/>
        <v>722.5</v>
      </c>
      <c r="G43" s="28">
        <f t="shared" si="0"/>
        <v>23226</v>
      </c>
      <c r="H43" s="16">
        <f t="shared" si="0"/>
        <v>3430682</v>
      </c>
      <c r="I43" s="28">
        <f t="shared" ref="I43:J43" si="1">SUM(I10:I42)</f>
        <v>0</v>
      </c>
      <c r="J43" s="16">
        <f t="shared" si="1"/>
        <v>0</v>
      </c>
      <c r="K43" s="16">
        <f>SUM(K10:K42)</f>
        <v>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20"/>
      <c r="D44" s="20"/>
      <c r="E44" s="25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9">
    <mergeCell ref="C15:K15"/>
    <mergeCell ref="C42:K42"/>
    <mergeCell ref="C23:K23"/>
    <mergeCell ref="C16:K16"/>
    <mergeCell ref="C22:K22"/>
    <mergeCell ref="C30:K30"/>
    <mergeCell ref="C37:K37"/>
    <mergeCell ref="C19:K19"/>
    <mergeCell ref="C29:K29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V279"/>
  <sheetViews>
    <sheetView tabSelected="1" topLeftCell="A7" zoomScaleNormal="100" zoomScaleSheetLayoutView="100" workbookViewId="0">
      <selection activeCell="P24" sqref="P24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41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17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12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39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42" t="s">
        <v>14</v>
      </c>
      <c r="H9" s="14" t="s">
        <v>21</v>
      </c>
      <c r="I9" s="42" t="s">
        <v>20</v>
      </c>
      <c r="J9" s="14" t="s">
        <v>18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7">
        <v>46174</v>
      </c>
      <c r="C10" s="32">
        <v>266056</v>
      </c>
      <c r="D10" s="32">
        <v>206692</v>
      </c>
      <c r="E10" s="31">
        <v>6000</v>
      </c>
      <c r="F10" s="32"/>
      <c r="G10" s="31">
        <v>1092</v>
      </c>
      <c r="H10" s="32">
        <v>200692</v>
      </c>
      <c r="I10" s="32"/>
      <c r="J10" s="32"/>
      <c r="K10" s="3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7">
        <v>46175</v>
      </c>
      <c r="C11" s="32">
        <v>403944</v>
      </c>
      <c r="D11" s="32">
        <v>330400.75</v>
      </c>
      <c r="E11" s="31">
        <v>623.75</v>
      </c>
      <c r="F11" s="32"/>
      <c r="G11" s="31">
        <f>918</f>
        <v>918</v>
      </c>
      <c r="H11" s="32">
        <v>329777</v>
      </c>
      <c r="I11" s="32"/>
      <c r="J11" s="32"/>
      <c r="K11" s="34">
        <v>50</v>
      </c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7">
        <v>46176</v>
      </c>
      <c r="C12" s="31"/>
      <c r="D12" s="31"/>
      <c r="E12" s="31"/>
      <c r="F12" s="31"/>
      <c r="G12" s="31"/>
      <c r="H12" s="31"/>
      <c r="I12" s="31"/>
      <c r="J12" s="31"/>
      <c r="K12" s="3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7">
        <v>46177</v>
      </c>
      <c r="C13" s="32">
        <v>582314</v>
      </c>
      <c r="D13" s="32">
        <v>491387</v>
      </c>
      <c r="E13" s="31">
        <v>337</v>
      </c>
      <c r="F13" s="32"/>
      <c r="G13" s="31">
        <v>1230</v>
      </c>
      <c r="H13" s="34">
        <v>491050</v>
      </c>
      <c r="I13" s="34"/>
      <c r="J13" s="34"/>
      <c r="K13" s="32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7">
        <v>46178</v>
      </c>
      <c r="C14" s="32">
        <v>357319</v>
      </c>
      <c r="D14" s="32">
        <v>303847</v>
      </c>
      <c r="E14" s="31">
        <v>882</v>
      </c>
      <c r="F14" s="32"/>
      <c r="G14" s="31">
        <v>1092</v>
      </c>
      <c r="H14" s="34">
        <v>302965</v>
      </c>
      <c r="I14" s="34"/>
      <c r="J14" s="34"/>
      <c r="K14" s="3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7">
        <v>46179</v>
      </c>
      <c r="C15" s="44" t="s">
        <v>22</v>
      </c>
      <c r="D15" s="45"/>
      <c r="E15" s="45"/>
      <c r="F15" s="45"/>
      <c r="G15" s="45"/>
      <c r="H15" s="45"/>
      <c r="I15" s="45"/>
      <c r="J15" s="45"/>
      <c r="K15" s="46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35" t="s">
        <v>0</v>
      </c>
      <c r="C16" s="44" t="s">
        <v>0</v>
      </c>
      <c r="D16" s="45"/>
      <c r="E16" s="45"/>
      <c r="F16" s="45"/>
      <c r="G16" s="45"/>
      <c r="H16" s="45"/>
      <c r="I16" s="45"/>
      <c r="J16" s="45"/>
      <c r="K16" s="46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7">
        <v>46181</v>
      </c>
      <c r="C17" s="32">
        <v>389426</v>
      </c>
      <c r="D17" s="32">
        <v>330258.5</v>
      </c>
      <c r="E17" s="31">
        <v>7491.5</v>
      </c>
      <c r="F17" s="32"/>
      <c r="G17" s="31">
        <v>2478</v>
      </c>
      <c r="H17" s="34">
        <v>322767</v>
      </c>
      <c r="I17" s="34"/>
      <c r="J17" s="34"/>
      <c r="K17" s="3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7">
        <v>46182</v>
      </c>
      <c r="C18" s="34">
        <v>494155</v>
      </c>
      <c r="D18" s="32">
        <v>423587.5</v>
      </c>
      <c r="E18" s="31">
        <v>16.5</v>
      </c>
      <c r="F18" s="31"/>
      <c r="G18" s="31">
        <v>3288</v>
      </c>
      <c r="H18" s="32">
        <v>423571</v>
      </c>
      <c r="I18" s="31"/>
      <c r="J18" s="31"/>
      <c r="K18" s="3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7">
        <v>46183</v>
      </c>
      <c r="C19" s="34">
        <v>297741</v>
      </c>
      <c r="D19" s="34">
        <v>254515.5</v>
      </c>
      <c r="E19" s="31">
        <v>575.5</v>
      </c>
      <c r="F19" s="31"/>
      <c r="G19" s="31">
        <v>1296</v>
      </c>
      <c r="H19" s="34">
        <v>253940</v>
      </c>
      <c r="I19" s="31"/>
      <c r="J19" s="31"/>
      <c r="K19" s="3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7">
        <v>46184</v>
      </c>
      <c r="C20" s="32">
        <v>291580</v>
      </c>
      <c r="D20" s="32">
        <v>211400.5</v>
      </c>
      <c r="E20" s="31"/>
      <c r="F20" s="34">
        <v>7141.5</v>
      </c>
      <c r="G20" s="31">
        <v>1242</v>
      </c>
      <c r="H20" s="34">
        <v>218542</v>
      </c>
      <c r="I20" s="31">
        <v>35098</v>
      </c>
      <c r="J20" s="34"/>
      <c r="K20" s="34">
        <v>50</v>
      </c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7">
        <v>46185</v>
      </c>
      <c r="C21" s="32"/>
      <c r="D21" s="32"/>
      <c r="E21" s="31"/>
      <c r="F21" s="34"/>
      <c r="G21" s="34"/>
      <c r="H21" s="34"/>
      <c r="I21" s="34"/>
      <c r="J21" s="34"/>
      <c r="K21" s="34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7">
        <v>46186</v>
      </c>
      <c r="C22" s="44" t="s">
        <v>22</v>
      </c>
      <c r="D22" s="45"/>
      <c r="E22" s="45"/>
      <c r="F22" s="45"/>
      <c r="G22" s="45"/>
      <c r="H22" s="45"/>
      <c r="I22" s="45"/>
      <c r="J22" s="45"/>
      <c r="K22" s="46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35" t="s">
        <v>0</v>
      </c>
      <c r="C23" s="44" t="s">
        <v>0</v>
      </c>
      <c r="D23" s="45"/>
      <c r="E23" s="45"/>
      <c r="F23" s="45"/>
      <c r="G23" s="45"/>
      <c r="H23" s="45"/>
      <c r="I23" s="45"/>
      <c r="J23" s="45"/>
      <c r="K23" s="46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7">
        <v>46188</v>
      </c>
      <c r="C24" s="32">
        <v>510083</v>
      </c>
      <c r="D24" s="32">
        <v>456901.5</v>
      </c>
      <c r="E24" s="31"/>
      <c r="F24" s="34">
        <v>29.5</v>
      </c>
      <c r="G24" s="31">
        <v>1554</v>
      </c>
      <c r="H24" s="34"/>
      <c r="I24" s="34"/>
      <c r="J24" s="34"/>
      <c r="K24" s="34">
        <v>50</v>
      </c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7">
        <v>46189</v>
      </c>
      <c r="C25" s="32">
        <v>586130</v>
      </c>
      <c r="D25" s="32">
        <v>498151.25</v>
      </c>
      <c r="E25" s="31"/>
      <c r="F25" s="32">
        <v>1015.75</v>
      </c>
      <c r="G25" s="31">
        <v>2016</v>
      </c>
      <c r="H25" s="32">
        <v>499167</v>
      </c>
      <c r="I25" s="31"/>
      <c r="J25" s="31"/>
      <c r="K25" s="31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7">
        <v>46190</v>
      </c>
      <c r="C26" s="32">
        <v>403382</v>
      </c>
      <c r="D26" s="32">
        <v>341730</v>
      </c>
      <c r="E26" s="31">
        <v>3084</v>
      </c>
      <c r="F26" s="31"/>
      <c r="G26" s="31">
        <v>2118</v>
      </c>
      <c r="H26" s="32">
        <v>338646</v>
      </c>
      <c r="I26" s="31"/>
      <c r="J26" s="31"/>
      <c r="K26" s="32">
        <v>50</v>
      </c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7">
        <v>46191</v>
      </c>
      <c r="C27" s="11">
        <v>403373</v>
      </c>
      <c r="D27" s="37">
        <v>333081.5</v>
      </c>
      <c r="E27" s="13"/>
      <c r="F27" s="11">
        <v>1495.5</v>
      </c>
      <c r="G27" s="43">
        <v>2910</v>
      </c>
      <c r="H27" s="33">
        <v>334577</v>
      </c>
      <c r="I27" s="33"/>
      <c r="J27" s="33"/>
      <c r="K27" s="30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7">
        <v>46192</v>
      </c>
      <c r="C28" s="11">
        <v>327175</v>
      </c>
      <c r="D28" s="37">
        <v>274885</v>
      </c>
      <c r="E28" s="13"/>
      <c r="F28" s="11">
        <v>735</v>
      </c>
      <c r="G28" s="43">
        <f>2118</f>
        <v>2118</v>
      </c>
      <c r="H28" s="33">
        <v>275620</v>
      </c>
      <c r="I28" s="33"/>
      <c r="J28" s="33"/>
      <c r="K28" s="30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7">
        <v>46193</v>
      </c>
      <c r="C29" s="44" t="s">
        <v>22</v>
      </c>
      <c r="D29" s="45"/>
      <c r="E29" s="45"/>
      <c r="F29" s="45"/>
      <c r="G29" s="45"/>
      <c r="H29" s="45"/>
      <c r="I29" s="45"/>
      <c r="J29" s="45"/>
      <c r="K29" s="46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35" t="s">
        <v>0</v>
      </c>
      <c r="C30" s="44" t="s">
        <v>0</v>
      </c>
      <c r="D30" s="45"/>
      <c r="E30" s="45"/>
      <c r="F30" s="45"/>
      <c r="G30" s="45"/>
      <c r="H30" s="45"/>
      <c r="I30" s="45"/>
      <c r="J30" s="45"/>
      <c r="K30" s="46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7">
        <v>46195</v>
      </c>
      <c r="C31" s="11">
        <v>294801</v>
      </c>
      <c r="D31" s="37">
        <v>255121</v>
      </c>
      <c r="E31" s="13">
        <v>3959</v>
      </c>
      <c r="F31" s="11"/>
      <c r="G31" s="43">
        <v>1890</v>
      </c>
      <c r="H31" s="33">
        <v>251162</v>
      </c>
      <c r="I31" s="33"/>
      <c r="J31" s="33"/>
      <c r="K31" s="30">
        <v>50</v>
      </c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7">
        <v>46196</v>
      </c>
      <c r="C32" s="32">
        <v>570554</v>
      </c>
      <c r="D32" s="32">
        <v>484236.5</v>
      </c>
      <c r="E32" s="31"/>
      <c r="F32" s="32">
        <v>7626.5</v>
      </c>
      <c r="G32" s="31">
        <v>3240</v>
      </c>
      <c r="H32" s="32">
        <v>491863</v>
      </c>
      <c r="I32" s="31"/>
      <c r="J32" s="31"/>
      <c r="K32" s="31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7">
        <v>46197</v>
      </c>
      <c r="C33" s="31"/>
      <c r="D33" s="31"/>
      <c r="E33" s="31"/>
      <c r="F33" s="31"/>
      <c r="G33" s="31"/>
      <c r="H33" s="31"/>
      <c r="I33" s="31"/>
      <c r="J33" s="31"/>
      <c r="K33" s="31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7">
        <v>46198</v>
      </c>
      <c r="C34" s="24"/>
      <c r="D34" s="24"/>
      <c r="E34" s="40"/>
      <c r="F34" s="11"/>
      <c r="G34" s="11"/>
      <c r="H34" s="11"/>
      <c r="I34" s="11"/>
      <c r="J34" s="11"/>
      <c r="K34" s="34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7">
        <v>46199</v>
      </c>
      <c r="C35" s="24"/>
      <c r="D35" s="24"/>
      <c r="E35" s="40"/>
      <c r="F35" s="11"/>
      <c r="G35" s="11"/>
      <c r="H35" s="11"/>
      <c r="I35" s="11"/>
      <c r="J35" s="11"/>
      <c r="K35" s="34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7">
        <v>46200</v>
      </c>
      <c r="C36" s="24"/>
      <c r="D36" s="38"/>
      <c r="E36" s="13"/>
      <c r="F36" s="11"/>
      <c r="G36" s="33"/>
      <c r="H36" s="33"/>
      <c r="I36" s="33"/>
      <c r="J36" s="33"/>
      <c r="K36" s="30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35" t="s">
        <v>0</v>
      </c>
      <c r="C37" s="44" t="s">
        <v>0</v>
      </c>
      <c r="D37" s="45"/>
      <c r="E37" s="45"/>
      <c r="F37" s="45"/>
      <c r="G37" s="45"/>
      <c r="H37" s="45"/>
      <c r="I37" s="45"/>
      <c r="J37" s="45"/>
      <c r="K37" s="46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7">
        <v>46202</v>
      </c>
      <c r="C38" s="24"/>
      <c r="D38" s="24"/>
      <c r="E38" s="40"/>
      <c r="F38" s="11"/>
      <c r="G38" s="11"/>
      <c r="H38" s="11"/>
      <c r="I38" s="11"/>
      <c r="J38" s="11"/>
      <c r="K38" s="34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7">
        <v>46203</v>
      </c>
      <c r="C39" s="31"/>
      <c r="D39" s="31"/>
      <c r="E39" s="31"/>
      <c r="F39" s="31"/>
      <c r="G39" s="31"/>
      <c r="H39" s="31"/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/>
      <c r="B40" s="27"/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7"/>
      <c r="C41" s="11"/>
      <c r="D41" s="11"/>
      <c r="E41" s="31"/>
      <c r="F41" s="31"/>
      <c r="G41" s="31"/>
      <c r="H41" s="31"/>
      <c r="I41" s="31"/>
      <c r="J41" s="31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5"/>
      <c r="C42" s="44"/>
      <c r="D42" s="45"/>
      <c r="E42" s="45"/>
      <c r="F42" s="45"/>
      <c r="G42" s="45"/>
      <c r="H42" s="45"/>
      <c r="I42" s="45"/>
      <c r="J42" s="45"/>
      <c r="K42" s="46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6" t="s">
        <v>1</v>
      </c>
      <c r="B43" s="27"/>
      <c r="C43" s="16">
        <f t="shared" ref="C43:H43" si="0">SUM(C10:C42)</f>
        <v>6178033</v>
      </c>
      <c r="D43" s="16">
        <f t="shared" si="0"/>
        <v>5196195.5</v>
      </c>
      <c r="E43" s="28">
        <f t="shared" si="0"/>
        <v>22969.25</v>
      </c>
      <c r="F43" s="16">
        <f t="shared" si="0"/>
        <v>18043.75</v>
      </c>
      <c r="G43" s="28">
        <f t="shared" si="0"/>
        <v>28482</v>
      </c>
      <c r="H43" s="16">
        <f t="shared" si="0"/>
        <v>4734339</v>
      </c>
      <c r="I43" s="16">
        <f t="shared" ref="I43:J43" si="1">SUM(I10:I42)</f>
        <v>35098</v>
      </c>
      <c r="J43" s="16">
        <f t="shared" si="1"/>
        <v>0</v>
      </c>
      <c r="K43" s="16">
        <f>SUM(K10:K42)</f>
        <v>250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20"/>
      <c r="D44" s="20"/>
      <c r="E44" s="25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8">
    <mergeCell ref="C42:K42"/>
    <mergeCell ref="C22:K22"/>
    <mergeCell ref="C15:K15"/>
    <mergeCell ref="C16:K16"/>
    <mergeCell ref="C23:K23"/>
    <mergeCell ref="C30:K30"/>
    <mergeCell ref="C37:K37"/>
    <mergeCell ref="C29:K29"/>
  </mergeCells>
  <pageMargins left="0.7" right="0.7" top="0.75" bottom="0.75" header="0.3" footer="0.3"/>
  <pageSetup scale="99" orientation="portrait" horizontalDpi="0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JUNE, SRS R1</vt:lpstr>
      <vt:lpstr>JUNE, SRS R2</vt:lpstr>
      <vt:lpstr>JUNE, SRS R3</vt:lpstr>
      <vt:lpstr>,</vt:lpstr>
      <vt:lpstr>'JUNE, SRS R1'!Print_Area</vt:lpstr>
      <vt:lpstr>'JUNE, SRS R2'!Print_Area</vt:lpstr>
      <vt:lpstr>'JUNE,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2026-06-24T00:29:50Z</dcterms:modified>
</cp:coreProperties>
</file>