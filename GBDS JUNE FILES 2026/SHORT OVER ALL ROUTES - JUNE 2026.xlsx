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49669555-4B08-4719-B9C0-3700932D15E3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8" i="13" l="1"/>
  <c r="J25" i="6" l="1"/>
  <c r="I25" i="6"/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  <comment ref="I21" authorId="0" shapeId="0" xr:uid="{47571E67-2407-454F-B2DA-49E9E464DF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JONTHAN CENAS
SI NO. 10941</t>
        </r>
      </text>
    </comment>
    <comment ref="J22" authorId="0" shapeId="0" xr:uid="{70424F86-D89D-4272-A5BF-7063AE01EB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SI NO. 10941</t>
        </r>
      </text>
    </comment>
    <comment ref="I25" authorId="0" shapeId="0" xr:uid="{792B610C-9682-4CA9-B70C-97DDC294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SI NO. 11001
BALWARTE
SI NO. 10950</t>
        </r>
      </text>
    </comment>
    <comment ref="I27" authorId="0" shapeId="0" xr:uid="{9823541A-285D-4B03-AE50-3B4F09BBAC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11015</t>
        </r>
      </text>
    </comment>
    <comment ref="J28" authorId="0" shapeId="0" xr:uid="{F9DF04CC-819C-44D3-990E-F5C06D90B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
SI NO. 11001</t>
        </r>
      </text>
    </comment>
    <comment ref="I34" authorId="0" shapeId="0" xr:uid="{35D9FC90-7438-4F1D-A3C4-FFDAC6DEC2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11174
</t>
        </r>
      </text>
    </comment>
    <comment ref="J36" authorId="0" shapeId="0" xr:uid="{484F76EB-AA50-4A88-920C-35B0862AB4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11174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25751F20-122E-4471-B3E9-0CBFBFBE6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10938</t>
        </r>
      </text>
    </comment>
  </commentList>
</comments>
</file>

<file path=xl/sharedStrings.xml><?xml version="1.0" encoding="utf-8"?>
<sst xmlns="http://schemas.openxmlformats.org/spreadsheetml/2006/main" count="83" uniqueCount="23">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</sst>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topLeftCell="A6" zoomScale="80" zoomScaleNormal="80" zoomScaleSheetLayoutView="100" workbookViewId="0">
      <selection activeCell="N29" sqref="N2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44" t="s">
        <v>22</v>
      </c>
      <c r="D17" s="45"/>
      <c r="E17" s="45"/>
      <c r="F17" s="45"/>
      <c r="G17" s="45"/>
      <c r="H17" s="45"/>
      <c r="I17" s="45"/>
      <c r="J17" s="45"/>
      <c r="K17" s="4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284998</v>
      </c>
      <c r="D18" s="32">
        <v>249779.5</v>
      </c>
      <c r="E18" s="31">
        <v>351.5</v>
      </c>
      <c r="F18" s="31"/>
      <c r="G18" s="31"/>
      <c r="H18" s="32">
        <v>249428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262429</v>
      </c>
      <c r="D19" s="34">
        <v>224855.5</v>
      </c>
      <c r="E19" s="31">
        <v>185.5</v>
      </c>
      <c r="F19" s="31"/>
      <c r="G19" s="31"/>
      <c r="H19" s="34">
        <v>224670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44" t="s">
        <v>22</v>
      </c>
      <c r="D20" s="45"/>
      <c r="E20" s="45"/>
      <c r="F20" s="45"/>
      <c r="G20" s="45"/>
      <c r="H20" s="45"/>
      <c r="I20" s="45"/>
      <c r="J20" s="45"/>
      <c r="K20" s="4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410353</v>
      </c>
      <c r="D21" s="32">
        <v>245949.5</v>
      </c>
      <c r="E21" s="31">
        <v>334.5</v>
      </c>
      <c r="F21" s="34"/>
      <c r="G21" s="31">
        <v>1074</v>
      </c>
      <c r="H21" s="34">
        <v>245615</v>
      </c>
      <c r="I21" s="31">
        <v>123065</v>
      </c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32"/>
      <c r="D22" s="32">
        <v>123065</v>
      </c>
      <c r="E22" s="31"/>
      <c r="F22" s="34"/>
      <c r="G22" s="31"/>
      <c r="H22" s="34"/>
      <c r="I22" s="31"/>
      <c r="J22" s="34">
        <v>123065</v>
      </c>
      <c r="K22" s="3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337138</v>
      </c>
      <c r="D24" s="32">
        <v>301661.90999999997</v>
      </c>
      <c r="E24" s="31">
        <v>713.91</v>
      </c>
      <c r="F24" s="34"/>
      <c r="G24" s="31">
        <v>2430</v>
      </c>
      <c r="H24" s="34">
        <v>300948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550495</v>
      </c>
      <c r="D25" s="32">
        <v>178173.5</v>
      </c>
      <c r="E25" s="31">
        <v>983.5</v>
      </c>
      <c r="F25" s="31"/>
      <c r="G25" s="31">
        <v>2592</v>
      </c>
      <c r="H25" s="32">
        <v>177190</v>
      </c>
      <c r="I25" s="31">
        <f>261949+93725</f>
        <v>355674</v>
      </c>
      <c r="J25" s="32">
        <f>88549</f>
        <v>88549</v>
      </c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265398</v>
      </c>
      <c r="D26" s="32">
        <v>226929.75</v>
      </c>
      <c r="E26" s="31">
        <v>276.75</v>
      </c>
      <c r="F26" s="31"/>
      <c r="G26" s="31"/>
      <c r="H26" s="32">
        <v>226653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407264</v>
      </c>
      <c r="D27" s="37">
        <v>272148.25</v>
      </c>
      <c r="E27" s="13">
        <v>507.25</v>
      </c>
      <c r="F27" s="11"/>
      <c r="G27" s="43">
        <v>1296</v>
      </c>
      <c r="H27" s="33">
        <v>271641</v>
      </c>
      <c r="I27" s="43">
        <v>68110</v>
      </c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>
        <v>261949</v>
      </c>
      <c r="E28" s="13"/>
      <c r="F28" s="11"/>
      <c r="G28" s="43"/>
      <c r="H28" s="33">
        <v>261949</v>
      </c>
      <c r="I28" s="43"/>
      <c r="J28" s="33">
        <v>261949</v>
      </c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302668</v>
      </c>
      <c r="D31" s="37">
        <v>255001</v>
      </c>
      <c r="E31" s="13">
        <v>171</v>
      </c>
      <c r="F31" s="11"/>
      <c r="G31" s="43">
        <v>1728</v>
      </c>
      <c r="H31" s="33">
        <v>254830</v>
      </c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379402</v>
      </c>
      <c r="D32" s="32">
        <v>339520</v>
      </c>
      <c r="E32" s="31">
        <v>50</v>
      </c>
      <c r="F32" s="31"/>
      <c r="G32" s="31">
        <v>2652</v>
      </c>
      <c r="H32" s="32">
        <v>339470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287816</v>
      </c>
      <c r="D33" s="32">
        <v>245066</v>
      </c>
      <c r="E33" s="31">
        <v>350</v>
      </c>
      <c r="F33" s="31"/>
      <c r="G33" s="31"/>
      <c r="H33" s="32">
        <v>244716</v>
      </c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>
        <v>452512</v>
      </c>
      <c r="D34" s="24">
        <v>327209</v>
      </c>
      <c r="E34" s="40">
        <v>2190</v>
      </c>
      <c r="F34" s="11"/>
      <c r="G34" s="40"/>
      <c r="H34" s="11">
        <v>325019</v>
      </c>
      <c r="I34" s="40">
        <v>58202</v>
      </c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40"/>
      <c r="H35" s="11"/>
      <c r="I35" s="40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>
        <v>58202</v>
      </c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40"/>
      <c r="H38" s="11"/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5528871.5</v>
      </c>
      <c r="D43" s="16">
        <f t="shared" si="0"/>
        <v>4613778.41</v>
      </c>
      <c r="E43" s="28">
        <f t="shared" si="0"/>
        <v>8836.41</v>
      </c>
      <c r="F43" s="16">
        <f t="shared" si="0"/>
        <v>118</v>
      </c>
      <c r="G43" s="28">
        <f t="shared" si="0"/>
        <v>19560</v>
      </c>
      <c r="H43" s="16">
        <f t="shared" si="0"/>
        <v>4481995</v>
      </c>
      <c r="I43" s="28">
        <f t="shared" ref="I43:J43" si="1">SUM(I10:I42)</f>
        <v>755872</v>
      </c>
      <c r="J43" s="16">
        <f t="shared" si="1"/>
        <v>741050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4:K14"/>
    <mergeCell ref="C30:K30"/>
    <mergeCell ref="C37:K37"/>
    <mergeCell ref="C42:K42"/>
    <mergeCell ref="C16:K16"/>
    <mergeCell ref="C23:K23"/>
    <mergeCell ref="C17:K17"/>
    <mergeCell ref="C20:K20"/>
    <mergeCell ref="C29:K29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opLeftCell="A2" zoomScale="70" zoomScaleNormal="70" zoomScaleSheetLayoutView="100" workbookViewId="0">
      <selection activeCell="H36" sqref="H3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379695</v>
      </c>
      <c r="D17" s="32">
        <v>320595</v>
      </c>
      <c r="E17" s="31">
        <v>1549</v>
      </c>
      <c r="F17" s="32"/>
      <c r="G17" s="31">
        <v>2832</v>
      </c>
      <c r="H17" s="34">
        <v>319046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296582</v>
      </c>
      <c r="D18" s="32">
        <v>248253.5</v>
      </c>
      <c r="E18" s="31">
        <v>267.5</v>
      </c>
      <c r="F18" s="31"/>
      <c r="G18" s="31">
        <v>2070</v>
      </c>
      <c r="H18" s="32">
        <v>247986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44" t="s">
        <v>22</v>
      </c>
      <c r="D19" s="45"/>
      <c r="E19" s="45"/>
      <c r="F19" s="45"/>
      <c r="G19" s="45"/>
      <c r="H19" s="45"/>
      <c r="I19" s="45"/>
      <c r="J19" s="45"/>
      <c r="K19" s="4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286866</v>
      </c>
      <c r="D20" s="32">
        <v>243759</v>
      </c>
      <c r="E20" s="31">
        <v>259</v>
      </c>
      <c r="F20" s="34"/>
      <c r="G20" s="31">
        <v>1932</v>
      </c>
      <c r="H20" s="34">
        <v>243500</v>
      </c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273580</v>
      </c>
      <c r="D21" s="32">
        <v>226270</v>
      </c>
      <c r="E21" s="31">
        <v>273</v>
      </c>
      <c r="F21" s="34"/>
      <c r="G21" s="31">
        <v>1140</v>
      </c>
      <c r="H21" s="34">
        <v>225997</v>
      </c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301187</v>
      </c>
      <c r="D24" s="32">
        <v>253769</v>
      </c>
      <c r="E24" s="31"/>
      <c r="F24" s="34">
        <v>25</v>
      </c>
      <c r="G24" s="31">
        <v>2316</v>
      </c>
      <c r="H24" s="34">
        <v>253794</v>
      </c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252546</v>
      </c>
      <c r="D25" s="32">
        <v>213315</v>
      </c>
      <c r="E25" s="31"/>
      <c r="F25" s="32">
        <v>412</v>
      </c>
      <c r="G25" s="31">
        <v>1332</v>
      </c>
      <c r="H25" s="32">
        <v>213727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238898.5</v>
      </c>
      <c r="D26" s="32">
        <v>202771</v>
      </c>
      <c r="E26" s="31">
        <v>252</v>
      </c>
      <c r="F26" s="31"/>
      <c r="G26" s="31">
        <v>1296</v>
      </c>
      <c r="H26" s="32">
        <v>202519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2300743</v>
      </c>
      <c r="D27" s="37">
        <v>196904.5</v>
      </c>
      <c r="E27" s="13">
        <v>47.5</v>
      </c>
      <c r="F27" s="11"/>
      <c r="G27" s="43">
        <v>1092</v>
      </c>
      <c r="H27" s="33">
        <v>196857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251255</v>
      </c>
      <c r="D28" s="37">
        <v>216049.25</v>
      </c>
      <c r="E28" s="13">
        <v>761.25</v>
      </c>
      <c r="F28" s="11"/>
      <c r="G28" s="43">
        <v>648</v>
      </c>
      <c r="H28" s="33">
        <v>215288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262664</v>
      </c>
      <c r="D31" s="37">
        <v>223891.25</v>
      </c>
      <c r="E31" s="13">
        <v>16.25</v>
      </c>
      <c r="F31" s="11"/>
      <c r="G31" s="43">
        <v>1296</v>
      </c>
      <c r="H31" s="33">
        <v>223875</v>
      </c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231037</v>
      </c>
      <c r="D32" s="32">
        <v>194311</v>
      </c>
      <c r="E32" s="31"/>
      <c r="F32" s="32">
        <v>223</v>
      </c>
      <c r="G32" s="31">
        <v>1440</v>
      </c>
      <c r="H32" s="32">
        <v>194534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259093</v>
      </c>
      <c r="D33" s="32">
        <v>218966.5</v>
      </c>
      <c r="E33" s="31"/>
      <c r="F33" s="32">
        <v>153.5</v>
      </c>
      <c r="G33" s="31">
        <v>1926</v>
      </c>
      <c r="H33" s="32">
        <v>219120</v>
      </c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>
        <v>234047</v>
      </c>
      <c r="D34" s="24">
        <v>201350.75</v>
      </c>
      <c r="E34" s="40">
        <v>350.75</v>
      </c>
      <c r="F34" s="11"/>
      <c r="G34" s="11"/>
      <c r="H34" s="11">
        <v>201000</v>
      </c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32">
        <v>384839</v>
      </c>
      <c r="D35" s="24">
        <v>335375.75</v>
      </c>
      <c r="E35" s="40"/>
      <c r="F35" s="11">
        <v>1521</v>
      </c>
      <c r="G35" s="40">
        <v>2244</v>
      </c>
      <c r="H35" s="11">
        <v>336897</v>
      </c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7007979.5</v>
      </c>
      <c r="D43" s="16">
        <f t="shared" si="0"/>
        <v>4189515</v>
      </c>
      <c r="E43" s="28">
        <f t="shared" si="0"/>
        <v>4215.25</v>
      </c>
      <c r="F43" s="16">
        <f t="shared" si="0"/>
        <v>2397</v>
      </c>
      <c r="G43" s="28">
        <f t="shared" si="0"/>
        <v>27396</v>
      </c>
      <c r="H43" s="16">
        <f t="shared" si="0"/>
        <v>4187699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5:K15"/>
    <mergeCell ref="C42:K42"/>
    <mergeCell ref="C23:K23"/>
    <mergeCell ref="C16:K16"/>
    <mergeCell ref="C22:K22"/>
    <mergeCell ref="C30:K30"/>
    <mergeCell ref="C37:K37"/>
    <mergeCell ref="C19:K19"/>
    <mergeCell ref="C29:K29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opLeftCell="A8" zoomScale="90" zoomScaleNormal="90" zoomScaleSheetLayoutView="100" workbookViewId="0">
      <selection activeCell="M21" sqref="M2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389426</v>
      </c>
      <c r="D17" s="32">
        <v>330258.5</v>
      </c>
      <c r="E17" s="31">
        <v>7491.5</v>
      </c>
      <c r="F17" s="32"/>
      <c r="G17" s="31">
        <v>2478</v>
      </c>
      <c r="H17" s="34">
        <v>322767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4">
        <v>494155</v>
      </c>
      <c r="D18" s="32">
        <v>423587.5</v>
      </c>
      <c r="E18" s="31">
        <v>16.5</v>
      </c>
      <c r="F18" s="31"/>
      <c r="G18" s="31">
        <v>3288</v>
      </c>
      <c r="H18" s="32">
        <v>423571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297741</v>
      </c>
      <c r="D19" s="34">
        <v>254515.5</v>
      </c>
      <c r="E19" s="31">
        <v>575.5</v>
      </c>
      <c r="F19" s="31"/>
      <c r="G19" s="31">
        <v>1296</v>
      </c>
      <c r="H19" s="34">
        <v>253940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291580</v>
      </c>
      <c r="D20" s="32">
        <v>211400.5</v>
      </c>
      <c r="E20" s="31"/>
      <c r="F20" s="34">
        <v>7141.5</v>
      </c>
      <c r="G20" s="31">
        <v>1242</v>
      </c>
      <c r="H20" s="34">
        <v>218542</v>
      </c>
      <c r="I20" s="31">
        <v>35098</v>
      </c>
      <c r="J20" s="34"/>
      <c r="K20" s="34">
        <v>50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510083</v>
      </c>
      <c r="D24" s="32">
        <v>456901.5</v>
      </c>
      <c r="E24" s="31"/>
      <c r="F24" s="34">
        <v>29.5</v>
      </c>
      <c r="G24" s="31">
        <v>1554</v>
      </c>
      <c r="H24" s="34"/>
      <c r="I24" s="34"/>
      <c r="J24" s="34"/>
      <c r="K24" s="34">
        <v>50</v>
      </c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586130</v>
      </c>
      <c r="D25" s="32">
        <v>498151.25</v>
      </c>
      <c r="E25" s="31"/>
      <c r="F25" s="32">
        <v>1015.75</v>
      </c>
      <c r="G25" s="31">
        <v>2016</v>
      </c>
      <c r="H25" s="32">
        <v>499167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403382</v>
      </c>
      <c r="D26" s="32">
        <v>341730</v>
      </c>
      <c r="E26" s="31">
        <v>3084</v>
      </c>
      <c r="F26" s="31"/>
      <c r="G26" s="31">
        <v>2118</v>
      </c>
      <c r="H26" s="32">
        <v>338646</v>
      </c>
      <c r="I26" s="31"/>
      <c r="J26" s="31"/>
      <c r="K26" s="32">
        <v>50</v>
      </c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403373</v>
      </c>
      <c r="D27" s="37">
        <v>333081.5</v>
      </c>
      <c r="E27" s="13"/>
      <c r="F27" s="11">
        <v>1495.5</v>
      </c>
      <c r="G27" s="43">
        <v>2910</v>
      </c>
      <c r="H27" s="33">
        <v>334577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327175</v>
      </c>
      <c r="D28" s="37">
        <v>274885</v>
      </c>
      <c r="E28" s="13"/>
      <c r="F28" s="11">
        <v>735</v>
      </c>
      <c r="G28" s="43">
        <f>2118</f>
        <v>2118</v>
      </c>
      <c r="H28" s="33">
        <v>275620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294801</v>
      </c>
      <c r="D31" s="37">
        <v>255121</v>
      </c>
      <c r="E31" s="13">
        <v>3959</v>
      </c>
      <c r="F31" s="11"/>
      <c r="G31" s="43">
        <v>1890</v>
      </c>
      <c r="H31" s="33">
        <v>251162</v>
      </c>
      <c r="I31" s="33"/>
      <c r="J31" s="33"/>
      <c r="K31" s="30">
        <v>50</v>
      </c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570554</v>
      </c>
      <c r="D32" s="32">
        <v>484236.5</v>
      </c>
      <c r="E32" s="31"/>
      <c r="F32" s="32">
        <v>7626.5</v>
      </c>
      <c r="G32" s="31">
        <v>3240</v>
      </c>
      <c r="H32" s="32">
        <v>491863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475704</v>
      </c>
      <c r="D33" s="32">
        <v>395488</v>
      </c>
      <c r="E33" s="31">
        <v>617</v>
      </c>
      <c r="F33" s="31"/>
      <c r="G33" s="31">
        <v>2142</v>
      </c>
      <c r="H33" s="32">
        <v>394871</v>
      </c>
      <c r="I33" s="31"/>
      <c r="J33" s="31"/>
      <c r="K33" s="32">
        <v>50</v>
      </c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32">
        <v>398637</v>
      </c>
      <c r="D34" s="32">
        <v>344877</v>
      </c>
      <c r="E34" s="40">
        <v>6089</v>
      </c>
      <c r="F34" s="11"/>
      <c r="G34" s="40">
        <v>648</v>
      </c>
      <c r="H34" s="11">
        <v>338788</v>
      </c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32">
        <v>296303</v>
      </c>
      <c r="D35" s="32">
        <v>267421.25</v>
      </c>
      <c r="E35" s="40"/>
      <c r="F35" s="11">
        <v>6401.75</v>
      </c>
      <c r="G35" s="11"/>
      <c r="H35" s="11">
        <v>273823</v>
      </c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7348677</v>
      </c>
      <c r="D43" s="16">
        <f t="shared" si="0"/>
        <v>6203981.75</v>
      </c>
      <c r="E43" s="28">
        <f t="shared" si="0"/>
        <v>29675.25</v>
      </c>
      <c r="F43" s="16">
        <f t="shared" si="0"/>
        <v>24445.5</v>
      </c>
      <c r="G43" s="28">
        <f t="shared" si="0"/>
        <v>31272</v>
      </c>
      <c r="H43" s="16">
        <f t="shared" si="0"/>
        <v>5741821</v>
      </c>
      <c r="I43" s="16">
        <f t="shared" ref="I43:J43" si="1">SUM(I10:I42)</f>
        <v>35098</v>
      </c>
      <c r="J43" s="16">
        <f t="shared" si="1"/>
        <v>0</v>
      </c>
      <c r="K43" s="16">
        <f>SUM(K10:K42)</f>
        <v>300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22:K22"/>
    <mergeCell ref="C15:K15"/>
    <mergeCell ref="C16:K16"/>
    <mergeCell ref="C23:K23"/>
    <mergeCell ref="C30:K30"/>
    <mergeCell ref="C37:K37"/>
    <mergeCell ref="C29:K29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2026-06-27T08:25:30Z</dcterms:modified>
</cp:coreProperties>
</file>