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CDE80EF0-444B-4340-88FB-CB4B0054CC86}" xr6:coauthVersionLast="45" xr6:coauthVersionMax="47" xr10:uidLastSave="{00000000-0000-0000-0000-000000000000}"/>
  <bookViews>
    <workbookView xWindow="-120" yWindow="-120" windowWidth="29040" windowHeight="15840" xr2:uid="{B997F013-12E6-4AA2-8A9D-EFCC32EA76C2}"/>
  </bookViews>
  <sheets>
    <sheet name="JUNE, SRS R1" sheetId="6" r:id="rId1"/>
    <sheet name="JUNE, SRS R2" sheetId="12" r:id="rId2"/>
    <sheet name="JUNE, SRS R3" sheetId="13" r:id="rId3"/>
    <sheet name="," sheetId="14" r:id="rId4"/>
  </sheets>
  <definedNames>
    <definedName name="_xlnm.Print_Area" localSheetId="0">'JUNE, SRS R1'!$A$1:$K$44</definedName>
    <definedName name="_xlnm.Print_Area" localSheetId="1">'JUNE, SRS R2'!$A$1:$K$44</definedName>
    <definedName name="_xlnm.Print_Area" localSheetId="2">'JUNE, SRS R3'!$A$1:$K$44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3" l="1"/>
  <c r="I43" i="12" l="1"/>
  <c r="J43" i="12"/>
  <c r="G43" i="12"/>
  <c r="D43" i="12"/>
  <c r="I43" i="6"/>
  <c r="J43" i="6"/>
  <c r="G43" i="6"/>
  <c r="D43" i="6"/>
  <c r="D43" i="13"/>
  <c r="G43" i="13"/>
  <c r="I43" i="13"/>
  <c r="J43" i="13"/>
  <c r="K43" i="6" l="1"/>
  <c r="H43" i="6"/>
  <c r="F43" i="6"/>
  <c r="E43" i="6"/>
  <c r="C43" i="6"/>
  <c r="K43" i="12"/>
  <c r="H43" i="12"/>
  <c r="F43" i="12"/>
  <c r="E43" i="12"/>
  <c r="C43" i="12"/>
  <c r="K43" i="13" l="1"/>
  <c r="H43" i="13"/>
  <c r="F43" i="13"/>
  <c r="E43" i="13"/>
  <c r="C4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0" authorId="0" shapeId="0" xr:uid="{8B38E3D4-1F30-496D-A8D6-9F786023C9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</t>
        </r>
      </text>
    </comment>
  </commentList>
</comments>
</file>

<file path=xl/sharedStrings.xml><?xml version="1.0" encoding="utf-8"?>
<sst xmlns="http://schemas.openxmlformats.org/spreadsheetml/2006/main" count="72" uniqueCount="22">
  <si>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</si>
  <si>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</si>
  <si>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</si>
  <si>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</si>
  <si>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</si>
  <si>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</si>
  <si>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</si>
  <si>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</si>
  <si>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</si>
  <si>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</si>
  <si>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</si>
  <si>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</si>
  <si>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</si>
  <si>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</si>
  <si>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DISCOUNT</t>
  </si>
  <si>
    <t>TOTAL SALES</t>
  </si>
  <si>
    <t>NET SALES</t>
  </si>
  <si>
    <t>JUNE</t>
  </si>
  <si>
    <t>COLLECTION</t>
  </si>
  <si>
    <t>CREDIT</t>
  </si>
  <si>
    <t xml:space="preserve">CREDIT </t>
  </si>
  <si>
    <t>TOTAL REM.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</si>
</sst>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2" fillId="0" borderId="1" xfId="0" applyFont="1" applyBorder="1"/>
    <xf numFmtId="164" fontId="2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Alignment="1">
      <alignment horizontal="center" vertical="center"/>
    </xf>
    <xf numFmtId="164" fontId="2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2" fillId="0" borderId="6" xfId="1" applyFont="1" applyBorder="1"/>
    <xf numFmtId="164" fontId="2" fillId="0" borderId="1" xfId="1" applyFont="1" applyBorder="1" applyAlignment="1"/>
    <xf numFmtId="165" fontId="9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2" fillId="0" borderId="4" xfId="1" applyFont="1" applyBorder="1"/>
    <xf numFmtId="0" fontId="0" fillId="0" borderId="4" xfId="0" applyBorder="1" applyAlignment="1">
      <alignment horizontal="center"/>
    </xf>
    <xf numFmtId="165" fontId="9" fillId="0" borderId="0" xfId="0" applyNumberFormat="1" applyFont="1" applyBorder="1" applyAlignment="1">
      <alignment horizontal="center" vertical="center"/>
    </xf>
    <xf numFmtId="164" fontId="9" fillId="0" borderId="1" xfId="1" applyFont="1" applyBorder="1"/>
    <xf numFmtId="0" fontId="0" fillId="0" borderId="0" xfId="0" applyBorder="1"/>
    <xf numFmtId="0" fontId="13" fillId="3" borderId="1" xfId="0" applyFont="1" applyFill="1" applyBorder="1" applyAlignment="1">
      <alignment horizontal="center"/>
    </xf>
    <xf numFmtId="164" fontId="9" fillId="0" borderId="6" xfId="1" applyFont="1" applyBorder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V279"/>
  <sheetViews>
    <sheetView tabSelected="1" zoomScaleNormal="100" zoomScaleSheetLayoutView="100" workbookViewId="0">
      <selection activeCell="C12" sqref="C12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5" customWidth="1"/>
    <col min="7" max="7" width="15" style="41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17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8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10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2" t="s">
        <v>2</v>
      </c>
      <c r="B9" s="14" t="s">
        <v>11</v>
      </c>
      <c r="C9" s="22" t="s">
        <v>15</v>
      </c>
      <c r="D9" s="36" t="s">
        <v>16</v>
      </c>
      <c r="E9" s="23" t="s">
        <v>5</v>
      </c>
      <c r="F9" s="14" t="s">
        <v>3</v>
      </c>
      <c r="G9" s="42" t="s">
        <v>14</v>
      </c>
      <c r="H9" s="14" t="s">
        <v>21</v>
      </c>
      <c r="I9" s="42" t="s">
        <v>19</v>
      </c>
      <c r="J9" s="14" t="s">
        <v>18</v>
      </c>
      <c r="K9" s="14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7">
        <v>46174</v>
      </c>
      <c r="C10" s="32">
        <v>475222.5</v>
      </c>
      <c r="D10" s="32">
        <v>486611.75</v>
      </c>
      <c r="E10" s="31">
        <v>710.75</v>
      </c>
      <c r="F10" s="32"/>
      <c r="G10" s="31">
        <v>2760</v>
      </c>
      <c r="H10" s="32">
        <v>485901</v>
      </c>
      <c r="I10" s="31"/>
      <c r="J10" s="32">
        <v>68780</v>
      </c>
      <c r="K10" s="3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7">
        <v>46175</v>
      </c>
      <c r="C11" s="32">
        <v>242753</v>
      </c>
      <c r="D11" s="32">
        <v>207146</v>
      </c>
      <c r="E11" s="31"/>
      <c r="F11" s="32">
        <v>118</v>
      </c>
      <c r="G11" s="31">
        <v>42</v>
      </c>
      <c r="H11" s="32">
        <v>207264</v>
      </c>
      <c r="I11" s="31"/>
      <c r="J11" s="32"/>
      <c r="K11" s="3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7">
        <v>46176</v>
      </c>
      <c r="C12" s="31"/>
      <c r="D12" s="31"/>
      <c r="E12" s="31"/>
      <c r="F12" s="31"/>
      <c r="G12" s="31"/>
      <c r="H12" s="31"/>
      <c r="I12" s="31"/>
      <c r="J12" s="31"/>
      <c r="K12" s="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7">
        <v>46177</v>
      </c>
      <c r="C13" s="32"/>
      <c r="D13" s="32"/>
      <c r="E13" s="31"/>
      <c r="F13" s="32"/>
      <c r="G13" s="31"/>
      <c r="H13" s="34"/>
      <c r="I13" s="31"/>
      <c r="J13" s="34"/>
      <c r="K13" s="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27">
        <v>46178</v>
      </c>
      <c r="C14" s="32"/>
      <c r="D14" s="32"/>
      <c r="E14" s="31"/>
      <c r="F14" s="32"/>
      <c r="G14" s="31"/>
      <c r="H14" s="34"/>
      <c r="I14" s="31"/>
      <c r="J14" s="34"/>
      <c r="K14" s="3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7">
        <v>46179</v>
      </c>
      <c r="C15" s="32"/>
      <c r="D15" s="32"/>
      <c r="E15" s="31"/>
      <c r="F15" s="31"/>
      <c r="G15" s="31"/>
      <c r="H15" s="34"/>
      <c r="I15" s="31"/>
      <c r="J15" s="34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35" t="s">
        <v>0</v>
      </c>
      <c r="C16" s="44" t="s">
        <v>0</v>
      </c>
      <c r="D16" s="45"/>
      <c r="E16" s="45"/>
      <c r="F16" s="45"/>
      <c r="G16" s="45"/>
      <c r="H16" s="45"/>
      <c r="I16" s="45"/>
      <c r="J16" s="45"/>
      <c r="K16" s="4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7">
        <v>46181</v>
      </c>
      <c r="C17" s="32"/>
      <c r="D17" s="32"/>
      <c r="E17" s="31"/>
      <c r="F17" s="32"/>
      <c r="G17" s="31"/>
      <c r="H17" s="34"/>
      <c r="I17" s="31"/>
      <c r="J17" s="34"/>
      <c r="K17" s="3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7">
        <v>46182</v>
      </c>
      <c r="C18" s="31"/>
      <c r="D18" s="31"/>
      <c r="E18" s="31"/>
      <c r="F18" s="31"/>
      <c r="G18" s="31"/>
      <c r="H18" s="31"/>
      <c r="I18" s="31"/>
      <c r="J18" s="31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7">
        <v>46183</v>
      </c>
      <c r="C19" s="31"/>
      <c r="D19" s="31"/>
      <c r="E19" s="31"/>
      <c r="F19" s="31"/>
      <c r="G19" s="31"/>
      <c r="H19" s="31"/>
      <c r="I19" s="31"/>
      <c r="J19" s="31"/>
      <c r="K19" s="3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7">
        <v>46184</v>
      </c>
      <c r="C20" s="32"/>
      <c r="D20" s="32"/>
      <c r="E20" s="31"/>
      <c r="F20" s="34"/>
      <c r="G20" s="31"/>
      <c r="H20" s="34"/>
      <c r="I20" s="31"/>
      <c r="J20" s="34"/>
      <c r="K20" s="3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27">
        <v>46185</v>
      </c>
      <c r="C21" s="32"/>
      <c r="D21" s="32"/>
      <c r="E21" s="31"/>
      <c r="F21" s="34"/>
      <c r="G21" s="31"/>
      <c r="H21" s="34"/>
      <c r="I21" s="31"/>
      <c r="J21" s="34"/>
      <c r="K21" s="3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7">
        <v>46186</v>
      </c>
      <c r="C22" s="44"/>
      <c r="D22" s="45"/>
      <c r="E22" s="45"/>
      <c r="F22" s="45"/>
      <c r="G22" s="45"/>
      <c r="H22" s="45"/>
      <c r="I22" s="45"/>
      <c r="J22" s="45"/>
      <c r="K22" s="4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35" t="s">
        <v>0</v>
      </c>
      <c r="C23" s="44" t="s">
        <v>0</v>
      </c>
      <c r="D23" s="45"/>
      <c r="E23" s="45"/>
      <c r="F23" s="45"/>
      <c r="G23" s="45"/>
      <c r="H23" s="45"/>
      <c r="I23" s="45"/>
      <c r="J23" s="45"/>
      <c r="K23" s="46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7">
        <v>46188</v>
      </c>
      <c r="C24" s="32"/>
      <c r="D24" s="32"/>
      <c r="E24" s="31"/>
      <c r="F24" s="34"/>
      <c r="G24" s="31"/>
      <c r="H24" s="34"/>
      <c r="I24" s="31"/>
      <c r="J24" s="34"/>
      <c r="K24" s="34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7">
        <v>46189</v>
      </c>
      <c r="C25" s="31"/>
      <c r="D25" s="31"/>
      <c r="E25" s="31"/>
      <c r="F25" s="31"/>
      <c r="G25" s="31"/>
      <c r="H25" s="31"/>
      <c r="I25" s="31"/>
      <c r="J25" s="31"/>
      <c r="K25" s="31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7">
        <v>46190</v>
      </c>
      <c r="C26" s="31"/>
      <c r="D26" s="31"/>
      <c r="E26" s="31"/>
      <c r="F26" s="31"/>
      <c r="G26" s="31"/>
      <c r="H26" s="31"/>
      <c r="I26" s="31"/>
      <c r="J26" s="31"/>
      <c r="K26" s="31"/>
      <c r="L26" s="1"/>
      <c r="M26" s="1"/>
      <c r="N26" s="17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7">
        <v>46191</v>
      </c>
      <c r="C27" s="11"/>
      <c r="D27" s="37"/>
      <c r="E27" s="13"/>
      <c r="F27" s="11"/>
      <c r="G27" s="43"/>
      <c r="H27" s="33"/>
      <c r="I27" s="43"/>
      <c r="J27" s="33"/>
      <c r="K27" s="30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27">
        <v>46192</v>
      </c>
      <c r="C28" s="11"/>
      <c r="D28" s="37"/>
      <c r="E28" s="13"/>
      <c r="F28" s="11"/>
      <c r="G28" s="43"/>
      <c r="H28" s="33"/>
      <c r="I28" s="43"/>
      <c r="J28" s="33"/>
      <c r="K28" s="30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7">
        <v>46193</v>
      </c>
      <c r="C29" s="11"/>
      <c r="D29" s="37"/>
      <c r="E29" s="13"/>
      <c r="F29" s="11"/>
      <c r="G29" s="43"/>
      <c r="H29" s="33"/>
      <c r="I29" s="43"/>
      <c r="J29" s="33"/>
      <c r="K29" s="30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35" t="s">
        <v>0</v>
      </c>
      <c r="C30" s="44" t="s">
        <v>0</v>
      </c>
      <c r="D30" s="45"/>
      <c r="E30" s="45"/>
      <c r="F30" s="45"/>
      <c r="G30" s="45"/>
      <c r="H30" s="45"/>
      <c r="I30" s="45"/>
      <c r="J30" s="45"/>
      <c r="K30" s="46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7">
        <v>46195</v>
      </c>
      <c r="C31" s="11"/>
      <c r="D31" s="37"/>
      <c r="E31" s="13"/>
      <c r="F31" s="11"/>
      <c r="G31" s="43"/>
      <c r="H31" s="33"/>
      <c r="I31" s="43"/>
      <c r="J31" s="33"/>
      <c r="K31" s="30"/>
      <c r="L31" s="1"/>
      <c r="M31" s="1"/>
      <c r="N31" s="17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7">
        <v>46196</v>
      </c>
      <c r="C32" s="31"/>
      <c r="D32" s="31"/>
      <c r="E32" s="31"/>
      <c r="F32" s="31"/>
      <c r="G32" s="31"/>
      <c r="H32" s="31"/>
      <c r="I32" s="31"/>
      <c r="J32" s="31"/>
      <c r="K32" s="31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7">
        <v>46197</v>
      </c>
      <c r="C33" s="31"/>
      <c r="D33" s="31"/>
      <c r="E33" s="31"/>
      <c r="F33" s="31"/>
      <c r="G33" s="31"/>
      <c r="H33" s="31"/>
      <c r="I33" s="31"/>
      <c r="J33" s="31"/>
      <c r="K33" s="31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7">
        <v>46198</v>
      </c>
      <c r="C34" s="24"/>
      <c r="D34" s="24"/>
      <c r="E34" s="40"/>
      <c r="F34" s="11"/>
      <c r="G34" s="40"/>
      <c r="H34" s="11"/>
      <c r="I34" s="40"/>
      <c r="J34" s="11"/>
      <c r="K34" s="34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27">
        <v>46199</v>
      </c>
      <c r="C35" s="24"/>
      <c r="D35" s="24"/>
      <c r="E35" s="40"/>
      <c r="F35" s="11"/>
      <c r="G35" s="40"/>
      <c r="H35" s="11"/>
      <c r="I35" s="40"/>
      <c r="J35" s="11"/>
      <c r="K35" s="34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7">
        <v>46200</v>
      </c>
      <c r="C36" s="24"/>
      <c r="D36" s="38"/>
      <c r="E36" s="13"/>
      <c r="F36" s="11"/>
      <c r="G36" s="43"/>
      <c r="H36" s="33"/>
      <c r="I36" s="43"/>
      <c r="J36" s="33"/>
      <c r="K36" s="30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35" t="s">
        <v>0</v>
      </c>
      <c r="C37" s="44" t="s">
        <v>0</v>
      </c>
      <c r="D37" s="45"/>
      <c r="E37" s="45"/>
      <c r="F37" s="45"/>
      <c r="G37" s="45"/>
      <c r="H37" s="45"/>
      <c r="I37" s="45"/>
      <c r="J37" s="45"/>
      <c r="K37" s="46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7">
        <v>46202</v>
      </c>
      <c r="C38" s="24"/>
      <c r="D38" s="24"/>
      <c r="E38" s="40"/>
      <c r="F38" s="11"/>
      <c r="G38" s="40"/>
      <c r="H38" s="11"/>
      <c r="I38" s="40"/>
      <c r="J38" s="11"/>
      <c r="K38" s="34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7">
        <v>46203</v>
      </c>
      <c r="C39" s="31"/>
      <c r="D39" s="31"/>
      <c r="E39" s="31"/>
      <c r="F39" s="31"/>
      <c r="G39" s="31"/>
      <c r="H39" s="31"/>
      <c r="I39" s="31"/>
      <c r="J39" s="31"/>
      <c r="K39" s="3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/>
      <c r="B40" s="27"/>
      <c r="C40" s="31"/>
      <c r="D40" s="31"/>
      <c r="E40" s="31"/>
      <c r="F40" s="31"/>
      <c r="G40" s="31"/>
      <c r="H40" s="31"/>
      <c r="I40" s="31"/>
      <c r="J40" s="31"/>
      <c r="K40" s="3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7"/>
      <c r="C41" s="11"/>
      <c r="D41" s="11"/>
      <c r="E41" s="31"/>
      <c r="F41" s="31"/>
      <c r="G41" s="31"/>
      <c r="H41" s="31"/>
      <c r="I41" s="31"/>
      <c r="J41" s="31"/>
      <c r="K41" s="10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21"/>
      <c r="B42" s="35"/>
      <c r="C42" s="44"/>
      <c r="D42" s="45"/>
      <c r="E42" s="45"/>
      <c r="F42" s="45"/>
      <c r="G42" s="45"/>
      <c r="H42" s="45"/>
      <c r="I42" s="45"/>
      <c r="J42" s="45"/>
      <c r="K42" s="46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6" t="s">
        <v>1</v>
      </c>
      <c r="B43" s="27"/>
      <c r="C43" s="16">
        <f t="shared" ref="C43:H43" si="0">SUM(C10:C42)</f>
        <v>717975.5</v>
      </c>
      <c r="D43" s="16">
        <f t="shared" si="0"/>
        <v>693757.75</v>
      </c>
      <c r="E43" s="28">
        <f t="shared" si="0"/>
        <v>710.75</v>
      </c>
      <c r="F43" s="16">
        <f t="shared" si="0"/>
        <v>118</v>
      </c>
      <c r="G43" s="28">
        <f t="shared" si="0"/>
        <v>2802</v>
      </c>
      <c r="H43" s="16">
        <f t="shared" si="0"/>
        <v>693165</v>
      </c>
      <c r="I43" s="28">
        <f t="shared" ref="I43:J43" si="1">SUM(I10:I42)</f>
        <v>0</v>
      </c>
      <c r="J43" s="16">
        <f t="shared" si="1"/>
        <v>68780</v>
      </c>
      <c r="K43" s="16">
        <f>SUM(K10:K42)</f>
        <v>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29"/>
      <c r="C44" s="20"/>
      <c r="D44" s="20"/>
      <c r="E44" s="25"/>
      <c r="F44" s="9"/>
      <c r="G44" s="9"/>
      <c r="H44" s="9"/>
      <c r="I44" s="9"/>
      <c r="J44" s="9"/>
      <c r="K44" s="1"/>
      <c r="L44" s="1"/>
      <c r="M44" s="1"/>
      <c r="N44" s="17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6">
    <mergeCell ref="C30:K30"/>
    <mergeCell ref="C37:K37"/>
    <mergeCell ref="C42:K42"/>
    <mergeCell ref="C16:K16"/>
    <mergeCell ref="C22:K22"/>
    <mergeCell ref="C23:K23"/>
  </mergeCells>
  <pageMargins left="0.7" right="0.7" top="0.75" bottom="0.75" header="0.3" footer="0.3"/>
  <pageSetup scale="9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V279"/>
  <sheetViews>
    <sheetView zoomScaleNormal="100" zoomScaleSheetLayoutView="100" workbookViewId="0">
      <selection activeCell="C12" sqref="C12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5" customWidth="1"/>
    <col min="7" max="7" width="15" style="41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17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8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13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2" t="s">
        <v>2</v>
      </c>
      <c r="B9" s="14" t="s">
        <v>11</v>
      </c>
      <c r="C9" s="22" t="s">
        <v>15</v>
      </c>
      <c r="D9" s="36" t="s">
        <v>16</v>
      </c>
      <c r="E9" s="23" t="s">
        <v>5</v>
      </c>
      <c r="F9" s="14" t="s">
        <v>3</v>
      </c>
      <c r="G9" s="42" t="s">
        <v>14</v>
      </c>
      <c r="H9" s="14" t="s">
        <v>21</v>
      </c>
      <c r="I9" s="42" t="s">
        <v>20</v>
      </c>
      <c r="J9" s="14" t="s">
        <v>18</v>
      </c>
      <c r="K9" s="14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7">
        <v>46174</v>
      </c>
      <c r="C10" s="32">
        <v>247146</v>
      </c>
      <c r="D10" s="32">
        <v>210265.75</v>
      </c>
      <c r="E10" s="31">
        <v>175.75</v>
      </c>
      <c r="F10" s="32"/>
      <c r="G10" s="31">
        <v>696</v>
      </c>
      <c r="H10" s="32">
        <v>210092</v>
      </c>
      <c r="I10" s="32"/>
      <c r="J10" s="32"/>
      <c r="K10" s="3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7">
        <v>46175</v>
      </c>
      <c r="C11" s="32">
        <v>256886</v>
      </c>
      <c r="D11" s="32">
        <v>217049</v>
      </c>
      <c r="E11" s="31">
        <v>215</v>
      </c>
      <c r="F11" s="32"/>
      <c r="G11" s="31">
        <v>1944</v>
      </c>
      <c r="H11" s="32">
        <v>216834</v>
      </c>
      <c r="I11" s="32"/>
      <c r="J11" s="32"/>
      <c r="K11" s="3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7">
        <v>46176</v>
      </c>
      <c r="C12" s="31"/>
      <c r="D12" s="31"/>
      <c r="E12" s="31"/>
      <c r="F12" s="31"/>
      <c r="G12" s="31"/>
      <c r="H12" s="31"/>
      <c r="I12" s="31"/>
      <c r="J12" s="31"/>
      <c r="K12" s="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7">
        <v>46177</v>
      </c>
      <c r="C13" s="32"/>
      <c r="D13" s="32"/>
      <c r="E13" s="31"/>
      <c r="F13" s="32"/>
      <c r="G13" s="32"/>
      <c r="H13" s="34"/>
      <c r="I13" s="34"/>
      <c r="J13" s="34"/>
      <c r="K13" s="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27">
        <v>46178</v>
      </c>
      <c r="C14" s="32"/>
      <c r="D14" s="32"/>
      <c r="E14" s="31"/>
      <c r="F14" s="32"/>
      <c r="G14" s="32"/>
      <c r="H14" s="34"/>
      <c r="I14" s="34"/>
      <c r="J14" s="34"/>
      <c r="K14" s="3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7">
        <v>46179</v>
      </c>
      <c r="C15" s="32"/>
      <c r="D15" s="32"/>
      <c r="E15" s="31"/>
      <c r="F15" s="31"/>
      <c r="G15" s="31"/>
      <c r="H15" s="34"/>
      <c r="I15" s="34"/>
      <c r="J15" s="34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35" t="s">
        <v>0</v>
      </c>
      <c r="C16" s="44" t="s">
        <v>0</v>
      </c>
      <c r="D16" s="45"/>
      <c r="E16" s="45"/>
      <c r="F16" s="45"/>
      <c r="G16" s="45"/>
      <c r="H16" s="45"/>
      <c r="I16" s="45"/>
      <c r="J16" s="45"/>
      <c r="K16" s="4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7">
        <v>46181</v>
      </c>
      <c r="C17" s="32"/>
      <c r="D17" s="32"/>
      <c r="E17" s="31"/>
      <c r="F17" s="32"/>
      <c r="G17" s="32"/>
      <c r="H17" s="34"/>
      <c r="I17" s="34"/>
      <c r="J17" s="34"/>
      <c r="K17" s="3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7">
        <v>46182</v>
      </c>
      <c r="C18" s="31"/>
      <c r="D18" s="31"/>
      <c r="E18" s="31"/>
      <c r="F18" s="31"/>
      <c r="G18" s="31"/>
      <c r="H18" s="31"/>
      <c r="I18" s="31"/>
      <c r="J18" s="31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7">
        <v>46183</v>
      </c>
      <c r="C19" s="31"/>
      <c r="D19" s="31"/>
      <c r="E19" s="31"/>
      <c r="F19" s="31"/>
      <c r="G19" s="31"/>
      <c r="H19" s="31"/>
      <c r="I19" s="31"/>
      <c r="J19" s="31"/>
      <c r="K19" s="3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7">
        <v>46184</v>
      </c>
      <c r="C20" s="32"/>
      <c r="D20" s="32"/>
      <c r="E20" s="31"/>
      <c r="F20" s="34"/>
      <c r="G20" s="34"/>
      <c r="H20" s="34"/>
      <c r="I20" s="34"/>
      <c r="J20" s="34"/>
      <c r="K20" s="3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27">
        <v>46185</v>
      </c>
      <c r="C21" s="32"/>
      <c r="D21" s="32"/>
      <c r="E21" s="31"/>
      <c r="F21" s="34"/>
      <c r="G21" s="34"/>
      <c r="H21" s="34"/>
      <c r="I21" s="34"/>
      <c r="J21" s="34"/>
      <c r="K21" s="3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7">
        <v>46186</v>
      </c>
      <c r="C22" s="44"/>
      <c r="D22" s="45"/>
      <c r="E22" s="45"/>
      <c r="F22" s="45"/>
      <c r="G22" s="45"/>
      <c r="H22" s="45"/>
      <c r="I22" s="45"/>
      <c r="J22" s="45"/>
      <c r="K22" s="4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35" t="s">
        <v>0</v>
      </c>
      <c r="C23" s="44" t="s">
        <v>0</v>
      </c>
      <c r="D23" s="45"/>
      <c r="E23" s="45"/>
      <c r="F23" s="45"/>
      <c r="G23" s="45"/>
      <c r="H23" s="45"/>
      <c r="I23" s="45"/>
      <c r="J23" s="45"/>
      <c r="K23" s="46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7">
        <v>46188</v>
      </c>
      <c r="C24" s="32"/>
      <c r="D24" s="32"/>
      <c r="E24" s="31"/>
      <c r="F24" s="34"/>
      <c r="G24" s="34"/>
      <c r="H24" s="34"/>
      <c r="I24" s="34"/>
      <c r="J24" s="34"/>
      <c r="K24" s="34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7">
        <v>46189</v>
      </c>
      <c r="C25" s="31"/>
      <c r="D25" s="31"/>
      <c r="E25" s="31"/>
      <c r="F25" s="31"/>
      <c r="G25" s="31"/>
      <c r="H25" s="31"/>
      <c r="I25" s="31"/>
      <c r="J25" s="31"/>
      <c r="K25" s="31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7">
        <v>46190</v>
      </c>
      <c r="C26" s="31"/>
      <c r="D26" s="31"/>
      <c r="E26" s="31"/>
      <c r="F26" s="31"/>
      <c r="G26" s="31"/>
      <c r="H26" s="31"/>
      <c r="I26" s="31"/>
      <c r="J26" s="31"/>
      <c r="K26" s="31"/>
      <c r="L26" s="1"/>
      <c r="M26" s="1"/>
      <c r="N26" s="17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7">
        <v>46191</v>
      </c>
      <c r="C27" s="11"/>
      <c r="D27" s="37"/>
      <c r="E27" s="13"/>
      <c r="F27" s="11"/>
      <c r="G27" s="33"/>
      <c r="H27" s="33"/>
      <c r="I27" s="33"/>
      <c r="J27" s="33"/>
      <c r="K27" s="30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27">
        <v>46192</v>
      </c>
      <c r="C28" s="11"/>
      <c r="D28" s="37"/>
      <c r="E28" s="13"/>
      <c r="F28" s="11"/>
      <c r="G28" s="33"/>
      <c r="H28" s="33"/>
      <c r="I28" s="33"/>
      <c r="J28" s="33"/>
      <c r="K28" s="30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7">
        <v>46193</v>
      </c>
      <c r="C29" s="11"/>
      <c r="D29" s="37"/>
      <c r="E29" s="13"/>
      <c r="F29" s="11"/>
      <c r="G29" s="33"/>
      <c r="H29" s="33"/>
      <c r="I29" s="33"/>
      <c r="J29" s="33"/>
      <c r="K29" s="30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35" t="s">
        <v>0</v>
      </c>
      <c r="C30" s="44" t="s">
        <v>0</v>
      </c>
      <c r="D30" s="45"/>
      <c r="E30" s="45"/>
      <c r="F30" s="45"/>
      <c r="G30" s="45"/>
      <c r="H30" s="45"/>
      <c r="I30" s="45"/>
      <c r="J30" s="45"/>
      <c r="K30" s="46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7">
        <v>46195</v>
      </c>
      <c r="C31" s="11"/>
      <c r="D31" s="37"/>
      <c r="E31" s="13"/>
      <c r="F31" s="11"/>
      <c r="G31" s="33"/>
      <c r="H31" s="33"/>
      <c r="I31" s="33"/>
      <c r="J31" s="33"/>
      <c r="K31" s="30"/>
      <c r="L31" s="1"/>
      <c r="M31" s="1"/>
      <c r="N31" s="17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7">
        <v>46196</v>
      </c>
      <c r="C32" s="31"/>
      <c r="D32" s="31"/>
      <c r="E32" s="31"/>
      <c r="F32" s="31"/>
      <c r="G32" s="31"/>
      <c r="H32" s="31"/>
      <c r="I32" s="31"/>
      <c r="J32" s="31"/>
      <c r="K32" s="31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7">
        <v>46197</v>
      </c>
      <c r="C33" s="31"/>
      <c r="D33" s="31"/>
      <c r="E33" s="31"/>
      <c r="F33" s="31"/>
      <c r="G33" s="31"/>
      <c r="H33" s="31"/>
      <c r="I33" s="31"/>
      <c r="J33" s="31"/>
      <c r="K33" s="31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7">
        <v>46198</v>
      </c>
      <c r="C34" s="24"/>
      <c r="D34" s="24"/>
      <c r="E34" s="40"/>
      <c r="F34" s="11"/>
      <c r="G34" s="11"/>
      <c r="H34" s="11"/>
      <c r="I34" s="11"/>
      <c r="J34" s="11"/>
      <c r="K34" s="34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27">
        <v>46199</v>
      </c>
      <c r="C35" s="24"/>
      <c r="D35" s="24"/>
      <c r="E35" s="40"/>
      <c r="F35" s="11"/>
      <c r="G35" s="11"/>
      <c r="H35" s="11"/>
      <c r="I35" s="11"/>
      <c r="J35" s="11"/>
      <c r="K35" s="34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7">
        <v>46200</v>
      </c>
      <c r="C36" s="24"/>
      <c r="D36" s="38"/>
      <c r="E36" s="13"/>
      <c r="F36" s="11"/>
      <c r="G36" s="33"/>
      <c r="H36" s="33"/>
      <c r="I36" s="33"/>
      <c r="J36" s="33"/>
      <c r="K36" s="30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35" t="s">
        <v>0</v>
      </c>
      <c r="C37" s="44" t="s">
        <v>0</v>
      </c>
      <c r="D37" s="45"/>
      <c r="E37" s="45"/>
      <c r="F37" s="45"/>
      <c r="G37" s="45"/>
      <c r="H37" s="45"/>
      <c r="I37" s="45"/>
      <c r="J37" s="45"/>
      <c r="K37" s="46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7">
        <v>46202</v>
      </c>
      <c r="C38" s="24"/>
      <c r="D38" s="24"/>
      <c r="E38" s="40"/>
      <c r="F38" s="11"/>
      <c r="G38" s="11"/>
      <c r="H38" s="11"/>
      <c r="I38" s="11"/>
      <c r="J38" s="11"/>
      <c r="K38" s="34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7">
        <v>46203</v>
      </c>
      <c r="C39" s="31"/>
      <c r="D39" s="31"/>
      <c r="E39" s="31"/>
      <c r="F39" s="31"/>
      <c r="G39" s="31"/>
      <c r="H39" s="31"/>
      <c r="I39" s="31"/>
      <c r="J39" s="31"/>
      <c r="K39" s="3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/>
      <c r="B40" s="27"/>
      <c r="C40" s="31"/>
      <c r="D40" s="31"/>
      <c r="E40" s="31"/>
      <c r="F40" s="31"/>
      <c r="G40" s="31"/>
      <c r="H40" s="31"/>
      <c r="I40" s="31"/>
      <c r="J40" s="31"/>
      <c r="K40" s="3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7"/>
      <c r="C41" s="11"/>
      <c r="D41" s="11"/>
      <c r="E41" s="31"/>
      <c r="F41" s="31"/>
      <c r="G41" s="31"/>
      <c r="H41" s="31"/>
      <c r="I41" s="31"/>
      <c r="J41" s="31"/>
      <c r="K41" s="10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21"/>
      <c r="B42" s="35"/>
      <c r="C42" s="44"/>
      <c r="D42" s="45"/>
      <c r="E42" s="45"/>
      <c r="F42" s="45"/>
      <c r="G42" s="45"/>
      <c r="H42" s="45"/>
      <c r="I42" s="45"/>
      <c r="J42" s="45"/>
      <c r="K42" s="46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6" t="s">
        <v>1</v>
      </c>
      <c r="B43" s="27"/>
      <c r="C43" s="16">
        <f t="shared" ref="C43:H43" si="0">SUM(C10:C42)</f>
        <v>504032</v>
      </c>
      <c r="D43" s="16">
        <f t="shared" si="0"/>
        <v>427314.75</v>
      </c>
      <c r="E43" s="28">
        <f t="shared" si="0"/>
        <v>390.75</v>
      </c>
      <c r="F43" s="16">
        <f t="shared" si="0"/>
        <v>0</v>
      </c>
      <c r="G43" s="28">
        <f t="shared" si="0"/>
        <v>2640</v>
      </c>
      <c r="H43" s="16">
        <f t="shared" si="0"/>
        <v>426926</v>
      </c>
      <c r="I43" s="28">
        <f t="shared" ref="I43:J43" si="1">SUM(I10:I42)</f>
        <v>0</v>
      </c>
      <c r="J43" s="16">
        <f t="shared" si="1"/>
        <v>0</v>
      </c>
      <c r="K43" s="16">
        <f>SUM(K10:K42)</f>
        <v>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1"/>
      <c r="C44" s="20"/>
      <c r="D44" s="20"/>
      <c r="E44" s="25"/>
      <c r="F44" s="9"/>
      <c r="G44" s="9"/>
      <c r="H44" s="9"/>
      <c r="I44" s="9"/>
      <c r="J44" s="9"/>
      <c r="K44" s="1"/>
      <c r="L44" s="1"/>
      <c r="M44" s="1"/>
      <c r="N44" s="17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6">
    <mergeCell ref="C42:K42"/>
    <mergeCell ref="C23:K23"/>
    <mergeCell ref="C16:K16"/>
    <mergeCell ref="C22:K22"/>
    <mergeCell ref="C30:K30"/>
    <mergeCell ref="C37:K37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V279"/>
  <sheetViews>
    <sheetView zoomScaleNormal="100" zoomScaleSheetLayoutView="100" workbookViewId="0">
      <selection activeCell="C12" sqref="C12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5" customWidth="1"/>
    <col min="7" max="7" width="15" style="41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17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8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12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39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2" t="s">
        <v>2</v>
      </c>
      <c r="B9" s="14" t="s">
        <v>11</v>
      </c>
      <c r="C9" s="22" t="s">
        <v>15</v>
      </c>
      <c r="D9" s="36" t="s">
        <v>16</v>
      </c>
      <c r="E9" s="23" t="s">
        <v>5</v>
      </c>
      <c r="F9" s="14" t="s">
        <v>3</v>
      </c>
      <c r="G9" s="42" t="s">
        <v>14</v>
      </c>
      <c r="H9" s="14" t="s">
        <v>21</v>
      </c>
      <c r="I9" s="42" t="s">
        <v>20</v>
      </c>
      <c r="J9" s="14" t="s">
        <v>18</v>
      </c>
      <c r="K9" s="14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7">
        <v>46174</v>
      </c>
      <c r="C10" s="32">
        <v>266056</v>
      </c>
      <c r="D10" s="32">
        <v>206692</v>
      </c>
      <c r="E10" s="31">
        <v>6000</v>
      </c>
      <c r="F10" s="32"/>
      <c r="G10" s="31">
        <v>1092</v>
      </c>
      <c r="H10" s="32">
        <v>200692</v>
      </c>
      <c r="I10" s="32"/>
      <c r="J10" s="32"/>
      <c r="K10" s="3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7">
        <v>46175</v>
      </c>
      <c r="C11" s="32">
        <v>403944</v>
      </c>
      <c r="D11" s="32">
        <v>330400.75</v>
      </c>
      <c r="E11" s="31">
        <v>623.75</v>
      </c>
      <c r="F11" s="32"/>
      <c r="G11" s="31">
        <f>918</f>
        <v>918</v>
      </c>
      <c r="H11" s="32">
        <v>329777</v>
      </c>
      <c r="I11" s="32"/>
      <c r="J11" s="32"/>
      <c r="K11" s="34">
        <v>50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7">
        <v>46176</v>
      </c>
      <c r="C12" s="31"/>
      <c r="D12" s="31"/>
      <c r="E12" s="31"/>
      <c r="F12" s="31"/>
      <c r="G12" s="31"/>
      <c r="H12" s="31"/>
      <c r="I12" s="31"/>
      <c r="J12" s="31"/>
      <c r="K12" s="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7">
        <v>46177</v>
      </c>
      <c r="C13" s="32"/>
      <c r="D13" s="32"/>
      <c r="E13" s="31"/>
      <c r="F13" s="32"/>
      <c r="G13" s="32"/>
      <c r="H13" s="34"/>
      <c r="I13" s="34"/>
      <c r="J13" s="34"/>
      <c r="K13" s="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27">
        <v>46178</v>
      </c>
      <c r="C14" s="32"/>
      <c r="D14" s="32"/>
      <c r="E14" s="31"/>
      <c r="F14" s="32"/>
      <c r="G14" s="32"/>
      <c r="H14" s="34"/>
      <c r="I14" s="34"/>
      <c r="J14" s="34"/>
      <c r="K14" s="3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7">
        <v>46179</v>
      </c>
      <c r="C15" s="32"/>
      <c r="D15" s="32"/>
      <c r="E15" s="31"/>
      <c r="F15" s="31"/>
      <c r="G15" s="31"/>
      <c r="H15" s="34"/>
      <c r="I15" s="34"/>
      <c r="J15" s="34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35" t="s">
        <v>0</v>
      </c>
      <c r="C16" s="44" t="s">
        <v>0</v>
      </c>
      <c r="D16" s="45"/>
      <c r="E16" s="45"/>
      <c r="F16" s="45"/>
      <c r="G16" s="45"/>
      <c r="H16" s="45"/>
      <c r="I16" s="45"/>
      <c r="J16" s="45"/>
      <c r="K16" s="4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7">
        <v>46181</v>
      </c>
      <c r="C17" s="32"/>
      <c r="D17" s="32"/>
      <c r="E17" s="31"/>
      <c r="F17" s="32"/>
      <c r="G17" s="32"/>
      <c r="H17" s="34"/>
      <c r="I17" s="34"/>
      <c r="J17" s="34"/>
      <c r="K17" s="3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7">
        <v>46182</v>
      </c>
      <c r="C18" s="31"/>
      <c r="D18" s="31"/>
      <c r="E18" s="31"/>
      <c r="F18" s="31"/>
      <c r="G18" s="31"/>
      <c r="H18" s="31"/>
      <c r="I18" s="31"/>
      <c r="J18" s="31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7">
        <v>46183</v>
      </c>
      <c r="C19" s="31"/>
      <c r="D19" s="31"/>
      <c r="E19" s="31"/>
      <c r="F19" s="31"/>
      <c r="G19" s="31"/>
      <c r="H19" s="31"/>
      <c r="I19" s="31"/>
      <c r="J19" s="31"/>
      <c r="K19" s="3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7">
        <v>46184</v>
      </c>
      <c r="C20" s="32"/>
      <c r="D20" s="32"/>
      <c r="E20" s="31"/>
      <c r="F20" s="34"/>
      <c r="G20" s="34"/>
      <c r="H20" s="34"/>
      <c r="I20" s="34"/>
      <c r="J20" s="34"/>
      <c r="K20" s="3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27">
        <v>46185</v>
      </c>
      <c r="C21" s="32"/>
      <c r="D21" s="32"/>
      <c r="E21" s="31"/>
      <c r="F21" s="34"/>
      <c r="G21" s="34"/>
      <c r="H21" s="34"/>
      <c r="I21" s="34"/>
      <c r="J21" s="34"/>
      <c r="K21" s="3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7">
        <v>46186</v>
      </c>
      <c r="C22" s="44"/>
      <c r="D22" s="45"/>
      <c r="E22" s="45"/>
      <c r="F22" s="45"/>
      <c r="G22" s="45"/>
      <c r="H22" s="45"/>
      <c r="I22" s="45"/>
      <c r="J22" s="45"/>
      <c r="K22" s="4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35" t="s">
        <v>0</v>
      </c>
      <c r="C23" s="44" t="s">
        <v>0</v>
      </c>
      <c r="D23" s="45"/>
      <c r="E23" s="45"/>
      <c r="F23" s="45"/>
      <c r="G23" s="45"/>
      <c r="H23" s="45"/>
      <c r="I23" s="45"/>
      <c r="J23" s="45"/>
      <c r="K23" s="46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7">
        <v>46188</v>
      </c>
      <c r="C24" s="32"/>
      <c r="D24" s="32"/>
      <c r="E24" s="31"/>
      <c r="F24" s="34"/>
      <c r="G24" s="34"/>
      <c r="H24" s="34"/>
      <c r="I24" s="34"/>
      <c r="J24" s="34"/>
      <c r="K24" s="34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7">
        <v>46189</v>
      </c>
      <c r="C25" s="31"/>
      <c r="D25" s="31"/>
      <c r="E25" s="31"/>
      <c r="F25" s="31"/>
      <c r="G25" s="31"/>
      <c r="H25" s="31"/>
      <c r="I25" s="31"/>
      <c r="J25" s="31"/>
      <c r="K25" s="31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7">
        <v>46190</v>
      </c>
      <c r="C26" s="31"/>
      <c r="D26" s="31"/>
      <c r="E26" s="31"/>
      <c r="F26" s="31"/>
      <c r="G26" s="31"/>
      <c r="H26" s="31"/>
      <c r="I26" s="31"/>
      <c r="J26" s="31"/>
      <c r="K26" s="31"/>
      <c r="L26" s="1"/>
      <c r="M26" s="1"/>
      <c r="N26" s="17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7">
        <v>46191</v>
      </c>
      <c r="C27" s="11"/>
      <c r="D27" s="37"/>
      <c r="E27" s="13"/>
      <c r="F27" s="11"/>
      <c r="G27" s="33"/>
      <c r="H27" s="33"/>
      <c r="I27" s="33"/>
      <c r="J27" s="33"/>
      <c r="K27" s="30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27">
        <v>46192</v>
      </c>
      <c r="C28" s="11"/>
      <c r="D28" s="37"/>
      <c r="E28" s="13"/>
      <c r="F28" s="11"/>
      <c r="G28" s="33"/>
      <c r="H28" s="33"/>
      <c r="I28" s="33"/>
      <c r="J28" s="33"/>
      <c r="K28" s="30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7">
        <v>46193</v>
      </c>
      <c r="C29" s="11"/>
      <c r="D29" s="37"/>
      <c r="E29" s="13"/>
      <c r="F29" s="11"/>
      <c r="G29" s="33"/>
      <c r="H29" s="33"/>
      <c r="I29" s="33"/>
      <c r="J29" s="33"/>
      <c r="K29" s="30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35" t="s">
        <v>0</v>
      </c>
      <c r="C30" s="44" t="s">
        <v>0</v>
      </c>
      <c r="D30" s="45"/>
      <c r="E30" s="45"/>
      <c r="F30" s="45"/>
      <c r="G30" s="45"/>
      <c r="H30" s="45"/>
      <c r="I30" s="45"/>
      <c r="J30" s="45"/>
      <c r="K30" s="46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7">
        <v>46195</v>
      </c>
      <c r="C31" s="11"/>
      <c r="D31" s="37"/>
      <c r="E31" s="13"/>
      <c r="F31" s="11"/>
      <c r="G31" s="33"/>
      <c r="H31" s="33"/>
      <c r="I31" s="33"/>
      <c r="J31" s="33"/>
      <c r="K31" s="30"/>
      <c r="L31" s="1"/>
      <c r="M31" s="1"/>
      <c r="N31" s="17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7">
        <v>46196</v>
      </c>
      <c r="C32" s="31"/>
      <c r="D32" s="31"/>
      <c r="E32" s="31"/>
      <c r="F32" s="31"/>
      <c r="G32" s="31"/>
      <c r="H32" s="31"/>
      <c r="I32" s="31"/>
      <c r="J32" s="31"/>
      <c r="K32" s="31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7">
        <v>46197</v>
      </c>
      <c r="C33" s="31"/>
      <c r="D33" s="31"/>
      <c r="E33" s="31"/>
      <c r="F33" s="31"/>
      <c r="G33" s="31"/>
      <c r="H33" s="31"/>
      <c r="I33" s="31"/>
      <c r="J33" s="31"/>
      <c r="K33" s="31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7">
        <v>46198</v>
      </c>
      <c r="C34" s="24"/>
      <c r="D34" s="24"/>
      <c r="E34" s="40"/>
      <c r="F34" s="11"/>
      <c r="G34" s="11"/>
      <c r="H34" s="11"/>
      <c r="I34" s="11"/>
      <c r="J34" s="11"/>
      <c r="K34" s="34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27">
        <v>46199</v>
      </c>
      <c r="C35" s="24"/>
      <c r="D35" s="24"/>
      <c r="E35" s="40"/>
      <c r="F35" s="11"/>
      <c r="G35" s="11"/>
      <c r="H35" s="11"/>
      <c r="I35" s="11"/>
      <c r="J35" s="11"/>
      <c r="K35" s="34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7">
        <v>46200</v>
      </c>
      <c r="C36" s="24"/>
      <c r="D36" s="38"/>
      <c r="E36" s="13"/>
      <c r="F36" s="11"/>
      <c r="G36" s="33"/>
      <c r="H36" s="33"/>
      <c r="I36" s="33"/>
      <c r="J36" s="33"/>
      <c r="K36" s="30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35" t="s">
        <v>0</v>
      </c>
      <c r="C37" s="44" t="s">
        <v>0</v>
      </c>
      <c r="D37" s="45"/>
      <c r="E37" s="45"/>
      <c r="F37" s="45"/>
      <c r="G37" s="45"/>
      <c r="H37" s="45"/>
      <c r="I37" s="45"/>
      <c r="J37" s="45"/>
      <c r="K37" s="46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7">
        <v>46202</v>
      </c>
      <c r="C38" s="24"/>
      <c r="D38" s="24"/>
      <c r="E38" s="40"/>
      <c r="F38" s="11"/>
      <c r="G38" s="11"/>
      <c r="H38" s="11"/>
      <c r="I38" s="11"/>
      <c r="J38" s="11"/>
      <c r="K38" s="34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7">
        <v>46203</v>
      </c>
      <c r="C39" s="31"/>
      <c r="D39" s="31"/>
      <c r="E39" s="31"/>
      <c r="F39" s="31"/>
      <c r="G39" s="31"/>
      <c r="H39" s="31"/>
      <c r="I39" s="31"/>
      <c r="J39" s="31"/>
      <c r="K39" s="3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/>
      <c r="B40" s="27"/>
      <c r="C40" s="31"/>
      <c r="D40" s="31"/>
      <c r="E40" s="31"/>
      <c r="F40" s="31"/>
      <c r="G40" s="31"/>
      <c r="H40" s="31"/>
      <c r="I40" s="31"/>
      <c r="J40" s="31"/>
      <c r="K40" s="3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7"/>
      <c r="C41" s="11"/>
      <c r="D41" s="11"/>
      <c r="E41" s="31"/>
      <c r="F41" s="31"/>
      <c r="G41" s="31"/>
      <c r="H41" s="31"/>
      <c r="I41" s="31"/>
      <c r="J41" s="31"/>
      <c r="K41" s="10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21"/>
      <c r="B42" s="35"/>
      <c r="C42" s="44"/>
      <c r="D42" s="45"/>
      <c r="E42" s="45"/>
      <c r="F42" s="45"/>
      <c r="G42" s="45"/>
      <c r="H42" s="45"/>
      <c r="I42" s="45"/>
      <c r="J42" s="45"/>
      <c r="K42" s="46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6" t="s">
        <v>1</v>
      </c>
      <c r="B43" s="27"/>
      <c r="C43" s="16">
        <f t="shared" ref="C43:H43" si="0">SUM(C10:C42)</f>
        <v>670000</v>
      </c>
      <c r="D43" s="16">
        <f t="shared" si="0"/>
        <v>537092.75</v>
      </c>
      <c r="E43" s="28">
        <f t="shared" si="0"/>
        <v>6623.75</v>
      </c>
      <c r="F43" s="16">
        <f t="shared" si="0"/>
        <v>0</v>
      </c>
      <c r="G43" s="28">
        <f t="shared" si="0"/>
        <v>2010</v>
      </c>
      <c r="H43" s="16">
        <f t="shared" si="0"/>
        <v>530469</v>
      </c>
      <c r="I43" s="16">
        <f t="shared" ref="I43:J43" si="1">SUM(I10:I42)</f>
        <v>0</v>
      </c>
      <c r="J43" s="16">
        <f t="shared" si="1"/>
        <v>0</v>
      </c>
      <c r="K43" s="16">
        <f>SUM(K10:K42)</f>
        <v>50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1"/>
      <c r="C44" s="20"/>
      <c r="D44" s="20"/>
      <c r="E44" s="25"/>
      <c r="F44" s="9"/>
      <c r="G44" s="9"/>
      <c r="H44" s="9"/>
      <c r="I44" s="9"/>
      <c r="J44" s="9"/>
      <c r="K44" s="1"/>
      <c r="L44" s="1"/>
      <c r="M44" s="1"/>
      <c r="N44" s="17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6">
    <mergeCell ref="C16:K16"/>
    <mergeCell ref="C23:K23"/>
    <mergeCell ref="C30:K30"/>
    <mergeCell ref="C37:K37"/>
    <mergeCell ref="C42:K42"/>
    <mergeCell ref="C22:K22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JUNE, SRS R1</vt:lpstr>
      <vt:lpstr>JUNE, SRS R2</vt:lpstr>
      <vt:lpstr>JUNE, SRS R3</vt:lpstr>
      <vt:lpstr>,</vt:lpstr>
      <vt:lpstr>'JUNE, SRS R1'!Print_Area</vt:lpstr>
      <vt:lpstr>'JUNE, SRS R2'!Print_Area</vt:lpstr>
      <vt:lpstr>'JUNE,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2026-06-03T02:54:55Z</dcterms:modified>
</cp:coreProperties>
</file>