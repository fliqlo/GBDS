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A664D5E9-C7A6-456F-BC14-90937676872A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  <comment ref="J28" authorId="0" shapeId="0" xr:uid="{F9DF04CC-819C-44D3-990E-F5C06D90B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SI NO. 11001</t>
        </r>
      </text>
    </comment>
    <comment ref="I34" authorId="0" shapeId="0" xr:uid="{35D9FC90-7438-4F1D-A3C4-FFDAC6DEC2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11174
</t>
        </r>
      </text>
    </comment>
    <comment ref="J36" authorId="0" shapeId="0" xr:uid="{484F76EB-AA50-4A88-920C-35B0862AB4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11174
</t>
        </r>
      </text>
    </comment>
    <comment ref="I39" authorId="0" shapeId="0" xr:uid="{C7A43FD8-106A-4940-99D8-F7689F3B26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 NO 11180
</t>
        </r>
      </text>
    </comment>
    <comment ref="J39" authorId="0" shapeId="0" xr:uid="{95A2040B-8B60-4EA5-8C52-480A8CA12F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 I NO 10950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<sst xmlns="http://schemas.openxmlformats.org/spreadsheetml/2006/main" count="84" uniqueCount="23">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</sst>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="80" zoomScaleNormal="80" zoomScaleSheetLayoutView="100" workbookViewId="0">
      <selection activeCell="C35" sqref="C35:K3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>
        <v>261949</v>
      </c>
      <c r="E28" s="13"/>
      <c r="F28" s="11"/>
      <c r="G28" s="43"/>
      <c r="H28" s="33">
        <v>261949</v>
      </c>
      <c r="I28" s="43"/>
      <c r="J28" s="33">
        <v>261949</v>
      </c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302668</v>
      </c>
      <c r="D31" s="37">
        <v>255001</v>
      </c>
      <c r="E31" s="13">
        <v>171</v>
      </c>
      <c r="F31" s="11"/>
      <c r="G31" s="43">
        <v>1728</v>
      </c>
      <c r="H31" s="33">
        <v>254830</v>
      </c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379402</v>
      </c>
      <c r="D32" s="32">
        <v>339520</v>
      </c>
      <c r="E32" s="31">
        <v>50</v>
      </c>
      <c r="F32" s="31"/>
      <c r="G32" s="31">
        <v>2652</v>
      </c>
      <c r="H32" s="32">
        <v>339470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287816</v>
      </c>
      <c r="D33" s="32">
        <v>245066</v>
      </c>
      <c r="E33" s="31">
        <v>350</v>
      </c>
      <c r="F33" s="31"/>
      <c r="G33" s="31"/>
      <c r="H33" s="32">
        <v>244716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452512</v>
      </c>
      <c r="D34" s="32">
        <v>32729</v>
      </c>
      <c r="E34" s="40">
        <v>2190</v>
      </c>
      <c r="F34" s="11"/>
      <c r="G34" s="40"/>
      <c r="H34" s="11">
        <v>325019</v>
      </c>
      <c r="I34" s="40">
        <v>58202</v>
      </c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44" t="s">
        <v>22</v>
      </c>
      <c r="D35" s="45"/>
      <c r="E35" s="45"/>
      <c r="F35" s="45"/>
      <c r="G35" s="45"/>
      <c r="H35" s="45"/>
      <c r="I35" s="45"/>
      <c r="J35" s="45"/>
      <c r="K35" s="46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>
        <v>58202</v>
      </c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32">
        <v>475002</v>
      </c>
      <c r="D38" s="32">
        <v>414459.75</v>
      </c>
      <c r="E38" s="40"/>
      <c r="F38" s="11">
        <v>1103.25</v>
      </c>
      <c r="G38" s="40">
        <v>3348</v>
      </c>
      <c r="H38" s="11">
        <v>415563</v>
      </c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2">
        <v>393812.5</v>
      </c>
      <c r="D39" s="32">
        <v>345331.5</v>
      </c>
      <c r="E39" s="31">
        <v>89</v>
      </c>
      <c r="F39" s="31"/>
      <c r="G39" s="31">
        <v>1944</v>
      </c>
      <c r="H39" s="34">
        <v>345242.5</v>
      </c>
      <c r="I39" s="31">
        <v>84261</v>
      </c>
      <c r="J39" s="34">
        <v>93725</v>
      </c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6397686</v>
      </c>
      <c r="D43" s="16">
        <f t="shared" si="0"/>
        <v>5079089.66</v>
      </c>
      <c r="E43" s="28">
        <f t="shared" si="0"/>
        <v>8925.41</v>
      </c>
      <c r="F43" s="16">
        <f t="shared" si="0"/>
        <v>1221.25</v>
      </c>
      <c r="G43" s="28">
        <f t="shared" si="0"/>
        <v>24852</v>
      </c>
      <c r="H43" s="16">
        <f t="shared" si="0"/>
        <v>5242800.5</v>
      </c>
      <c r="I43" s="28">
        <f t="shared" ref="I43:J43" si="1">SUM(I10:I42)</f>
        <v>840133</v>
      </c>
      <c r="J43" s="16">
        <f t="shared" si="1"/>
        <v>834775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14:K14"/>
    <mergeCell ref="C30:K30"/>
    <mergeCell ref="C37:K37"/>
    <mergeCell ref="C42:K42"/>
    <mergeCell ref="C16:K16"/>
    <mergeCell ref="C23:K23"/>
    <mergeCell ref="C17:K17"/>
    <mergeCell ref="C20:K20"/>
    <mergeCell ref="C29:K29"/>
    <mergeCell ref="C35:K35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="80" zoomScaleNormal="80" zoomScaleSheetLayoutView="100" workbookViewId="0">
      <selection activeCell="E39" sqref="E3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251255</v>
      </c>
      <c r="D28" s="37">
        <v>216049.25</v>
      </c>
      <c r="E28" s="13">
        <v>761.25</v>
      </c>
      <c r="F28" s="11"/>
      <c r="G28" s="43">
        <v>648</v>
      </c>
      <c r="H28" s="33">
        <v>215288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262664</v>
      </c>
      <c r="D31" s="37">
        <v>223891.25</v>
      </c>
      <c r="E31" s="13">
        <v>16.25</v>
      </c>
      <c r="F31" s="11"/>
      <c r="G31" s="43">
        <v>1296</v>
      </c>
      <c r="H31" s="33">
        <v>223875</v>
      </c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231037</v>
      </c>
      <c r="D32" s="32">
        <v>194311</v>
      </c>
      <c r="E32" s="31"/>
      <c r="F32" s="32">
        <v>223</v>
      </c>
      <c r="G32" s="31">
        <v>1440</v>
      </c>
      <c r="H32" s="32">
        <v>194534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259093</v>
      </c>
      <c r="D33" s="32">
        <v>218966.5</v>
      </c>
      <c r="E33" s="31"/>
      <c r="F33" s="32">
        <v>153.5</v>
      </c>
      <c r="G33" s="31">
        <v>1926</v>
      </c>
      <c r="H33" s="32">
        <v>219120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234047</v>
      </c>
      <c r="D34" s="32">
        <v>201350.75</v>
      </c>
      <c r="E34" s="40">
        <v>350.75</v>
      </c>
      <c r="F34" s="11"/>
      <c r="G34" s="11"/>
      <c r="H34" s="11">
        <v>201000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32">
        <v>384839</v>
      </c>
      <c r="D35" s="32">
        <v>335375.75</v>
      </c>
      <c r="E35" s="40"/>
      <c r="F35" s="11">
        <v>1521</v>
      </c>
      <c r="G35" s="40">
        <v>2244</v>
      </c>
      <c r="H35" s="11">
        <v>336897</v>
      </c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32">
        <v>232541.5</v>
      </c>
      <c r="D38" s="32">
        <v>197559.25</v>
      </c>
      <c r="E38" s="40">
        <v>1696.25</v>
      </c>
      <c r="F38" s="11"/>
      <c r="G38" s="40">
        <v>810</v>
      </c>
      <c r="H38" s="11">
        <v>195863</v>
      </c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2">
        <v>231345</v>
      </c>
      <c r="D39" s="32">
        <v>195222.75</v>
      </c>
      <c r="E39" s="31"/>
      <c r="F39" s="34">
        <v>218.25</v>
      </c>
      <c r="G39" s="31">
        <v>1110</v>
      </c>
      <c r="H39" s="34">
        <v>195441</v>
      </c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7471866</v>
      </c>
      <c r="D43" s="16">
        <f t="shared" si="0"/>
        <v>4582297</v>
      </c>
      <c r="E43" s="28">
        <f t="shared" si="0"/>
        <v>5911.5</v>
      </c>
      <c r="F43" s="16">
        <f t="shared" si="0"/>
        <v>2615.25</v>
      </c>
      <c r="G43" s="28">
        <f t="shared" si="0"/>
        <v>29316</v>
      </c>
      <c r="H43" s="16">
        <f t="shared" si="0"/>
        <v>4579003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5:K15"/>
    <mergeCell ref="C42:K42"/>
    <mergeCell ref="C23:K23"/>
    <mergeCell ref="C16:K16"/>
    <mergeCell ref="C22:K22"/>
    <mergeCell ref="C30:K30"/>
    <mergeCell ref="C37:K37"/>
    <mergeCell ref="C19:K19"/>
    <mergeCell ref="C29:K2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="80" zoomScaleNormal="80" zoomScaleSheetLayoutView="100" workbookViewId="0">
      <selection activeCell="N23" sqref="N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1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327175</v>
      </c>
      <c r="D28" s="37">
        <v>274885</v>
      </c>
      <c r="E28" s="13"/>
      <c r="F28" s="11">
        <v>735</v>
      </c>
      <c r="G28" s="43">
        <f>2118</f>
        <v>2118</v>
      </c>
      <c r="H28" s="33">
        <v>275620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294801</v>
      </c>
      <c r="D31" s="37">
        <v>255121</v>
      </c>
      <c r="E31" s="13">
        <v>3959</v>
      </c>
      <c r="F31" s="11"/>
      <c r="G31" s="43">
        <v>1890</v>
      </c>
      <c r="H31" s="33">
        <v>251162</v>
      </c>
      <c r="I31" s="33"/>
      <c r="J31" s="33"/>
      <c r="K31" s="30">
        <v>50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570554</v>
      </c>
      <c r="D32" s="32">
        <v>484236.5</v>
      </c>
      <c r="E32" s="31"/>
      <c r="F32" s="32">
        <v>7626.5</v>
      </c>
      <c r="G32" s="31">
        <v>3240</v>
      </c>
      <c r="H32" s="32">
        <v>491863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475704</v>
      </c>
      <c r="D33" s="32">
        <v>395488</v>
      </c>
      <c r="E33" s="31">
        <v>617</v>
      </c>
      <c r="F33" s="31"/>
      <c r="G33" s="31">
        <v>2142</v>
      </c>
      <c r="H33" s="32">
        <v>394871</v>
      </c>
      <c r="I33" s="31"/>
      <c r="J33" s="31"/>
      <c r="K33" s="32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398637</v>
      </c>
      <c r="D34" s="32">
        <v>344877</v>
      </c>
      <c r="E34" s="40">
        <v>6089</v>
      </c>
      <c r="F34" s="11"/>
      <c r="G34" s="40">
        <v>648</v>
      </c>
      <c r="H34" s="11">
        <v>338788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32">
        <v>296303</v>
      </c>
      <c r="D35" s="32">
        <v>267421.25</v>
      </c>
      <c r="E35" s="40"/>
      <c r="F35" s="11">
        <v>6401.75</v>
      </c>
      <c r="G35" s="11"/>
      <c r="H35" s="11">
        <v>273823</v>
      </c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32">
        <v>419626</v>
      </c>
      <c r="D38" s="32">
        <v>356119</v>
      </c>
      <c r="E38" s="40">
        <v>3894</v>
      </c>
      <c r="F38" s="11"/>
      <c r="G38" s="40">
        <v>2832</v>
      </c>
      <c r="H38" s="11">
        <v>352225</v>
      </c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2">
        <v>305063</v>
      </c>
      <c r="D39" s="32">
        <v>257049.5</v>
      </c>
      <c r="E39" s="31"/>
      <c r="F39" s="34">
        <v>4405</v>
      </c>
      <c r="G39" s="31">
        <v>1578</v>
      </c>
      <c r="H39" s="34">
        <v>261454.5</v>
      </c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8073366</v>
      </c>
      <c r="D43" s="16">
        <f t="shared" si="0"/>
        <v>6817150.25</v>
      </c>
      <c r="E43" s="28">
        <f t="shared" si="0"/>
        <v>33569.25</v>
      </c>
      <c r="F43" s="16">
        <f t="shared" si="0"/>
        <v>28850.5</v>
      </c>
      <c r="G43" s="28">
        <f t="shared" si="0"/>
        <v>35682</v>
      </c>
      <c r="H43" s="16">
        <f t="shared" si="0"/>
        <v>6355500.5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300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22:K22"/>
    <mergeCell ref="C15:K15"/>
    <mergeCell ref="C16:K16"/>
    <mergeCell ref="C23:K23"/>
    <mergeCell ref="C30:K30"/>
    <mergeCell ref="C37:K37"/>
    <mergeCell ref="C29:K29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2026-07-02T04:33:26Z</dcterms:modified>
</cp:coreProperties>
</file>