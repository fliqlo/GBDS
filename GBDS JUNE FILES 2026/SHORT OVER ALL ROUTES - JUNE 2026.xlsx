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4AC00BFD-027E-4E4A-BFA5-44B163374C12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25" i="6" l="1"/>
  <c r="I25" i="6"/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  <comment ref="J15" authorId="0" shapeId="0" xr:uid="{867EA403-261B-4920-809A-F301CCEA5C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10850</t>
        </r>
      </text>
    </comment>
    <comment ref="I21" authorId="0" shapeId="0" xr:uid="{47571E67-2407-454F-B2DA-49E9E464D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JONTHAN CENAS
SI NO. 10941</t>
        </r>
      </text>
    </comment>
    <comment ref="J22" authorId="0" shapeId="0" xr:uid="{70424F86-D89D-4272-A5BF-7063AE01EB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SI NO. 10941</t>
        </r>
      </text>
    </comment>
    <comment ref="I25" authorId="0" shapeId="0" xr:uid="{792B610C-9682-4CA9-B70C-97DDC294CA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SI NO. 11001
BALWARTE
SI NO. 10950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25751F20-122E-4471-B3E9-0CBFBFBE6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10938</t>
        </r>
      </text>
    </comment>
  </commentList>
</comments>
</file>

<file path=xl/sharedStrings.xml><?xml version="1.0" encoding="utf-8"?>
<sst xmlns="http://schemas.openxmlformats.org/spreadsheetml/2006/main" count="80" uniqueCount="23">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</sst>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26" sqref="C2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44" t="s">
        <v>22</v>
      </c>
      <c r="D14" s="45"/>
      <c r="E14" s="45"/>
      <c r="F14" s="45"/>
      <c r="G14" s="45"/>
      <c r="H14" s="45"/>
      <c r="I14" s="45"/>
      <c r="J14" s="45"/>
      <c r="K14" s="4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1"/>
      <c r="D15" s="31"/>
      <c r="E15" s="31"/>
      <c r="F15" s="31"/>
      <c r="G15" s="31"/>
      <c r="H15" s="31"/>
      <c r="I15" s="31"/>
      <c r="J15" s="34">
        <v>62272</v>
      </c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44" t="s">
        <v>22</v>
      </c>
      <c r="D17" s="45"/>
      <c r="E17" s="45"/>
      <c r="F17" s="45"/>
      <c r="G17" s="45"/>
      <c r="H17" s="45"/>
      <c r="I17" s="45"/>
      <c r="J17" s="45"/>
      <c r="K17" s="4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284998</v>
      </c>
      <c r="D18" s="32">
        <v>249779.5</v>
      </c>
      <c r="E18" s="31">
        <v>351.5</v>
      </c>
      <c r="F18" s="31"/>
      <c r="G18" s="31"/>
      <c r="H18" s="32">
        <v>249428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262429</v>
      </c>
      <c r="D19" s="34">
        <v>224855.5</v>
      </c>
      <c r="E19" s="31">
        <v>185.5</v>
      </c>
      <c r="F19" s="31"/>
      <c r="G19" s="31"/>
      <c r="H19" s="34">
        <v>224670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44" t="s">
        <v>22</v>
      </c>
      <c r="D20" s="45"/>
      <c r="E20" s="45"/>
      <c r="F20" s="45"/>
      <c r="G20" s="45"/>
      <c r="H20" s="45"/>
      <c r="I20" s="45"/>
      <c r="J20" s="45"/>
      <c r="K20" s="4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410353</v>
      </c>
      <c r="D21" s="32">
        <v>245949.5</v>
      </c>
      <c r="E21" s="31">
        <v>334.5</v>
      </c>
      <c r="F21" s="34"/>
      <c r="G21" s="31">
        <v>1074</v>
      </c>
      <c r="H21" s="34">
        <v>245615</v>
      </c>
      <c r="I21" s="31">
        <v>123065</v>
      </c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32"/>
      <c r="D22" s="32">
        <v>123065</v>
      </c>
      <c r="E22" s="31"/>
      <c r="F22" s="34"/>
      <c r="G22" s="31"/>
      <c r="H22" s="34"/>
      <c r="I22" s="31"/>
      <c r="J22" s="34">
        <v>123065</v>
      </c>
      <c r="K22" s="3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337138</v>
      </c>
      <c r="D24" s="32">
        <v>301661.90999999997</v>
      </c>
      <c r="E24" s="31">
        <v>713.91</v>
      </c>
      <c r="F24" s="34"/>
      <c r="G24" s="31">
        <v>2430</v>
      </c>
      <c r="H24" s="34">
        <v>300948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550495</v>
      </c>
      <c r="D25" s="32">
        <v>178173.5</v>
      </c>
      <c r="E25" s="31">
        <v>983.5</v>
      </c>
      <c r="F25" s="31"/>
      <c r="G25" s="31">
        <v>2592</v>
      </c>
      <c r="H25" s="32">
        <v>177190</v>
      </c>
      <c r="I25" s="31">
        <f>261949+93725</f>
        <v>355674</v>
      </c>
      <c r="J25" s="32">
        <f>88549</f>
        <v>88549</v>
      </c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/>
      <c r="D26" s="32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43"/>
      <c r="H27" s="33"/>
      <c r="I27" s="4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43"/>
      <c r="H28" s="33"/>
      <c r="I28" s="4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43"/>
      <c r="H29" s="33"/>
      <c r="I29" s="4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43"/>
      <c r="H31" s="33"/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40"/>
      <c r="H34" s="11"/>
      <c r="I34" s="40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40"/>
      <c r="H35" s="11"/>
      <c r="I35" s="40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40"/>
      <c r="H38" s="11"/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3433811.5</v>
      </c>
      <c r="D43" s="16">
        <f t="shared" si="0"/>
        <v>2685955.41</v>
      </c>
      <c r="E43" s="28">
        <f t="shared" si="0"/>
        <v>5291.41</v>
      </c>
      <c r="F43" s="16">
        <f t="shared" si="0"/>
        <v>118</v>
      </c>
      <c r="G43" s="28">
        <f t="shared" si="0"/>
        <v>13884</v>
      </c>
      <c r="H43" s="16">
        <f t="shared" si="0"/>
        <v>2557717</v>
      </c>
      <c r="I43" s="28">
        <f t="shared" ref="I43:J43" si="1">SUM(I10:I42)</f>
        <v>629560</v>
      </c>
      <c r="J43" s="16">
        <f t="shared" si="1"/>
        <v>420899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14:K14"/>
    <mergeCell ref="C30:K30"/>
    <mergeCell ref="C37:K37"/>
    <mergeCell ref="C42:K42"/>
    <mergeCell ref="C16:K16"/>
    <mergeCell ref="C23:K23"/>
    <mergeCell ref="C17:K17"/>
    <mergeCell ref="C20:K2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26" sqref="C2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302509</v>
      </c>
      <c r="D14" s="32">
        <v>261479.5</v>
      </c>
      <c r="E14" s="31"/>
      <c r="F14" s="32">
        <v>62.5</v>
      </c>
      <c r="G14" s="32">
        <v>1296</v>
      </c>
      <c r="H14" s="34">
        <v>261542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379695</v>
      </c>
      <c r="D17" s="32">
        <v>320595</v>
      </c>
      <c r="E17" s="31">
        <v>1549</v>
      </c>
      <c r="F17" s="32"/>
      <c r="G17" s="31">
        <v>2832</v>
      </c>
      <c r="H17" s="34">
        <v>319046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296582</v>
      </c>
      <c r="D18" s="32">
        <v>248253.5</v>
      </c>
      <c r="E18" s="31">
        <v>267.5</v>
      </c>
      <c r="F18" s="31"/>
      <c r="G18" s="31">
        <v>2070</v>
      </c>
      <c r="H18" s="32">
        <v>247986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44" t="s">
        <v>22</v>
      </c>
      <c r="D19" s="45"/>
      <c r="E19" s="45"/>
      <c r="F19" s="45"/>
      <c r="G19" s="45"/>
      <c r="H19" s="45"/>
      <c r="I19" s="45"/>
      <c r="J19" s="45"/>
      <c r="K19" s="4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286866</v>
      </c>
      <c r="D20" s="32">
        <v>243759</v>
      </c>
      <c r="E20" s="31">
        <v>259</v>
      </c>
      <c r="F20" s="34"/>
      <c r="G20" s="31">
        <v>1932</v>
      </c>
      <c r="H20" s="34">
        <v>243500</v>
      </c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273580</v>
      </c>
      <c r="D21" s="32">
        <v>226270</v>
      </c>
      <c r="E21" s="31">
        <v>273</v>
      </c>
      <c r="F21" s="34"/>
      <c r="G21" s="31">
        <v>1140</v>
      </c>
      <c r="H21" s="34">
        <v>225997</v>
      </c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301187</v>
      </c>
      <c r="D24" s="32">
        <v>253769</v>
      </c>
      <c r="E24" s="31"/>
      <c r="F24" s="34">
        <v>25</v>
      </c>
      <c r="G24" s="31">
        <v>2316</v>
      </c>
      <c r="H24" s="34">
        <v>253794</v>
      </c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252546</v>
      </c>
      <c r="D25" s="32">
        <v>213315</v>
      </c>
      <c r="E25" s="31"/>
      <c r="F25" s="32">
        <v>412</v>
      </c>
      <c r="G25" s="31">
        <v>1332</v>
      </c>
      <c r="H25" s="32">
        <v>213727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2845403</v>
      </c>
      <c r="D43" s="16">
        <f t="shared" si="0"/>
        <v>2399895</v>
      </c>
      <c r="E43" s="28">
        <f t="shared" si="0"/>
        <v>2787.5</v>
      </c>
      <c r="F43" s="16">
        <f t="shared" si="0"/>
        <v>499.5</v>
      </c>
      <c r="G43" s="28">
        <f t="shared" si="0"/>
        <v>17454</v>
      </c>
      <c r="H43" s="16">
        <f t="shared" si="0"/>
        <v>2397609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15:K15"/>
    <mergeCell ref="C42:K42"/>
    <mergeCell ref="C23:K23"/>
    <mergeCell ref="C16:K16"/>
    <mergeCell ref="C22:K22"/>
    <mergeCell ref="C30:K30"/>
    <mergeCell ref="C37:K37"/>
    <mergeCell ref="C19:K19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26" sqref="C26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357319</v>
      </c>
      <c r="D14" s="32">
        <v>303847</v>
      </c>
      <c r="E14" s="31">
        <v>882</v>
      </c>
      <c r="F14" s="32"/>
      <c r="G14" s="31">
        <v>1092</v>
      </c>
      <c r="H14" s="34">
        <v>302965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389426</v>
      </c>
      <c r="D17" s="32">
        <v>330258.5</v>
      </c>
      <c r="E17" s="31">
        <v>7491.5</v>
      </c>
      <c r="F17" s="32"/>
      <c r="G17" s="31">
        <v>2478</v>
      </c>
      <c r="H17" s="34">
        <v>322767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4">
        <v>494155</v>
      </c>
      <c r="D18" s="32">
        <v>423587.5</v>
      </c>
      <c r="E18" s="31">
        <v>16.5</v>
      </c>
      <c r="F18" s="31"/>
      <c r="G18" s="31">
        <v>3288</v>
      </c>
      <c r="H18" s="32">
        <v>423571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297741</v>
      </c>
      <c r="D19" s="34">
        <v>254515.5</v>
      </c>
      <c r="E19" s="31">
        <v>575.5</v>
      </c>
      <c r="F19" s="31"/>
      <c r="G19" s="31">
        <v>1296</v>
      </c>
      <c r="H19" s="34">
        <v>253940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291580</v>
      </c>
      <c r="D20" s="32">
        <v>211400.5</v>
      </c>
      <c r="E20" s="31"/>
      <c r="F20" s="34">
        <v>7141.5</v>
      </c>
      <c r="G20" s="31">
        <v>1242</v>
      </c>
      <c r="H20" s="34">
        <v>218542</v>
      </c>
      <c r="I20" s="31">
        <v>35098</v>
      </c>
      <c r="J20" s="34"/>
      <c r="K20" s="34">
        <v>50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510083</v>
      </c>
      <c r="D24" s="32">
        <v>456901.5</v>
      </c>
      <c r="E24" s="31"/>
      <c r="F24" s="34">
        <v>29.5</v>
      </c>
      <c r="G24" s="34">
        <v>1554</v>
      </c>
      <c r="H24" s="34"/>
      <c r="I24" s="34"/>
      <c r="J24" s="34"/>
      <c r="K24" s="34">
        <v>50</v>
      </c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586130</v>
      </c>
      <c r="D25" s="32">
        <v>498151.25</v>
      </c>
      <c r="E25" s="31"/>
      <c r="F25" s="32">
        <v>1015.75</v>
      </c>
      <c r="G25" s="31">
        <v>2016</v>
      </c>
      <c r="H25" s="32">
        <v>499167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2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4178748</v>
      </c>
      <c r="D43" s="16">
        <f t="shared" si="0"/>
        <v>3507141.5</v>
      </c>
      <c r="E43" s="28">
        <f t="shared" si="0"/>
        <v>15926.25</v>
      </c>
      <c r="F43" s="16">
        <f t="shared" si="0"/>
        <v>8186.75</v>
      </c>
      <c r="G43" s="28">
        <f t="shared" si="0"/>
        <v>16206</v>
      </c>
      <c r="H43" s="16">
        <f t="shared" si="0"/>
        <v>3042471</v>
      </c>
      <c r="I43" s="16">
        <f t="shared" ref="I43:J43" si="1">SUM(I10:I42)</f>
        <v>35098</v>
      </c>
      <c r="J43" s="16">
        <f t="shared" si="1"/>
        <v>0</v>
      </c>
      <c r="K43" s="16">
        <f>SUM(K10:K42)</f>
        <v>150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22:K22"/>
    <mergeCell ref="C15:K15"/>
    <mergeCell ref="C16:K16"/>
    <mergeCell ref="C23:K23"/>
    <mergeCell ref="C30:K30"/>
    <mergeCell ref="C37:K37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2026-06-17T00:07:17Z</dcterms:modified>
</cp:coreProperties>
</file>