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50606C5-1988-49D4-868B-0D788EA4B013}" xr6:coauthVersionLast="45" xr6:coauthVersionMax="45" xr10:uidLastSave="{00000000-0000-0000-0000-000000000000}"/>
  <bookViews>
    <workbookView xWindow="-120" yWindow="-120" windowWidth="29040" windowHeight="15840" activeTab="7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  <sheet name="06-05-2026 " sheetId="59" r:id="rId6"/>
    <sheet name="06-08-2026 " sheetId="60" r:id="rId7"/>
    <sheet name="06-09-2026" sheetId="61" r:id="rId8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5">'06-05-2026 '!$A$1:$W$59</definedName>
    <definedName name="_xlnm.Print_Area" localSheetId="6">'06-08-2026 '!$A$1:$W$59</definedName>
    <definedName name="_xlnm.Print_Area" localSheetId="7">'06-09-2026'!$A$1:$W$59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61" l="1"/>
  <c r="K43" i="61"/>
  <c r="J43" i="61"/>
  <c r="C43" i="61"/>
  <c r="K58" i="61"/>
  <c r="C37" i="61"/>
  <c r="C25" i="61"/>
  <c r="H24" i="61"/>
  <c r="H23" i="61"/>
  <c r="H21" i="61"/>
  <c r="T21" i="61" s="1"/>
  <c r="U21" i="61" s="1"/>
  <c r="V21" i="61" s="1"/>
  <c r="H19" i="61"/>
  <c r="H17" i="61"/>
  <c r="C12" i="61"/>
  <c r="C9" i="61"/>
  <c r="C8" i="6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T45" i="61"/>
  <c r="U45" i="61" s="1"/>
  <c r="V45" i="61" s="1"/>
  <c r="J58" i="61"/>
  <c r="T41" i="61"/>
  <c r="U41" i="6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U27" i="61"/>
  <c r="V27" i="61" s="1"/>
  <c r="T27" i="61"/>
  <c r="T26" i="61"/>
  <c r="U26" i="61" s="1"/>
  <c r="V26" i="61" s="1"/>
  <c r="AY25" i="61"/>
  <c r="T25" i="61"/>
  <c r="U25" i="61" s="1"/>
  <c r="V25" i="61" s="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U20" i="61"/>
  <c r="V20" i="61" s="1"/>
  <c r="T20" i="61"/>
  <c r="A20" i="61"/>
  <c r="T19" i="61"/>
  <c r="U19" i="61" s="1"/>
  <c r="V19" i="61" s="1"/>
  <c r="T18" i="61"/>
  <c r="U18" i="61" s="1"/>
  <c r="V18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/>
  <c r="V9" i="61" s="1"/>
  <c r="A9" i="61"/>
  <c r="A10" i="61" s="1"/>
  <c r="A11" i="61" s="1"/>
  <c r="U8" i="61"/>
  <c r="V8" i="61" s="1"/>
  <c r="T8" i="61"/>
  <c r="A8" i="61"/>
  <c r="T7" i="61"/>
  <c r="U47" i="61" l="1"/>
  <c r="V47" i="61" s="1"/>
  <c r="H58" i="61"/>
  <c r="T43" i="61"/>
  <c r="U43" i="61" s="1"/>
  <c r="V43" i="61" s="1"/>
  <c r="C58" i="61"/>
  <c r="T17" i="61"/>
  <c r="U17" i="61" s="1"/>
  <c r="V17" i="61" s="1"/>
  <c r="U7" i="61"/>
  <c r="C47" i="60"/>
  <c r="K43" i="60"/>
  <c r="K58" i="60" s="1"/>
  <c r="J43" i="60"/>
  <c r="T43" i="60" s="1"/>
  <c r="U43" i="60" s="1"/>
  <c r="V43" i="60" s="1"/>
  <c r="C43" i="60"/>
  <c r="C41" i="60"/>
  <c r="U41" i="60" s="1"/>
  <c r="V41" i="60" s="1"/>
  <c r="C37" i="60"/>
  <c r="C34" i="60"/>
  <c r="C25" i="60"/>
  <c r="H24" i="60"/>
  <c r="T24" i="60" s="1"/>
  <c r="U24" i="60" s="1"/>
  <c r="V24" i="60" s="1"/>
  <c r="H23" i="60"/>
  <c r="T23" i="60" s="1"/>
  <c r="U23" i="60" s="1"/>
  <c r="V23" i="60" s="1"/>
  <c r="H21" i="60"/>
  <c r="T21" i="60" s="1"/>
  <c r="U21" i="60" s="1"/>
  <c r="V21" i="60" s="1"/>
  <c r="H19" i="60"/>
  <c r="T19" i="60" s="1"/>
  <c r="U19" i="60" s="1"/>
  <c r="V19" i="60" s="1"/>
  <c r="H17" i="60"/>
  <c r="G58" i="60"/>
  <c r="C12" i="60"/>
  <c r="C10" i="60"/>
  <c r="C9" i="60"/>
  <c r="C8" i="60"/>
  <c r="R58" i="60"/>
  <c r="Q58" i="60"/>
  <c r="P58" i="60"/>
  <c r="O58" i="60"/>
  <c r="N58" i="60"/>
  <c r="M58" i="60"/>
  <c r="I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U27" i="60"/>
  <c r="V27" i="60" s="1"/>
  <c r="T27" i="60"/>
  <c r="T26" i="60"/>
  <c r="U26" i="60" s="1"/>
  <c r="V26" i="60" s="1"/>
  <c r="AY25" i="60"/>
  <c r="T25" i="60"/>
  <c r="T22" i="60"/>
  <c r="U22" i="60" s="1"/>
  <c r="V22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20" i="60"/>
  <c r="U20" i="60" s="1"/>
  <c r="V20" i="60" s="1"/>
  <c r="A20" i="60"/>
  <c r="T18" i="60"/>
  <c r="U18" i="60" s="1"/>
  <c r="V18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2" i="60"/>
  <c r="U12" i="60" s="1"/>
  <c r="V12" i="60" s="1"/>
  <c r="T11" i="60"/>
  <c r="U11" i="60" s="1"/>
  <c r="V11" i="60" s="1"/>
  <c r="T10" i="60"/>
  <c r="T9" i="60"/>
  <c r="T8" i="60"/>
  <c r="U8" i="60" s="1"/>
  <c r="V8" i="60" s="1"/>
  <c r="A8" i="60"/>
  <c r="A9" i="60" s="1"/>
  <c r="A10" i="60" s="1"/>
  <c r="A11" i="60" s="1"/>
  <c r="T7" i="60"/>
  <c r="U7" i="60" s="1"/>
  <c r="T58" i="61" l="1"/>
  <c r="U58" i="61"/>
  <c r="V7" i="61"/>
  <c r="V58" i="61" s="1"/>
  <c r="J58" i="60"/>
  <c r="U37" i="60"/>
  <c r="V37" i="60" s="1"/>
  <c r="U25" i="60"/>
  <c r="V25" i="60" s="1"/>
  <c r="C58" i="60"/>
  <c r="H58" i="60"/>
  <c r="T13" i="60"/>
  <c r="U13" i="60" s="1"/>
  <c r="V13" i="60" s="1"/>
  <c r="U10" i="60"/>
  <c r="V10" i="60" s="1"/>
  <c r="U9" i="60"/>
  <c r="V9" i="60" s="1"/>
  <c r="T17" i="60"/>
  <c r="U17" i="60" s="1"/>
  <c r="V17" i="60" s="1"/>
  <c r="V7" i="60"/>
  <c r="C47" i="59"/>
  <c r="J43" i="59"/>
  <c r="T43" i="59" s="1"/>
  <c r="I43" i="59"/>
  <c r="C43" i="59"/>
  <c r="C41" i="59"/>
  <c r="U41" i="59" s="1"/>
  <c r="V41" i="59" s="1"/>
  <c r="C37" i="59"/>
  <c r="C25" i="59"/>
  <c r="H24" i="59"/>
  <c r="T24" i="59" s="1"/>
  <c r="U24" i="59" s="1"/>
  <c r="V24" i="59" s="1"/>
  <c r="H23" i="59"/>
  <c r="H21" i="59"/>
  <c r="H19" i="59"/>
  <c r="H17" i="59"/>
  <c r="C12" i="59"/>
  <c r="C9" i="59"/>
  <c r="C8" i="59"/>
  <c r="R58" i="59"/>
  <c r="Q58" i="59"/>
  <c r="P58" i="59"/>
  <c r="O58" i="59"/>
  <c r="N58" i="59"/>
  <c r="M58" i="59"/>
  <c r="K58" i="59"/>
  <c r="I58" i="59"/>
  <c r="G58" i="59"/>
  <c r="F58" i="59"/>
  <c r="U54" i="59"/>
  <c r="V54" i="59" s="1"/>
  <c r="T54" i="59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T46" i="59"/>
  <c r="U46" i="59" s="1"/>
  <c r="V46" i="59" s="1"/>
  <c r="T45" i="59"/>
  <c r="U45" i="59" s="1"/>
  <c r="V45" i="59" s="1"/>
  <c r="T41" i="59"/>
  <c r="T40" i="59"/>
  <c r="U40" i="59" s="1"/>
  <c r="V40" i="59" s="1"/>
  <c r="T39" i="59"/>
  <c r="U39" i="59" s="1"/>
  <c r="V39" i="59" s="1"/>
  <c r="T38" i="59"/>
  <c r="U38" i="59" s="1"/>
  <c r="V38" i="59" s="1"/>
  <c r="T37" i="59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U30" i="59"/>
  <c r="V30" i="59" s="1"/>
  <c r="T30" i="59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8" i="59"/>
  <c r="U18" i="59" s="1"/>
  <c r="V18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T11" i="59"/>
  <c r="U11" i="59" s="1"/>
  <c r="V11" i="59" s="1"/>
  <c r="T10" i="59"/>
  <c r="U10" i="59" s="1"/>
  <c r="V10" i="59" s="1"/>
  <c r="T9" i="59"/>
  <c r="T8" i="59"/>
  <c r="A8" i="59"/>
  <c r="A9" i="59" s="1"/>
  <c r="A10" i="59" s="1"/>
  <c r="A11" i="59" s="1"/>
  <c r="T7" i="59"/>
  <c r="V58" i="60" l="1"/>
  <c r="U58" i="60"/>
  <c r="T58" i="60"/>
  <c r="U47" i="59"/>
  <c r="V47" i="59" s="1"/>
  <c r="J58" i="59"/>
  <c r="U43" i="59"/>
  <c r="V43" i="59" s="1"/>
  <c r="U37" i="59"/>
  <c r="V37" i="59" s="1"/>
  <c r="U25" i="59"/>
  <c r="V25" i="59" s="1"/>
  <c r="H58" i="59"/>
  <c r="T19" i="59"/>
  <c r="U19" i="59" s="1"/>
  <c r="V19" i="59" s="1"/>
  <c r="U12" i="59"/>
  <c r="V12" i="59" s="1"/>
  <c r="C58" i="59"/>
  <c r="U8" i="59"/>
  <c r="V8" i="59" s="1"/>
  <c r="U9" i="59"/>
  <c r="V9" i="59" s="1"/>
  <c r="T17" i="59"/>
  <c r="U17" i="59" s="1"/>
  <c r="V17" i="59" s="1"/>
  <c r="U7" i="59"/>
  <c r="K43" i="58"/>
  <c r="J43" i="58"/>
  <c r="C43" i="58"/>
  <c r="U58" i="59" l="1"/>
  <c r="V7" i="59"/>
  <c r="V58" i="59" s="1"/>
  <c r="T58" i="59"/>
  <c r="C12" i="58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<sst xmlns="http://schemas.openxmlformats.org/spreadsheetml/2006/main" count="672" uniqueCount="74">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</sst>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1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13" t="s">
        <v>68</v>
      </c>
      <c r="U4" s="115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04" t="s">
        <v>65</v>
      </c>
      <c r="K5" s="105"/>
      <c r="M5" s="37"/>
      <c r="N5" s="49"/>
      <c r="O5" s="40"/>
      <c r="P5" s="89"/>
      <c r="Q5" s="89"/>
      <c r="R5" s="38"/>
      <c r="S5" s="9"/>
      <c r="T5" s="114"/>
      <c r="U5" s="116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06" t="s">
        <v>41</v>
      </c>
      <c r="D62" s="107"/>
      <c r="E62" s="107"/>
      <c r="F62" s="107"/>
      <c r="G62" s="107"/>
      <c r="H62" s="107"/>
      <c r="I62" s="107"/>
      <c r="J62" s="107"/>
      <c r="K62" s="108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7"/>
      <c r="Q5" s="97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6"/>
      <c r="Q5" s="96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topLeftCell="A40"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7"/>
      <c r="Q5" s="97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topLeftCell="A34" zoomScaleNormal="100" zoomScaleSheetLayoutView="115" workbookViewId="0">
      <selection activeCell="AC54" sqref="A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8"/>
      <c r="Q5" s="98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CE5-2315-4869-BE9F-BD6543F78682}">
  <sheetPr>
    <pageSetUpPr fitToPage="1"/>
  </sheetPr>
  <dimension ref="A1:BB81"/>
  <sheetViews>
    <sheetView topLeftCell="A31" zoomScaleNormal="100" zoomScaleSheetLayoutView="115" workbookViewId="0">
      <selection activeCell="AC52" sqref="AC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99"/>
      <c r="Q5" s="99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</f>
        <v>3058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9</v>
      </c>
      <c r="P12" s="66"/>
      <c r="Q12" s="66">
        <v>19</v>
      </c>
      <c r="R12" s="67"/>
      <c r="S12" s="62"/>
      <c r="T12" s="69">
        <f t="shared" si="0"/>
        <v>12</v>
      </c>
      <c r="U12" s="69">
        <f>C12*24+M12*24+O12*24+Q12*24+T12</f>
        <v>74172</v>
      </c>
      <c r="V12" s="69">
        <f>U12/24</f>
        <v>3090.5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63+61</f>
        <v>124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3049</v>
      </c>
      <c r="V25" s="75">
        <f t="shared" si="5"/>
        <v>127.04166666666667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1248</v>
      </c>
      <c r="V28" s="75">
        <f t="shared" si="5"/>
        <v>52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864+3132+68</f>
        <v>4064</v>
      </c>
      <c r="D37" s="59"/>
      <c r="E37" s="59"/>
      <c r="F37" s="59"/>
      <c r="G37" s="59"/>
      <c r="H37" s="59">
        <v>2</v>
      </c>
      <c r="I37" s="59"/>
      <c r="J37" s="60">
        <v>2</v>
      </c>
      <c r="K37" s="61">
        <v>3</v>
      </c>
      <c r="L37" s="62"/>
      <c r="M37" s="63">
        <v>10</v>
      </c>
      <c r="N37" s="64"/>
      <c r="O37" s="65">
        <v>30</v>
      </c>
      <c r="P37" s="66"/>
      <c r="Q37" s="66">
        <v>55</v>
      </c>
      <c r="R37" s="67"/>
      <c r="S37" s="62"/>
      <c r="T37" s="77">
        <f t="shared" si="0"/>
        <v>7</v>
      </c>
      <c r="U37" s="77">
        <f>C37*6+M37*6+O37*6+Q37*6+T37</f>
        <v>24961</v>
      </c>
      <c r="V37" s="77">
        <f>U37/6</f>
        <v>4160.166666666667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96+40</f>
        <v>136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5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2028</v>
      </c>
      <c r="V41" s="88">
        <f>U41/12</f>
        <v>169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7776+1836+3024+8424+5508+3024+5832</f>
        <v>35424</v>
      </c>
      <c r="D43" s="65"/>
      <c r="E43" s="65"/>
      <c r="F43" s="65"/>
      <c r="G43" s="65"/>
      <c r="H43" s="65">
        <v>7</v>
      </c>
      <c r="I43" s="65">
        <f>10*6+1</f>
        <v>61</v>
      </c>
      <c r="J43" s="66">
        <f>69*6+7</f>
        <v>421</v>
      </c>
      <c r="K43" s="67"/>
      <c r="L43" s="62"/>
      <c r="M43" s="63">
        <v>29</v>
      </c>
      <c r="N43" s="64"/>
      <c r="O43" s="65">
        <v>378</v>
      </c>
      <c r="P43" s="66"/>
      <c r="Q43" s="66">
        <v>434</v>
      </c>
      <c r="R43" s="67"/>
      <c r="S43" s="62"/>
      <c r="T43" s="77">
        <f t="shared" ref="T43" si="6">H43+I43+J43+K43+N43+P43+R43</f>
        <v>489</v>
      </c>
      <c r="U43" s="77">
        <f>C43*6+M43*6+O43*6+Q43*6+T43</f>
        <v>218079</v>
      </c>
      <c r="V43" s="77">
        <f>U43/6</f>
        <v>36346.5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14+432+106+71+2160</f>
        <v>2783</v>
      </c>
      <c r="D47" s="65"/>
      <c r="E47" s="65"/>
      <c r="F47" s="65"/>
      <c r="G47" s="65"/>
      <c r="H47" s="65">
        <v>1</v>
      </c>
      <c r="I47" s="65">
        <v>1</v>
      </c>
      <c r="J47" s="66"/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46132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92</v>
      </c>
      <c r="J58" s="6">
        <f t="shared" si="11"/>
        <v>423</v>
      </c>
      <c r="K58" s="6">
        <f t="shared" si="11"/>
        <v>36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433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1787</v>
      </c>
      <c r="U58" s="90">
        <f>SUM(U7:U57)</f>
        <v>353441</v>
      </c>
      <c r="V58" s="4">
        <f>SUM(V7:V57)</f>
        <v>47313.083333333328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A74C-20E5-4035-B6CA-2758DFD4669B}">
  <sheetPr>
    <pageSetUpPr fitToPage="1"/>
  </sheetPr>
  <dimension ref="A1:BB81"/>
  <sheetViews>
    <sheetView topLeftCell="A34" zoomScaleNormal="100" zoomScaleSheetLayoutView="115" workbookViewId="0">
      <selection activeCell="AB58" sqref="AB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100"/>
      <c r="Q5" s="100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16+7</f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720+34+1440+216+576+47</f>
        <v>3033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15</v>
      </c>
      <c r="P12" s="66"/>
      <c r="Q12" s="66">
        <v>20</v>
      </c>
      <c r="R12" s="67">
        <v>12</v>
      </c>
      <c r="S12" s="62"/>
      <c r="T12" s="69">
        <f t="shared" si="0"/>
        <v>24</v>
      </c>
      <c r="U12" s="69">
        <f>C12*24+M12*24+O12*24+Q12*24+T12</f>
        <v>73752</v>
      </c>
      <c r="V12" s="69">
        <f>U12/24</f>
        <v>3073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3001</v>
      </c>
      <c r="V25" s="75">
        <f t="shared" si="5"/>
        <v>125.04166666666667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1152</v>
      </c>
      <c r="V28" s="75">
        <f t="shared" si="5"/>
        <v>48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65+1</f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864+3024+82</f>
        <v>3970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10</v>
      </c>
      <c r="N37" s="64"/>
      <c r="O37" s="65">
        <v>50</v>
      </c>
      <c r="P37" s="66"/>
      <c r="Q37" s="66">
        <v>77</v>
      </c>
      <c r="R37" s="67"/>
      <c r="S37" s="62"/>
      <c r="T37" s="77">
        <f t="shared" si="0"/>
        <v>7</v>
      </c>
      <c r="U37" s="77">
        <f>C37*6+M37*6+O37*6+Q37*6+T37</f>
        <v>24649</v>
      </c>
      <c r="V37" s="77">
        <f>U37/6</f>
        <v>4108.166666666667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96+17</f>
        <v>113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1740</v>
      </c>
      <c r="V41" s="88">
        <f>U41/12</f>
        <v>145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7776+864+52+3024+8424+5508+3024+5832</f>
        <v>34504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29</v>
      </c>
      <c r="N43" s="64"/>
      <c r="O43" s="65">
        <v>482</v>
      </c>
      <c r="P43" s="66"/>
      <c r="Q43" s="66">
        <v>477</v>
      </c>
      <c r="R43" s="67"/>
      <c r="S43" s="62"/>
      <c r="T43" s="77">
        <f t="shared" ref="T43" si="6">H43+I43+J43+K43+N43+P43+R43</f>
        <v>489</v>
      </c>
      <c r="U43" s="77">
        <f>C43*6+M43*6+O43*6+Q43*6+T43</f>
        <v>213441</v>
      </c>
      <c r="V43" s="77">
        <f>U43/6</f>
        <v>35573.5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45063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39</v>
      </c>
      <c r="J58" s="6">
        <f t="shared" si="11"/>
        <v>64</v>
      </c>
      <c r="K58" s="6">
        <f t="shared" si="11"/>
        <v>457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566</v>
      </c>
      <c r="P58" s="5">
        <f t="shared" si="12"/>
        <v>28</v>
      </c>
      <c r="Q58" s="5">
        <f t="shared" si="12"/>
        <v>609</v>
      </c>
      <c r="R58" s="5">
        <f t="shared" si="12"/>
        <v>15</v>
      </c>
      <c r="S58" s="55"/>
      <c r="T58" s="4">
        <f>SUM(T7:T57)</f>
        <v>1799</v>
      </c>
      <c r="U58" s="90">
        <f>SUM(U7:U57)</f>
        <v>347567</v>
      </c>
      <c r="V58" s="4">
        <f>SUM(V7:V57)</f>
        <v>46437.583333333328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C2308-B0E6-4A75-AB2A-FD7C2169E77B}">
  <sheetPr>
    <pageSetUpPr fitToPage="1"/>
  </sheetPr>
  <dimension ref="A1:BB81"/>
  <sheetViews>
    <sheetView tabSelected="1" topLeftCell="A37" zoomScaleNormal="100" zoomScaleSheetLayoutView="115" workbookViewId="0">
      <selection activeCell="Z49" sqref="Z49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09" t="s">
        <v>43</v>
      </c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0" t="s">
        <v>41</v>
      </c>
      <c r="D4" s="110"/>
      <c r="E4" s="110"/>
      <c r="F4" s="110"/>
      <c r="G4" s="110"/>
      <c r="H4" s="110"/>
      <c r="I4" s="110"/>
      <c r="J4" s="111"/>
      <c r="K4" s="112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13" t="s">
        <v>68</v>
      </c>
      <c r="U4" s="119" t="s">
        <v>67</v>
      </c>
      <c r="V4" s="102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17" t="s">
        <v>65</v>
      </c>
      <c r="K5" s="118"/>
      <c r="M5" s="37"/>
      <c r="N5" s="49"/>
      <c r="O5" s="40"/>
      <c r="P5" s="101"/>
      <c r="Q5" s="101"/>
      <c r="R5" s="38"/>
      <c r="S5" s="9"/>
      <c r="T5" s="114"/>
      <c r="U5" s="120"/>
      <c r="V5" s="103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90+47</f>
        <v>137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21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720+34+1440+216+576+19</f>
        <v>3005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73140</v>
      </c>
      <c r="V12" s="69">
        <f>U12/24</f>
        <v>3047.5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7</v>
      </c>
      <c r="R28" s="72"/>
      <c r="S28" s="55"/>
      <c r="T28" s="58">
        <f t="shared" si="0"/>
        <v>0</v>
      </c>
      <c r="U28" s="75">
        <f t="shared" si="4"/>
        <v>1032</v>
      </c>
      <c r="V28" s="75">
        <f t="shared" si="5"/>
        <v>43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864+2916+58</f>
        <v>3838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21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7</v>
      </c>
      <c r="U37" s="77">
        <f>C37*6+M37*6+O37*6+Q37*6+T37</f>
        <v>23995</v>
      </c>
      <c r="V37" s="77">
        <f>U37/6</f>
        <v>3999.1666666666665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4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7776+3024+8424+5508+3024+5616+52</f>
        <v>33424</v>
      </c>
      <c r="D43" s="65"/>
      <c r="E43" s="65"/>
      <c r="F43" s="65"/>
      <c r="G43" s="65"/>
      <c r="H43" s="65">
        <v>3</v>
      </c>
      <c r="I43" s="65">
        <v>7</v>
      </c>
      <c r="J43" s="66">
        <f>10*6+4</f>
        <v>64</v>
      </c>
      <c r="K43" s="67">
        <f>69*6+7</f>
        <v>421</v>
      </c>
      <c r="L43" s="62"/>
      <c r="M43" s="63">
        <v>333</v>
      </c>
      <c r="N43" s="64"/>
      <c r="O43" s="65">
        <v>368</v>
      </c>
      <c r="P43" s="66"/>
      <c r="Q43" s="66">
        <v>493</v>
      </c>
      <c r="R43" s="67"/>
      <c r="S43" s="62"/>
      <c r="T43" s="77">
        <f t="shared" ref="T43" si="6">H43+I43+J43+K43+N43+P43+R43</f>
        <v>495</v>
      </c>
      <c r="U43" s="77">
        <f>C43*6+M43*6+O43*6+Q43*6+T43</f>
        <v>208203</v>
      </c>
      <c r="V43" s="77">
        <f>U43/6</f>
        <v>34700.5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43762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67</v>
      </c>
      <c r="K58" s="6">
        <f t="shared" si="11"/>
        <v>457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430</v>
      </c>
      <c r="P58" s="5">
        <f t="shared" si="12"/>
        <v>28</v>
      </c>
      <c r="Q58" s="5">
        <f t="shared" si="12"/>
        <v>687</v>
      </c>
      <c r="R58" s="5">
        <f t="shared" si="12"/>
        <v>3</v>
      </c>
      <c r="S58" s="55"/>
      <c r="T58" s="4">
        <f>SUM(T7:T57)</f>
        <v>1793</v>
      </c>
      <c r="U58" s="90">
        <f>SUM(U7:U57)</f>
        <v>340751</v>
      </c>
      <c r="V58" s="4">
        <f>SUM(V7:V57)</f>
        <v>45410.083333333328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06" t="s">
        <v>41</v>
      </c>
      <c r="D60" s="107"/>
      <c r="E60" s="107"/>
      <c r="F60" s="107"/>
      <c r="G60" s="107"/>
      <c r="H60" s="107"/>
      <c r="I60" s="107"/>
      <c r="J60" s="107"/>
      <c r="K60" s="108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SAMPLE</vt:lpstr>
      <vt:lpstr>06-01-2026</vt:lpstr>
      <vt:lpstr>06-02-2026</vt:lpstr>
      <vt:lpstr>06-03-2026</vt:lpstr>
      <vt:lpstr>06-04-2026 </vt:lpstr>
      <vt:lpstr>06-05-2026 </vt:lpstr>
      <vt:lpstr>06-08-2026 </vt:lpstr>
      <vt:lpstr>06-09-2026</vt:lpstr>
      <vt:lpstr>'06-01-2026'!Print_Area</vt:lpstr>
      <vt:lpstr>'06-02-2026'!Print_Area</vt:lpstr>
      <vt:lpstr>'06-03-2026'!Print_Area</vt:lpstr>
      <vt:lpstr>'06-04-2026 '!Print_Area</vt:lpstr>
      <vt:lpstr>'06-05-2026 '!Print_Area</vt:lpstr>
      <vt:lpstr>'06-08-2026 '!Print_Area</vt:lpstr>
      <vt:lpstr>'06-09-2026'!Print_Area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2026-06-09T07:23:39Z</dcterms:modified>
</cp:coreProperties>
</file>