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825E77FF-0424-48DB-AD0F-5BB1C351AD15}" xr6:coauthVersionLast="45" xr6:coauthVersionMax="45" xr10:uidLastSave="{00000000-0000-0000-0000-000000000000}"/>
  <bookViews>
    <workbookView xWindow="-120" yWindow="-120" windowWidth="29040" windowHeight="15840" firstSheet="3" activeTab="12" xr2:uid="{D34C963E-9680-4B45-A4EE-B681FF0CEC08}"/>
  </bookViews>
  <sheets>
    <sheet name="SAMPLE" sheetId="32" r:id="rId1"/>
    <sheet name="06-01-2026" sheetId="57" r:id="rId2"/>
    <sheet name="06-02-2026" sheetId="55" r:id="rId3"/>
    <sheet name="06-03-2026" sheetId="56" r:id="rId4"/>
    <sheet name="06-04-2026 " sheetId="58" r:id="rId5"/>
    <sheet name="06-05-2026 " sheetId="59" r:id="rId6"/>
    <sheet name="06-08-2026 " sheetId="60" r:id="rId7"/>
    <sheet name="06-09-2026" sheetId="61" r:id="rId8"/>
    <sheet name="06-10-2026" sheetId="62" r:id="rId9"/>
    <sheet name="06-11-2026" sheetId="63" r:id="rId10"/>
    <sheet name="06-12-2026" sheetId="64" r:id="rId11"/>
    <sheet name="06-15-2026 " sheetId="65" r:id="rId12"/>
    <sheet name="06-16-2026" sheetId="66" r:id="rId13"/>
  </sheets>
  <definedNames>
    <definedName name="_xlnm.Print_Area" localSheetId="1">'06-01-2026'!$A$1:$W$59</definedName>
    <definedName name="_xlnm.Print_Area" localSheetId="2">'06-02-2026'!$A$1:$W$59</definedName>
    <definedName name="_xlnm.Print_Area" localSheetId="3">'06-03-2026'!$A$1:$W$59</definedName>
    <definedName name="_xlnm.Print_Area" localSheetId="4">'06-04-2026 '!$A$1:$W$59</definedName>
    <definedName name="_xlnm.Print_Area" localSheetId="5">'06-05-2026 '!$A$1:$W$59</definedName>
    <definedName name="_xlnm.Print_Area" localSheetId="6">'06-08-2026 '!$A$1:$W$59</definedName>
    <definedName name="_xlnm.Print_Area" localSheetId="7">'06-09-2026'!$A$1:$W$59</definedName>
    <definedName name="_xlnm.Print_Area" localSheetId="8">'06-10-2026'!$A$1:$W$59</definedName>
    <definedName name="_xlnm.Print_Area" localSheetId="9">'06-11-2026'!$A$1:$W$59</definedName>
    <definedName name="_xlnm.Print_Area" localSheetId="10">'06-12-2026'!$A$1:$W$59</definedName>
    <definedName name="_xlnm.Print_Area" localSheetId="11">'06-15-2026 '!$A$1:$W$59</definedName>
    <definedName name="_xlnm.Print_Area" localSheetId="12">'06-16-2026'!$A$1:$W$59</definedName>
    <definedName name="_xlnm.Print_Area" localSheetId="0">SAMPLE!$A$1:$W$85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7" i="66" l="1"/>
  <c r="J43" i="66"/>
  <c r="K43" i="66"/>
  <c r="C43" i="66"/>
  <c r="K58" i="66"/>
  <c r="J58" i="66"/>
  <c r="C37" i="66"/>
  <c r="C25" i="66"/>
  <c r="H24" i="66"/>
  <c r="T24" i="66" s="1"/>
  <c r="U24" i="66" s="1"/>
  <c r="V24" i="66" s="1"/>
  <c r="H23" i="66"/>
  <c r="T23" i="66" s="1"/>
  <c r="U23" i="66" s="1"/>
  <c r="V23" i="66" s="1"/>
  <c r="H21" i="66"/>
  <c r="H19" i="66"/>
  <c r="H17" i="66"/>
  <c r="T17" i="66" s="1"/>
  <c r="U17" i="66" s="1"/>
  <c r="V17" i="66" s="1"/>
  <c r="C12" i="66"/>
  <c r="C9" i="66"/>
  <c r="C8" i="66"/>
  <c r="R58" i="66"/>
  <c r="Q58" i="66"/>
  <c r="P58" i="66"/>
  <c r="O58" i="66"/>
  <c r="N58" i="66"/>
  <c r="M58" i="66"/>
  <c r="I58" i="66"/>
  <c r="G58" i="66"/>
  <c r="F58" i="66"/>
  <c r="U54" i="66"/>
  <c r="V54" i="66" s="1"/>
  <c r="T54" i="66"/>
  <c r="T53" i="66"/>
  <c r="U53" i="66" s="1"/>
  <c r="V53" i="66" s="1"/>
  <c r="T52" i="66"/>
  <c r="U52" i="66" s="1"/>
  <c r="V52" i="66" s="1"/>
  <c r="T51" i="66"/>
  <c r="U51" i="66" s="1"/>
  <c r="V51" i="66" s="1"/>
  <c r="T50" i="66"/>
  <c r="U50" i="66" s="1"/>
  <c r="V50" i="66" s="1"/>
  <c r="T49" i="66"/>
  <c r="U49" i="66" s="1"/>
  <c r="V49" i="66" s="1"/>
  <c r="T48" i="66"/>
  <c r="U48" i="66" s="1"/>
  <c r="V48" i="66" s="1"/>
  <c r="T47" i="66"/>
  <c r="T46" i="66"/>
  <c r="U46" i="66" s="1"/>
  <c r="V46" i="66" s="1"/>
  <c r="T45" i="66"/>
  <c r="U45" i="66" s="1"/>
  <c r="V45" i="66" s="1"/>
  <c r="T43" i="66"/>
  <c r="T41" i="66"/>
  <c r="U41" i="66" s="1"/>
  <c r="V41" i="66" s="1"/>
  <c r="T40" i="66"/>
  <c r="U40" i="66" s="1"/>
  <c r="V40" i="66" s="1"/>
  <c r="T39" i="66"/>
  <c r="U39" i="66" s="1"/>
  <c r="V39" i="66" s="1"/>
  <c r="T38" i="66"/>
  <c r="U38" i="66" s="1"/>
  <c r="V38" i="66" s="1"/>
  <c r="T37" i="66"/>
  <c r="U37" i="66" s="1"/>
  <c r="V37" i="66" s="1"/>
  <c r="T36" i="66"/>
  <c r="U36" i="66" s="1"/>
  <c r="V36" i="66" s="1"/>
  <c r="T35" i="66"/>
  <c r="U35" i="66" s="1"/>
  <c r="V35" i="66" s="1"/>
  <c r="T34" i="66"/>
  <c r="U34" i="66" s="1"/>
  <c r="V34" i="66" s="1"/>
  <c r="T33" i="66"/>
  <c r="U33" i="66" s="1"/>
  <c r="V33" i="66" s="1"/>
  <c r="T32" i="66"/>
  <c r="U32" i="66" s="1"/>
  <c r="V32" i="66" s="1"/>
  <c r="T31" i="66"/>
  <c r="U31" i="66" s="1"/>
  <c r="V31" i="66" s="1"/>
  <c r="T30" i="66"/>
  <c r="U30" i="66" s="1"/>
  <c r="V30" i="66" s="1"/>
  <c r="T29" i="66"/>
  <c r="U29" i="66" s="1"/>
  <c r="V29" i="66" s="1"/>
  <c r="T28" i="66"/>
  <c r="U28" i="66" s="1"/>
  <c r="V28" i="66" s="1"/>
  <c r="T27" i="66"/>
  <c r="U27" i="66" s="1"/>
  <c r="V27" i="66" s="1"/>
  <c r="T26" i="66"/>
  <c r="U26" i="66" s="1"/>
  <c r="V26" i="66" s="1"/>
  <c r="AY25" i="66"/>
  <c r="T25" i="66"/>
  <c r="T22" i="66"/>
  <c r="U22" i="66" s="1"/>
  <c r="V22" i="66" s="1"/>
  <c r="T21" i="66"/>
  <c r="U21" i="66" s="1"/>
  <c r="V21" i="66" s="1"/>
  <c r="T20" i="66"/>
  <c r="U20" i="66" s="1"/>
  <c r="V20" i="66" s="1"/>
  <c r="A20" i="66"/>
  <c r="A21" i="66" s="1"/>
  <c r="A22" i="66" s="1"/>
  <c r="A23" i="66" s="1"/>
  <c r="A24" i="66" s="1"/>
  <c r="A25" i="66" s="1"/>
  <c r="A26" i="66" s="1"/>
  <c r="A27" i="66" s="1"/>
  <c r="A28" i="66" s="1"/>
  <c r="A29" i="66" s="1"/>
  <c r="A30" i="66" s="1"/>
  <c r="A31" i="66" s="1"/>
  <c r="A32" i="66" s="1"/>
  <c r="A33" i="66" s="1"/>
  <c r="A34" i="66" s="1"/>
  <c r="A35" i="66" s="1"/>
  <c r="A36" i="66" s="1"/>
  <c r="A37" i="66" s="1"/>
  <c r="A38" i="66" s="1"/>
  <c r="A39" i="66" s="1"/>
  <c r="A40" i="66" s="1"/>
  <c r="A41" i="66" s="1"/>
  <c r="A42" i="66" s="1"/>
  <c r="A43" i="66" s="1"/>
  <c r="A44" i="66" s="1"/>
  <c r="A45" i="66" s="1"/>
  <c r="A46" i="66" s="1"/>
  <c r="A47" i="66" s="1"/>
  <c r="A48" i="66" s="1"/>
  <c r="A49" i="66" s="1"/>
  <c r="A50" i="66" s="1"/>
  <c r="A51" i="66" s="1"/>
  <c r="A52" i="66" s="1"/>
  <c r="A53" i="66" s="1"/>
  <c r="A54" i="66" s="1"/>
  <c r="A55" i="66" s="1"/>
  <c r="A56" i="66" s="1"/>
  <c r="A57" i="66" s="1"/>
  <c r="T19" i="66"/>
  <c r="U19" i="66" s="1"/>
  <c r="V19" i="66" s="1"/>
  <c r="T18" i="66"/>
  <c r="U18" i="66" s="1"/>
  <c r="V18" i="66" s="1"/>
  <c r="T16" i="66"/>
  <c r="U16" i="66" s="1"/>
  <c r="V16" i="66" s="1"/>
  <c r="T15" i="66"/>
  <c r="U15" i="66" s="1"/>
  <c r="V15" i="66" s="1"/>
  <c r="T14" i="66"/>
  <c r="U14" i="66" s="1"/>
  <c r="V14" i="66" s="1"/>
  <c r="A14" i="66"/>
  <c r="A15" i="66" s="1"/>
  <c r="A16" i="66" s="1"/>
  <c r="A17" i="66" s="1"/>
  <c r="A18" i="66" s="1"/>
  <c r="T13" i="66"/>
  <c r="U13" i="66" s="1"/>
  <c r="V13" i="66" s="1"/>
  <c r="T12" i="66"/>
  <c r="T11" i="66"/>
  <c r="U11" i="66" s="1"/>
  <c r="V11" i="66" s="1"/>
  <c r="T10" i="66"/>
  <c r="U10" i="66" s="1"/>
  <c r="V10" i="66" s="1"/>
  <c r="T9" i="66"/>
  <c r="U9" i="66" s="1"/>
  <c r="V9" i="66" s="1"/>
  <c r="T8" i="66"/>
  <c r="A8" i="66"/>
  <c r="A9" i="66" s="1"/>
  <c r="A10" i="66" s="1"/>
  <c r="A11" i="66" s="1"/>
  <c r="T7" i="66"/>
  <c r="U47" i="66" l="1"/>
  <c r="V47" i="66" s="1"/>
  <c r="U43" i="66"/>
  <c r="V43" i="66" s="1"/>
  <c r="U25" i="66"/>
  <c r="V25" i="66" s="1"/>
  <c r="U12" i="66"/>
  <c r="V12" i="66" s="1"/>
  <c r="C58" i="66"/>
  <c r="U8" i="66"/>
  <c r="V8" i="66" s="1"/>
  <c r="T58" i="66"/>
  <c r="H58" i="66"/>
  <c r="U7" i="66"/>
  <c r="C43" i="65"/>
  <c r="K43" i="65"/>
  <c r="J43" i="65"/>
  <c r="J58" i="65"/>
  <c r="I58" i="65"/>
  <c r="C47" i="65"/>
  <c r="K58" i="65"/>
  <c r="H37" i="65"/>
  <c r="C37" i="65"/>
  <c r="C29" i="65"/>
  <c r="C25" i="65"/>
  <c r="U25" i="65" s="1"/>
  <c r="V25" i="65" s="1"/>
  <c r="H24" i="65"/>
  <c r="T24" i="65" s="1"/>
  <c r="U24" i="65" s="1"/>
  <c r="V24" i="65" s="1"/>
  <c r="H23" i="65"/>
  <c r="T23" i="65" s="1"/>
  <c r="U23" i="65" s="1"/>
  <c r="V23" i="65" s="1"/>
  <c r="T22" i="65"/>
  <c r="U22" i="65" s="1"/>
  <c r="V22" i="65" s="1"/>
  <c r="H21" i="65"/>
  <c r="T21" i="65" s="1"/>
  <c r="U21" i="65" s="1"/>
  <c r="V21" i="65" s="1"/>
  <c r="H19" i="65"/>
  <c r="H17" i="65"/>
  <c r="T17" i="65" s="1"/>
  <c r="U17" i="65" s="1"/>
  <c r="V17" i="65" s="1"/>
  <c r="C12" i="65"/>
  <c r="C9" i="65"/>
  <c r="U9" i="65" s="1"/>
  <c r="V9" i="65" s="1"/>
  <c r="C8" i="65"/>
  <c r="U8" i="65" s="1"/>
  <c r="V8" i="65" s="1"/>
  <c r="R58" i="65"/>
  <c r="Q58" i="65"/>
  <c r="P58" i="65"/>
  <c r="O58" i="65"/>
  <c r="N58" i="65"/>
  <c r="M58" i="65"/>
  <c r="G58" i="65"/>
  <c r="F58" i="65"/>
  <c r="T54" i="65"/>
  <c r="U54" i="65" s="1"/>
  <c r="V54" i="65" s="1"/>
  <c r="T53" i="65"/>
  <c r="U53" i="65" s="1"/>
  <c r="V53" i="65" s="1"/>
  <c r="T52" i="65"/>
  <c r="U52" i="65" s="1"/>
  <c r="V52" i="65" s="1"/>
  <c r="T51" i="65"/>
  <c r="U51" i="65" s="1"/>
  <c r="V51" i="65" s="1"/>
  <c r="U50" i="65"/>
  <c r="V50" i="65" s="1"/>
  <c r="T50" i="65"/>
  <c r="T49" i="65"/>
  <c r="U49" i="65" s="1"/>
  <c r="V49" i="65" s="1"/>
  <c r="T48" i="65"/>
  <c r="U48" i="65" s="1"/>
  <c r="V48" i="65" s="1"/>
  <c r="T47" i="65"/>
  <c r="T46" i="65"/>
  <c r="U46" i="65" s="1"/>
  <c r="V46" i="65" s="1"/>
  <c r="T45" i="65"/>
  <c r="U45" i="65" s="1"/>
  <c r="V45" i="65" s="1"/>
  <c r="T41" i="65"/>
  <c r="U41" i="65" s="1"/>
  <c r="V41" i="65" s="1"/>
  <c r="T40" i="65"/>
  <c r="U40" i="65" s="1"/>
  <c r="V40" i="65" s="1"/>
  <c r="T39" i="65"/>
  <c r="U39" i="65" s="1"/>
  <c r="V39" i="65" s="1"/>
  <c r="T38" i="65"/>
  <c r="U38" i="65" s="1"/>
  <c r="V38" i="65" s="1"/>
  <c r="T37" i="65"/>
  <c r="U37" i="65" s="1"/>
  <c r="V37" i="65" s="1"/>
  <c r="U36" i="65"/>
  <c r="V36" i="65" s="1"/>
  <c r="T36" i="65"/>
  <c r="T35" i="65"/>
  <c r="U35" i="65" s="1"/>
  <c r="V35" i="65" s="1"/>
  <c r="T34" i="65"/>
  <c r="U34" i="65" s="1"/>
  <c r="V34" i="65" s="1"/>
  <c r="T33" i="65"/>
  <c r="U33" i="65" s="1"/>
  <c r="V33" i="65" s="1"/>
  <c r="T32" i="65"/>
  <c r="U32" i="65" s="1"/>
  <c r="V32" i="65" s="1"/>
  <c r="T31" i="65"/>
  <c r="U31" i="65" s="1"/>
  <c r="V31" i="65" s="1"/>
  <c r="T30" i="65"/>
  <c r="U30" i="65" s="1"/>
  <c r="V30" i="65" s="1"/>
  <c r="T29" i="65"/>
  <c r="U28" i="65"/>
  <c r="V28" i="65" s="1"/>
  <c r="T28" i="65"/>
  <c r="T27" i="65"/>
  <c r="U27" i="65" s="1"/>
  <c r="V27" i="65" s="1"/>
  <c r="T26" i="65"/>
  <c r="U26" i="65" s="1"/>
  <c r="V26" i="65" s="1"/>
  <c r="AY25" i="65"/>
  <c r="T25" i="65"/>
  <c r="T20" i="65"/>
  <c r="U20" i="65" s="1"/>
  <c r="V20" i="65" s="1"/>
  <c r="A20" i="65"/>
  <c r="A21" i="65" s="1"/>
  <c r="A22" i="65" s="1"/>
  <c r="A23" i="65" s="1"/>
  <c r="A24" i="65" s="1"/>
  <c r="A25" i="65" s="1"/>
  <c r="A26" i="65" s="1"/>
  <c r="A27" i="65" s="1"/>
  <c r="A28" i="65" s="1"/>
  <c r="A29" i="65" s="1"/>
  <c r="A30" i="65" s="1"/>
  <c r="A31" i="65" s="1"/>
  <c r="A32" i="65" s="1"/>
  <c r="A33" i="65" s="1"/>
  <c r="A34" i="65" s="1"/>
  <c r="A35" i="65" s="1"/>
  <c r="A36" i="65" s="1"/>
  <c r="A37" i="65" s="1"/>
  <c r="A38" i="65" s="1"/>
  <c r="A39" i="65" s="1"/>
  <c r="A40" i="65" s="1"/>
  <c r="A41" i="65" s="1"/>
  <c r="A42" i="65" s="1"/>
  <c r="A43" i="65" s="1"/>
  <c r="A44" i="65" s="1"/>
  <c r="A45" i="65" s="1"/>
  <c r="A46" i="65" s="1"/>
  <c r="A47" i="65" s="1"/>
  <c r="A48" i="65" s="1"/>
  <c r="A49" i="65" s="1"/>
  <c r="A50" i="65" s="1"/>
  <c r="A51" i="65" s="1"/>
  <c r="A52" i="65" s="1"/>
  <c r="A53" i="65" s="1"/>
  <c r="A54" i="65" s="1"/>
  <c r="A55" i="65" s="1"/>
  <c r="A56" i="65" s="1"/>
  <c r="A57" i="65" s="1"/>
  <c r="T19" i="65"/>
  <c r="U19" i="65" s="1"/>
  <c r="V19" i="65" s="1"/>
  <c r="T18" i="65"/>
  <c r="U18" i="65" s="1"/>
  <c r="V18" i="65" s="1"/>
  <c r="T16" i="65"/>
  <c r="U16" i="65" s="1"/>
  <c r="V16" i="65" s="1"/>
  <c r="T15" i="65"/>
  <c r="U15" i="65" s="1"/>
  <c r="V15" i="65" s="1"/>
  <c r="U14" i="65"/>
  <c r="V14" i="65" s="1"/>
  <c r="T14" i="65"/>
  <c r="A14" i="65"/>
  <c r="A15" i="65" s="1"/>
  <c r="A16" i="65" s="1"/>
  <c r="A17" i="65" s="1"/>
  <c r="A18" i="65" s="1"/>
  <c r="T13" i="65"/>
  <c r="U13" i="65" s="1"/>
  <c r="V13" i="65" s="1"/>
  <c r="T12" i="65"/>
  <c r="U12" i="65" s="1"/>
  <c r="V12" i="65" s="1"/>
  <c r="T11" i="65"/>
  <c r="U11" i="65" s="1"/>
  <c r="V11" i="65" s="1"/>
  <c r="T10" i="65"/>
  <c r="U10" i="65" s="1"/>
  <c r="V10" i="65" s="1"/>
  <c r="T9" i="65"/>
  <c r="T8" i="65"/>
  <c r="A8" i="65"/>
  <c r="A9" i="65" s="1"/>
  <c r="A10" i="65" s="1"/>
  <c r="A11" i="65" s="1"/>
  <c r="T7" i="65"/>
  <c r="U7" i="65" s="1"/>
  <c r="U58" i="66" l="1"/>
  <c r="V7" i="66"/>
  <c r="V58" i="66" s="1"/>
  <c r="U47" i="65"/>
  <c r="V47" i="65" s="1"/>
  <c r="T43" i="65"/>
  <c r="U43" i="65" s="1"/>
  <c r="U29" i="65"/>
  <c r="V29" i="65" s="1"/>
  <c r="C58" i="65"/>
  <c r="H58" i="65"/>
  <c r="V7" i="65"/>
  <c r="C47" i="64"/>
  <c r="K43" i="64"/>
  <c r="J43" i="64"/>
  <c r="C43" i="64"/>
  <c r="I43" i="64"/>
  <c r="J58" i="64"/>
  <c r="I58" i="64"/>
  <c r="K58" i="64"/>
  <c r="T40" i="64"/>
  <c r="U40" i="64" s="1"/>
  <c r="V40" i="64" s="1"/>
  <c r="C37" i="64"/>
  <c r="C25" i="64"/>
  <c r="H24" i="64"/>
  <c r="H23" i="64"/>
  <c r="T23" i="64" s="1"/>
  <c r="U23" i="64" s="1"/>
  <c r="V23" i="64" s="1"/>
  <c r="H21" i="64"/>
  <c r="T21" i="64" s="1"/>
  <c r="U21" i="64" s="1"/>
  <c r="V21" i="64" s="1"/>
  <c r="H19" i="64"/>
  <c r="T19" i="64" s="1"/>
  <c r="U19" i="64" s="1"/>
  <c r="V19" i="64" s="1"/>
  <c r="H17" i="64"/>
  <c r="T17" i="64" s="1"/>
  <c r="U17" i="64" s="1"/>
  <c r="V17" i="64" s="1"/>
  <c r="C12" i="64"/>
  <c r="C9" i="64"/>
  <c r="C8" i="64"/>
  <c r="R58" i="64"/>
  <c r="Q58" i="64"/>
  <c r="P58" i="64"/>
  <c r="O58" i="64"/>
  <c r="N58" i="64"/>
  <c r="M58" i="64"/>
  <c r="G58" i="64"/>
  <c r="F58" i="64"/>
  <c r="T54" i="64"/>
  <c r="U54" i="64" s="1"/>
  <c r="V54" i="64" s="1"/>
  <c r="T53" i="64"/>
  <c r="U53" i="64" s="1"/>
  <c r="V53" i="64" s="1"/>
  <c r="T52" i="64"/>
  <c r="U52" i="64" s="1"/>
  <c r="V52" i="64" s="1"/>
  <c r="T51" i="64"/>
  <c r="U51" i="64" s="1"/>
  <c r="V51" i="64" s="1"/>
  <c r="T50" i="64"/>
  <c r="U50" i="64" s="1"/>
  <c r="V50" i="64" s="1"/>
  <c r="T49" i="64"/>
  <c r="U49" i="64" s="1"/>
  <c r="V49" i="64" s="1"/>
  <c r="T48" i="64"/>
  <c r="U48" i="64" s="1"/>
  <c r="V48" i="64" s="1"/>
  <c r="T47" i="64"/>
  <c r="T46" i="64"/>
  <c r="U46" i="64" s="1"/>
  <c r="V46" i="64" s="1"/>
  <c r="U45" i="64"/>
  <c r="V45" i="64" s="1"/>
  <c r="T45" i="64"/>
  <c r="T41" i="64"/>
  <c r="U41" i="64" s="1"/>
  <c r="V41" i="64" s="1"/>
  <c r="T39" i="64"/>
  <c r="U39" i="64" s="1"/>
  <c r="V39" i="64" s="1"/>
  <c r="T38" i="64"/>
  <c r="U38" i="64" s="1"/>
  <c r="V38" i="64" s="1"/>
  <c r="T37" i="64"/>
  <c r="T36" i="64"/>
  <c r="U36" i="64" s="1"/>
  <c r="V36" i="64" s="1"/>
  <c r="T35" i="64"/>
  <c r="U35" i="64" s="1"/>
  <c r="V35" i="64" s="1"/>
  <c r="T34" i="64"/>
  <c r="U34" i="64" s="1"/>
  <c r="V34" i="64" s="1"/>
  <c r="T33" i="64"/>
  <c r="U33" i="64" s="1"/>
  <c r="V33" i="64" s="1"/>
  <c r="T32" i="64"/>
  <c r="U32" i="64" s="1"/>
  <c r="V32" i="64" s="1"/>
  <c r="U31" i="64"/>
  <c r="V31" i="64" s="1"/>
  <c r="T31" i="64"/>
  <c r="T30" i="64"/>
  <c r="U30" i="64" s="1"/>
  <c r="V30" i="64" s="1"/>
  <c r="T29" i="64"/>
  <c r="U29" i="64" s="1"/>
  <c r="V29" i="64" s="1"/>
  <c r="T28" i="64"/>
  <c r="U28" i="64" s="1"/>
  <c r="V28" i="64" s="1"/>
  <c r="T27" i="64"/>
  <c r="U27" i="64" s="1"/>
  <c r="V27" i="64" s="1"/>
  <c r="T26" i="64"/>
  <c r="U26" i="64" s="1"/>
  <c r="V26" i="64" s="1"/>
  <c r="AY25" i="64"/>
  <c r="T25" i="64"/>
  <c r="T24" i="64"/>
  <c r="U24" i="64" s="1"/>
  <c r="V24" i="64" s="1"/>
  <c r="A23" i="64"/>
  <c r="A24" i="64" s="1"/>
  <c r="A25" i="64" s="1"/>
  <c r="A26" i="64" s="1"/>
  <c r="A27" i="64" s="1"/>
  <c r="A28" i="64" s="1"/>
  <c r="A29" i="64" s="1"/>
  <c r="A30" i="64" s="1"/>
  <c r="A31" i="64" s="1"/>
  <c r="A32" i="64" s="1"/>
  <c r="A33" i="64" s="1"/>
  <c r="A34" i="64" s="1"/>
  <c r="A35" i="64" s="1"/>
  <c r="A36" i="64" s="1"/>
  <c r="A37" i="64" s="1"/>
  <c r="A38" i="64" s="1"/>
  <c r="A39" i="64" s="1"/>
  <c r="A40" i="64" s="1"/>
  <c r="A41" i="64" s="1"/>
  <c r="A42" i="64" s="1"/>
  <c r="A43" i="64" s="1"/>
  <c r="A44" i="64" s="1"/>
  <c r="A45" i="64" s="1"/>
  <c r="A46" i="64" s="1"/>
  <c r="A47" i="64" s="1"/>
  <c r="A48" i="64" s="1"/>
  <c r="A49" i="64" s="1"/>
  <c r="A50" i="64" s="1"/>
  <c r="A51" i="64" s="1"/>
  <c r="A52" i="64" s="1"/>
  <c r="A53" i="64" s="1"/>
  <c r="A54" i="64" s="1"/>
  <c r="A55" i="64" s="1"/>
  <c r="A56" i="64" s="1"/>
  <c r="A57" i="64" s="1"/>
  <c r="T22" i="64"/>
  <c r="U22" i="64" s="1"/>
  <c r="V22" i="64" s="1"/>
  <c r="A22" i="64"/>
  <c r="A21" i="64"/>
  <c r="T20" i="64"/>
  <c r="U20" i="64" s="1"/>
  <c r="V20" i="64" s="1"/>
  <c r="A20" i="64"/>
  <c r="T18" i="64"/>
  <c r="U18" i="64" s="1"/>
  <c r="V18" i="64" s="1"/>
  <c r="T16" i="64"/>
  <c r="U16" i="64" s="1"/>
  <c r="V16" i="64" s="1"/>
  <c r="T15" i="64"/>
  <c r="U15" i="64" s="1"/>
  <c r="V15" i="64" s="1"/>
  <c r="A15" i="64"/>
  <c r="A16" i="64" s="1"/>
  <c r="A17" i="64" s="1"/>
  <c r="A18" i="64" s="1"/>
  <c r="T14" i="64"/>
  <c r="U14" i="64" s="1"/>
  <c r="V14" i="64" s="1"/>
  <c r="A14" i="64"/>
  <c r="T13" i="64"/>
  <c r="U13" i="64" s="1"/>
  <c r="V13" i="64" s="1"/>
  <c r="T12" i="64"/>
  <c r="U12" i="64" s="1"/>
  <c r="V12" i="64" s="1"/>
  <c r="T11" i="64"/>
  <c r="U11" i="64" s="1"/>
  <c r="V11" i="64" s="1"/>
  <c r="T10" i="64"/>
  <c r="U10" i="64" s="1"/>
  <c r="V10" i="64" s="1"/>
  <c r="T9" i="64"/>
  <c r="U8" i="64"/>
  <c r="V8" i="64" s="1"/>
  <c r="T8" i="64"/>
  <c r="A8" i="64"/>
  <c r="A9" i="64" s="1"/>
  <c r="A10" i="64" s="1"/>
  <c r="A11" i="64" s="1"/>
  <c r="T7" i="64"/>
  <c r="V43" i="65" l="1"/>
  <c r="V58" i="65" s="1"/>
  <c r="U58" i="65"/>
  <c r="T58" i="65"/>
  <c r="U47" i="64"/>
  <c r="V47" i="64" s="1"/>
  <c r="T43" i="64"/>
  <c r="U43" i="64" s="1"/>
  <c r="V43" i="64" s="1"/>
  <c r="U37" i="64"/>
  <c r="V37" i="64" s="1"/>
  <c r="U25" i="64"/>
  <c r="V25" i="64" s="1"/>
  <c r="C58" i="64"/>
  <c r="U9" i="64"/>
  <c r="V9" i="64" s="1"/>
  <c r="U7" i="64"/>
  <c r="H58" i="64"/>
  <c r="C47" i="63"/>
  <c r="J43" i="63"/>
  <c r="C43" i="63"/>
  <c r="K43" i="63"/>
  <c r="C37" i="63"/>
  <c r="C25" i="63"/>
  <c r="H24" i="63"/>
  <c r="T24" i="63" s="1"/>
  <c r="U24" i="63" s="1"/>
  <c r="V24" i="63" s="1"/>
  <c r="H23" i="63"/>
  <c r="H21" i="63"/>
  <c r="H19" i="63"/>
  <c r="T19" i="63" s="1"/>
  <c r="U19" i="63" s="1"/>
  <c r="V19" i="63" s="1"/>
  <c r="H17" i="63"/>
  <c r="C12" i="63"/>
  <c r="C9" i="63"/>
  <c r="C8" i="63"/>
  <c r="R58" i="63"/>
  <c r="T34" i="63"/>
  <c r="Q58" i="63"/>
  <c r="P58" i="63"/>
  <c r="O58" i="63"/>
  <c r="N58" i="63"/>
  <c r="M58" i="63"/>
  <c r="J58" i="63"/>
  <c r="I58" i="63"/>
  <c r="G58" i="63"/>
  <c r="F58" i="63"/>
  <c r="T54" i="63"/>
  <c r="U54" i="63" s="1"/>
  <c r="V54" i="63" s="1"/>
  <c r="T53" i="63"/>
  <c r="U53" i="63" s="1"/>
  <c r="V53" i="63" s="1"/>
  <c r="T52" i="63"/>
  <c r="U52" i="63" s="1"/>
  <c r="V52" i="63" s="1"/>
  <c r="T51" i="63"/>
  <c r="U51" i="63" s="1"/>
  <c r="V51" i="63" s="1"/>
  <c r="T50" i="63"/>
  <c r="U50" i="63" s="1"/>
  <c r="V50" i="63" s="1"/>
  <c r="T49" i="63"/>
  <c r="U49" i="63" s="1"/>
  <c r="V49" i="63" s="1"/>
  <c r="T48" i="63"/>
  <c r="U48" i="63" s="1"/>
  <c r="V48" i="63" s="1"/>
  <c r="T47" i="63"/>
  <c r="T46" i="63"/>
  <c r="U46" i="63" s="1"/>
  <c r="V46" i="63" s="1"/>
  <c r="T45" i="63"/>
  <c r="U45" i="63" s="1"/>
  <c r="V45" i="63" s="1"/>
  <c r="K58" i="63"/>
  <c r="T41" i="63"/>
  <c r="U41" i="63" s="1"/>
  <c r="V41" i="63" s="1"/>
  <c r="T40" i="63"/>
  <c r="U40" i="63" s="1"/>
  <c r="V40" i="63" s="1"/>
  <c r="T39" i="63"/>
  <c r="U39" i="63" s="1"/>
  <c r="V39" i="63" s="1"/>
  <c r="T38" i="63"/>
  <c r="U38" i="63" s="1"/>
  <c r="V38" i="63" s="1"/>
  <c r="T37" i="63"/>
  <c r="T36" i="63"/>
  <c r="U36" i="63" s="1"/>
  <c r="V36" i="63" s="1"/>
  <c r="T35" i="63"/>
  <c r="U35" i="63" s="1"/>
  <c r="V35" i="63" s="1"/>
  <c r="T33" i="63"/>
  <c r="U33" i="63" s="1"/>
  <c r="V33" i="63" s="1"/>
  <c r="T32" i="63"/>
  <c r="U32" i="63" s="1"/>
  <c r="V32" i="63" s="1"/>
  <c r="T31" i="63"/>
  <c r="U31" i="63" s="1"/>
  <c r="V31" i="63" s="1"/>
  <c r="T30" i="63"/>
  <c r="U30" i="63" s="1"/>
  <c r="V30" i="63" s="1"/>
  <c r="T29" i="63"/>
  <c r="U29" i="63" s="1"/>
  <c r="V29" i="63" s="1"/>
  <c r="T28" i="63"/>
  <c r="U28" i="63" s="1"/>
  <c r="V28" i="63" s="1"/>
  <c r="T27" i="63"/>
  <c r="U27" i="63" s="1"/>
  <c r="V27" i="63" s="1"/>
  <c r="T26" i="63"/>
  <c r="U26" i="63" s="1"/>
  <c r="V26" i="63" s="1"/>
  <c r="AY25" i="63"/>
  <c r="T25" i="63"/>
  <c r="T23" i="63"/>
  <c r="U23" i="63" s="1"/>
  <c r="V23" i="63" s="1"/>
  <c r="T22" i="63"/>
  <c r="U22" i="63" s="1"/>
  <c r="V22" i="63" s="1"/>
  <c r="T21" i="63"/>
  <c r="U21" i="63" s="1"/>
  <c r="V21" i="63" s="1"/>
  <c r="A21" i="63"/>
  <c r="A22" i="63" s="1"/>
  <c r="A23" i="63" s="1"/>
  <c r="A24" i="63" s="1"/>
  <c r="A25" i="63" s="1"/>
  <c r="A26" i="63" s="1"/>
  <c r="A27" i="63" s="1"/>
  <c r="A28" i="63" s="1"/>
  <c r="A29" i="63" s="1"/>
  <c r="A30" i="63" s="1"/>
  <c r="A31" i="63" s="1"/>
  <c r="A32" i="63" s="1"/>
  <c r="A33" i="63" s="1"/>
  <c r="A34" i="63" s="1"/>
  <c r="A35" i="63" s="1"/>
  <c r="A36" i="63" s="1"/>
  <c r="A37" i="63" s="1"/>
  <c r="A38" i="63" s="1"/>
  <c r="A39" i="63" s="1"/>
  <c r="A40" i="63" s="1"/>
  <c r="A41" i="63" s="1"/>
  <c r="A42" i="63" s="1"/>
  <c r="A43" i="63" s="1"/>
  <c r="A44" i="63" s="1"/>
  <c r="A45" i="63" s="1"/>
  <c r="A46" i="63" s="1"/>
  <c r="A47" i="63" s="1"/>
  <c r="A48" i="63" s="1"/>
  <c r="A49" i="63" s="1"/>
  <c r="A50" i="63" s="1"/>
  <c r="A51" i="63" s="1"/>
  <c r="A52" i="63" s="1"/>
  <c r="A53" i="63" s="1"/>
  <c r="A54" i="63" s="1"/>
  <c r="A55" i="63" s="1"/>
  <c r="A56" i="63" s="1"/>
  <c r="A57" i="63" s="1"/>
  <c r="T20" i="63"/>
  <c r="U20" i="63" s="1"/>
  <c r="V20" i="63" s="1"/>
  <c r="A20" i="63"/>
  <c r="T18" i="63"/>
  <c r="U18" i="63" s="1"/>
  <c r="V18" i="63" s="1"/>
  <c r="T16" i="63"/>
  <c r="U16" i="63" s="1"/>
  <c r="V16" i="63" s="1"/>
  <c r="T15" i="63"/>
  <c r="U15" i="63" s="1"/>
  <c r="V15" i="63" s="1"/>
  <c r="T14" i="63"/>
  <c r="U14" i="63" s="1"/>
  <c r="V14" i="63" s="1"/>
  <c r="A14" i="63"/>
  <c r="A15" i="63" s="1"/>
  <c r="A16" i="63" s="1"/>
  <c r="A17" i="63" s="1"/>
  <c r="A18" i="63" s="1"/>
  <c r="T13" i="63"/>
  <c r="U13" i="63" s="1"/>
  <c r="V13" i="63" s="1"/>
  <c r="T12" i="63"/>
  <c r="U12" i="63" s="1"/>
  <c r="V12" i="63" s="1"/>
  <c r="T11" i="63"/>
  <c r="U11" i="63" s="1"/>
  <c r="V11" i="63" s="1"/>
  <c r="T10" i="63"/>
  <c r="U10" i="63" s="1"/>
  <c r="V10" i="63" s="1"/>
  <c r="T9" i="63"/>
  <c r="U9" i="63" s="1"/>
  <c r="V9" i="63" s="1"/>
  <c r="A9" i="63"/>
  <c r="A10" i="63" s="1"/>
  <c r="A11" i="63" s="1"/>
  <c r="T8" i="63"/>
  <c r="A8" i="63"/>
  <c r="T7" i="63"/>
  <c r="T58" i="64" l="1"/>
  <c r="U58" i="64"/>
  <c r="V7" i="64"/>
  <c r="V58" i="64" s="1"/>
  <c r="U47" i="63"/>
  <c r="V47" i="63" s="1"/>
  <c r="U37" i="63"/>
  <c r="V37" i="63" s="1"/>
  <c r="C58" i="63"/>
  <c r="H58" i="63"/>
  <c r="U8" i="63"/>
  <c r="V8" i="63" s="1"/>
  <c r="U34" i="63"/>
  <c r="V34" i="63" s="1"/>
  <c r="U25" i="63"/>
  <c r="V25" i="63" s="1"/>
  <c r="T43" i="63"/>
  <c r="U43" i="63" s="1"/>
  <c r="V43" i="63" s="1"/>
  <c r="T17" i="63"/>
  <c r="U17" i="63" s="1"/>
  <c r="V17" i="63" s="1"/>
  <c r="U7" i="63"/>
  <c r="C47" i="62"/>
  <c r="K43" i="62"/>
  <c r="J43" i="62"/>
  <c r="T43" i="62" s="1"/>
  <c r="C43" i="62"/>
  <c r="C37" i="62"/>
  <c r="C34" i="62"/>
  <c r="C25" i="62"/>
  <c r="H24" i="62"/>
  <c r="T24" i="62" s="1"/>
  <c r="U24" i="62" s="1"/>
  <c r="V24" i="62" s="1"/>
  <c r="H23" i="62"/>
  <c r="H21" i="62"/>
  <c r="T21" i="62" s="1"/>
  <c r="U21" i="62" s="1"/>
  <c r="V21" i="62" s="1"/>
  <c r="H19" i="62"/>
  <c r="H17" i="62"/>
  <c r="C12" i="62"/>
  <c r="U12" i="62" s="1"/>
  <c r="V12" i="62" s="1"/>
  <c r="C9" i="62"/>
  <c r="C8" i="62"/>
  <c r="R58" i="62"/>
  <c r="Q58" i="62"/>
  <c r="P58" i="62"/>
  <c r="O58" i="62"/>
  <c r="N58" i="62"/>
  <c r="M58" i="62"/>
  <c r="I58" i="62"/>
  <c r="G58" i="62"/>
  <c r="F58" i="62"/>
  <c r="T54" i="62"/>
  <c r="U54" i="62" s="1"/>
  <c r="V54" i="62" s="1"/>
  <c r="T53" i="62"/>
  <c r="U53" i="62" s="1"/>
  <c r="V53" i="62" s="1"/>
  <c r="T52" i="62"/>
  <c r="U52" i="62" s="1"/>
  <c r="V52" i="62" s="1"/>
  <c r="T51" i="62"/>
  <c r="U51" i="62" s="1"/>
  <c r="V51" i="62" s="1"/>
  <c r="T50" i="62"/>
  <c r="U50" i="62" s="1"/>
  <c r="V50" i="62" s="1"/>
  <c r="U49" i="62"/>
  <c r="V49" i="62" s="1"/>
  <c r="T49" i="62"/>
  <c r="T48" i="62"/>
  <c r="U48" i="62" s="1"/>
  <c r="V48" i="62" s="1"/>
  <c r="T47" i="62"/>
  <c r="U47" i="62" s="1"/>
  <c r="V47" i="62" s="1"/>
  <c r="T46" i="62"/>
  <c r="U46" i="62" s="1"/>
  <c r="V46" i="62" s="1"/>
  <c r="T45" i="62"/>
  <c r="U45" i="62" s="1"/>
  <c r="V45" i="62" s="1"/>
  <c r="K58" i="62"/>
  <c r="T41" i="62"/>
  <c r="U41" i="62" s="1"/>
  <c r="V41" i="62" s="1"/>
  <c r="T40" i="62"/>
  <c r="U40" i="62" s="1"/>
  <c r="V40" i="62" s="1"/>
  <c r="U39" i="62"/>
  <c r="V39" i="62" s="1"/>
  <c r="T39" i="62"/>
  <c r="T38" i="62"/>
  <c r="U38" i="62" s="1"/>
  <c r="V38" i="62" s="1"/>
  <c r="T37" i="62"/>
  <c r="T36" i="62"/>
  <c r="U35" i="62"/>
  <c r="V35" i="62" s="1"/>
  <c r="T35" i="62"/>
  <c r="T34" i="62"/>
  <c r="U34" i="62" s="1"/>
  <c r="V34" i="62" s="1"/>
  <c r="T33" i="62"/>
  <c r="U33" i="62" s="1"/>
  <c r="V33" i="62" s="1"/>
  <c r="T32" i="62"/>
  <c r="U32" i="62" s="1"/>
  <c r="V32" i="62" s="1"/>
  <c r="T31" i="62"/>
  <c r="U31" i="62" s="1"/>
  <c r="V31" i="62" s="1"/>
  <c r="U30" i="62"/>
  <c r="V30" i="62" s="1"/>
  <c r="T30" i="62"/>
  <c r="T29" i="62"/>
  <c r="U29" i="62" s="1"/>
  <c r="V29" i="62" s="1"/>
  <c r="T28" i="62"/>
  <c r="U28" i="62" s="1"/>
  <c r="V28" i="62" s="1"/>
  <c r="T27" i="62"/>
  <c r="U27" i="62" s="1"/>
  <c r="V27" i="62" s="1"/>
  <c r="U26" i="62"/>
  <c r="V26" i="62" s="1"/>
  <c r="T26" i="62"/>
  <c r="AY25" i="62"/>
  <c r="T25" i="62"/>
  <c r="T23" i="62"/>
  <c r="U23" i="62" s="1"/>
  <c r="V23" i="62" s="1"/>
  <c r="T22" i="62"/>
  <c r="U22" i="62" s="1"/>
  <c r="V22" i="62" s="1"/>
  <c r="A21" i="62"/>
  <c r="A22" i="62" s="1"/>
  <c r="A23" i="62" s="1"/>
  <c r="A24" i="62" s="1"/>
  <c r="A25" i="62" s="1"/>
  <c r="A26" i="62" s="1"/>
  <c r="A27" i="62" s="1"/>
  <c r="A28" i="62" s="1"/>
  <c r="A29" i="62" s="1"/>
  <c r="A30" i="62" s="1"/>
  <c r="A31" i="62" s="1"/>
  <c r="A32" i="62" s="1"/>
  <c r="A33" i="62" s="1"/>
  <c r="A34" i="62" s="1"/>
  <c r="A35" i="62" s="1"/>
  <c r="A36" i="62" s="1"/>
  <c r="A37" i="62" s="1"/>
  <c r="A38" i="62" s="1"/>
  <c r="A39" i="62" s="1"/>
  <c r="A40" i="62" s="1"/>
  <c r="A41" i="62" s="1"/>
  <c r="A42" i="62" s="1"/>
  <c r="A43" i="62" s="1"/>
  <c r="A44" i="62" s="1"/>
  <c r="A45" i="62" s="1"/>
  <c r="A46" i="62" s="1"/>
  <c r="A47" i="62" s="1"/>
  <c r="A48" i="62" s="1"/>
  <c r="A49" i="62" s="1"/>
  <c r="A50" i="62" s="1"/>
  <c r="A51" i="62" s="1"/>
  <c r="A52" i="62" s="1"/>
  <c r="A53" i="62" s="1"/>
  <c r="A54" i="62" s="1"/>
  <c r="A55" i="62" s="1"/>
  <c r="A56" i="62" s="1"/>
  <c r="A57" i="62" s="1"/>
  <c r="T20" i="62"/>
  <c r="U20" i="62" s="1"/>
  <c r="V20" i="62" s="1"/>
  <c r="A20" i="62"/>
  <c r="T19" i="62"/>
  <c r="U19" i="62" s="1"/>
  <c r="V19" i="62" s="1"/>
  <c r="T18" i="62"/>
  <c r="U18" i="62" s="1"/>
  <c r="V18" i="62" s="1"/>
  <c r="T16" i="62"/>
  <c r="U16" i="62" s="1"/>
  <c r="V16" i="62" s="1"/>
  <c r="T15" i="62"/>
  <c r="U15" i="62" s="1"/>
  <c r="V15" i="62" s="1"/>
  <c r="T14" i="62"/>
  <c r="U14" i="62" s="1"/>
  <c r="V14" i="62" s="1"/>
  <c r="A14" i="62"/>
  <c r="A15" i="62" s="1"/>
  <c r="A16" i="62" s="1"/>
  <c r="A17" i="62" s="1"/>
  <c r="A18" i="62" s="1"/>
  <c r="T13" i="62"/>
  <c r="U13" i="62" s="1"/>
  <c r="V13" i="62" s="1"/>
  <c r="T12" i="62"/>
  <c r="T11" i="62"/>
  <c r="U11" i="62" s="1"/>
  <c r="V11" i="62" s="1"/>
  <c r="T10" i="62"/>
  <c r="U10" i="62" s="1"/>
  <c r="V10" i="62" s="1"/>
  <c r="T9" i="62"/>
  <c r="U9" i="62" s="1"/>
  <c r="V9" i="62" s="1"/>
  <c r="A9" i="62"/>
  <c r="A10" i="62" s="1"/>
  <c r="A11" i="62" s="1"/>
  <c r="T8" i="62"/>
  <c r="U8" i="62"/>
  <c r="V8" i="62" s="1"/>
  <c r="A8" i="62"/>
  <c r="T7" i="62"/>
  <c r="U7" i="62" s="1"/>
  <c r="V7" i="62" s="1"/>
  <c r="U58" i="63" l="1"/>
  <c r="V7" i="63"/>
  <c r="V58" i="63" s="1"/>
  <c r="T58" i="63"/>
  <c r="J58" i="62"/>
  <c r="U43" i="62"/>
  <c r="V43" i="62" s="1"/>
  <c r="U37" i="62"/>
  <c r="V37" i="62" s="1"/>
  <c r="U36" i="62"/>
  <c r="V36" i="62" s="1"/>
  <c r="U25" i="62"/>
  <c r="V25" i="62" s="1"/>
  <c r="H58" i="62"/>
  <c r="C58" i="62"/>
  <c r="T17" i="62"/>
  <c r="U17" i="62" s="1"/>
  <c r="V17" i="62" s="1"/>
  <c r="C47" i="61"/>
  <c r="K43" i="61"/>
  <c r="J43" i="61"/>
  <c r="C43" i="61"/>
  <c r="K58" i="61"/>
  <c r="C37" i="61"/>
  <c r="C25" i="61"/>
  <c r="H24" i="61"/>
  <c r="H23" i="61"/>
  <c r="H21" i="61"/>
  <c r="T21" i="61" s="1"/>
  <c r="U21" i="61" s="1"/>
  <c r="V21" i="61" s="1"/>
  <c r="H19" i="61"/>
  <c r="H17" i="61"/>
  <c r="C12" i="61"/>
  <c r="C9" i="61"/>
  <c r="C8" i="61"/>
  <c r="R58" i="61"/>
  <c r="Q58" i="61"/>
  <c r="P58" i="61"/>
  <c r="O58" i="61"/>
  <c r="N58" i="61"/>
  <c r="M58" i="61"/>
  <c r="I58" i="61"/>
  <c r="G58" i="61"/>
  <c r="F58" i="61"/>
  <c r="T54" i="61"/>
  <c r="U54" i="61" s="1"/>
  <c r="V54" i="61" s="1"/>
  <c r="T53" i="61"/>
  <c r="U53" i="61" s="1"/>
  <c r="V53" i="61" s="1"/>
  <c r="T52" i="61"/>
  <c r="U52" i="61" s="1"/>
  <c r="V52" i="61" s="1"/>
  <c r="T51" i="61"/>
  <c r="U51" i="61" s="1"/>
  <c r="V51" i="61" s="1"/>
  <c r="U50" i="61"/>
  <c r="V50" i="61" s="1"/>
  <c r="T50" i="61"/>
  <c r="T49" i="61"/>
  <c r="U49" i="61" s="1"/>
  <c r="V49" i="61" s="1"/>
  <c r="T48" i="61"/>
  <c r="U48" i="61" s="1"/>
  <c r="V48" i="61" s="1"/>
  <c r="T47" i="61"/>
  <c r="T46" i="61"/>
  <c r="U46" i="61" s="1"/>
  <c r="V46" i="61" s="1"/>
  <c r="T45" i="61"/>
  <c r="U45" i="61" s="1"/>
  <c r="V45" i="61" s="1"/>
  <c r="J58" i="61"/>
  <c r="T41" i="61"/>
  <c r="U41" i="61"/>
  <c r="V41" i="61" s="1"/>
  <c r="T40" i="61"/>
  <c r="U40" i="61" s="1"/>
  <c r="V40" i="61" s="1"/>
  <c r="T39" i="61"/>
  <c r="U39" i="61" s="1"/>
  <c r="V39" i="61" s="1"/>
  <c r="T38" i="61"/>
  <c r="U38" i="61" s="1"/>
  <c r="V38" i="61" s="1"/>
  <c r="T37" i="61"/>
  <c r="U37" i="61" s="1"/>
  <c r="V37" i="61" s="1"/>
  <c r="T36" i="61"/>
  <c r="U36" i="61" s="1"/>
  <c r="V36" i="61" s="1"/>
  <c r="T35" i="61"/>
  <c r="U35" i="61" s="1"/>
  <c r="V35" i="61" s="1"/>
  <c r="T34" i="61"/>
  <c r="U34" i="61" s="1"/>
  <c r="V34" i="61" s="1"/>
  <c r="T33" i="61"/>
  <c r="U33" i="61" s="1"/>
  <c r="V33" i="61" s="1"/>
  <c r="T32" i="61"/>
  <c r="U32" i="61" s="1"/>
  <c r="V32" i="61" s="1"/>
  <c r="T31" i="61"/>
  <c r="U31" i="61" s="1"/>
  <c r="V31" i="61" s="1"/>
  <c r="T30" i="61"/>
  <c r="U30" i="61" s="1"/>
  <c r="V30" i="61" s="1"/>
  <c r="T29" i="61"/>
  <c r="U29" i="61" s="1"/>
  <c r="V29" i="61" s="1"/>
  <c r="T28" i="61"/>
  <c r="U28" i="61" s="1"/>
  <c r="V28" i="61" s="1"/>
  <c r="U27" i="61"/>
  <c r="V27" i="61" s="1"/>
  <c r="T27" i="61"/>
  <c r="T26" i="61"/>
  <c r="U26" i="61" s="1"/>
  <c r="V26" i="61" s="1"/>
  <c r="AY25" i="61"/>
  <c r="T25" i="61"/>
  <c r="U25" i="61" s="1"/>
  <c r="V25" i="61" s="1"/>
  <c r="T24" i="61"/>
  <c r="U24" i="61" s="1"/>
  <c r="V24" i="61" s="1"/>
  <c r="T23" i="61"/>
  <c r="U23" i="61" s="1"/>
  <c r="V23" i="61" s="1"/>
  <c r="T22" i="61"/>
  <c r="U22" i="61" s="1"/>
  <c r="V22" i="61" s="1"/>
  <c r="A22" i="61"/>
  <c r="A23" i="61" s="1"/>
  <c r="A24" i="61" s="1"/>
  <c r="A25" i="61" s="1"/>
  <c r="A26" i="61" s="1"/>
  <c r="A27" i="61" s="1"/>
  <c r="A28" i="61" s="1"/>
  <c r="A29" i="61" s="1"/>
  <c r="A30" i="61" s="1"/>
  <c r="A31" i="61" s="1"/>
  <c r="A32" i="61" s="1"/>
  <c r="A33" i="61" s="1"/>
  <c r="A34" i="61" s="1"/>
  <c r="A35" i="61" s="1"/>
  <c r="A36" i="61" s="1"/>
  <c r="A37" i="61" s="1"/>
  <c r="A38" i="61" s="1"/>
  <c r="A39" i="61" s="1"/>
  <c r="A40" i="61" s="1"/>
  <c r="A41" i="61" s="1"/>
  <c r="A42" i="61" s="1"/>
  <c r="A43" i="61" s="1"/>
  <c r="A44" i="61" s="1"/>
  <c r="A45" i="61" s="1"/>
  <c r="A46" i="61" s="1"/>
  <c r="A47" i="61" s="1"/>
  <c r="A48" i="61" s="1"/>
  <c r="A49" i="61" s="1"/>
  <c r="A50" i="61" s="1"/>
  <c r="A51" i="61" s="1"/>
  <c r="A52" i="61" s="1"/>
  <c r="A53" i="61" s="1"/>
  <c r="A54" i="61" s="1"/>
  <c r="A55" i="61" s="1"/>
  <c r="A56" i="61" s="1"/>
  <c r="A57" i="61" s="1"/>
  <c r="A21" i="61"/>
  <c r="U20" i="61"/>
  <c r="V20" i="61" s="1"/>
  <c r="T20" i="61"/>
  <c r="A20" i="61"/>
  <c r="T19" i="61"/>
  <c r="U19" i="61" s="1"/>
  <c r="V19" i="61" s="1"/>
  <c r="T18" i="61"/>
  <c r="U18" i="61" s="1"/>
  <c r="V18" i="61" s="1"/>
  <c r="T16" i="61"/>
  <c r="U16" i="61" s="1"/>
  <c r="V16" i="61" s="1"/>
  <c r="T15" i="61"/>
  <c r="U15" i="61" s="1"/>
  <c r="V15" i="61" s="1"/>
  <c r="A15" i="61"/>
  <c r="A16" i="61" s="1"/>
  <c r="A17" i="61" s="1"/>
  <c r="A18" i="61" s="1"/>
  <c r="T14" i="61"/>
  <c r="U14" i="61" s="1"/>
  <c r="V14" i="61" s="1"/>
  <c r="A14" i="61"/>
  <c r="T13" i="61"/>
  <c r="U13" i="61" s="1"/>
  <c r="V13" i="61" s="1"/>
  <c r="T12" i="61"/>
  <c r="U12" i="61" s="1"/>
  <c r="V12" i="61" s="1"/>
  <c r="T11" i="61"/>
  <c r="U11" i="61" s="1"/>
  <c r="V11" i="61" s="1"/>
  <c r="T10" i="61"/>
  <c r="U10" i="61" s="1"/>
  <c r="V10" i="61" s="1"/>
  <c r="T9" i="61"/>
  <c r="U9" i="61"/>
  <c r="V9" i="61" s="1"/>
  <c r="A9" i="61"/>
  <c r="A10" i="61" s="1"/>
  <c r="A11" i="61" s="1"/>
  <c r="U8" i="61"/>
  <c r="V8" i="61" s="1"/>
  <c r="T8" i="61"/>
  <c r="A8" i="61"/>
  <c r="T7" i="61"/>
  <c r="V58" i="62" l="1"/>
  <c r="T58" i="62"/>
  <c r="U58" i="62"/>
  <c r="U47" i="61"/>
  <c r="V47" i="61" s="1"/>
  <c r="H58" i="61"/>
  <c r="T43" i="61"/>
  <c r="U43" i="61" s="1"/>
  <c r="V43" i="61" s="1"/>
  <c r="C58" i="61"/>
  <c r="T17" i="61"/>
  <c r="U17" i="61" s="1"/>
  <c r="V17" i="61" s="1"/>
  <c r="U7" i="61"/>
  <c r="C47" i="60"/>
  <c r="K43" i="60"/>
  <c r="K58" i="60" s="1"/>
  <c r="J43" i="60"/>
  <c r="T43" i="60" s="1"/>
  <c r="U43" i="60" s="1"/>
  <c r="V43" i="60" s="1"/>
  <c r="C43" i="60"/>
  <c r="C41" i="60"/>
  <c r="U41" i="60" s="1"/>
  <c r="V41" i="60" s="1"/>
  <c r="C37" i="60"/>
  <c r="C34" i="60"/>
  <c r="C25" i="60"/>
  <c r="H24" i="60"/>
  <c r="T24" i="60" s="1"/>
  <c r="U24" i="60" s="1"/>
  <c r="V24" i="60" s="1"/>
  <c r="H23" i="60"/>
  <c r="T23" i="60" s="1"/>
  <c r="U23" i="60" s="1"/>
  <c r="V23" i="60" s="1"/>
  <c r="H21" i="60"/>
  <c r="T21" i="60" s="1"/>
  <c r="U21" i="60" s="1"/>
  <c r="V21" i="60" s="1"/>
  <c r="H19" i="60"/>
  <c r="T19" i="60" s="1"/>
  <c r="U19" i="60" s="1"/>
  <c r="V19" i="60" s="1"/>
  <c r="H17" i="60"/>
  <c r="G58" i="60"/>
  <c r="C12" i="60"/>
  <c r="C10" i="60"/>
  <c r="C9" i="60"/>
  <c r="C8" i="60"/>
  <c r="R58" i="60"/>
  <c r="Q58" i="60"/>
  <c r="P58" i="60"/>
  <c r="O58" i="60"/>
  <c r="N58" i="60"/>
  <c r="M58" i="60"/>
  <c r="I58" i="60"/>
  <c r="F58" i="60"/>
  <c r="T54" i="60"/>
  <c r="U54" i="60" s="1"/>
  <c r="V54" i="60" s="1"/>
  <c r="T53" i="60"/>
  <c r="U53" i="60" s="1"/>
  <c r="V53" i="60" s="1"/>
  <c r="T52" i="60"/>
  <c r="U52" i="60" s="1"/>
  <c r="V52" i="60" s="1"/>
  <c r="T51" i="60"/>
  <c r="U51" i="60" s="1"/>
  <c r="V51" i="60" s="1"/>
  <c r="T50" i="60"/>
  <c r="U50" i="60" s="1"/>
  <c r="V50" i="60" s="1"/>
  <c r="T49" i="60"/>
  <c r="U49" i="60" s="1"/>
  <c r="V49" i="60" s="1"/>
  <c r="T48" i="60"/>
  <c r="U48" i="60" s="1"/>
  <c r="V48" i="60" s="1"/>
  <c r="T47" i="60"/>
  <c r="U47" i="60" s="1"/>
  <c r="V47" i="60" s="1"/>
  <c r="T46" i="60"/>
  <c r="U46" i="60" s="1"/>
  <c r="V46" i="60" s="1"/>
  <c r="T45" i="60"/>
  <c r="U45" i="60" s="1"/>
  <c r="V45" i="60" s="1"/>
  <c r="T41" i="60"/>
  <c r="T40" i="60"/>
  <c r="U40" i="60" s="1"/>
  <c r="V40" i="60" s="1"/>
  <c r="T39" i="60"/>
  <c r="U39" i="60" s="1"/>
  <c r="V39" i="60" s="1"/>
  <c r="T38" i="60"/>
  <c r="U38" i="60" s="1"/>
  <c r="V38" i="60" s="1"/>
  <c r="T37" i="60"/>
  <c r="T36" i="60"/>
  <c r="U36" i="60" s="1"/>
  <c r="V36" i="60" s="1"/>
  <c r="T35" i="60"/>
  <c r="U35" i="60" s="1"/>
  <c r="V35" i="60" s="1"/>
  <c r="T34" i="60"/>
  <c r="U34" i="60" s="1"/>
  <c r="V34" i="60" s="1"/>
  <c r="T33" i="60"/>
  <c r="U33" i="60" s="1"/>
  <c r="V33" i="60" s="1"/>
  <c r="T32" i="60"/>
  <c r="U32" i="60" s="1"/>
  <c r="V32" i="60" s="1"/>
  <c r="T31" i="60"/>
  <c r="U31" i="60" s="1"/>
  <c r="V31" i="60" s="1"/>
  <c r="T30" i="60"/>
  <c r="U30" i="60" s="1"/>
  <c r="V30" i="60" s="1"/>
  <c r="T29" i="60"/>
  <c r="U29" i="60" s="1"/>
  <c r="V29" i="60" s="1"/>
  <c r="T28" i="60"/>
  <c r="U28" i="60" s="1"/>
  <c r="V28" i="60" s="1"/>
  <c r="U27" i="60"/>
  <c r="V27" i="60" s="1"/>
  <c r="T27" i="60"/>
  <c r="T26" i="60"/>
  <c r="U26" i="60" s="1"/>
  <c r="V26" i="60" s="1"/>
  <c r="AY25" i="60"/>
  <c r="T25" i="60"/>
  <c r="T22" i="60"/>
  <c r="U22" i="60" s="1"/>
  <c r="V22" i="60" s="1"/>
  <c r="A21" i="60"/>
  <c r="A22" i="60" s="1"/>
  <c r="A23" i="60" s="1"/>
  <c r="A24" i="60" s="1"/>
  <c r="A25" i="60" s="1"/>
  <c r="A26" i="60" s="1"/>
  <c r="A27" i="60" s="1"/>
  <c r="A28" i="60" s="1"/>
  <c r="A29" i="60" s="1"/>
  <c r="A30" i="60" s="1"/>
  <c r="A31" i="60" s="1"/>
  <c r="A32" i="60" s="1"/>
  <c r="A33" i="60" s="1"/>
  <c r="A34" i="60" s="1"/>
  <c r="A35" i="60" s="1"/>
  <c r="A36" i="60" s="1"/>
  <c r="A37" i="60" s="1"/>
  <c r="A38" i="60" s="1"/>
  <c r="A39" i="60" s="1"/>
  <c r="A40" i="60" s="1"/>
  <c r="A41" i="60" s="1"/>
  <c r="A42" i="60" s="1"/>
  <c r="A43" i="60" s="1"/>
  <c r="A44" i="60" s="1"/>
  <c r="A45" i="60" s="1"/>
  <c r="A46" i="60" s="1"/>
  <c r="A47" i="60" s="1"/>
  <c r="A48" i="60" s="1"/>
  <c r="A49" i="60" s="1"/>
  <c r="A50" i="60" s="1"/>
  <c r="A51" i="60" s="1"/>
  <c r="A52" i="60" s="1"/>
  <c r="A53" i="60" s="1"/>
  <c r="A54" i="60" s="1"/>
  <c r="A55" i="60" s="1"/>
  <c r="A56" i="60" s="1"/>
  <c r="A57" i="60" s="1"/>
  <c r="T20" i="60"/>
  <c r="U20" i="60" s="1"/>
  <c r="V20" i="60" s="1"/>
  <c r="A20" i="60"/>
  <c r="T18" i="60"/>
  <c r="U18" i="60" s="1"/>
  <c r="V18" i="60" s="1"/>
  <c r="T16" i="60"/>
  <c r="U16" i="60" s="1"/>
  <c r="V16" i="60" s="1"/>
  <c r="T15" i="60"/>
  <c r="U15" i="60" s="1"/>
  <c r="V15" i="60" s="1"/>
  <c r="T14" i="60"/>
  <c r="U14" i="60" s="1"/>
  <c r="V14" i="60" s="1"/>
  <c r="A14" i="60"/>
  <c r="A15" i="60" s="1"/>
  <c r="A16" i="60" s="1"/>
  <c r="A17" i="60" s="1"/>
  <c r="A18" i="60" s="1"/>
  <c r="T12" i="60"/>
  <c r="U12" i="60" s="1"/>
  <c r="V12" i="60" s="1"/>
  <c r="T11" i="60"/>
  <c r="U11" i="60" s="1"/>
  <c r="V11" i="60" s="1"/>
  <c r="T10" i="60"/>
  <c r="T9" i="60"/>
  <c r="T8" i="60"/>
  <c r="U8" i="60" s="1"/>
  <c r="V8" i="60" s="1"/>
  <c r="A8" i="60"/>
  <c r="A9" i="60" s="1"/>
  <c r="A10" i="60" s="1"/>
  <c r="A11" i="60" s="1"/>
  <c r="T7" i="60"/>
  <c r="U7" i="60" s="1"/>
  <c r="T58" i="61" l="1"/>
  <c r="U58" i="61"/>
  <c r="V7" i="61"/>
  <c r="V58" i="61" s="1"/>
  <c r="J58" i="60"/>
  <c r="U37" i="60"/>
  <c r="V37" i="60" s="1"/>
  <c r="U25" i="60"/>
  <c r="V25" i="60" s="1"/>
  <c r="C58" i="60"/>
  <c r="H58" i="60"/>
  <c r="T13" i="60"/>
  <c r="U13" i="60" s="1"/>
  <c r="V13" i="60" s="1"/>
  <c r="U10" i="60"/>
  <c r="V10" i="60" s="1"/>
  <c r="U9" i="60"/>
  <c r="V9" i="60" s="1"/>
  <c r="T17" i="60"/>
  <c r="U17" i="60" s="1"/>
  <c r="V17" i="60" s="1"/>
  <c r="V7" i="60"/>
  <c r="C47" i="59"/>
  <c r="J43" i="59"/>
  <c r="T43" i="59" s="1"/>
  <c r="I43" i="59"/>
  <c r="C43" i="59"/>
  <c r="C41" i="59"/>
  <c r="U41" i="59" s="1"/>
  <c r="V41" i="59" s="1"/>
  <c r="C37" i="59"/>
  <c r="C25" i="59"/>
  <c r="H24" i="59"/>
  <c r="T24" i="59" s="1"/>
  <c r="U24" i="59" s="1"/>
  <c r="V24" i="59" s="1"/>
  <c r="H23" i="59"/>
  <c r="H21" i="59"/>
  <c r="H19" i="59"/>
  <c r="H17" i="59"/>
  <c r="C12" i="59"/>
  <c r="C9" i="59"/>
  <c r="C8" i="59"/>
  <c r="R58" i="59"/>
  <c r="Q58" i="59"/>
  <c r="P58" i="59"/>
  <c r="O58" i="59"/>
  <c r="N58" i="59"/>
  <c r="M58" i="59"/>
  <c r="K58" i="59"/>
  <c r="I58" i="59"/>
  <c r="G58" i="59"/>
  <c r="F58" i="59"/>
  <c r="U54" i="59"/>
  <c r="V54" i="59" s="1"/>
  <c r="T54" i="59"/>
  <c r="T53" i="59"/>
  <c r="U53" i="59" s="1"/>
  <c r="V53" i="59" s="1"/>
  <c r="T52" i="59"/>
  <c r="U52" i="59" s="1"/>
  <c r="V52" i="59" s="1"/>
  <c r="T51" i="59"/>
  <c r="U51" i="59" s="1"/>
  <c r="V51" i="59" s="1"/>
  <c r="T50" i="59"/>
  <c r="U50" i="59" s="1"/>
  <c r="V50" i="59" s="1"/>
  <c r="T49" i="59"/>
  <c r="U49" i="59" s="1"/>
  <c r="V49" i="59" s="1"/>
  <c r="T48" i="59"/>
  <c r="U48" i="59" s="1"/>
  <c r="V48" i="59" s="1"/>
  <c r="T47" i="59"/>
  <c r="T46" i="59"/>
  <c r="U46" i="59" s="1"/>
  <c r="V46" i="59" s="1"/>
  <c r="T45" i="59"/>
  <c r="U45" i="59" s="1"/>
  <c r="V45" i="59" s="1"/>
  <c r="T41" i="59"/>
  <c r="T40" i="59"/>
  <c r="U40" i="59" s="1"/>
  <c r="V40" i="59" s="1"/>
  <c r="T39" i="59"/>
  <c r="U39" i="59" s="1"/>
  <c r="V39" i="59" s="1"/>
  <c r="T38" i="59"/>
  <c r="U38" i="59" s="1"/>
  <c r="V38" i="59" s="1"/>
  <c r="T37" i="59"/>
  <c r="T36" i="59"/>
  <c r="U36" i="59" s="1"/>
  <c r="V36" i="59" s="1"/>
  <c r="T35" i="59"/>
  <c r="U35" i="59" s="1"/>
  <c r="V35" i="59" s="1"/>
  <c r="T34" i="59"/>
  <c r="U34" i="59" s="1"/>
  <c r="V34" i="59" s="1"/>
  <c r="T33" i="59"/>
  <c r="U33" i="59" s="1"/>
  <c r="V33" i="59" s="1"/>
  <c r="T32" i="59"/>
  <c r="U32" i="59" s="1"/>
  <c r="V32" i="59" s="1"/>
  <c r="T31" i="59"/>
  <c r="U31" i="59" s="1"/>
  <c r="V31" i="59" s="1"/>
  <c r="U30" i="59"/>
  <c r="V30" i="59" s="1"/>
  <c r="T30" i="59"/>
  <c r="T29" i="59"/>
  <c r="U29" i="59" s="1"/>
  <c r="V29" i="59" s="1"/>
  <c r="T28" i="59"/>
  <c r="U28" i="59" s="1"/>
  <c r="V28" i="59" s="1"/>
  <c r="T27" i="59"/>
  <c r="U27" i="59" s="1"/>
  <c r="V27" i="59" s="1"/>
  <c r="T26" i="59"/>
  <c r="U26" i="59" s="1"/>
  <c r="V26" i="59" s="1"/>
  <c r="AY25" i="59"/>
  <c r="T25" i="59"/>
  <c r="T23" i="59"/>
  <c r="U23" i="59" s="1"/>
  <c r="V23" i="59" s="1"/>
  <c r="T22" i="59"/>
  <c r="U22" i="59" s="1"/>
  <c r="V22" i="59" s="1"/>
  <c r="T21" i="59"/>
  <c r="U21" i="59" s="1"/>
  <c r="V21" i="59" s="1"/>
  <c r="A21" i="59"/>
  <c r="A22" i="59" s="1"/>
  <c r="A23" i="59" s="1"/>
  <c r="A24" i="59" s="1"/>
  <c r="A25" i="59" s="1"/>
  <c r="A26" i="59" s="1"/>
  <c r="A27" i="59" s="1"/>
  <c r="A28" i="59" s="1"/>
  <c r="A29" i="59" s="1"/>
  <c r="A30" i="59" s="1"/>
  <c r="A31" i="59" s="1"/>
  <c r="A32" i="59" s="1"/>
  <c r="A33" i="59" s="1"/>
  <c r="A34" i="59" s="1"/>
  <c r="A35" i="59" s="1"/>
  <c r="A36" i="59" s="1"/>
  <c r="A37" i="59" s="1"/>
  <c r="A38" i="59" s="1"/>
  <c r="A39" i="59" s="1"/>
  <c r="A40" i="59" s="1"/>
  <c r="A41" i="59" s="1"/>
  <c r="A42" i="59" s="1"/>
  <c r="A43" i="59" s="1"/>
  <c r="A44" i="59" s="1"/>
  <c r="A45" i="59" s="1"/>
  <c r="A46" i="59" s="1"/>
  <c r="A47" i="59" s="1"/>
  <c r="A48" i="59" s="1"/>
  <c r="A49" i="59" s="1"/>
  <c r="A50" i="59" s="1"/>
  <c r="A51" i="59" s="1"/>
  <c r="A52" i="59" s="1"/>
  <c r="A53" i="59" s="1"/>
  <c r="A54" i="59" s="1"/>
  <c r="A55" i="59" s="1"/>
  <c r="A56" i="59" s="1"/>
  <c r="A57" i="59" s="1"/>
  <c r="T20" i="59"/>
  <c r="U20" i="59" s="1"/>
  <c r="V20" i="59" s="1"/>
  <c r="A20" i="59"/>
  <c r="T18" i="59"/>
  <c r="U18" i="59" s="1"/>
  <c r="V18" i="59" s="1"/>
  <c r="T16" i="59"/>
  <c r="U16" i="59" s="1"/>
  <c r="V16" i="59" s="1"/>
  <c r="T15" i="59"/>
  <c r="U15" i="59" s="1"/>
  <c r="V15" i="59" s="1"/>
  <c r="T14" i="59"/>
  <c r="U14" i="59" s="1"/>
  <c r="V14" i="59" s="1"/>
  <c r="A14" i="59"/>
  <c r="A15" i="59" s="1"/>
  <c r="A16" i="59" s="1"/>
  <c r="A17" i="59" s="1"/>
  <c r="A18" i="59" s="1"/>
  <c r="T13" i="59"/>
  <c r="U13" i="59" s="1"/>
  <c r="V13" i="59" s="1"/>
  <c r="T12" i="59"/>
  <c r="T11" i="59"/>
  <c r="U11" i="59" s="1"/>
  <c r="V11" i="59" s="1"/>
  <c r="T10" i="59"/>
  <c r="U10" i="59" s="1"/>
  <c r="V10" i="59" s="1"/>
  <c r="T9" i="59"/>
  <c r="T8" i="59"/>
  <c r="A8" i="59"/>
  <c r="A9" i="59" s="1"/>
  <c r="A10" i="59" s="1"/>
  <c r="A11" i="59" s="1"/>
  <c r="T7" i="59"/>
  <c r="V58" i="60" l="1"/>
  <c r="U58" i="60"/>
  <c r="T58" i="60"/>
  <c r="U47" i="59"/>
  <c r="V47" i="59" s="1"/>
  <c r="J58" i="59"/>
  <c r="U43" i="59"/>
  <c r="V43" i="59" s="1"/>
  <c r="U37" i="59"/>
  <c r="V37" i="59" s="1"/>
  <c r="U25" i="59"/>
  <c r="V25" i="59" s="1"/>
  <c r="H58" i="59"/>
  <c r="T19" i="59"/>
  <c r="U19" i="59" s="1"/>
  <c r="V19" i="59" s="1"/>
  <c r="U12" i="59"/>
  <c r="V12" i="59" s="1"/>
  <c r="C58" i="59"/>
  <c r="U8" i="59"/>
  <c r="V8" i="59" s="1"/>
  <c r="U9" i="59"/>
  <c r="V9" i="59" s="1"/>
  <c r="T17" i="59"/>
  <c r="U17" i="59" s="1"/>
  <c r="V17" i="59" s="1"/>
  <c r="U7" i="59"/>
  <c r="K43" i="58"/>
  <c r="J43" i="58"/>
  <c r="C43" i="58"/>
  <c r="U58" i="59" l="1"/>
  <c r="V7" i="59"/>
  <c r="V58" i="59" s="1"/>
  <c r="T58" i="59"/>
  <c r="C12" i="58"/>
  <c r="K58" i="58"/>
  <c r="C47" i="58"/>
  <c r="C41" i="58"/>
  <c r="C40" i="58"/>
  <c r="C37" i="58"/>
  <c r="H24" i="58"/>
  <c r="H23" i="58"/>
  <c r="T23" i="58" s="1"/>
  <c r="U23" i="58" s="1"/>
  <c r="V23" i="58" s="1"/>
  <c r="H21" i="58"/>
  <c r="H19" i="58"/>
  <c r="T19" i="58"/>
  <c r="U19" i="58" s="1"/>
  <c r="V19" i="58" s="1"/>
  <c r="H17" i="58"/>
  <c r="T17" i="58" s="1"/>
  <c r="U17" i="58" s="1"/>
  <c r="V17" i="58" s="1"/>
  <c r="C9" i="58"/>
  <c r="C8" i="58"/>
  <c r="U8" i="58" s="1"/>
  <c r="V8" i="58" s="1"/>
  <c r="R58" i="58"/>
  <c r="Q58" i="58"/>
  <c r="P58" i="58"/>
  <c r="O58" i="58"/>
  <c r="N58" i="58"/>
  <c r="M58" i="58"/>
  <c r="G58" i="58"/>
  <c r="F58" i="58"/>
  <c r="U54" i="58"/>
  <c r="V54" i="58" s="1"/>
  <c r="T54" i="58"/>
  <c r="T53" i="58"/>
  <c r="U53" i="58" s="1"/>
  <c r="V53" i="58" s="1"/>
  <c r="T52" i="58"/>
  <c r="U52" i="58" s="1"/>
  <c r="V52" i="58" s="1"/>
  <c r="T51" i="58"/>
  <c r="U51" i="58" s="1"/>
  <c r="V51" i="58" s="1"/>
  <c r="T50" i="58"/>
  <c r="U50" i="58" s="1"/>
  <c r="V50" i="58" s="1"/>
  <c r="T49" i="58"/>
  <c r="U49" i="58" s="1"/>
  <c r="V49" i="58" s="1"/>
  <c r="T48" i="58"/>
  <c r="U48" i="58" s="1"/>
  <c r="V48" i="58" s="1"/>
  <c r="T47" i="58"/>
  <c r="U47" i="58" s="1"/>
  <c r="V47" i="58" s="1"/>
  <c r="T46" i="58"/>
  <c r="U46" i="58" s="1"/>
  <c r="V46" i="58" s="1"/>
  <c r="T45" i="58"/>
  <c r="U45" i="58" s="1"/>
  <c r="V45" i="58" s="1"/>
  <c r="T41" i="58"/>
  <c r="U41" i="58" s="1"/>
  <c r="V41" i="58" s="1"/>
  <c r="T40" i="58"/>
  <c r="U40" i="58" s="1"/>
  <c r="V40" i="58" s="1"/>
  <c r="T39" i="58"/>
  <c r="U39" i="58" s="1"/>
  <c r="V39" i="58" s="1"/>
  <c r="T38" i="58"/>
  <c r="U38" i="58" s="1"/>
  <c r="V38" i="58" s="1"/>
  <c r="T37" i="58"/>
  <c r="U37" i="58" s="1"/>
  <c r="V37" i="58" s="1"/>
  <c r="T36" i="58"/>
  <c r="U36" i="58" s="1"/>
  <c r="V36" i="58" s="1"/>
  <c r="T35" i="58"/>
  <c r="U35" i="58" s="1"/>
  <c r="V35" i="58" s="1"/>
  <c r="T34" i="58"/>
  <c r="U34" i="58" s="1"/>
  <c r="V34" i="58" s="1"/>
  <c r="T33" i="58"/>
  <c r="U33" i="58" s="1"/>
  <c r="V33" i="58" s="1"/>
  <c r="T32" i="58"/>
  <c r="U32" i="58" s="1"/>
  <c r="V32" i="58" s="1"/>
  <c r="T31" i="58"/>
  <c r="U31" i="58" s="1"/>
  <c r="V31" i="58" s="1"/>
  <c r="T30" i="58"/>
  <c r="U30" i="58" s="1"/>
  <c r="V30" i="58" s="1"/>
  <c r="T29" i="58"/>
  <c r="U29" i="58" s="1"/>
  <c r="V29" i="58" s="1"/>
  <c r="T28" i="58"/>
  <c r="U28" i="58" s="1"/>
  <c r="V28" i="58" s="1"/>
  <c r="T27" i="58"/>
  <c r="U27" i="58" s="1"/>
  <c r="V27" i="58" s="1"/>
  <c r="T26" i="58"/>
  <c r="U26" i="58" s="1"/>
  <c r="V26" i="58" s="1"/>
  <c r="AY25" i="58"/>
  <c r="T25" i="58"/>
  <c r="U25" i="58" s="1"/>
  <c r="V25" i="58" s="1"/>
  <c r="T24" i="58"/>
  <c r="U24" i="58" s="1"/>
  <c r="V24" i="58" s="1"/>
  <c r="T22" i="58"/>
  <c r="U22" i="58" s="1"/>
  <c r="V22" i="58" s="1"/>
  <c r="A22" i="58"/>
  <c r="A23" i="58" s="1"/>
  <c r="A24" i="58" s="1"/>
  <c r="A25" i="58" s="1"/>
  <c r="A26" i="58" s="1"/>
  <c r="A27" i="58" s="1"/>
  <c r="A28" i="58" s="1"/>
  <c r="A29" i="58" s="1"/>
  <c r="A30" i="58" s="1"/>
  <c r="A31" i="58" s="1"/>
  <c r="A32" i="58" s="1"/>
  <c r="A33" i="58" s="1"/>
  <c r="A34" i="58" s="1"/>
  <c r="A35" i="58" s="1"/>
  <c r="A36" i="58" s="1"/>
  <c r="A37" i="58" s="1"/>
  <c r="A38" i="58" s="1"/>
  <c r="A39" i="58" s="1"/>
  <c r="A40" i="58" s="1"/>
  <c r="A41" i="58" s="1"/>
  <c r="A42" i="58" s="1"/>
  <c r="A43" i="58" s="1"/>
  <c r="A44" i="58" s="1"/>
  <c r="A45" i="58" s="1"/>
  <c r="A46" i="58" s="1"/>
  <c r="A47" i="58" s="1"/>
  <c r="A48" i="58" s="1"/>
  <c r="A49" i="58" s="1"/>
  <c r="A50" i="58" s="1"/>
  <c r="A51" i="58" s="1"/>
  <c r="A52" i="58" s="1"/>
  <c r="A53" i="58" s="1"/>
  <c r="A54" i="58" s="1"/>
  <c r="A55" i="58" s="1"/>
  <c r="A56" i="58" s="1"/>
  <c r="A57" i="58" s="1"/>
  <c r="T21" i="58"/>
  <c r="U21" i="58" s="1"/>
  <c r="V21" i="58" s="1"/>
  <c r="A21" i="58"/>
  <c r="T20" i="58"/>
  <c r="U20" i="58" s="1"/>
  <c r="V20" i="58" s="1"/>
  <c r="A20" i="58"/>
  <c r="T18" i="58"/>
  <c r="U18" i="58" s="1"/>
  <c r="V18" i="58" s="1"/>
  <c r="T16" i="58"/>
  <c r="U16" i="58" s="1"/>
  <c r="V16" i="58" s="1"/>
  <c r="T15" i="58"/>
  <c r="U15" i="58" s="1"/>
  <c r="V15" i="58" s="1"/>
  <c r="T14" i="58"/>
  <c r="U14" i="58" s="1"/>
  <c r="V14" i="58" s="1"/>
  <c r="A14" i="58"/>
  <c r="A15" i="58" s="1"/>
  <c r="A16" i="58" s="1"/>
  <c r="A17" i="58" s="1"/>
  <c r="A18" i="58" s="1"/>
  <c r="T13" i="58"/>
  <c r="U13" i="58" s="1"/>
  <c r="V13" i="58" s="1"/>
  <c r="T12" i="58"/>
  <c r="U12" i="58" s="1"/>
  <c r="V12" i="58" s="1"/>
  <c r="T11" i="58"/>
  <c r="U11" i="58" s="1"/>
  <c r="V11" i="58" s="1"/>
  <c r="T10" i="58"/>
  <c r="U10" i="58" s="1"/>
  <c r="V10" i="58" s="1"/>
  <c r="A10" i="58"/>
  <c r="A11" i="58" s="1"/>
  <c r="T9" i="58"/>
  <c r="A9" i="58"/>
  <c r="T8" i="58"/>
  <c r="A8" i="58"/>
  <c r="T7" i="58"/>
  <c r="T43" i="58" l="1"/>
  <c r="U43" i="58" s="1"/>
  <c r="V43" i="58" s="1"/>
  <c r="J58" i="58"/>
  <c r="I58" i="58"/>
  <c r="H58" i="58"/>
  <c r="U9" i="58"/>
  <c r="V9" i="58" s="1"/>
  <c r="C58" i="58"/>
  <c r="U7" i="58"/>
  <c r="C47" i="56"/>
  <c r="K43" i="56"/>
  <c r="J43" i="56"/>
  <c r="I43" i="56"/>
  <c r="C43" i="56"/>
  <c r="C41" i="56"/>
  <c r="C40" i="56"/>
  <c r="C37" i="56"/>
  <c r="C28" i="56"/>
  <c r="C25" i="56"/>
  <c r="H24" i="56"/>
  <c r="H23" i="56"/>
  <c r="H21" i="56"/>
  <c r="H19" i="56"/>
  <c r="H17" i="56"/>
  <c r="C12" i="56"/>
  <c r="C9" i="56"/>
  <c r="C8" i="56"/>
  <c r="C47" i="55"/>
  <c r="C43" i="55"/>
  <c r="K43" i="55"/>
  <c r="J43" i="55"/>
  <c r="C41" i="55"/>
  <c r="C40" i="55"/>
  <c r="C37" i="55"/>
  <c r="C30" i="55"/>
  <c r="C28" i="55"/>
  <c r="C25" i="55"/>
  <c r="H24" i="55"/>
  <c r="H23" i="55"/>
  <c r="H21" i="55"/>
  <c r="H17" i="55"/>
  <c r="H19" i="55"/>
  <c r="T58" i="58" l="1"/>
  <c r="U58" i="58"/>
  <c r="V7" i="58"/>
  <c r="V58" i="58" s="1"/>
  <c r="J43" i="57"/>
  <c r="C12" i="55"/>
  <c r="C9" i="55"/>
  <c r="C8" i="55" l="1"/>
  <c r="C37" i="57"/>
  <c r="C41" i="57"/>
  <c r="C43" i="57"/>
  <c r="C47" i="57"/>
  <c r="K43" i="57"/>
  <c r="H23" i="57"/>
  <c r="H21" i="57"/>
  <c r="C40" i="57"/>
  <c r="C32" i="57"/>
  <c r="C28" i="57"/>
  <c r="C25" i="57"/>
  <c r="H24" i="57"/>
  <c r="H19" i="57"/>
  <c r="C12" i="57"/>
  <c r="C9" i="57"/>
  <c r="C8" i="57"/>
  <c r="R58" i="57" l="1"/>
  <c r="Q58" i="57"/>
  <c r="P58" i="57"/>
  <c r="O58" i="57"/>
  <c r="N58" i="57"/>
  <c r="M58" i="57"/>
  <c r="K58" i="57"/>
  <c r="J58" i="57"/>
  <c r="I58" i="57"/>
  <c r="H58" i="57"/>
  <c r="G58" i="57"/>
  <c r="F58" i="57"/>
  <c r="C58" i="57"/>
  <c r="T54" i="57"/>
  <c r="U54" i="57" s="1"/>
  <c r="V54" i="57" s="1"/>
  <c r="T53" i="57"/>
  <c r="U53" i="57" s="1"/>
  <c r="V53" i="57" s="1"/>
  <c r="U52" i="57"/>
  <c r="V52" i="57" s="1"/>
  <c r="T52" i="57"/>
  <c r="T51" i="57"/>
  <c r="U51" i="57" s="1"/>
  <c r="V51" i="57" s="1"/>
  <c r="T50" i="57"/>
  <c r="U50" i="57" s="1"/>
  <c r="V50" i="57" s="1"/>
  <c r="T49" i="57"/>
  <c r="U49" i="57" s="1"/>
  <c r="V49" i="57" s="1"/>
  <c r="T48" i="57"/>
  <c r="U48" i="57" s="1"/>
  <c r="V48" i="57" s="1"/>
  <c r="T47" i="57"/>
  <c r="U47" i="57" s="1"/>
  <c r="V47" i="57" s="1"/>
  <c r="T46" i="57"/>
  <c r="U46" i="57" s="1"/>
  <c r="V46" i="57" s="1"/>
  <c r="T45" i="57"/>
  <c r="U45" i="57" s="1"/>
  <c r="V45" i="57" s="1"/>
  <c r="T43" i="57"/>
  <c r="U43" i="57" s="1"/>
  <c r="V43" i="57" s="1"/>
  <c r="T41" i="57"/>
  <c r="U41" i="57" s="1"/>
  <c r="V41" i="57" s="1"/>
  <c r="T40" i="57"/>
  <c r="U40" i="57" s="1"/>
  <c r="V40" i="57" s="1"/>
  <c r="T39" i="57"/>
  <c r="U39" i="57" s="1"/>
  <c r="V39" i="57" s="1"/>
  <c r="T38" i="57"/>
  <c r="U38" i="57" s="1"/>
  <c r="V38" i="57" s="1"/>
  <c r="T37" i="57"/>
  <c r="U37" i="57" s="1"/>
  <c r="V37" i="57" s="1"/>
  <c r="T36" i="57"/>
  <c r="U36" i="57" s="1"/>
  <c r="V36" i="57" s="1"/>
  <c r="T35" i="57"/>
  <c r="U35" i="57" s="1"/>
  <c r="V35" i="57" s="1"/>
  <c r="T34" i="57"/>
  <c r="U34" i="57" s="1"/>
  <c r="V34" i="57" s="1"/>
  <c r="T33" i="57"/>
  <c r="U33" i="57" s="1"/>
  <c r="V33" i="57" s="1"/>
  <c r="T32" i="57"/>
  <c r="U32" i="57" s="1"/>
  <c r="V32" i="57" s="1"/>
  <c r="T31" i="57"/>
  <c r="U31" i="57" s="1"/>
  <c r="V31" i="57" s="1"/>
  <c r="T30" i="57"/>
  <c r="U30" i="57" s="1"/>
  <c r="V30" i="57" s="1"/>
  <c r="T29" i="57"/>
  <c r="U29" i="57" s="1"/>
  <c r="V29" i="57" s="1"/>
  <c r="T28" i="57"/>
  <c r="U28" i="57" s="1"/>
  <c r="V28" i="57" s="1"/>
  <c r="T27" i="57"/>
  <c r="U27" i="57" s="1"/>
  <c r="V27" i="57" s="1"/>
  <c r="T26" i="57"/>
  <c r="U26" i="57" s="1"/>
  <c r="V26" i="57" s="1"/>
  <c r="AY25" i="57"/>
  <c r="T25" i="57"/>
  <c r="U25" i="57" s="1"/>
  <c r="V25" i="57" s="1"/>
  <c r="T24" i="57"/>
  <c r="U24" i="57" s="1"/>
  <c r="V24" i="57" s="1"/>
  <c r="T23" i="57"/>
  <c r="U23" i="57" s="1"/>
  <c r="V23" i="57" s="1"/>
  <c r="T22" i="57"/>
  <c r="U22" i="57" s="1"/>
  <c r="V22" i="57" s="1"/>
  <c r="T21" i="57"/>
  <c r="U21" i="57" s="1"/>
  <c r="V21" i="57" s="1"/>
  <c r="T20" i="57"/>
  <c r="U20" i="57" s="1"/>
  <c r="V20" i="57" s="1"/>
  <c r="A20" i="57"/>
  <c r="A21" i="57" s="1"/>
  <c r="A22" i="57" s="1"/>
  <c r="A23" i="57" s="1"/>
  <c r="A24" i="57" s="1"/>
  <c r="A25" i="57" s="1"/>
  <c r="A26" i="57" s="1"/>
  <c r="A27" i="57" s="1"/>
  <c r="A28" i="57" s="1"/>
  <c r="A29" i="57" s="1"/>
  <c r="A30" i="57" s="1"/>
  <c r="A31" i="57" s="1"/>
  <c r="A32" i="57" s="1"/>
  <c r="A33" i="57" s="1"/>
  <c r="A34" i="57" s="1"/>
  <c r="A35" i="57" s="1"/>
  <c r="A36" i="57" s="1"/>
  <c r="A37" i="57" s="1"/>
  <c r="A38" i="57" s="1"/>
  <c r="A39" i="57" s="1"/>
  <c r="A40" i="57" s="1"/>
  <c r="A41" i="57" s="1"/>
  <c r="A42" i="57" s="1"/>
  <c r="A43" i="57" s="1"/>
  <c r="A44" i="57" s="1"/>
  <c r="A45" i="57" s="1"/>
  <c r="A46" i="57" s="1"/>
  <c r="A47" i="57" s="1"/>
  <c r="A48" i="57" s="1"/>
  <c r="A49" i="57" s="1"/>
  <c r="A50" i="57" s="1"/>
  <c r="A51" i="57" s="1"/>
  <c r="A52" i="57" s="1"/>
  <c r="A53" i="57" s="1"/>
  <c r="A54" i="57" s="1"/>
  <c r="A55" i="57" s="1"/>
  <c r="A56" i="57" s="1"/>
  <c r="A57" i="57" s="1"/>
  <c r="T19" i="57"/>
  <c r="U19" i="57" s="1"/>
  <c r="V19" i="57" s="1"/>
  <c r="T18" i="57"/>
  <c r="U18" i="57" s="1"/>
  <c r="V18" i="57" s="1"/>
  <c r="T17" i="57"/>
  <c r="U17" i="57" s="1"/>
  <c r="V17" i="57" s="1"/>
  <c r="T16" i="57"/>
  <c r="U16" i="57" s="1"/>
  <c r="V16" i="57" s="1"/>
  <c r="T15" i="57"/>
  <c r="U15" i="57" s="1"/>
  <c r="V15" i="57" s="1"/>
  <c r="T14" i="57"/>
  <c r="U14" i="57" s="1"/>
  <c r="V14" i="57" s="1"/>
  <c r="A14" i="57"/>
  <c r="A15" i="57" s="1"/>
  <c r="A16" i="57" s="1"/>
  <c r="A17" i="57" s="1"/>
  <c r="A18" i="57" s="1"/>
  <c r="T13" i="57"/>
  <c r="U13" i="57" s="1"/>
  <c r="V13" i="57" s="1"/>
  <c r="U12" i="57"/>
  <c r="V12" i="57" s="1"/>
  <c r="T12" i="57"/>
  <c r="T11" i="57"/>
  <c r="U11" i="57" s="1"/>
  <c r="V11" i="57" s="1"/>
  <c r="U10" i="57"/>
  <c r="V10" i="57" s="1"/>
  <c r="T10" i="57"/>
  <c r="T9" i="57"/>
  <c r="U9" i="57" s="1"/>
  <c r="V9" i="57" s="1"/>
  <c r="T8" i="57"/>
  <c r="U8" i="57" s="1"/>
  <c r="V8" i="57" s="1"/>
  <c r="A8" i="57"/>
  <c r="A9" i="57" s="1"/>
  <c r="A10" i="57" s="1"/>
  <c r="A11" i="57" s="1"/>
  <c r="T7" i="57"/>
  <c r="R58" i="56"/>
  <c r="Q58" i="56"/>
  <c r="P58" i="56"/>
  <c r="O58" i="56"/>
  <c r="N58" i="56"/>
  <c r="M58" i="56"/>
  <c r="K58" i="56"/>
  <c r="J58" i="56"/>
  <c r="I58" i="56"/>
  <c r="H58" i="56"/>
  <c r="G58" i="56"/>
  <c r="F58" i="56"/>
  <c r="C58" i="56"/>
  <c r="T54" i="56"/>
  <c r="U54" i="56" s="1"/>
  <c r="V54" i="56" s="1"/>
  <c r="T53" i="56"/>
  <c r="U53" i="56" s="1"/>
  <c r="V53" i="56" s="1"/>
  <c r="U52" i="56"/>
  <c r="V52" i="56" s="1"/>
  <c r="T52" i="56"/>
  <c r="T51" i="56"/>
  <c r="U51" i="56" s="1"/>
  <c r="V51" i="56" s="1"/>
  <c r="T50" i="56"/>
  <c r="U50" i="56" s="1"/>
  <c r="V50" i="56" s="1"/>
  <c r="T49" i="56"/>
  <c r="U49" i="56" s="1"/>
  <c r="V49" i="56" s="1"/>
  <c r="T48" i="56"/>
  <c r="U48" i="56" s="1"/>
  <c r="V48" i="56" s="1"/>
  <c r="T47" i="56"/>
  <c r="U47" i="56" s="1"/>
  <c r="V47" i="56" s="1"/>
  <c r="T46" i="56"/>
  <c r="U46" i="56" s="1"/>
  <c r="V46" i="56" s="1"/>
  <c r="T45" i="56"/>
  <c r="U45" i="56" s="1"/>
  <c r="V45" i="56" s="1"/>
  <c r="T43" i="56"/>
  <c r="U43" i="56" s="1"/>
  <c r="V43" i="56" s="1"/>
  <c r="T41" i="56"/>
  <c r="U41" i="56" s="1"/>
  <c r="V41" i="56" s="1"/>
  <c r="T40" i="56"/>
  <c r="U40" i="56" s="1"/>
  <c r="V40" i="56" s="1"/>
  <c r="T39" i="56"/>
  <c r="U39" i="56" s="1"/>
  <c r="V39" i="56" s="1"/>
  <c r="T38" i="56"/>
  <c r="U38" i="56" s="1"/>
  <c r="V38" i="56" s="1"/>
  <c r="T37" i="56"/>
  <c r="U37" i="56" s="1"/>
  <c r="V37" i="56" s="1"/>
  <c r="T36" i="56"/>
  <c r="U36" i="56" s="1"/>
  <c r="V36" i="56" s="1"/>
  <c r="T35" i="56"/>
  <c r="U35" i="56" s="1"/>
  <c r="V35" i="56" s="1"/>
  <c r="T34" i="56"/>
  <c r="U34" i="56" s="1"/>
  <c r="V34" i="56" s="1"/>
  <c r="T33" i="56"/>
  <c r="U33" i="56" s="1"/>
  <c r="V33" i="56" s="1"/>
  <c r="T32" i="56"/>
  <c r="U32" i="56" s="1"/>
  <c r="V32" i="56" s="1"/>
  <c r="T31" i="56"/>
  <c r="U31" i="56" s="1"/>
  <c r="V31" i="56" s="1"/>
  <c r="T30" i="56"/>
  <c r="U30" i="56" s="1"/>
  <c r="V30" i="56" s="1"/>
  <c r="T29" i="56"/>
  <c r="U29" i="56" s="1"/>
  <c r="V29" i="56" s="1"/>
  <c r="T28" i="56"/>
  <c r="U28" i="56" s="1"/>
  <c r="V28" i="56" s="1"/>
  <c r="T27" i="56"/>
  <c r="U27" i="56" s="1"/>
  <c r="V27" i="56" s="1"/>
  <c r="T26" i="56"/>
  <c r="U26" i="56" s="1"/>
  <c r="V26" i="56" s="1"/>
  <c r="AY25" i="56"/>
  <c r="T25" i="56"/>
  <c r="U25" i="56" s="1"/>
  <c r="V25" i="56" s="1"/>
  <c r="T24" i="56"/>
  <c r="U24" i="56" s="1"/>
  <c r="V24" i="56" s="1"/>
  <c r="T23" i="56"/>
  <c r="U23" i="56" s="1"/>
  <c r="V23" i="56" s="1"/>
  <c r="T22" i="56"/>
  <c r="U22" i="56" s="1"/>
  <c r="V22" i="56" s="1"/>
  <c r="T21" i="56"/>
  <c r="U21" i="56" s="1"/>
  <c r="V21" i="56" s="1"/>
  <c r="A21" i="56"/>
  <c r="A22" i="56" s="1"/>
  <c r="A23" i="56" s="1"/>
  <c r="A24" i="56" s="1"/>
  <c r="A25" i="56" s="1"/>
  <c r="A26" i="56" s="1"/>
  <c r="A27" i="56" s="1"/>
  <c r="A28" i="56" s="1"/>
  <c r="A29" i="56" s="1"/>
  <c r="A30" i="56" s="1"/>
  <c r="A31" i="56" s="1"/>
  <c r="A32" i="56" s="1"/>
  <c r="A33" i="56" s="1"/>
  <c r="A34" i="56" s="1"/>
  <c r="A35" i="56" s="1"/>
  <c r="A36" i="56" s="1"/>
  <c r="A37" i="56" s="1"/>
  <c r="A38" i="56" s="1"/>
  <c r="A39" i="56" s="1"/>
  <c r="A40" i="56" s="1"/>
  <c r="A41" i="56" s="1"/>
  <c r="A42" i="56" s="1"/>
  <c r="A43" i="56" s="1"/>
  <c r="A44" i="56" s="1"/>
  <c r="A45" i="56" s="1"/>
  <c r="A46" i="56" s="1"/>
  <c r="A47" i="56" s="1"/>
  <c r="A48" i="56" s="1"/>
  <c r="A49" i="56" s="1"/>
  <c r="A50" i="56" s="1"/>
  <c r="A51" i="56" s="1"/>
  <c r="A52" i="56" s="1"/>
  <c r="A53" i="56" s="1"/>
  <c r="A54" i="56" s="1"/>
  <c r="A55" i="56" s="1"/>
  <c r="A56" i="56" s="1"/>
  <c r="A57" i="56" s="1"/>
  <c r="T20" i="56"/>
  <c r="U20" i="56" s="1"/>
  <c r="V20" i="56" s="1"/>
  <c r="A20" i="56"/>
  <c r="T19" i="56"/>
  <c r="U19" i="56" s="1"/>
  <c r="V19" i="56" s="1"/>
  <c r="T18" i="56"/>
  <c r="U18" i="56" s="1"/>
  <c r="V18" i="56" s="1"/>
  <c r="T17" i="56"/>
  <c r="U17" i="56" s="1"/>
  <c r="V17" i="56" s="1"/>
  <c r="T16" i="56"/>
  <c r="U16" i="56" s="1"/>
  <c r="V16" i="56" s="1"/>
  <c r="T15" i="56"/>
  <c r="U15" i="56" s="1"/>
  <c r="V15" i="56" s="1"/>
  <c r="A15" i="56"/>
  <c r="A16" i="56" s="1"/>
  <c r="A17" i="56" s="1"/>
  <c r="A18" i="56" s="1"/>
  <c r="T14" i="56"/>
  <c r="U14" i="56" s="1"/>
  <c r="V14" i="56" s="1"/>
  <c r="A14" i="56"/>
  <c r="T13" i="56"/>
  <c r="U13" i="56" s="1"/>
  <c r="V13" i="56" s="1"/>
  <c r="T12" i="56"/>
  <c r="U12" i="56" s="1"/>
  <c r="V12" i="56" s="1"/>
  <c r="T11" i="56"/>
  <c r="U11" i="56" s="1"/>
  <c r="V11" i="56" s="1"/>
  <c r="U10" i="56"/>
  <c r="V10" i="56" s="1"/>
  <c r="T10" i="56"/>
  <c r="T9" i="56"/>
  <c r="U9" i="56" s="1"/>
  <c r="V9" i="56" s="1"/>
  <c r="A9" i="56"/>
  <c r="A10" i="56" s="1"/>
  <c r="A11" i="56" s="1"/>
  <c r="T8" i="56"/>
  <c r="U8" i="56" s="1"/>
  <c r="V8" i="56" s="1"/>
  <c r="A8" i="56"/>
  <c r="T7" i="56"/>
  <c r="U7" i="56" s="1"/>
  <c r="T58" i="57" l="1"/>
  <c r="U7" i="57"/>
  <c r="V7" i="56"/>
  <c r="V58" i="56" s="1"/>
  <c r="U58" i="56"/>
  <c r="T58" i="56"/>
  <c r="R58" i="55"/>
  <c r="Q58" i="55"/>
  <c r="P58" i="55"/>
  <c r="O58" i="55"/>
  <c r="N58" i="55"/>
  <c r="M58" i="55"/>
  <c r="K58" i="55"/>
  <c r="J58" i="55"/>
  <c r="I58" i="55"/>
  <c r="H58" i="55"/>
  <c r="G58" i="55"/>
  <c r="F58" i="55"/>
  <c r="C58" i="55"/>
  <c r="T54" i="55"/>
  <c r="U54" i="55" s="1"/>
  <c r="V54" i="55" s="1"/>
  <c r="T53" i="55"/>
  <c r="U53" i="55" s="1"/>
  <c r="V53" i="55" s="1"/>
  <c r="T52" i="55"/>
  <c r="U52" i="55" s="1"/>
  <c r="V52" i="55" s="1"/>
  <c r="T51" i="55"/>
  <c r="U51" i="55" s="1"/>
  <c r="V51" i="55" s="1"/>
  <c r="T50" i="55"/>
  <c r="U50" i="55" s="1"/>
  <c r="V50" i="55" s="1"/>
  <c r="T49" i="55"/>
  <c r="U49" i="55" s="1"/>
  <c r="V49" i="55" s="1"/>
  <c r="T48" i="55"/>
  <c r="U48" i="55" s="1"/>
  <c r="V48" i="55" s="1"/>
  <c r="T47" i="55"/>
  <c r="U47" i="55" s="1"/>
  <c r="V47" i="55" s="1"/>
  <c r="T46" i="55"/>
  <c r="U46" i="55" s="1"/>
  <c r="V46" i="55" s="1"/>
  <c r="U45" i="55"/>
  <c r="V45" i="55" s="1"/>
  <c r="T45" i="55"/>
  <c r="T43" i="55"/>
  <c r="U43" i="55" s="1"/>
  <c r="V43" i="55" s="1"/>
  <c r="T41" i="55"/>
  <c r="U41" i="55" s="1"/>
  <c r="V41" i="55" s="1"/>
  <c r="T40" i="55"/>
  <c r="U40" i="55" s="1"/>
  <c r="V40" i="55" s="1"/>
  <c r="T39" i="55"/>
  <c r="U39" i="55" s="1"/>
  <c r="V39" i="55" s="1"/>
  <c r="T38" i="55"/>
  <c r="U38" i="55" s="1"/>
  <c r="V38" i="55" s="1"/>
  <c r="T37" i="55"/>
  <c r="U37" i="55" s="1"/>
  <c r="V37" i="55" s="1"/>
  <c r="U36" i="55"/>
  <c r="V36" i="55" s="1"/>
  <c r="T36" i="55"/>
  <c r="T35" i="55"/>
  <c r="U35" i="55" s="1"/>
  <c r="V35" i="55" s="1"/>
  <c r="T34" i="55"/>
  <c r="U34" i="55" s="1"/>
  <c r="V34" i="55" s="1"/>
  <c r="T33" i="55"/>
  <c r="U33" i="55" s="1"/>
  <c r="V33" i="55" s="1"/>
  <c r="U32" i="55"/>
  <c r="V32" i="55" s="1"/>
  <c r="T32" i="55"/>
  <c r="T31" i="55"/>
  <c r="U31" i="55" s="1"/>
  <c r="V31" i="55" s="1"/>
  <c r="T30" i="55"/>
  <c r="U30" i="55" s="1"/>
  <c r="V30" i="55" s="1"/>
  <c r="T29" i="55"/>
  <c r="U29" i="55" s="1"/>
  <c r="V29" i="55" s="1"/>
  <c r="U28" i="55"/>
  <c r="V28" i="55" s="1"/>
  <c r="T28" i="55"/>
  <c r="T27" i="55"/>
  <c r="U27" i="55" s="1"/>
  <c r="V27" i="55" s="1"/>
  <c r="T26" i="55"/>
  <c r="U26" i="55" s="1"/>
  <c r="V26" i="55" s="1"/>
  <c r="AY25" i="55"/>
  <c r="T25" i="55"/>
  <c r="U25" i="55" s="1"/>
  <c r="V25" i="55" s="1"/>
  <c r="T24" i="55"/>
  <c r="U24" i="55" s="1"/>
  <c r="V24" i="55" s="1"/>
  <c r="T23" i="55"/>
  <c r="U23" i="55" s="1"/>
  <c r="V23" i="55" s="1"/>
  <c r="T22" i="55"/>
  <c r="U22" i="55" s="1"/>
  <c r="V22" i="55" s="1"/>
  <c r="T21" i="55"/>
  <c r="U21" i="55" s="1"/>
  <c r="V21" i="55" s="1"/>
  <c r="A21" i="55"/>
  <c r="A22" i="55" s="1"/>
  <c r="A23" i="55" s="1"/>
  <c r="A24" i="55" s="1"/>
  <c r="A25" i="55" s="1"/>
  <c r="A26" i="55" s="1"/>
  <c r="A27" i="55" s="1"/>
  <c r="A28" i="55" s="1"/>
  <c r="A29" i="55" s="1"/>
  <c r="A30" i="55" s="1"/>
  <c r="A31" i="55" s="1"/>
  <c r="A32" i="55" s="1"/>
  <c r="A33" i="55" s="1"/>
  <c r="A34" i="55" s="1"/>
  <c r="A35" i="55" s="1"/>
  <c r="A36" i="55" s="1"/>
  <c r="A37" i="55" s="1"/>
  <c r="A38" i="55" s="1"/>
  <c r="A39" i="55" s="1"/>
  <c r="A40" i="55" s="1"/>
  <c r="A41" i="55" s="1"/>
  <c r="A42" i="55" s="1"/>
  <c r="A43" i="55" s="1"/>
  <c r="A44" i="55" s="1"/>
  <c r="A45" i="55" s="1"/>
  <c r="A46" i="55" s="1"/>
  <c r="A47" i="55" s="1"/>
  <c r="A48" i="55" s="1"/>
  <c r="A49" i="55" s="1"/>
  <c r="A50" i="55" s="1"/>
  <c r="A51" i="55" s="1"/>
  <c r="A52" i="55" s="1"/>
  <c r="A53" i="55" s="1"/>
  <c r="A54" i="55" s="1"/>
  <c r="A55" i="55" s="1"/>
  <c r="A56" i="55" s="1"/>
  <c r="A57" i="55" s="1"/>
  <c r="T20" i="55"/>
  <c r="U20" i="55" s="1"/>
  <c r="V20" i="55" s="1"/>
  <c r="A20" i="55"/>
  <c r="T19" i="55"/>
  <c r="U19" i="55" s="1"/>
  <c r="V19" i="55" s="1"/>
  <c r="T18" i="55"/>
  <c r="U18" i="55" s="1"/>
  <c r="V18" i="55" s="1"/>
  <c r="T17" i="55"/>
  <c r="U17" i="55" s="1"/>
  <c r="V17" i="55" s="1"/>
  <c r="V16" i="55"/>
  <c r="U16" i="55"/>
  <c r="T16" i="55"/>
  <c r="T15" i="55"/>
  <c r="U15" i="55" s="1"/>
  <c r="V15" i="55" s="1"/>
  <c r="T14" i="55"/>
  <c r="U14" i="55" s="1"/>
  <c r="V14" i="55" s="1"/>
  <c r="A14" i="55"/>
  <c r="A15" i="55" s="1"/>
  <c r="A16" i="55" s="1"/>
  <c r="A17" i="55" s="1"/>
  <c r="A18" i="55" s="1"/>
  <c r="T13" i="55"/>
  <c r="U13" i="55" s="1"/>
  <c r="V13" i="55" s="1"/>
  <c r="T12" i="55"/>
  <c r="U12" i="55" s="1"/>
  <c r="V12" i="55" s="1"/>
  <c r="T11" i="55"/>
  <c r="U11" i="55" s="1"/>
  <c r="V11" i="55" s="1"/>
  <c r="T10" i="55"/>
  <c r="U10" i="55" s="1"/>
  <c r="V10" i="55" s="1"/>
  <c r="T9" i="55"/>
  <c r="U9" i="55" s="1"/>
  <c r="V9" i="55" s="1"/>
  <c r="T8" i="55"/>
  <c r="U8" i="55" s="1"/>
  <c r="V8" i="55" s="1"/>
  <c r="A8" i="55"/>
  <c r="A9" i="55" s="1"/>
  <c r="A10" i="55" s="1"/>
  <c r="A11" i="55" s="1"/>
  <c r="T7" i="55"/>
  <c r="U7" i="55" s="1"/>
  <c r="V7" i="57" l="1"/>
  <c r="V58" i="57" s="1"/>
  <c r="U58" i="57"/>
  <c r="V7" i="55"/>
  <c r="V58" i="55" s="1"/>
  <c r="U58" i="55"/>
  <c r="T58" i="55"/>
  <c r="R58" i="32" l="1"/>
  <c r="Q58" i="32"/>
  <c r="P58" i="32"/>
  <c r="O58" i="32"/>
  <c r="N58" i="32"/>
  <c r="M58" i="32"/>
  <c r="K58" i="32"/>
  <c r="J58" i="32"/>
  <c r="I58" i="32"/>
  <c r="H58" i="32"/>
  <c r="G58" i="32"/>
  <c r="F58" i="32"/>
  <c r="C58" i="32"/>
  <c r="T54" i="32"/>
  <c r="U54" i="32" s="1"/>
  <c r="V54" i="32" s="1"/>
  <c r="T53" i="32"/>
  <c r="U53" i="32" s="1"/>
  <c r="V53" i="32" s="1"/>
  <c r="T52" i="32"/>
  <c r="U52" i="32" s="1"/>
  <c r="V52" i="32" s="1"/>
  <c r="T51" i="32"/>
  <c r="U51" i="32" s="1"/>
  <c r="V51" i="32" s="1"/>
  <c r="T50" i="32"/>
  <c r="U50" i="32" s="1"/>
  <c r="V50" i="32" s="1"/>
  <c r="T49" i="32"/>
  <c r="U49" i="32" s="1"/>
  <c r="V49" i="32" s="1"/>
  <c r="T48" i="32"/>
  <c r="U48" i="32" s="1"/>
  <c r="V48" i="32" s="1"/>
  <c r="T47" i="32"/>
  <c r="U47" i="32" s="1"/>
  <c r="V47" i="32" s="1"/>
  <c r="T46" i="32"/>
  <c r="U46" i="32" s="1"/>
  <c r="V46" i="32" s="1"/>
  <c r="T45" i="32"/>
  <c r="U45" i="32" s="1"/>
  <c r="V45" i="32" s="1"/>
  <c r="T43" i="32"/>
  <c r="U43" i="32" s="1"/>
  <c r="V43" i="32" s="1"/>
  <c r="T41" i="32"/>
  <c r="U41" i="32" s="1"/>
  <c r="V41" i="32" s="1"/>
  <c r="T40" i="32"/>
  <c r="U40" i="32"/>
  <c r="V40" i="32" s="1"/>
  <c r="T38" i="32"/>
  <c r="U38" i="32"/>
  <c r="V38" i="32" s="1"/>
  <c r="T37" i="32"/>
  <c r="U37" i="32" s="1"/>
  <c r="V37" i="32" s="1"/>
  <c r="T36" i="32"/>
  <c r="U36" i="32" s="1"/>
  <c r="V36" i="32" s="1"/>
  <c r="T35" i="32"/>
  <c r="U35" i="32" s="1"/>
  <c r="V35" i="32" s="1"/>
  <c r="T34" i="32"/>
  <c r="U34" i="32" s="1"/>
  <c r="V34" i="32" s="1"/>
  <c r="T33" i="32"/>
  <c r="U33" i="32" s="1"/>
  <c r="V33" i="32" s="1"/>
  <c r="T32" i="32"/>
  <c r="U32" i="32" s="1"/>
  <c r="V32" i="32" s="1"/>
  <c r="T31" i="32"/>
  <c r="U31" i="32" s="1"/>
  <c r="V31" i="32" s="1"/>
  <c r="T30" i="32"/>
  <c r="U30" i="32" s="1"/>
  <c r="V30" i="32" s="1"/>
  <c r="T29" i="32"/>
  <c r="U29" i="32" s="1"/>
  <c r="V29" i="32" s="1"/>
  <c r="T28" i="32"/>
  <c r="U28" i="32" s="1"/>
  <c r="V28" i="32" s="1"/>
  <c r="T26" i="32"/>
  <c r="U26" i="32" s="1"/>
  <c r="V26" i="32" s="1"/>
  <c r="AY25" i="32"/>
  <c r="T25" i="32"/>
  <c r="U25" i="32" s="1"/>
  <c r="V25" i="32" s="1"/>
  <c r="T24" i="32"/>
  <c r="U24" i="32" s="1"/>
  <c r="V24" i="32" s="1"/>
  <c r="T23" i="32"/>
  <c r="U23" i="32" s="1"/>
  <c r="V23" i="32" s="1"/>
  <c r="T22" i="32"/>
  <c r="U22" i="32" s="1"/>
  <c r="V22" i="32" s="1"/>
  <c r="T21" i="32"/>
  <c r="U21" i="32" s="1"/>
  <c r="V21" i="32" s="1"/>
  <c r="T20" i="32"/>
  <c r="U20" i="32" s="1"/>
  <c r="V20" i="32" s="1"/>
  <c r="A20" i="32"/>
  <c r="A21" i="32" s="1"/>
  <c r="A22" i="32" s="1"/>
  <c r="A23" i="32" s="1"/>
  <c r="A24" i="32" s="1"/>
  <c r="A25" i="32" s="1"/>
  <c r="A26" i="32" s="1"/>
  <c r="A27" i="32" s="1"/>
  <c r="A28" i="32" s="1"/>
  <c r="A29" i="32" s="1"/>
  <c r="A30" i="32" s="1"/>
  <c r="A31" i="32" s="1"/>
  <c r="A32" i="32" s="1"/>
  <c r="A33" i="32" s="1"/>
  <c r="A34" i="32" s="1"/>
  <c r="A35" i="32" s="1"/>
  <c r="A36" i="32" s="1"/>
  <c r="A37" i="32" s="1"/>
  <c r="A38" i="32" s="1"/>
  <c r="A39" i="32" s="1"/>
  <c r="A40" i="32" s="1"/>
  <c r="A41" i="32" s="1"/>
  <c r="A42" i="32" s="1"/>
  <c r="A43" i="32" s="1"/>
  <c r="A44" i="32" s="1"/>
  <c r="A45" i="32" s="1"/>
  <c r="A46" i="32" s="1"/>
  <c r="A47" i="32" s="1"/>
  <c r="A48" i="32" s="1"/>
  <c r="A49" i="32" s="1"/>
  <c r="A50" i="32" s="1"/>
  <c r="A51" i="32" s="1"/>
  <c r="A52" i="32" s="1"/>
  <c r="A53" i="32" s="1"/>
  <c r="A54" i="32" s="1"/>
  <c r="A55" i="32" s="1"/>
  <c r="A56" i="32" s="1"/>
  <c r="A57" i="32" s="1"/>
  <c r="T19" i="32"/>
  <c r="U19" i="32" s="1"/>
  <c r="V19" i="32" s="1"/>
  <c r="T18" i="32"/>
  <c r="U18" i="32" s="1"/>
  <c r="V18" i="32" s="1"/>
  <c r="T17" i="32"/>
  <c r="U17" i="32" s="1"/>
  <c r="V17" i="32" s="1"/>
  <c r="T16" i="32"/>
  <c r="U16" i="32" s="1"/>
  <c r="V16" i="32" s="1"/>
  <c r="T15" i="32"/>
  <c r="U15" i="32" s="1"/>
  <c r="V15" i="32" s="1"/>
  <c r="T14" i="32"/>
  <c r="U14" i="32" s="1"/>
  <c r="V14" i="32" s="1"/>
  <c r="A14" i="32"/>
  <c r="A15" i="32" s="1"/>
  <c r="A16" i="32" s="1"/>
  <c r="A17" i="32" s="1"/>
  <c r="A18" i="32" s="1"/>
  <c r="T13" i="32"/>
  <c r="U13" i="32" s="1"/>
  <c r="V13" i="32" s="1"/>
  <c r="T12" i="32"/>
  <c r="U12" i="32" s="1"/>
  <c r="V12" i="32" s="1"/>
  <c r="T11" i="32"/>
  <c r="U11" i="32" s="1"/>
  <c r="V11" i="32" s="1"/>
  <c r="T10" i="32"/>
  <c r="U10" i="32" s="1"/>
  <c r="V10" i="32" s="1"/>
  <c r="T9" i="32"/>
  <c r="U9" i="32" s="1"/>
  <c r="V9" i="32" s="1"/>
  <c r="A9" i="32"/>
  <c r="A10" i="32" s="1"/>
  <c r="A11" i="32" s="1"/>
  <c r="T8" i="32"/>
  <c r="U8" i="32"/>
  <c r="V8" i="32" s="1"/>
  <c r="A8" i="32"/>
  <c r="T7" i="32"/>
  <c r="T58" i="32" l="1"/>
  <c r="U7" i="32"/>
  <c r="U58" i="32" l="1"/>
  <c r="V7" i="32"/>
  <c r="V58" i="32" s="1"/>
</calcChain>
</file>

<file path=xl/sharedStrings.xml><?xml version="1.0" encoding="utf-8"?>
<sst xmlns="http://schemas.openxmlformats.org/spreadsheetml/2006/main" count="1092" uniqueCount="74">
  <si>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</si>
  <si>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</si>
  <si>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</si>
  <si>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</si>
  <si>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</si>
  <si>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</si>
  <si>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</si>
  <si>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</si>
  <si>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</si>
  <si>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</si>
  <si>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</si>
  <si>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</si>
  <si>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</si>
  <si>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</si>
  <si>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</si>
  <si>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</si>
  <si>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</si>
  <si>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</si>
  <si>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</si>
  <si>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</si>
  <si>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</si>
  <si>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</si>
  <si>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</si>
  <si>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</si>
  <si>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</si>
  <si>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</si>
  <si>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</si>
  <si>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</si>
  <si>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</si>
  <si>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</si>
  <si>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</si>
  <si>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</si>
  <si>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</si>
  <si>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</si>
  <si>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</si>
  <si>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</si>
  <si>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</si>
  <si>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</si>
  <si>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RH5</t>
  </si>
  <si>
    <t>ROUTE 2</t>
  </si>
  <si>
    <t>ROUTE 3</t>
  </si>
  <si>
    <t>FLOOR STOCKS</t>
  </si>
  <si>
    <t>INVENTORY COUNT SHEET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</si>
  <si>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</si>
  <si>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</si>
  <si>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</si>
  <si>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</si>
  <si>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</si>
  <si>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</si>
  <si>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</si>
  <si>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</si>
  <si>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</si>
  <si>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</si>
  <si>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</si>
  <si>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</si>
  <si>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</si>
  <si>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</si>
  <si>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</si>
  <si>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</si>
  <si>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</si>
  <si>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</si>
  <si>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bot</t>
  </si>
  <si>
    <t>PP500C</t>
  </si>
  <si>
    <t>MGYZ</t>
  </si>
  <si>
    <t>WB</t>
  </si>
  <si>
    <t>WB BO LIL</t>
  </si>
  <si>
    <t>TOTAL INVENTORY PER CASE</t>
  </si>
  <si>
    <t>TOTAL INVENTORY BOTTLE PER CASE</t>
  </si>
  <si>
    <t>WAREHOUSE,  MISSING, BO, LILOY</t>
  </si>
  <si>
    <t>SML500C</t>
  </si>
  <si>
    <t xml:space="preserve">DATE: </t>
  </si>
  <si>
    <t>DATE: 06/01/2026</t>
  </si>
  <si>
    <t>DATE: 06/02/2026</t>
  </si>
  <si>
    <t>DATE: 06/03/2026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</si>
</sst>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16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indexed="8"/>
      <name val="Calibri"/>
      <family val="2"/>
    </font>
    <font>
      <b/>
      <sz val="8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164" fontId="3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</cellStyleXfs>
  <cellXfs count="126">
    <xf numFmtId="0" fontId="0" fillId="0" borderId="0" xfId="0"/>
    <xf numFmtId="166" fontId="2" fillId="0" borderId="6" xfId="3" applyNumberFormat="1" applyFont="1" applyFill="1" applyBorder="1" applyAlignment="1">
      <alignment vertical="center"/>
    </xf>
    <xf numFmtId="166" fontId="7" fillId="0" borderId="20" xfId="2" applyNumberFormat="1" applyFont="1" applyFill="1" applyBorder="1" applyAlignment="1">
      <alignment vertical="center"/>
    </xf>
    <xf numFmtId="166" fontId="2" fillId="0" borderId="23" xfId="3" applyNumberFormat="1" applyFont="1" applyFill="1" applyBorder="1" applyAlignment="1">
      <alignment vertical="center"/>
    </xf>
    <xf numFmtId="166" fontId="7" fillId="0" borderId="24" xfId="2" applyNumberFormat="1" applyFont="1" applyFill="1" applyBorder="1" applyAlignment="1">
      <alignment vertical="center"/>
    </xf>
    <xf numFmtId="166" fontId="7" fillId="0" borderId="19" xfId="2" applyNumberFormat="1" applyFont="1" applyFill="1" applyBorder="1" applyAlignment="1">
      <alignment vertical="center"/>
    </xf>
    <xf numFmtId="166" fontId="7" fillId="0" borderId="21" xfId="2" applyNumberFormat="1" applyFont="1" applyFill="1" applyBorder="1" applyAlignment="1">
      <alignment vertical="center"/>
    </xf>
    <xf numFmtId="166" fontId="2" fillId="0" borderId="25" xfId="3" applyNumberFormat="1" applyFont="1" applyFill="1" applyBorder="1" applyAlignment="1">
      <alignment vertical="center"/>
    </xf>
    <xf numFmtId="166" fontId="2" fillId="0" borderId="7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7" fillId="0" borderId="0" xfId="2" applyFont="1" applyFill="1" applyAlignment="1">
      <alignment horizontal="center" vertical="center"/>
    </xf>
    <xf numFmtId="165" fontId="7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8" fillId="0" borderId="0" xfId="2" applyNumberFormat="1" applyFont="1" applyFill="1" applyAlignment="1">
      <alignment vertical="center"/>
    </xf>
    <xf numFmtId="0" fontId="7" fillId="0" borderId="0" xfId="2" applyFont="1" applyFill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2" xfId="3" applyNumberFormat="1" applyFont="1" applyFill="1" applyBorder="1" applyAlignment="1">
      <alignment vertical="center"/>
    </xf>
    <xf numFmtId="166" fontId="2" fillId="0" borderId="11" xfId="3" applyNumberFormat="1" applyFont="1" applyFill="1" applyBorder="1" applyAlignment="1">
      <alignment vertical="center"/>
    </xf>
    <xf numFmtId="166" fontId="2" fillId="0" borderId="13" xfId="3" applyNumberFormat="1" applyFont="1" applyFill="1" applyBorder="1" applyAlignment="1">
      <alignment vertical="center"/>
    </xf>
    <xf numFmtId="166" fontId="2" fillId="0" borderId="14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0" fontId="6" fillId="0" borderId="3" xfId="2" applyFont="1" applyFill="1" applyBorder="1" applyAlignment="1">
      <alignment horizontal="center" vertical="center"/>
    </xf>
    <xf numFmtId="0" fontId="11" fillId="0" borderId="16" xfId="2" applyFont="1" applyFill="1" applyBorder="1" applyAlignment="1">
      <alignment vertical="center"/>
    </xf>
    <xf numFmtId="0" fontId="11" fillId="0" borderId="5" xfId="2" applyFont="1" applyFill="1" applyBorder="1" applyAlignment="1">
      <alignment vertical="center"/>
    </xf>
    <xf numFmtId="0" fontId="11" fillId="0" borderId="0" xfId="2" applyFont="1" applyFill="1" applyAlignment="1">
      <alignment vertical="center"/>
    </xf>
    <xf numFmtId="0" fontId="12" fillId="0" borderId="0" xfId="2" applyFont="1" applyFill="1" applyAlignment="1">
      <alignment vertical="center"/>
    </xf>
    <xf numFmtId="0" fontId="11" fillId="0" borderId="19" xfId="2" applyFont="1" applyFill="1" applyBorder="1" applyAlignment="1">
      <alignment vertical="center" wrapText="1"/>
    </xf>
    <xf numFmtId="0" fontId="11" fillId="0" borderId="1" xfId="2" applyFont="1" applyFill="1" applyBorder="1" applyAlignment="1">
      <alignment vertical="center"/>
    </xf>
    <xf numFmtId="0" fontId="11" fillId="0" borderId="12" xfId="2" applyFont="1" applyFill="1" applyBorder="1" applyAlignment="1">
      <alignment vertical="center"/>
    </xf>
    <xf numFmtId="0" fontId="12" fillId="0" borderId="5" xfId="2" applyFont="1" applyFill="1" applyBorder="1" applyAlignment="1">
      <alignment vertical="center"/>
    </xf>
    <xf numFmtId="0" fontId="12" fillId="0" borderId="19" xfId="2" applyFont="1" applyFill="1" applyBorder="1" applyAlignment="1">
      <alignment vertical="center"/>
    </xf>
    <xf numFmtId="0" fontId="7" fillId="0" borderId="26" xfId="2" applyFont="1" applyFill="1" applyBorder="1" applyAlignment="1">
      <alignment horizontal="center" vertical="center"/>
    </xf>
    <xf numFmtId="0" fontId="7" fillId="0" borderId="27" xfId="2" applyFont="1" applyFill="1" applyBorder="1" applyAlignment="1">
      <alignment horizontal="center" vertical="center"/>
    </xf>
    <xf numFmtId="0" fontId="7" fillId="0" borderId="28" xfId="2" applyFont="1" applyFill="1" applyBorder="1" applyAlignment="1">
      <alignment horizontal="center" vertical="center"/>
    </xf>
    <xf numFmtId="0" fontId="7" fillId="0" borderId="5" xfId="2" applyFont="1" applyFill="1" applyBorder="1" applyAlignment="1">
      <alignment horizontal="center" vertical="center"/>
    </xf>
    <xf numFmtId="0" fontId="7" fillId="0" borderId="15" xfId="2" applyFont="1" applyFill="1" applyBorder="1" applyAlignment="1">
      <alignment horizontal="center" vertical="center"/>
    </xf>
    <xf numFmtId="0" fontId="10" fillId="0" borderId="29" xfId="2" applyFont="1" applyFill="1" applyBorder="1" applyAlignment="1">
      <alignment horizontal="center" vertical="center"/>
    </xf>
    <xf numFmtId="0" fontId="7" fillId="0" borderId="6" xfId="2" applyFont="1" applyFill="1" applyBorder="1" applyAlignment="1">
      <alignment horizontal="center" vertical="center"/>
    </xf>
    <xf numFmtId="0" fontId="7" fillId="0" borderId="12" xfId="2" applyFont="1" applyFill="1" applyBorder="1" applyAlignment="1">
      <alignment horizontal="center" vertical="center"/>
    </xf>
    <xf numFmtId="0" fontId="11" fillId="0" borderId="30" xfId="2" applyFont="1" applyFill="1" applyBorder="1" applyAlignment="1">
      <alignment vertical="center"/>
    </xf>
    <xf numFmtId="0" fontId="11" fillId="0" borderId="35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22" xfId="3" applyNumberFormat="1" applyFont="1" applyFill="1" applyBorder="1" applyAlignment="1">
      <alignment vertical="center"/>
    </xf>
    <xf numFmtId="0" fontId="7" fillId="0" borderId="50" xfId="2" applyFont="1" applyFill="1" applyBorder="1" applyAlignment="1">
      <alignment horizontal="center" vertical="center"/>
    </xf>
    <xf numFmtId="0" fontId="7" fillId="0" borderId="51" xfId="2" applyFont="1" applyFill="1" applyBorder="1" applyAlignment="1">
      <alignment horizontal="center" vertical="center"/>
    </xf>
    <xf numFmtId="166" fontId="2" fillId="0" borderId="0" xfId="2" applyNumberFormat="1" applyFont="1" applyFill="1" applyAlignment="1">
      <alignment vertical="center"/>
    </xf>
    <xf numFmtId="0" fontId="11" fillId="0" borderId="59" xfId="2" applyFont="1" applyFill="1" applyBorder="1" applyAlignment="1">
      <alignment vertical="center"/>
    </xf>
    <xf numFmtId="166" fontId="13" fillId="0" borderId="6" xfId="3" applyNumberFormat="1" applyFont="1" applyFill="1" applyBorder="1" applyAlignment="1">
      <alignment vertical="center"/>
    </xf>
    <xf numFmtId="166" fontId="13" fillId="0" borderId="45" xfId="3" applyNumberFormat="1" applyFont="1" applyFill="1" applyBorder="1" applyAlignment="1">
      <alignment vertical="center"/>
    </xf>
    <xf numFmtId="166" fontId="13" fillId="0" borderId="15" xfId="3" applyNumberFormat="1" applyFont="1" applyFill="1" applyBorder="1" applyAlignment="1">
      <alignment vertical="center"/>
    </xf>
    <xf numFmtId="0" fontId="13" fillId="0" borderId="0" xfId="2" applyFont="1" applyFill="1" applyAlignment="1">
      <alignment vertical="center"/>
    </xf>
    <xf numFmtId="166" fontId="13" fillId="0" borderId="5" xfId="3" applyNumberFormat="1" applyFont="1" applyFill="1" applyBorder="1" applyAlignment="1">
      <alignment vertical="center"/>
    </xf>
    <xf numFmtId="166" fontId="13" fillId="0" borderId="51" xfId="3" applyNumberFormat="1" applyFont="1" applyFill="1" applyBorder="1" applyAlignment="1">
      <alignment vertical="center"/>
    </xf>
    <xf numFmtId="166" fontId="13" fillId="0" borderId="29" xfId="3" applyNumberFormat="1" applyFont="1" applyFill="1" applyBorder="1" applyAlignment="1">
      <alignment vertical="center"/>
    </xf>
    <xf numFmtId="166" fontId="13" fillId="0" borderId="31" xfId="3" applyNumberFormat="1" applyFont="1" applyFill="1" applyBorder="1" applyAlignment="1">
      <alignment vertical="center"/>
    </xf>
    <xf numFmtId="166" fontId="13" fillId="0" borderId="46" xfId="3" applyNumberFormat="1" applyFont="1" applyFill="1" applyBorder="1" applyAlignment="1">
      <alignment vertical="center"/>
    </xf>
    <xf numFmtId="166" fontId="13" fillId="0" borderId="32" xfId="3" applyNumberFormat="1" applyFont="1" applyFill="1" applyBorder="1" applyAlignment="1">
      <alignment vertical="center"/>
    </xf>
    <xf numFmtId="0" fontId="13" fillId="0" borderId="38" xfId="2" applyFont="1" applyFill="1" applyBorder="1" applyAlignment="1">
      <alignment vertical="center"/>
    </xf>
    <xf numFmtId="166" fontId="13" fillId="0" borderId="39" xfId="3" applyNumberFormat="1" applyFont="1" applyFill="1" applyBorder="1" applyAlignment="1">
      <alignment vertical="center"/>
    </xf>
    <xf numFmtId="166" fontId="13" fillId="0" borderId="52" xfId="3" applyNumberFormat="1" applyFont="1" applyFill="1" applyBorder="1" applyAlignment="1">
      <alignment vertical="center"/>
    </xf>
    <xf numFmtId="166" fontId="13" fillId="0" borderId="33" xfId="3" applyNumberFormat="1" applyFont="1" applyFill="1" applyBorder="1" applyAlignment="1">
      <alignment vertical="center"/>
    </xf>
    <xf numFmtId="166" fontId="13" fillId="0" borderId="49" xfId="3" applyNumberFormat="1" applyFont="1" applyFill="1" applyBorder="1" applyAlignment="1">
      <alignment vertical="center"/>
    </xf>
    <xf numFmtId="166" fontId="13" fillId="0" borderId="34" xfId="3" applyNumberFormat="1" applyFont="1" applyFill="1" applyBorder="1" applyAlignment="1">
      <alignment vertical="center"/>
    </xf>
    <xf numFmtId="166" fontId="13" fillId="0" borderId="58" xfId="3" applyNumberFormat="1" applyFont="1" applyFill="1" applyBorder="1" applyAlignment="1">
      <alignment vertical="center"/>
    </xf>
    <xf numFmtId="166" fontId="13" fillId="0" borderId="57" xfId="3" applyNumberFormat="1" applyFont="1" applyFill="1" applyBorder="1" applyAlignment="1">
      <alignment vertical="center"/>
    </xf>
    <xf numFmtId="166" fontId="13" fillId="0" borderId="17" xfId="3" applyNumberFormat="1" applyFont="1" applyFill="1" applyBorder="1" applyAlignment="1">
      <alignment vertical="center"/>
    </xf>
    <xf numFmtId="166" fontId="13" fillId="0" borderId="47" xfId="3" applyNumberFormat="1" applyFont="1" applyFill="1" applyBorder="1" applyAlignment="1">
      <alignment vertical="center"/>
    </xf>
    <xf numFmtId="166" fontId="13" fillId="0" borderId="18" xfId="3" applyNumberFormat="1" applyFont="1" applyFill="1" applyBorder="1" applyAlignment="1">
      <alignment vertical="center"/>
    </xf>
    <xf numFmtId="166" fontId="13" fillId="0" borderId="16" xfId="3" applyNumberFormat="1" applyFont="1" applyFill="1" applyBorder="1" applyAlignment="1">
      <alignment vertical="center"/>
    </xf>
    <xf numFmtId="166" fontId="13" fillId="0" borderId="53" xfId="3" applyNumberFormat="1" applyFont="1" applyFill="1" applyBorder="1" applyAlignment="1">
      <alignment vertical="center"/>
    </xf>
    <xf numFmtId="166" fontId="13" fillId="0" borderId="23" xfId="3" applyNumberFormat="1" applyFont="1" applyFill="1" applyBorder="1" applyAlignment="1">
      <alignment vertical="center"/>
    </xf>
    <xf numFmtId="166" fontId="13" fillId="0" borderId="56" xfId="3" applyNumberFormat="1" applyFont="1" applyFill="1" applyBorder="1" applyAlignment="1">
      <alignment vertical="center"/>
    </xf>
    <xf numFmtId="166" fontId="13" fillId="0" borderId="40" xfId="3" applyNumberFormat="1" applyFont="1" applyFill="1" applyBorder="1" applyAlignment="1">
      <alignment vertical="center"/>
    </xf>
    <xf numFmtId="166" fontId="13" fillId="0" borderId="60" xfId="3" applyNumberFormat="1" applyFont="1" applyFill="1" applyBorder="1" applyAlignment="1">
      <alignment vertical="center"/>
    </xf>
    <xf numFmtId="166" fontId="13" fillId="0" borderId="61" xfId="3" applyNumberFormat="1" applyFont="1" applyFill="1" applyBorder="1" applyAlignment="1">
      <alignment vertical="center"/>
    </xf>
    <xf numFmtId="166" fontId="13" fillId="0" borderId="62" xfId="3" applyNumberFormat="1" applyFont="1" applyFill="1" applyBorder="1" applyAlignment="1">
      <alignment vertical="center"/>
    </xf>
    <xf numFmtId="166" fontId="13" fillId="0" borderId="8" xfId="3" applyNumberFormat="1" applyFont="1" applyFill="1" applyBorder="1" applyAlignment="1">
      <alignment vertical="center"/>
    </xf>
    <xf numFmtId="166" fontId="13" fillId="0" borderId="36" xfId="3" applyNumberFormat="1" applyFont="1" applyFill="1" applyBorder="1" applyAlignment="1">
      <alignment vertical="center"/>
    </xf>
    <xf numFmtId="166" fontId="13" fillId="0" borderId="48" xfId="3" applyNumberFormat="1" applyFont="1" applyFill="1" applyBorder="1" applyAlignment="1">
      <alignment vertical="center"/>
    </xf>
    <xf numFmtId="166" fontId="13" fillId="0" borderId="37" xfId="3" applyNumberFormat="1" applyFont="1" applyFill="1" applyBorder="1" applyAlignment="1">
      <alignment vertical="center"/>
    </xf>
    <xf numFmtId="0" fontId="13" fillId="0" borderId="41" xfId="2" applyFont="1" applyFill="1" applyBorder="1" applyAlignment="1">
      <alignment vertical="center"/>
    </xf>
    <xf numFmtId="166" fontId="13" fillId="0" borderId="35" xfId="3" applyNumberFormat="1" applyFont="1" applyFill="1" applyBorder="1" applyAlignment="1">
      <alignment vertical="center"/>
    </xf>
    <xf numFmtId="166" fontId="13" fillId="0" borderId="54" xfId="3" applyNumberFormat="1" applyFont="1" applyFill="1" applyBorder="1" applyAlignment="1">
      <alignment vertical="center"/>
    </xf>
    <xf numFmtId="166" fontId="13" fillId="0" borderId="42" xfId="3" applyNumberFormat="1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166" fontId="7" fillId="2" borderId="24" xfId="2" applyNumberFormat="1" applyFont="1" applyFill="1" applyBorder="1" applyAlignment="1">
      <alignment vertical="center"/>
    </xf>
    <xf numFmtId="0" fontId="11" fillId="0" borderId="0" xfId="2" applyFont="1" applyFill="1" applyBorder="1" applyAlignment="1">
      <alignment vertical="center" wrapText="1"/>
    </xf>
    <xf numFmtId="166" fontId="7" fillId="0" borderId="0" xfId="2" applyNumberFormat="1" applyFont="1" applyFill="1" applyBorder="1" applyAlignment="1">
      <alignment vertical="center"/>
    </xf>
    <xf numFmtId="0" fontId="15" fillId="0" borderId="6" xfId="2" applyFont="1" applyFill="1" applyBorder="1" applyAlignment="1">
      <alignment horizontal="center" vertical="center"/>
    </xf>
    <xf numFmtId="0" fontId="15" fillId="0" borderId="50" xfId="2" applyFont="1" applyFill="1" applyBorder="1" applyAlignment="1">
      <alignment horizontal="center" vertical="center"/>
    </xf>
    <xf numFmtId="0" fontId="13" fillId="0" borderId="63" xfId="2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9" xfId="2" applyFont="1" applyFill="1" applyBorder="1" applyAlignment="1">
      <alignment horizontal="center" vertical="center" wrapText="1"/>
    </xf>
    <xf numFmtId="0" fontId="7" fillId="0" borderId="23" xfId="2" applyFont="1" applyFill="1" applyBorder="1" applyAlignment="1">
      <alignment horizontal="center" vertical="center" wrapText="1"/>
    </xf>
    <xf numFmtId="0" fontId="15" fillId="0" borderId="45" xfId="2" applyFont="1" applyFill="1" applyBorder="1" applyAlignment="1">
      <alignment horizontal="center" vertical="center"/>
    </xf>
    <xf numFmtId="0" fontId="15" fillId="0" borderId="55" xfId="2" applyFont="1" applyFill="1" applyBorder="1" applyAlignment="1">
      <alignment horizontal="center" vertical="center"/>
    </xf>
    <xf numFmtId="0" fontId="7" fillId="0" borderId="22" xfId="2" applyFont="1" applyFill="1" applyBorder="1" applyAlignment="1">
      <alignment horizontal="center" vertical="center"/>
    </xf>
    <xf numFmtId="0" fontId="7" fillId="0" borderId="10" xfId="2" applyFont="1" applyFill="1" applyBorder="1" applyAlignment="1">
      <alignment horizontal="center" vertical="center"/>
    </xf>
    <xf numFmtId="0" fontId="7" fillId="0" borderId="4" xfId="2" applyFont="1" applyFill="1" applyBorder="1" applyAlignment="1">
      <alignment horizontal="center" vertical="center"/>
    </xf>
    <xf numFmtId="0" fontId="9" fillId="0" borderId="0" xfId="2" applyFont="1" applyFill="1" applyAlignment="1">
      <alignment horizontal="right" vertical="center"/>
    </xf>
    <xf numFmtId="0" fontId="7" fillId="0" borderId="13" xfId="2" applyFont="1" applyFill="1" applyBorder="1" applyAlignment="1">
      <alignment horizontal="center" vertical="center"/>
    </xf>
    <xf numFmtId="0" fontId="7" fillId="0" borderId="44" xfId="2" applyFont="1" applyFill="1" applyBorder="1" applyAlignment="1">
      <alignment horizontal="center" vertical="center"/>
    </xf>
    <xf numFmtId="0" fontId="7" fillId="0" borderId="14" xfId="2" applyFont="1" applyFill="1" applyBorder="1" applyAlignment="1">
      <alignment horizontal="center" vertical="center"/>
    </xf>
    <xf numFmtId="0" fontId="4" fillId="0" borderId="9" xfId="2" applyFont="1" applyFill="1" applyBorder="1" applyAlignment="1">
      <alignment horizontal="center" vertical="center" wrapText="1"/>
    </xf>
    <xf numFmtId="0" fontId="4" fillId="0" borderId="23" xfId="2" applyFont="1" applyFill="1" applyBorder="1" applyAlignment="1">
      <alignment horizontal="center" vertical="center" wrapText="1"/>
    </xf>
    <xf numFmtId="0" fontId="14" fillId="0" borderId="9" xfId="2" applyFont="1" applyFill="1" applyBorder="1" applyAlignment="1">
      <alignment horizontal="center" vertical="center" wrapText="1"/>
    </xf>
    <xf numFmtId="0" fontId="14" fillId="0" borderId="23" xfId="2" applyFont="1" applyFill="1" applyBorder="1" applyAlignment="1">
      <alignment horizontal="center" vertical="center" wrapText="1"/>
    </xf>
    <xf numFmtId="0" fontId="7" fillId="0" borderId="45" xfId="2" applyFont="1" applyFill="1" applyBorder="1" applyAlignment="1">
      <alignment horizontal="center" vertical="center"/>
    </xf>
    <xf numFmtId="0" fontId="7" fillId="0" borderId="55" xfId="2" applyFont="1" applyFill="1" applyBorder="1" applyAlignment="1">
      <alignment horizontal="center" vertical="center"/>
    </xf>
    <xf numFmtId="0" fontId="10" fillId="0" borderId="9" xfId="2" applyFont="1" applyFill="1" applyBorder="1" applyAlignment="1">
      <alignment horizontal="center" vertical="center" wrapText="1"/>
    </xf>
    <xf numFmtId="0" fontId="10" fillId="0" borderId="23" xfId="2" applyFont="1" applyFill="1" applyBorder="1" applyAlignment="1">
      <alignment horizontal="center" vertical="center" wrapText="1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AD0B5-9BBE-4B8F-9457-EBD483EDFB0D}">
  <sheetPr>
    <pageSetUpPr fitToPage="1"/>
  </sheetPr>
  <dimension ref="A1:BB83"/>
  <sheetViews>
    <sheetView view="pageBreakPreview" zoomScale="55" zoomScaleNormal="100" zoomScaleSheetLayoutView="5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70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94" t="s">
        <v>61</v>
      </c>
      <c r="O4" s="35" t="s">
        <v>39</v>
      </c>
      <c r="P4" s="94" t="s">
        <v>61</v>
      </c>
      <c r="Q4" s="36" t="s">
        <v>40</v>
      </c>
      <c r="R4" s="94" t="s">
        <v>61</v>
      </c>
      <c r="S4" s="9"/>
      <c r="T4" s="118" t="s">
        <v>68</v>
      </c>
      <c r="U4" s="120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93" t="s">
        <v>64</v>
      </c>
      <c r="I5" s="93" t="s">
        <v>60</v>
      </c>
      <c r="J5" s="109" t="s">
        <v>65</v>
      </c>
      <c r="K5" s="110"/>
      <c r="M5" s="37"/>
      <c r="N5" s="49"/>
      <c r="O5" s="40"/>
      <c r="P5" s="89"/>
      <c r="Q5" s="89"/>
      <c r="R5" s="38"/>
      <c r="S5" s="9"/>
      <c r="T5" s="119"/>
      <c r="U5" s="121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89"/>
      <c r="K6" s="38"/>
      <c r="M6" s="37"/>
      <c r="N6" s="49"/>
      <c r="O6" s="40"/>
      <c r="P6" s="89"/>
      <c r="Q6" s="8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58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/>
      <c r="U27" s="75"/>
      <c r="V27" s="75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56"/>
      <c r="N39" s="57"/>
      <c r="O39" s="52"/>
      <c r="P39" s="53"/>
      <c r="Q39" s="52"/>
      <c r="R39" s="80"/>
      <c r="S39" s="55"/>
      <c r="T39" s="81"/>
      <c r="U39" s="81"/>
      <c r="V39" s="81"/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s="15" customFormat="1" x14ac:dyDescent="0.25">
      <c r="B59" s="91"/>
      <c r="C59" s="92"/>
      <c r="D59" s="92"/>
      <c r="E59" s="92"/>
      <c r="F59" s="92"/>
      <c r="G59" s="92"/>
      <c r="H59" s="92"/>
      <c r="I59" s="92"/>
      <c r="J59" s="92"/>
      <c r="K59" s="92"/>
      <c r="M59" s="92"/>
      <c r="N59" s="92"/>
      <c r="O59" s="92"/>
      <c r="P59" s="92"/>
      <c r="Q59" s="92"/>
      <c r="R59" s="92"/>
      <c r="S59" s="55"/>
      <c r="T59" s="92"/>
      <c r="U59" s="92"/>
      <c r="V59" s="92"/>
    </row>
    <row r="60" spans="1:22" s="15" customFormat="1" x14ac:dyDescent="0.25">
      <c r="B60" s="91"/>
      <c r="C60" s="92"/>
      <c r="D60" s="92"/>
      <c r="E60" s="92"/>
      <c r="F60" s="92"/>
      <c r="G60" s="92"/>
      <c r="H60" s="92"/>
      <c r="I60" s="92"/>
      <c r="J60" s="92"/>
      <c r="K60" s="92"/>
      <c r="M60" s="92"/>
      <c r="N60" s="92"/>
      <c r="O60" s="92"/>
      <c r="P60" s="92"/>
      <c r="Q60" s="92"/>
      <c r="R60" s="92"/>
      <c r="S60" s="55"/>
      <c r="T60" s="92"/>
      <c r="U60" s="92"/>
      <c r="V60" s="92"/>
    </row>
    <row r="61" spans="1:22" ht="20.25" customHeight="1" thickBot="1" x14ac:dyDescent="0.3"/>
    <row r="62" spans="1:22" ht="19.5" thickBot="1" x14ac:dyDescent="0.3">
      <c r="B62" s="30" t="s">
        <v>37</v>
      </c>
      <c r="C62" s="111" t="s">
        <v>41</v>
      </c>
      <c r="D62" s="112"/>
      <c r="E62" s="112"/>
      <c r="F62" s="112"/>
      <c r="G62" s="112"/>
      <c r="H62" s="112"/>
      <c r="I62" s="112"/>
      <c r="J62" s="112"/>
      <c r="K62" s="113"/>
      <c r="U62" s="24" t="s">
        <v>51</v>
      </c>
    </row>
    <row r="63" spans="1:22" x14ac:dyDescent="0.25">
      <c r="B63" s="31" t="s">
        <v>17</v>
      </c>
      <c r="C63" s="19"/>
      <c r="D63" s="19"/>
      <c r="E63" s="19"/>
      <c r="F63" s="19"/>
      <c r="G63" s="19"/>
      <c r="H63" s="19"/>
      <c r="I63" s="19"/>
      <c r="J63" s="45"/>
      <c r="K63" s="20"/>
      <c r="U63" s="7"/>
    </row>
    <row r="64" spans="1:22" x14ac:dyDescent="0.25">
      <c r="B64" s="32" t="s">
        <v>45</v>
      </c>
      <c r="C64" s="1"/>
      <c r="D64" s="1"/>
      <c r="E64" s="1"/>
      <c r="F64" s="1"/>
      <c r="G64" s="1"/>
      <c r="H64" s="1"/>
      <c r="I64" s="1"/>
      <c r="J64" s="44"/>
      <c r="K64" s="21"/>
      <c r="U64" s="3"/>
    </row>
    <row r="65" spans="2:21" ht="19.5" thickBot="1" x14ac:dyDescent="0.3">
      <c r="B65" s="33" t="s">
        <v>44</v>
      </c>
      <c r="C65" s="22"/>
      <c r="D65" s="22"/>
      <c r="E65" s="22"/>
      <c r="F65" s="22"/>
      <c r="G65" s="22"/>
      <c r="H65" s="22"/>
      <c r="I65" s="22"/>
      <c r="J65" s="46"/>
      <c r="K65" s="23"/>
      <c r="U65" s="8"/>
    </row>
    <row r="66" spans="2:21" ht="7.5" customHeight="1" thickBot="1" x14ac:dyDescent="0.3"/>
    <row r="67" spans="2:21" x14ac:dyDescent="0.25">
      <c r="B67" s="31" t="s">
        <v>46</v>
      </c>
      <c r="C67" s="19"/>
      <c r="D67" s="19"/>
      <c r="E67" s="19"/>
      <c r="F67" s="19"/>
      <c r="G67" s="19"/>
      <c r="H67" s="19"/>
      <c r="I67" s="19"/>
      <c r="J67" s="45"/>
      <c r="K67" s="20"/>
      <c r="U67" s="7"/>
    </row>
    <row r="68" spans="2:21" x14ac:dyDescent="0.25">
      <c r="B68" s="32" t="s">
        <v>45</v>
      </c>
      <c r="C68" s="1"/>
      <c r="D68" s="1"/>
      <c r="E68" s="1"/>
      <c r="F68" s="1"/>
      <c r="G68" s="1"/>
      <c r="H68" s="1"/>
      <c r="I68" s="1"/>
      <c r="J68" s="44"/>
      <c r="K68" s="21"/>
      <c r="U68" s="3"/>
    </row>
    <row r="69" spans="2:21" ht="19.5" thickBot="1" x14ac:dyDescent="0.3">
      <c r="B69" s="33" t="s">
        <v>44</v>
      </c>
      <c r="C69" s="22"/>
      <c r="D69" s="22"/>
      <c r="E69" s="22"/>
      <c r="F69" s="22"/>
      <c r="G69" s="22"/>
      <c r="H69" s="22"/>
      <c r="I69" s="22"/>
      <c r="J69" s="46"/>
      <c r="K69" s="23"/>
      <c r="U69" s="8"/>
    </row>
    <row r="70" spans="2:21" ht="7.5" customHeight="1" thickBot="1" x14ac:dyDescent="0.3"/>
    <row r="71" spans="2:21" x14ac:dyDescent="0.25">
      <c r="B71" s="31" t="s">
        <v>38</v>
      </c>
      <c r="C71" s="19"/>
      <c r="D71" s="19"/>
      <c r="E71" s="19"/>
      <c r="F71" s="19"/>
      <c r="G71" s="19"/>
      <c r="H71" s="19"/>
      <c r="I71" s="19"/>
      <c r="J71" s="45"/>
      <c r="K71" s="20"/>
      <c r="U71" s="7"/>
    </row>
    <row r="72" spans="2:21" x14ac:dyDescent="0.25">
      <c r="B72" s="32" t="s">
        <v>45</v>
      </c>
      <c r="C72" s="1"/>
      <c r="D72" s="1"/>
      <c r="E72" s="1"/>
      <c r="F72" s="1"/>
      <c r="G72" s="1"/>
      <c r="H72" s="1"/>
      <c r="I72" s="1"/>
      <c r="J72" s="44"/>
      <c r="K72" s="21"/>
      <c r="U72" s="3"/>
    </row>
    <row r="73" spans="2:21" ht="19.5" thickBot="1" x14ac:dyDescent="0.3">
      <c r="B73" s="33" t="s">
        <v>44</v>
      </c>
      <c r="C73" s="22"/>
      <c r="D73" s="22"/>
      <c r="E73" s="22"/>
      <c r="F73" s="22"/>
      <c r="G73" s="22"/>
      <c r="H73" s="22"/>
      <c r="I73" s="22"/>
      <c r="J73" s="46"/>
      <c r="K73" s="23"/>
      <c r="U73" s="8"/>
    </row>
    <row r="74" spans="2:21" ht="7.5" customHeight="1" thickBot="1" x14ac:dyDescent="0.3"/>
    <row r="75" spans="2:21" x14ac:dyDescent="0.25">
      <c r="B75" s="31" t="s">
        <v>47</v>
      </c>
      <c r="C75" s="19"/>
      <c r="D75" s="19"/>
      <c r="E75" s="19"/>
      <c r="F75" s="19"/>
      <c r="G75" s="19"/>
      <c r="H75" s="19"/>
      <c r="I75" s="19"/>
      <c r="J75" s="45"/>
      <c r="K75" s="20"/>
      <c r="U75" s="7"/>
    </row>
    <row r="76" spans="2:21" x14ac:dyDescent="0.25">
      <c r="B76" s="32" t="s">
        <v>45</v>
      </c>
      <c r="C76" s="1"/>
      <c r="D76" s="1"/>
      <c r="E76" s="1"/>
      <c r="F76" s="1"/>
      <c r="G76" s="1"/>
      <c r="H76" s="1"/>
      <c r="I76" s="1"/>
      <c r="J76" s="44"/>
      <c r="K76" s="21"/>
      <c r="U76" s="3"/>
    </row>
    <row r="77" spans="2:21" ht="19.5" thickBot="1" x14ac:dyDescent="0.3">
      <c r="B77" s="33" t="s">
        <v>44</v>
      </c>
      <c r="C77" s="22"/>
      <c r="D77" s="22"/>
      <c r="E77" s="22"/>
      <c r="F77" s="22"/>
      <c r="G77" s="22"/>
      <c r="H77" s="22"/>
      <c r="I77" s="22"/>
      <c r="J77" s="46"/>
      <c r="K77" s="23"/>
      <c r="U77" s="8"/>
    </row>
    <row r="78" spans="2:21" ht="7.5" customHeight="1" thickBot="1" x14ac:dyDescent="0.3"/>
    <row r="79" spans="2:21" x14ac:dyDescent="0.25">
      <c r="B79" s="31" t="s">
        <v>48</v>
      </c>
      <c r="C79" s="19"/>
      <c r="D79" s="19"/>
      <c r="E79" s="19"/>
      <c r="F79" s="19"/>
      <c r="G79" s="19"/>
      <c r="H79" s="19"/>
      <c r="I79" s="19"/>
      <c r="J79" s="45"/>
      <c r="K79" s="20"/>
      <c r="U79" s="7"/>
    </row>
    <row r="80" spans="2:21" x14ac:dyDescent="0.25">
      <c r="B80" s="32" t="s">
        <v>45</v>
      </c>
      <c r="C80" s="1"/>
      <c r="D80" s="1"/>
      <c r="E80" s="1"/>
      <c r="F80" s="1"/>
      <c r="G80" s="1"/>
      <c r="H80" s="1"/>
      <c r="I80" s="1"/>
      <c r="J80" s="44"/>
      <c r="K80" s="21"/>
      <c r="U80" s="3"/>
    </row>
    <row r="81" spans="2:21" ht="19.5" thickBot="1" x14ac:dyDescent="0.3">
      <c r="B81" s="33" t="s">
        <v>44</v>
      </c>
      <c r="C81" s="22"/>
      <c r="D81" s="22"/>
      <c r="E81" s="22"/>
      <c r="F81" s="22"/>
      <c r="G81" s="22"/>
      <c r="H81" s="22"/>
      <c r="I81" s="22"/>
      <c r="J81" s="46"/>
      <c r="K81" s="23"/>
      <c r="U81" s="8"/>
    </row>
    <row r="82" spans="2:21" ht="7.5" customHeight="1" thickBot="1" x14ac:dyDescent="0.3"/>
    <row r="83" spans="2:21" ht="19.5" thickBot="1" x14ac:dyDescent="0.3">
      <c r="B83" s="30" t="s">
        <v>49</v>
      </c>
      <c r="C83" s="17"/>
      <c r="D83" s="17"/>
      <c r="E83" s="17"/>
      <c r="F83" s="17"/>
      <c r="G83" s="17"/>
      <c r="H83" s="17"/>
      <c r="I83" s="17"/>
      <c r="J83" s="47"/>
      <c r="K83" s="18"/>
      <c r="U83" s="16"/>
    </row>
  </sheetData>
  <mergeCells count="7">
    <mergeCell ref="V4:V5"/>
    <mergeCell ref="J5:K5"/>
    <mergeCell ref="C62:K62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53" orientation="portrait" horizontalDpi="360" verticalDpi="360" r:id="rId1"/>
  <colBreaks count="1" manualBreakCount="1">
    <brk id="24" max="8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A2011-2D80-4AE1-96EB-73435B2D09C4}">
  <sheetPr>
    <pageSetUpPr fitToPage="1"/>
  </sheetPr>
  <dimension ref="A1:BB81"/>
  <sheetViews>
    <sheetView zoomScaleNormal="100" zoomScaleSheetLayoutView="115" workbookViewId="0">
      <selection activeCell="H23" sqref="H2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71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97"/>
      <c r="Q5" s="97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2</v>
      </c>
      <c r="N7" s="57">
        <v>22</v>
      </c>
      <c r="O7" s="52">
        <v>1</v>
      </c>
      <c r="P7" s="53"/>
      <c r="Q7" s="53">
        <v>1</v>
      </c>
      <c r="R7" s="54"/>
      <c r="S7" s="55"/>
      <c r="T7" s="58">
        <f>H7+I7+J7+K7+N7+P7+R7</f>
        <v>31</v>
      </c>
      <c r="U7" s="58">
        <f>C7*24+M7*24+O7*24+Q7*24+T7</f>
        <v>847</v>
      </c>
      <c r="V7" s="58">
        <f>U7/24</f>
        <v>35.291666666666664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30+3+63</f>
        <v>96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2352</v>
      </c>
      <c r="V8" s="69">
        <f>U8/24</f>
        <v>98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145+4</f>
        <v>149</v>
      </c>
      <c r="D9" s="70"/>
      <c r="E9" s="70"/>
      <c r="F9" s="70"/>
      <c r="G9" s="70"/>
      <c r="H9" s="70"/>
      <c r="I9" s="70"/>
      <c r="J9" s="71"/>
      <c r="K9" s="72"/>
      <c r="L9" s="55"/>
      <c r="M9" s="73">
        <v>2</v>
      </c>
      <c r="N9" s="74"/>
      <c r="O9" s="70">
        <v>1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3648</v>
      </c>
      <c r="V9" s="76">
        <f t="shared" ref="V9:V11" si="3">U9/24</f>
        <v>152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35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840</v>
      </c>
      <c r="V10" s="58">
        <f t="shared" si="3"/>
        <v>35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250+504+1440+576+5+360</f>
        <v>3135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18</v>
      </c>
      <c r="N12" s="64"/>
      <c r="O12" s="65">
        <v>12</v>
      </c>
      <c r="P12" s="66"/>
      <c r="Q12" s="66">
        <v>15</v>
      </c>
      <c r="R12" s="67"/>
      <c r="S12" s="62"/>
      <c r="T12" s="69">
        <f t="shared" si="0"/>
        <v>0</v>
      </c>
      <c r="U12" s="69">
        <f>C12*24+M12*24+O12*24+Q12*24+T12</f>
        <v>76320</v>
      </c>
      <c r="V12" s="69">
        <f>U12/24</f>
        <v>3180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3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88</v>
      </c>
      <c r="V13" s="76">
        <f>U13/24</f>
        <v>3.6666666666666665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>
        <v>1</v>
      </c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24</v>
      </c>
      <c r="V15" s="75">
        <f t="shared" si="5"/>
        <v>1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>
        <v>3</v>
      </c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3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116</v>
      </c>
      <c r="V19" s="75">
        <f t="shared" si="5"/>
        <v>4.833333333333333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6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144</v>
      </c>
      <c r="V20" s="75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>
        <v>1</v>
      </c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72</v>
      </c>
      <c r="V21" s="75">
        <f t="shared" si="5"/>
        <v>3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1</v>
      </c>
      <c r="D22" s="70"/>
      <c r="E22" s="70"/>
      <c r="F22" s="70"/>
      <c r="G22" s="70"/>
      <c r="H22" s="70">
        <v>20</v>
      </c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44</v>
      </c>
      <c r="V22" s="75">
        <f t="shared" si="5"/>
        <v>1.8333333333333333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6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216</v>
      </c>
      <c r="V24" s="75">
        <f t="shared" si="5"/>
        <v>9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64+63+21</f>
        <v>148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3649</v>
      </c>
      <c r="V25" s="75">
        <f t="shared" si="5"/>
        <v>152.04166666666666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64+45</f>
        <v>109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10</v>
      </c>
      <c r="N28" s="74"/>
      <c r="O28" s="70">
        <v>2</v>
      </c>
      <c r="P28" s="71"/>
      <c r="Q28" s="71">
        <v>3</v>
      </c>
      <c r="R28" s="72"/>
      <c r="S28" s="55"/>
      <c r="T28" s="58">
        <f t="shared" si="0"/>
        <v>0</v>
      </c>
      <c r="U28" s="75">
        <f t="shared" si="4"/>
        <v>2976</v>
      </c>
      <c r="V28" s="75">
        <f t="shared" si="5"/>
        <v>124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62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1517</v>
      </c>
      <c r="V29" s="75">
        <f t="shared" si="5"/>
        <v>63.208333333333336</v>
      </c>
    </row>
    <row r="30" spans="1:54" x14ac:dyDescent="0.25">
      <c r="A30" s="27">
        <f t="shared" si="1"/>
        <v>27</v>
      </c>
      <c r="B30" s="26" t="s">
        <v>15</v>
      </c>
      <c r="C30" s="70">
        <v>15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f>5+1</f>
        <v>6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144</v>
      </c>
      <c r="V32" s="75">
        <f t="shared" si="5"/>
        <v>6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v>69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12</v>
      </c>
      <c r="N34" s="74"/>
      <c r="O34" s="70">
        <v>1</v>
      </c>
      <c r="P34" s="71">
        <v>12</v>
      </c>
      <c r="Q34" s="71">
        <v>8</v>
      </c>
      <c r="R34" s="72"/>
      <c r="S34" s="55"/>
      <c r="T34" s="58">
        <f t="shared" si="0"/>
        <v>14</v>
      </c>
      <c r="U34" s="75">
        <f t="shared" si="4"/>
        <v>2174</v>
      </c>
      <c r="V34" s="75">
        <f t="shared" si="5"/>
        <v>90.583333333333329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>
        <v>1</v>
      </c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24</v>
      </c>
      <c r="V36" s="75">
        <f t="shared" si="5"/>
        <v>1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540+324+3564+99</f>
        <v>4527</v>
      </c>
      <c r="D37" s="59"/>
      <c r="E37" s="59"/>
      <c r="F37" s="59"/>
      <c r="G37" s="59"/>
      <c r="H37" s="59"/>
      <c r="I37" s="59">
        <v>2</v>
      </c>
      <c r="J37" s="60">
        <v>2</v>
      </c>
      <c r="K37" s="61">
        <v>3</v>
      </c>
      <c r="L37" s="62"/>
      <c r="M37" s="63">
        <v>13</v>
      </c>
      <c r="N37" s="64">
        <v>1</v>
      </c>
      <c r="O37" s="65">
        <v>40</v>
      </c>
      <c r="P37" s="66"/>
      <c r="Q37" s="66">
        <v>28</v>
      </c>
      <c r="R37" s="67"/>
      <c r="S37" s="62"/>
      <c r="T37" s="77">
        <f t="shared" si="0"/>
        <v>8</v>
      </c>
      <c r="U37" s="77">
        <f>C37*6+M37*6+O37*6+Q37*6+T37</f>
        <v>27656</v>
      </c>
      <c r="V37" s="77">
        <f>U37/6</f>
        <v>4609.333333333333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64+28</f>
        <v>92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>
        <v>12</v>
      </c>
      <c r="Q40" s="66"/>
      <c r="R40" s="67"/>
      <c r="S40" s="62"/>
      <c r="T40" s="77">
        <f t="shared" si="0"/>
        <v>32</v>
      </c>
      <c r="U40" s="77">
        <f>C40*24+M40*24+O40*24+Q40*24+T40</f>
        <v>2288</v>
      </c>
      <c r="V40" s="77">
        <f>U40/24</f>
        <v>95.333333333333329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192+49</f>
        <v>241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12</v>
      </c>
      <c r="P41" s="83"/>
      <c r="Q41" s="83">
        <v>26</v>
      </c>
      <c r="R41" s="84"/>
      <c r="S41" s="85"/>
      <c r="T41" s="88">
        <f t="shared" si="0"/>
        <v>0</v>
      </c>
      <c r="U41" s="88">
        <f>C41*12+M41*12+O41*12+Q41*12+T41</f>
        <v>3468</v>
      </c>
      <c r="V41" s="88">
        <f>U41/12</f>
        <v>289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4860+4104+4968+1836+8424+5508+3024+5832</f>
        <v>38556</v>
      </c>
      <c r="D43" s="65"/>
      <c r="E43" s="65"/>
      <c r="F43" s="65"/>
      <c r="G43" s="65"/>
      <c r="H43" s="65"/>
      <c r="I43" s="65">
        <v>7</v>
      </c>
      <c r="J43" s="66">
        <f>8*6+1</f>
        <v>49</v>
      </c>
      <c r="K43" s="67">
        <f>69*6+7</f>
        <v>421</v>
      </c>
      <c r="L43" s="62"/>
      <c r="M43" s="63">
        <v>580</v>
      </c>
      <c r="N43" s="64"/>
      <c r="O43" s="65">
        <v>363</v>
      </c>
      <c r="P43" s="66"/>
      <c r="Q43" s="66">
        <v>547</v>
      </c>
      <c r="R43" s="67"/>
      <c r="S43" s="62"/>
      <c r="T43" s="77">
        <f t="shared" ref="T43" si="6">H43+I43+J43+K43+N43+P43+R43</f>
        <v>477</v>
      </c>
      <c r="U43" s="77">
        <f>C43*6+M43*6+O43*6+Q43*6+T43</f>
        <v>240753</v>
      </c>
      <c r="V43" s="77">
        <f>U43/6</f>
        <v>40125.5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>
        <v>1</v>
      </c>
      <c r="R45" s="72"/>
      <c r="S45" s="55"/>
      <c r="T45" s="75">
        <f t="shared" ref="T45:T54" si="7">H45+I45+J45+K45+N45+P45+R45</f>
        <v>0</v>
      </c>
      <c r="U45" s="75">
        <f>C45*24+M45*24+O45*24+Q45*24+T45</f>
        <v>24</v>
      </c>
      <c r="V45" s="75">
        <f>U45/24</f>
        <v>1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432+106+2160+74+22</f>
        <v>2794</v>
      </c>
      <c r="D47" s="65"/>
      <c r="E47" s="65"/>
      <c r="F47" s="65"/>
      <c r="G47" s="65"/>
      <c r="H47" s="65">
        <v>2</v>
      </c>
      <c r="I47" s="65"/>
      <c r="J47" s="66"/>
      <c r="K47" s="67">
        <v>4</v>
      </c>
      <c r="L47" s="62"/>
      <c r="M47" s="63"/>
      <c r="N47" s="64"/>
      <c r="O47" s="65">
        <v>5</v>
      </c>
      <c r="P47" s="66">
        <v>4</v>
      </c>
      <c r="Q47" s="66">
        <v>9</v>
      </c>
      <c r="R47" s="67">
        <v>3</v>
      </c>
      <c r="S47" s="62"/>
      <c r="T47" s="77">
        <f t="shared" si="7"/>
        <v>13</v>
      </c>
      <c r="U47" s="77">
        <f>C47*6+M47*6+O47*6+Q47*6+T47</f>
        <v>16861</v>
      </c>
      <c r="V47" s="77">
        <f>U47/6</f>
        <v>2810.1666666666665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2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48</v>
      </c>
      <c r="V49" s="75">
        <f t="shared" si="9"/>
        <v>2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>
        <v>1</v>
      </c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24</v>
      </c>
      <c r="V52" s="75">
        <f t="shared" si="9"/>
        <v>1</v>
      </c>
    </row>
    <row r="53" spans="1:22" x14ac:dyDescent="0.25">
      <c r="A53" s="27">
        <f t="shared" si="1"/>
        <v>50</v>
      </c>
      <c r="B53" s="26" t="s">
        <v>63</v>
      </c>
      <c r="C53" s="70">
        <v>10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240</v>
      </c>
      <c r="V53" s="75">
        <f t="shared" si="9"/>
        <v>10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50154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1133</v>
      </c>
      <c r="I58" s="6">
        <f t="shared" si="11"/>
        <v>19</v>
      </c>
      <c r="J58" s="6">
        <f t="shared" si="11"/>
        <v>51</v>
      </c>
      <c r="K58" s="6">
        <f t="shared" si="11"/>
        <v>457</v>
      </c>
      <c r="M58" s="5">
        <f t="shared" ref="M58:R58" si="12">SUM(M7:M57)</f>
        <v>649</v>
      </c>
      <c r="N58" s="5">
        <f t="shared" si="12"/>
        <v>23</v>
      </c>
      <c r="O58" s="5">
        <f t="shared" si="12"/>
        <v>440</v>
      </c>
      <c r="P58" s="5">
        <f t="shared" si="12"/>
        <v>28</v>
      </c>
      <c r="Q58" s="5">
        <f t="shared" si="12"/>
        <v>642</v>
      </c>
      <c r="R58" s="5">
        <f t="shared" si="12"/>
        <v>3</v>
      </c>
      <c r="S58" s="55"/>
      <c r="T58" s="4">
        <f>SUM(T7:T57)</f>
        <v>1714</v>
      </c>
      <c r="U58" s="90">
        <f>SUM(U7:U57)</f>
        <v>388558</v>
      </c>
      <c r="V58" s="4">
        <f>SUM(V7:V57)</f>
        <v>52018.666666666664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4BC4A-16CE-4134-A359-B3B72FCD191D}">
  <sheetPr>
    <pageSetUpPr fitToPage="1"/>
  </sheetPr>
  <dimension ref="A1:BB81"/>
  <sheetViews>
    <sheetView zoomScaleNormal="10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72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96"/>
      <c r="Q5" s="96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6"/>
      <c r="K6" s="38"/>
      <c r="M6" s="37"/>
      <c r="N6" s="49"/>
      <c r="O6" s="40"/>
      <c r="P6" s="96"/>
      <c r="Q6" s="9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20</v>
      </c>
      <c r="D7" s="52"/>
      <c r="E7" s="52"/>
      <c r="F7" s="52"/>
      <c r="G7" s="52"/>
      <c r="H7" s="52"/>
      <c r="I7" s="52">
        <v>3</v>
      </c>
      <c r="J7" s="53">
        <v>6</v>
      </c>
      <c r="K7" s="54"/>
      <c r="L7" s="55"/>
      <c r="M7" s="56">
        <v>2</v>
      </c>
      <c r="N7" s="57"/>
      <c r="O7" s="52">
        <v>1</v>
      </c>
      <c r="P7" s="53"/>
      <c r="Q7" s="53">
        <v>11</v>
      </c>
      <c r="R7" s="54"/>
      <c r="S7" s="55"/>
      <c r="T7" s="58">
        <f>H7+I7+J7+K7+N7+P7+R7</f>
        <v>9</v>
      </c>
      <c r="U7" s="58">
        <f>C7*24+M7*24+O7*24+Q7*24+T7</f>
        <v>825</v>
      </c>
      <c r="V7" s="58">
        <f>U7/24</f>
        <v>34.375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30+63+3</f>
        <v>96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2352</v>
      </c>
      <c r="V8" s="69">
        <f>U8/24</f>
        <v>98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54+90</f>
        <v>144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>
        <v>5</v>
      </c>
      <c r="R9" s="72"/>
      <c r="S9" s="55"/>
      <c r="T9" s="75">
        <f t="shared" si="0"/>
        <v>0</v>
      </c>
      <c r="U9" s="76">
        <f t="shared" ref="U9:U11" si="2">C9*24+M9*24+O9*24+Q9*24+T9</f>
        <v>3576</v>
      </c>
      <c r="V9" s="76">
        <f t="shared" ref="V9:V11" si="3">U9/24</f>
        <v>149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33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>
        <v>2</v>
      </c>
      <c r="R10" s="72"/>
      <c r="S10" s="55"/>
      <c r="T10" s="58">
        <f t="shared" si="0"/>
        <v>0</v>
      </c>
      <c r="U10" s="58">
        <f t="shared" si="2"/>
        <v>840</v>
      </c>
      <c r="V10" s="58">
        <f t="shared" si="3"/>
        <v>35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>
        <v>2</v>
      </c>
      <c r="K11" s="72"/>
      <c r="L11" s="55"/>
      <c r="M11" s="73"/>
      <c r="N11" s="74"/>
      <c r="O11" s="70"/>
      <c r="P11" s="71"/>
      <c r="Q11" s="71">
        <v>5</v>
      </c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34+144+72+504+1440+576+360</f>
        <v>3130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11</v>
      </c>
      <c r="N12" s="64">
        <v>12</v>
      </c>
      <c r="O12" s="65">
        <v>13</v>
      </c>
      <c r="P12" s="66">
        <v>12</v>
      </c>
      <c r="Q12" s="66">
        <v>5</v>
      </c>
      <c r="R12" s="67"/>
      <c r="S12" s="62"/>
      <c r="T12" s="69">
        <f t="shared" si="0"/>
        <v>24</v>
      </c>
      <c r="U12" s="69">
        <f>C12*24+M12*24+O12*24+Q12*24+T12</f>
        <v>75840</v>
      </c>
      <c r="V12" s="69">
        <f>U12/24</f>
        <v>3160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>
        <v>1</v>
      </c>
      <c r="R13" s="72"/>
      <c r="S13" s="55"/>
      <c r="T13" s="76">
        <f t="shared" si="0"/>
        <v>16</v>
      </c>
      <c r="U13" s="76">
        <f>C13*24+M13*24+O13*24+Q13*24+T13</f>
        <v>88</v>
      </c>
      <c r="V13" s="76">
        <f>U13/24</f>
        <v>3.6666666666666665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>
        <v>1</v>
      </c>
      <c r="R15" s="72"/>
      <c r="S15" s="55"/>
      <c r="T15" s="58">
        <f t="shared" si="0"/>
        <v>0</v>
      </c>
      <c r="U15" s="75">
        <f t="shared" si="4"/>
        <v>24</v>
      </c>
      <c r="V15" s="75">
        <f t="shared" si="5"/>
        <v>1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>
        <v>1</v>
      </c>
      <c r="R19" s="72"/>
      <c r="S19" s="55"/>
      <c r="T19" s="58">
        <f t="shared" si="0"/>
        <v>44</v>
      </c>
      <c r="U19" s="75">
        <f t="shared" si="4"/>
        <v>116</v>
      </c>
      <c r="V19" s="75">
        <f t="shared" si="5"/>
        <v>4.833333333333333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>
        <v>1</v>
      </c>
      <c r="R20" s="72"/>
      <c r="S20" s="55"/>
      <c r="T20" s="58">
        <f t="shared" si="0"/>
        <v>0</v>
      </c>
      <c r="U20" s="75">
        <f t="shared" si="4"/>
        <v>144</v>
      </c>
      <c r="V20" s="75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>
        <v>1</v>
      </c>
      <c r="R21" s="72"/>
      <c r="S21" s="55"/>
      <c r="T21" s="58">
        <f t="shared" si="0"/>
        <v>48</v>
      </c>
      <c r="U21" s="75">
        <f t="shared" si="4"/>
        <v>72</v>
      </c>
      <c r="V21" s="75">
        <f t="shared" si="5"/>
        <v>3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>
        <v>20</v>
      </c>
      <c r="I22" s="70"/>
      <c r="J22" s="71"/>
      <c r="K22" s="72"/>
      <c r="L22" s="55"/>
      <c r="M22" s="73"/>
      <c r="N22" s="74"/>
      <c r="O22" s="70"/>
      <c r="P22" s="71"/>
      <c r="Q22" s="71">
        <v>1</v>
      </c>
      <c r="R22" s="72"/>
      <c r="S22" s="55"/>
      <c r="T22" s="58">
        <f t="shared" si="0"/>
        <v>20</v>
      </c>
      <c r="U22" s="75">
        <f t="shared" si="4"/>
        <v>44</v>
      </c>
      <c r="V22" s="75">
        <f t="shared" si="5"/>
        <v>1.8333333333333333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>
        <v>1</v>
      </c>
      <c r="R24" s="72"/>
      <c r="S24" s="55"/>
      <c r="T24" s="58">
        <f t="shared" si="0"/>
        <v>72</v>
      </c>
      <c r="U24" s="75">
        <f t="shared" si="4"/>
        <v>216</v>
      </c>
      <c r="V24" s="75">
        <f t="shared" si="5"/>
        <v>9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63+63+21</f>
        <v>147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/>
      <c r="R25" s="72"/>
      <c r="S25" s="55"/>
      <c r="T25" s="58">
        <f t="shared" si="0"/>
        <v>1</v>
      </c>
      <c r="U25" s="75">
        <f t="shared" si="4"/>
        <v>3577</v>
      </c>
      <c r="V25" s="75">
        <f t="shared" si="5"/>
        <v>149.04166666666666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>
        <v>2</v>
      </c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63+34</f>
        <v>97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2</v>
      </c>
      <c r="P28" s="71"/>
      <c r="Q28" s="71">
        <v>10</v>
      </c>
      <c r="R28" s="72"/>
      <c r="S28" s="55"/>
      <c r="T28" s="58">
        <f t="shared" si="0"/>
        <v>0</v>
      </c>
      <c r="U28" s="75">
        <f t="shared" si="4"/>
        <v>2640</v>
      </c>
      <c r="V28" s="75">
        <f t="shared" si="5"/>
        <v>110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51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>
        <v>1</v>
      </c>
      <c r="P29" s="71"/>
      <c r="Q29" s="71">
        <v>10</v>
      </c>
      <c r="R29" s="72"/>
      <c r="S29" s="55"/>
      <c r="T29" s="58">
        <f t="shared" si="0"/>
        <v>5</v>
      </c>
      <c r="U29" s="75">
        <f t="shared" si="4"/>
        <v>1517</v>
      </c>
      <c r="V29" s="75">
        <f t="shared" si="5"/>
        <v>63.208333333333336</v>
      </c>
    </row>
    <row r="30" spans="1:54" x14ac:dyDescent="0.25">
      <c r="A30" s="27">
        <f t="shared" si="1"/>
        <v>27</v>
      </c>
      <c r="B30" s="26" t="s">
        <v>15</v>
      </c>
      <c r="C30" s="70">
        <f>10+3</f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>
        <v>2</v>
      </c>
      <c r="R32" s="72"/>
      <c r="S32" s="55"/>
      <c r="T32" s="58">
        <f t="shared" si="0"/>
        <v>0</v>
      </c>
      <c r="U32" s="75">
        <f t="shared" si="4"/>
        <v>144</v>
      </c>
      <c r="V32" s="75">
        <f t="shared" si="5"/>
        <v>6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>
        <v>2</v>
      </c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v>69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7</v>
      </c>
      <c r="R34" s="72"/>
      <c r="S34" s="55"/>
      <c r="T34" s="58">
        <f t="shared" si="0"/>
        <v>14</v>
      </c>
      <c r="U34" s="75">
        <f t="shared" si="4"/>
        <v>1910</v>
      </c>
      <c r="V34" s="75">
        <f t="shared" si="5"/>
        <v>79.583333333333329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>
        <v>1</v>
      </c>
      <c r="R36" s="72"/>
      <c r="S36" s="55"/>
      <c r="T36" s="58">
        <f t="shared" si="0"/>
        <v>0</v>
      </c>
      <c r="U36" s="75">
        <f t="shared" si="4"/>
        <v>24</v>
      </c>
      <c r="V36" s="75">
        <f t="shared" si="5"/>
        <v>1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540+3456+64+324</f>
        <v>4384</v>
      </c>
      <c r="D37" s="59"/>
      <c r="E37" s="59"/>
      <c r="F37" s="59"/>
      <c r="G37" s="59"/>
      <c r="H37" s="59"/>
      <c r="I37" s="59">
        <v>2</v>
      </c>
      <c r="J37" s="60">
        <v>2</v>
      </c>
      <c r="K37" s="61">
        <v>3</v>
      </c>
      <c r="L37" s="62"/>
      <c r="M37" s="63">
        <v>20</v>
      </c>
      <c r="N37" s="64"/>
      <c r="O37" s="65">
        <v>24</v>
      </c>
      <c r="P37" s="66"/>
      <c r="Q37" s="66">
        <v>102</v>
      </c>
      <c r="R37" s="67"/>
      <c r="S37" s="62"/>
      <c r="T37" s="77">
        <f t="shared" si="0"/>
        <v>7</v>
      </c>
      <c r="U37" s="77">
        <f>C37*6+M37*6+O37*6+Q37*6+T37</f>
        <v>27187</v>
      </c>
      <c r="V37" s="77">
        <f>U37/6</f>
        <v>4531.166666666667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63+28</f>
        <v>91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>
        <v>12</v>
      </c>
      <c r="Q40" s="66">
        <v>1</v>
      </c>
      <c r="R40" s="67"/>
      <c r="S40" s="62"/>
      <c r="T40" s="77">
        <f t="shared" si="0"/>
        <v>32</v>
      </c>
      <c r="U40" s="77">
        <f>C40*24+M40*24+O40*24+Q40*24+T40</f>
        <v>2288</v>
      </c>
      <c r="V40" s="77">
        <f>U40/24</f>
        <v>95.333333333333329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192+39</f>
        <v>231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6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3204</v>
      </c>
      <c r="V41" s="88">
        <f>U41/12</f>
        <v>267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7776+4212+3024+8424+5508+3024+5832</f>
        <v>37800</v>
      </c>
      <c r="D43" s="65"/>
      <c r="E43" s="65"/>
      <c r="F43" s="65"/>
      <c r="G43" s="65"/>
      <c r="H43" s="65"/>
      <c r="I43" s="65">
        <v>7</v>
      </c>
      <c r="J43" s="66">
        <f>6*9+1</f>
        <v>55</v>
      </c>
      <c r="K43" s="67">
        <f>69*6+7</f>
        <v>421</v>
      </c>
      <c r="L43" s="62"/>
      <c r="M43" s="63">
        <v>334</v>
      </c>
      <c r="N43" s="64"/>
      <c r="O43" s="65">
        <v>411</v>
      </c>
      <c r="P43" s="66"/>
      <c r="Q43" s="66">
        <v>348</v>
      </c>
      <c r="R43" s="67"/>
      <c r="S43" s="62"/>
      <c r="T43" s="77">
        <f t="shared" ref="T43" si="6">H43+I43+J43+K43+N43+P43+R43</f>
        <v>483</v>
      </c>
      <c r="U43" s="77">
        <f>C43*6+M43*6+O43*6+Q43*6+T43</f>
        <v>233841</v>
      </c>
      <c r="V43" s="77">
        <f>U43/6</f>
        <v>38973.5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>
        <v>1</v>
      </c>
      <c r="R45" s="72"/>
      <c r="S45" s="55"/>
      <c r="T45" s="75">
        <f t="shared" ref="T45:T54" si="7">H45+I45+J45+K45+N45+P45+R45</f>
        <v>0</v>
      </c>
      <c r="U45" s="75">
        <f>C45*24+M45*24+O45*24+Q45*24+T45</f>
        <v>24</v>
      </c>
      <c r="V45" s="75">
        <f>U45/24</f>
        <v>1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432+106+22+2160+71</f>
        <v>2791</v>
      </c>
      <c r="D47" s="65"/>
      <c r="E47" s="65"/>
      <c r="F47" s="65"/>
      <c r="G47" s="65"/>
      <c r="H47" s="65">
        <v>2</v>
      </c>
      <c r="I47" s="65"/>
      <c r="J47" s="66"/>
      <c r="K47" s="67">
        <v>4</v>
      </c>
      <c r="L47" s="62"/>
      <c r="M47" s="63"/>
      <c r="N47" s="64"/>
      <c r="O47" s="65">
        <v>5</v>
      </c>
      <c r="P47" s="66">
        <v>4</v>
      </c>
      <c r="Q47" s="66">
        <v>12</v>
      </c>
      <c r="R47" s="67">
        <v>3</v>
      </c>
      <c r="S47" s="62"/>
      <c r="T47" s="77">
        <f t="shared" si="7"/>
        <v>13</v>
      </c>
      <c r="U47" s="77">
        <f>C47*6+M47*6+O47*6+Q47*6+T47</f>
        <v>16861</v>
      </c>
      <c r="V47" s="77">
        <f>U47/6</f>
        <v>2810.1666666666665</v>
      </c>
    </row>
    <row r="48" spans="1:23" x14ac:dyDescent="0.25">
      <c r="A48" s="27">
        <f t="shared" si="1"/>
        <v>45</v>
      </c>
      <c r="B48" s="25" t="s">
        <v>58</v>
      </c>
      <c r="C48" s="70">
        <v>1</v>
      </c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>
        <v>1</v>
      </c>
      <c r="R49" s="72"/>
      <c r="S49" s="55"/>
      <c r="T49" s="75">
        <f t="shared" si="7"/>
        <v>0</v>
      </c>
      <c r="U49" s="75">
        <f t="shared" si="8"/>
        <v>48</v>
      </c>
      <c r="V49" s="75">
        <f t="shared" si="9"/>
        <v>2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>
        <v>1</v>
      </c>
      <c r="R52" s="72"/>
      <c r="S52" s="55"/>
      <c r="T52" s="75">
        <f t="shared" si="7"/>
        <v>0</v>
      </c>
      <c r="U52" s="75">
        <f t="shared" ref="U52:U54" si="10">C52*24+M52*24+O52*24+Q52*24+T52</f>
        <v>24</v>
      </c>
      <c r="V52" s="75">
        <f t="shared" si="9"/>
        <v>1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240</v>
      </c>
      <c r="V53" s="75">
        <f t="shared" si="9"/>
        <v>10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49169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1181</v>
      </c>
      <c r="I58" s="6">
        <f t="shared" si="11"/>
        <v>19</v>
      </c>
      <c r="J58" s="6">
        <f t="shared" si="11"/>
        <v>65</v>
      </c>
      <c r="K58" s="6">
        <f t="shared" si="11"/>
        <v>449</v>
      </c>
      <c r="M58" s="5">
        <f t="shared" ref="M58:R58" si="12">SUM(M7:M57)</f>
        <v>383</v>
      </c>
      <c r="N58" s="5">
        <f t="shared" si="12"/>
        <v>12</v>
      </c>
      <c r="O58" s="5">
        <f t="shared" si="12"/>
        <v>466</v>
      </c>
      <c r="P58" s="5">
        <f t="shared" si="12"/>
        <v>40</v>
      </c>
      <c r="Q58" s="5">
        <f t="shared" si="12"/>
        <v>560</v>
      </c>
      <c r="R58" s="5">
        <f t="shared" si="12"/>
        <v>3</v>
      </c>
      <c r="S58" s="55"/>
      <c r="T58" s="4">
        <f>SUM(T7:T57)</f>
        <v>1769</v>
      </c>
      <c r="U58" s="90">
        <f>SUM(U7:U57)</f>
        <v>379667</v>
      </c>
      <c r="V58" s="4">
        <f>SUM(V7:V57)</f>
        <v>50714.583333333336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FC253-41DB-4918-B98F-2A65359497C9}">
  <sheetPr>
    <pageSetUpPr fitToPage="1"/>
  </sheetPr>
  <dimension ref="A1:BB81"/>
  <sheetViews>
    <sheetView topLeftCell="A40" zoomScaleNormal="100" zoomScaleSheetLayoutView="115" workbookViewId="0">
      <selection activeCell="Q67" sqref="Q67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97"/>
      <c r="Q5" s="97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561</v>
      </c>
      <c r="V7" s="58">
        <f>U7/24</f>
        <v>23.375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61+33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>
        <v>2</v>
      </c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2352</v>
      </c>
      <c r="V8" s="69">
        <f>U8/24</f>
        <v>98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90+53</f>
        <v>143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3456</v>
      </c>
      <c r="V9" s="76">
        <f t="shared" ref="V9:V11" si="3">U9/24</f>
        <v>144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32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1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792</v>
      </c>
      <c r="V10" s="58">
        <f t="shared" si="3"/>
        <v>33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720+34+288+576+47+1440</f>
        <v>3105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26</v>
      </c>
      <c r="N12" s="64"/>
      <c r="O12" s="65">
        <v>10</v>
      </c>
      <c r="P12" s="66">
        <v>12</v>
      </c>
      <c r="Q12" s="66">
        <v>4</v>
      </c>
      <c r="R12" s="67"/>
      <c r="S12" s="62"/>
      <c r="T12" s="69">
        <f t="shared" si="0"/>
        <v>12</v>
      </c>
      <c r="U12" s="69">
        <f>C12*24+M12*24+O12*24+Q12*24+T12</f>
        <v>75492</v>
      </c>
      <c r="V12" s="69">
        <f>U12/24</f>
        <v>3145.5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126+19</f>
        <v>145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3</v>
      </c>
      <c r="N25" s="74"/>
      <c r="O25" s="70">
        <v>1</v>
      </c>
      <c r="P25" s="71"/>
      <c r="Q25" s="71"/>
      <c r="R25" s="72"/>
      <c r="S25" s="55"/>
      <c r="T25" s="58">
        <f t="shared" si="0"/>
        <v>1</v>
      </c>
      <c r="U25" s="75">
        <f t="shared" si="4"/>
        <v>3577</v>
      </c>
      <c r="V25" s="75">
        <f t="shared" si="5"/>
        <v>149.04166666666666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31+63</f>
        <v>94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4</v>
      </c>
      <c r="N28" s="74"/>
      <c r="O28" s="70">
        <v>2</v>
      </c>
      <c r="P28" s="71"/>
      <c r="Q28" s="71"/>
      <c r="R28" s="72"/>
      <c r="S28" s="55"/>
      <c r="T28" s="58">
        <f t="shared" si="0"/>
        <v>0</v>
      </c>
      <c r="U28" s="75">
        <f t="shared" si="4"/>
        <v>2400</v>
      </c>
      <c r="V28" s="75">
        <f t="shared" si="5"/>
        <v>100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51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1277</v>
      </c>
      <c r="V29" s="75">
        <f t="shared" si="5"/>
        <v>53.208333333333336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312</v>
      </c>
      <c r="V30" s="75">
        <f t="shared" si="5"/>
        <v>13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66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3</v>
      </c>
      <c r="N34" s="74"/>
      <c r="O34" s="70">
        <v>1</v>
      </c>
      <c r="P34" s="71">
        <v>12</v>
      </c>
      <c r="Q34" s="71">
        <v>7</v>
      </c>
      <c r="R34" s="72"/>
      <c r="S34" s="55"/>
      <c r="T34" s="58">
        <f t="shared" si="0"/>
        <v>14</v>
      </c>
      <c r="U34" s="75">
        <f t="shared" si="4"/>
        <v>1862</v>
      </c>
      <c r="V34" s="75">
        <f t="shared" si="5"/>
        <v>77.583333333333329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864+3456+54</f>
        <v>4374</v>
      </c>
      <c r="D37" s="59"/>
      <c r="E37" s="59"/>
      <c r="F37" s="59"/>
      <c r="G37" s="59"/>
      <c r="H37" s="59"/>
      <c r="I37" s="59">
        <v>2</v>
      </c>
      <c r="J37" s="60">
        <v>2</v>
      </c>
      <c r="K37" s="61">
        <v>3</v>
      </c>
      <c r="L37" s="62"/>
      <c r="M37" s="63">
        <v>19</v>
      </c>
      <c r="N37" s="64"/>
      <c r="O37" s="65">
        <v>23</v>
      </c>
      <c r="P37" s="66"/>
      <c r="Q37" s="66">
        <v>28</v>
      </c>
      <c r="R37" s="67"/>
      <c r="S37" s="62"/>
      <c r="T37" s="77">
        <f t="shared" si="0"/>
        <v>7</v>
      </c>
      <c r="U37" s="77">
        <f>C37*6+M37*6+O37*6+Q37*6+T37</f>
        <v>26671</v>
      </c>
      <c r="V37" s="77">
        <f>U37/6</f>
        <v>4445.166666666667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63+26</f>
        <v>89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3</v>
      </c>
      <c r="N40" s="64"/>
      <c r="O40" s="65">
        <v>1</v>
      </c>
      <c r="P40" s="66">
        <v>12</v>
      </c>
      <c r="Q40" s="66"/>
      <c r="R40" s="67"/>
      <c r="S40" s="62"/>
      <c r="T40" s="77">
        <f t="shared" si="0"/>
        <v>32</v>
      </c>
      <c r="U40" s="77">
        <f>C40*24+M40*24+O40*24+Q40*24+T40</f>
        <v>2264</v>
      </c>
      <c r="V40" s="77">
        <f>U40/24</f>
        <v>94.333333333333329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192+34</f>
        <v>226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13</v>
      </c>
      <c r="N41" s="87"/>
      <c r="O41" s="82">
        <v>6</v>
      </c>
      <c r="P41" s="83"/>
      <c r="Q41" s="83"/>
      <c r="R41" s="84"/>
      <c r="S41" s="85"/>
      <c r="T41" s="88">
        <f t="shared" si="0"/>
        <v>0</v>
      </c>
      <c r="U41" s="88">
        <f>C41*12+M41*12+O41*12+Q41*12+T41</f>
        <v>2940</v>
      </c>
      <c r="V41" s="88">
        <f>U41/12</f>
        <v>245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7776+3456+3024+8424+5508+3024+5832</f>
        <v>37044</v>
      </c>
      <c r="D43" s="65"/>
      <c r="E43" s="65"/>
      <c r="F43" s="65"/>
      <c r="G43" s="65"/>
      <c r="H43" s="65"/>
      <c r="I43" s="65">
        <f>7</f>
        <v>7</v>
      </c>
      <c r="J43" s="66">
        <f>6*9+1</f>
        <v>55</v>
      </c>
      <c r="K43" s="67">
        <f>69*6+7</f>
        <v>421</v>
      </c>
      <c r="L43" s="62"/>
      <c r="M43" s="63">
        <v>469</v>
      </c>
      <c r="N43" s="64"/>
      <c r="O43" s="65">
        <v>398</v>
      </c>
      <c r="P43" s="66"/>
      <c r="Q43" s="66">
        <v>2</v>
      </c>
      <c r="R43" s="67"/>
      <c r="S43" s="62"/>
      <c r="T43" s="77">
        <f t="shared" ref="T43" si="6">H43+I43+J43+K43+N43+P43+R43</f>
        <v>483</v>
      </c>
      <c r="U43" s="77">
        <f>C43*6+M43*6+O43*6+Q43*6+T43</f>
        <v>227961</v>
      </c>
      <c r="V43" s="77">
        <f>U43/6</f>
        <v>37993.5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14+432+106+2160+71</f>
        <v>2783</v>
      </c>
      <c r="D47" s="65"/>
      <c r="E47" s="65"/>
      <c r="F47" s="65"/>
      <c r="G47" s="65"/>
      <c r="H47" s="65">
        <v>2</v>
      </c>
      <c r="I47" s="65"/>
      <c r="J47" s="66"/>
      <c r="K47" s="67">
        <v>4</v>
      </c>
      <c r="L47" s="62"/>
      <c r="M47" s="63">
        <v>8</v>
      </c>
      <c r="N47" s="64"/>
      <c r="O47" s="65">
        <v>5</v>
      </c>
      <c r="P47" s="66">
        <v>4</v>
      </c>
      <c r="Q47" s="66">
        <v>2</v>
      </c>
      <c r="R47" s="67">
        <v>3</v>
      </c>
      <c r="S47" s="62"/>
      <c r="T47" s="77">
        <f t="shared" si="7"/>
        <v>13</v>
      </c>
      <c r="U47" s="77">
        <f>C47*6+M47*6+O47*6+Q47*6+T47</f>
        <v>16801</v>
      </c>
      <c r="V47" s="77">
        <f>U47/6</f>
        <v>2800.1666666666665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</v>
      </c>
      <c r="V49" s="75">
        <f t="shared" si="9"/>
        <v>1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48350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1185</v>
      </c>
      <c r="I58" s="6">
        <f t="shared" si="11"/>
        <v>38</v>
      </c>
      <c r="J58" s="6">
        <f t="shared" si="11"/>
        <v>58</v>
      </c>
      <c r="K58" s="6">
        <f t="shared" si="11"/>
        <v>457</v>
      </c>
      <c r="M58" s="5">
        <f t="shared" ref="M58:R58" si="12">SUM(M7:M57)</f>
        <v>554</v>
      </c>
      <c r="N58" s="5">
        <f t="shared" si="12"/>
        <v>0</v>
      </c>
      <c r="O58" s="5">
        <f t="shared" si="12"/>
        <v>449</v>
      </c>
      <c r="P58" s="5">
        <f t="shared" si="12"/>
        <v>40</v>
      </c>
      <c r="Q58" s="5">
        <f t="shared" si="12"/>
        <v>46</v>
      </c>
      <c r="R58" s="5">
        <f t="shared" si="12"/>
        <v>3</v>
      </c>
      <c r="S58" s="55"/>
      <c r="T58" s="4">
        <f>SUM(T7:T57)</f>
        <v>1781</v>
      </c>
      <c r="U58" s="90">
        <f>SUM(U7:U57)</f>
        <v>371015</v>
      </c>
      <c r="V58" s="4">
        <f>SUM(V7:V57)</f>
        <v>49536.083333333336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B8CD2-395D-43D6-BA4D-0BFC9B6269E5}">
  <sheetPr>
    <pageSetUpPr fitToPage="1"/>
  </sheetPr>
  <dimension ref="A1:BB81"/>
  <sheetViews>
    <sheetView topLeftCell="A34" zoomScaleNormal="100" zoomScaleSheetLayoutView="115" workbookViewId="0">
      <selection activeCell="AC54" sqref="AC54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98"/>
      <c r="Q5" s="98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561</v>
      </c>
      <c r="V7" s="58">
        <f>U7/24</f>
        <v>23.375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61+33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2304</v>
      </c>
      <c r="V8" s="69">
        <f>U8/24</f>
        <v>96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90+49</f>
        <v>139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2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3432</v>
      </c>
      <c r="V9" s="76">
        <f t="shared" ref="V9:V11" si="3">U9/24</f>
        <v>143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23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>
        <v>2</v>
      </c>
      <c r="P10" s="71"/>
      <c r="Q10" s="71">
        <v>7</v>
      </c>
      <c r="R10" s="72"/>
      <c r="S10" s="55"/>
      <c r="T10" s="58">
        <f t="shared" si="0"/>
        <v>0</v>
      </c>
      <c r="U10" s="58">
        <f t="shared" si="2"/>
        <v>768</v>
      </c>
      <c r="V10" s="58">
        <f t="shared" si="3"/>
        <v>32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720+34+1440+288+576+19</f>
        <v>3077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21</v>
      </c>
      <c r="N12" s="64"/>
      <c r="O12" s="65">
        <v>10</v>
      </c>
      <c r="P12" s="66"/>
      <c r="Q12" s="66">
        <v>24</v>
      </c>
      <c r="R12" s="67"/>
      <c r="S12" s="62"/>
      <c r="T12" s="69">
        <f t="shared" si="0"/>
        <v>0</v>
      </c>
      <c r="U12" s="69">
        <f>C12*24+M12*24+O12*24+Q12*24+T12</f>
        <v>75168</v>
      </c>
      <c r="V12" s="69">
        <f>U12/24</f>
        <v>3132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126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>
        <v>20</v>
      </c>
      <c r="R25" s="72"/>
      <c r="S25" s="55"/>
      <c r="T25" s="58">
        <f t="shared" si="0"/>
        <v>1</v>
      </c>
      <c r="U25" s="75">
        <f t="shared" si="4"/>
        <v>3529</v>
      </c>
      <c r="V25" s="75">
        <f t="shared" si="5"/>
        <v>147.04166666666666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49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27</v>
      </c>
      <c r="N28" s="74"/>
      <c r="O28" s="70">
        <v>2</v>
      </c>
      <c r="P28" s="71"/>
      <c r="Q28" s="71">
        <v>20</v>
      </c>
      <c r="R28" s="72"/>
      <c r="S28" s="55"/>
      <c r="T28" s="58">
        <f t="shared" si="0"/>
        <v>0</v>
      </c>
      <c r="U28" s="75">
        <f t="shared" si="4"/>
        <v>2352</v>
      </c>
      <c r="V28" s="75">
        <f t="shared" si="5"/>
        <v>98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51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1277</v>
      </c>
      <c r="V29" s="75">
        <f t="shared" si="5"/>
        <v>53.208333333333336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312</v>
      </c>
      <c r="V30" s="75">
        <f t="shared" si="5"/>
        <v>13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66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7</v>
      </c>
      <c r="R34" s="72"/>
      <c r="S34" s="55"/>
      <c r="T34" s="58">
        <f t="shared" si="0"/>
        <v>14</v>
      </c>
      <c r="U34" s="75">
        <f t="shared" si="4"/>
        <v>1838</v>
      </c>
      <c r="V34" s="75">
        <f t="shared" si="5"/>
        <v>76.583333333333329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864+3240+44</f>
        <v>4148</v>
      </c>
      <c r="D37" s="59"/>
      <c r="E37" s="59"/>
      <c r="F37" s="59"/>
      <c r="G37" s="59"/>
      <c r="H37" s="59"/>
      <c r="I37" s="59">
        <v>2</v>
      </c>
      <c r="J37" s="60">
        <v>2</v>
      </c>
      <c r="K37" s="61">
        <v>3</v>
      </c>
      <c r="L37" s="62"/>
      <c r="M37" s="63">
        <v>127</v>
      </c>
      <c r="N37" s="64"/>
      <c r="O37" s="65">
        <v>23</v>
      </c>
      <c r="P37" s="66"/>
      <c r="Q37" s="66">
        <v>136</v>
      </c>
      <c r="R37" s="67"/>
      <c r="S37" s="62"/>
      <c r="T37" s="77">
        <f t="shared" si="0"/>
        <v>7</v>
      </c>
      <c r="U37" s="77">
        <f>C37*6+M37*6+O37*6+Q37*6+T37</f>
        <v>26611</v>
      </c>
      <c r="V37" s="77">
        <f>U37/6</f>
        <v>4435.166666666667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63+24</f>
        <v>87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1</v>
      </c>
      <c r="P40" s="66">
        <v>12</v>
      </c>
      <c r="Q40" s="66">
        <v>2</v>
      </c>
      <c r="R40" s="67"/>
      <c r="S40" s="62"/>
      <c r="T40" s="77">
        <f t="shared" si="0"/>
        <v>32</v>
      </c>
      <c r="U40" s="77">
        <f>C40*24+M40*24+O40*24+Q40*24+T40</f>
        <v>2240</v>
      </c>
      <c r="V40" s="77">
        <f>U40/24</f>
        <v>93.333333333333329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96+60</f>
        <v>156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58</v>
      </c>
      <c r="N41" s="87"/>
      <c r="O41" s="82">
        <v>6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2880</v>
      </c>
      <c r="V41" s="88">
        <f>U41/12</f>
        <v>240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7776+2484+72+3024+8424+5508+3024+5832</f>
        <v>36144</v>
      </c>
      <c r="D43" s="65"/>
      <c r="E43" s="65"/>
      <c r="F43" s="65"/>
      <c r="G43" s="65"/>
      <c r="H43" s="65"/>
      <c r="I43" s="65">
        <v>7</v>
      </c>
      <c r="J43" s="66">
        <f>10*6+1</f>
        <v>61</v>
      </c>
      <c r="K43" s="67">
        <f>69*6+7</f>
        <v>421</v>
      </c>
      <c r="L43" s="62"/>
      <c r="M43" s="63">
        <v>399</v>
      </c>
      <c r="N43" s="64"/>
      <c r="O43" s="65">
        <v>387</v>
      </c>
      <c r="P43" s="66"/>
      <c r="Q43" s="66">
        <v>541</v>
      </c>
      <c r="R43" s="67"/>
      <c r="S43" s="62"/>
      <c r="T43" s="77">
        <f t="shared" ref="T43" si="6">H43+I43+J43+K43+N43+P43+R43</f>
        <v>489</v>
      </c>
      <c r="U43" s="77">
        <f>C43*6+M43*6+O43*6+Q43*6+T43</f>
        <v>225315</v>
      </c>
      <c r="V43" s="77">
        <f>U43/6</f>
        <v>37552.5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14+432+106+2160+71</f>
        <v>2783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6</v>
      </c>
      <c r="N47" s="64"/>
      <c r="O47" s="65">
        <v>5</v>
      </c>
      <c r="P47" s="66">
        <v>4</v>
      </c>
      <c r="Q47" s="66">
        <v>2</v>
      </c>
      <c r="R47" s="67">
        <v>3</v>
      </c>
      <c r="S47" s="62"/>
      <c r="T47" s="77">
        <f t="shared" si="7"/>
        <v>13</v>
      </c>
      <c r="U47" s="77">
        <f>C47*6+M47*6+O47*6+Q47*6+T47</f>
        <v>16789</v>
      </c>
      <c r="V47" s="77">
        <f>U47/6</f>
        <v>2798.1666666666665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>
        <v>1</v>
      </c>
      <c r="R49" s="72"/>
      <c r="S49" s="55"/>
      <c r="T49" s="75">
        <f t="shared" si="7"/>
        <v>0</v>
      </c>
      <c r="U49" s="75">
        <f t="shared" si="8"/>
        <v>24</v>
      </c>
      <c r="V49" s="75">
        <f t="shared" si="9"/>
        <v>1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47046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1184</v>
      </c>
      <c r="I58" s="6">
        <f t="shared" si="11"/>
        <v>38</v>
      </c>
      <c r="J58" s="6">
        <f t="shared" si="11"/>
        <v>65</v>
      </c>
      <c r="K58" s="6">
        <f t="shared" si="11"/>
        <v>457</v>
      </c>
      <c r="M58" s="5">
        <f t="shared" ref="M58:R58" si="12">SUM(M7:M57)</f>
        <v>645</v>
      </c>
      <c r="N58" s="5">
        <f t="shared" si="12"/>
        <v>0</v>
      </c>
      <c r="O58" s="5">
        <f t="shared" si="12"/>
        <v>441</v>
      </c>
      <c r="P58" s="5">
        <f t="shared" si="12"/>
        <v>28</v>
      </c>
      <c r="Q58" s="5">
        <f t="shared" si="12"/>
        <v>785</v>
      </c>
      <c r="R58" s="5">
        <f t="shared" si="12"/>
        <v>3</v>
      </c>
      <c r="S58" s="55"/>
      <c r="T58" s="4">
        <f>SUM(T7:T57)</f>
        <v>1775</v>
      </c>
      <c r="U58" s="90">
        <f>SUM(U7:U57)</f>
        <v>367673</v>
      </c>
      <c r="V58" s="4">
        <f>SUM(V7:V57)</f>
        <v>49054.583333333336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73CE5-2315-4869-BE9F-BD6543F78682}">
  <sheetPr>
    <pageSetUpPr fitToPage="1"/>
  </sheetPr>
  <dimension ref="A1:BB81"/>
  <sheetViews>
    <sheetView topLeftCell="A31" zoomScaleNormal="100" zoomScaleSheetLayoutView="115" workbookViewId="0">
      <selection activeCell="AC52" sqref="AC5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99"/>
      <c r="Q5" s="99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561</v>
      </c>
      <c r="V7" s="58">
        <f>U7/24</f>
        <v>23.375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61+33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2304</v>
      </c>
      <c r="V8" s="69">
        <f>U8/24</f>
        <v>96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90+49</f>
        <v>139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3336</v>
      </c>
      <c r="V9" s="76">
        <f t="shared" ref="V9:V11" si="3">U9/24</f>
        <v>139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23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552</v>
      </c>
      <c r="V10" s="58">
        <f t="shared" si="3"/>
        <v>23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720+34+1440+288+576</f>
        <v>3058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4</v>
      </c>
      <c r="N12" s="64">
        <v>12</v>
      </c>
      <c r="O12" s="65">
        <v>9</v>
      </c>
      <c r="P12" s="66"/>
      <c r="Q12" s="66">
        <v>19</v>
      </c>
      <c r="R12" s="67"/>
      <c r="S12" s="62"/>
      <c r="T12" s="69">
        <f t="shared" si="0"/>
        <v>12</v>
      </c>
      <c r="U12" s="69">
        <f>C12*24+M12*24+O12*24+Q12*24+T12</f>
        <v>74172</v>
      </c>
      <c r="V12" s="69">
        <f>U12/24</f>
        <v>3090.5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1*24+20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63+61</f>
        <v>124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3049</v>
      </c>
      <c r="V25" s="75">
        <f t="shared" si="5"/>
        <v>127.04166666666667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45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2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1248</v>
      </c>
      <c r="V28" s="75">
        <f t="shared" si="5"/>
        <v>52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51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1277</v>
      </c>
      <c r="V29" s="75">
        <f t="shared" si="5"/>
        <v>53.208333333333336</v>
      </c>
    </row>
    <row r="30" spans="1:54" x14ac:dyDescent="0.25">
      <c r="A30" s="27">
        <f t="shared" si="1"/>
        <v>27</v>
      </c>
      <c r="B30" s="26" t="s">
        <v>15</v>
      </c>
      <c r="C30" s="70">
        <v>12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312</v>
      </c>
      <c r="V30" s="75">
        <f t="shared" si="5"/>
        <v>13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66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7</v>
      </c>
      <c r="R34" s="72"/>
      <c r="S34" s="55"/>
      <c r="T34" s="58">
        <f t="shared" si="0"/>
        <v>14</v>
      </c>
      <c r="U34" s="75">
        <f t="shared" si="4"/>
        <v>1838</v>
      </c>
      <c r="V34" s="75">
        <f t="shared" si="5"/>
        <v>76.583333333333329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864+3132+68</f>
        <v>4064</v>
      </c>
      <c r="D37" s="59"/>
      <c r="E37" s="59"/>
      <c r="F37" s="59"/>
      <c r="G37" s="59"/>
      <c r="H37" s="59">
        <v>2</v>
      </c>
      <c r="I37" s="59"/>
      <c r="J37" s="60">
        <v>2</v>
      </c>
      <c r="K37" s="61">
        <v>3</v>
      </c>
      <c r="L37" s="62"/>
      <c r="M37" s="63">
        <v>10</v>
      </c>
      <c r="N37" s="64"/>
      <c r="O37" s="65">
        <v>30</v>
      </c>
      <c r="P37" s="66"/>
      <c r="Q37" s="66">
        <v>55</v>
      </c>
      <c r="R37" s="67"/>
      <c r="S37" s="62"/>
      <c r="T37" s="77">
        <f t="shared" si="0"/>
        <v>7</v>
      </c>
      <c r="U37" s="77">
        <f>C37*6+M37*6+O37*6+Q37*6+T37</f>
        <v>24961</v>
      </c>
      <c r="V37" s="77">
        <f>U37/6</f>
        <v>4160.166666666667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v>23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>
        <v>12</v>
      </c>
      <c r="Q40" s="66">
        <v>2</v>
      </c>
      <c r="R40" s="67"/>
      <c r="S40" s="62"/>
      <c r="T40" s="77">
        <f t="shared" si="0"/>
        <v>32</v>
      </c>
      <c r="U40" s="77">
        <f>C40*24+M40*24+O40*24+Q40*24+T40</f>
        <v>680</v>
      </c>
      <c r="V40" s="77">
        <f>U40/24</f>
        <v>28.333333333333332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96+40</f>
        <v>136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8</v>
      </c>
      <c r="N41" s="87"/>
      <c r="O41" s="82">
        <v>5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2028</v>
      </c>
      <c r="V41" s="88">
        <f>U41/12</f>
        <v>169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7776+1836+3024+8424+5508+3024+5832</f>
        <v>35424</v>
      </c>
      <c r="D43" s="65"/>
      <c r="E43" s="65"/>
      <c r="F43" s="65"/>
      <c r="G43" s="65"/>
      <c r="H43" s="65">
        <v>7</v>
      </c>
      <c r="I43" s="65">
        <f>10*6+1</f>
        <v>61</v>
      </c>
      <c r="J43" s="66">
        <f>69*6+7</f>
        <v>421</v>
      </c>
      <c r="K43" s="67"/>
      <c r="L43" s="62"/>
      <c r="M43" s="63">
        <v>29</v>
      </c>
      <c r="N43" s="64"/>
      <c r="O43" s="65">
        <v>378</v>
      </c>
      <c r="P43" s="66"/>
      <c r="Q43" s="66">
        <v>434</v>
      </c>
      <c r="R43" s="67"/>
      <c r="S43" s="62"/>
      <c r="T43" s="77">
        <f t="shared" ref="T43" si="6">H43+I43+J43+K43+N43+P43+R43</f>
        <v>489</v>
      </c>
      <c r="U43" s="77">
        <f>C43*6+M43*6+O43*6+Q43*6+T43</f>
        <v>218079</v>
      </c>
      <c r="V43" s="77">
        <f>U43/6</f>
        <v>36346.5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14+432+106+71+2160</f>
        <v>2783</v>
      </c>
      <c r="D47" s="65"/>
      <c r="E47" s="65"/>
      <c r="F47" s="65"/>
      <c r="G47" s="65"/>
      <c r="H47" s="65">
        <v>1</v>
      </c>
      <c r="I47" s="65">
        <v>1</v>
      </c>
      <c r="J47" s="66"/>
      <c r="K47" s="67">
        <v>4</v>
      </c>
      <c r="L47" s="62"/>
      <c r="M47" s="63">
        <v>3</v>
      </c>
      <c r="N47" s="64"/>
      <c r="O47" s="65">
        <v>5</v>
      </c>
      <c r="P47" s="66">
        <v>4</v>
      </c>
      <c r="Q47" s="66">
        <v>2</v>
      </c>
      <c r="R47" s="67">
        <v>3</v>
      </c>
      <c r="S47" s="62"/>
      <c r="T47" s="77">
        <f t="shared" si="7"/>
        <v>13</v>
      </c>
      <c r="U47" s="77">
        <f>C47*6+M47*6+O47*6+Q47*6+T47</f>
        <v>16771</v>
      </c>
      <c r="V47" s="77">
        <f>U47/6</f>
        <v>2795.1666666666665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46132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1193</v>
      </c>
      <c r="I58" s="6">
        <f t="shared" si="11"/>
        <v>92</v>
      </c>
      <c r="J58" s="6">
        <f t="shared" si="11"/>
        <v>423</v>
      </c>
      <c r="K58" s="6">
        <f t="shared" si="11"/>
        <v>36</v>
      </c>
      <c r="M58" s="5">
        <f t="shared" ref="M58:R58" si="12">SUM(M7:M57)</f>
        <v>61</v>
      </c>
      <c r="N58" s="5">
        <f t="shared" si="12"/>
        <v>12</v>
      </c>
      <c r="O58" s="5">
        <f t="shared" si="12"/>
        <v>433</v>
      </c>
      <c r="P58" s="5">
        <f t="shared" si="12"/>
        <v>28</v>
      </c>
      <c r="Q58" s="5">
        <f t="shared" si="12"/>
        <v>549</v>
      </c>
      <c r="R58" s="5">
        <f t="shared" si="12"/>
        <v>3</v>
      </c>
      <c r="S58" s="55"/>
      <c r="T58" s="4">
        <f>SUM(T7:T57)</f>
        <v>1787</v>
      </c>
      <c r="U58" s="90">
        <f>SUM(U7:U57)</f>
        <v>353441</v>
      </c>
      <c r="V58" s="4">
        <f>SUM(V7:V57)</f>
        <v>47313.083333333328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DA74C-20E5-4035-B6CA-2758DFD4669B}">
  <sheetPr>
    <pageSetUpPr fitToPage="1"/>
  </sheetPr>
  <dimension ref="A1:BB81"/>
  <sheetViews>
    <sheetView topLeftCell="A34" zoomScaleNormal="100" zoomScaleSheetLayoutView="115" workbookViewId="0">
      <selection activeCell="AB58" sqref="AB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100"/>
      <c r="Q5" s="100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0"/>
      <c r="K6" s="38"/>
      <c r="M6" s="37"/>
      <c r="N6" s="49"/>
      <c r="O6" s="40"/>
      <c r="P6" s="100"/>
      <c r="Q6" s="100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561</v>
      </c>
      <c r="V7" s="58">
        <f>U7/24</f>
        <v>23.375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61+33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2304</v>
      </c>
      <c r="V8" s="69">
        <f>U8/24</f>
        <v>96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90+49</f>
        <v>139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3336</v>
      </c>
      <c r="V9" s="76">
        <f t="shared" ref="V9:V11" si="3">U9/24</f>
        <v>139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16+7</f>
        <v>23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552</v>
      </c>
      <c r="V10" s="58">
        <f t="shared" si="3"/>
        <v>23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720+34+1440+216+576+47</f>
        <v>3033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4</v>
      </c>
      <c r="N12" s="64">
        <v>12</v>
      </c>
      <c r="O12" s="65">
        <v>15</v>
      </c>
      <c r="P12" s="66"/>
      <c r="Q12" s="66">
        <v>20</v>
      </c>
      <c r="R12" s="67">
        <v>12</v>
      </c>
      <c r="S12" s="62"/>
      <c r="T12" s="69">
        <f t="shared" si="0"/>
        <v>24</v>
      </c>
      <c r="U12" s="69">
        <f>C12*24+M12*24+O12*24+Q12*24+T12</f>
        <v>73752</v>
      </c>
      <c r="V12" s="69">
        <f>U12/24</f>
        <v>3073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24*37+19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63+59</f>
        <v>122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3001</v>
      </c>
      <c r="V25" s="75">
        <f t="shared" si="5"/>
        <v>125.04166666666667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40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2</v>
      </c>
      <c r="P28" s="71"/>
      <c r="Q28" s="71">
        <v>5</v>
      </c>
      <c r="R28" s="72"/>
      <c r="S28" s="55"/>
      <c r="T28" s="58">
        <f t="shared" si="0"/>
        <v>0</v>
      </c>
      <c r="U28" s="75">
        <f t="shared" si="4"/>
        <v>1152</v>
      </c>
      <c r="V28" s="75">
        <f t="shared" si="5"/>
        <v>48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51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1277</v>
      </c>
      <c r="V29" s="75">
        <f t="shared" si="5"/>
        <v>53.208333333333336</v>
      </c>
    </row>
    <row r="30" spans="1:54" x14ac:dyDescent="0.25">
      <c r="A30" s="27">
        <f t="shared" si="1"/>
        <v>27</v>
      </c>
      <c r="B30" s="26" t="s">
        <v>15</v>
      </c>
      <c r="C30" s="70">
        <v>12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65+1</f>
        <v>66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5</v>
      </c>
      <c r="R34" s="72"/>
      <c r="S34" s="55"/>
      <c r="T34" s="58">
        <f t="shared" si="0"/>
        <v>14</v>
      </c>
      <c r="U34" s="75">
        <f t="shared" si="4"/>
        <v>1790</v>
      </c>
      <c r="V34" s="75">
        <f t="shared" si="5"/>
        <v>74.583333333333329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864+3024+82</f>
        <v>3970</v>
      </c>
      <c r="D37" s="59"/>
      <c r="E37" s="59"/>
      <c r="F37" s="59"/>
      <c r="G37" s="59"/>
      <c r="H37" s="59"/>
      <c r="I37" s="59">
        <v>2</v>
      </c>
      <c r="J37" s="60">
        <v>2</v>
      </c>
      <c r="K37" s="61">
        <v>3</v>
      </c>
      <c r="L37" s="62"/>
      <c r="M37" s="63">
        <v>10</v>
      </c>
      <c r="N37" s="64"/>
      <c r="O37" s="65">
        <v>50</v>
      </c>
      <c r="P37" s="66"/>
      <c r="Q37" s="66">
        <v>77</v>
      </c>
      <c r="R37" s="67"/>
      <c r="S37" s="62"/>
      <c r="T37" s="77">
        <f t="shared" si="0"/>
        <v>7</v>
      </c>
      <c r="U37" s="77">
        <f>C37*6+M37*6+O37*6+Q37*6+T37</f>
        <v>24649</v>
      </c>
      <c r="V37" s="77">
        <f>U37/6</f>
        <v>4108.166666666667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v>23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>
        <v>12</v>
      </c>
      <c r="Q40" s="66">
        <v>2</v>
      </c>
      <c r="R40" s="67"/>
      <c r="S40" s="62"/>
      <c r="T40" s="77">
        <f t="shared" si="0"/>
        <v>32</v>
      </c>
      <c r="U40" s="77">
        <f>C40*24+M40*24+O40*24+Q40*24+T40</f>
        <v>680</v>
      </c>
      <c r="V40" s="77">
        <f>U40/24</f>
        <v>28.333333333333332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96+17</f>
        <v>113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8</v>
      </c>
      <c r="N41" s="87"/>
      <c r="O41" s="82">
        <v>8</v>
      </c>
      <c r="P41" s="83"/>
      <c r="Q41" s="83">
        <v>16</v>
      </c>
      <c r="R41" s="84"/>
      <c r="S41" s="85"/>
      <c r="T41" s="88">
        <f t="shared" si="0"/>
        <v>0</v>
      </c>
      <c r="U41" s="88">
        <f>C41*12+M41*12+O41*12+Q41*12+T41</f>
        <v>1740</v>
      </c>
      <c r="V41" s="88">
        <f>U41/12</f>
        <v>145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7776+864+52+3024+8424+5508+3024+5832</f>
        <v>34504</v>
      </c>
      <c r="D43" s="65"/>
      <c r="E43" s="65"/>
      <c r="F43" s="65"/>
      <c r="G43" s="65"/>
      <c r="H43" s="65"/>
      <c r="I43" s="65">
        <v>7</v>
      </c>
      <c r="J43" s="66">
        <f>10*6+1</f>
        <v>61</v>
      </c>
      <c r="K43" s="67">
        <f>69*6+7</f>
        <v>421</v>
      </c>
      <c r="L43" s="62"/>
      <c r="M43" s="63">
        <v>29</v>
      </c>
      <c r="N43" s="64"/>
      <c r="O43" s="65">
        <v>482</v>
      </c>
      <c r="P43" s="66"/>
      <c r="Q43" s="66">
        <v>477</v>
      </c>
      <c r="R43" s="67"/>
      <c r="S43" s="62"/>
      <c r="T43" s="77">
        <f t="shared" ref="T43" si="6">H43+I43+J43+K43+N43+P43+R43</f>
        <v>489</v>
      </c>
      <c r="U43" s="77">
        <f>C43*6+M43*6+O43*6+Q43*6+T43</f>
        <v>213441</v>
      </c>
      <c r="V43" s="77">
        <f>U43/6</f>
        <v>35573.5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14+432+106+2160+71</f>
        <v>2783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3</v>
      </c>
      <c r="N47" s="64"/>
      <c r="O47" s="65">
        <v>5</v>
      </c>
      <c r="P47" s="66">
        <v>4</v>
      </c>
      <c r="Q47" s="66">
        <v>2</v>
      </c>
      <c r="R47" s="67">
        <v>3</v>
      </c>
      <c r="S47" s="62"/>
      <c r="T47" s="77">
        <f t="shared" si="7"/>
        <v>13</v>
      </c>
      <c r="U47" s="77">
        <f>C47*6+M47*6+O47*6+Q47*6+T47</f>
        <v>16771</v>
      </c>
      <c r="V47" s="77">
        <f>U47/6</f>
        <v>2795.1666666666665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45063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1184</v>
      </c>
      <c r="I58" s="6">
        <f t="shared" si="11"/>
        <v>39</v>
      </c>
      <c r="J58" s="6">
        <f t="shared" si="11"/>
        <v>64</v>
      </c>
      <c r="K58" s="6">
        <f t="shared" si="11"/>
        <v>457</v>
      </c>
      <c r="M58" s="5">
        <f t="shared" ref="M58:R58" si="12">SUM(M7:M57)</f>
        <v>61</v>
      </c>
      <c r="N58" s="5">
        <f t="shared" si="12"/>
        <v>12</v>
      </c>
      <c r="O58" s="5">
        <f t="shared" si="12"/>
        <v>566</v>
      </c>
      <c r="P58" s="5">
        <f t="shared" si="12"/>
        <v>28</v>
      </c>
      <c r="Q58" s="5">
        <f t="shared" si="12"/>
        <v>609</v>
      </c>
      <c r="R58" s="5">
        <f t="shared" si="12"/>
        <v>15</v>
      </c>
      <c r="S58" s="55"/>
      <c r="T58" s="4">
        <f>SUM(T7:T57)</f>
        <v>1799</v>
      </c>
      <c r="U58" s="90">
        <f>SUM(U7:U57)</f>
        <v>347567</v>
      </c>
      <c r="V58" s="4">
        <f>SUM(V7:V57)</f>
        <v>46437.583333333328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BC2308-B0E6-4A75-AB2A-FD7C2169E77B}">
  <sheetPr>
    <pageSetUpPr fitToPage="1"/>
  </sheetPr>
  <dimension ref="A1:BB81"/>
  <sheetViews>
    <sheetView topLeftCell="A37" zoomScaleNormal="100" zoomScaleSheetLayoutView="115" workbookViewId="0">
      <selection activeCell="P62" sqref="P6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101"/>
      <c r="Q5" s="101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1"/>
      <c r="K6" s="38"/>
      <c r="M6" s="37"/>
      <c r="N6" s="49"/>
      <c r="O6" s="40"/>
      <c r="P6" s="101"/>
      <c r="Q6" s="101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561</v>
      </c>
      <c r="V7" s="58">
        <f>U7/24</f>
        <v>23.375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61+33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2304</v>
      </c>
      <c r="V8" s="69">
        <f>U8/24</f>
        <v>96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90+47</f>
        <v>137</v>
      </c>
      <c r="D9" s="70"/>
      <c r="E9" s="70"/>
      <c r="F9" s="70"/>
      <c r="G9" s="70"/>
      <c r="H9" s="70"/>
      <c r="I9" s="70"/>
      <c r="J9" s="71"/>
      <c r="K9" s="72"/>
      <c r="L9" s="55"/>
      <c r="M9" s="73">
        <v>2</v>
      </c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3336</v>
      </c>
      <c r="V9" s="76">
        <f t="shared" ref="V9:V11" si="3">U9/24</f>
        <v>139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21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2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552</v>
      </c>
      <c r="V10" s="58">
        <f t="shared" si="3"/>
        <v>23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720+34+1440+216+576+19</f>
        <v>3005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9</v>
      </c>
      <c r="N12" s="64">
        <v>12</v>
      </c>
      <c r="O12" s="65">
        <v>13</v>
      </c>
      <c r="P12" s="66"/>
      <c r="Q12" s="66">
        <v>20</v>
      </c>
      <c r="R12" s="67"/>
      <c r="S12" s="62"/>
      <c r="T12" s="69">
        <f t="shared" si="0"/>
        <v>12</v>
      </c>
      <c r="U12" s="69">
        <f>C12*24+M12*24+O12*24+Q12*24+T12</f>
        <v>73140</v>
      </c>
      <c r="V12" s="69">
        <f>U12/24</f>
        <v>3047.5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63+59</f>
        <v>122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/>
      <c r="P25" s="71"/>
      <c r="Q25" s="71">
        <v>1</v>
      </c>
      <c r="R25" s="72"/>
      <c r="S25" s="55"/>
      <c r="T25" s="58">
        <f t="shared" si="0"/>
        <v>1</v>
      </c>
      <c r="U25" s="75">
        <f t="shared" si="4"/>
        <v>2977</v>
      </c>
      <c r="V25" s="75">
        <f t="shared" si="5"/>
        <v>124.04166666666667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33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2</v>
      </c>
      <c r="P28" s="71"/>
      <c r="Q28" s="71">
        <v>7</v>
      </c>
      <c r="R28" s="72"/>
      <c r="S28" s="55"/>
      <c r="T28" s="58">
        <f t="shared" si="0"/>
        <v>0</v>
      </c>
      <c r="U28" s="75">
        <f t="shared" si="4"/>
        <v>1032</v>
      </c>
      <c r="V28" s="75">
        <f t="shared" si="5"/>
        <v>43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49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>
        <v>1</v>
      </c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1277</v>
      </c>
      <c r="V29" s="75">
        <f t="shared" si="5"/>
        <v>53.208333333333336</v>
      </c>
    </row>
    <row r="30" spans="1:54" x14ac:dyDescent="0.25">
      <c r="A30" s="27">
        <f t="shared" si="1"/>
        <v>27</v>
      </c>
      <c r="B30" s="26" t="s">
        <v>15</v>
      </c>
      <c r="C30" s="70">
        <v>11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66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5</v>
      </c>
      <c r="R34" s="72"/>
      <c r="S34" s="55"/>
      <c r="T34" s="58">
        <f t="shared" si="0"/>
        <v>14</v>
      </c>
      <c r="U34" s="75">
        <f t="shared" si="4"/>
        <v>1790</v>
      </c>
      <c r="V34" s="75">
        <f t="shared" si="5"/>
        <v>74.583333333333329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864+2916+58</f>
        <v>3838</v>
      </c>
      <c r="D37" s="59"/>
      <c r="E37" s="59"/>
      <c r="F37" s="59"/>
      <c r="G37" s="59"/>
      <c r="H37" s="59"/>
      <c r="I37" s="59">
        <v>2</v>
      </c>
      <c r="J37" s="60">
        <v>2</v>
      </c>
      <c r="K37" s="61">
        <v>3</v>
      </c>
      <c r="L37" s="62"/>
      <c r="M37" s="63">
        <v>21</v>
      </c>
      <c r="N37" s="64"/>
      <c r="O37" s="65">
        <v>30</v>
      </c>
      <c r="P37" s="66"/>
      <c r="Q37" s="66">
        <v>109</v>
      </c>
      <c r="R37" s="67"/>
      <c r="S37" s="62"/>
      <c r="T37" s="77">
        <f t="shared" si="0"/>
        <v>7</v>
      </c>
      <c r="U37" s="77">
        <f>C37*6+M37*6+O37*6+Q37*6+T37</f>
        <v>23995</v>
      </c>
      <c r="V37" s="77">
        <f>U37/6</f>
        <v>3999.1666666666665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v>23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>
        <v>12</v>
      </c>
      <c r="Q40" s="66">
        <v>2</v>
      </c>
      <c r="R40" s="67"/>
      <c r="S40" s="62"/>
      <c r="T40" s="77">
        <f t="shared" si="0"/>
        <v>32</v>
      </c>
      <c r="U40" s="77">
        <f>C40*24+M40*24+O40*24+Q40*24+T40</f>
        <v>680</v>
      </c>
      <c r="V40" s="77">
        <f>U40/24</f>
        <v>28.333333333333332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84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8</v>
      </c>
      <c r="N41" s="87"/>
      <c r="O41" s="82">
        <v>4</v>
      </c>
      <c r="P41" s="83"/>
      <c r="Q41" s="83">
        <v>35</v>
      </c>
      <c r="R41" s="84"/>
      <c r="S41" s="85"/>
      <c r="T41" s="88">
        <f t="shared" si="0"/>
        <v>0</v>
      </c>
      <c r="U41" s="88">
        <f>C41*12+M41*12+O41*12+Q41*12+T41</f>
        <v>1572</v>
      </c>
      <c r="V41" s="88">
        <f>U41/12</f>
        <v>131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7776+3024+8424+5508+3024+5616+52</f>
        <v>33424</v>
      </c>
      <c r="D43" s="65"/>
      <c r="E43" s="65"/>
      <c r="F43" s="65"/>
      <c r="G43" s="65"/>
      <c r="H43" s="65">
        <v>3</v>
      </c>
      <c r="I43" s="65">
        <v>7</v>
      </c>
      <c r="J43" s="66">
        <f>10*6+4</f>
        <v>64</v>
      </c>
      <c r="K43" s="67">
        <f>69*6+7</f>
        <v>421</v>
      </c>
      <c r="L43" s="62"/>
      <c r="M43" s="63">
        <v>333</v>
      </c>
      <c r="N43" s="64"/>
      <c r="O43" s="65">
        <v>368</v>
      </c>
      <c r="P43" s="66"/>
      <c r="Q43" s="66">
        <v>493</v>
      </c>
      <c r="R43" s="67"/>
      <c r="S43" s="62"/>
      <c r="T43" s="77">
        <f t="shared" ref="T43" si="6">H43+I43+J43+K43+N43+P43+R43</f>
        <v>495</v>
      </c>
      <c r="U43" s="77">
        <f>C43*6+M43*6+O43*6+Q43*6+T43</f>
        <v>208203</v>
      </c>
      <c r="V43" s="77">
        <f>U43/6</f>
        <v>34700.5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432+106+2160+67</f>
        <v>2765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10</v>
      </c>
      <c r="N47" s="64"/>
      <c r="O47" s="65">
        <v>9</v>
      </c>
      <c r="P47" s="66">
        <v>4</v>
      </c>
      <c r="Q47" s="66">
        <v>9</v>
      </c>
      <c r="R47" s="67">
        <v>3</v>
      </c>
      <c r="S47" s="62"/>
      <c r="T47" s="77">
        <f t="shared" si="7"/>
        <v>13</v>
      </c>
      <c r="U47" s="77">
        <f>C47*6+M47*6+O47*6+Q47*6+T47</f>
        <v>16771</v>
      </c>
      <c r="V47" s="77">
        <f>U47/6</f>
        <v>2795.1666666666665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43762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1187</v>
      </c>
      <c r="I58" s="6">
        <f t="shared" si="11"/>
        <v>39</v>
      </c>
      <c r="J58" s="6">
        <f t="shared" si="11"/>
        <v>67</v>
      </c>
      <c r="K58" s="6">
        <f t="shared" si="11"/>
        <v>457</v>
      </c>
      <c r="M58" s="5">
        <f t="shared" ref="M58:R58" si="12">SUM(M7:M57)</f>
        <v>392</v>
      </c>
      <c r="N58" s="5">
        <f t="shared" si="12"/>
        <v>12</v>
      </c>
      <c r="O58" s="5">
        <f t="shared" si="12"/>
        <v>430</v>
      </c>
      <c r="P58" s="5">
        <f t="shared" si="12"/>
        <v>28</v>
      </c>
      <c r="Q58" s="5">
        <f t="shared" si="12"/>
        <v>687</v>
      </c>
      <c r="R58" s="5">
        <f t="shared" si="12"/>
        <v>3</v>
      </c>
      <c r="S58" s="55"/>
      <c r="T58" s="4">
        <f>SUM(T7:T57)</f>
        <v>1793</v>
      </c>
      <c r="U58" s="90">
        <f>SUM(U7:U57)</f>
        <v>340751</v>
      </c>
      <c r="V58" s="4">
        <f>SUM(V7:V57)</f>
        <v>45410.083333333328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C6FA4E-6F18-47E1-BB68-EA59840B35B2}">
  <sheetPr>
    <pageSetUpPr fitToPage="1"/>
  </sheetPr>
  <dimension ref="A1:BB81"/>
  <sheetViews>
    <sheetView topLeftCell="A36" zoomScaleNormal="100" zoomScaleSheetLayoutView="115" workbookViewId="0">
      <selection activeCell="V62" sqref="V6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102"/>
      <c r="Q5" s="102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2"/>
      <c r="K6" s="38"/>
      <c r="M6" s="37"/>
      <c r="N6" s="49"/>
      <c r="O6" s="40"/>
      <c r="P6" s="102"/>
      <c r="Q6" s="102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18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3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561</v>
      </c>
      <c r="V7" s="58">
        <f>U7/24</f>
        <v>23.375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61+33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2304</v>
      </c>
      <c r="V8" s="69">
        <f>U8/24</f>
        <v>96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90+25</f>
        <v>115</v>
      </c>
      <c r="D9" s="70"/>
      <c r="E9" s="70"/>
      <c r="F9" s="70"/>
      <c r="G9" s="70"/>
      <c r="H9" s="70"/>
      <c r="I9" s="70"/>
      <c r="J9" s="71"/>
      <c r="K9" s="72"/>
      <c r="L9" s="55"/>
      <c r="M9" s="73">
        <v>2</v>
      </c>
      <c r="N9" s="74"/>
      <c r="O9" s="70">
        <v>1</v>
      </c>
      <c r="P9" s="71"/>
      <c r="Q9" s="71">
        <v>17</v>
      </c>
      <c r="R9" s="72"/>
      <c r="S9" s="55"/>
      <c r="T9" s="75">
        <f t="shared" si="0"/>
        <v>0</v>
      </c>
      <c r="U9" s="76">
        <f t="shared" ref="U9:U11" si="2">C9*24+M9*24+O9*24+Q9*24+T9</f>
        <v>3240</v>
      </c>
      <c r="V9" s="76">
        <f t="shared" ref="V9:V11" si="3">U9/24</f>
        <v>135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>
        <v>4</v>
      </c>
      <c r="N10" s="74"/>
      <c r="O10" s="70"/>
      <c r="P10" s="71"/>
      <c r="Q10" s="71">
        <v>16</v>
      </c>
      <c r="R10" s="72"/>
      <c r="S10" s="55"/>
      <c r="T10" s="58">
        <f t="shared" si="0"/>
        <v>0</v>
      </c>
      <c r="U10" s="58">
        <f t="shared" si="2"/>
        <v>480</v>
      </c>
      <c r="V10" s="58">
        <f t="shared" si="3"/>
        <v>20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720+34+216+4+1440+576</f>
        <v>2990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7</v>
      </c>
      <c r="N12" s="64"/>
      <c r="O12" s="65">
        <v>1</v>
      </c>
      <c r="P12" s="66"/>
      <c r="Q12" s="66">
        <v>16</v>
      </c>
      <c r="R12" s="67"/>
      <c r="S12" s="62"/>
      <c r="T12" s="69">
        <f t="shared" si="0"/>
        <v>0</v>
      </c>
      <c r="U12" s="69">
        <f>C12*24+M12*24+O12*24+Q12*24+T12</f>
        <v>72336</v>
      </c>
      <c r="V12" s="69">
        <f>U12/24</f>
        <v>3014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63+59</f>
        <v>122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/>
      <c r="P25" s="71"/>
      <c r="Q25" s="71">
        <v>1</v>
      </c>
      <c r="R25" s="72"/>
      <c r="S25" s="55"/>
      <c r="T25" s="58">
        <f t="shared" si="0"/>
        <v>1</v>
      </c>
      <c r="U25" s="75">
        <f t="shared" si="4"/>
        <v>2977</v>
      </c>
      <c r="V25" s="75">
        <f t="shared" si="5"/>
        <v>124.04166666666667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26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1</v>
      </c>
      <c r="P28" s="71"/>
      <c r="Q28" s="71">
        <v>5</v>
      </c>
      <c r="R28" s="72"/>
      <c r="S28" s="55"/>
      <c r="T28" s="58">
        <f t="shared" si="0"/>
        <v>0</v>
      </c>
      <c r="U28" s="75">
        <f t="shared" si="4"/>
        <v>816</v>
      </c>
      <c r="V28" s="75">
        <f t="shared" si="5"/>
        <v>34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49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1205</v>
      </c>
      <c r="V29" s="75">
        <f t="shared" si="5"/>
        <v>50.208333333333336</v>
      </c>
    </row>
    <row r="30" spans="1:54" x14ac:dyDescent="0.25">
      <c r="A30" s="27">
        <f t="shared" si="1"/>
        <v>27</v>
      </c>
      <c r="B30" s="26" t="s">
        <v>15</v>
      </c>
      <c r="C30" s="70">
        <v>11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62</f>
        <v>62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/>
      <c r="P34" s="71">
        <v>12</v>
      </c>
      <c r="Q34" s="71"/>
      <c r="R34" s="72"/>
      <c r="S34" s="55"/>
      <c r="T34" s="58">
        <f t="shared" si="0"/>
        <v>14</v>
      </c>
      <c r="U34" s="75">
        <f t="shared" si="4"/>
        <v>1550</v>
      </c>
      <c r="V34" s="75">
        <f t="shared" si="5"/>
        <v>64.583333333333329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864+2808+88</f>
        <v>3760</v>
      </c>
      <c r="D37" s="59"/>
      <c r="E37" s="59"/>
      <c r="F37" s="59"/>
      <c r="G37" s="59"/>
      <c r="H37" s="59">
        <v>5</v>
      </c>
      <c r="I37" s="59">
        <v>2</v>
      </c>
      <c r="J37" s="60">
        <v>3</v>
      </c>
      <c r="K37" s="61">
        <v>3</v>
      </c>
      <c r="L37" s="62"/>
      <c r="M37" s="63">
        <v>21</v>
      </c>
      <c r="N37" s="64"/>
      <c r="O37" s="65"/>
      <c r="P37" s="66"/>
      <c r="Q37" s="66">
        <v>38</v>
      </c>
      <c r="R37" s="67"/>
      <c r="S37" s="62"/>
      <c r="T37" s="77">
        <f t="shared" si="0"/>
        <v>13</v>
      </c>
      <c r="U37" s="77">
        <f>C37*6+M37*6+O37*6+Q37*6+T37</f>
        <v>22927</v>
      </c>
      <c r="V37" s="77">
        <f>U37/6</f>
        <v>3821.1666666666665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v>23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>
        <v>12</v>
      </c>
      <c r="Q40" s="66">
        <v>1</v>
      </c>
      <c r="R40" s="67"/>
      <c r="S40" s="62"/>
      <c r="T40" s="77">
        <f t="shared" si="0"/>
        <v>32</v>
      </c>
      <c r="U40" s="77">
        <f>C40*24+M40*24+O40*24+Q40*24+T40</f>
        <v>656</v>
      </c>
      <c r="V40" s="77">
        <f>U40/24</f>
        <v>27.333333333333332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73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1</v>
      </c>
      <c r="P41" s="83"/>
      <c r="Q41" s="83">
        <v>8</v>
      </c>
      <c r="R41" s="84"/>
      <c r="S41" s="85"/>
      <c r="T41" s="88">
        <f t="shared" si="0"/>
        <v>0</v>
      </c>
      <c r="U41" s="88">
        <f>C41*12+M41*12+O41*12+Q41*12+T41</f>
        <v>1104</v>
      </c>
      <c r="V41" s="88">
        <f>U41/12</f>
        <v>92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7776+3024+8424+5508+3024+4860</f>
        <v>32616</v>
      </c>
      <c r="D43" s="65"/>
      <c r="E43" s="65"/>
      <c r="F43" s="65"/>
      <c r="G43" s="65"/>
      <c r="H43" s="65">
        <v>3</v>
      </c>
      <c r="I43" s="65">
        <v>7</v>
      </c>
      <c r="J43" s="66">
        <f>11*6+4</f>
        <v>70</v>
      </c>
      <c r="K43" s="67">
        <f>69*6+7</f>
        <v>421</v>
      </c>
      <c r="L43" s="62"/>
      <c r="M43" s="63">
        <v>370</v>
      </c>
      <c r="N43" s="64"/>
      <c r="O43" s="65">
        <v>45</v>
      </c>
      <c r="P43" s="66"/>
      <c r="Q43" s="66">
        <v>434</v>
      </c>
      <c r="R43" s="67"/>
      <c r="S43" s="62"/>
      <c r="T43" s="77">
        <f t="shared" ref="T43" si="6">H43+I43+J43+K43+N43+P43+R43</f>
        <v>501</v>
      </c>
      <c r="U43" s="77">
        <f>C43*6+M43*6+O43*6+Q43*6+T43</f>
        <v>201291</v>
      </c>
      <c r="V43" s="77">
        <f>U43/6</f>
        <v>33548.5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432+106+2160+67</f>
        <v>2765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10</v>
      </c>
      <c r="N47" s="64"/>
      <c r="O47" s="65">
        <v>9</v>
      </c>
      <c r="P47" s="66">
        <v>4</v>
      </c>
      <c r="Q47" s="66">
        <v>9</v>
      </c>
      <c r="R47" s="67">
        <v>3</v>
      </c>
      <c r="S47" s="62"/>
      <c r="T47" s="77">
        <f t="shared" si="7"/>
        <v>13</v>
      </c>
      <c r="U47" s="77">
        <f>C47*6+M47*6+O47*6+Q47*6+T47</f>
        <v>16771</v>
      </c>
      <c r="V47" s="77">
        <f>U47/6</f>
        <v>2795.1666666666665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42794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1192</v>
      </c>
      <c r="I58" s="6">
        <f t="shared" si="11"/>
        <v>39</v>
      </c>
      <c r="J58" s="6">
        <f t="shared" si="11"/>
        <v>74</v>
      </c>
      <c r="K58" s="6">
        <f t="shared" si="11"/>
        <v>457</v>
      </c>
      <c r="M58" s="5">
        <f t="shared" ref="M58:R58" si="12">SUM(M7:M57)</f>
        <v>433</v>
      </c>
      <c r="N58" s="5">
        <f t="shared" si="12"/>
        <v>0</v>
      </c>
      <c r="O58" s="5">
        <f t="shared" si="12"/>
        <v>61</v>
      </c>
      <c r="P58" s="5">
        <f t="shared" si="12"/>
        <v>28</v>
      </c>
      <c r="Q58" s="5">
        <f t="shared" si="12"/>
        <v>549</v>
      </c>
      <c r="R58" s="5">
        <f t="shared" si="12"/>
        <v>3</v>
      </c>
      <c r="S58" s="55"/>
      <c r="T58" s="4">
        <f>SUM(T7:T57)</f>
        <v>1793</v>
      </c>
      <c r="U58" s="90">
        <f>SUM(U7:U57)</f>
        <v>330779</v>
      </c>
      <c r="V58" s="4">
        <f>SUM(V7:V57)</f>
        <v>43977.583333333328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FA54C-F0FF-4F87-83F3-3422B1318445}">
  <sheetPr>
    <pageSetUpPr fitToPage="1"/>
  </sheetPr>
  <dimension ref="A1:BB81"/>
  <sheetViews>
    <sheetView topLeftCell="A37" zoomScaleNormal="100" zoomScaleSheetLayoutView="115" workbookViewId="0">
      <selection activeCell="C54" sqref="C54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103"/>
      <c r="Q5" s="103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3"/>
      <c r="K6" s="38"/>
      <c r="M6" s="37"/>
      <c r="N6" s="49"/>
      <c r="O6" s="40"/>
      <c r="P6" s="103"/>
      <c r="Q6" s="103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18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513</v>
      </c>
      <c r="V7" s="58">
        <f>U7/24</f>
        <v>21.375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61+33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2304</v>
      </c>
      <c r="V8" s="69">
        <f>U8/24</f>
        <v>96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90+24</f>
        <v>114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2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2784</v>
      </c>
      <c r="V9" s="76">
        <f t="shared" ref="V9:V11" si="3">U9/24</f>
        <v>116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720+34+1440+144+51+576</f>
        <v>2965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7</v>
      </c>
      <c r="N12" s="64"/>
      <c r="O12" s="65">
        <v>16</v>
      </c>
      <c r="P12" s="66"/>
      <c r="Q12" s="66">
        <v>16</v>
      </c>
      <c r="R12" s="67"/>
      <c r="S12" s="62"/>
      <c r="T12" s="69">
        <f t="shared" si="0"/>
        <v>0</v>
      </c>
      <c r="U12" s="69">
        <f>C12*24+M12*24+O12*24+Q12*24+T12</f>
        <v>72096</v>
      </c>
      <c r="V12" s="69">
        <f>U12/24</f>
        <v>3004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63+58</f>
        <v>121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2977</v>
      </c>
      <c r="V25" s="75">
        <f t="shared" si="5"/>
        <v>124.04166666666667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22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2</v>
      </c>
      <c r="P28" s="71"/>
      <c r="Q28" s="71">
        <v>3</v>
      </c>
      <c r="R28" s="72"/>
      <c r="S28" s="55"/>
      <c r="T28" s="58">
        <f t="shared" si="0"/>
        <v>0</v>
      </c>
      <c r="U28" s="75">
        <f t="shared" si="4"/>
        <v>672</v>
      </c>
      <c r="V28" s="75">
        <f t="shared" si="5"/>
        <v>28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49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1205</v>
      </c>
      <c r="V29" s="75">
        <f t="shared" si="5"/>
        <v>50.208333333333336</v>
      </c>
    </row>
    <row r="30" spans="1:54" x14ac:dyDescent="0.25">
      <c r="A30" s="27">
        <f t="shared" si="1"/>
        <v>27</v>
      </c>
      <c r="B30" s="26" t="s">
        <v>15</v>
      </c>
      <c r="C30" s="70">
        <v>11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61</v>
      </c>
      <c r="D34" s="70"/>
      <c r="E34" s="70"/>
      <c r="F34" s="70"/>
      <c r="G34" s="70"/>
      <c r="H34" s="70"/>
      <c r="I34" s="70"/>
      <c r="J34" s="71">
        <v>1</v>
      </c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/>
      <c r="R34" s="72"/>
      <c r="S34" s="55"/>
      <c r="T34" s="58">
        <f t="shared" si="0"/>
        <v>14</v>
      </c>
      <c r="U34" s="75">
        <f t="shared" si="4"/>
        <v>1550</v>
      </c>
      <c r="V34" s="75">
        <f t="shared" si="5"/>
        <v>64.583333333333329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864+2700+58</f>
        <v>3622</v>
      </c>
      <c r="D37" s="59"/>
      <c r="E37" s="59"/>
      <c r="F37" s="59"/>
      <c r="G37" s="59"/>
      <c r="H37" s="59">
        <v>5</v>
      </c>
      <c r="I37" s="59">
        <v>2</v>
      </c>
      <c r="J37" s="60">
        <v>3</v>
      </c>
      <c r="K37" s="61">
        <v>3</v>
      </c>
      <c r="L37" s="62"/>
      <c r="M37" s="63">
        <v>6</v>
      </c>
      <c r="N37" s="64"/>
      <c r="O37" s="65">
        <v>108</v>
      </c>
      <c r="P37" s="66"/>
      <c r="Q37" s="66">
        <v>54</v>
      </c>
      <c r="R37" s="67"/>
      <c r="S37" s="62"/>
      <c r="T37" s="77">
        <f t="shared" si="0"/>
        <v>13</v>
      </c>
      <c r="U37" s="77">
        <f>C37*6+M37*6+O37*6+Q37*6+T37</f>
        <v>22753</v>
      </c>
      <c r="V37" s="77">
        <f>U37/6</f>
        <v>3792.1666666666665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v>26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/>
      <c r="P40" s="66">
        <v>12</v>
      </c>
      <c r="Q40" s="66"/>
      <c r="R40" s="67"/>
      <c r="S40" s="62"/>
      <c r="T40" s="77">
        <f t="shared" si="0"/>
        <v>32</v>
      </c>
      <c r="U40" s="77">
        <f>C40*24+M40*24+O40*24+Q40*24+T40</f>
        <v>656</v>
      </c>
      <c r="V40" s="77">
        <f>U40/24</f>
        <v>27.333333333333332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60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2</v>
      </c>
      <c r="N41" s="87"/>
      <c r="O41" s="82">
        <v>6</v>
      </c>
      <c r="P41" s="83"/>
      <c r="Q41" s="83">
        <v>15</v>
      </c>
      <c r="R41" s="84"/>
      <c r="S41" s="85"/>
      <c r="T41" s="88">
        <f t="shared" si="0"/>
        <v>0</v>
      </c>
      <c r="U41" s="88">
        <f>C41*12+M41*12+O41*12+Q41*12+T41</f>
        <v>996</v>
      </c>
      <c r="V41" s="88">
        <f>U41/12</f>
        <v>83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7776+3024+8424+5508+3024+4212</f>
        <v>31968</v>
      </c>
      <c r="D43" s="65"/>
      <c r="E43" s="65"/>
      <c r="F43" s="65"/>
      <c r="G43" s="65"/>
      <c r="H43" s="65">
        <v>3</v>
      </c>
      <c r="I43" s="65">
        <v>7</v>
      </c>
      <c r="J43" s="66">
        <f>6*12+4</f>
        <v>76</v>
      </c>
      <c r="K43" s="67">
        <f>69*6+7</f>
        <v>421</v>
      </c>
      <c r="L43" s="62"/>
      <c r="M43" s="63">
        <v>58</v>
      </c>
      <c r="N43" s="64"/>
      <c r="O43" s="65">
        <v>369</v>
      </c>
      <c r="P43" s="66"/>
      <c r="Q43" s="66">
        <v>419</v>
      </c>
      <c r="R43" s="67"/>
      <c r="S43" s="62"/>
      <c r="T43" s="77">
        <f t="shared" ref="T43" si="6">H43+I43+J43+K43+N43+P43+R43</f>
        <v>507</v>
      </c>
      <c r="U43" s="77">
        <f>C43*6+M43*6+O43*6+Q43*6+T43</f>
        <v>197391</v>
      </c>
      <c r="V43" s="77">
        <f>U43/6</f>
        <v>32898.5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432+106+2160+67</f>
        <v>2765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8</v>
      </c>
      <c r="N47" s="64"/>
      <c r="O47" s="65">
        <v>9</v>
      </c>
      <c r="P47" s="66">
        <v>4</v>
      </c>
      <c r="Q47" s="66">
        <v>9</v>
      </c>
      <c r="R47" s="67">
        <v>3</v>
      </c>
      <c r="S47" s="62"/>
      <c r="T47" s="77">
        <f t="shared" si="7"/>
        <v>13</v>
      </c>
      <c r="U47" s="77">
        <f>C47*6+M47*6+O47*6+Q47*6+T47</f>
        <v>16759</v>
      </c>
      <c r="V47" s="77">
        <f>U47/6</f>
        <v>2793.1666666666665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41966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1192</v>
      </c>
      <c r="I58" s="6">
        <f t="shared" si="11"/>
        <v>32</v>
      </c>
      <c r="J58" s="6">
        <f t="shared" si="11"/>
        <v>87</v>
      </c>
      <c r="K58" s="6">
        <f t="shared" si="11"/>
        <v>457</v>
      </c>
      <c r="M58" s="5">
        <f t="shared" ref="M58:R58" si="12">SUM(M7:M57)</f>
        <v>86</v>
      </c>
      <c r="N58" s="5">
        <f t="shared" si="12"/>
        <v>0</v>
      </c>
      <c r="O58" s="5">
        <f t="shared" si="12"/>
        <v>515</v>
      </c>
      <c r="P58" s="5">
        <f t="shared" si="12"/>
        <v>28</v>
      </c>
      <c r="Q58" s="5">
        <f t="shared" si="12"/>
        <v>522</v>
      </c>
      <c r="R58" s="5">
        <f t="shared" si="12"/>
        <v>3</v>
      </c>
      <c r="S58" s="55"/>
      <c r="T58" s="4">
        <f>SUM(T7:T57)</f>
        <v>1799</v>
      </c>
      <c r="U58" s="90">
        <f>SUM(U7:U57)</f>
        <v>325217</v>
      </c>
      <c r="V58" s="4">
        <f>SUM(V7:V57)</f>
        <v>43230.583333333328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37BAA-A524-43AB-A68D-722EBC86F0F3}">
  <sheetPr>
    <pageSetUpPr fitToPage="1"/>
  </sheetPr>
  <dimension ref="A1:BB81"/>
  <sheetViews>
    <sheetView topLeftCell="A40" zoomScaleNormal="100" zoomScaleSheetLayoutView="115" workbookViewId="0">
      <selection activeCell="Y63" sqref="Y6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104"/>
      <c r="Q5" s="104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4"/>
      <c r="K6" s="38"/>
      <c r="M6" s="37"/>
      <c r="N6" s="49"/>
      <c r="O6" s="40"/>
      <c r="P6" s="104"/>
      <c r="Q6" s="104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15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4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513</v>
      </c>
      <c r="V7" s="58">
        <f>U7/24</f>
        <v>21.375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33+57</f>
        <v>90</v>
      </c>
      <c r="D8" s="59"/>
      <c r="E8" s="59"/>
      <c r="F8" s="59"/>
      <c r="G8" s="59"/>
      <c r="H8" s="59"/>
      <c r="I8" s="59"/>
      <c r="J8" s="60"/>
      <c r="K8" s="61"/>
      <c r="L8" s="62"/>
      <c r="M8" s="63">
        <v>3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2304</v>
      </c>
      <c r="V8" s="69">
        <f>U8/24</f>
        <v>96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90+19</f>
        <v>109</v>
      </c>
      <c r="D9" s="70"/>
      <c r="E9" s="70"/>
      <c r="F9" s="70"/>
      <c r="G9" s="70"/>
      <c r="H9" s="70"/>
      <c r="I9" s="70"/>
      <c r="J9" s="71"/>
      <c r="K9" s="72"/>
      <c r="L9" s="55"/>
      <c r="M9" s="73">
        <v>2</v>
      </c>
      <c r="N9" s="74"/>
      <c r="O9" s="70">
        <v>3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2736</v>
      </c>
      <c r="V9" s="76">
        <f t="shared" ref="V9:V11" si="3">U9/24</f>
        <v>114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720+34+1440+144+41+576</f>
        <v>2955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12</v>
      </c>
      <c r="N12" s="64"/>
      <c r="O12" s="65">
        <v>10</v>
      </c>
      <c r="P12" s="66">
        <v>12</v>
      </c>
      <c r="Q12" s="66">
        <v>8</v>
      </c>
      <c r="R12" s="67">
        <v>12</v>
      </c>
      <c r="S12" s="62"/>
      <c r="T12" s="69">
        <f t="shared" si="0"/>
        <v>24</v>
      </c>
      <c r="U12" s="69">
        <f>C12*24+M12*24+O12*24+Q12*24+T12</f>
        <v>71664</v>
      </c>
      <c r="V12" s="69">
        <f>U12/24</f>
        <v>2986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>
        <v>20</v>
      </c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63+53</f>
        <v>116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2857</v>
      </c>
      <c r="V25" s="75">
        <f t="shared" si="5"/>
        <v>119.04166666666667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21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2</v>
      </c>
      <c r="P28" s="71"/>
      <c r="Q28" s="71">
        <v>1</v>
      </c>
      <c r="R28" s="72"/>
      <c r="S28" s="55"/>
      <c r="T28" s="58">
        <f t="shared" si="0"/>
        <v>0</v>
      </c>
      <c r="U28" s="75">
        <f t="shared" si="4"/>
        <v>624</v>
      </c>
      <c r="V28" s="75">
        <f t="shared" si="5"/>
        <v>26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49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1205</v>
      </c>
      <c r="V29" s="75">
        <f t="shared" si="5"/>
        <v>50.208333333333336</v>
      </c>
    </row>
    <row r="30" spans="1:54" x14ac:dyDescent="0.25">
      <c r="A30" s="27">
        <f t="shared" si="1"/>
        <v>27</v>
      </c>
      <c r="B30" s="26" t="s">
        <v>15</v>
      </c>
      <c r="C30" s="70">
        <v>11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2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>
        <v>2</v>
      </c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61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/>
      <c r="R34" s="72"/>
      <c r="S34" s="55"/>
      <c r="T34" s="58">
        <f t="shared" si="0"/>
        <v>14</v>
      </c>
      <c r="U34" s="75">
        <f t="shared" si="4"/>
        <v>1550</v>
      </c>
      <c r="V34" s="75">
        <f t="shared" si="5"/>
        <v>64.583333333333329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864+2592+73</f>
        <v>3529</v>
      </c>
      <c r="D37" s="59"/>
      <c r="E37" s="59"/>
      <c r="F37" s="59"/>
      <c r="G37" s="59"/>
      <c r="H37" s="59">
        <v>5</v>
      </c>
      <c r="I37" s="59">
        <v>2</v>
      </c>
      <c r="J37" s="60">
        <v>3</v>
      </c>
      <c r="K37" s="61">
        <v>3</v>
      </c>
      <c r="L37" s="62"/>
      <c r="M37" s="63">
        <v>33</v>
      </c>
      <c r="N37" s="64"/>
      <c r="O37" s="65">
        <v>66</v>
      </c>
      <c r="P37" s="66"/>
      <c r="Q37" s="66">
        <v>1</v>
      </c>
      <c r="R37" s="67"/>
      <c r="S37" s="62"/>
      <c r="T37" s="77">
        <f t="shared" si="0"/>
        <v>13</v>
      </c>
      <c r="U37" s="77">
        <f>C37*6+M37*6+O37*6+Q37*6+T37</f>
        <v>21787</v>
      </c>
      <c r="V37" s="77">
        <f>U37/6</f>
        <v>3631.1666666666665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/>
      <c r="P40" s="66">
        <v>12</v>
      </c>
      <c r="Q40" s="66"/>
      <c r="R40" s="67"/>
      <c r="S40" s="62"/>
      <c r="T40" s="77">
        <f t="shared" si="0"/>
        <v>32</v>
      </c>
      <c r="U40" s="77">
        <f>C40*24+M40*24+O40*24+Q40*24+T40</f>
        <v>32</v>
      </c>
      <c r="V40" s="77">
        <f>U40/24</f>
        <v>1.3333333333333333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48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14</v>
      </c>
      <c r="N41" s="87"/>
      <c r="O41" s="82">
        <v>6</v>
      </c>
      <c r="P41" s="83"/>
      <c r="Q41" s="83">
        <v>4</v>
      </c>
      <c r="R41" s="84"/>
      <c r="S41" s="85"/>
      <c r="T41" s="88">
        <f t="shared" si="0"/>
        <v>0</v>
      </c>
      <c r="U41" s="88">
        <f>C41*12+M41*12+O41*12+Q41*12+T41</f>
        <v>864</v>
      </c>
      <c r="V41" s="88">
        <f>U41/12</f>
        <v>72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7776+3024+8424+5508+3024+3564+91</f>
        <v>31411</v>
      </c>
      <c r="D43" s="65"/>
      <c r="E43" s="65"/>
      <c r="F43" s="65"/>
      <c r="G43" s="65"/>
      <c r="H43" s="65"/>
      <c r="I43" s="65">
        <f>7</f>
        <v>7</v>
      </c>
      <c r="J43" s="66">
        <f>13*6</f>
        <v>78</v>
      </c>
      <c r="K43" s="67">
        <f>69*6+7</f>
        <v>421</v>
      </c>
      <c r="L43" s="62"/>
      <c r="M43" s="63">
        <v>333</v>
      </c>
      <c r="N43" s="64"/>
      <c r="O43" s="65">
        <v>374</v>
      </c>
      <c r="P43" s="66"/>
      <c r="Q43" s="66">
        <v>162</v>
      </c>
      <c r="R43" s="67"/>
      <c r="S43" s="62"/>
      <c r="T43" s="77">
        <f t="shared" ref="T43" si="6">H43+I43+J43+K43+N43+P43+R43</f>
        <v>506</v>
      </c>
      <c r="U43" s="77">
        <f>C43*6+M43*6+O43*6+Q43*6+T43</f>
        <v>194186</v>
      </c>
      <c r="V43" s="77">
        <f>U43/6</f>
        <v>32364.333333333332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432+106+2160+67</f>
        <v>2765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8</v>
      </c>
      <c r="N47" s="64"/>
      <c r="O47" s="65">
        <v>9</v>
      </c>
      <c r="P47" s="66">
        <v>4</v>
      </c>
      <c r="Q47" s="66">
        <v>6</v>
      </c>
      <c r="R47" s="67">
        <v>3</v>
      </c>
      <c r="S47" s="62"/>
      <c r="T47" s="77">
        <f t="shared" si="7"/>
        <v>13</v>
      </c>
      <c r="U47" s="77">
        <f>C47*6+M47*6+O47*6+Q47*6+T47</f>
        <v>16741</v>
      </c>
      <c r="V47" s="77">
        <f>U47/6</f>
        <v>2790.1666666666665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41248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1209</v>
      </c>
      <c r="I58" s="6">
        <f t="shared" si="11"/>
        <v>19</v>
      </c>
      <c r="J58" s="6">
        <f t="shared" si="11"/>
        <v>82</v>
      </c>
      <c r="K58" s="6">
        <f t="shared" si="11"/>
        <v>457</v>
      </c>
      <c r="M58" s="5">
        <f t="shared" ref="M58:R58" si="12">SUM(M7:M57)</f>
        <v>414</v>
      </c>
      <c r="N58" s="5">
        <f t="shared" si="12"/>
        <v>0</v>
      </c>
      <c r="O58" s="5">
        <f t="shared" si="12"/>
        <v>476</v>
      </c>
      <c r="P58" s="5">
        <f t="shared" si="12"/>
        <v>40</v>
      </c>
      <c r="Q58" s="5">
        <f t="shared" si="12"/>
        <v>188</v>
      </c>
      <c r="R58" s="5">
        <f t="shared" si="12"/>
        <v>15</v>
      </c>
      <c r="S58" s="55"/>
      <c r="T58" s="4">
        <f>SUM(T7:T57)</f>
        <v>1822</v>
      </c>
      <c r="U58" s="90">
        <f>SUM(U7:U57)</f>
        <v>319624</v>
      </c>
      <c r="V58" s="4">
        <f>SUM(V7:V57)</f>
        <v>42468.416666666664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94D50-5105-482B-A3FE-262EC85AC025}">
  <sheetPr>
    <pageSetUpPr fitToPage="1"/>
  </sheetPr>
  <dimension ref="A1:BB81"/>
  <sheetViews>
    <sheetView topLeftCell="A37" zoomScaleNormal="100" zoomScaleSheetLayoutView="115" workbookViewId="0">
      <selection activeCell="I43" sqref="I4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105"/>
      <c r="Q5" s="105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5"/>
      <c r="K6" s="38"/>
      <c r="M6" s="37"/>
      <c r="N6" s="49"/>
      <c r="O6" s="40"/>
      <c r="P6" s="105"/>
      <c r="Q6" s="105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15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441</v>
      </c>
      <c r="V7" s="58">
        <f>U7/24</f>
        <v>18.375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57+33</f>
        <v>90</v>
      </c>
      <c r="D8" s="59"/>
      <c r="E8" s="59"/>
      <c r="F8" s="59"/>
      <c r="G8" s="59"/>
      <c r="H8" s="59"/>
      <c r="I8" s="59"/>
      <c r="J8" s="60"/>
      <c r="K8" s="61"/>
      <c r="L8" s="62"/>
      <c r="M8" s="63">
        <v>2</v>
      </c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2256</v>
      </c>
      <c r="V8" s="69">
        <f>U8/24</f>
        <v>94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90+5</f>
        <v>95</v>
      </c>
      <c r="D9" s="70"/>
      <c r="E9" s="70"/>
      <c r="F9" s="70"/>
      <c r="G9" s="70"/>
      <c r="H9" s="70"/>
      <c r="I9" s="70"/>
      <c r="J9" s="71"/>
      <c r="K9" s="72"/>
      <c r="L9" s="55"/>
      <c r="M9" s="73">
        <v>2</v>
      </c>
      <c r="N9" s="74"/>
      <c r="O9" s="70"/>
      <c r="P9" s="71"/>
      <c r="Q9" s="71">
        <v>10</v>
      </c>
      <c r="R9" s="72"/>
      <c r="S9" s="55"/>
      <c r="T9" s="75">
        <f t="shared" si="0"/>
        <v>0</v>
      </c>
      <c r="U9" s="76">
        <f t="shared" ref="U9:U11" si="2">C9*24+M9*24+O9*24+Q9*24+T9</f>
        <v>2568</v>
      </c>
      <c r="V9" s="76">
        <f t="shared" ref="V9:V11" si="3">U9/24</f>
        <v>107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720+29+1440+576+144+4</f>
        <v>2913</v>
      </c>
      <c r="D12" s="59"/>
      <c r="E12" s="59"/>
      <c r="F12" s="59"/>
      <c r="G12" s="59"/>
      <c r="H12" s="59"/>
      <c r="I12" s="59"/>
      <c r="J12" s="60"/>
      <c r="K12" s="61"/>
      <c r="L12" s="62">
        <v>10</v>
      </c>
      <c r="M12" s="63">
        <v>10</v>
      </c>
      <c r="N12" s="64"/>
      <c r="O12" s="65">
        <v>15</v>
      </c>
      <c r="P12" s="66">
        <v>12</v>
      </c>
      <c r="Q12" s="66">
        <v>25</v>
      </c>
      <c r="R12" s="67">
        <v>12</v>
      </c>
      <c r="S12" s="62"/>
      <c r="T12" s="69">
        <f t="shared" si="0"/>
        <v>24</v>
      </c>
      <c r="U12" s="69">
        <f>C12*24+M12*24+O12*24+Q12*24+T12</f>
        <v>71136</v>
      </c>
      <c r="V12" s="69">
        <f>U12/24</f>
        <v>2964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>
        <v>20</v>
      </c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63+53</f>
        <v>116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2857</v>
      </c>
      <c r="V25" s="75">
        <f t="shared" si="5"/>
        <v>119.04166666666667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17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3</v>
      </c>
      <c r="P28" s="71"/>
      <c r="Q28" s="71">
        <v>3</v>
      </c>
      <c r="R28" s="72"/>
      <c r="S28" s="55"/>
      <c r="T28" s="58">
        <f t="shared" si="0"/>
        <v>0</v>
      </c>
      <c r="U28" s="75">
        <f t="shared" si="4"/>
        <v>600</v>
      </c>
      <c r="V28" s="75">
        <f t="shared" si="5"/>
        <v>25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f>49</f>
        <v>49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1205</v>
      </c>
      <c r="V29" s="75">
        <f t="shared" si="5"/>
        <v>50.208333333333336</v>
      </c>
    </row>
    <row r="30" spans="1:54" x14ac:dyDescent="0.25">
      <c r="A30" s="27">
        <f t="shared" si="1"/>
        <v>27</v>
      </c>
      <c r="B30" s="26" t="s">
        <v>15</v>
      </c>
      <c r="C30" s="70">
        <v>11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2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>
        <v>1</v>
      </c>
      <c r="P32" s="71"/>
      <c r="Q32" s="71"/>
      <c r="R32" s="72"/>
      <c r="S32" s="55"/>
      <c r="T32" s="58">
        <f t="shared" si="0"/>
        <v>0</v>
      </c>
      <c r="U32" s="75">
        <f t="shared" si="4"/>
        <v>72</v>
      </c>
      <c r="V32" s="75">
        <f t="shared" si="5"/>
        <v>3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61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/>
      <c r="R34" s="72"/>
      <c r="S34" s="55"/>
      <c r="T34" s="58">
        <f t="shared" si="0"/>
        <v>14</v>
      </c>
      <c r="U34" s="75">
        <f t="shared" si="4"/>
        <v>1550</v>
      </c>
      <c r="V34" s="75">
        <f t="shared" si="5"/>
        <v>64.583333333333329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864+2268</f>
        <v>3132</v>
      </c>
      <c r="D37" s="59"/>
      <c r="E37" s="59"/>
      <c r="F37" s="59"/>
      <c r="G37" s="59"/>
      <c r="H37" s="59">
        <f>5</f>
        <v>5</v>
      </c>
      <c r="I37" s="59">
        <v>2</v>
      </c>
      <c r="J37" s="60">
        <v>3</v>
      </c>
      <c r="K37" s="61">
        <v>3</v>
      </c>
      <c r="L37" s="62"/>
      <c r="M37" s="63">
        <v>117</v>
      </c>
      <c r="N37" s="64"/>
      <c r="O37" s="65">
        <v>46</v>
      </c>
      <c r="P37" s="66"/>
      <c r="Q37" s="66">
        <v>163</v>
      </c>
      <c r="R37" s="67"/>
      <c r="S37" s="62"/>
      <c r="T37" s="77">
        <f t="shared" si="0"/>
        <v>13</v>
      </c>
      <c r="U37" s="77">
        <f>C37*6+M37*6+O37*6+Q37*6+T37</f>
        <v>20761</v>
      </c>
      <c r="V37" s="77">
        <f>U37/6</f>
        <v>3460.1666666666665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/>
      <c r="P40" s="66">
        <v>12</v>
      </c>
      <c r="Q40" s="66"/>
      <c r="R40" s="67"/>
      <c r="S40" s="62"/>
      <c r="T40" s="77">
        <f t="shared" si="0"/>
        <v>32</v>
      </c>
      <c r="U40" s="77">
        <f>C40*24+M40*24+O40*24+Q40*24+T40</f>
        <v>32</v>
      </c>
      <c r="V40" s="77">
        <f>U40/24</f>
        <v>1.3333333333333333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32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6</v>
      </c>
      <c r="N41" s="87"/>
      <c r="O41" s="82">
        <v>7</v>
      </c>
      <c r="P41" s="83"/>
      <c r="Q41" s="83">
        <v>14</v>
      </c>
      <c r="R41" s="84"/>
      <c r="S41" s="85"/>
      <c r="T41" s="88">
        <f t="shared" si="0"/>
        <v>0</v>
      </c>
      <c r="U41" s="88">
        <f>C41*12+M41*12+O41*12+Q41*12+T41</f>
        <v>708</v>
      </c>
      <c r="V41" s="88">
        <f>U41/12</f>
        <v>59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7776+3024+8424+5508+3024+2484</f>
        <v>30240</v>
      </c>
      <c r="D43" s="65"/>
      <c r="E43" s="65"/>
      <c r="F43" s="65"/>
      <c r="G43" s="65"/>
      <c r="H43" s="65"/>
      <c r="I43" s="65">
        <v>7</v>
      </c>
      <c r="J43" s="66">
        <f>13*6</f>
        <v>78</v>
      </c>
      <c r="K43" s="67">
        <f>69*6+7</f>
        <v>421</v>
      </c>
      <c r="L43" s="62"/>
      <c r="M43" s="63">
        <v>326</v>
      </c>
      <c r="N43" s="64"/>
      <c r="O43" s="65">
        <v>529</v>
      </c>
      <c r="P43" s="66"/>
      <c r="Q43" s="66">
        <v>486</v>
      </c>
      <c r="R43" s="67"/>
      <c r="S43" s="62"/>
      <c r="T43" s="77">
        <f t="shared" ref="T43" si="6">H43+I43+J43+K43+N43+P43+R43</f>
        <v>506</v>
      </c>
      <c r="U43" s="77">
        <f>C43*6+M43*6+O43*6+Q43*6+T43</f>
        <v>189992</v>
      </c>
      <c r="V43" s="77">
        <f>U43/6</f>
        <v>31665.333333333332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432+106+2160+67</f>
        <v>2765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8</v>
      </c>
      <c r="N47" s="64"/>
      <c r="O47" s="65">
        <v>9</v>
      </c>
      <c r="P47" s="66">
        <v>4</v>
      </c>
      <c r="Q47" s="66">
        <v>6</v>
      </c>
      <c r="R47" s="67">
        <v>3</v>
      </c>
      <c r="S47" s="62"/>
      <c r="T47" s="77">
        <f t="shared" si="7"/>
        <v>13</v>
      </c>
      <c r="U47" s="77">
        <f>C47*6+M47*6+O47*6+Q47*6+T47</f>
        <v>16741</v>
      </c>
      <c r="V47" s="77">
        <f>U47/6</f>
        <v>2790.1666666666665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39604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1209</v>
      </c>
      <c r="I58" s="6">
        <f t="shared" si="11"/>
        <v>19</v>
      </c>
      <c r="J58" s="6">
        <f t="shared" si="11"/>
        <v>82</v>
      </c>
      <c r="K58" s="6">
        <f t="shared" si="11"/>
        <v>457</v>
      </c>
      <c r="M58" s="5">
        <f t="shared" ref="M58:R58" si="12">SUM(M7:M57)</f>
        <v>477</v>
      </c>
      <c r="N58" s="5">
        <f t="shared" si="12"/>
        <v>0</v>
      </c>
      <c r="O58" s="5">
        <f t="shared" si="12"/>
        <v>613</v>
      </c>
      <c r="P58" s="5">
        <f t="shared" si="12"/>
        <v>40</v>
      </c>
      <c r="Q58" s="5">
        <f t="shared" si="12"/>
        <v>713</v>
      </c>
      <c r="R58" s="5">
        <f t="shared" si="12"/>
        <v>15</v>
      </c>
      <c r="S58" s="55"/>
      <c r="T58" s="4">
        <f>SUM(T7:T57)</f>
        <v>1822</v>
      </c>
      <c r="U58" s="90">
        <f>SUM(U7:U57)</f>
        <v>313384</v>
      </c>
      <c r="V58" s="4">
        <f>SUM(V7:V57)</f>
        <v>41549.416666666664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D73BA-545B-416B-B982-577C234B39E1}">
  <sheetPr>
    <pageSetUpPr fitToPage="1"/>
  </sheetPr>
  <dimension ref="A1:BB81"/>
  <sheetViews>
    <sheetView tabSelected="1" topLeftCell="A29" zoomScaleNormal="100" zoomScaleSheetLayoutView="115" workbookViewId="0">
      <selection activeCell="AA45" sqref="Z45:AA46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4" t="s">
        <v>43</v>
      </c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5" t="s">
        <v>41</v>
      </c>
      <c r="D4" s="115"/>
      <c r="E4" s="115"/>
      <c r="F4" s="115"/>
      <c r="G4" s="115"/>
      <c r="H4" s="115"/>
      <c r="I4" s="115"/>
      <c r="J4" s="116"/>
      <c r="K4" s="117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8" t="s">
        <v>68</v>
      </c>
      <c r="U4" s="124" t="s">
        <v>67</v>
      </c>
      <c r="V4" s="107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2" t="s">
        <v>65</v>
      </c>
      <c r="K5" s="123"/>
      <c r="M5" s="37"/>
      <c r="N5" s="49"/>
      <c r="O5" s="40"/>
      <c r="P5" s="106"/>
      <c r="Q5" s="106"/>
      <c r="R5" s="38"/>
      <c r="S5" s="9"/>
      <c r="T5" s="119"/>
      <c r="U5" s="125"/>
      <c r="V5" s="108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6"/>
      <c r="K6" s="38"/>
      <c r="M6" s="37"/>
      <c r="N6" s="49"/>
      <c r="O6" s="40"/>
      <c r="P6" s="106"/>
      <c r="Q6" s="10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14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2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441</v>
      </c>
      <c r="V7" s="58">
        <f>U7/24</f>
        <v>18.375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56+33</f>
        <v>89</v>
      </c>
      <c r="D8" s="59"/>
      <c r="E8" s="59"/>
      <c r="F8" s="59"/>
      <c r="G8" s="59"/>
      <c r="H8" s="59"/>
      <c r="I8" s="59"/>
      <c r="J8" s="60"/>
      <c r="K8" s="61"/>
      <c r="L8" s="62"/>
      <c r="M8" s="63">
        <v>3</v>
      </c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2256</v>
      </c>
      <c r="V8" s="69">
        <f>U8/24</f>
        <v>94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90+2</f>
        <v>92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2280</v>
      </c>
      <c r="V9" s="76">
        <f t="shared" ref="V9:V11" si="3">U9/24</f>
        <v>95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720+29+1440+576+72+22+4</f>
        <v>2863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21</v>
      </c>
      <c r="N12" s="64"/>
      <c r="O12" s="65">
        <v>13</v>
      </c>
      <c r="P12" s="66">
        <v>12</v>
      </c>
      <c r="Q12" s="66">
        <v>22</v>
      </c>
      <c r="R12" s="67">
        <v>12</v>
      </c>
      <c r="S12" s="62"/>
      <c r="T12" s="69">
        <f t="shared" si="0"/>
        <v>24</v>
      </c>
      <c r="U12" s="69">
        <f>C12*24+M12*24+O12*24+Q12*24+T12</f>
        <v>70080</v>
      </c>
      <c r="V12" s="69">
        <f>U12/24</f>
        <v>2920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63+35</f>
        <v>98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4</v>
      </c>
      <c r="N25" s="74"/>
      <c r="O25" s="70"/>
      <c r="P25" s="71"/>
      <c r="Q25" s="71">
        <v>15</v>
      </c>
      <c r="R25" s="72"/>
      <c r="S25" s="55"/>
      <c r="T25" s="58">
        <f t="shared" si="0"/>
        <v>1</v>
      </c>
      <c r="U25" s="75">
        <f t="shared" si="4"/>
        <v>2809</v>
      </c>
      <c r="V25" s="75">
        <f t="shared" si="5"/>
        <v>117.04166666666667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3</v>
      </c>
      <c r="P28" s="71"/>
      <c r="Q28" s="71">
        <v>17</v>
      </c>
      <c r="R28" s="72"/>
      <c r="S28" s="55"/>
      <c r="T28" s="58">
        <f t="shared" si="0"/>
        <v>0</v>
      </c>
      <c r="U28" s="75">
        <f t="shared" si="4"/>
        <v>480</v>
      </c>
      <c r="V28" s="75">
        <f t="shared" si="5"/>
        <v>20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43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>
        <v>1</v>
      </c>
      <c r="P29" s="71"/>
      <c r="Q29" s="71">
        <v>5</v>
      </c>
      <c r="R29" s="72"/>
      <c r="S29" s="55"/>
      <c r="T29" s="58">
        <f t="shared" si="0"/>
        <v>5</v>
      </c>
      <c r="U29" s="75">
        <f t="shared" si="4"/>
        <v>1205</v>
      </c>
      <c r="V29" s="75">
        <f t="shared" si="5"/>
        <v>50.208333333333336</v>
      </c>
    </row>
    <row r="30" spans="1:54" x14ac:dyDescent="0.25">
      <c r="A30" s="27">
        <f t="shared" si="1"/>
        <v>27</v>
      </c>
      <c r="B30" s="26" t="s">
        <v>15</v>
      </c>
      <c r="C30" s="70">
        <v>10</v>
      </c>
      <c r="D30" s="70"/>
      <c r="E30" s="70"/>
      <c r="F30" s="70"/>
      <c r="G30" s="70"/>
      <c r="H30" s="70"/>
      <c r="I30" s="70"/>
      <c r="J30" s="71"/>
      <c r="K30" s="72"/>
      <c r="L30" s="55"/>
      <c r="M30" s="73">
        <v>1</v>
      </c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264</v>
      </c>
      <c r="V30" s="75">
        <f t="shared" si="5"/>
        <v>11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2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>
        <v>1</v>
      </c>
      <c r="P32" s="71"/>
      <c r="Q32" s="71"/>
      <c r="R32" s="72"/>
      <c r="S32" s="55"/>
      <c r="T32" s="58">
        <f t="shared" si="0"/>
        <v>0</v>
      </c>
      <c r="U32" s="75">
        <f t="shared" si="4"/>
        <v>72</v>
      </c>
      <c r="V32" s="75">
        <f t="shared" si="5"/>
        <v>3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57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4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1550</v>
      </c>
      <c r="V34" s="75">
        <f t="shared" si="5"/>
        <v>64.583333333333329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864+58+2052</f>
        <v>2974</v>
      </c>
      <c r="D37" s="59"/>
      <c r="E37" s="59"/>
      <c r="F37" s="59"/>
      <c r="G37" s="59"/>
      <c r="H37" s="59">
        <v>5</v>
      </c>
      <c r="I37" s="59">
        <v>2</v>
      </c>
      <c r="J37" s="60">
        <v>3</v>
      </c>
      <c r="K37" s="61">
        <v>3</v>
      </c>
      <c r="L37" s="62"/>
      <c r="M37" s="63">
        <v>134</v>
      </c>
      <c r="N37" s="64"/>
      <c r="O37" s="65">
        <v>30</v>
      </c>
      <c r="P37" s="66"/>
      <c r="Q37" s="66">
        <v>41</v>
      </c>
      <c r="R37" s="67"/>
      <c r="S37" s="62"/>
      <c r="T37" s="77">
        <f t="shared" si="0"/>
        <v>13</v>
      </c>
      <c r="U37" s="77">
        <f>C37*6+M37*6+O37*6+Q37*6+T37</f>
        <v>19087</v>
      </c>
      <c r="V37" s="77">
        <f>U37/6</f>
        <v>3181.1666666666665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/>
      <c r="P40" s="66">
        <v>12</v>
      </c>
      <c r="Q40" s="66"/>
      <c r="R40" s="67"/>
      <c r="S40" s="62"/>
      <c r="T40" s="77">
        <f t="shared" si="0"/>
        <v>32</v>
      </c>
      <c r="U40" s="77">
        <f>C40*24+M40*24+O40*24+Q40*24+T40</f>
        <v>32</v>
      </c>
      <c r="V40" s="77">
        <f>U40/24</f>
        <v>1.3333333333333333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8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8</v>
      </c>
      <c r="N41" s="87"/>
      <c r="O41" s="82">
        <v>7</v>
      </c>
      <c r="P41" s="83"/>
      <c r="Q41" s="83">
        <v>19</v>
      </c>
      <c r="R41" s="84"/>
      <c r="S41" s="85"/>
      <c r="T41" s="88">
        <f t="shared" si="0"/>
        <v>0</v>
      </c>
      <c r="U41" s="88">
        <f>C41*12+M41*12+O41*12+Q41*12+T41</f>
        <v>504</v>
      </c>
      <c r="V41" s="88">
        <f>U41/12</f>
        <v>42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7776+3024+8424+5508+3024+1080</f>
        <v>28836</v>
      </c>
      <c r="D43" s="65"/>
      <c r="E43" s="65"/>
      <c r="F43" s="65"/>
      <c r="G43" s="65"/>
      <c r="H43" s="65"/>
      <c r="I43" s="65">
        <v>7</v>
      </c>
      <c r="J43" s="66">
        <f>13*6</f>
        <v>78</v>
      </c>
      <c r="K43" s="67">
        <f>69*6+7</f>
        <v>421</v>
      </c>
      <c r="L43" s="62"/>
      <c r="M43" s="63">
        <v>544</v>
      </c>
      <c r="N43" s="64"/>
      <c r="O43" s="65">
        <v>366</v>
      </c>
      <c r="P43" s="66"/>
      <c r="Q43" s="66">
        <v>651</v>
      </c>
      <c r="R43" s="67"/>
      <c r="S43" s="62"/>
      <c r="T43" s="77">
        <f t="shared" ref="T43" si="6">H43+I43+J43+K43+N43+P43+R43</f>
        <v>506</v>
      </c>
      <c r="U43" s="77">
        <f>C43*6+M43*6+O43*6+Q43*6+T43</f>
        <v>182888</v>
      </c>
      <c r="V43" s="77">
        <f>U43/6</f>
        <v>30481.333333333332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432+106+2160+64</f>
        <v>2762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11</v>
      </c>
      <c r="N47" s="64"/>
      <c r="O47" s="65">
        <v>9</v>
      </c>
      <c r="P47" s="66">
        <v>4</v>
      </c>
      <c r="Q47" s="66">
        <v>6</v>
      </c>
      <c r="R47" s="67">
        <v>3</v>
      </c>
      <c r="S47" s="62"/>
      <c r="T47" s="77">
        <f t="shared" si="7"/>
        <v>13</v>
      </c>
      <c r="U47" s="77">
        <f>C47*6+M47*6+O47*6+Q47*6+T47</f>
        <v>16741</v>
      </c>
      <c r="V47" s="77">
        <f>U47/6</f>
        <v>2790.1666666666665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37914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1189</v>
      </c>
      <c r="I58" s="6">
        <f t="shared" si="11"/>
        <v>39</v>
      </c>
      <c r="J58" s="6">
        <f t="shared" si="11"/>
        <v>82</v>
      </c>
      <c r="K58" s="6">
        <f t="shared" si="11"/>
        <v>457</v>
      </c>
      <c r="M58" s="5">
        <f t="shared" ref="M58:R58" si="12">SUM(M7:M57)</f>
        <v>733</v>
      </c>
      <c r="N58" s="5">
        <f t="shared" si="12"/>
        <v>0</v>
      </c>
      <c r="O58" s="5">
        <f t="shared" si="12"/>
        <v>433</v>
      </c>
      <c r="P58" s="5">
        <f t="shared" si="12"/>
        <v>40</v>
      </c>
      <c r="Q58" s="5">
        <f t="shared" si="12"/>
        <v>783</v>
      </c>
      <c r="R58" s="5">
        <f t="shared" si="12"/>
        <v>15</v>
      </c>
      <c r="S58" s="55"/>
      <c r="T58" s="4">
        <f>SUM(T7:T57)</f>
        <v>1822</v>
      </c>
      <c r="U58" s="90">
        <f>SUM(U7:U57)</f>
        <v>302866</v>
      </c>
      <c r="V58" s="4">
        <f>SUM(V7:V57)</f>
        <v>40005.416666666664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1" t="s">
        <v>41</v>
      </c>
      <c r="D60" s="112"/>
      <c r="E60" s="112"/>
      <c r="F60" s="112"/>
      <c r="G60" s="112"/>
      <c r="H60" s="112"/>
      <c r="I60" s="112"/>
      <c r="J60" s="112"/>
      <c r="K60" s="113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C60:K60"/>
    <mergeCell ref="I1:U1"/>
    <mergeCell ref="C4:K4"/>
    <mergeCell ref="T4:T5"/>
    <mergeCell ref="U4:U5"/>
    <mergeCell ref="V4:V5"/>
    <mergeCell ref="J5:K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13</vt:i4>
      </vt:variant>
    </vt:vector>
  </HeadingPairs>
  <TitlesOfParts>
    <vt:vector size="26" baseType="lpstr">
      <vt:lpstr>SAMPLE</vt:lpstr>
      <vt:lpstr>06-01-2026</vt:lpstr>
      <vt:lpstr>06-02-2026</vt:lpstr>
      <vt:lpstr>06-03-2026</vt:lpstr>
      <vt:lpstr>06-04-2026 </vt:lpstr>
      <vt:lpstr>06-05-2026 </vt:lpstr>
      <vt:lpstr>06-08-2026 </vt:lpstr>
      <vt:lpstr>06-09-2026</vt:lpstr>
      <vt:lpstr>06-10-2026</vt:lpstr>
      <vt:lpstr>06-11-2026</vt:lpstr>
      <vt:lpstr>06-12-2026</vt:lpstr>
      <vt:lpstr>06-15-2026 </vt:lpstr>
      <vt:lpstr>06-16-2026</vt:lpstr>
      <vt:lpstr>'06-01-2026'!Print_Area</vt:lpstr>
      <vt:lpstr>'06-02-2026'!Print_Area</vt:lpstr>
      <vt:lpstr>'06-03-2026'!Print_Area</vt:lpstr>
      <vt:lpstr>'06-04-2026 '!Print_Area</vt:lpstr>
      <vt:lpstr>'06-05-2026 '!Print_Area</vt:lpstr>
      <vt:lpstr>'06-08-2026 '!Print_Area</vt:lpstr>
      <vt:lpstr>'06-09-2026'!Print_Area</vt:lpstr>
      <vt:lpstr>'06-10-2026'!Print_Area</vt:lpstr>
      <vt:lpstr>'06-11-2026'!Print_Area</vt:lpstr>
      <vt:lpstr>'06-12-2026'!Print_Area</vt:lpstr>
      <vt:lpstr>'06-15-2026 '!Print_Area</vt:lpstr>
      <vt:lpstr>'06-16-2026'!Print_Area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2026-05-14T09:16:27Z</cp:lastPrinted>
  <dcterms:created xsi:type="dcterms:W3CDTF">2024-08-17T00:07:58Z</dcterms:created>
  <dcterms:modified xsi:type="dcterms:W3CDTF">2026-06-16T02:59:54Z</dcterms:modified>
</cp:coreProperties>
</file>