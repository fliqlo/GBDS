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B400FD4-EF8A-45EF-875E-88668DFA7737}" xr6:coauthVersionLast="45" xr6:coauthVersionMax="45" xr10:uidLastSave="{00000000-0000-0000-0000-000000000000}"/>
  <bookViews>
    <workbookView xWindow="-120" yWindow="-120" windowWidth="29040" windowHeight="15840" firstSheet="14" activeTab="22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  <sheet name="06-09-2026" sheetId="61" r:id="rId8"/>
    <sheet name="06-10-2026" sheetId="62" r:id="rId9"/>
    <sheet name="06-11-2026" sheetId="63" r:id="rId10"/>
    <sheet name="06-12-2026" sheetId="64" r:id="rId11"/>
    <sheet name="06-15-2026 " sheetId="65" r:id="rId12"/>
    <sheet name="06-16-2026" sheetId="66" r:id="rId13"/>
    <sheet name="06-17-2026" sheetId="67" r:id="rId14"/>
    <sheet name="06-18-2026" sheetId="68" r:id="rId15"/>
    <sheet name="06-19-2026 " sheetId="69" r:id="rId16"/>
    <sheet name="06-22-2026" sheetId="70" r:id="rId17"/>
    <sheet name="06-23-2026" sheetId="71" r:id="rId18"/>
    <sheet name="06-24-2026" sheetId="72" r:id="rId19"/>
    <sheet name="06-25-2026" sheetId="73" r:id="rId20"/>
    <sheet name="06-26-2026" sheetId="74" r:id="rId21"/>
    <sheet name="06-29-2026" sheetId="75" r:id="rId22"/>
    <sheet name="06-30-2026 " sheetId="77" r:id="rId23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7">'06-09-2026'!$A$1:$W$59</definedName>
    <definedName name="_xlnm.Print_Area" localSheetId="8">'06-10-2026'!$A$1:$W$59</definedName>
    <definedName name="_xlnm.Print_Area" localSheetId="9">'06-11-2026'!$A$1:$W$59</definedName>
    <definedName name="_xlnm.Print_Area" localSheetId="10">'06-12-2026'!$A$1:$W$59</definedName>
    <definedName name="_xlnm.Print_Area" localSheetId="11">'06-15-2026 '!$A$1:$W$59</definedName>
    <definedName name="_xlnm.Print_Area" localSheetId="12">'06-16-2026'!$A$1:$W$59</definedName>
    <definedName name="_xlnm.Print_Area" localSheetId="13">'06-17-2026'!$A$1:$W$59</definedName>
    <definedName name="_xlnm.Print_Area" localSheetId="14">'06-18-2026'!$A$1:$W$59</definedName>
    <definedName name="_xlnm.Print_Area" localSheetId="15">'06-19-2026 '!$A$1:$W$59</definedName>
    <definedName name="_xlnm.Print_Area" localSheetId="16">'06-22-2026'!$A$1:$W$59</definedName>
    <definedName name="_xlnm.Print_Area" localSheetId="17">'06-23-2026'!$A$1:$W$59</definedName>
    <definedName name="_xlnm.Print_Area" localSheetId="18">'06-24-2026'!$A$1:$W$59</definedName>
    <definedName name="_xlnm.Print_Area" localSheetId="19">'06-25-2026'!$A$1:$W$59</definedName>
    <definedName name="_xlnm.Print_Area" localSheetId="20">'06-26-2026'!$A$1:$W$59</definedName>
    <definedName name="_xlnm.Print_Area" localSheetId="21">'06-29-2026'!$A$1:$W$59</definedName>
    <definedName name="_xlnm.Print_Area" localSheetId="22">'06-30-2026 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77" l="1"/>
  <c r="C43" i="77"/>
  <c r="K43" i="77"/>
  <c r="K58" i="77"/>
  <c r="J43" i="77"/>
  <c r="C40" i="77"/>
  <c r="U40" i="77" s="1"/>
  <c r="V40" i="77" s="1"/>
  <c r="C37" i="77"/>
  <c r="U37" i="77" s="1"/>
  <c r="V37" i="77" s="1"/>
  <c r="C28" i="77"/>
  <c r="H24" i="77"/>
  <c r="H23" i="77"/>
  <c r="H21" i="77"/>
  <c r="H19" i="77"/>
  <c r="T19" i="77" s="1"/>
  <c r="U19" i="77" s="1"/>
  <c r="V19" i="77" s="1"/>
  <c r="H17" i="77"/>
  <c r="C12" i="77"/>
  <c r="C8" i="77"/>
  <c r="R58" i="77"/>
  <c r="Q58" i="77"/>
  <c r="P58" i="77"/>
  <c r="O58" i="77"/>
  <c r="N58" i="77"/>
  <c r="M58" i="77"/>
  <c r="J58" i="77"/>
  <c r="I58" i="77"/>
  <c r="G58" i="77"/>
  <c r="F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1" i="77"/>
  <c r="U41" i="77" s="1"/>
  <c r="V41" i="77" s="1"/>
  <c r="T40" i="77"/>
  <c r="T39" i="77"/>
  <c r="U39" i="77" s="1"/>
  <c r="V39" i="77" s="1"/>
  <c r="T38" i="77"/>
  <c r="U38" i="77" s="1"/>
  <c r="V38" i="77" s="1"/>
  <c r="T37" i="77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/>
  <c r="V32" i="77" s="1"/>
  <c r="U31" i="77"/>
  <c r="V31" i="77" s="1"/>
  <c r="T31" i="77"/>
  <c r="T30" i="77"/>
  <c r="U30" i="77" s="1"/>
  <c r="V30" i="77" s="1"/>
  <c r="T29" i="77"/>
  <c r="U29" i="77" s="1"/>
  <c r="V29" i="77" s="1"/>
  <c r="T28" i="77"/>
  <c r="T27" i="77"/>
  <c r="U27" i="77" s="1"/>
  <c r="V27" i="77" s="1"/>
  <c r="T26" i="77"/>
  <c r="U26" i="77" s="1"/>
  <c r="V26" i="77" s="1"/>
  <c r="AY25" i="77"/>
  <c r="T25" i="77"/>
  <c r="U25" i="77"/>
  <c r="V25" i="77" s="1"/>
  <c r="T24" i="77"/>
  <c r="U24" i="77" s="1"/>
  <c r="V24" i="77" s="1"/>
  <c r="U23" i="77"/>
  <c r="V23" i="77" s="1"/>
  <c r="T23" i="77"/>
  <c r="T22" i="77"/>
  <c r="U22" i="77" s="1"/>
  <c r="V22" i="77" s="1"/>
  <c r="T21" i="77"/>
  <c r="U21" i="77" s="1"/>
  <c r="V21" i="77" s="1"/>
  <c r="T20" i="77"/>
  <c r="U20" i="77" s="1"/>
  <c r="V20" i="77" s="1"/>
  <c r="A20" i="77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A15" i="77"/>
  <c r="A16" i="77" s="1"/>
  <c r="A17" i="77" s="1"/>
  <c r="A18" i="77" s="1"/>
  <c r="T14" i="77"/>
  <c r="U14" i="77" s="1"/>
  <c r="V14" i="77" s="1"/>
  <c r="A14" i="77"/>
  <c r="T13" i="77"/>
  <c r="U13" i="77" s="1"/>
  <c r="V13" i="77" s="1"/>
  <c r="T12" i="77"/>
  <c r="U12" i="77"/>
  <c r="V12" i="77" s="1"/>
  <c r="T11" i="77"/>
  <c r="U11" i="77" s="1"/>
  <c r="V11" i="77" s="1"/>
  <c r="T10" i="77"/>
  <c r="U10" i="77" s="1"/>
  <c r="V10" i="77" s="1"/>
  <c r="A10" i="77"/>
  <c r="A11" i="77" s="1"/>
  <c r="T9" i="77"/>
  <c r="U9" i="77" s="1"/>
  <c r="V9" i="77" s="1"/>
  <c r="A9" i="77"/>
  <c r="T8" i="77"/>
  <c r="U8" i="77"/>
  <c r="V8" i="77" s="1"/>
  <c r="A8" i="77"/>
  <c r="T7" i="77"/>
  <c r="T43" i="77" l="1"/>
  <c r="U43" i="77" s="1"/>
  <c r="V43" i="77" s="1"/>
  <c r="U28" i="77"/>
  <c r="V28" i="77" s="1"/>
  <c r="T58" i="77"/>
  <c r="C58" i="77"/>
  <c r="H58" i="77"/>
  <c r="U7" i="77"/>
  <c r="U58" i="77" l="1"/>
  <c r="V7" i="77"/>
  <c r="V58" i="77" s="1"/>
  <c r="C47" i="75"/>
  <c r="K43" i="75"/>
  <c r="K58" i="75" s="1"/>
  <c r="J43" i="75"/>
  <c r="J58" i="75" s="1"/>
  <c r="H43" i="75"/>
  <c r="C43" i="75"/>
  <c r="C41" i="75"/>
  <c r="C40" i="75"/>
  <c r="C37" i="75"/>
  <c r="C28" i="75"/>
  <c r="U28" i="75"/>
  <c r="V28" i="75" s="1"/>
  <c r="H24" i="75"/>
  <c r="T24" i="75" s="1"/>
  <c r="U24" i="75" s="1"/>
  <c r="V24" i="75" s="1"/>
  <c r="H23" i="75"/>
  <c r="T23" i="75" s="1"/>
  <c r="U23" i="75" s="1"/>
  <c r="V23" i="75" s="1"/>
  <c r="H21" i="75"/>
  <c r="H19" i="75"/>
  <c r="T19" i="75" s="1"/>
  <c r="U19" i="75" s="1"/>
  <c r="V19" i="75" s="1"/>
  <c r="H17" i="75"/>
  <c r="T17" i="75" s="1"/>
  <c r="U17" i="75" s="1"/>
  <c r="V17" i="75" s="1"/>
  <c r="T13" i="75"/>
  <c r="U13" i="75" s="1"/>
  <c r="V13" i="75" s="1"/>
  <c r="C12" i="75"/>
  <c r="C8" i="75"/>
  <c r="U8" i="75" s="1"/>
  <c r="V8" i="75" s="1"/>
  <c r="R58" i="75"/>
  <c r="Q58" i="75"/>
  <c r="P58" i="75"/>
  <c r="O58" i="75"/>
  <c r="N58" i="75"/>
  <c r="M58" i="75"/>
  <c r="I58" i="75"/>
  <c r="G58" i="75"/>
  <c r="F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U45" i="75"/>
  <c r="V45" i="75" s="1"/>
  <c r="T45" i="75"/>
  <c r="T41" i="75"/>
  <c r="U41" i="75"/>
  <c r="V41" i="75" s="1"/>
  <c r="T40" i="75"/>
  <c r="T39" i="75"/>
  <c r="U39" i="75" s="1"/>
  <c r="V39" i="75" s="1"/>
  <c r="T38" i="75"/>
  <c r="U38" i="75" s="1"/>
  <c r="V38" i="75" s="1"/>
  <c r="T37" i="75"/>
  <c r="U37" i="75" s="1"/>
  <c r="V37" i="75" s="1"/>
  <c r="T36" i="75"/>
  <c r="U36" i="75" s="1"/>
  <c r="V36" i="75" s="1"/>
  <c r="T35" i="75"/>
  <c r="U35" i="75" s="1"/>
  <c r="V35" i="75" s="1"/>
  <c r="T34" i="75"/>
  <c r="U34" i="75" s="1"/>
  <c r="V34" i="75" s="1"/>
  <c r="T33" i="75"/>
  <c r="U33" i="75" s="1"/>
  <c r="V33" i="75" s="1"/>
  <c r="T32" i="75"/>
  <c r="U32" i="75" s="1"/>
  <c r="V32" i="75" s="1"/>
  <c r="T31" i="75"/>
  <c r="T30" i="75"/>
  <c r="U30" i="75" s="1"/>
  <c r="V30" i="75" s="1"/>
  <c r="T29" i="75"/>
  <c r="U29" i="75" s="1"/>
  <c r="V29" i="75" s="1"/>
  <c r="T28" i="75"/>
  <c r="T27" i="75"/>
  <c r="U27" i="75" s="1"/>
  <c r="V27" i="75" s="1"/>
  <c r="U26" i="75"/>
  <c r="V26" i="75" s="1"/>
  <c r="T26" i="75"/>
  <c r="AY25" i="75"/>
  <c r="T25" i="75"/>
  <c r="U25" i="75" s="1"/>
  <c r="V25" i="75" s="1"/>
  <c r="T22" i="75"/>
  <c r="U22" i="75" s="1"/>
  <c r="V22" i="75" s="1"/>
  <c r="T21" i="75"/>
  <c r="U21" i="75" s="1"/>
  <c r="V21" i="75" s="1"/>
  <c r="T20" i="75"/>
  <c r="U20" i="75" s="1"/>
  <c r="V20" i="75" s="1"/>
  <c r="A20" i="75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T18" i="75"/>
  <c r="U18" i="75" s="1"/>
  <c r="V18" i="75" s="1"/>
  <c r="T16" i="75"/>
  <c r="U16" i="75" s="1"/>
  <c r="V16" i="75" s="1"/>
  <c r="T15" i="75"/>
  <c r="U15" i="75" s="1"/>
  <c r="V15" i="75" s="1"/>
  <c r="T14" i="75"/>
  <c r="U14" i="75" s="1"/>
  <c r="V14" i="75" s="1"/>
  <c r="A14" i="75"/>
  <c r="A15" i="75" s="1"/>
  <c r="A16" i="75" s="1"/>
  <c r="A17" i="75" s="1"/>
  <c r="A18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T8" i="75"/>
  <c r="A8" i="75"/>
  <c r="A9" i="75" s="1"/>
  <c r="A10" i="75" s="1"/>
  <c r="A11" i="75" s="1"/>
  <c r="T7" i="75"/>
  <c r="U7" i="75" s="1"/>
  <c r="T43" i="75" l="1"/>
  <c r="U43" i="75" s="1"/>
  <c r="V43" i="75" s="1"/>
  <c r="U40" i="75"/>
  <c r="V40" i="75" s="1"/>
  <c r="U31" i="75"/>
  <c r="V31" i="75" s="1"/>
  <c r="C58" i="75"/>
  <c r="H58" i="75"/>
  <c r="V7" i="75"/>
  <c r="H17" i="74"/>
  <c r="H58" i="74" s="1"/>
  <c r="C47" i="74"/>
  <c r="K43" i="74"/>
  <c r="K58" i="74" s="1"/>
  <c r="J43" i="74"/>
  <c r="C43" i="74"/>
  <c r="C41" i="74"/>
  <c r="U41" i="74" s="1"/>
  <c r="V41" i="74" s="1"/>
  <c r="C40" i="74"/>
  <c r="C37" i="74"/>
  <c r="C28" i="74"/>
  <c r="U28" i="74" s="1"/>
  <c r="V28" i="74" s="1"/>
  <c r="H24" i="74"/>
  <c r="H23" i="74"/>
  <c r="H21" i="74"/>
  <c r="H19" i="74"/>
  <c r="T19" i="74" s="1"/>
  <c r="U19" i="74" s="1"/>
  <c r="V19" i="74" s="1"/>
  <c r="C12" i="74"/>
  <c r="U12" i="74" s="1"/>
  <c r="V12" i="74" s="1"/>
  <c r="C8" i="74"/>
  <c r="R58" i="74"/>
  <c r="Q58" i="74"/>
  <c r="P58" i="74"/>
  <c r="O58" i="74"/>
  <c r="N58" i="74"/>
  <c r="M58" i="74"/>
  <c r="I58" i="74"/>
  <c r="G58" i="74"/>
  <c r="F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T46" i="74"/>
  <c r="U46" i="74" s="1"/>
  <c r="V46" i="74" s="1"/>
  <c r="T45" i="74"/>
  <c r="U45" i="74" s="1"/>
  <c r="V45" i="74" s="1"/>
  <c r="J58" i="74"/>
  <c r="T41" i="74"/>
  <c r="T40" i="74"/>
  <c r="U40" i="74" s="1"/>
  <c r="V40" i="74" s="1"/>
  <c r="T39" i="74"/>
  <c r="U39" i="74" s="1"/>
  <c r="V39" i="74" s="1"/>
  <c r="T38" i="74"/>
  <c r="U38" i="74" s="1"/>
  <c r="V38" i="74" s="1"/>
  <c r="T37" i="74"/>
  <c r="T36" i="74"/>
  <c r="U36" i="74" s="1"/>
  <c r="V36" i="74" s="1"/>
  <c r="T35" i="74"/>
  <c r="U35" i="74" s="1"/>
  <c r="V35" i="74" s="1"/>
  <c r="T34" i="74"/>
  <c r="U34" i="74" s="1"/>
  <c r="V34" i="74" s="1"/>
  <c r="U33" i="74"/>
  <c r="V33" i="74" s="1"/>
  <c r="T33" i="74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T20" i="74"/>
  <c r="U20" i="74" s="1"/>
  <c r="V20" i="74" s="1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T18" i="74"/>
  <c r="U18" i="74" s="1"/>
  <c r="V18" i="74" s="1"/>
  <c r="T16" i="74"/>
  <c r="U16" i="74" s="1"/>
  <c r="V16" i="74" s="1"/>
  <c r="T15" i="74"/>
  <c r="U15" i="74" s="1"/>
  <c r="V15" i="74" s="1"/>
  <c r="T14" i="74"/>
  <c r="U14" i="74" s="1"/>
  <c r="V14" i="74" s="1"/>
  <c r="A14" i="74"/>
  <c r="A15" i="74" s="1"/>
  <c r="A16" i="74" s="1"/>
  <c r="A17" i="74" s="1"/>
  <c r="A18" i="74" s="1"/>
  <c r="T13" i="74"/>
  <c r="U13" i="74" s="1"/>
  <c r="V13" i="74" s="1"/>
  <c r="T12" i="74"/>
  <c r="T11" i="74"/>
  <c r="U11" i="74" s="1"/>
  <c r="V11" i="74" s="1"/>
  <c r="T10" i="74"/>
  <c r="U10" i="74" s="1"/>
  <c r="V10" i="74" s="1"/>
  <c r="T9" i="74"/>
  <c r="U9" i="74" s="1"/>
  <c r="V9" i="74" s="1"/>
  <c r="T8" i="74"/>
  <c r="U8" i="74"/>
  <c r="V8" i="74" s="1"/>
  <c r="A8" i="74"/>
  <c r="A9" i="74" s="1"/>
  <c r="A10" i="74" s="1"/>
  <c r="A11" i="74" s="1"/>
  <c r="T7" i="74"/>
  <c r="T58" i="75" l="1"/>
  <c r="V58" i="75"/>
  <c r="U58" i="75"/>
  <c r="U47" i="74"/>
  <c r="V47" i="74" s="1"/>
  <c r="U37" i="74"/>
  <c r="V37" i="74" s="1"/>
  <c r="T17" i="74"/>
  <c r="U17" i="74" s="1"/>
  <c r="V17" i="74" s="1"/>
  <c r="T43" i="74"/>
  <c r="U43" i="74" s="1"/>
  <c r="V43" i="74" s="1"/>
  <c r="C58" i="74"/>
  <c r="U7" i="74"/>
  <c r="C43" i="73"/>
  <c r="C47" i="73"/>
  <c r="K43" i="73"/>
  <c r="K58" i="73" s="1"/>
  <c r="J43" i="73"/>
  <c r="J58" i="73" s="1"/>
  <c r="C41" i="73"/>
  <c r="C40" i="73"/>
  <c r="C37" i="73"/>
  <c r="T30" i="73"/>
  <c r="U30" i="73" s="1"/>
  <c r="V30" i="73" s="1"/>
  <c r="C28" i="73"/>
  <c r="C25" i="73"/>
  <c r="H24" i="73"/>
  <c r="T24" i="73" s="1"/>
  <c r="U24" i="73" s="1"/>
  <c r="V24" i="73" s="1"/>
  <c r="H23" i="73"/>
  <c r="I58" i="73"/>
  <c r="H21" i="73"/>
  <c r="T21" i="73" s="1"/>
  <c r="U21" i="73" s="1"/>
  <c r="V21" i="73" s="1"/>
  <c r="H19" i="73"/>
  <c r="T19" i="73" s="1"/>
  <c r="U19" i="73" s="1"/>
  <c r="V19" i="73" s="1"/>
  <c r="H17" i="73"/>
  <c r="C12" i="73"/>
  <c r="C8" i="73"/>
  <c r="R58" i="73"/>
  <c r="Q58" i="73"/>
  <c r="P58" i="73"/>
  <c r="O58" i="73"/>
  <c r="N58" i="73"/>
  <c r="M58" i="73"/>
  <c r="G58" i="73"/>
  <c r="F58" i="73"/>
  <c r="T54" i="73"/>
  <c r="U54" i="73" s="1"/>
  <c r="V54" i="73" s="1"/>
  <c r="T53" i="73"/>
  <c r="U53" i="73" s="1"/>
  <c r="V53" i="73" s="1"/>
  <c r="T52" i="73"/>
  <c r="U52" i="73" s="1"/>
  <c r="V52" i="73" s="1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T46" i="73"/>
  <c r="U46" i="73" s="1"/>
  <c r="V46" i="73" s="1"/>
  <c r="T45" i="73"/>
  <c r="U45" i="73" s="1"/>
  <c r="V45" i="73" s="1"/>
  <c r="T41" i="73"/>
  <c r="U41" i="73"/>
  <c r="V41" i="73" s="1"/>
  <c r="T40" i="73"/>
  <c r="T39" i="73"/>
  <c r="U39" i="73" s="1"/>
  <c r="V39" i="73" s="1"/>
  <c r="T38" i="73"/>
  <c r="U38" i="73" s="1"/>
  <c r="V38" i="73" s="1"/>
  <c r="T37" i="73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29" i="73"/>
  <c r="U29" i="73" s="1"/>
  <c r="V29" i="73" s="1"/>
  <c r="T28" i="73"/>
  <c r="T27" i="73"/>
  <c r="U27" i="73" s="1"/>
  <c r="V27" i="73" s="1"/>
  <c r="T26" i="73"/>
  <c r="U26" i="73" s="1"/>
  <c r="V26" i="73" s="1"/>
  <c r="AY25" i="73"/>
  <c r="T25" i="73"/>
  <c r="T23" i="73"/>
  <c r="U23" i="73" s="1"/>
  <c r="V23" i="73" s="1"/>
  <c r="T22" i="73"/>
  <c r="U22" i="73" s="1"/>
  <c r="V22" i="73" s="1"/>
  <c r="A21" i="73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20" i="73"/>
  <c r="U20" i="73" s="1"/>
  <c r="V20" i="73" s="1"/>
  <c r="A20" i="73"/>
  <c r="T18" i="73"/>
  <c r="U18" i="73" s="1"/>
  <c r="V18" i="73" s="1"/>
  <c r="T16" i="73"/>
  <c r="U16" i="73" s="1"/>
  <c r="V16" i="73" s="1"/>
  <c r="T15" i="73"/>
  <c r="U15" i="73" s="1"/>
  <c r="V15" i="73" s="1"/>
  <c r="T14" i="73"/>
  <c r="U14" i="73" s="1"/>
  <c r="V14" i="73" s="1"/>
  <c r="A14" i="73"/>
  <c r="A15" i="73" s="1"/>
  <c r="A16" i="73" s="1"/>
  <c r="A17" i="73" s="1"/>
  <c r="A18" i="73" s="1"/>
  <c r="T13" i="73"/>
  <c r="U13" i="73" s="1"/>
  <c r="V13" i="73" s="1"/>
  <c r="T12" i="73"/>
  <c r="T11" i="73"/>
  <c r="U11" i="73" s="1"/>
  <c r="V11" i="73" s="1"/>
  <c r="U10" i="73"/>
  <c r="V10" i="73" s="1"/>
  <c r="T10" i="73"/>
  <c r="T9" i="73"/>
  <c r="U9" i="73" s="1"/>
  <c r="V9" i="73" s="1"/>
  <c r="T8" i="73"/>
  <c r="A8" i="73"/>
  <c r="A9" i="73" s="1"/>
  <c r="A10" i="73" s="1"/>
  <c r="A11" i="73" s="1"/>
  <c r="T7" i="73"/>
  <c r="U7" i="73" s="1"/>
  <c r="V7" i="74" l="1"/>
  <c r="V58" i="74" s="1"/>
  <c r="U58" i="74"/>
  <c r="T58" i="74"/>
  <c r="U47" i="73"/>
  <c r="V47" i="73" s="1"/>
  <c r="U40" i="73"/>
  <c r="V40" i="73" s="1"/>
  <c r="U37" i="73"/>
  <c r="V37" i="73" s="1"/>
  <c r="U28" i="73"/>
  <c r="V28" i="73" s="1"/>
  <c r="U25" i="73"/>
  <c r="V25" i="73" s="1"/>
  <c r="H58" i="73"/>
  <c r="U12" i="73"/>
  <c r="V12" i="73" s="1"/>
  <c r="U8" i="73"/>
  <c r="V8" i="73" s="1"/>
  <c r="V7" i="73"/>
  <c r="C58" i="73"/>
  <c r="T17" i="73"/>
  <c r="T43" i="73"/>
  <c r="U43" i="73" s="1"/>
  <c r="V43" i="73" s="1"/>
  <c r="C47" i="72"/>
  <c r="K43" i="72"/>
  <c r="K58" i="72" s="1"/>
  <c r="J43" i="72"/>
  <c r="J58" i="72" s="1"/>
  <c r="C43" i="72"/>
  <c r="C41" i="72"/>
  <c r="U41" i="72" s="1"/>
  <c r="V41" i="72" s="1"/>
  <c r="C40" i="72"/>
  <c r="C37" i="72"/>
  <c r="C25" i="72"/>
  <c r="H24" i="72"/>
  <c r="T24" i="72" s="1"/>
  <c r="U24" i="72" s="1"/>
  <c r="V24" i="72" s="1"/>
  <c r="H23" i="72"/>
  <c r="T23" i="72" s="1"/>
  <c r="U23" i="72" s="1"/>
  <c r="V23" i="72" s="1"/>
  <c r="H21" i="72"/>
  <c r="H19" i="72"/>
  <c r="H17" i="72"/>
  <c r="C12" i="72"/>
  <c r="C8" i="72"/>
  <c r="R58" i="72"/>
  <c r="Q58" i="72"/>
  <c r="P58" i="72"/>
  <c r="O58" i="72"/>
  <c r="N58" i="72"/>
  <c r="M58" i="72"/>
  <c r="I58" i="72"/>
  <c r="G58" i="72"/>
  <c r="F58" i="72"/>
  <c r="T54" i="72"/>
  <c r="U54" i="72" s="1"/>
  <c r="V54" i="72" s="1"/>
  <c r="T53" i="72"/>
  <c r="U53" i="72" s="1"/>
  <c r="V53" i="72" s="1"/>
  <c r="T52" i="72"/>
  <c r="U52" i="72" s="1"/>
  <c r="V52" i="72" s="1"/>
  <c r="T51" i="72"/>
  <c r="U51" i="72" s="1"/>
  <c r="V51" i="72" s="1"/>
  <c r="T50" i="72"/>
  <c r="U50" i="72" s="1"/>
  <c r="V50" i="72" s="1"/>
  <c r="T49" i="72"/>
  <c r="U49" i="72" s="1"/>
  <c r="V49" i="72" s="1"/>
  <c r="T48" i="72"/>
  <c r="U48" i="72" s="1"/>
  <c r="V48" i="72" s="1"/>
  <c r="T47" i="72"/>
  <c r="U47" i="72" s="1"/>
  <c r="V47" i="72" s="1"/>
  <c r="T46" i="72"/>
  <c r="U46" i="72" s="1"/>
  <c r="V46" i="72" s="1"/>
  <c r="T45" i="72"/>
  <c r="U45" i="72" s="1"/>
  <c r="V45" i="72" s="1"/>
  <c r="T41" i="72"/>
  <c r="T40" i="72"/>
  <c r="T39" i="72"/>
  <c r="U39" i="72" s="1"/>
  <c r="V39" i="72" s="1"/>
  <c r="T38" i="72"/>
  <c r="U38" i="72" s="1"/>
  <c r="V38" i="72" s="1"/>
  <c r="T37" i="72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T22" i="72"/>
  <c r="U22" i="72" s="1"/>
  <c r="V22" i="72" s="1"/>
  <c r="T21" i="72"/>
  <c r="U21" i="72" s="1"/>
  <c r="V21" i="72" s="1"/>
  <c r="A21" i="72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20" i="72"/>
  <c r="U20" i="72" s="1"/>
  <c r="V20" i="72" s="1"/>
  <c r="A20" i="72"/>
  <c r="T19" i="72"/>
  <c r="U19" i="72" s="1"/>
  <c r="V19" i="72" s="1"/>
  <c r="T18" i="72"/>
  <c r="U18" i="72" s="1"/>
  <c r="V18" i="72" s="1"/>
  <c r="T16" i="72"/>
  <c r="U16" i="72" s="1"/>
  <c r="V16" i="72" s="1"/>
  <c r="T15" i="72"/>
  <c r="U15" i="72" s="1"/>
  <c r="V15" i="72" s="1"/>
  <c r="T14" i="72"/>
  <c r="U14" i="72" s="1"/>
  <c r="V14" i="72" s="1"/>
  <c r="A14" i="72"/>
  <c r="A15" i="72" s="1"/>
  <c r="A16" i="72" s="1"/>
  <c r="A17" i="72" s="1"/>
  <c r="A18" i="72" s="1"/>
  <c r="T13" i="72"/>
  <c r="U13" i="72" s="1"/>
  <c r="V13" i="72" s="1"/>
  <c r="T12" i="72"/>
  <c r="U12" i="72" s="1"/>
  <c r="V12" i="72" s="1"/>
  <c r="T11" i="72"/>
  <c r="U11" i="72" s="1"/>
  <c r="V11" i="72" s="1"/>
  <c r="T10" i="72"/>
  <c r="U10" i="72" s="1"/>
  <c r="V10" i="72" s="1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U7" i="72" s="1"/>
  <c r="T58" i="73" l="1"/>
  <c r="U17" i="73"/>
  <c r="U40" i="72"/>
  <c r="V40" i="72" s="1"/>
  <c r="U37" i="72"/>
  <c r="V37" i="72" s="1"/>
  <c r="U25" i="72"/>
  <c r="V25" i="72" s="1"/>
  <c r="H58" i="72"/>
  <c r="V7" i="72"/>
  <c r="T43" i="72"/>
  <c r="U43" i="72" s="1"/>
  <c r="V43" i="72" s="1"/>
  <c r="T17" i="72"/>
  <c r="C58" i="72"/>
  <c r="H24" i="71"/>
  <c r="T24" i="71" s="1"/>
  <c r="U24" i="71" s="1"/>
  <c r="V24" i="71" s="1"/>
  <c r="C47" i="71"/>
  <c r="K43" i="71"/>
  <c r="K58" i="71" s="1"/>
  <c r="J43" i="71"/>
  <c r="C43" i="71"/>
  <c r="C41" i="71"/>
  <c r="C40" i="71"/>
  <c r="C37" i="71"/>
  <c r="C25" i="71"/>
  <c r="H23" i="71"/>
  <c r="H21" i="71"/>
  <c r="T21" i="71" s="1"/>
  <c r="U21" i="71" s="1"/>
  <c r="V21" i="71" s="1"/>
  <c r="H19" i="71"/>
  <c r="T19" i="71" s="1"/>
  <c r="U19" i="71" s="1"/>
  <c r="V19" i="71" s="1"/>
  <c r="H17" i="71"/>
  <c r="T17" i="71" s="1"/>
  <c r="U17" i="71" s="1"/>
  <c r="V17" i="71" s="1"/>
  <c r="T15" i="71"/>
  <c r="U15" i="71" s="1"/>
  <c r="V15" i="71" s="1"/>
  <c r="C12" i="71"/>
  <c r="C8" i="71"/>
  <c r="R58" i="71"/>
  <c r="Q58" i="71"/>
  <c r="P58" i="71"/>
  <c r="O58" i="71"/>
  <c r="N58" i="71"/>
  <c r="M58" i="71"/>
  <c r="J58" i="71"/>
  <c r="I58" i="71"/>
  <c r="G58" i="71"/>
  <c r="F58" i="71"/>
  <c r="V54" i="71"/>
  <c r="U54" i="71"/>
  <c r="T54" i="71"/>
  <c r="T53" i="71"/>
  <c r="U53" i="71" s="1"/>
  <c r="V53" i="71" s="1"/>
  <c r="U52" i="71"/>
  <c r="V52" i="71" s="1"/>
  <c r="T52" i="71"/>
  <c r="U51" i="71"/>
  <c r="V51" i="71" s="1"/>
  <c r="T51" i="71"/>
  <c r="T50" i="71"/>
  <c r="U50" i="71" s="1"/>
  <c r="V50" i="71" s="1"/>
  <c r="T49" i="71"/>
  <c r="U49" i="71" s="1"/>
  <c r="V49" i="71" s="1"/>
  <c r="T48" i="71"/>
  <c r="U48" i="71" s="1"/>
  <c r="V48" i="71" s="1"/>
  <c r="T47" i="71"/>
  <c r="T46" i="71"/>
  <c r="U46" i="71" s="1"/>
  <c r="V46" i="71" s="1"/>
  <c r="T45" i="71"/>
  <c r="U45" i="71" s="1"/>
  <c r="V45" i="71" s="1"/>
  <c r="T41" i="71"/>
  <c r="U41" i="71"/>
  <c r="V41" i="71" s="1"/>
  <c r="T40" i="71"/>
  <c r="U40" i="71" s="1"/>
  <c r="V40" i="71" s="1"/>
  <c r="U39" i="71"/>
  <c r="V39" i="71" s="1"/>
  <c r="T39" i="71"/>
  <c r="T38" i="71"/>
  <c r="U38" i="71" s="1"/>
  <c r="V38" i="71" s="1"/>
  <c r="T37" i="7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U30" i="71"/>
  <c r="V30" i="71" s="1"/>
  <c r="T30" i="7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3" i="71"/>
  <c r="U23" i="71" s="1"/>
  <c r="V23" i="71" s="1"/>
  <c r="T22" i="71"/>
  <c r="U22" i="71" s="1"/>
  <c r="V22" i="71" s="1"/>
  <c r="T20" i="71"/>
  <c r="U20" i="71" s="1"/>
  <c r="V20" i="71" s="1"/>
  <c r="A20" i="7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T18" i="71"/>
  <c r="U18" i="71" s="1"/>
  <c r="V18" i="71" s="1"/>
  <c r="T16" i="71"/>
  <c r="U16" i="71" s="1"/>
  <c r="V16" i="71" s="1"/>
  <c r="T14" i="71"/>
  <c r="U14" i="71" s="1"/>
  <c r="V14" i="71" s="1"/>
  <c r="A14" i="71"/>
  <c r="A15" i="71" s="1"/>
  <c r="A16" i="71" s="1"/>
  <c r="A17" i="71" s="1"/>
  <c r="A18" i="71" s="1"/>
  <c r="T13" i="71"/>
  <c r="U13" i="71" s="1"/>
  <c r="V13" i="71" s="1"/>
  <c r="T12" i="71"/>
  <c r="U12" i="71" s="1"/>
  <c r="V12" i="71" s="1"/>
  <c r="T11" i="71"/>
  <c r="U11" i="71" s="1"/>
  <c r="V11" i="71" s="1"/>
  <c r="T10" i="71"/>
  <c r="U10" i="71" s="1"/>
  <c r="V10" i="71" s="1"/>
  <c r="T9" i="71"/>
  <c r="U9" i="71" s="1"/>
  <c r="V9" i="71" s="1"/>
  <c r="A9" i="71"/>
  <c r="A10" i="71" s="1"/>
  <c r="A11" i="71" s="1"/>
  <c r="T8" i="71"/>
  <c r="U8" i="71" s="1"/>
  <c r="V8" i="71" s="1"/>
  <c r="A8" i="71"/>
  <c r="T7" i="71"/>
  <c r="V17" i="73" l="1"/>
  <c r="V58" i="73" s="1"/>
  <c r="U58" i="73"/>
  <c r="T58" i="72"/>
  <c r="U17" i="72"/>
  <c r="U47" i="71"/>
  <c r="V47" i="71" s="1"/>
  <c r="U37" i="71"/>
  <c r="V37" i="71" s="1"/>
  <c r="T43" i="71"/>
  <c r="U43" i="71" s="1"/>
  <c r="V43" i="71" s="1"/>
  <c r="H58" i="71"/>
  <c r="U7" i="71"/>
  <c r="C58" i="71"/>
  <c r="C47" i="70"/>
  <c r="K43" i="70"/>
  <c r="J43" i="70"/>
  <c r="C43" i="70"/>
  <c r="C41" i="70"/>
  <c r="C40" i="70"/>
  <c r="C37" i="70"/>
  <c r="C25" i="70"/>
  <c r="H24" i="70"/>
  <c r="T24" i="70" s="1"/>
  <c r="U24" i="70" s="1"/>
  <c r="V24" i="70" s="1"/>
  <c r="H23" i="70"/>
  <c r="H21" i="70"/>
  <c r="H19" i="70"/>
  <c r="H17" i="70"/>
  <c r="C12" i="70"/>
  <c r="C8" i="70"/>
  <c r="R58" i="70"/>
  <c r="Q58" i="70"/>
  <c r="P58" i="70"/>
  <c r="O58" i="70"/>
  <c r="N58" i="70"/>
  <c r="M58" i="70"/>
  <c r="K58" i="70"/>
  <c r="J58" i="70"/>
  <c r="I58" i="70"/>
  <c r="G58" i="70"/>
  <c r="F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T46" i="70"/>
  <c r="U46" i="70" s="1"/>
  <c r="V46" i="70" s="1"/>
  <c r="T45" i="70"/>
  <c r="U45" i="70" s="1"/>
  <c r="V45" i="70" s="1"/>
  <c r="T43" i="70"/>
  <c r="U43" i="70" s="1"/>
  <c r="V43" i="70" s="1"/>
  <c r="T41" i="70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T23" i="70"/>
  <c r="U23" i="70" s="1"/>
  <c r="V23" i="70" s="1"/>
  <c r="T22" i="70"/>
  <c r="U22" i="70" s="1"/>
  <c r="V22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/>
  <c r="V12" i="70" s="1"/>
  <c r="T11" i="70"/>
  <c r="U11" i="70" s="1"/>
  <c r="V11" i="70" s="1"/>
  <c r="T10" i="70"/>
  <c r="U10" i="70" s="1"/>
  <c r="V10" i="70" s="1"/>
  <c r="T9" i="70"/>
  <c r="U9" i="70" s="1"/>
  <c r="V9" i="70" s="1"/>
  <c r="T8" i="70"/>
  <c r="U8" i="70"/>
  <c r="V8" i="70" s="1"/>
  <c r="A8" i="70"/>
  <c r="A9" i="70" s="1"/>
  <c r="A10" i="70" s="1"/>
  <c r="A11" i="70" s="1"/>
  <c r="T7" i="70"/>
  <c r="C47" i="69"/>
  <c r="K43" i="69"/>
  <c r="K58" i="69" s="1"/>
  <c r="J43" i="69"/>
  <c r="C43" i="69"/>
  <c r="C41" i="69"/>
  <c r="C40" i="69"/>
  <c r="C37" i="69"/>
  <c r="C25" i="69"/>
  <c r="H24" i="69"/>
  <c r="T24" i="69" s="1"/>
  <c r="U24" i="69" s="1"/>
  <c r="V24" i="69" s="1"/>
  <c r="H23" i="69"/>
  <c r="T23" i="69" s="1"/>
  <c r="U23" i="69" s="1"/>
  <c r="V23" i="69" s="1"/>
  <c r="H21" i="69"/>
  <c r="H19" i="69"/>
  <c r="T19" i="69" s="1"/>
  <c r="U19" i="69" s="1"/>
  <c r="V19" i="69" s="1"/>
  <c r="H17" i="69"/>
  <c r="T17" i="69" s="1"/>
  <c r="U17" i="69" s="1"/>
  <c r="V17" i="69" s="1"/>
  <c r="C12" i="69"/>
  <c r="C11" i="69"/>
  <c r="C9" i="69"/>
  <c r="U9" i="69" s="1"/>
  <c r="V9" i="69" s="1"/>
  <c r="C8" i="69"/>
  <c r="R58" i="69"/>
  <c r="Q58" i="69"/>
  <c r="P58" i="69"/>
  <c r="O58" i="69"/>
  <c r="N58" i="69"/>
  <c r="M58" i="69"/>
  <c r="I58" i="69"/>
  <c r="G58" i="69"/>
  <c r="F58" i="69"/>
  <c r="U54" i="69"/>
  <c r="V54" i="69" s="1"/>
  <c r="T54" i="69"/>
  <c r="T53" i="69"/>
  <c r="U53" i="69" s="1"/>
  <c r="V53" i="69" s="1"/>
  <c r="T52" i="69"/>
  <c r="U52" i="69" s="1"/>
  <c r="V52" i="69" s="1"/>
  <c r="T51" i="69"/>
  <c r="U51" i="69" s="1"/>
  <c r="V51" i="69" s="1"/>
  <c r="T50" i="69"/>
  <c r="U50" i="69" s="1"/>
  <c r="V50" i="69" s="1"/>
  <c r="T49" i="69"/>
  <c r="U49" i="69" s="1"/>
  <c r="V49" i="69" s="1"/>
  <c r="T48" i="69"/>
  <c r="U48" i="69" s="1"/>
  <c r="V48" i="69" s="1"/>
  <c r="T47" i="69"/>
  <c r="T46" i="69"/>
  <c r="U46" i="69" s="1"/>
  <c r="V46" i="69" s="1"/>
  <c r="T45" i="69"/>
  <c r="U45" i="69" s="1"/>
  <c r="V45" i="69" s="1"/>
  <c r="J58" i="69"/>
  <c r="T41" i="69"/>
  <c r="U41" i="69"/>
  <c r="V41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T36" i="69"/>
  <c r="U36" i="69" s="1"/>
  <c r="V36" i="69" s="1"/>
  <c r="T35" i="69"/>
  <c r="U35" i="69" s="1"/>
  <c r="V35" i="69" s="1"/>
  <c r="T34" i="69"/>
  <c r="U34" i="69" s="1"/>
  <c r="V34" i="69" s="1"/>
  <c r="U33" i="69"/>
  <c r="V33" i="69" s="1"/>
  <c r="T33" i="69"/>
  <c r="T32" i="69"/>
  <c r="U32" i="69" s="1"/>
  <c r="V32" i="69" s="1"/>
  <c r="T31" i="69"/>
  <c r="U31" i="69" s="1"/>
  <c r="V31" i="69" s="1"/>
  <c r="T30" i="69"/>
  <c r="U30" i="69" s="1"/>
  <c r="V30" i="69" s="1"/>
  <c r="T29" i="69"/>
  <c r="U29" i="69" s="1"/>
  <c r="V29" i="69" s="1"/>
  <c r="T28" i="69"/>
  <c r="U28" i="69" s="1"/>
  <c r="V28" i="69" s="1"/>
  <c r="T27" i="69"/>
  <c r="U27" i="69" s="1"/>
  <c r="V27" i="69" s="1"/>
  <c r="T26" i="69"/>
  <c r="U26" i="69" s="1"/>
  <c r="V26" i="69" s="1"/>
  <c r="AY25" i="69"/>
  <c r="T25" i="69"/>
  <c r="U25" i="69"/>
  <c r="V25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8" i="69"/>
  <c r="U18" i="69" s="1"/>
  <c r="V18" i="69" s="1"/>
  <c r="U16" i="69"/>
  <c r="V16" i="69" s="1"/>
  <c r="T16" i="69"/>
  <c r="T15" i="69"/>
  <c r="U15" i="69" s="1"/>
  <c r="V15" i="69" s="1"/>
  <c r="A15" i="69"/>
  <c r="A16" i="69" s="1"/>
  <c r="A17" i="69" s="1"/>
  <c r="A18" i="69" s="1"/>
  <c r="T14" i="69"/>
  <c r="U14" i="69" s="1"/>
  <c r="V14" i="69" s="1"/>
  <c r="A14" i="69"/>
  <c r="T13" i="69"/>
  <c r="U13" i="69" s="1"/>
  <c r="V13" i="69" s="1"/>
  <c r="T12" i="69"/>
  <c r="T11" i="69"/>
  <c r="U11" i="69" s="1"/>
  <c r="V11" i="69" s="1"/>
  <c r="T10" i="69"/>
  <c r="U10" i="69" s="1"/>
  <c r="V10" i="69" s="1"/>
  <c r="A10" i="69"/>
  <c r="A11" i="69" s="1"/>
  <c r="T9" i="69"/>
  <c r="A9" i="69"/>
  <c r="T8" i="69"/>
  <c r="A8" i="69"/>
  <c r="T7" i="69"/>
  <c r="U7" i="69" s="1"/>
  <c r="R58" i="68"/>
  <c r="Q58" i="68"/>
  <c r="P58" i="68"/>
  <c r="O58" i="68"/>
  <c r="N58" i="68"/>
  <c r="M58" i="68"/>
  <c r="K58" i="68"/>
  <c r="J58" i="68"/>
  <c r="I58" i="68"/>
  <c r="H58" i="68"/>
  <c r="C58" i="68"/>
  <c r="C47" i="68"/>
  <c r="K43" i="68"/>
  <c r="J43" i="68"/>
  <c r="C43" i="68"/>
  <c r="C41" i="68"/>
  <c r="C40" i="68"/>
  <c r="C37" i="68"/>
  <c r="C25" i="68"/>
  <c r="H24" i="68"/>
  <c r="H23" i="68"/>
  <c r="T23" i="68" s="1"/>
  <c r="U23" i="68" s="1"/>
  <c r="V23" i="68" s="1"/>
  <c r="H21" i="68"/>
  <c r="T21" i="68" s="1"/>
  <c r="U21" i="68" s="1"/>
  <c r="V21" i="68" s="1"/>
  <c r="H19" i="68"/>
  <c r="T19" i="68" s="1"/>
  <c r="U19" i="68" s="1"/>
  <c r="V19" i="68" s="1"/>
  <c r="H17" i="68"/>
  <c r="T17" i="68" s="1"/>
  <c r="U17" i="68" s="1"/>
  <c r="V17" i="68" s="1"/>
  <c r="C13" i="68"/>
  <c r="C12" i="68"/>
  <c r="C8" i="68"/>
  <c r="U54" i="68"/>
  <c r="V54" i="68" s="1"/>
  <c r="T54" i="68"/>
  <c r="T53" i="68"/>
  <c r="U53" i="68" s="1"/>
  <c r="V53" i="68" s="1"/>
  <c r="T52" i="68"/>
  <c r="U52" i="68" s="1"/>
  <c r="V52" i="68" s="1"/>
  <c r="T51" i="68"/>
  <c r="U51" i="68" s="1"/>
  <c r="V51" i="68" s="1"/>
  <c r="T50" i="68"/>
  <c r="U50" i="68" s="1"/>
  <c r="V50" i="68" s="1"/>
  <c r="T49" i="68"/>
  <c r="U49" i="68" s="1"/>
  <c r="V49" i="68" s="1"/>
  <c r="T48" i="68"/>
  <c r="U48" i="68" s="1"/>
  <c r="V48" i="68" s="1"/>
  <c r="T47" i="68"/>
  <c r="T46" i="68"/>
  <c r="U46" i="68" s="1"/>
  <c r="V46" i="68" s="1"/>
  <c r="T45" i="68"/>
  <c r="U45" i="68" s="1"/>
  <c r="V45" i="68" s="1"/>
  <c r="T41" i="68"/>
  <c r="U41" i="68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T36" i="68"/>
  <c r="U36" i="68" s="1"/>
  <c r="V36" i="68" s="1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U30" i="68"/>
  <c r="V30" i="68" s="1"/>
  <c r="T30" i="68"/>
  <c r="T29" i="68"/>
  <c r="U29" i="68" s="1"/>
  <c r="V29" i="68" s="1"/>
  <c r="T28" i="68"/>
  <c r="U28" i="68" s="1"/>
  <c r="V28" i="68" s="1"/>
  <c r="T27" i="68"/>
  <c r="U27" i="68" s="1"/>
  <c r="V27" i="68" s="1"/>
  <c r="U26" i="68"/>
  <c r="V26" i="68" s="1"/>
  <c r="T26" i="68"/>
  <c r="AY25" i="68"/>
  <c r="T25" i="68"/>
  <c r="U25" i="68" s="1"/>
  <c r="V25" i="68" s="1"/>
  <c r="T24" i="68"/>
  <c r="U24" i="68" s="1"/>
  <c r="V24" i="68" s="1"/>
  <c r="U22" i="68"/>
  <c r="V22" i="68" s="1"/>
  <c r="T22" i="68"/>
  <c r="A22" i="68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A21" i="68"/>
  <c r="T20" i="68"/>
  <c r="U20" i="68" s="1"/>
  <c r="V20" i="68" s="1"/>
  <c r="A20" i="68"/>
  <c r="T18" i="68"/>
  <c r="U18" i="68" s="1"/>
  <c r="V18" i="68" s="1"/>
  <c r="T16" i="68"/>
  <c r="U16" i="68" s="1"/>
  <c r="V16" i="68" s="1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T12" i="68"/>
  <c r="U12" i="68" s="1"/>
  <c r="V12" i="68" s="1"/>
  <c r="T11" i="68"/>
  <c r="U11" i="68" s="1"/>
  <c r="V11" i="68" s="1"/>
  <c r="T10" i="68"/>
  <c r="U10" i="68" s="1"/>
  <c r="V10" i="68" s="1"/>
  <c r="A10" i="68"/>
  <c r="A11" i="68" s="1"/>
  <c r="T9" i="68"/>
  <c r="U9" i="68" s="1"/>
  <c r="V9" i="68" s="1"/>
  <c r="A9" i="68"/>
  <c r="T8" i="68"/>
  <c r="A8" i="68"/>
  <c r="T7" i="68"/>
  <c r="H24" i="67"/>
  <c r="C47" i="67"/>
  <c r="M43" i="67"/>
  <c r="M58" i="67" s="1"/>
  <c r="K43" i="67"/>
  <c r="J43" i="67"/>
  <c r="J58" i="67" s="1"/>
  <c r="C43" i="67"/>
  <c r="C41" i="67"/>
  <c r="C40" i="67"/>
  <c r="C37" i="67"/>
  <c r="C25" i="67"/>
  <c r="H23" i="67"/>
  <c r="T23" i="67" s="1"/>
  <c r="U23" i="67" s="1"/>
  <c r="V23" i="67" s="1"/>
  <c r="H21" i="67"/>
  <c r="T21" i="67" s="1"/>
  <c r="U21" i="67" s="1"/>
  <c r="V21" i="67" s="1"/>
  <c r="H19" i="67"/>
  <c r="T19" i="67" s="1"/>
  <c r="U19" i="67" s="1"/>
  <c r="V19" i="67" s="1"/>
  <c r="H17" i="67"/>
  <c r="C12" i="67"/>
  <c r="C8" i="67"/>
  <c r="R58" i="67"/>
  <c r="Q58" i="67"/>
  <c r="P58" i="67"/>
  <c r="O58" i="67"/>
  <c r="N58" i="67"/>
  <c r="K58" i="67"/>
  <c r="I58" i="67"/>
  <c r="G58" i="67"/>
  <c r="F58" i="67"/>
  <c r="T54" i="67"/>
  <c r="U54" i="67" s="1"/>
  <c r="V54" i="67" s="1"/>
  <c r="U53" i="67"/>
  <c r="V53" i="67" s="1"/>
  <c r="T53" i="67"/>
  <c r="T52" i="67"/>
  <c r="U52" i="67" s="1"/>
  <c r="V52" i="67" s="1"/>
  <c r="T51" i="67"/>
  <c r="U51" i="67" s="1"/>
  <c r="V51" i="67" s="1"/>
  <c r="T50" i="67"/>
  <c r="U50" i="67" s="1"/>
  <c r="V50" i="67" s="1"/>
  <c r="U49" i="67"/>
  <c r="V49" i="67" s="1"/>
  <c r="T49" i="67"/>
  <c r="T48" i="67"/>
  <c r="U48" i="67" s="1"/>
  <c r="V48" i="67" s="1"/>
  <c r="T47" i="67"/>
  <c r="U47" i="67" s="1"/>
  <c r="V47" i="67" s="1"/>
  <c r="T46" i="67"/>
  <c r="U46" i="67" s="1"/>
  <c r="V46" i="67" s="1"/>
  <c r="T45" i="67"/>
  <c r="U45" i="67" s="1"/>
  <c r="V45" i="67" s="1"/>
  <c r="T41" i="67"/>
  <c r="U41" i="67" s="1"/>
  <c r="V41" i="67" s="1"/>
  <c r="T40" i="67"/>
  <c r="T39" i="67"/>
  <c r="U39" i="67" s="1"/>
  <c r="V39" i="67" s="1"/>
  <c r="T38" i="67"/>
  <c r="U38" i="67" s="1"/>
  <c r="V38" i="67" s="1"/>
  <c r="T37" i="67"/>
  <c r="U37" i="67" s="1"/>
  <c r="V37" i="67" s="1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T24" i="67"/>
  <c r="U24" i="67" s="1"/>
  <c r="V24" i="67" s="1"/>
  <c r="T22" i="67"/>
  <c r="U22" i="67" s="1"/>
  <c r="V22" i="67" s="1"/>
  <c r="A21" i="67"/>
  <c r="A22" i="67" s="1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0" i="67"/>
  <c r="U20" i="67" s="1"/>
  <c r="V20" i="67" s="1"/>
  <c r="A20" i="67"/>
  <c r="T18" i="67"/>
  <c r="U18" i="67" s="1"/>
  <c r="V18" i="67" s="1"/>
  <c r="U16" i="67"/>
  <c r="V16" i="67" s="1"/>
  <c r="T16" i="67"/>
  <c r="T15" i="67"/>
  <c r="U15" i="67" s="1"/>
  <c r="V15" i="67" s="1"/>
  <c r="U14" i="67"/>
  <c r="V14" i="67" s="1"/>
  <c r="T14" i="67"/>
  <c r="A14" i="67"/>
  <c r="A15" i="67" s="1"/>
  <c r="A16" i="67" s="1"/>
  <c r="A17" i="67" s="1"/>
  <c r="A18" i="67" s="1"/>
  <c r="T13" i="67"/>
  <c r="U13" i="67" s="1"/>
  <c r="V13" i="67" s="1"/>
  <c r="T12" i="67"/>
  <c r="T11" i="67"/>
  <c r="U11" i="67" s="1"/>
  <c r="V11" i="67" s="1"/>
  <c r="T10" i="67"/>
  <c r="U10" i="67" s="1"/>
  <c r="V10" i="67" s="1"/>
  <c r="T9" i="67"/>
  <c r="U9" i="67"/>
  <c r="V9" i="67" s="1"/>
  <c r="A9" i="67"/>
  <c r="A10" i="67" s="1"/>
  <c r="A11" i="67" s="1"/>
  <c r="T8" i="67"/>
  <c r="U8" i="67" s="1"/>
  <c r="V8" i="67" s="1"/>
  <c r="A8" i="67"/>
  <c r="T7" i="67"/>
  <c r="U7" i="67" s="1"/>
  <c r="V17" i="72" l="1"/>
  <c r="V58" i="72" s="1"/>
  <c r="U58" i="72"/>
  <c r="T58" i="71"/>
  <c r="U58" i="71"/>
  <c r="V7" i="71"/>
  <c r="V58" i="71" s="1"/>
  <c r="U47" i="70"/>
  <c r="V47" i="70" s="1"/>
  <c r="U41" i="70"/>
  <c r="V41" i="70" s="1"/>
  <c r="U25" i="70"/>
  <c r="V25" i="70" s="1"/>
  <c r="H58" i="70"/>
  <c r="T17" i="70"/>
  <c r="U17" i="70" s="1"/>
  <c r="V17" i="70" s="1"/>
  <c r="C58" i="70"/>
  <c r="T21" i="70"/>
  <c r="U21" i="70" s="1"/>
  <c r="V21" i="70" s="1"/>
  <c r="U7" i="70"/>
  <c r="U47" i="69"/>
  <c r="V47" i="69" s="1"/>
  <c r="U40" i="69"/>
  <c r="V40" i="69" s="1"/>
  <c r="U12" i="69"/>
  <c r="V12" i="69" s="1"/>
  <c r="V7" i="69"/>
  <c r="T43" i="69"/>
  <c r="U43" i="69" s="1"/>
  <c r="V43" i="69" s="1"/>
  <c r="C58" i="69"/>
  <c r="H58" i="69"/>
  <c r="U8" i="69"/>
  <c r="V8" i="69" s="1"/>
  <c r="U47" i="68"/>
  <c r="V47" i="68" s="1"/>
  <c r="T43" i="68"/>
  <c r="T58" i="68" s="1"/>
  <c r="U13" i="68"/>
  <c r="V13" i="68" s="1"/>
  <c r="U8" i="68"/>
  <c r="V8" i="68" s="1"/>
  <c r="U7" i="68"/>
  <c r="T43" i="67"/>
  <c r="U43" i="67" s="1"/>
  <c r="V43" i="67" s="1"/>
  <c r="U40" i="67"/>
  <c r="V40" i="67" s="1"/>
  <c r="U25" i="67"/>
  <c r="V25" i="67" s="1"/>
  <c r="C58" i="67"/>
  <c r="H58" i="67"/>
  <c r="U12" i="67"/>
  <c r="V12" i="67" s="1"/>
  <c r="V7" i="67"/>
  <c r="T17" i="67"/>
  <c r="U17" i="67" s="1"/>
  <c r="V17" i="67" s="1"/>
  <c r="C47" i="66"/>
  <c r="J43" i="66"/>
  <c r="K43" i="66"/>
  <c r="C43" i="66"/>
  <c r="K58" i="66"/>
  <c r="J58" i="66"/>
  <c r="C37" i="66"/>
  <c r="C25" i="66"/>
  <c r="H24" i="66"/>
  <c r="T24" i="66" s="1"/>
  <c r="U24" i="66" s="1"/>
  <c r="V24" i="66" s="1"/>
  <c r="H23" i="66"/>
  <c r="T23" i="66" s="1"/>
  <c r="U23" i="66" s="1"/>
  <c r="V23" i="66" s="1"/>
  <c r="H21" i="66"/>
  <c r="H19" i="66"/>
  <c r="H17" i="66"/>
  <c r="T17" i="66" s="1"/>
  <c r="U17" i="66" s="1"/>
  <c r="V17" i="66" s="1"/>
  <c r="C12" i="66"/>
  <c r="C9" i="66"/>
  <c r="C8" i="66"/>
  <c r="R58" i="66"/>
  <c r="Q58" i="66"/>
  <c r="P58" i="66"/>
  <c r="O58" i="66"/>
  <c r="N58" i="66"/>
  <c r="M58" i="66"/>
  <c r="I58" i="66"/>
  <c r="G58" i="66"/>
  <c r="F58" i="66"/>
  <c r="U54" i="66"/>
  <c r="V54" i="66" s="1"/>
  <c r="T54" i="66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T46" i="66"/>
  <c r="U46" i="66" s="1"/>
  <c r="V46" i="66" s="1"/>
  <c r="T45" i="66"/>
  <c r="U45" i="66" s="1"/>
  <c r="V45" i="66" s="1"/>
  <c r="T43" i="66"/>
  <c r="T41" i="66"/>
  <c r="U41" i="66" s="1"/>
  <c r="V41" i="66" s="1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T33" i="66"/>
  <c r="U33" i="66" s="1"/>
  <c r="V33" i="66" s="1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T22" i="66"/>
  <c r="U22" i="66" s="1"/>
  <c r="V22" i="66" s="1"/>
  <c r="T21" i="66"/>
  <c r="U21" i="66" s="1"/>
  <c r="V21" i="66" s="1"/>
  <c r="T20" i="66"/>
  <c r="U20" i="66" s="1"/>
  <c r="V20" i="66" s="1"/>
  <c r="A20" i="66"/>
  <c r="A21" i="66" s="1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T19" i="66"/>
  <c r="U19" i="66" s="1"/>
  <c r="V19" i="66" s="1"/>
  <c r="T18" i="66"/>
  <c r="U18" i="66" s="1"/>
  <c r="V18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T11" i="66"/>
  <c r="U11" i="66" s="1"/>
  <c r="V11" i="66" s="1"/>
  <c r="T10" i="66"/>
  <c r="U10" i="66" s="1"/>
  <c r="V10" i="66" s="1"/>
  <c r="T9" i="66"/>
  <c r="U9" i="66" s="1"/>
  <c r="V9" i="66" s="1"/>
  <c r="T8" i="66"/>
  <c r="A8" i="66"/>
  <c r="A9" i="66" s="1"/>
  <c r="A10" i="66" s="1"/>
  <c r="A11" i="66" s="1"/>
  <c r="T7" i="66"/>
  <c r="T58" i="70" l="1"/>
  <c r="U58" i="70"/>
  <c r="V7" i="70"/>
  <c r="V58" i="70" s="1"/>
  <c r="V58" i="69"/>
  <c r="U58" i="69"/>
  <c r="T58" i="69"/>
  <c r="U43" i="68"/>
  <c r="V43" i="68" s="1"/>
  <c r="V7" i="68"/>
  <c r="V58" i="67"/>
  <c r="U58" i="67"/>
  <c r="T58" i="67"/>
  <c r="U47" i="66"/>
  <c r="V47" i="66" s="1"/>
  <c r="U43" i="66"/>
  <c r="V43" i="66" s="1"/>
  <c r="U25" i="66"/>
  <c r="V25" i="66" s="1"/>
  <c r="U12" i="66"/>
  <c r="V12" i="66" s="1"/>
  <c r="C58" i="66"/>
  <c r="U8" i="66"/>
  <c r="V8" i="66" s="1"/>
  <c r="T58" i="66"/>
  <c r="H58" i="66"/>
  <c r="U7" i="66"/>
  <c r="C43" i="65"/>
  <c r="K43" i="65"/>
  <c r="J43" i="65"/>
  <c r="J58" i="65"/>
  <c r="I58" i="65"/>
  <c r="C47" i="65"/>
  <c r="K58" i="65"/>
  <c r="H37" i="65"/>
  <c r="C37" i="65"/>
  <c r="C29" i="65"/>
  <c r="C25" i="65"/>
  <c r="U25" i="65" s="1"/>
  <c r="V25" i="65" s="1"/>
  <c r="H24" i="65"/>
  <c r="T24" i="65" s="1"/>
  <c r="U24" i="65" s="1"/>
  <c r="V24" i="65" s="1"/>
  <c r="H23" i="65"/>
  <c r="T23" i="65" s="1"/>
  <c r="U23" i="65" s="1"/>
  <c r="V23" i="65" s="1"/>
  <c r="T22" i="65"/>
  <c r="U22" i="65" s="1"/>
  <c r="V22" i="65" s="1"/>
  <c r="H21" i="65"/>
  <c r="T21" i="65" s="1"/>
  <c r="U21" i="65" s="1"/>
  <c r="V21" i="65" s="1"/>
  <c r="H19" i="65"/>
  <c r="H17" i="65"/>
  <c r="T17" i="65" s="1"/>
  <c r="U17" i="65" s="1"/>
  <c r="V17" i="65" s="1"/>
  <c r="C12" i="65"/>
  <c r="C9" i="65"/>
  <c r="U9" i="65" s="1"/>
  <c r="V9" i="65" s="1"/>
  <c r="C8" i="65"/>
  <c r="U8" i="65" s="1"/>
  <c r="V8" i="65" s="1"/>
  <c r="R58" i="65"/>
  <c r="Q58" i="65"/>
  <c r="P58" i="65"/>
  <c r="O58" i="65"/>
  <c r="N58" i="65"/>
  <c r="M58" i="65"/>
  <c r="G58" i="65"/>
  <c r="F58" i="65"/>
  <c r="T54" i="65"/>
  <c r="U54" i="65" s="1"/>
  <c r="V54" i="65" s="1"/>
  <c r="T53" i="65"/>
  <c r="U53" i="65" s="1"/>
  <c r="V53" i="65" s="1"/>
  <c r="T52" i="65"/>
  <c r="U52" i="65" s="1"/>
  <c r="V52" i="65" s="1"/>
  <c r="T51" i="65"/>
  <c r="U51" i="65" s="1"/>
  <c r="V51" i="65" s="1"/>
  <c r="U50" i="65"/>
  <c r="V50" i="65" s="1"/>
  <c r="T50" i="65"/>
  <c r="T49" i="65"/>
  <c r="U49" i="65" s="1"/>
  <c r="V49" i="65" s="1"/>
  <c r="T48" i="65"/>
  <c r="U48" i="65" s="1"/>
  <c r="V48" i="65" s="1"/>
  <c r="T47" i="65"/>
  <c r="T46" i="65"/>
  <c r="U46" i="65" s="1"/>
  <c r="V46" i="65" s="1"/>
  <c r="T45" i="65"/>
  <c r="U45" i="65" s="1"/>
  <c r="V45" i="65" s="1"/>
  <c r="T41" i="65"/>
  <c r="U41" i="65" s="1"/>
  <c r="V41" i="65" s="1"/>
  <c r="T40" i="65"/>
  <c r="U40" i="65" s="1"/>
  <c r="V40" i="65" s="1"/>
  <c r="T39" i="65"/>
  <c r="U39" i="65" s="1"/>
  <c r="V39" i="65" s="1"/>
  <c r="T38" i="65"/>
  <c r="U38" i="65" s="1"/>
  <c r="V38" i="65" s="1"/>
  <c r="T37" i="65"/>
  <c r="U37" i="65" s="1"/>
  <c r="V37" i="65" s="1"/>
  <c r="U36" i="65"/>
  <c r="V36" i="65" s="1"/>
  <c r="T36" i="65"/>
  <c r="T35" i="65"/>
  <c r="U35" i="65" s="1"/>
  <c r="V35" i="65" s="1"/>
  <c r="T34" i="65"/>
  <c r="U34" i="65" s="1"/>
  <c r="V34" i="65" s="1"/>
  <c r="T33" i="65"/>
  <c r="U33" i="65" s="1"/>
  <c r="V33" i="65" s="1"/>
  <c r="T32" i="65"/>
  <c r="U32" i="65" s="1"/>
  <c r="V32" i="65" s="1"/>
  <c r="T31" i="65"/>
  <c r="U31" i="65" s="1"/>
  <c r="V31" i="65" s="1"/>
  <c r="T30" i="65"/>
  <c r="U30" i="65" s="1"/>
  <c r="V30" i="65" s="1"/>
  <c r="T29" i="65"/>
  <c r="U28" i="65"/>
  <c r="V28" i="65" s="1"/>
  <c r="T28" i="65"/>
  <c r="T27" i="65"/>
  <c r="U27" i="65" s="1"/>
  <c r="V27" i="65" s="1"/>
  <c r="T26" i="65"/>
  <c r="U26" i="65" s="1"/>
  <c r="V26" i="65" s="1"/>
  <c r="AY25" i="65"/>
  <c r="T25" i="65"/>
  <c r="T20" i="65"/>
  <c r="U20" i="65" s="1"/>
  <c r="V20" i="65" s="1"/>
  <c r="A20" i="65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19" i="65"/>
  <c r="U19" i="65" s="1"/>
  <c r="V19" i="65" s="1"/>
  <c r="T18" i="65"/>
  <c r="U18" i="65" s="1"/>
  <c r="V18" i="65" s="1"/>
  <c r="T16" i="65"/>
  <c r="U16" i="65" s="1"/>
  <c r="V16" i="65" s="1"/>
  <c r="T15" i="65"/>
  <c r="U15" i="65" s="1"/>
  <c r="V15" i="65" s="1"/>
  <c r="U14" i="65"/>
  <c r="V14" i="65" s="1"/>
  <c r="T14" i="65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T9" i="65"/>
  <c r="T8" i="65"/>
  <c r="A8" i="65"/>
  <c r="A9" i="65" s="1"/>
  <c r="A10" i="65" s="1"/>
  <c r="A11" i="65" s="1"/>
  <c r="T7" i="65"/>
  <c r="U7" i="65" s="1"/>
  <c r="V58" i="68" l="1"/>
  <c r="U58" i="68"/>
  <c r="U58" i="66"/>
  <c r="V7" i="66"/>
  <c r="V58" i="66" s="1"/>
  <c r="U47" i="65"/>
  <c r="V47" i="65" s="1"/>
  <c r="T43" i="65"/>
  <c r="U43" i="65" s="1"/>
  <c r="U29" i="65"/>
  <c r="V29" i="65" s="1"/>
  <c r="C58" i="65"/>
  <c r="H58" i="65"/>
  <c r="V7" i="65"/>
  <c r="C47" i="64"/>
  <c r="K43" i="64"/>
  <c r="J43" i="64"/>
  <c r="C43" i="64"/>
  <c r="I43" i="64"/>
  <c r="J58" i="64"/>
  <c r="I58" i="64"/>
  <c r="K58" i="64"/>
  <c r="T40" i="64"/>
  <c r="U40" i="64" s="1"/>
  <c r="V40" i="64" s="1"/>
  <c r="C37" i="64"/>
  <c r="C25" i="64"/>
  <c r="H24" i="64"/>
  <c r="H23" i="64"/>
  <c r="T23" i="64" s="1"/>
  <c r="U23" i="64" s="1"/>
  <c r="V23" i="64" s="1"/>
  <c r="H21" i="64"/>
  <c r="T21" i="64" s="1"/>
  <c r="U21" i="64" s="1"/>
  <c r="V21" i="64" s="1"/>
  <c r="H19" i="64"/>
  <c r="T19" i="64" s="1"/>
  <c r="U19" i="64" s="1"/>
  <c r="V19" i="64" s="1"/>
  <c r="H17" i="64"/>
  <c r="T17" i="64" s="1"/>
  <c r="U17" i="64" s="1"/>
  <c r="V17" i="64" s="1"/>
  <c r="C12" i="64"/>
  <c r="C9" i="64"/>
  <c r="C8" i="64"/>
  <c r="R58" i="64"/>
  <c r="Q58" i="64"/>
  <c r="P58" i="64"/>
  <c r="O58" i="64"/>
  <c r="N58" i="64"/>
  <c r="M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U45" i="64"/>
  <c r="V45" i="64" s="1"/>
  <c r="T45" i="64"/>
  <c r="T41" i="64"/>
  <c r="U41" i="64" s="1"/>
  <c r="V41" i="64" s="1"/>
  <c r="T39" i="64"/>
  <c r="U39" i="64" s="1"/>
  <c r="V39" i="64" s="1"/>
  <c r="T38" i="64"/>
  <c r="U38" i="64" s="1"/>
  <c r="V38" i="64" s="1"/>
  <c r="T37" i="64"/>
  <c r="T36" i="64"/>
  <c r="U36" i="64" s="1"/>
  <c r="V36" i="64" s="1"/>
  <c r="T35" i="64"/>
  <c r="U35" i="64" s="1"/>
  <c r="V35" i="64" s="1"/>
  <c r="T34" i="64"/>
  <c r="U34" i="64" s="1"/>
  <c r="V34" i="64" s="1"/>
  <c r="T33" i="64"/>
  <c r="U33" i="64" s="1"/>
  <c r="V33" i="64" s="1"/>
  <c r="T32" i="64"/>
  <c r="U32" i="64" s="1"/>
  <c r="V32" i="64" s="1"/>
  <c r="U31" i="64"/>
  <c r="V31" i="64" s="1"/>
  <c r="T31" i="64"/>
  <c r="T30" i="64"/>
  <c r="U30" i="64" s="1"/>
  <c r="V30" i="64" s="1"/>
  <c r="T29" i="64"/>
  <c r="U29" i="64" s="1"/>
  <c r="V29" i="64" s="1"/>
  <c r="T28" i="64"/>
  <c r="U28" i="64" s="1"/>
  <c r="V28" i="64" s="1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A23" i="64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22" i="64"/>
  <c r="U22" i="64" s="1"/>
  <c r="V22" i="64" s="1"/>
  <c r="A22" i="64"/>
  <c r="A21" i="64"/>
  <c r="T20" i="64"/>
  <c r="U20" i="64" s="1"/>
  <c r="V20" i="64" s="1"/>
  <c r="A20" i="64"/>
  <c r="T18" i="64"/>
  <c r="U18" i="64" s="1"/>
  <c r="V18" i="64" s="1"/>
  <c r="T16" i="64"/>
  <c r="U16" i="64" s="1"/>
  <c r="V16" i="64" s="1"/>
  <c r="T15" i="64"/>
  <c r="U15" i="64" s="1"/>
  <c r="V15" i="64" s="1"/>
  <c r="A15" i="64"/>
  <c r="A16" i="64" s="1"/>
  <c r="A17" i="64" s="1"/>
  <c r="A18" i="64" s="1"/>
  <c r="T14" i="64"/>
  <c r="U14" i="64" s="1"/>
  <c r="V14" i="64" s="1"/>
  <c r="A14" i="64"/>
  <c r="T13" i="64"/>
  <c r="U13" i="64" s="1"/>
  <c r="V13" i="64" s="1"/>
  <c r="T12" i="64"/>
  <c r="U12" i="64" s="1"/>
  <c r="V12" i="64" s="1"/>
  <c r="T11" i="64"/>
  <c r="U11" i="64" s="1"/>
  <c r="V11" i="64" s="1"/>
  <c r="T10" i="64"/>
  <c r="U10" i="64" s="1"/>
  <c r="V10" i="64" s="1"/>
  <c r="T9" i="64"/>
  <c r="U8" i="64"/>
  <c r="V8" i="64" s="1"/>
  <c r="T8" i="64"/>
  <c r="A8" i="64"/>
  <c r="A9" i="64" s="1"/>
  <c r="A10" i="64" s="1"/>
  <c r="A11" i="64" s="1"/>
  <c r="T7" i="64"/>
  <c r="V43" i="65" l="1"/>
  <c r="V58" i="65" s="1"/>
  <c r="U58" i="65"/>
  <c r="T58" i="65"/>
  <c r="U47" i="64"/>
  <c r="V47" i="64" s="1"/>
  <c r="T43" i="64"/>
  <c r="U43" i="64" s="1"/>
  <c r="V43" i="64" s="1"/>
  <c r="U37" i="64"/>
  <c r="V37" i="64" s="1"/>
  <c r="U25" i="64"/>
  <c r="V25" i="64" s="1"/>
  <c r="C58" i="64"/>
  <c r="U9" i="64"/>
  <c r="V9" i="64" s="1"/>
  <c r="U7" i="64"/>
  <c r="H58" i="64"/>
  <c r="C47" i="63"/>
  <c r="J43" i="63"/>
  <c r="C43" i="63"/>
  <c r="K43" i="63"/>
  <c r="C37" i="63"/>
  <c r="C25" i="63"/>
  <c r="H24" i="63"/>
  <c r="T24" i="63" s="1"/>
  <c r="U24" i="63" s="1"/>
  <c r="V24" i="63" s="1"/>
  <c r="H23" i="63"/>
  <c r="H21" i="63"/>
  <c r="H19" i="63"/>
  <c r="T19" i="63" s="1"/>
  <c r="U19" i="63" s="1"/>
  <c r="V19" i="63" s="1"/>
  <c r="H17" i="63"/>
  <c r="C12" i="63"/>
  <c r="C9" i="63"/>
  <c r="C8" i="63"/>
  <c r="R58" i="63"/>
  <c r="T34" i="63"/>
  <c r="Q58" i="63"/>
  <c r="P58" i="63"/>
  <c r="O58" i="63"/>
  <c r="N58" i="63"/>
  <c r="M58" i="63"/>
  <c r="J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K58" i="63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1" i="63"/>
  <c r="U21" i="63" s="1"/>
  <c r="V21" i="63" s="1"/>
  <c r="A21" i="63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20" i="63"/>
  <c r="U20" i="63" s="1"/>
  <c r="V20" i="63" s="1"/>
  <c r="A20" i="63"/>
  <c r="T18" i="63"/>
  <c r="U18" i="63" s="1"/>
  <c r="V18" i="63" s="1"/>
  <c r="T16" i="63"/>
  <c r="U16" i="63" s="1"/>
  <c r="V16" i="63" s="1"/>
  <c r="T15" i="63"/>
  <c r="U15" i="63" s="1"/>
  <c r="V15" i="63" s="1"/>
  <c r="T14" i="63"/>
  <c r="U14" i="63" s="1"/>
  <c r="V14" i="63" s="1"/>
  <c r="A14" i="63"/>
  <c r="A15" i="63" s="1"/>
  <c r="A16" i="63" s="1"/>
  <c r="A17" i="63" s="1"/>
  <c r="A18" i="63" s="1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U9" i="63" s="1"/>
  <c r="V9" i="63" s="1"/>
  <c r="A9" i="63"/>
  <c r="A10" i="63" s="1"/>
  <c r="A11" i="63" s="1"/>
  <c r="T8" i="63"/>
  <c r="A8" i="63"/>
  <c r="T7" i="63"/>
  <c r="T58" i="64" l="1"/>
  <c r="U58" i="64"/>
  <c r="V7" i="64"/>
  <c r="V58" i="64" s="1"/>
  <c r="U47" i="63"/>
  <c r="V47" i="63" s="1"/>
  <c r="U37" i="63"/>
  <c r="V37" i="63" s="1"/>
  <c r="C58" i="63"/>
  <c r="H58" i="63"/>
  <c r="U8" i="63"/>
  <c r="V8" i="63" s="1"/>
  <c r="U34" i="63"/>
  <c r="V34" i="63" s="1"/>
  <c r="U25" i="63"/>
  <c r="V25" i="63" s="1"/>
  <c r="T43" i="63"/>
  <c r="U43" i="63" s="1"/>
  <c r="V43" i="63" s="1"/>
  <c r="T17" i="63"/>
  <c r="U17" i="63" s="1"/>
  <c r="V17" i="63" s="1"/>
  <c r="U7" i="63"/>
  <c r="C47" i="62"/>
  <c r="K43" i="62"/>
  <c r="J43" i="62"/>
  <c r="T43" i="62" s="1"/>
  <c r="C43" i="62"/>
  <c r="C37" i="62"/>
  <c r="C34" i="62"/>
  <c r="C25" i="62"/>
  <c r="H24" i="62"/>
  <c r="T24" i="62" s="1"/>
  <c r="U24" i="62" s="1"/>
  <c r="V24" i="62" s="1"/>
  <c r="H23" i="62"/>
  <c r="H21" i="62"/>
  <c r="T21" i="62" s="1"/>
  <c r="U21" i="62" s="1"/>
  <c r="V21" i="62" s="1"/>
  <c r="H19" i="62"/>
  <c r="H17" i="62"/>
  <c r="C12" i="62"/>
  <c r="U12" i="62" s="1"/>
  <c r="V12" i="62" s="1"/>
  <c r="C9" i="62"/>
  <c r="C8" i="62"/>
  <c r="R58" i="62"/>
  <c r="Q58" i="62"/>
  <c r="P58" i="62"/>
  <c r="O58" i="62"/>
  <c r="N58" i="62"/>
  <c r="M58" i="62"/>
  <c r="I58" i="62"/>
  <c r="G58" i="62"/>
  <c r="F58" i="62"/>
  <c r="T54" i="62"/>
  <c r="U54" i="62" s="1"/>
  <c r="V54" i="62" s="1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T46" i="62"/>
  <c r="U46" i="62" s="1"/>
  <c r="V46" i="62" s="1"/>
  <c r="T45" i="62"/>
  <c r="U45" i="62" s="1"/>
  <c r="V45" i="62" s="1"/>
  <c r="K58" i="62"/>
  <c r="T41" i="62"/>
  <c r="U41" i="62" s="1"/>
  <c r="V41" i="62" s="1"/>
  <c r="T40" i="62"/>
  <c r="U40" i="62" s="1"/>
  <c r="V40" i="62" s="1"/>
  <c r="U39" i="62"/>
  <c r="V39" i="62" s="1"/>
  <c r="T39" i="62"/>
  <c r="T38" i="62"/>
  <c r="U38" i="62" s="1"/>
  <c r="V38" i="62" s="1"/>
  <c r="T37" i="62"/>
  <c r="T36" i="62"/>
  <c r="U35" i="62"/>
  <c r="V35" i="62" s="1"/>
  <c r="T35" i="62"/>
  <c r="T34" i="62"/>
  <c r="U34" i="62" s="1"/>
  <c r="V34" i="62" s="1"/>
  <c r="T33" i="62"/>
  <c r="U33" i="62" s="1"/>
  <c r="V33" i="62" s="1"/>
  <c r="T32" i="62"/>
  <c r="U32" i="62" s="1"/>
  <c r="V32" i="62" s="1"/>
  <c r="T31" i="62"/>
  <c r="U31" i="62" s="1"/>
  <c r="V31" i="62" s="1"/>
  <c r="U30" i="62"/>
  <c r="V30" i="62" s="1"/>
  <c r="T30" i="62"/>
  <c r="T29" i="62"/>
  <c r="U29" i="62" s="1"/>
  <c r="V29" i="62" s="1"/>
  <c r="T28" i="62"/>
  <c r="U28" i="62" s="1"/>
  <c r="V28" i="62" s="1"/>
  <c r="T27" i="62"/>
  <c r="U27" i="62" s="1"/>
  <c r="V27" i="62" s="1"/>
  <c r="U26" i="62"/>
  <c r="V26" i="62" s="1"/>
  <c r="T26" i="62"/>
  <c r="AY25" i="62"/>
  <c r="T25" i="62"/>
  <c r="T23" i="62"/>
  <c r="U23" i="62" s="1"/>
  <c r="V23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T14" i="62"/>
  <c r="U14" i="62" s="1"/>
  <c r="V14" i="62" s="1"/>
  <c r="A14" i="62"/>
  <c r="A15" i="62" s="1"/>
  <c r="A16" i="62" s="1"/>
  <c r="A17" i="62" s="1"/>
  <c r="A18" i="62" s="1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U8" i="62"/>
  <c r="V8" i="62" s="1"/>
  <c r="A8" i="62"/>
  <c r="T7" i="62"/>
  <c r="U7" i="62" s="1"/>
  <c r="V7" i="62" s="1"/>
  <c r="U58" i="63" l="1"/>
  <c r="V7" i="63"/>
  <c r="V58" i="63" s="1"/>
  <c r="T58" i="63"/>
  <c r="J58" i="62"/>
  <c r="U43" i="62"/>
  <c r="V43" i="62" s="1"/>
  <c r="U37" i="62"/>
  <c r="V37" i="62" s="1"/>
  <c r="U36" i="62"/>
  <c r="V36" i="62" s="1"/>
  <c r="U25" i="62"/>
  <c r="V25" i="62" s="1"/>
  <c r="H58" i="62"/>
  <c r="C58" i="62"/>
  <c r="T17" i="62"/>
  <c r="U17" i="62" s="1"/>
  <c r="V17" i="62" s="1"/>
  <c r="C47" i="61"/>
  <c r="K43" i="61"/>
  <c r="J43" i="61"/>
  <c r="C43" i="61"/>
  <c r="K58" i="61"/>
  <c r="C37" i="61"/>
  <c r="C25" i="61"/>
  <c r="H24" i="61"/>
  <c r="H23" i="61"/>
  <c r="H21" i="61"/>
  <c r="T21" i="61" s="1"/>
  <c r="U21" i="61" s="1"/>
  <c r="V21" i="61" s="1"/>
  <c r="H19" i="61"/>
  <c r="H17" i="61"/>
  <c r="C12" i="61"/>
  <c r="C9" i="61"/>
  <c r="C8" i="6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T45" i="61"/>
  <c r="U45" i="61" s="1"/>
  <c r="V45" i="61" s="1"/>
  <c r="J58" i="61"/>
  <c r="T41" i="61"/>
  <c r="U41" i="6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U27" i="61"/>
  <c r="V27" i="61" s="1"/>
  <c r="T27" i="61"/>
  <c r="T26" i="61"/>
  <c r="U26" i="61" s="1"/>
  <c r="V26" i="61" s="1"/>
  <c r="AY25" i="61"/>
  <c r="T25" i="61"/>
  <c r="U25" i="61" s="1"/>
  <c r="V25" i="61" s="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U20" i="61"/>
  <c r="V20" i="61" s="1"/>
  <c r="T20" i="61"/>
  <c r="A20" i="61"/>
  <c r="T19" i="61"/>
  <c r="U19" i="61" s="1"/>
  <c r="V19" i="61" s="1"/>
  <c r="T18" i="61"/>
  <c r="U18" i="61" s="1"/>
  <c r="V18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/>
  <c r="V9" i="61" s="1"/>
  <c r="A9" i="61"/>
  <c r="A10" i="61" s="1"/>
  <c r="A11" i="61" s="1"/>
  <c r="U8" i="61"/>
  <c r="V8" i="61" s="1"/>
  <c r="T8" i="61"/>
  <c r="A8" i="61"/>
  <c r="T7" i="61"/>
  <c r="V58" i="62" l="1"/>
  <c r="T58" i="62"/>
  <c r="U58" i="62"/>
  <c r="U47" i="61"/>
  <c r="V47" i="61" s="1"/>
  <c r="H58" i="61"/>
  <c r="T43" i="61"/>
  <c r="U43" i="61" s="1"/>
  <c r="V43" i="61" s="1"/>
  <c r="C58" i="61"/>
  <c r="T17" i="61"/>
  <c r="U17" i="61" s="1"/>
  <c r="V17" i="61" s="1"/>
  <c r="U7" i="61"/>
  <c r="C47" i="60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T58" i="61" l="1"/>
  <c r="U58" i="61"/>
  <c r="V7" i="61"/>
  <c r="V58" i="61" s="1"/>
  <c r="J58" i="60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<sst xmlns="http://schemas.openxmlformats.org/spreadsheetml/2006/main" count="1932" uniqueCount="93">
  <si>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</si>
  <si>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</si>
  <si>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</si>
  <si>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</si>
  <si>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</si>
  <si>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</si>
  <si>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</si>
  <si>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</si>
  <si>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</si>
  <si>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</si>
  <si>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</si>
  <si>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</si>
  <si>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</si>
  <si>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</si>
  <si>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</si>
  <si>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</si>
  <si>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</si>
  <si>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</si>
  <si>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</si>
  <si>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</si>
  <si>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</si>
  <si>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</si>
  <si>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</si>
  <si>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</si>
  <si>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</si>
  <si>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</si>
  <si>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</si>
  <si>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</si>
  <si>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</si>
  <si>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</si>
  <si>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</si>
  <si>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</si>
  <si>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</si>
  <si>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</si>
  <si>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</si>
  <si>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</si>
  <si>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</si>
  <si>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</si>
  <si>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</si>
  <si>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</si>
  <si>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</si>
  <si>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</si>
  <si>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</si>
  <si>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</si>
  <si>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</si>
  <si>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</si>
  <si>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</si>
  <si>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</si>
  <si>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</si>
  <si>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</si>
  <si>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</si>
  <si>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</si>
  <si>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</si>
  <si>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</si>
  <si>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</si>
  <si>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</si>
  <si>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</si>
  <si>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</si>
  <si>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</si>
  <si>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</si>
  <si>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</si>
  <si>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</si>
  <si>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</si>
  <si>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</si>
  <si>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</si>
  <si>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</si>
  <si>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</si>
  <si>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</si>
  <si>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</si>
  <si>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</si>
  <si>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</si>
  <si>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</si>
  <si>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</si>
  <si>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</si>
  <si>
    <t>DATE: 06/29/2026</t>
  </si>
  <si>
    <t>DATE: 06/30/2026</t>
  </si>
  <si>
    <t>DATE: 06/26/2026</t>
  </si>
  <si>
    <t>DATE: 06/25/2026</t>
  </si>
  <si>
    <t>DATE: 06/24/2026</t>
  </si>
  <si>
    <t>DATE: 06/23/2026</t>
  </si>
  <si>
    <t>DATE: 06/22/2026</t>
  </si>
  <si>
    <t>DATE: 06/19/2026</t>
  </si>
  <si>
    <t>DATE: 06/18/2026</t>
  </si>
  <si>
    <t>DATE: 06/17/2026</t>
  </si>
  <si>
    <t>DATE: 06/16/2026</t>
  </si>
  <si>
    <t>DATE: 06/15/2026</t>
  </si>
  <si>
    <t>DATE: 06/12/2026</t>
  </si>
  <si>
    <t>DATE: 06/11/2026</t>
  </si>
  <si>
    <t>DATE: 06/10/2026</t>
  </si>
  <si>
    <t>DATE: 06/09/2026</t>
  </si>
  <si>
    <t>DATE: 06/08/2026</t>
  </si>
  <si>
    <t>DATE: 06/05/2026</t>
  </si>
  <si>
    <t>DATE: 06/04/2026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</si>
</sst>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33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25" t="s">
        <v>68</v>
      </c>
      <c r="U4" s="127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16" t="s">
        <v>65</v>
      </c>
      <c r="K5" s="117"/>
      <c r="M5" s="37"/>
      <c r="N5" s="49"/>
      <c r="O5" s="40"/>
      <c r="P5" s="89"/>
      <c r="Q5" s="89"/>
      <c r="R5" s="38"/>
      <c r="S5" s="9"/>
      <c r="T5" s="126"/>
      <c r="U5" s="128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8" t="s">
        <v>41</v>
      </c>
      <c r="D62" s="119"/>
      <c r="E62" s="119"/>
      <c r="F62" s="119"/>
      <c r="G62" s="119"/>
      <c r="H62" s="119"/>
      <c r="I62" s="119"/>
      <c r="J62" s="119"/>
      <c r="K62" s="120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F29" sqref="F2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97"/>
      <c r="Q5" s="97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96"/>
      <c r="Q5" s="96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97"/>
      <c r="Q5" s="97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92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98"/>
      <c r="Q5" s="98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91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99"/>
      <c r="Q5" s="99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90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0"/>
      <c r="Q5" s="100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C2308-B0E6-4A75-AB2A-FD7C2169E77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89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1"/>
      <c r="Q5" s="101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90+47</f>
        <v>137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21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720+34+1440+216+576+19</f>
        <v>3005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73140</v>
      </c>
      <c r="V12" s="69">
        <f>U12/24</f>
        <v>3047.5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7</v>
      </c>
      <c r="R28" s="72"/>
      <c r="S28" s="55"/>
      <c r="T28" s="58">
        <f t="shared" si="0"/>
        <v>0</v>
      </c>
      <c r="U28" s="75">
        <f t="shared" si="4"/>
        <v>1032</v>
      </c>
      <c r="V28" s="75">
        <f t="shared" si="5"/>
        <v>43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864+2916+58</f>
        <v>3838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21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7</v>
      </c>
      <c r="U37" s="77">
        <f>C37*6+M37*6+O37*6+Q37*6+T37</f>
        <v>23995</v>
      </c>
      <c r="V37" s="77">
        <f>U37/6</f>
        <v>3999.1666666666665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4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7776+3024+8424+5508+3024+5616+52</f>
        <v>33424</v>
      </c>
      <c r="D43" s="65"/>
      <c r="E43" s="65"/>
      <c r="F43" s="65"/>
      <c r="G43" s="65"/>
      <c r="H43" s="65">
        <v>3</v>
      </c>
      <c r="I43" s="65">
        <v>7</v>
      </c>
      <c r="J43" s="66">
        <f>10*6+4</f>
        <v>64</v>
      </c>
      <c r="K43" s="67">
        <f>69*6+7</f>
        <v>421</v>
      </c>
      <c r="L43" s="62"/>
      <c r="M43" s="63">
        <v>333</v>
      </c>
      <c r="N43" s="64"/>
      <c r="O43" s="65">
        <v>368</v>
      </c>
      <c r="P43" s="66"/>
      <c r="Q43" s="66">
        <v>493</v>
      </c>
      <c r="R43" s="67"/>
      <c r="S43" s="62"/>
      <c r="T43" s="77">
        <f t="shared" ref="T43" si="6">H43+I43+J43+K43+N43+P43+R43</f>
        <v>495</v>
      </c>
      <c r="U43" s="77">
        <f>C43*6+M43*6+O43*6+Q43*6+T43</f>
        <v>208203</v>
      </c>
      <c r="V43" s="77">
        <f>U43/6</f>
        <v>34700.5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43762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67</v>
      </c>
      <c r="K58" s="6">
        <f t="shared" si="11"/>
        <v>457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430</v>
      </c>
      <c r="P58" s="5">
        <f t="shared" si="12"/>
        <v>28</v>
      </c>
      <c r="Q58" s="5">
        <f t="shared" si="12"/>
        <v>687</v>
      </c>
      <c r="R58" s="5">
        <f t="shared" si="12"/>
        <v>3</v>
      </c>
      <c r="S58" s="55"/>
      <c r="T58" s="4">
        <f>SUM(T7:T57)</f>
        <v>1793</v>
      </c>
      <c r="U58" s="90">
        <f>SUM(U7:U57)</f>
        <v>340751</v>
      </c>
      <c r="V58" s="4">
        <f>SUM(V7:V57)</f>
        <v>45410.083333333328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A4E-6F18-47E1-BB68-EA59840B35B2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88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2"/>
      <c r="Q5" s="102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3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90+25</f>
        <v>115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>
        <v>17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>
        <v>4</v>
      </c>
      <c r="N10" s="74"/>
      <c r="O10" s="70"/>
      <c r="P10" s="71"/>
      <c r="Q10" s="71">
        <v>16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720+34+216+4+1440+576</f>
        <v>2990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72336</v>
      </c>
      <c r="V12" s="69">
        <f>U12/24</f>
        <v>3014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816</v>
      </c>
      <c r="V28" s="75">
        <f t="shared" si="5"/>
        <v>34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62</f>
        <v>62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864+2808+88</f>
        <v>3760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21</v>
      </c>
      <c r="N37" s="64"/>
      <c r="O37" s="65"/>
      <c r="P37" s="66"/>
      <c r="Q37" s="66">
        <v>38</v>
      </c>
      <c r="R37" s="67"/>
      <c r="S37" s="62"/>
      <c r="T37" s="77">
        <f t="shared" si="0"/>
        <v>13</v>
      </c>
      <c r="U37" s="77">
        <f>C37*6+M37*6+O37*6+Q37*6+T37</f>
        <v>22927</v>
      </c>
      <c r="V37" s="77">
        <f>U37/6</f>
        <v>3821.1666666666665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</v>
      </c>
      <c r="P41" s="83"/>
      <c r="Q41" s="83">
        <v>8</v>
      </c>
      <c r="R41" s="84"/>
      <c r="S41" s="85"/>
      <c r="T41" s="88">
        <f t="shared" si="0"/>
        <v>0</v>
      </c>
      <c r="U41" s="88">
        <f>C41*12+M41*12+O41*12+Q41*12+T41</f>
        <v>1104</v>
      </c>
      <c r="V41" s="88">
        <f>U41/12</f>
        <v>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7776+3024+8424+5508+3024+4860</f>
        <v>32616</v>
      </c>
      <c r="D43" s="65"/>
      <c r="E43" s="65"/>
      <c r="F43" s="65"/>
      <c r="G43" s="65"/>
      <c r="H43" s="65">
        <v>3</v>
      </c>
      <c r="I43" s="65">
        <v>7</v>
      </c>
      <c r="J43" s="66">
        <f>11*6+4</f>
        <v>70</v>
      </c>
      <c r="K43" s="67">
        <f>69*6+7</f>
        <v>421</v>
      </c>
      <c r="L43" s="62"/>
      <c r="M43" s="63">
        <v>370</v>
      </c>
      <c r="N43" s="64"/>
      <c r="O43" s="65">
        <v>45</v>
      </c>
      <c r="P43" s="66"/>
      <c r="Q43" s="66">
        <v>434</v>
      </c>
      <c r="R43" s="67"/>
      <c r="S43" s="62"/>
      <c r="T43" s="77">
        <f t="shared" ref="T43" si="6">H43+I43+J43+K43+N43+P43+R43</f>
        <v>501</v>
      </c>
      <c r="U43" s="77">
        <f>C43*6+M43*6+O43*6+Q43*6+T43</f>
        <v>201291</v>
      </c>
      <c r="V43" s="77">
        <f>U43/6</f>
        <v>33548.5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42794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74</v>
      </c>
      <c r="K58" s="6">
        <f t="shared" si="11"/>
        <v>457</v>
      </c>
      <c r="M58" s="5">
        <f t="shared" ref="M58:R58" si="12">SUM(M7:M57)</f>
        <v>433</v>
      </c>
      <c r="N58" s="5">
        <f t="shared" si="12"/>
        <v>0</v>
      </c>
      <c r="O58" s="5">
        <f t="shared" si="12"/>
        <v>61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1793</v>
      </c>
      <c r="U58" s="90">
        <f>SUM(U7:U57)</f>
        <v>330779</v>
      </c>
      <c r="V58" s="4">
        <f>SUM(V7:V57)</f>
        <v>43977.583333333328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A54C-F0FF-4F87-83F3-3422B1318445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3"/>
      <c r="Q5" s="103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90+24</f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720+34+1440+144+51+576</f>
        <v>2965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16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72096</v>
      </c>
      <c r="V12" s="69">
        <f>U12/24</f>
        <v>3004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63+58</f>
        <v>121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672</v>
      </c>
      <c r="V28" s="75">
        <f t="shared" si="5"/>
        <v>28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864+2700+58</f>
        <v>3622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6</v>
      </c>
      <c r="N37" s="64"/>
      <c r="O37" s="65">
        <v>108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22753</v>
      </c>
      <c r="V37" s="77">
        <f>U37/6</f>
        <v>3792.1666666666665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6</v>
      </c>
      <c r="P41" s="83"/>
      <c r="Q41" s="83">
        <v>15</v>
      </c>
      <c r="R41" s="84"/>
      <c r="S41" s="85"/>
      <c r="T41" s="88">
        <f t="shared" si="0"/>
        <v>0</v>
      </c>
      <c r="U41" s="88">
        <f>C41*12+M41*12+O41*12+Q41*12+T41</f>
        <v>996</v>
      </c>
      <c r="V41" s="88">
        <f>U41/12</f>
        <v>83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7776+3024+8424+5508+3024+4212</f>
        <v>31968</v>
      </c>
      <c r="D43" s="65"/>
      <c r="E43" s="65"/>
      <c r="F43" s="65"/>
      <c r="G43" s="65"/>
      <c r="H43" s="65">
        <v>3</v>
      </c>
      <c r="I43" s="65">
        <v>7</v>
      </c>
      <c r="J43" s="66">
        <f>6*12+4</f>
        <v>76</v>
      </c>
      <c r="K43" s="67">
        <f>69*6+7</f>
        <v>421</v>
      </c>
      <c r="L43" s="62"/>
      <c r="M43" s="63">
        <v>58</v>
      </c>
      <c r="N43" s="64"/>
      <c r="O43" s="65">
        <v>369</v>
      </c>
      <c r="P43" s="66"/>
      <c r="Q43" s="66">
        <v>419</v>
      </c>
      <c r="R43" s="67"/>
      <c r="S43" s="62"/>
      <c r="T43" s="77">
        <f t="shared" ref="T43" si="6">H43+I43+J43+K43+N43+P43+R43</f>
        <v>507</v>
      </c>
      <c r="U43" s="77">
        <f>C43*6+M43*6+O43*6+Q43*6+T43</f>
        <v>197391</v>
      </c>
      <c r="V43" s="77">
        <f>U43/6</f>
        <v>32898.5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16759</v>
      </c>
      <c r="V47" s="77">
        <f>U47/6</f>
        <v>2793.1666666666665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41966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32</v>
      </c>
      <c r="J58" s="6">
        <f t="shared" si="11"/>
        <v>87</v>
      </c>
      <c r="K58" s="6">
        <f t="shared" si="11"/>
        <v>457</v>
      </c>
      <c r="M58" s="5">
        <f t="shared" ref="M58:R58" si="12">SUM(M7:M57)</f>
        <v>86</v>
      </c>
      <c r="N58" s="5">
        <f t="shared" si="12"/>
        <v>0</v>
      </c>
      <c r="O58" s="5">
        <f t="shared" si="12"/>
        <v>515</v>
      </c>
      <c r="P58" s="5">
        <f t="shared" si="12"/>
        <v>28</v>
      </c>
      <c r="Q58" s="5">
        <f t="shared" si="12"/>
        <v>522</v>
      </c>
      <c r="R58" s="5">
        <f t="shared" si="12"/>
        <v>3</v>
      </c>
      <c r="S58" s="55"/>
      <c r="T58" s="4">
        <f>SUM(T7:T57)</f>
        <v>1799</v>
      </c>
      <c r="U58" s="90">
        <f>SUM(U7:U57)</f>
        <v>325217</v>
      </c>
      <c r="V58" s="4">
        <f>SUM(V7:V57)</f>
        <v>43230.583333333328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37BAA-A524-43AB-A68D-722EBC86F0F3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4"/>
      <c r="Q5" s="104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4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90+19</f>
        <v>109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3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720+34+1440+144+41+576</f>
        <v>2955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10</v>
      </c>
      <c r="P12" s="66">
        <v>12</v>
      </c>
      <c r="Q12" s="66">
        <v>8</v>
      </c>
      <c r="R12" s="67">
        <v>12</v>
      </c>
      <c r="S12" s="62"/>
      <c r="T12" s="69">
        <f t="shared" si="0"/>
        <v>24</v>
      </c>
      <c r="U12" s="69">
        <f>C12*24+M12*24+O12*24+Q12*24+T12</f>
        <v>71664</v>
      </c>
      <c r="V12" s="69">
        <f>U12/24</f>
        <v>2986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1</v>
      </c>
      <c r="R28" s="72"/>
      <c r="S28" s="55"/>
      <c r="T28" s="58">
        <f t="shared" si="0"/>
        <v>0</v>
      </c>
      <c r="U28" s="75">
        <f t="shared" si="4"/>
        <v>624</v>
      </c>
      <c r="V28" s="75">
        <f t="shared" si="5"/>
        <v>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2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864+2592+73</f>
        <v>3529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33</v>
      </c>
      <c r="N37" s="64"/>
      <c r="O37" s="65">
        <v>66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21787</v>
      </c>
      <c r="V37" s="77">
        <f>U37/6</f>
        <v>3631.1666666666665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14</v>
      </c>
      <c r="N41" s="87"/>
      <c r="O41" s="82">
        <v>6</v>
      </c>
      <c r="P41" s="83"/>
      <c r="Q41" s="83">
        <v>4</v>
      </c>
      <c r="R41" s="84"/>
      <c r="S41" s="85"/>
      <c r="T41" s="88">
        <f t="shared" si="0"/>
        <v>0</v>
      </c>
      <c r="U41" s="88">
        <f>C41*12+M41*12+O41*12+Q41*12+T41</f>
        <v>864</v>
      </c>
      <c r="V41" s="88">
        <f>U41/12</f>
        <v>72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7776+3024+8424+5508+3024+3564+91</f>
        <v>31411</v>
      </c>
      <c r="D43" s="65"/>
      <c r="E43" s="65"/>
      <c r="F43" s="65"/>
      <c r="G43" s="65"/>
      <c r="H43" s="65"/>
      <c r="I43" s="65">
        <f>7</f>
        <v>7</v>
      </c>
      <c r="J43" s="66">
        <f>13*6</f>
        <v>78</v>
      </c>
      <c r="K43" s="67">
        <f>69*6+7</f>
        <v>421</v>
      </c>
      <c r="L43" s="62"/>
      <c r="M43" s="63">
        <v>333</v>
      </c>
      <c r="N43" s="64"/>
      <c r="O43" s="65">
        <v>374</v>
      </c>
      <c r="P43" s="66"/>
      <c r="Q43" s="66">
        <v>162</v>
      </c>
      <c r="R43" s="67"/>
      <c r="S43" s="62"/>
      <c r="T43" s="77">
        <f t="shared" ref="T43" si="6">H43+I43+J43+K43+N43+P43+R43</f>
        <v>506</v>
      </c>
      <c r="U43" s="77">
        <f>C43*6+M43*6+O43*6+Q43*6+T43</f>
        <v>194186</v>
      </c>
      <c r="V43" s="77">
        <f>U43/6</f>
        <v>32364.333333333332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41248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414</v>
      </c>
      <c r="N58" s="5">
        <f t="shared" si="12"/>
        <v>0</v>
      </c>
      <c r="O58" s="5">
        <f t="shared" si="12"/>
        <v>476</v>
      </c>
      <c r="P58" s="5">
        <f t="shared" si="12"/>
        <v>40</v>
      </c>
      <c r="Q58" s="5">
        <f t="shared" si="12"/>
        <v>188</v>
      </c>
      <c r="R58" s="5">
        <f t="shared" si="12"/>
        <v>15</v>
      </c>
      <c r="S58" s="55"/>
      <c r="T58" s="4">
        <f>SUM(T7:T57)</f>
        <v>1822</v>
      </c>
      <c r="U58" s="90">
        <f>SUM(U7:U57)</f>
        <v>319624</v>
      </c>
      <c r="V58" s="4">
        <f>SUM(V7:V57)</f>
        <v>42468.416666666664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4D50-5105-482B-A3FE-262EC85AC025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5"/>
      <c r="Q5" s="105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57+33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</f>
        <v>95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2568</v>
      </c>
      <c r="V9" s="76">
        <f t="shared" ref="V9:V11" si="3">U9/24</f>
        <v>107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720+29+1440+576+144+4</f>
        <v>2913</v>
      </c>
      <c r="D12" s="59"/>
      <c r="E12" s="59"/>
      <c r="F12" s="59"/>
      <c r="G12" s="59"/>
      <c r="H12" s="59"/>
      <c r="I12" s="59"/>
      <c r="J12" s="60"/>
      <c r="K12" s="61"/>
      <c r="L12" s="62">
        <v>10</v>
      </c>
      <c r="M12" s="63">
        <v>10</v>
      </c>
      <c r="N12" s="64"/>
      <c r="O12" s="65">
        <v>15</v>
      </c>
      <c r="P12" s="66">
        <v>12</v>
      </c>
      <c r="Q12" s="66">
        <v>25</v>
      </c>
      <c r="R12" s="67">
        <v>12</v>
      </c>
      <c r="S12" s="62"/>
      <c r="T12" s="69">
        <f t="shared" si="0"/>
        <v>24</v>
      </c>
      <c r="U12" s="69">
        <f>C12*24+M12*24+O12*24+Q12*24+T12</f>
        <v>71136</v>
      </c>
      <c r="V12" s="69">
        <f>U12/24</f>
        <v>2964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600</v>
      </c>
      <c r="V28" s="75">
        <f t="shared" si="5"/>
        <v>25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49</f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864+2268</f>
        <v>3132</v>
      </c>
      <c r="D37" s="59"/>
      <c r="E37" s="59"/>
      <c r="F37" s="59"/>
      <c r="G37" s="59"/>
      <c r="H37" s="59">
        <f>5</f>
        <v>5</v>
      </c>
      <c r="I37" s="59">
        <v>2</v>
      </c>
      <c r="J37" s="60">
        <v>3</v>
      </c>
      <c r="K37" s="61">
        <v>3</v>
      </c>
      <c r="L37" s="62"/>
      <c r="M37" s="63">
        <v>117</v>
      </c>
      <c r="N37" s="64"/>
      <c r="O37" s="65">
        <v>46</v>
      </c>
      <c r="P37" s="66"/>
      <c r="Q37" s="66">
        <v>163</v>
      </c>
      <c r="R37" s="67"/>
      <c r="S37" s="62"/>
      <c r="T37" s="77">
        <f t="shared" si="0"/>
        <v>13</v>
      </c>
      <c r="U37" s="77">
        <f>C37*6+M37*6+O37*6+Q37*6+T37</f>
        <v>20761</v>
      </c>
      <c r="V37" s="77">
        <f>U37/6</f>
        <v>3460.1666666666665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32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6</v>
      </c>
      <c r="N41" s="87"/>
      <c r="O41" s="82">
        <v>7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708</v>
      </c>
      <c r="V41" s="88">
        <f>U41/12</f>
        <v>59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7776+3024+8424+5508+3024+2484</f>
        <v>30240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326</v>
      </c>
      <c r="N43" s="64"/>
      <c r="O43" s="65">
        <v>529</v>
      </c>
      <c r="P43" s="66"/>
      <c r="Q43" s="66">
        <v>486</v>
      </c>
      <c r="R43" s="67"/>
      <c r="S43" s="62"/>
      <c r="T43" s="77">
        <f t="shared" ref="T43" si="6">H43+I43+J43+K43+N43+P43+R43</f>
        <v>506</v>
      </c>
      <c r="U43" s="77">
        <f>C43*6+M43*6+O43*6+Q43*6+T43</f>
        <v>189992</v>
      </c>
      <c r="V43" s="77">
        <f>U43/6</f>
        <v>31665.333333333332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39604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477</v>
      </c>
      <c r="N58" s="5">
        <f t="shared" si="12"/>
        <v>0</v>
      </c>
      <c r="O58" s="5">
        <f t="shared" si="12"/>
        <v>613</v>
      </c>
      <c r="P58" s="5">
        <f t="shared" si="12"/>
        <v>40</v>
      </c>
      <c r="Q58" s="5">
        <f t="shared" si="12"/>
        <v>713</v>
      </c>
      <c r="R58" s="5">
        <f t="shared" si="12"/>
        <v>15</v>
      </c>
      <c r="S58" s="55"/>
      <c r="T58" s="4">
        <f>SUM(T7:T57)</f>
        <v>1822</v>
      </c>
      <c r="U58" s="90">
        <f>SUM(U7:U57)</f>
        <v>313384</v>
      </c>
      <c r="V58" s="4">
        <f>SUM(V7:V57)</f>
        <v>41549.416666666664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D73BA-545B-416B-B982-577C234B39E1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6"/>
      <c r="Q5" s="106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56+33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2280</v>
      </c>
      <c r="V9" s="76">
        <f t="shared" ref="V9:V11" si="3">U9/24</f>
        <v>95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720+29+1440+576+72+22+4</f>
        <v>2863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13</v>
      </c>
      <c r="P12" s="66">
        <v>12</v>
      </c>
      <c r="Q12" s="66">
        <v>22</v>
      </c>
      <c r="R12" s="67">
        <v>12</v>
      </c>
      <c r="S12" s="62"/>
      <c r="T12" s="69">
        <f t="shared" si="0"/>
        <v>24</v>
      </c>
      <c r="U12" s="69">
        <f>C12*24+M12*24+O12*24+Q12*24+T12</f>
        <v>70080</v>
      </c>
      <c r="V12" s="69">
        <f>U12/24</f>
        <v>2920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63+35</f>
        <v>98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4</v>
      </c>
      <c r="N25" s="74"/>
      <c r="O25" s="70"/>
      <c r="P25" s="71"/>
      <c r="Q25" s="71">
        <v>15</v>
      </c>
      <c r="R25" s="72"/>
      <c r="S25" s="55"/>
      <c r="T25" s="58">
        <f t="shared" si="0"/>
        <v>1</v>
      </c>
      <c r="U25" s="75">
        <f t="shared" si="4"/>
        <v>2809</v>
      </c>
      <c r="V25" s="75">
        <f t="shared" si="5"/>
        <v>117.04166666666667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17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5</v>
      </c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4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864+58+2052</f>
        <v>2974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134</v>
      </c>
      <c r="N37" s="64"/>
      <c r="O37" s="65">
        <v>30</v>
      </c>
      <c r="P37" s="66"/>
      <c r="Q37" s="66">
        <v>41</v>
      </c>
      <c r="R37" s="67"/>
      <c r="S37" s="62"/>
      <c r="T37" s="77">
        <f t="shared" si="0"/>
        <v>13</v>
      </c>
      <c r="U37" s="77">
        <f>C37*6+M37*6+O37*6+Q37*6+T37</f>
        <v>19087</v>
      </c>
      <c r="V37" s="77">
        <f>U37/6</f>
        <v>3181.1666666666665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7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504</v>
      </c>
      <c r="V41" s="88">
        <f>U41/12</f>
        <v>42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7776+3024+8424+5508+3024+1080</f>
        <v>28836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544</v>
      </c>
      <c r="N43" s="64"/>
      <c r="O43" s="65">
        <v>366</v>
      </c>
      <c r="P43" s="66"/>
      <c r="Q43" s="66">
        <v>651</v>
      </c>
      <c r="R43" s="67"/>
      <c r="S43" s="62"/>
      <c r="T43" s="77">
        <f t="shared" ref="T43" si="6">H43+I43+J43+K43+N43+P43+R43</f>
        <v>506</v>
      </c>
      <c r="U43" s="77">
        <f>C43*6+M43*6+O43*6+Q43*6+T43</f>
        <v>182888</v>
      </c>
      <c r="V43" s="77">
        <f>U43/6</f>
        <v>30481.333333333332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11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37914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733</v>
      </c>
      <c r="N58" s="5">
        <f t="shared" si="12"/>
        <v>0</v>
      </c>
      <c r="O58" s="5">
        <f t="shared" si="12"/>
        <v>433</v>
      </c>
      <c r="P58" s="5">
        <f t="shared" si="12"/>
        <v>40</v>
      </c>
      <c r="Q58" s="5">
        <f t="shared" si="12"/>
        <v>783</v>
      </c>
      <c r="R58" s="5">
        <f t="shared" si="12"/>
        <v>15</v>
      </c>
      <c r="S58" s="55"/>
      <c r="T58" s="4">
        <f>SUM(T7:T57)</f>
        <v>1822</v>
      </c>
      <c r="U58" s="90">
        <f>SUM(U7:U57)</f>
        <v>302866</v>
      </c>
      <c r="V58" s="4">
        <f>SUM(V7:V57)</f>
        <v>40005.416666666664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6FB9-F0E0-4D2B-8AC3-82CF2C48E9DF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7"/>
      <c r="Q5" s="107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33+56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720+29+1440+72+576+6</f>
        <v>2843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6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69132</v>
      </c>
      <c r="V12" s="69">
        <f>U12/24</f>
        <v>2880.5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33+63</f>
        <v>96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1061</v>
      </c>
      <c r="V29" s="75">
        <f t="shared" si="5"/>
        <v>44.208333333333336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1454</v>
      </c>
      <c r="V34" s="75">
        <f t="shared" si="5"/>
        <v>60.583333333333336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864+2052</f>
        <v>2916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</v>
      </c>
      <c r="N37" s="64"/>
      <c r="O37" s="65">
        <v>26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18097</v>
      </c>
      <c r="V37" s="77">
        <f>U37/6</f>
        <v>3016.1666666666665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189+61</f>
        <v>250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6080</v>
      </c>
      <c r="V40" s="77">
        <f>U40/24</f>
        <v>253.33333333333334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288+88</f>
        <v>376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17</v>
      </c>
      <c r="R41" s="84"/>
      <c r="S41" s="85"/>
      <c r="T41" s="88">
        <f t="shared" si="0"/>
        <v>0</v>
      </c>
      <c r="U41" s="88">
        <f>C41*12+M41*12+O41*12+Q41*12+T41</f>
        <v>4716</v>
      </c>
      <c r="V41" s="88">
        <f>U41/12</f>
        <v>393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7776+3024+8424+5508+3024+972</f>
        <v>28728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f>340</f>
        <v>340</v>
      </c>
      <c r="N43" s="64"/>
      <c r="O43" s="65">
        <v>209</v>
      </c>
      <c r="P43" s="66"/>
      <c r="Q43" s="66">
        <v>543</v>
      </c>
      <c r="R43" s="67"/>
      <c r="S43" s="62"/>
      <c r="T43" s="77">
        <f t="shared" ref="T43" si="6">H43+I43+J43+K43+N43+P43+R43</f>
        <v>506</v>
      </c>
      <c r="U43" s="77">
        <f>C43*6+M43*6+O43*6+Q43*6+T43</f>
        <v>179426</v>
      </c>
      <c r="V43" s="77">
        <f>U43/6</f>
        <v>29904.333333333332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38335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258</v>
      </c>
      <c r="P58" s="5">
        <f t="shared" si="12"/>
        <v>40</v>
      </c>
      <c r="Q58" s="5">
        <f t="shared" si="12"/>
        <v>661</v>
      </c>
      <c r="R58" s="5">
        <f t="shared" si="12"/>
        <v>3</v>
      </c>
      <c r="S58" s="55"/>
      <c r="T58" s="4">
        <f>SUM(T7:T57)</f>
        <v>1810</v>
      </c>
      <c r="U58" s="90">
        <f>SUM(U7:U57)</f>
        <v>306580</v>
      </c>
      <c r="V58" s="4">
        <f>SUM(V7:V57)</f>
        <v>39776.916666666664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AA6FF-0FEB-441D-B15F-165A1BFAA06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7"/>
      <c r="Q5" s="107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2136</v>
      </c>
      <c r="V9" s="76">
        <f t="shared" ref="V9:V11" si="3">U9/24</f>
        <v>89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720+29+1440+576+29</f>
        <v>2794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12</v>
      </c>
      <c r="O12" s="65">
        <v>11</v>
      </c>
      <c r="P12" s="66"/>
      <c r="Q12" s="66">
        <v>19</v>
      </c>
      <c r="R12" s="67">
        <v>12</v>
      </c>
      <c r="S12" s="62"/>
      <c r="T12" s="69">
        <f t="shared" si="0"/>
        <v>24</v>
      </c>
      <c r="U12" s="69">
        <f>C12*24+M12*24+O12*24+Q12*24+T12</f>
        <v>68400</v>
      </c>
      <c r="V12" s="69">
        <f>U12/24</f>
        <v>2850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</f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48</v>
      </c>
      <c r="V28" s="75">
        <f t="shared" si="5"/>
        <v>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1013</v>
      </c>
      <c r="V29" s="75">
        <f t="shared" si="5"/>
        <v>42.208333333333336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1382</v>
      </c>
      <c r="V34" s="75">
        <f t="shared" si="5"/>
        <v>57.583333333333336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864+1944+53</f>
        <v>2861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30</v>
      </c>
      <c r="P37" s="66"/>
      <c r="Q37" s="66">
        <v>37</v>
      </c>
      <c r="R37" s="67"/>
      <c r="S37" s="62"/>
      <c r="T37" s="77">
        <f t="shared" si="0"/>
        <v>13</v>
      </c>
      <c r="U37" s="77">
        <f>C37*6+M37*6+O37*6+Q37*6+T37</f>
        <v>17587</v>
      </c>
      <c r="V37" s="77">
        <f>U37/6</f>
        <v>2931.1666666666665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189+58</f>
        <v>247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288+82</f>
        <v>370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6</v>
      </c>
      <c r="P41" s="83"/>
      <c r="Q41" s="83">
        <v>11</v>
      </c>
      <c r="R41" s="84"/>
      <c r="S41" s="85"/>
      <c r="T41" s="88">
        <f t="shared" si="0"/>
        <v>0</v>
      </c>
      <c r="U41" s="88">
        <f>C41*12+M41*12+O41*12+Q41*12+T41</f>
        <v>4644</v>
      </c>
      <c r="V41" s="88">
        <f>U41/12</f>
        <v>387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7776+3024+8424+5508+972+1728</f>
        <v>27432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437</v>
      </c>
      <c r="N43" s="64"/>
      <c r="O43" s="65">
        <v>349</v>
      </c>
      <c r="P43" s="66"/>
      <c r="Q43" s="66">
        <v>523</v>
      </c>
      <c r="R43" s="67"/>
      <c r="S43" s="62"/>
      <c r="T43" s="77">
        <f t="shared" ref="T43" si="6">H43+I43+J43+K43+N43+P43+R43</f>
        <v>506</v>
      </c>
      <c r="U43" s="77">
        <f>C43*6+M43*6+O43*6+Q43*6+T43</f>
        <v>172952</v>
      </c>
      <c r="V43" s="77">
        <f>U43/6</f>
        <v>28825.333333333332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SUM(C7:C53)</f>
        <v>36905</v>
      </c>
      <c r="D58" s="2"/>
      <c r="E58" s="2"/>
      <c r="F58" s="2"/>
      <c r="G58" s="2"/>
      <c r="H58" s="2">
        <f>SUM(H7:H53)</f>
        <v>1189</v>
      </c>
      <c r="I58" s="6">
        <f>SUM(I7:I53)</f>
        <v>39</v>
      </c>
      <c r="J58" s="6">
        <f>SUM(J7:J53)</f>
        <v>82</v>
      </c>
      <c r="K58" s="6">
        <f>SUM(K7:K53)</f>
        <v>457</v>
      </c>
      <c r="M58" s="5">
        <f t="shared" ref="M58:R58" si="11">SUM(M7:M53)</f>
        <v>480</v>
      </c>
      <c r="N58" s="5">
        <f t="shared" si="11"/>
        <v>12</v>
      </c>
      <c r="O58" s="5">
        <f t="shared" si="11"/>
        <v>415</v>
      </c>
      <c r="P58" s="5">
        <f t="shared" si="11"/>
        <v>16</v>
      </c>
      <c r="Q58" s="5">
        <f t="shared" si="11"/>
        <v>623</v>
      </c>
      <c r="R58" s="5">
        <f t="shared" si="11"/>
        <v>15</v>
      </c>
      <c r="S58" s="55"/>
      <c r="T58" s="4">
        <f>SUM(T7:T57)</f>
        <v>1810</v>
      </c>
      <c r="U58" s="90">
        <f>SUM(U7:U57)</f>
        <v>298516</v>
      </c>
      <c r="V58" s="4">
        <f>SUM(V7:V57)</f>
        <v>38564.916666666664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69E90-4FB7-4E44-B239-C75B996FAD37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7"/>
      <c r="Q5" s="107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85</f>
        <v>85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5</f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720+1440+576+29</f>
        <v>2765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15</v>
      </c>
      <c r="P12" s="66"/>
      <c r="Q12" s="66">
        <v>21</v>
      </c>
      <c r="R12" s="67"/>
      <c r="S12" s="62"/>
      <c r="T12" s="69">
        <f t="shared" si="0"/>
        <v>12</v>
      </c>
      <c r="U12" s="69">
        <f>C12*24+M12*24+O12*24+Q12*24+T12</f>
        <v>67620</v>
      </c>
      <c r="V12" s="69">
        <f>U12/24</f>
        <v>2817.5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3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864+1944+25</f>
        <v>2833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20</v>
      </c>
      <c r="P37" s="66"/>
      <c r="Q37" s="66">
        <v>53</v>
      </c>
      <c r="R37" s="67"/>
      <c r="S37" s="62"/>
      <c r="T37" s="77">
        <f t="shared" si="0"/>
        <v>13</v>
      </c>
      <c r="U37" s="77">
        <f>C37*6+M37*6+O37*6+Q37*6+T37</f>
        <v>17455</v>
      </c>
      <c r="V37" s="77">
        <f>U37/6</f>
        <v>2909.1666666666665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126+51</f>
        <v>177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288+63</f>
        <v>351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4524</v>
      </c>
      <c r="V41" s="88">
        <f>U41/12</f>
        <v>377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7776+3024+8424+5508+2808+864</f>
        <v>28404</v>
      </c>
      <c r="D43" s="65"/>
      <c r="E43" s="65"/>
      <c r="F43" s="65"/>
      <c r="G43" s="65"/>
      <c r="H43" s="65">
        <v>7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6</v>
      </c>
      <c r="N43" s="64"/>
      <c r="O43" s="65">
        <v>427</v>
      </c>
      <c r="P43" s="66"/>
      <c r="Q43" s="66">
        <v>543</v>
      </c>
      <c r="R43" s="67"/>
      <c r="S43" s="62"/>
      <c r="T43" s="77">
        <f t="shared" ref="T43" si="6">H43+I43+J43+K43+N43+P43+R43</f>
        <v>410</v>
      </c>
      <c r="U43" s="77">
        <f>C43*6+M43*6+O43*6+Q43*6+T43</f>
        <v>176690</v>
      </c>
      <c r="V43" s="77">
        <f>U43/6</f>
        <v>29448.333333333332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8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37742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40</v>
      </c>
      <c r="N58" s="5">
        <f t="shared" si="12"/>
        <v>12</v>
      </c>
      <c r="O58" s="5">
        <f t="shared" si="12"/>
        <v>487</v>
      </c>
      <c r="P58" s="5">
        <f t="shared" si="12"/>
        <v>16</v>
      </c>
      <c r="Q58" s="5">
        <f t="shared" si="12"/>
        <v>664</v>
      </c>
      <c r="R58" s="5">
        <f t="shared" si="12"/>
        <v>3</v>
      </c>
      <c r="S58" s="55"/>
      <c r="T58" s="4">
        <f>SUM(T7:T57)</f>
        <v>1702</v>
      </c>
      <c r="U58" s="90">
        <f>SUM(U7:U57)</f>
        <v>299662</v>
      </c>
      <c r="V58" s="4">
        <f>SUM(V7:V57)</f>
        <v>39058.416666666664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EC461-FD3C-4AB3-9804-28138FCF1D15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7"/>
      <c r="Q5" s="107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2064</v>
      </c>
      <c r="V9" s="76">
        <f t="shared" ref="V9:V11" si="3">U9/24</f>
        <v>86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720+19+1440+504+64</f>
        <v>2747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14</v>
      </c>
      <c r="P12" s="66">
        <v>12</v>
      </c>
      <c r="Q12" s="66">
        <v>18</v>
      </c>
      <c r="R12" s="67"/>
      <c r="S12" s="62"/>
      <c r="T12" s="69">
        <f t="shared" si="0"/>
        <v>24</v>
      </c>
      <c r="U12" s="69">
        <f>C12*24+M12*24+O12*24+Q12*24+T12</f>
        <v>67104</v>
      </c>
      <c r="V12" s="69">
        <f>U12/24</f>
        <v>2796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63+19</f>
        <v>82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5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>
        <v>1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864+1836+48</f>
        <v>2748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12</v>
      </c>
      <c r="N37" s="64"/>
      <c r="O37" s="65">
        <v>30</v>
      </c>
      <c r="P37" s="66"/>
      <c r="Q37" s="66">
        <v>72</v>
      </c>
      <c r="R37" s="67"/>
      <c r="S37" s="62"/>
      <c r="T37" s="77">
        <f t="shared" si="0"/>
        <v>13</v>
      </c>
      <c r="U37" s="77">
        <f>C37*6+M37*6+O37*6+Q37*6+T37</f>
        <v>17185</v>
      </c>
      <c r="V37" s="77">
        <f>U37/6</f>
        <v>2864.1666666666665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126+46</f>
        <v>172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5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192+95</f>
        <v>287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56</v>
      </c>
      <c r="N41" s="87"/>
      <c r="O41" s="82">
        <v>5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4344</v>
      </c>
      <c r="V41" s="88">
        <f>U41/12</f>
        <v>362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7776+3024+8424+5400+4644+1</f>
        <v>29269</v>
      </c>
      <c r="D43" s="65"/>
      <c r="E43" s="65"/>
      <c r="F43" s="65"/>
      <c r="G43" s="65"/>
      <c r="H43" s="65">
        <v>1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330</v>
      </c>
      <c r="N43" s="64"/>
      <c r="O43" s="65">
        <v>439</v>
      </c>
      <c r="P43" s="66"/>
      <c r="Q43" s="66">
        <v>488</v>
      </c>
      <c r="R43" s="67"/>
      <c r="S43" s="62"/>
      <c r="T43" s="77">
        <f t="shared" ref="T43" si="6">H43+I43+J43+K43+N43+P43+R43</f>
        <v>404</v>
      </c>
      <c r="U43" s="77">
        <f>C43*6+M43*6+O43*6+Q43*6+T43</f>
        <v>183560</v>
      </c>
      <c r="V43" s="77">
        <f>U43/6</f>
        <v>30593.333333333332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38417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452</v>
      </c>
      <c r="N58" s="5">
        <f t="shared" si="12"/>
        <v>12</v>
      </c>
      <c r="O58" s="5">
        <f t="shared" si="12"/>
        <v>505</v>
      </c>
      <c r="P58" s="5">
        <f t="shared" si="12"/>
        <v>28</v>
      </c>
      <c r="Q58" s="5">
        <f t="shared" si="12"/>
        <v>621</v>
      </c>
      <c r="R58" s="5">
        <f t="shared" si="12"/>
        <v>3</v>
      </c>
      <c r="S58" s="55"/>
      <c r="T58" s="4">
        <f>SUM(T7:T57)</f>
        <v>1708</v>
      </c>
      <c r="U58" s="90">
        <f>SUM(U7:U57)</f>
        <v>305518</v>
      </c>
      <c r="V58" s="4">
        <f>SUM(V7:V57)</f>
        <v>40119.916666666664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48825-6195-4651-9B8A-9591CDCBBADF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8"/>
      <c r="Q5" s="108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2016</v>
      </c>
      <c r="V9" s="76">
        <f t="shared" ref="V9:V11" si="3">U9/24</f>
        <v>84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720+11+1440+432+53+64</f>
        <v>2720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13</v>
      </c>
      <c r="P12" s="66"/>
      <c r="Q12" s="66">
        <v>20</v>
      </c>
      <c r="R12" s="67">
        <v>12</v>
      </c>
      <c r="S12" s="62"/>
      <c r="T12" s="69">
        <f t="shared" si="0"/>
        <v>12</v>
      </c>
      <c r="U12" s="69">
        <f>C12*24+M12*24+O12*24+Q12*24+T12</f>
        <v>66444</v>
      </c>
      <c r="V12" s="69">
        <f>U12/24</f>
        <v>2768.5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63+9</f>
        <v>72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10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2281</v>
      </c>
      <c r="V25" s="75">
        <f t="shared" si="5"/>
        <v>95.041666666666671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4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216</v>
      </c>
      <c r="V30" s="75">
        <f t="shared" si="5"/>
        <v>9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1046</v>
      </c>
      <c r="V34" s="75">
        <f t="shared" si="5"/>
        <v>43.583333333333336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864+1728+48</f>
        <v>2640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7</v>
      </c>
      <c r="N37" s="64"/>
      <c r="O37" s="65">
        <v>20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16669</v>
      </c>
      <c r="V37" s="77">
        <f>U37/6</f>
        <v>2778.1666666666665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126+38</f>
        <v>164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/>
      <c r="Q40" s="66">
        <v>10</v>
      </c>
      <c r="R40" s="67"/>
      <c r="S40" s="62"/>
      <c r="T40" s="77">
        <f t="shared" si="0"/>
        <v>20</v>
      </c>
      <c r="U40" s="77">
        <f>C40*24+M40*24+O40*24+Q40*24+T40</f>
        <v>4196</v>
      </c>
      <c r="V40" s="77">
        <f>U40/24</f>
        <v>174.83333333333334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192+44</f>
        <v>236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4</v>
      </c>
      <c r="P41" s="83"/>
      <c r="Q41" s="83">
        <v>52</v>
      </c>
      <c r="R41" s="84"/>
      <c r="S41" s="85"/>
      <c r="T41" s="88">
        <f t="shared" si="0"/>
        <v>0</v>
      </c>
      <c r="U41" s="88">
        <f>C41*12+M41*12+O41*12+Q41*12+T41</f>
        <v>3504</v>
      </c>
      <c r="V41" s="88">
        <f>U41/12</f>
        <v>292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7776+3024+8424+4320+4644</f>
        <v>28188</v>
      </c>
      <c r="D43" s="65"/>
      <c r="E43" s="65"/>
      <c r="F43" s="65"/>
      <c r="G43" s="65"/>
      <c r="H43" s="65">
        <v>3</v>
      </c>
      <c r="I43" s="65">
        <v>7</v>
      </c>
      <c r="J43" s="66">
        <f>3*6+2</f>
        <v>20</v>
      </c>
      <c r="K43" s="67">
        <f>64*6+2</f>
        <v>386</v>
      </c>
      <c r="L43" s="62"/>
      <c r="M43" s="63">
        <v>463</v>
      </c>
      <c r="N43" s="64"/>
      <c r="O43" s="65">
        <v>405</v>
      </c>
      <c r="P43" s="66"/>
      <c r="Q43" s="66">
        <v>542</v>
      </c>
      <c r="R43" s="67"/>
      <c r="S43" s="62"/>
      <c r="T43" s="77">
        <f t="shared" ref="T43" si="6">H43+I43+J43+K43+N43+P43+R43</f>
        <v>416</v>
      </c>
      <c r="U43" s="77">
        <f>C43*6+M43*6+O43*6+Q43*6+T43</f>
        <v>178004</v>
      </c>
      <c r="V43" s="77">
        <f>U43/6</f>
        <v>29667.333333333332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37126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39</v>
      </c>
      <c r="J58" s="6">
        <f t="shared" si="11"/>
        <v>25</v>
      </c>
      <c r="K58" s="6">
        <f t="shared" si="11"/>
        <v>422</v>
      </c>
      <c r="M58" s="5">
        <f t="shared" ref="M58:R58" si="12">SUM(M7:M57)</f>
        <v>509</v>
      </c>
      <c r="N58" s="5">
        <f t="shared" si="12"/>
        <v>0</v>
      </c>
      <c r="O58" s="5">
        <f t="shared" si="12"/>
        <v>457</v>
      </c>
      <c r="P58" s="5">
        <f t="shared" si="12"/>
        <v>16</v>
      </c>
      <c r="Q58" s="5">
        <f t="shared" si="12"/>
        <v>764</v>
      </c>
      <c r="R58" s="5">
        <f t="shared" si="12"/>
        <v>15</v>
      </c>
      <c r="S58" s="55"/>
      <c r="T58" s="4">
        <f>SUM(T7:T57)</f>
        <v>1708</v>
      </c>
      <c r="U58" s="90">
        <f>SUM(U7:U57)</f>
        <v>297274</v>
      </c>
      <c r="V58" s="4">
        <f>SUM(V7:V57)</f>
        <v>38982.416666666664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77CA5-5417-4708-A976-C4AC15747B86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09"/>
      <c r="Q5" s="109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417</v>
      </c>
      <c r="V7" s="58">
        <f>U7/24</f>
        <v>17.375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78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2016</v>
      </c>
      <c r="V9" s="76">
        <f t="shared" ref="V9:V11" si="3">U9/24</f>
        <v>84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720+11+1440+432+19+64</f>
        <v>2686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14</v>
      </c>
      <c r="P12" s="66"/>
      <c r="Q12" s="66">
        <v>20</v>
      </c>
      <c r="R12" s="67">
        <v>12</v>
      </c>
      <c r="S12" s="62"/>
      <c r="T12" s="69">
        <f t="shared" si="0"/>
        <v>12</v>
      </c>
      <c r="U12" s="69">
        <f>C12*24+M12*24+O12*24+Q12*24+T12</f>
        <v>65628</v>
      </c>
      <c r="V12" s="69">
        <f>U12/24</f>
        <v>2734.5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</f>
        <v>66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1705</v>
      </c>
      <c r="V25" s="75">
        <f t="shared" si="5"/>
        <v>71.041666666666671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2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192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4608</v>
      </c>
      <c r="V28" s="75">
        <f t="shared" si="5"/>
        <v>192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869</v>
      </c>
      <c r="V29" s="75">
        <f t="shared" si="5"/>
        <v>36.208333333333336</v>
      </c>
    </row>
    <row r="30" spans="1:54" x14ac:dyDescent="0.25">
      <c r="A30" s="27">
        <f t="shared" si="1"/>
        <v>27</v>
      </c>
      <c r="B30" s="26" t="s">
        <v>15</v>
      </c>
      <c r="C30" s="70">
        <v>5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192</v>
      </c>
      <c r="V30" s="75">
        <f t="shared" si="5"/>
        <v>8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878</v>
      </c>
      <c r="V34" s="75">
        <f t="shared" si="5"/>
        <v>36.583333333333336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864+1620+42</f>
        <v>2526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43</v>
      </c>
      <c r="N37" s="64"/>
      <c r="O37" s="65">
        <v>30</v>
      </c>
      <c r="P37" s="66"/>
      <c r="Q37" s="66">
        <v>43</v>
      </c>
      <c r="R37" s="67"/>
      <c r="S37" s="62"/>
      <c r="T37" s="77">
        <f t="shared" si="0"/>
        <v>13</v>
      </c>
      <c r="U37" s="77">
        <f>C37*6+M37*6+O37*6+Q37*6+T37</f>
        <v>15865</v>
      </c>
      <c r="V37" s="77">
        <f>U37/6</f>
        <v>2644.1666666666665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>
        <v>2</v>
      </c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126+33</f>
        <v>159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96+94</f>
        <v>190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2784</v>
      </c>
      <c r="V41" s="88">
        <f>U41/12</f>
        <v>232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1512+7776+3024+8424+3024+4644+72</f>
        <v>28476</v>
      </c>
      <c r="D43" s="65"/>
      <c r="E43" s="65"/>
      <c r="F43" s="65"/>
      <c r="G43" s="65"/>
      <c r="H43" s="65">
        <v>1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364</v>
      </c>
      <c r="N43" s="64"/>
      <c r="O43" s="65">
        <v>416</v>
      </c>
      <c r="P43" s="66"/>
      <c r="Q43" s="66">
        <v>581</v>
      </c>
      <c r="R43" s="67"/>
      <c r="S43" s="62"/>
      <c r="T43" s="77">
        <f t="shared" ref="T43" si="6">H43+I43+J43+K43+N43+P43+R43</f>
        <v>421</v>
      </c>
      <c r="U43" s="77">
        <f>C43*6+M43*6+O43*6+Q43*6+T43</f>
        <v>179443</v>
      </c>
      <c r="V43" s="77">
        <f>U43/6</f>
        <v>29907.166666666668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>
        <v>2</v>
      </c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16693</v>
      </c>
      <c r="V47" s="77">
        <f>U47/6</f>
        <v>2782.1666666666665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37382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38</v>
      </c>
      <c r="K58" s="6">
        <f t="shared" si="11"/>
        <v>422</v>
      </c>
      <c r="M58" s="5">
        <f t="shared" ref="M58:R58" si="12">SUM(M7:M57)</f>
        <v>459</v>
      </c>
      <c r="N58" s="5">
        <f t="shared" si="12"/>
        <v>0</v>
      </c>
      <c r="O58" s="5">
        <f t="shared" si="12"/>
        <v>483</v>
      </c>
      <c r="P58" s="5">
        <f t="shared" si="12"/>
        <v>16</v>
      </c>
      <c r="Q58" s="5">
        <f t="shared" si="12"/>
        <v>686</v>
      </c>
      <c r="R58" s="5">
        <f t="shared" si="12"/>
        <v>15</v>
      </c>
      <c r="S58" s="55"/>
      <c r="T58" s="4">
        <f>SUM(T7:T57)</f>
        <v>1713</v>
      </c>
      <c r="U58" s="90">
        <f>SUM(U7:U57)</f>
        <v>299895</v>
      </c>
      <c r="V58" s="4">
        <f>SUM(V7:V57)</f>
        <v>39137.25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D1730-828B-43C2-9C11-0B41A0D9103D}">
  <sheetPr>
    <pageSetUpPr fitToPage="1"/>
  </sheetPr>
  <dimension ref="A1:BB81"/>
  <sheetViews>
    <sheetView zoomScaleNormal="100" zoomScaleSheetLayoutView="115" workbookViewId="0">
      <selection activeCell="X21" sqref="X2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10"/>
      <c r="Q5" s="110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0"/>
      <c r="K6" s="38"/>
      <c r="M6" s="37"/>
      <c r="N6" s="49"/>
      <c r="O6" s="40"/>
      <c r="P6" s="110"/>
      <c r="Q6" s="11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417</v>
      </c>
      <c r="V7" s="58">
        <f>U7/24</f>
        <v>17.375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1872</v>
      </c>
      <c r="V9" s="76">
        <f t="shared" ref="V9:V11" si="3">U9/24</f>
        <v>78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>
        <v>5</v>
      </c>
      <c r="M11" s="73">
        <v>5</v>
      </c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720+11+1440+432+57</f>
        <v>2660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9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64920</v>
      </c>
      <c r="V12" s="69">
        <f>U12/24</f>
        <v>2705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</f>
        <v>66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1681</v>
      </c>
      <c r="V25" s="75">
        <f t="shared" si="5"/>
        <v>70.041666666666671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1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126+48+2</f>
        <v>176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15</v>
      </c>
      <c r="R28" s="72"/>
      <c r="S28" s="55"/>
      <c r="T28" s="58">
        <f t="shared" si="0"/>
        <v>0</v>
      </c>
      <c r="U28" s="75">
        <f t="shared" si="4"/>
        <v>4608</v>
      </c>
      <c r="V28" s="75">
        <f t="shared" si="5"/>
        <v>192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797</v>
      </c>
      <c r="V29" s="75">
        <f t="shared" si="5"/>
        <v>33.208333333333336</v>
      </c>
    </row>
    <row r="30" spans="1:54" x14ac:dyDescent="0.25">
      <c r="A30" s="27">
        <f t="shared" si="1"/>
        <v>27</v>
      </c>
      <c r="B30" s="26" t="s">
        <v>15</v>
      </c>
      <c r="C30" s="70">
        <v>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144</v>
      </c>
      <c r="V30" s="75">
        <f t="shared" si="5"/>
        <v>6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>
        <v>2</v>
      </c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854</v>
      </c>
      <c r="V34" s="75">
        <f t="shared" si="5"/>
        <v>35.583333333333336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864+1620+42</f>
        <v>2526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/>
      <c r="N37" s="64"/>
      <c r="O37" s="65">
        <v>25</v>
      </c>
      <c r="P37" s="66"/>
      <c r="Q37" s="66">
        <v>23</v>
      </c>
      <c r="R37" s="67"/>
      <c r="S37" s="62"/>
      <c r="T37" s="77">
        <f t="shared" si="0"/>
        <v>13</v>
      </c>
      <c r="U37" s="77">
        <f>C37*6+M37*6+O37*6+Q37*6+T37</f>
        <v>15457</v>
      </c>
      <c r="V37" s="77">
        <f>U37/6</f>
        <v>2576.1666666666665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>
        <v>1</v>
      </c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126+33</f>
        <v>159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96+57</f>
        <v>153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25</v>
      </c>
      <c r="N41" s="87"/>
      <c r="O41" s="82">
        <v>6</v>
      </c>
      <c r="P41" s="83"/>
      <c r="Q41" s="83">
        <v>18</v>
      </c>
      <c r="R41" s="84"/>
      <c r="S41" s="85"/>
      <c r="T41" s="88">
        <f t="shared" si="0"/>
        <v>0</v>
      </c>
      <c r="U41" s="88">
        <f>C41*12+M41*12+O41*12+Q41*12+T41</f>
        <v>2424</v>
      </c>
      <c r="V41" s="88">
        <f>U41/12</f>
        <v>202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7776+3024+8424+1944+54+3348+6480</f>
        <v>31050</v>
      </c>
      <c r="D43" s="65"/>
      <c r="E43" s="65"/>
      <c r="F43" s="65"/>
      <c r="G43" s="65"/>
      <c r="H43" s="65">
        <v>1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211</v>
      </c>
      <c r="N43" s="64"/>
      <c r="O43" s="65">
        <v>377</v>
      </c>
      <c r="P43" s="66"/>
      <c r="Q43" s="66">
        <v>656</v>
      </c>
      <c r="R43" s="67"/>
      <c r="S43" s="62"/>
      <c r="T43" s="77">
        <f t="shared" ref="T43" si="6">H43+I43+J43+K43+N43+P43+R43</f>
        <v>421</v>
      </c>
      <c r="U43" s="77">
        <f>C43*6+M43*6+O43*6+Q43*6+T43</f>
        <v>194185</v>
      </c>
      <c r="V43" s="77">
        <f>U43/6</f>
        <v>32364.166666666668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168</v>
      </c>
      <c r="V45" s="75">
        <f>U45/24</f>
        <v>7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16693</v>
      </c>
      <c r="V47" s="77">
        <f>U47/6</f>
        <v>2782.1666666666665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38</v>
      </c>
      <c r="K58" s="6">
        <f t="shared" si="11"/>
        <v>422</v>
      </c>
      <c r="M58" s="5">
        <f t="shared" ref="M58:R58" si="12">SUM(M7:M57)</f>
        <v>275</v>
      </c>
      <c r="N58" s="5">
        <f t="shared" si="12"/>
        <v>0</v>
      </c>
      <c r="O58" s="5">
        <f t="shared" si="12"/>
        <v>436</v>
      </c>
      <c r="P58" s="5">
        <f t="shared" si="12"/>
        <v>16</v>
      </c>
      <c r="Q58" s="5">
        <f t="shared" si="12"/>
        <v>750</v>
      </c>
      <c r="R58" s="5">
        <f t="shared" si="12"/>
        <v>3</v>
      </c>
      <c r="S58" s="55"/>
      <c r="T58" s="4">
        <f>SUM(T7:T57)</f>
        <v>1701</v>
      </c>
      <c r="U58" s="90">
        <f>SUM(U7:U57)</f>
        <v>312753</v>
      </c>
      <c r="V58" s="4">
        <f>SUM(V7:V57)</f>
        <v>41449.75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91F2-1BB6-4CCB-8EC4-EBABD0A49A8C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11"/>
      <c r="Q5" s="111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1"/>
      <c r="K6" s="38"/>
      <c r="M6" s="37"/>
      <c r="N6" s="49"/>
      <c r="O6" s="40"/>
      <c r="P6" s="111"/>
      <c r="Q6" s="11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5</v>
      </c>
      <c r="R7" s="54"/>
      <c r="S7" s="55"/>
      <c r="T7" s="58">
        <f>H7+I7+J7+K7+N7+P7+R7</f>
        <v>9</v>
      </c>
      <c r="U7" s="58">
        <f>C7*24+M7*24+O7*24+Q7*24+T7</f>
        <v>393</v>
      </c>
      <c r="V7" s="58">
        <f>U7/24</f>
        <v>16.375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55+23</f>
        <v>78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10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64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1656</v>
      </c>
      <c r="V9" s="76">
        <f t="shared" ref="V9:V11" si="3">U9/24</f>
        <v>69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720+11+1440+432+42</f>
        <v>2645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15</v>
      </c>
      <c r="P12" s="66"/>
      <c r="Q12" s="66">
        <v>7</v>
      </c>
      <c r="R12" s="67"/>
      <c r="S12" s="62"/>
      <c r="T12" s="69">
        <f t="shared" si="0"/>
        <v>0</v>
      </c>
      <c r="U12" s="69">
        <f>C12*24+M12*24+O12*24+Q12*24+T12</f>
        <v>64272</v>
      </c>
      <c r="V12" s="69">
        <f>U12/24</f>
        <v>2678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10</v>
      </c>
      <c r="R25" s="72"/>
      <c r="S25" s="55"/>
      <c r="T25" s="58">
        <f t="shared" si="0"/>
        <v>1</v>
      </c>
      <c r="U25" s="75">
        <f t="shared" si="4"/>
        <v>1489</v>
      </c>
      <c r="V25" s="75">
        <f t="shared" si="5"/>
        <v>62.041666666666664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126+28</f>
        <v>154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4200</v>
      </c>
      <c r="V28" s="75">
        <f t="shared" si="5"/>
        <v>175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5</v>
      </c>
      <c r="R29" s="72"/>
      <c r="S29" s="55"/>
      <c r="T29" s="58">
        <f t="shared" si="0"/>
        <v>5</v>
      </c>
      <c r="U29" s="75">
        <f t="shared" si="4"/>
        <v>749</v>
      </c>
      <c r="V29" s="75">
        <f t="shared" si="5"/>
        <v>31.208333333333332</v>
      </c>
    </row>
    <row r="30" spans="1:54" x14ac:dyDescent="0.25">
      <c r="A30" s="27">
        <f t="shared" si="1"/>
        <v>27</v>
      </c>
      <c r="B30" s="26" t="s">
        <v>15</v>
      </c>
      <c r="C30" s="70">
        <v>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17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10</v>
      </c>
      <c r="R34" s="72"/>
      <c r="S34" s="55"/>
      <c r="T34" s="58">
        <f t="shared" si="0"/>
        <v>14</v>
      </c>
      <c r="U34" s="75">
        <f t="shared" si="4"/>
        <v>686</v>
      </c>
      <c r="V34" s="75">
        <f t="shared" si="5"/>
        <v>28.583333333333332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864+1512+32</f>
        <v>2408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/>
      <c r="N37" s="64"/>
      <c r="O37" s="65">
        <v>63</v>
      </c>
      <c r="P37" s="66"/>
      <c r="Q37" s="66">
        <v>53</v>
      </c>
      <c r="R37" s="67"/>
      <c r="S37" s="62"/>
      <c r="T37" s="77">
        <f t="shared" si="0"/>
        <v>13</v>
      </c>
      <c r="U37" s="77">
        <f>C37*6+M37*6+O37*6+Q37*6+T37</f>
        <v>15157</v>
      </c>
      <c r="V37" s="77">
        <f>U37/6</f>
        <v>2526.1666666666665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1</v>
      </c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63+36</f>
        <v>99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10</v>
      </c>
      <c r="R40" s="67"/>
      <c r="S40" s="62"/>
      <c r="T40" s="77">
        <f t="shared" si="0"/>
        <v>20</v>
      </c>
      <c r="U40" s="77">
        <f>C40*24+M40*24+O40*24+Q40*24+T40</f>
        <v>2708</v>
      </c>
      <c r="V40" s="77">
        <f>U40/24</f>
        <v>112.83333333333333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96+34</f>
        <v>130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3</v>
      </c>
      <c r="P41" s="83"/>
      <c r="Q41" s="83">
        <v>21</v>
      </c>
      <c r="R41" s="84"/>
      <c r="S41" s="85"/>
      <c r="T41" s="88">
        <f t="shared" si="0"/>
        <v>0</v>
      </c>
      <c r="U41" s="88">
        <f>C41*12+M41*12+O41*12+Q41*12+T41</f>
        <v>1848</v>
      </c>
      <c r="V41" s="88">
        <f>U41/12</f>
        <v>154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7776+1836+3024+8424+1404+3348+6480</f>
        <v>32292</v>
      </c>
      <c r="D43" s="65"/>
      <c r="E43" s="65"/>
      <c r="F43" s="65"/>
      <c r="G43" s="65"/>
      <c r="H43" s="65">
        <v>5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1</v>
      </c>
      <c r="N43" s="64"/>
      <c r="O43" s="65">
        <v>458</v>
      </c>
      <c r="P43" s="66"/>
      <c r="Q43" s="66">
        <v>209</v>
      </c>
      <c r="R43" s="67"/>
      <c r="S43" s="62"/>
      <c r="T43" s="77">
        <f t="shared" ref="T43" si="6">H43+I43+J43+K43+N43+P43+R43</f>
        <v>425</v>
      </c>
      <c r="U43" s="77">
        <f>C43*6+M43*6+O43*6+Q43*6+T43</f>
        <v>198185</v>
      </c>
      <c r="V43" s="77">
        <f>U43/6</f>
        <v>33030.833333333336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>
        <v>4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13</v>
      </c>
      <c r="R47" s="67">
        <v>3</v>
      </c>
      <c r="S47" s="62"/>
      <c r="T47" s="77">
        <f t="shared" si="7"/>
        <v>13</v>
      </c>
      <c r="U47" s="77">
        <f>C47*6+M47*6+O47*6+Q47*6+T47</f>
        <v>16675</v>
      </c>
      <c r="V47" s="77">
        <f>U47/6</f>
        <v>2779.1666666666665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40790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39</v>
      </c>
      <c r="J58" s="6">
        <f t="shared" si="11"/>
        <v>32</v>
      </c>
      <c r="K58" s="6">
        <f t="shared" si="11"/>
        <v>422</v>
      </c>
      <c r="M58" s="5">
        <f t="shared" ref="M58:R58" si="12">SUM(M7:M57)</f>
        <v>20</v>
      </c>
      <c r="N58" s="5">
        <f t="shared" si="12"/>
        <v>0</v>
      </c>
      <c r="O58" s="5">
        <f t="shared" si="12"/>
        <v>555</v>
      </c>
      <c r="P58" s="5">
        <f t="shared" si="12"/>
        <v>16</v>
      </c>
      <c r="Q58" s="5">
        <f t="shared" si="12"/>
        <v>385</v>
      </c>
      <c r="R58" s="5">
        <f t="shared" si="12"/>
        <v>3</v>
      </c>
      <c r="S58" s="55"/>
      <c r="T58" s="4">
        <f>SUM(T7:T57)</f>
        <v>1705</v>
      </c>
      <c r="U58" s="90">
        <f>SUM(U7:U57)</f>
        <v>312547</v>
      </c>
      <c r="V58" s="4">
        <f>SUM(V7:V57)</f>
        <v>41877.416666666664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77C78-D4ED-4464-8D13-B759C682AFF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12"/>
      <c r="Q5" s="112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2"/>
      <c r="K6" s="38"/>
      <c r="M6" s="37"/>
      <c r="N6" s="49"/>
      <c r="O6" s="40"/>
      <c r="P6" s="112"/>
      <c r="Q6" s="11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273</v>
      </c>
      <c r="V7" s="58">
        <f>U7/24</f>
        <v>11.375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53+23</f>
        <v>76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1920</v>
      </c>
      <c r="V8" s="69">
        <f>U8/24</f>
        <v>80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58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1536</v>
      </c>
      <c r="V9" s="76">
        <f t="shared" ref="V9:V11" si="3">U9/24</f>
        <v>64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</f>
        <v>2603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12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63912</v>
      </c>
      <c r="V12" s="69">
        <f>U12/24</f>
        <v>2663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1249</v>
      </c>
      <c r="V25" s="75">
        <f t="shared" si="5"/>
        <v>52.041666666666664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26+126</f>
        <v>152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3720</v>
      </c>
      <c r="V28" s="75">
        <f t="shared" si="5"/>
        <v>155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24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17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446</v>
      </c>
      <c r="V34" s="75">
        <f t="shared" si="5"/>
        <v>18.583333333333332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864+1296+53</f>
        <v>2213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54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14449</v>
      </c>
      <c r="V37" s="77">
        <f>U37/6</f>
        <v>2408.1666666666665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63+36</f>
        <v>99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2468</v>
      </c>
      <c r="V40" s="77">
        <f>U40/24</f>
        <v>102.83333333333333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8+96</f>
        <v>104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6</v>
      </c>
      <c r="P41" s="83"/>
      <c r="Q41" s="83">
        <v>21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7776+7776+972+3024+8208+54+3780+6480</f>
        <v>38070</v>
      </c>
      <c r="D43" s="65"/>
      <c r="E43" s="65"/>
      <c r="F43" s="65"/>
      <c r="G43" s="65"/>
      <c r="H43" s="65">
        <f>4+6</f>
        <v>10</v>
      </c>
      <c r="I43" s="65">
        <v>7</v>
      </c>
      <c r="J43" s="66">
        <f>5*6+4</f>
        <v>34</v>
      </c>
      <c r="K43" s="67">
        <f>64*6+2</f>
        <v>386</v>
      </c>
      <c r="L43" s="62"/>
      <c r="M43" s="63">
        <v>595</v>
      </c>
      <c r="N43" s="64"/>
      <c r="O43" s="65">
        <v>456</v>
      </c>
      <c r="P43" s="66"/>
      <c r="Q43" s="66">
        <v>542</v>
      </c>
      <c r="R43" s="67"/>
      <c r="S43" s="62"/>
      <c r="T43" s="77">
        <f t="shared" ref="T43" si="6">H43+I43+J43+K43+N43+P43+R43</f>
        <v>437</v>
      </c>
      <c r="U43" s="77">
        <f>C43*6+M43*6+O43*6+Q43*6+T43</f>
        <v>238415</v>
      </c>
      <c r="V43" s="77">
        <f>U43/6</f>
        <v>39735.833333333336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16615</v>
      </c>
      <c r="V47" s="77">
        <f>U47/6</f>
        <v>2769.1666666666665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33</v>
      </c>
      <c r="J58" s="6">
        <f t="shared" si="11"/>
        <v>45</v>
      </c>
      <c r="K58" s="6">
        <f t="shared" si="11"/>
        <v>422</v>
      </c>
      <c r="M58" s="5">
        <f t="shared" ref="M58:R58" si="12">SUM(M7:M57)</f>
        <v>683</v>
      </c>
      <c r="N58" s="5">
        <f t="shared" si="12"/>
        <v>0</v>
      </c>
      <c r="O58" s="5">
        <f t="shared" si="12"/>
        <v>521</v>
      </c>
      <c r="P58" s="5">
        <f t="shared" si="12"/>
        <v>16</v>
      </c>
      <c r="Q58" s="5">
        <f t="shared" si="12"/>
        <v>712</v>
      </c>
      <c r="R58" s="5">
        <f t="shared" si="12"/>
        <v>3</v>
      </c>
      <c r="S58" s="55"/>
      <c r="T58" s="4">
        <f>SUM(T7:T57)</f>
        <v>1717</v>
      </c>
      <c r="U58" s="90">
        <f>SUM(U7:U57)</f>
        <v>349405</v>
      </c>
      <c r="V58" s="4">
        <f>SUM(V7:V57)</f>
        <v>48334.416666666664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9CC4D-60EF-448F-A589-73366D861667}">
  <sheetPr>
    <pageSetUpPr fitToPage="1"/>
  </sheetPr>
  <dimension ref="A1:BB81"/>
  <sheetViews>
    <sheetView tabSelected="1" zoomScaleNormal="100" zoomScaleSheetLayoutView="115" workbookViewId="0">
      <selection activeCell="X22" sqref="X2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1" t="s">
        <v>43</v>
      </c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22" t="s">
        <v>41</v>
      </c>
      <c r="D4" s="122"/>
      <c r="E4" s="122"/>
      <c r="F4" s="122"/>
      <c r="G4" s="122"/>
      <c r="H4" s="122"/>
      <c r="I4" s="122"/>
      <c r="J4" s="123"/>
      <c r="K4" s="12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5" t="s">
        <v>68</v>
      </c>
      <c r="U4" s="131" t="s">
        <v>67</v>
      </c>
      <c r="V4" s="11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9" t="s">
        <v>65</v>
      </c>
      <c r="K5" s="130"/>
      <c r="M5" s="37"/>
      <c r="N5" s="49"/>
      <c r="O5" s="40"/>
      <c r="P5" s="113"/>
      <c r="Q5" s="113"/>
      <c r="R5" s="38"/>
      <c r="S5" s="9"/>
      <c r="T5" s="126"/>
      <c r="U5" s="132"/>
      <c r="V5" s="11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3"/>
      <c r="K6" s="38"/>
      <c r="M6" s="37"/>
      <c r="N6" s="49"/>
      <c r="O6" s="40"/>
      <c r="P6" s="113"/>
      <c r="Q6" s="11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273</v>
      </c>
      <c r="V7" s="58">
        <f>U7/24</f>
        <v>11.375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52+23</f>
        <v>75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1920</v>
      </c>
      <c r="V8" s="69">
        <f>U8/24</f>
        <v>80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54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3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1416</v>
      </c>
      <c r="V9" s="76">
        <f t="shared" ref="V9:V11" si="3">U9/24</f>
        <v>59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720+11+1440+360+46</f>
        <v>2577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11</v>
      </c>
      <c r="P12" s="66">
        <v>12</v>
      </c>
      <c r="Q12" s="66">
        <v>22</v>
      </c>
      <c r="R12" s="67"/>
      <c r="S12" s="62"/>
      <c r="T12" s="69">
        <f t="shared" si="0"/>
        <v>12</v>
      </c>
      <c r="U12" s="69">
        <f>C12*24+M12*24+O12*24+Q12*24+T12</f>
        <v>62916</v>
      </c>
      <c r="V12" s="69">
        <f>U12/24</f>
        <v>2621.5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1249</v>
      </c>
      <c r="V25" s="75">
        <f t="shared" si="5"/>
        <v>52.041666666666664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23+126</f>
        <v>149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3696</v>
      </c>
      <c r="V28" s="75">
        <f t="shared" si="5"/>
        <v>154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15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446</v>
      </c>
      <c r="V34" s="75">
        <f t="shared" si="5"/>
        <v>18.583333333333332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864+1188+13</f>
        <v>2065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141</v>
      </c>
      <c r="N37" s="64"/>
      <c r="O37" s="65">
        <v>30</v>
      </c>
      <c r="P37" s="66"/>
      <c r="Q37" s="66">
        <v>60</v>
      </c>
      <c r="R37" s="67"/>
      <c r="S37" s="62"/>
      <c r="T37" s="77">
        <f t="shared" si="0"/>
        <v>13</v>
      </c>
      <c r="U37" s="77">
        <f>C37*6+M37*6+O37*6+Q37*6+T37</f>
        <v>13789</v>
      </c>
      <c r="V37" s="77">
        <f>U37/6</f>
        <v>2298.1666666666665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63+35</f>
        <v>98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2444</v>
      </c>
      <c r="V40" s="77">
        <f>U40/24</f>
        <v>101.83333333333333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1344</v>
      </c>
      <c r="V41" s="88">
        <f>U41/12</f>
        <v>112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6480+216+7776+7776+1080+972+3024+7236+55+4212+1836+3780</f>
        <v>44443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327</v>
      </c>
      <c r="N43" s="64"/>
      <c r="O43" s="65">
        <v>409</v>
      </c>
      <c r="P43" s="66"/>
      <c r="Q43" s="66">
        <v>500</v>
      </c>
      <c r="R43" s="67"/>
      <c r="S43" s="62"/>
      <c r="T43" s="77">
        <f t="shared" ref="T43" si="6">H43+I43+J43+K43+N43+P43+R43</f>
        <v>431</v>
      </c>
      <c r="U43" s="77">
        <f>C43*6+M43*6+O43*6+Q43*6+T43</f>
        <v>274505</v>
      </c>
      <c r="V43" s="77">
        <f>U43/6</f>
        <v>45750.833333333336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16615</v>
      </c>
      <c r="V47" s="77">
        <f>U47/6</f>
        <v>2769.1666666666665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1166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504</v>
      </c>
      <c r="N58" s="5">
        <f t="shared" si="12"/>
        <v>0</v>
      </c>
      <c r="O58" s="5">
        <f t="shared" si="12"/>
        <v>477</v>
      </c>
      <c r="P58" s="5">
        <f t="shared" si="12"/>
        <v>28</v>
      </c>
      <c r="Q58" s="5">
        <f t="shared" si="12"/>
        <v>617</v>
      </c>
      <c r="R58" s="5">
        <f t="shared" si="12"/>
        <v>3</v>
      </c>
      <c r="S58" s="55"/>
      <c r="T58" s="4">
        <f>SUM(T7:T57)</f>
        <v>1699</v>
      </c>
      <c r="U58" s="90">
        <f>SUM(U7:U57)</f>
        <v>383395</v>
      </c>
      <c r="V58" s="4">
        <f>SUM(V7:V57)</f>
        <v>54169.916666666664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8" t="s">
        <v>41</v>
      </c>
      <c r="D60" s="119"/>
      <c r="E60" s="119"/>
      <c r="F60" s="119"/>
      <c r="G60" s="119"/>
      <c r="H60" s="119"/>
      <c r="I60" s="119"/>
      <c r="J60" s="119"/>
      <c r="K60" s="12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06-09-2026</vt:lpstr>
      <vt:lpstr>06-10-2026</vt:lpstr>
      <vt:lpstr>06-11-2026</vt:lpstr>
      <vt:lpstr>06-12-2026</vt:lpstr>
      <vt:lpstr>06-15-2026 </vt:lpstr>
      <vt:lpstr>06-16-2026</vt:lpstr>
      <vt:lpstr>06-17-2026</vt:lpstr>
      <vt:lpstr>06-18-2026</vt:lpstr>
      <vt:lpstr>06-19-2026 </vt:lpstr>
      <vt:lpstr>06-22-2026</vt:lpstr>
      <vt:lpstr>06-23-2026</vt:lpstr>
      <vt:lpstr>06-24-2026</vt:lpstr>
      <vt:lpstr>06-25-2026</vt:lpstr>
      <vt:lpstr>06-26-2026</vt:lpstr>
      <vt:lpstr>06-29-2026</vt:lpstr>
      <vt:lpstr>06-30-2026 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'06-09-2026'!Print_Area</vt:lpstr>
      <vt:lpstr>'06-10-2026'!Print_Area</vt:lpstr>
      <vt:lpstr>'06-11-2026'!Print_Area</vt:lpstr>
      <vt:lpstr>'06-12-2026'!Print_Area</vt:lpstr>
      <vt:lpstr>'06-15-2026 '!Print_Area</vt:lpstr>
      <vt:lpstr>'06-16-2026'!Print_Area</vt:lpstr>
      <vt:lpstr>'06-17-2026'!Print_Area</vt:lpstr>
      <vt:lpstr>'06-18-2026'!Print_Area</vt:lpstr>
      <vt:lpstr>'06-19-2026 '!Print_Area</vt:lpstr>
      <vt:lpstr>'06-22-2026'!Print_Area</vt:lpstr>
      <vt:lpstr>'06-23-2026'!Print_Area</vt:lpstr>
      <vt:lpstr>'06-24-2026'!Print_Area</vt:lpstr>
      <vt:lpstr>'06-25-2026'!Print_Area</vt:lpstr>
      <vt:lpstr>'06-26-2026'!Print_Area</vt:lpstr>
      <vt:lpstr>'06-29-2026'!Print_Area</vt:lpstr>
      <vt:lpstr>'06-30-2026 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2026-06-30T07:06:02Z</dcterms:modified>
</cp:coreProperties>
</file>