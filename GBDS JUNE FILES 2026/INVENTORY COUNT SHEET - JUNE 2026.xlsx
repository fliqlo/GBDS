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7386F9DA-E4E5-4048-9FB4-B93FC7F43B58}" xr6:coauthVersionLast="45" xr6:coauthVersionMax="45" xr10:uidLastSave="{00000000-0000-0000-0000-000000000000}"/>
  <bookViews>
    <workbookView xWindow="-120" yWindow="-120" windowWidth="29040" windowHeight="15840" activeTab="6" xr2:uid="{D34C963E-9680-4B45-A4EE-B681FF0CEC08}"/>
  </bookViews>
  <sheets>
    <sheet name="SAMPLE" sheetId="32" r:id="rId1"/>
    <sheet name="06-01-2026" sheetId="57" r:id="rId2"/>
    <sheet name="06-02-2026" sheetId="55" r:id="rId3"/>
    <sheet name="06-03-2026" sheetId="56" r:id="rId4"/>
    <sheet name="06-04-2026 " sheetId="58" r:id="rId5"/>
    <sheet name="06-05-2026 " sheetId="59" r:id="rId6"/>
    <sheet name="06-08-2026 " sheetId="60" r:id="rId7"/>
  </sheets>
  <definedNames>
    <definedName name="_xlnm.Print_Area" localSheetId="1">'06-01-2026'!$A$1:$W$59</definedName>
    <definedName name="_xlnm.Print_Area" localSheetId="2">'06-02-2026'!$A$1:$W$59</definedName>
    <definedName name="_xlnm.Print_Area" localSheetId="3">'06-03-2026'!$A$1:$W$59</definedName>
    <definedName name="_xlnm.Print_Area" localSheetId="4">'06-04-2026 '!$A$1:$W$59</definedName>
    <definedName name="_xlnm.Print_Area" localSheetId="5">'06-05-2026 '!$A$1:$W$59</definedName>
    <definedName name="_xlnm.Print_Area" localSheetId="6">'06-08-2026 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60" l="1"/>
  <c r="K43" i="60"/>
  <c r="K58" i="60" s="1"/>
  <c r="J43" i="60"/>
  <c r="T43" i="60" s="1"/>
  <c r="U43" i="60" s="1"/>
  <c r="V43" i="60" s="1"/>
  <c r="C43" i="60"/>
  <c r="C41" i="60"/>
  <c r="U41" i="60" s="1"/>
  <c r="V41" i="60" s="1"/>
  <c r="C37" i="60"/>
  <c r="C34" i="60"/>
  <c r="C25" i="60"/>
  <c r="H24" i="60"/>
  <c r="T24" i="60" s="1"/>
  <c r="U24" i="60" s="1"/>
  <c r="V24" i="60" s="1"/>
  <c r="H23" i="60"/>
  <c r="T23" i="60" s="1"/>
  <c r="U23" i="60" s="1"/>
  <c r="V23" i="60" s="1"/>
  <c r="H21" i="60"/>
  <c r="T21" i="60" s="1"/>
  <c r="U21" i="60" s="1"/>
  <c r="V21" i="60" s="1"/>
  <c r="H19" i="60"/>
  <c r="T19" i="60" s="1"/>
  <c r="U19" i="60" s="1"/>
  <c r="V19" i="60" s="1"/>
  <c r="H17" i="60"/>
  <c r="G58" i="60"/>
  <c r="C12" i="60"/>
  <c r="C10" i="60"/>
  <c r="C9" i="60"/>
  <c r="C8" i="60"/>
  <c r="R58" i="60"/>
  <c r="Q58" i="60"/>
  <c r="P58" i="60"/>
  <c r="O58" i="60"/>
  <c r="N58" i="60"/>
  <c r="M58" i="60"/>
  <c r="I58" i="60"/>
  <c r="F58" i="60"/>
  <c r="T54" i="60"/>
  <c r="U54" i="60" s="1"/>
  <c r="V54" i="60" s="1"/>
  <c r="T53" i="60"/>
  <c r="U53" i="60" s="1"/>
  <c r="V53" i="60" s="1"/>
  <c r="T52" i="60"/>
  <c r="U52" i="60" s="1"/>
  <c r="V52" i="60" s="1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U28" i="60" s="1"/>
  <c r="V28" i="60" s="1"/>
  <c r="U27" i="60"/>
  <c r="V27" i="60" s="1"/>
  <c r="T27" i="60"/>
  <c r="T26" i="60"/>
  <c r="U26" i="60" s="1"/>
  <c r="V26" i="60" s="1"/>
  <c r="AY25" i="60"/>
  <c r="T25" i="60"/>
  <c r="T22" i="60"/>
  <c r="U22" i="60" s="1"/>
  <c r="V22" i="60" s="1"/>
  <c r="A21" i="60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20" i="60"/>
  <c r="U20" i="60" s="1"/>
  <c r="V20" i="60" s="1"/>
  <c r="A20" i="60"/>
  <c r="T18" i="60"/>
  <c r="U18" i="60" s="1"/>
  <c r="V18" i="60" s="1"/>
  <c r="T16" i="60"/>
  <c r="U16" i="60" s="1"/>
  <c r="V16" i="60" s="1"/>
  <c r="T15" i="60"/>
  <c r="U15" i="60" s="1"/>
  <c r="V15" i="60" s="1"/>
  <c r="T14" i="60"/>
  <c r="U14" i="60" s="1"/>
  <c r="V14" i="60" s="1"/>
  <c r="A14" i="60"/>
  <c r="A15" i="60" s="1"/>
  <c r="A16" i="60" s="1"/>
  <c r="A17" i="60" s="1"/>
  <c r="A18" i="60" s="1"/>
  <c r="T12" i="60"/>
  <c r="U12" i="60" s="1"/>
  <c r="V12" i="60" s="1"/>
  <c r="T11" i="60"/>
  <c r="U11" i="60" s="1"/>
  <c r="V11" i="60" s="1"/>
  <c r="T10" i="60"/>
  <c r="T9" i="60"/>
  <c r="T8" i="60"/>
  <c r="U8" i="60" s="1"/>
  <c r="V8" i="60" s="1"/>
  <c r="A8" i="60"/>
  <c r="A9" i="60" s="1"/>
  <c r="A10" i="60" s="1"/>
  <c r="A11" i="60" s="1"/>
  <c r="T7" i="60"/>
  <c r="U7" i="60" s="1"/>
  <c r="J58" i="60" l="1"/>
  <c r="U37" i="60"/>
  <c r="V37" i="60" s="1"/>
  <c r="U25" i="60"/>
  <c r="V25" i="60" s="1"/>
  <c r="C58" i="60"/>
  <c r="H58" i="60"/>
  <c r="T13" i="60"/>
  <c r="U13" i="60" s="1"/>
  <c r="V13" i="60" s="1"/>
  <c r="U10" i="60"/>
  <c r="V10" i="60" s="1"/>
  <c r="U9" i="60"/>
  <c r="V9" i="60" s="1"/>
  <c r="T17" i="60"/>
  <c r="U17" i="60" s="1"/>
  <c r="V17" i="60" s="1"/>
  <c r="V7" i="60"/>
  <c r="C47" i="59"/>
  <c r="J43" i="59"/>
  <c r="T43" i="59" s="1"/>
  <c r="I43" i="59"/>
  <c r="C43" i="59"/>
  <c r="C41" i="59"/>
  <c r="U41" i="59" s="1"/>
  <c r="V41" i="59" s="1"/>
  <c r="C37" i="59"/>
  <c r="C25" i="59"/>
  <c r="H24" i="59"/>
  <c r="T24" i="59" s="1"/>
  <c r="U24" i="59" s="1"/>
  <c r="V24" i="59" s="1"/>
  <c r="H23" i="59"/>
  <c r="H21" i="59"/>
  <c r="H19" i="59"/>
  <c r="H17" i="59"/>
  <c r="C12" i="59"/>
  <c r="C9" i="59"/>
  <c r="C8" i="59"/>
  <c r="R58" i="59"/>
  <c r="Q58" i="59"/>
  <c r="P58" i="59"/>
  <c r="O58" i="59"/>
  <c r="N58" i="59"/>
  <c r="M58" i="59"/>
  <c r="K58" i="59"/>
  <c r="I58" i="59"/>
  <c r="G58" i="59"/>
  <c r="F58" i="59"/>
  <c r="U54" i="59"/>
  <c r="V54" i="59" s="1"/>
  <c r="T54" i="59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T46" i="59"/>
  <c r="U46" i="59" s="1"/>
  <c r="V46" i="59" s="1"/>
  <c r="T45" i="59"/>
  <c r="U45" i="59" s="1"/>
  <c r="V45" i="59" s="1"/>
  <c r="T41" i="59"/>
  <c r="T40" i="59"/>
  <c r="U40" i="59" s="1"/>
  <c r="V40" i="59" s="1"/>
  <c r="T39" i="59"/>
  <c r="U39" i="59" s="1"/>
  <c r="V39" i="59" s="1"/>
  <c r="T38" i="59"/>
  <c r="U38" i="59" s="1"/>
  <c r="V38" i="59" s="1"/>
  <c r="T37" i="59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U30" i="59"/>
  <c r="V30" i="59" s="1"/>
  <c r="T30" i="59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8" i="59"/>
  <c r="U18" i="59" s="1"/>
  <c r="V18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T11" i="59"/>
  <c r="U11" i="59" s="1"/>
  <c r="V11" i="59" s="1"/>
  <c r="T10" i="59"/>
  <c r="U10" i="59" s="1"/>
  <c r="V10" i="59" s="1"/>
  <c r="T9" i="59"/>
  <c r="T8" i="59"/>
  <c r="A8" i="59"/>
  <c r="A9" i="59" s="1"/>
  <c r="A10" i="59" s="1"/>
  <c r="A11" i="59" s="1"/>
  <c r="T7" i="59"/>
  <c r="V58" i="60" l="1"/>
  <c r="U58" i="60"/>
  <c r="T58" i="60"/>
  <c r="U47" i="59"/>
  <c r="V47" i="59" s="1"/>
  <c r="J58" i="59"/>
  <c r="U43" i="59"/>
  <c r="V43" i="59" s="1"/>
  <c r="U37" i="59"/>
  <c r="V37" i="59" s="1"/>
  <c r="U25" i="59"/>
  <c r="V25" i="59" s="1"/>
  <c r="H58" i="59"/>
  <c r="T19" i="59"/>
  <c r="U19" i="59" s="1"/>
  <c r="V19" i="59" s="1"/>
  <c r="U12" i="59"/>
  <c r="V12" i="59" s="1"/>
  <c r="C58" i="59"/>
  <c r="U8" i="59"/>
  <c r="V8" i="59" s="1"/>
  <c r="U9" i="59"/>
  <c r="V9" i="59" s="1"/>
  <c r="T17" i="59"/>
  <c r="U17" i="59" s="1"/>
  <c r="V17" i="59" s="1"/>
  <c r="U7" i="59"/>
  <c r="K43" i="58"/>
  <c r="J43" i="58"/>
  <c r="C43" i="58"/>
  <c r="U58" i="59" l="1"/>
  <c r="V7" i="59"/>
  <c r="V58" i="59" s="1"/>
  <c r="T58" i="59"/>
  <c r="C12" i="58"/>
  <c r="K58" i="58"/>
  <c r="C47" i="58"/>
  <c r="C41" i="58"/>
  <c r="C40" i="58"/>
  <c r="C37" i="58"/>
  <c r="H24" i="58"/>
  <c r="H23" i="58"/>
  <c r="T23" i="58" s="1"/>
  <c r="U23" i="58" s="1"/>
  <c r="V23" i="58" s="1"/>
  <c r="H21" i="58"/>
  <c r="H19" i="58"/>
  <c r="T19" i="58"/>
  <c r="U19" i="58" s="1"/>
  <c r="V19" i="58" s="1"/>
  <c r="H17" i="58"/>
  <c r="T17" i="58" s="1"/>
  <c r="U17" i="58" s="1"/>
  <c r="V17" i="58" s="1"/>
  <c r="C9" i="58"/>
  <c r="C8" i="58"/>
  <c r="U8" i="58" s="1"/>
  <c r="V8" i="58" s="1"/>
  <c r="R58" i="58"/>
  <c r="Q58" i="58"/>
  <c r="P58" i="58"/>
  <c r="O58" i="58"/>
  <c r="N58" i="58"/>
  <c r="M58" i="58"/>
  <c r="G58" i="58"/>
  <c r="F58" i="58"/>
  <c r="U54" i="58"/>
  <c r="V54" i="58" s="1"/>
  <c r="T54" i="58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U47" i="58" s="1"/>
  <c r="V47" i="58" s="1"/>
  <c r="T46" i="58"/>
  <c r="U46" i="58" s="1"/>
  <c r="V46" i="58" s="1"/>
  <c r="T45" i="58"/>
  <c r="U45" i="58" s="1"/>
  <c r="V45" i="58" s="1"/>
  <c r="T41" i="58"/>
  <c r="U41" i="58" s="1"/>
  <c r="V41" i="58" s="1"/>
  <c r="T40" i="58"/>
  <c r="U40" i="58" s="1"/>
  <c r="V40" i="58" s="1"/>
  <c r="T39" i="58"/>
  <c r="U39" i="58" s="1"/>
  <c r="V39" i="58" s="1"/>
  <c r="T38" i="58"/>
  <c r="U38" i="58" s="1"/>
  <c r="V38" i="58" s="1"/>
  <c r="T37" i="58"/>
  <c r="U37" i="58" s="1"/>
  <c r="V37" i="58" s="1"/>
  <c r="T36" i="58"/>
  <c r="U36" i="58" s="1"/>
  <c r="V36" i="58" s="1"/>
  <c r="T35" i="58"/>
  <c r="U35" i="58" s="1"/>
  <c r="V35" i="58" s="1"/>
  <c r="T34" i="58"/>
  <c r="U34" i="58" s="1"/>
  <c r="V34" i="58" s="1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T26" i="58"/>
  <c r="U26" i="58" s="1"/>
  <c r="V26" i="58" s="1"/>
  <c r="AY25" i="58"/>
  <c r="T25" i="58"/>
  <c r="U25" i="58" s="1"/>
  <c r="V25" i="58" s="1"/>
  <c r="T24" i="58"/>
  <c r="U24" i="58" s="1"/>
  <c r="V24" i="58" s="1"/>
  <c r="T22" i="58"/>
  <c r="U22" i="58" s="1"/>
  <c r="V22" i="58" s="1"/>
  <c r="A22" i="58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1" i="58"/>
  <c r="U21" i="58" s="1"/>
  <c r="V21" i="58" s="1"/>
  <c r="A21" i="58"/>
  <c r="T20" i="58"/>
  <c r="U20" i="58" s="1"/>
  <c r="V20" i="58" s="1"/>
  <c r="A20" i="58"/>
  <c r="T18" i="58"/>
  <c r="U18" i="58" s="1"/>
  <c r="V18" i="58" s="1"/>
  <c r="T16" i="58"/>
  <c r="U16" i="58" s="1"/>
  <c r="V16" i="58" s="1"/>
  <c r="T15" i="58"/>
  <c r="U15" i="58" s="1"/>
  <c r="V15" i="58" s="1"/>
  <c r="T14" i="58"/>
  <c r="U14" i="58" s="1"/>
  <c r="V14" i="58" s="1"/>
  <c r="A14" i="58"/>
  <c r="A15" i="58" s="1"/>
  <c r="A16" i="58" s="1"/>
  <c r="A17" i="58" s="1"/>
  <c r="A18" i="58" s="1"/>
  <c r="T13" i="58"/>
  <c r="U13" i="58" s="1"/>
  <c r="V13" i="58" s="1"/>
  <c r="T12" i="58"/>
  <c r="U12" i="58" s="1"/>
  <c r="V12" i="58" s="1"/>
  <c r="T11" i="58"/>
  <c r="U11" i="58" s="1"/>
  <c r="V11" i="58" s="1"/>
  <c r="T10" i="58"/>
  <c r="U10" i="58" s="1"/>
  <c r="V10" i="58" s="1"/>
  <c r="A10" i="58"/>
  <c r="A11" i="58" s="1"/>
  <c r="T9" i="58"/>
  <c r="A9" i="58"/>
  <c r="T8" i="58"/>
  <c r="A8" i="58"/>
  <c r="T7" i="58"/>
  <c r="T43" i="58" l="1"/>
  <c r="U43" i="58" s="1"/>
  <c r="V43" i="58" s="1"/>
  <c r="J58" i="58"/>
  <c r="I58" i="58"/>
  <c r="H58" i="58"/>
  <c r="U9" i="58"/>
  <c r="V9" i="58" s="1"/>
  <c r="C58" i="58"/>
  <c r="U7" i="58"/>
  <c r="C47" i="56"/>
  <c r="K43" i="56"/>
  <c r="J43" i="56"/>
  <c r="I43" i="56"/>
  <c r="C43" i="56"/>
  <c r="C41" i="56"/>
  <c r="C40" i="56"/>
  <c r="C37" i="56"/>
  <c r="C28" i="56"/>
  <c r="C25" i="56"/>
  <c r="H24" i="56"/>
  <c r="H23" i="56"/>
  <c r="H21" i="56"/>
  <c r="H19" i="56"/>
  <c r="H17" i="56"/>
  <c r="C12" i="56"/>
  <c r="C9" i="56"/>
  <c r="C8" i="56"/>
  <c r="C47" i="55"/>
  <c r="C43" i="55"/>
  <c r="K43" i="55"/>
  <c r="J43" i="55"/>
  <c r="C41" i="55"/>
  <c r="C40" i="55"/>
  <c r="C37" i="55"/>
  <c r="C30" i="55"/>
  <c r="C28" i="55"/>
  <c r="C25" i="55"/>
  <c r="H24" i="55"/>
  <c r="H23" i="55"/>
  <c r="H21" i="55"/>
  <c r="H17" i="55"/>
  <c r="H19" i="55"/>
  <c r="T58" i="58" l="1"/>
  <c r="U58" i="58"/>
  <c r="V7" i="58"/>
  <c r="V58" i="58" s="1"/>
  <c r="J43" i="57"/>
  <c r="C12" i="55"/>
  <c r="C9" i="55"/>
  <c r="C8" i="55" l="1"/>
  <c r="C37" i="57"/>
  <c r="C41" i="57"/>
  <c r="C43" i="57"/>
  <c r="C47" i="57"/>
  <c r="K43" i="57"/>
  <c r="H23" i="57"/>
  <c r="H21" i="57"/>
  <c r="C40" i="57"/>
  <c r="C32" i="57"/>
  <c r="C28" i="57"/>
  <c r="C25" i="57"/>
  <c r="H24" i="57"/>
  <c r="H19" i="57"/>
  <c r="C12" i="57"/>
  <c r="C9" i="57"/>
  <c r="C8" i="57"/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T48" i="56"/>
  <c r="U48" i="56" s="1"/>
  <c r="V48" i="56" s="1"/>
  <c r="T47" i="56"/>
  <c r="U47" i="56" s="1"/>
  <c r="V47" i="56" s="1"/>
  <c r="T46" i="56"/>
  <c r="U46" i="56" s="1"/>
  <c r="V46" i="56" s="1"/>
  <c r="T45" i="56"/>
  <c r="U45" i="56" s="1"/>
  <c r="V45" i="56" s="1"/>
  <c r="T43" i="56"/>
  <c r="U43" i="56" s="1"/>
  <c r="V43" i="56" s="1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T12" i="56"/>
  <c r="U12" i="56" s="1"/>
  <c r="V12" i="56" s="1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T58" i="57" l="1"/>
  <c r="U7" i="57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T43" i="55"/>
  <c r="U43" i="55" s="1"/>
  <c r="V43" i="55" s="1"/>
  <c r="T41" i="55"/>
  <c r="U41" i="55" s="1"/>
  <c r="V41" i="55" s="1"/>
  <c r="T40" i="55"/>
  <c r="U40" i="55" s="1"/>
  <c r="V40" i="55" s="1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T24" i="55"/>
  <c r="U24" i="55" s="1"/>
  <c r="V24" i="55" s="1"/>
  <c r="T23" i="55"/>
  <c r="U23" i="55" s="1"/>
  <c r="V23" i="55" s="1"/>
  <c r="T22" i="55"/>
  <c r="U22" i="55" s="1"/>
  <c r="V22" i="55" s="1"/>
  <c r="T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T11" i="55"/>
  <c r="U11" i="55" s="1"/>
  <c r="V11" i="55" s="1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<sst xmlns="http://schemas.openxmlformats.org/spreadsheetml/2006/main" count="588" uniqueCount="74">
  <si>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</si>
  <si>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</si>
  <si>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</si>
  <si>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</si>
  <si>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</si>
  <si>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</si>
  <si>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</si>
  <si>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</si>
  <si>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</si>
  <si>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</si>
  <si>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</si>
  <si>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</si>
  <si>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</si>
  <si>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</si>
  <si>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</si>
  <si>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</si>
  <si>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</si>
  <si>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</si>
  <si>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</si>
  <si>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</si>
  <si>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</si>
  <si>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</si>
  <si>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</si>
  <si>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</si>
  <si>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</si>
  <si>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</si>
  <si>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</si>
  <si>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</si>
  <si>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</si>
  <si>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</si>
  <si>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</si>
  <si>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</si>
  <si>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</si>
  <si>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</si>
  <si>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</si>
  <si>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</si>
  <si>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</si>
  <si>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</si>
  <si>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</si>
  <si>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</si>
  <si>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</si>
  <si>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</si>
  <si>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</si>
  <si>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</si>
  <si>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</si>
  <si>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</si>
  <si>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</si>
  <si>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</si>
  <si>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</si>
  <si>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</si>
  <si>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</si>
  <si>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</si>
  <si>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</si>
  <si>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</si>
  <si>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</si>
  <si>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</si>
  <si>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</si>
  <si>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</si>
  <si>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</si>
  <si>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</si>
  <si>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</si>
  <si>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</si>
  <si>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</si>
  <si>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</si>
  <si>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</si>
  <si>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</si>
  <si>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</si>
  <si>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</si>
  <si>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</si>
  <si>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</si>
  <si>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</si>
  <si>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06/01/2026</t>
  </si>
  <si>
    <t>DATE: 06/02/2026</t>
  </si>
  <si>
    <t>DATE: 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</si>
</sst>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0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2" t="s">
        <v>68</v>
      </c>
      <c r="U4" s="114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3" t="s">
        <v>65</v>
      </c>
      <c r="K5" s="104"/>
      <c r="M5" s="37"/>
      <c r="N5" s="49"/>
      <c r="O5" s="40"/>
      <c r="P5" s="89"/>
      <c r="Q5" s="89"/>
      <c r="R5" s="38"/>
      <c r="S5" s="9"/>
      <c r="T5" s="113"/>
      <c r="U5" s="115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5" t="s">
        <v>41</v>
      </c>
      <c r="D62" s="106"/>
      <c r="E62" s="106"/>
      <c r="F62" s="106"/>
      <c r="G62" s="106"/>
      <c r="H62" s="106"/>
      <c r="I62" s="106"/>
      <c r="J62" s="106"/>
      <c r="K62" s="107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H23" sqref="H2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7"/>
      <c r="Q5" s="97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>
        <v>22</v>
      </c>
      <c r="O7" s="52">
        <v>1</v>
      </c>
      <c r="P7" s="53"/>
      <c r="Q7" s="53">
        <v>1</v>
      </c>
      <c r="R7" s="54"/>
      <c r="S7" s="55"/>
      <c r="T7" s="58">
        <f>H7+I7+J7+K7+N7+P7+R7</f>
        <v>31</v>
      </c>
      <c r="U7" s="58">
        <f>C7*24+M7*24+O7*24+Q7*24+T7</f>
        <v>847</v>
      </c>
      <c r="V7" s="58">
        <f>U7/24</f>
        <v>35.291666666666664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30+3+63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145+4</f>
        <v>149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3648</v>
      </c>
      <c r="V9" s="76">
        <f t="shared" ref="V9:V11" si="3">U9/24</f>
        <v>152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250+504+1440+576+5+360</f>
        <v>3135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/>
      <c r="O12" s="65">
        <v>12</v>
      </c>
      <c r="P12" s="66"/>
      <c r="Q12" s="66">
        <v>15</v>
      </c>
      <c r="R12" s="67"/>
      <c r="S12" s="62"/>
      <c r="T12" s="69">
        <f t="shared" si="0"/>
        <v>0</v>
      </c>
      <c r="U12" s="69">
        <f>C12*24+M12*24+O12*24+Q12*24+T12</f>
        <v>76320</v>
      </c>
      <c r="V12" s="69">
        <f>U12/24</f>
        <v>3180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3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1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3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6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v>1</v>
      </c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6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64+63+21</f>
        <v>148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64+45</f>
        <v>109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10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2976</v>
      </c>
      <c r="V28" s="75">
        <f t="shared" si="5"/>
        <v>124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62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f>5+1</f>
        <v>6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8</v>
      </c>
      <c r="R34" s="72"/>
      <c r="S34" s="55"/>
      <c r="T34" s="58">
        <f t="shared" si="0"/>
        <v>14</v>
      </c>
      <c r="U34" s="75">
        <f t="shared" si="4"/>
        <v>2174</v>
      </c>
      <c r="V34" s="75">
        <f t="shared" si="5"/>
        <v>90.583333333333329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1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540+324+3564+99</f>
        <v>4527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13</v>
      </c>
      <c r="N37" s="64">
        <v>1</v>
      </c>
      <c r="O37" s="65">
        <v>40</v>
      </c>
      <c r="P37" s="66"/>
      <c r="Q37" s="66">
        <v>28</v>
      </c>
      <c r="R37" s="67"/>
      <c r="S37" s="62"/>
      <c r="T37" s="77">
        <f t="shared" si="0"/>
        <v>8</v>
      </c>
      <c r="U37" s="77">
        <f>C37*6+M37*6+O37*6+Q37*6+T37</f>
        <v>27656</v>
      </c>
      <c r="V37" s="77">
        <f>U37/6</f>
        <v>4609.333333333333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64+28</f>
        <v>92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192+49</f>
        <v>241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3468</v>
      </c>
      <c r="V41" s="88">
        <f>U41/12</f>
        <v>289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4860+4104+4968+1836+8424+5508+3024+5832</f>
        <v>38556</v>
      </c>
      <c r="D43" s="65"/>
      <c r="E43" s="65"/>
      <c r="F43" s="65"/>
      <c r="G43" s="65"/>
      <c r="H43" s="65"/>
      <c r="I43" s="65">
        <v>7</v>
      </c>
      <c r="J43" s="66">
        <f>8*6+1</f>
        <v>49</v>
      </c>
      <c r="K43" s="67">
        <f>69*6+7</f>
        <v>421</v>
      </c>
      <c r="L43" s="62"/>
      <c r="M43" s="63">
        <v>580</v>
      </c>
      <c r="N43" s="64"/>
      <c r="O43" s="65">
        <v>363</v>
      </c>
      <c r="P43" s="66"/>
      <c r="Q43" s="66">
        <v>547</v>
      </c>
      <c r="R43" s="67"/>
      <c r="S43" s="62"/>
      <c r="T43" s="77">
        <f t="shared" ref="T43" si="6">H43+I43+J43+K43+N43+P43+R43</f>
        <v>477</v>
      </c>
      <c r="U43" s="77">
        <f>C43*6+M43*6+O43*6+Q43*6+T43</f>
        <v>240753</v>
      </c>
      <c r="V43" s="77">
        <f>U43/6</f>
        <v>40125.5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432+106+2160+74+22</f>
        <v>2794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1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10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50154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1133</v>
      </c>
      <c r="I58" s="6">
        <f t="shared" si="11"/>
        <v>19</v>
      </c>
      <c r="J58" s="6">
        <f t="shared" si="11"/>
        <v>51</v>
      </c>
      <c r="K58" s="6">
        <f t="shared" si="11"/>
        <v>457</v>
      </c>
      <c r="M58" s="5">
        <f t="shared" ref="M58:R58" si="12">SUM(M7:M57)</f>
        <v>649</v>
      </c>
      <c r="N58" s="5">
        <f t="shared" si="12"/>
        <v>23</v>
      </c>
      <c r="O58" s="5">
        <f t="shared" si="12"/>
        <v>440</v>
      </c>
      <c r="P58" s="5">
        <f t="shared" si="12"/>
        <v>28</v>
      </c>
      <c r="Q58" s="5">
        <f t="shared" si="12"/>
        <v>642</v>
      </c>
      <c r="R58" s="5">
        <f t="shared" si="12"/>
        <v>3</v>
      </c>
      <c r="S58" s="55"/>
      <c r="T58" s="4">
        <f>SUM(T7:T57)</f>
        <v>1714</v>
      </c>
      <c r="U58" s="90">
        <f>SUM(U7:U57)</f>
        <v>388558</v>
      </c>
      <c r="V58" s="4">
        <f>SUM(V7:V57)</f>
        <v>52018.666666666664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6"/>
      <c r="Q5" s="96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>
        <v>2</v>
      </c>
      <c r="N7" s="57"/>
      <c r="O7" s="52">
        <v>1</v>
      </c>
      <c r="P7" s="53"/>
      <c r="Q7" s="53">
        <v>11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30+63+3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54+90</f>
        <v>144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3576</v>
      </c>
      <c r="V9" s="76">
        <f t="shared" ref="V9:V11" si="3">U9/24</f>
        <v>149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34+144+72+504+1440+576+360</f>
        <v>3130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12</v>
      </c>
      <c r="O12" s="65">
        <v>13</v>
      </c>
      <c r="P12" s="66">
        <v>12</v>
      </c>
      <c r="Q12" s="66">
        <v>5</v>
      </c>
      <c r="R12" s="67"/>
      <c r="S12" s="62"/>
      <c r="T12" s="69">
        <f t="shared" si="0"/>
        <v>24</v>
      </c>
      <c r="U12" s="69">
        <f>C12*24+M12*24+O12*24+Q12*24+T12</f>
        <v>75840</v>
      </c>
      <c r="V12" s="69">
        <f>U12/24</f>
        <v>3160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>
        <v>1</v>
      </c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>
        <v>1</v>
      </c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>
        <v>1</v>
      </c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>
        <v>1</v>
      </c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>
        <v>1</v>
      </c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>
        <v>1</v>
      </c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1</v>
      </c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63+63+21</f>
        <v>147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2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63+34</f>
        <v>97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2640</v>
      </c>
      <c r="V28" s="75">
        <f t="shared" si="5"/>
        <v>110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10</v>
      </c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f>10+3</f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2</v>
      </c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1910</v>
      </c>
      <c r="V34" s="75">
        <f t="shared" si="5"/>
        <v>79.583333333333329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>
        <v>1</v>
      </c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540+3456+64+324</f>
        <v>4384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20</v>
      </c>
      <c r="N37" s="64"/>
      <c r="O37" s="65">
        <v>24</v>
      </c>
      <c r="P37" s="66"/>
      <c r="Q37" s="66">
        <v>102</v>
      </c>
      <c r="R37" s="67"/>
      <c r="S37" s="62"/>
      <c r="T37" s="77">
        <f t="shared" si="0"/>
        <v>7</v>
      </c>
      <c r="U37" s="77">
        <f>C37*6+M37*6+O37*6+Q37*6+T37</f>
        <v>27187</v>
      </c>
      <c r="V37" s="77">
        <f>U37/6</f>
        <v>4531.166666666667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63+28</f>
        <v>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192+39</f>
        <v>231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3204</v>
      </c>
      <c r="V41" s="88">
        <f>U41/12</f>
        <v>267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7776+4212+3024+8424+5508+3024+5832</f>
        <v>37800</v>
      </c>
      <c r="D43" s="65"/>
      <c r="E43" s="65"/>
      <c r="F43" s="65"/>
      <c r="G43" s="65"/>
      <c r="H43" s="65"/>
      <c r="I43" s="65">
        <v>7</v>
      </c>
      <c r="J43" s="66">
        <f>6*9+1</f>
        <v>55</v>
      </c>
      <c r="K43" s="67">
        <f>69*6+7</f>
        <v>421</v>
      </c>
      <c r="L43" s="62"/>
      <c r="M43" s="63">
        <v>334</v>
      </c>
      <c r="N43" s="64"/>
      <c r="O43" s="65">
        <v>411</v>
      </c>
      <c r="P43" s="66"/>
      <c r="Q43" s="66">
        <v>348</v>
      </c>
      <c r="R43" s="67"/>
      <c r="S43" s="62"/>
      <c r="T43" s="77">
        <f t="shared" ref="T43" si="6">H43+I43+J43+K43+N43+P43+R43</f>
        <v>483</v>
      </c>
      <c r="U43" s="77">
        <f>C43*6+M43*6+O43*6+Q43*6+T43</f>
        <v>233841</v>
      </c>
      <c r="V43" s="77">
        <f>U43/6</f>
        <v>38973.5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432+106+22+2160+71</f>
        <v>2791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12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>
        <v>1</v>
      </c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1181</v>
      </c>
      <c r="I58" s="6">
        <f t="shared" si="11"/>
        <v>19</v>
      </c>
      <c r="J58" s="6">
        <f t="shared" si="11"/>
        <v>65</v>
      </c>
      <c r="K58" s="6">
        <f t="shared" si="11"/>
        <v>449</v>
      </c>
      <c r="M58" s="5">
        <f t="shared" ref="M58:R58" si="12">SUM(M7:M57)</f>
        <v>383</v>
      </c>
      <c r="N58" s="5">
        <f t="shared" si="12"/>
        <v>12</v>
      </c>
      <c r="O58" s="5">
        <f t="shared" si="12"/>
        <v>466</v>
      </c>
      <c r="P58" s="5">
        <f t="shared" si="12"/>
        <v>40</v>
      </c>
      <c r="Q58" s="5">
        <f t="shared" si="12"/>
        <v>560</v>
      </c>
      <c r="R58" s="5">
        <f t="shared" si="12"/>
        <v>3</v>
      </c>
      <c r="S58" s="55"/>
      <c r="T58" s="4">
        <f>SUM(T7:T57)</f>
        <v>1769</v>
      </c>
      <c r="U58" s="90">
        <f>SUM(U7:U57)</f>
        <v>379667</v>
      </c>
      <c r="V58" s="4">
        <f>SUM(V7:V57)</f>
        <v>50714.583333333336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topLeftCell="A40" zoomScaleNormal="100" zoomScaleSheetLayoutView="115" workbookViewId="0">
      <selection activeCell="Q67" sqref="Q6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7"/>
      <c r="Q5" s="97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90+53</f>
        <v>143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3456</v>
      </c>
      <c r="V9" s="76">
        <f t="shared" ref="V9:V11" si="3">U9/24</f>
        <v>144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792</v>
      </c>
      <c r="V10" s="58">
        <f t="shared" si="3"/>
        <v>33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720+34+288+576+47+1440</f>
        <v>3105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10</v>
      </c>
      <c r="P12" s="66">
        <v>12</v>
      </c>
      <c r="Q12" s="66">
        <v>4</v>
      </c>
      <c r="R12" s="67"/>
      <c r="S12" s="62"/>
      <c r="T12" s="69">
        <f t="shared" si="0"/>
        <v>12</v>
      </c>
      <c r="U12" s="69">
        <f>C12*24+M12*24+O12*24+Q12*24+T12</f>
        <v>75492</v>
      </c>
      <c r="V12" s="69">
        <f>U12/24</f>
        <v>3145.5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126+19</f>
        <v>145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3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31+63</f>
        <v>94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2400</v>
      </c>
      <c r="V28" s="75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3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1862</v>
      </c>
      <c r="V34" s="75">
        <f t="shared" si="5"/>
        <v>77.583333333333329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864+3456+54</f>
        <v>4374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19</v>
      </c>
      <c r="N37" s="64"/>
      <c r="O37" s="65">
        <v>23</v>
      </c>
      <c r="P37" s="66"/>
      <c r="Q37" s="66">
        <v>28</v>
      </c>
      <c r="R37" s="67"/>
      <c r="S37" s="62"/>
      <c r="T37" s="77">
        <f t="shared" si="0"/>
        <v>7</v>
      </c>
      <c r="U37" s="77">
        <f>C37*6+M37*6+O37*6+Q37*6+T37</f>
        <v>26671</v>
      </c>
      <c r="V37" s="77">
        <f>U37/6</f>
        <v>4445.166666666667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63+26</f>
        <v>89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3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2264</v>
      </c>
      <c r="V40" s="77">
        <f>U40/24</f>
        <v>94.333333333333329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192+34</f>
        <v>226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13</v>
      </c>
      <c r="N41" s="87"/>
      <c r="O41" s="82">
        <v>6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2940</v>
      </c>
      <c r="V41" s="88">
        <f>U41/12</f>
        <v>245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7776+3456+3024+8424+5508+3024+5832</f>
        <v>37044</v>
      </c>
      <c r="D43" s="65"/>
      <c r="E43" s="65"/>
      <c r="F43" s="65"/>
      <c r="G43" s="65"/>
      <c r="H43" s="65"/>
      <c r="I43" s="65">
        <f>7</f>
        <v>7</v>
      </c>
      <c r="J43" s="66">
        <f>6*9+1</f>
        <v>55</v>
      </c>
      <c r="K43" s="67">
        <f>69*6+7</f>
        <v>421</v>
      </c>
      <c r="L43" s="62"/>
      <c r="M43" s="63">
        <v>469</v>
      </c>
      <c r="N43" s="64"/>
      <c r="O43" s="65">
        <v>398</v>
      </c>
      <c r="P43" s="66"/>
      <c r="Q43" s="66">
        <v>2</v>
      </c>
      <c r="R43" s="67"/>
      <c r="S43" s="62"/>
      <c r="T43" s="77">
        <f t="shared" ref="T43" si="6">H43+I43+J43+K43+N43+P43+R43</f>
        <v>483</v>
      </c>
      <c r="U43" s="77">
        <f>C43*6+M43*6+O43*6+Q43*6+T43</f>
        <v>227961</v>
      </c>
      <c r="V43" s="77">
        <f>U43/6</f>
        <v>37993.5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8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16801</v>
      </c>
      <c r="V47" s="77">
        <f>U47/6</f>
        <v>2800.1666666666665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48350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1185</v>
      </c>
      <c r="I58" s="6">
        <f t="shared" si="11"/>
        <v>38</v>
      </c>
      <c r="J58" s="6">
        <f t="shared" si="11"/>
        <v>58</v>
      </c>
      <c r="K58" s="6">
        <f t="shared" si="11"/>
        <v>457</v>
      </c>
      <c r="M58" s="5">
        <f t="shared" ref="M58:R58" si="12">SUM(M7:M57)</f>
        <v>554</v>
      </c>
      <c r="N58" s="5">
        <f t="shared" si="12"/>
        <v>0</v>
      </c>
      <c r="O58" s="5">
        <f t="shared" si="12"/>
        <v>449</v>
      </c>
      <c r="P58" s="5">
        <f t="shared" si="12"/>
        <v>40</v>
      </c>
      <c r="Q58" s="5">
        <f t="shared" si="12"/>
        <v>46</v>
      </c>
      <c r="R58" s="5">
        <f t="shared" si="12"/>
        <v>3</v>
      </c>
      <c r="S58" s="55"/>
      <c r="T58" s="4">
        <f>SUM(T7:T57)</f>
        <v>1781</v>
      </c>
      <c r="U58" s="90">
        <f>SUM(U7:U57)</f>
        <v>371015</v>
      </c>
      <c r="V58" s="4">
        <f>SUM(V7:V57)</f>
        <v>49536.083333333336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B8CD2-395D-43D6-BA4D-0BFC9B6269E5}">
  <sheetPr>
    <pageSetUpPr fitToPage="1"/>
  </sheetPr>
  <dimension ref="A1:BB81"/>
  <sheetViews>
    <sheetView topLeftCell="A34" zoomScaleNormal="100" zoomScaleSheetLayoutView="115" workbookViewId="0">
      <selection activeCell="AC54" sqref="A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8"/>
      <c r="Q5" s="98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3432</v>
      </c>
      <c r="V9" s="76">
        <f t="shared" ref="V9:V11" si="3">U9/24</f>
        <v>143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7</v>
      </c>
      <c r="R10" s="72"/>
      <c r="S10" s="55"/>
      <c r="T10" s="58">
        <f t="shared" si="0"/>
        <v>0</v>
      </c>
      <c r="U10" s="58">
        <f t="shared" si="2"/>
        <v>768</v>
      </c>
      <c r="V10" s="58">
        <f t="shared" si="3"/>
        <v>32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720+34+1440+288+576+19</f>
        <v>3077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10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75168</v>
      </c>
      <c r="V12" s="69">
        <f>U12/24</f>
        <v>3132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126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3529</v>
      </c>
      <c r="V25" s="75">
        <f t="shared" si="5"/>
        <v>147.04166666666666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27</v>
      </c>
      <c r="N28" s="74"/>
      <c r="O28" s="70">
        <v>2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2352</v>
      </c>
      <c r="V28" s="75">
        <f t="shared" si="5"/>
        <v>98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864+3240+44</f>
        <v>4148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127</v>
      </c>
      <c r="N37" s="64"/>
      <c r="O37" s="65">
        <v>23</v>
      </c>
      <c r="P37" s="66"/>
      <c r="Q37" s="66">
        <v>136</v>
      </c>
      <c r="R37" s="67"/>
      <c r="S37" s="62"/>
      <c r="T37" s="77">
        <f t="shared" si="0"/>
        <v>7</v>
      </c>
      <c r="U37" s="77">
        <f>C37*6+M37*6+O37*6+Q37*6+T37</f>
        <v>26611</v>
      </c>
      <c r="V37" s="77">
        <f>U37/6</f>
        <v>4435.166666666667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63+24</f>
        <v>87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2240</v>
      </c>
      <c r="V40" s="77">
        <f>U40/24</f>
        <v>93.333333333333329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96+60</f>
        <v>156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58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2880</v>
      </c>
      <c r="V41" s="88">
        <f>U41/12</f>
        <v>240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7776+2484+72+3024+8424+5508+3024+5832</f>
        <v>36144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399</v>
      </c>
      <c r="N43" s="64"/>
      <c r="O43" s="65">
        <v>387</v>
      </c>
      <c r="P43" s="66"/>
      <c r="Q43" s="66">
        <v>541</v>
      </c>
      <c r="R43" s="67"/>
      <c r="S43" s="62"/>
      <c r="T43" s="77">
        <f t="shared" ref="T43" si="6">H43+I43+J43+K43+N43+P43+R43</f>
        <v>489</v>
      </c>
      <c r="U43" s="77">
        <f>C43*6+M43*6+O43*6+Q43*6+T43</f>
        <v>225315</v>
      </c>
      <c r="V43" s="77">
        <f>U43/6</f>
        <v>37552.5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16789</v>
      </c>
      <c r="V47" s="77">
        <f>U47/6</f>
        <v>2798.1666666666665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47046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38</v>
      </c>
      <c r="J58" s="6">
        <f t="shared" si="11"/>
        <v>65</v>
      </c>
      <c r="K58" s="6">
        <f t="shared" si="11"/>
        <v>457</v>
      </c>
      <c r="M58" s="5">
        <f t="shared" ref="M58:R58" si="12">SUM(M7:M57)</f>
        <v>645</v>
      </c>
      <c r="N58" s="5">
        <f t="shared" si="12"/>
        <v>0</v>
      </c>
      <c r="O58" s="5">
        <f t="shared" si="12"/>
        <v>441</v>
      </c>
      <c r="P58" s="5">
        <f t="shared" si="12"/>
        <v>28</v>
      </c>
      <c r="Q58" s="5">
        <f t="shared" si="12"/>
        <v>785</v>
      </c>
      <c r="R58" s="5">
        <f t="shared" si="12"/>
        <v>3</v>
      </c>
      <c r="S58" s="55"/>
      <c r="T58" s="4">
        <f>SUM(T7:T57)</f>
        <v>1775</v>
      </c>
      <c r="U58" s="90">
        <f>SUM(U7:U57)</f>
        <v>367673</v>
      </c>
      <c r="V58" s="4">
        <f>SUM(V7:V57)</f>
        <v>49054.583333333336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73CE5-2315-4869-BE9F-BD6543F78682}">
  <sheetPr>
    <pageSetUpPr fitToPage="1"/>
  </sheetPr>
  <dimension ref="A1:BB81"/>
  <sheetViews>
    <sheetView topLeftCell="A31" zoomScaleNormal="100" zoomScaleSheetLayoutView="115" workbookViewId="0">
      <selection activeCell="AC52" sqref="AC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9"/>
      <c r="Q5" s="99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</f>
        <v>3058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9</v>
      </c>
      <c r="P12" s="66"/>
      <c r="Q12" s="66">
        <v>19</v>
      </c>
      <c r="R12" s="67"/>
      <c r="S12" s="62"/>
      <c r="T12" s="69">
        <f t="shared" si="0"/>
        <v>12</v>
      </c>
      <c r="U12" s="69">
        <f>C12*24+M12*24+O12*24+Q12*24+T12</f>
        <v>74172</v>
      </c>
      <c r="V12" s="69">
        <f>U12/24</f>
        <v>3090.5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63+61</f>
        <v>124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3049</v>
      </c>
      <c r="V25" s="75">
        <f t="shared" si="5"/>
        <v>127.04166666666667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1248</v>
      </c>
      <c r="V28" s="75">
        <f t="shared" si="5"/>
        <v>52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864+3132+68</f>
        <v>4064</v>
      </c>
      <c r="D37" s="59"/>
      <c r="E37" s="59"/>
      <c r="F37" s="59"/>
      <c r="G37" s="59"/>
      <c r="H37" s="59">
        <v>2</v>
      </c>
      <c r="I37" s="59"/>
      <c r="J37" s="60">
        <v>2</v>
      </c>
      <c r="K37" s="61">
        <v>3</v>
      </c>
      <c r="L37" s="62"/>
      <c r="M37" s="63">
        <v>10</v>
      </c>
      <c r="N37" s="64"/>
      <c r="O37" s="65">
        <v>30</v>
      </c>
      <c r="P37" s="66"/>
      <c r="Q37" s="66">
        <v>55</v>
      </c>
      <c r="R37" s="67"/>
      <c r="S37" s="62"/>
      <c r="T37" s="77">
        <f t="shared" si="0"/>
        <v>7</v>
      </c>
      <c r="U37" s="77">
        <f>C37*6+M37*6+O37*6+Q37*6+T37</f>
        <v>24961</v>
      </c>
      <c r="V37" s="77">
        <f>U37/6</f>
        <v>4160.166666666667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96+40</f>
        <v>136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5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2028</v>
      </c>
      <c r="V41" s="88">
        <f>U41/12</f>
        <v>169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7776+1836+3024+8424+5508+3024+5832</f>
        <v>35424</v>
      </c>
      <c r="D43" s="65"/>
      <c r="E43" s="65"/>
      <c r="F43" s="65"/>
      <c r="G43" s="65"/>
      <c r="H43" s="65">
        <v>7</v>
      </c>
      <c r="I43" s="65">
        <f>10*6+1</f>
        <v>61</v>
      </c>
      <c r="J43" s="66">
        <f>69*6+7</f>
        <v>421</v>
      </c>
      <c r="K43" s="67"/>
      <c r="L43" s="62"/>
      <c r="M43" s="63">
        <v>29</v>
      </c>
      <c r="N43" s="64"/>
      <c r="O43" s="65">
        <v>378</v>
      </c>
      <c r="P43" s="66"/>
      <c r="Q43" s="66">
        <v>434</v>
      </c>
      <c r="R43" s="67"/>
      <c r="S43" s="62"/>
      <c r="T43" s="77">
        <f t="shared" ref="T43" si="6">H43+I43+J43+K43+N43+P43+R43</f>
        <v>489</v>
      </c>
      <c r="U43" s="77">
        <f>C43*6+M43*6+O43*6+Q43*6+T43</f>
        <v>218079</v>
      </c>
      <c r="V43" s="77">
        <f>U43/6</f>
        <v>36346.5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14+432+106+71+2160</f>
        <v>2783</v>
      </c>
      <c r="D47" s="65"/>
      <c r="E47" s="65"/>
      <c r="F47" s="65"/>
      <c r="G47" s="65"/>
      <c r="H47" s="65">
        <v>1</v>
      </c>
      <c r="I47" s="65">
        <v>1</v>
      </c>
      <c r="J47" s="66"/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46132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92</v>
      </c>
      <c r="J58" s="6">
        <f t="shared" si="11"/>
        <v>423</v>
      </c>
      <c r="K58" s="6">
        <f t="shared" si="11"/>
        <v>36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433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1787</v>
      </c>
      <c r="U58" s="90">
        <f>SUM(U7:U57)</f>
        <v>353441</v>
      </c>
      <c r="V58" s="4">
        <f>SUM(V7:V57)</f>
        <v>47313.083333333328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DA74C-20E5-4035-B6CA-2758DFD4669B}">
  <sheetPr>
    <pageSetUpPr fitToPage="1"/>
  </sheetPr>
  <dimension ref="A1:BB81"/>
  <sheetViews>
    <sheetView tabSelected="1" topLeftCell="A34" zoomScaleNormal="100" zoomScaleSheetLayoutView="115" workbookViewId="0">
      <selection activeCell="AB58" sqref="AB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100"/>
      <c r="Q5" s="100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16+7</f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720+34+1440+216+576+47</f>
        <v>3033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15</v>
      </c>
      <c r="P12" s="66"/>
      <c r="Q12" s="66">
        <v>20</v>
      </c>
      <c r="R12" s="67">
        <v>12</v>
      </c>
      <c r="S12" s="62"/>
      <c r="T12" s="69">
        <f t="shared" si="0"/>
        <v>24</v>
      </c>
      <c r="U12" s="69">
        <f>C12*24+M12*24+O12*24+Q12*24+T12</f>
        <v>73752</v>
      </c>
      <c r="V12" s="69">
        <f>U12/24</f>
        <v>3073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3001</v>
      </c>
      <c r="V25" s="75">
        <f t="shared" si="5"/>
        <v>125.04166666666667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1152</v>
      </c>
      <c r="V28" s="75">
        <f t="shared" si="5"/>
        <v>48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65+1</f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864+3024+82</f>
        <v>3970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10</v>
      </c>
      <c r="N37" s="64"/>
      <c r="O37" s="65">
        <v>50</v>
      </c>
      <c r="P37" s="66"/>
      <c r="Q37" s="66">
        <v>77</v>
      </c>
      <c r="R37" s="67"/>
      <c r="S37" s="62"/>
      <c r="T37" s="77">
        <f t="shared" si="0"/>
        <v>7</v>
      </c>
      <c r="U37" s="77">
        <f>C37*6+M37*6+O37*6+Q37*6+T37</f>
        <v>24649</v>
      </c>
      <c r="V37" s="77">
        <f>U37/6</f>
        <v>4108.166666666667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96+17</f>
        <v>113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8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1740</v>
      </c>
      <c r="V41" s="88">
        <f>U41/12</f>
        <v>145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7776+864+52+3024+8424+5508+3024+5832</f>
        <v>34504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29</v>
      </c>
      <c r="N43" s="64"/>
      <c r="O43" s="65">
        <v>482</v>
      </c>
      <c r="P43" s="66"/>
      <c r="Q43" s="66">
        <v>477</v>
      </c>
      <c r="R43" s="67"/>
      <c r="S43" s="62"/>
      <c r="T43" s="77">
        <f t="shared" ref="T43" si="6">H43+I43+J43+K43+N43+P43+R43</f>
        <v>489</v>
      </c>
      <c r="U43" s="77">
        <f>C43*6+M43*6+O43*6+Q43*6+T43</f>
        <v>213441</v>
      </c>
      <c r="V43" s="77">
        <f>U43/6</f>
        <v>35573.5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45063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39</v>
      </c>
      <c r="J58" s="6">
        <f t="shared" si="11"/>
        <v>64</v>
      </c>
      <c r="K58" s="6">
        <f t="shared" si="11"/>
        <v>457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566</v>
      </c>
      <c r="P58" s="5">
        <f t="shared" si="12"/>
        <v>28</v>
      </c>
      <c r="Q58" s="5">
        <f t="shared" si="12"/>
        <v>609</v>
      </c>
      <c r="R58" s="5">
        <f t="shared" si="12"/>
        <v>15</v>
      </c>
      <c r="S58" s="55"/>
      <c r="T58" s="4">
        <f>SUM(T7:T57)</f>
        <v>1799</v>
      </c>
      <c r="U58" s="90">
        <f>SUM(U7:U57)</f>
        <v>347567</v>
      </c>
      <c r="V58" s="4">
        <f>SUM(V7:V57)</f>
        <v>46437.583333333328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SAMPLE</vt:lpstr>
      <vt:lpstr>06-01-2026</vt:lpstr>
      <vt:lpstr>06-02-2026</vt:lpstr>
      <vt:lpstr>06-03-2026</vt:lpstr>
      <vt:lpstr>06-04-2026 </vt:lpstr>
      <vt:lpstr>06-05-2026 </vt:lpstr>
      <vt:lpstr>06-08-2026 </vt:lpstr>
      <vt:lpstr>'06-01-2026'!Print_Area</vt:lpstr>
      <vt:lpstr>'06-02-2026'!Print_Area</vt:lpstr>
      <vt:lpstr>'06-03-2026'!Print_Area</vt:lpstr>
      <vt:lpstr>'06-04-2026 '!Print_Area</vt:lpstr>
      <vt:lpstr>'06-05-2026 '!Print_Area</vt:lpstr>
      <vt:lpstr>'06-08-2026 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2026-06-08T03:23:11Z</dcterms:modified>
</cp:coreProperties>
</file>