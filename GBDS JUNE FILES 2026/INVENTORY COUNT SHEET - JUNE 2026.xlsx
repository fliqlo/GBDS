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427DA506-DA77-4450-9095-085887FAF3F4}" xr6:coauthVersionLast="45" xr6:coauthVersionMax="45" xr10:uidLastSave="{00000000-0000-0000-0000-000000000000}"/>
  <bookViews>
    <workbookView xWindow="-120" yWindow="-120" windowWidth="29040" windowHeight="15840" firstSheet="9" activeTab="18" xr2:uid="{D34C963E-9680-4B45-A4EE-B681FF0CEC08}"/>
  </bookViews>
  <sheets>
    <sheet name="SAMPLE" sheetId="32" r:id="rId1"/>
    <sheet name="06-01-2026" sheetId="57" r:id="rId2"/>
    <sheet name="06-02-2026" sheetId="55" r:id="rId3"/>
    <sheet name="06-03-2026" sheetId="56" r:id="rId4"/>
    <sheet name="06-04-2026 " sheetId="58" r:id="rId5"/>
    <sheet name="06-05-2026 " sheetId="59" r:id="rId6"/>
    <sheet name="06-08-2026 " sheetId="60" r:id="rId7"/>
    <sheet name="06-09-2026" sheetId="61" r:id="rId8"/>
    <sheet name="06-10-2026" sheetId="62" r:id="rId9"/>
    <sheet name="06-11-2026" sheetId="63" r:id="rId10"/>
    <sheet name="06-12-2026" sheetId="64" r:id="rId11"/>
    <sheet name="06-15-2026 " sheetId="65" r:id="rId12"/>
    <sheet name="06-16-2026" sheetId="66" r:id="rId13"/>
    <sheet name="06-17-2026" sheetId="67" r:id="rId14"/>
    <sheet name="06-18-2026" sheetId="68" r:id="rId15"/>
    <sheet name="06-19-2026 " sheetId="69" r:id="rId16"/>
    <sheet name="06-22-2026" sheetId="70" r:id="rId17"/>
    <sheet name="06-23-2026" sheetId="71" r:id="rId18"/>
    <sheet name="06-24-2026" sheetId="72" r:id="rId19"/>
  </sheets>
  <definedNames>
    <definedName name="_xlnm.Print_Area" localSheetId="1">'06-01-2026'!$A$1:$W$59</definedName>
    <definedName name="_xlnm.Print_Area" localSheetId="2">'06-02-2026'!$A$1:$W$59</definedName>
    <definedName name="_xlnm.Print_Area" localSheetId="3">'06-03-2026'!$A$1:$W$59</definedName>
    <definedName name="_xlnm.Print_Area" localSheetId="4">'06-04-2026 '!$A$1:$W$59</definedName>
    <definedName name="_xlnm.Print_Area" localSheetId="5">'06-05-2026 '!$A$1:$W$59</definedName>
    <definedName name="_xlnm.Print_Area" localSheetId="6">'06-08-2026 '!$A$1:$W$59</definedName>
    <definedName name="_xlnm.Print_Area" localSheetId="7">'06-09-2026'!$A$1:$W$59</definedName>
    <definedName name="_xlnm.Print_Area" localSheetId="8">'06-10-2026'!$A$1:$W$59</definedName>
    <definedName name="_xlnm.Print_Area" localSheetId="9">'06-11-2026'!$A$1:$W$59</definedName>
    <definedName name="_xlnm.Print_Area" localSheetId="10">'06-12-2026'!$A$1:$W$59</definedName>
    <definedName name="_xlnm.Print_Area" localSheetId="11">'06-15-2026 '!$A$1:$W$59</definedName>
    <definedName name="_xlnm.Print_Area" localSheetId="12">'06-16-2026'!$A$1:$W$59</definedName>
    <definedName name="_xlnm.Print_Area" localSheetId="13">'06-17-2026'!$A$1:$W$59</definedName>
    <definedName name="_xlnm.Print_Area" localSheetId="14">'06-18-2026'!$A$1:$W$59</definedName>
    <definedName name="_xlnm.Print_Area" localSheetId="15">'06-19-2026 '!$A$1:$W$59</definedName>
    <definedName name="_xlnm.Print_Area" localSheetId="16">'06-22-2026'!$A$1:$W$59</definedName>
    <definedName name="_xlnm.Print_Area" localSheetId="17">'06-23-2026'!$A$1:$W$59</definedName>
    <definedName name="_xlnm.Print_Area" localSheetId="18">'06-24-2026'!$A$1:$W$59</definedName>
    <definedName name="_xlnm.Print_Area" localSheetId="0">SAMPLE!$A$1:$W$85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7" i="72" l="1"/>
  <c r="K43" i="72"/>
  <c r="K58" i="72" s="1"/>
  <c r="J43" i="72"/>
  <c r="J58" i="72" s="1"/>
  <c r="C43" i="72"/>
  <c r="C41" i="72"/>
  <c r="U41" i="72" s="1"/>
  <c r="V41" i="72" s="1"/>
  <c r="C40" i="72"/>
  <c r="C37" i="72"/>
  <c r="C25" i="72"/>
  <c r="H24" i="72"/>
  <c r="T24" i="72" s="1"/>
  <c r="U24" i="72" s="1"/>
  <c r="V24" i="72" s="1"/>
  <c r="H23" i="72"/>
  <c r="T23" i="72" s="1"/>
  <c r="U23" i="72" s="1"/>
  <c r="V23" i="72" s="1"/>
  <c r="H21" i="72"/>
  <c r="H19" i="72"/>
  <c r="H17" i="72"/>
  <c r="C12" i="72"/>
  <c r="C8" i="72"/>
  <c r="R58" i="72"/>
  <c r="Q58" i="72"/>
  <c r="P58" i="72"/>
  <c r="O58" i="72"/>
  <c r="N58" i="72"/>
  <c r="M58" i="72"/>
  <c r="I58" i="72"/>
  <c r="G58" i="72"/>
  <c r="F58" i="72"/>
  <c r="T54" i="72"/>
  <c r="U54" i="72" s="1"/>
  <c r="V54" i="72" s="1"/>
  <c r="T53" i="72"/>
  <c r="U53" i="72" s="1"/>
  <c r="V53" i="72" s="1"/>
  <c r="T52" i="72"/>
  <c r="U52" i="72" s="1"/>
  <c r="V52" i="72" s="1"/>
  <c r="T51" i="72"/>
  <c r="U51" i="72" s="1"/>
  <c r="V51" i="72" s="1"/>
  <c r="T50" i="72"/>
  <c r="U50" i="72" s="1"/>
  <c r="V50" i="72" s="1"/>
  <c r="T49" i="72"/>
  <c r="U49" i="72" s="1"/>
  <c r="V49" i="72" s="1"/>
  <c r="T48" i="72"/>
  <c r="U48" i="72" s="1"/>
  <c r="V48" i="72" s="1"/>
  <c r="T47" i="72"/>
  <c r="U47" i="72" s="1"/>
  <c r="V47" i="72" s="1"/>
  <c r="T46" i="72"/>
  <c r="U46" i="72" s="1"/>
  <c r="V46" i="72" s="1"/>
  <c r="T45" i="72"/>
  <c r="U45" i="72" s="1"/>
  <c r="V45" i="72" s="1"/>
  <c r="T41" i="72"/>
  <c r="T40" i="72"/>
  <c r="T39" i="72"/>
  <c r="U39" i="72" s="1"/>
  <c r="V39" i="72" s="1"/>
  <c r="T38" i="72"/>
  <c r="U38" i="72" s="1"/>
  <c r="V38" i="72" s="1"/>
  <c r="T37" i="72"/>
  <c r="T36" i="72"/>
  <c r="U36" i="72" s="1"/>
  <c r="V36" i="72" s="1"/>
  <c r="T35" i="72"/>
  <c r="U35" i="72" s="1"/>
  <c r="V35" i="72" s="1"/>
  <c r="T34" i="72"/>
  <c r="U34" i="72" s="1"/>
  <c r="V34" i="72" s="1"/>
  <c r="T33" i="72"/>
  <c r="U33" i="72" s="1"/>
  <c r="V33" i="72" s="1"/>
  <c r="T32" i="72"/>
  <c r="U32" i="72" s="1"/>
  <c r="V32" i="72" s="1"/>
  <c r="T31" i="72"/>
  <c r="U31" i="72" s="1"/>
  <c r="V31" i="72" s="1"/>
  <c r="T30" i="72"/>
  <c r="U30" i="72" s="1"/>
  <c r="V30" i="72" s="1"/>
  <c r="T29" i="72"/>
  <c r="U29" i="72" s="1"/>
  <c r="V29" i="72" s="1"/>
  <c r="T28" i="72"/>
  <c r="U28" i="72" s="1"/>
  <c r="V28" i="72" s="1"/>
  <c r="T27" i="72"/>
  <c r="U27" i="72" s="1"/>
  <c r="V27" i="72" s="1"/>
  <c r="T26" i="72"/>
  <c r="U26" i="72" s="1"/>
  <c r="V26" i="72" s="1"/>
  <c r="AY25" i="72"/>
  <c r="T25" i="72"/>
  <c r="T22" i="72"/>
  <c r="U22" i="72" s="1"/>
  <c r="V22" i="72" s="1"/>
  <c r="T21" i="72"/>
  <c r="U21" i="72" s="1"/>
  <c r="V21" i="72" s="1"/>
  <c r="A21" i="72"/>
  <c r="A22" i="72" s="1"/>
  <c r="A23" i="72" s="1"/>
  <c r="A24" i="72" s="1"/>
  <c r="A25" i="72" s="1"/>
  <c r="A26" i="72" s="1"/>
  <c r="A27" i="72" s="1"/>
  <c r="A28" i="72" s="1"/>
  <c r="A29" i="72" s="1"/>
  <c r="A30" i="72" s="1"/>
  <c r="A31" i="72" s="1"/>
  <c r="A32" i="72" s="1"/>
  <c r="A33" i="72" s="1"/>
  <c r="A34" i="72" s="1"/>
  <c r="A35" i="72" s="1"/>
  <c r="A36" i="72" s="1"/>
  <c r="A37" i="72" s="1"/>
  <c r="A38" i="72" s="1"/>
  <c r="A39" i="72" s="1"/>
  <c r="A40" i="72" s="1"/>
  <c r="A41" i="72" s="1"/>
  <c r="A42" i="72" s="1"/>
  <c r="A43" i="72" s="1"/>
  <c r="A44" i="72" s="1"/>
  <c r="A45" i="72" s="1"/>
  <c r="A46" i="72" s="1"/>
  <c r="A47" i="72" s="1"/>
  <c r="A48" i="72" s="1"/>
  <c r="A49" i="72" s="1"/>
  <c r="A50" i="72" s="1"/>
  <c r="A51" i="72" s="1"/>
  <c r="A52" i="72" s="1"/>
  <c r="A53" i="72" s="1"/>
  <c r="A54" i="72" s="1"/>
  <c r="A55" i="72" s="1"/>
  <c r="A56" i="72" s="1"/>
  <c r="A57" i="72" s="1"/>
  <c r="T20" i="72"/>
  <c r="U20" i="72" s="1"/>
  <c r="V20" i="72" s="1"/>
  <c r="A20" i="72"/>
  <c r="T19" i="72"/>
  <c r="U19" i="72" s="1"/>
  <c r="V19" i="72" s="1"/>
  <c r="T18" i="72"/>
  <c r="U18" i="72" s="1"/>
  <c r="V18" i="72" s="1"/>
  <c r="T16" i="72"/>
  <c r="U16" i="72" s="1"/>
  <c r="V16" i="72" s="1"/>
  <c r="T15" i="72"/>
  <c r="U15" i="72" s="1"/>
  <c r="V15" i="72" s="1"/>
  <c r="T14" i="72"/>
  <c r="U14" i="72" s="1"/>
  <c r="V14" i="72" s="1"/>
  <c r="A14" i="72"/>
  <c r="A15" i="72" s="1"/>
  <c r="A16" i="72" s="1"/>
  <c r="A17" i="72" s="1"/>
  <c r="A18" i="72" s="1"/>
  <c r="T13" i="72"/>
  <c r="U13" i="72" s="1"/>
  <c r="V13" i="72" s="1"/>
  <c r="T12" i="72"/>
  <c r="U12" i="72" s="1"/>
  <c r="V12" i="72" s="1"/>
  <c r="T11" i="72"/>
  <c r="U11" i="72" s="1"/>
  <c r="V11" i="72" s="1"/>
  <c r="T10" i="72"/>
  <c r="U10" i="72" s="1"/>
  <c r="V10" i="72" s="1"/>
  <c r="T9" i="72"/>
  <c r="U9" i="72" s="1"/>
  <c r="V9" i="72" s="1"/>
  <c r="T8" i="72"/>
  <c r="U8" i="72" s="1"/>
  <c r="V8" i="72" s="1"/>
  <c r="A8" i="72"/>
  <c r="A9" i="72" s="1"/>
  <c r="A10" i="72" s="1"/>
  <c r="A11" i="72" s="1"/>
  <c r="T7" i="72"/>
  <c r="U7" i="72" s="1"/>
  <c r="U40" i="72" l="1"/>
  <c r="V40" i="72" s="1"/>
  <c r="U37" i="72"/>
  <c r="V37" i="72" s="1"/>
  <c r="U25" i="72"/>
  <c r="V25" i="72" s="1"/>
  <c r="H58" i="72"/>
  <c r="V7" i="72"/>
  <c r="T43" i="72"/>
  <c r="U43" i="72" s="1"/>
  <c r="V43" i="72" s="1"/>
  <c r="T17" i="72"/>
  <c r="C58" i="72"/>
  <c r="H24" i="71"/>
  <c r="T24" i="71" s="1"/>
  <c r="U24" i="71" s="1"/>
  <c r="V24" i="71" s="1"/>
  <c r="C47" i="71"/>
  <c r="K43" i="71"/>
  <c r="K58" i="71" s="1"/>
  <c r="J43" i="71"/>
  <c r="C43" i="71"/>
  <c r="C41" i="71"/>
  <c r="C40" i="71"/>
  <c r="C37" i="71"/>
  <c r="C25" i="71"/>
  <c r="H23" i="71"/>
  <c r="H21" i="71"/>
  <c r="T21" i="71" s="1"/>
  <c r="U21" i="71" s="1"/>
  <c r="V21" i="71" s="1"/>
  <c r="H19" i="71"/>
  <c r="T19" i="71" s="1"/>
  <c r="U19" i="71" s="1"/>
  <c r="V19" i="71" s="1"/>
  <c r="H17" i="71"/>
  <c r="T17" i="71" s="1"/>
  <c r="U17" i="71" s="1"/>
  <c r="V17" i="71" s="1"/>
  <c r="T15" i="71"/>
  <c r="U15" i="71" s="1"/>
  <c r="V15" i="71" s="1"/>
  <c r="C12" i="71"/>
  <c r="C8" i="71"/>
  <c r="R58" i="71"/>
  <c r="Q58" i="71"/>
  <c r="P58" i="71"/>
  <c r="O58" i="71"/>
  <c r="N58" i="71"/>
  <c r="M58" i="71"/>
  <c r="J58" i="71"/>
  <c r="I58" i="71"/>
  <c r="G58" i="71"/>
  <c r="F58" i="71"/>
  <c r="V54" i="71"/>
  <c r="U54" i="71"/>
  <c r="T54" i="71"/>
  <c r="T53" i="71"/>
  <c r="U53" i="71" s="1"/>
  <c r="V53" i="71" s="1"/>
  <c r="U52" i="71"/>
  <c r="V52" i="71" s="1"/>
  <c r="T52" i="71"/>
  <c r="U51" i="71"/>
  <c r="V51" i="71" s="1"/>
  <c r="T51" i="71"/>
  <c r="T50" i="71"/>
  <c r="U50" i="71" s="1"/>
  <c r="V50" i="71" s="1"/>
  <c r="T49" i="71"/>
  <c r="U49" i="71" s="1"/>
  <c r="V49" i="71" s="1"/>
  <c r="T48" i="71"/>
  <c r="U48" i="71" s="1"/>
  <c r="V48" i="71" s="1"/>
  <c r="T47" i="71"/>
  <c r="T46" i="71"/>
  <c r="U46" i="71" s="1"/>
  <c r="V46" i="71" s="1"/>
  <c r="T45" i="71"/>
  <c r="U45" i="71" s="1"/>
  <c r="V45" i="71" s="1"/>
  <c r="T41" i="71"/>
  <c r="U41" i="71"/>
  <c r="V41" i="71" s="1"/>
  <c r="T40" i="71"/>
  <c r="U40" i="71" s="1"/>
  <c r="V40" i="71" s="1"/>
  <c r="U39" i="71"/>
  <c r="V39" i="71" s="1"/>
  <c r="T39" i="71"/>
  <c r="T38" i="71"/>
  <c r="U38" i="71" s="1"/>
  <c r="V38" i="71" s="1"/>
  <c r="T37" i="71"/>
  <c r="T36" i="71"/>
  <c r="U36" i="71" s="1"/>
  <c r="V36" i="71" s="1"/>
  <c r="T35" i="71"/>
  <c r="U35" i="71" s="1"/>
  <c r="V35" i="71" s="1"/>
  <c r="T34" i="71"/>
  <c r="U34" i="71" s="1"/>
  <c r="V34" i="71" s="1"/>
  <c r="T33" i="71"/>
  <c r="U33" i="71" s="1"/>
  <c r="V33" i="71" s="1"/>
  <c r="T32" i="71"/>
  <c r="U32" i="71" s="1"/>
  <c r="V32" i="71" s="1"/>
  <c r="T31" i="71"/>
  <c r="U31" i="71" s="1"/>
  <c r="V31" i="71" s="1"/>
  <c r="U30" i="71"/>
  <c r="V30" i="71" s="1"/>
  <c r="T30" i="71"/>
  <c r="T29" i="71"/>
  <c r="U29" i="71" s="1"/>
  <c r="V29" i="71" s="1"/>
  <c r="T28" i="71"/>
  <c r="U28" i="71" s="1"/>
  <c r="V28" i="71" s="1"/>
  <c r="T27" i="71"/>
  <c r="U27" i="71" s="1"/>
  <c r="V27" i="71" s="1"/>
  <c r="T26" i="71"/>
  <c r="U26" i="71" s="1"/>
  <c r="V26" i="71" s="1"/>
  <c r="AY25" i="71"/>
  <c r="T25" i="71"/>
  <c r="U25" i="71" s="1"/>
  <c r="V25" i="71" s="1"/>
  <c r="T23" i="71"/>
  <c r="U23" i="71" s="1"/>
  <c r="V23" i="71" s="1"/>
  <c r="T22" i="71"/>
  <c r="U22" i="71" s="1"/>
  <c r="V22" i="71" s="1"/>
  <c r="T20" i="71"/>
  <c r="U20" i="71" s="1"/>
  <c r="V20" i="71" s="1"/>
  <c r="A20" i="71"/>
  <c r="A21" i="71" s="1"/>
  <c r="A22" i="71" s="1"/>
  <c r="A23" i="71" s="1"/>
  <c r="A24" i="71" s="1"/>
  <c r="A25" i="71" s="1"/>
  <c r="A26" i="71" s="1"/>
  <c r="A27" i="71" s="1"/>
  <c r="A28" i="71" s="1"/>
  <c r="A29" i="71" s="1"/>
  <c r="A30" i="71" s="1"/>
  <c r="A31" i="71" s="1"/>
  <c r="A32" i="71" s="1"/>
  <c r="A33" i="71" s="1"/>
  <c r="A34" i="71" s="1"/>
  <c r="A35" i="71" s="1"/>
  <c r="A36" i="71" s="1"/>
  <c r="A37" i="71" s="1"/>
  <c r="A38" i="71" s="1"/>
  <c r="A39" i="71" s="1"/>
  <c r="A40" i="71" s="1"/>
  <c r="A41" i="71" s="1"/>
  <c r="A42" i="71" s="1"/>
  <c r="A43" i="71" s="1"/>
  <c r="A44" i="71" s="1"/>
  <c r="A45" i="71" s="1"/>
  <c r="A46" i="71" s="1"/>
  <c r="A47" i="71" s="1"/>
  <c r="A48" i="71" s="1"/>
  <c r="A49" i="71" s="1"/>
  <c r="A50" i="71" s="1"/>
  <c r="A51" i="71" s="1"/>
  <c r="A52" i="71" s="1"/>
  <c r="A53" i="71" s="1"/>
  <c r="A54" i="71" s="1"/>
  <c r="A55" i="71" s="1"/>
  <c r="A56" i="71" s="1"/>
  <c r="A57" i="71" s="1"/>
  <c r="T18" i="71"/>
  <c r="U18" i="71" s="1"/>
  <c r="V18" i="71" s="1"/>
  <c r="T16" i="71"/>
  <c r="U16" i="71" s="1"/>
  <c r="V16" i="71" s="1"/>
  <c r="T14" i="71"/>
  <c r="U14" i="71" s="1"/>
  <c r="V14" i="71" s="1"/>
  <c r="A14" i="71"/>
  <c r="A15" i="71" s="1"/>
  <c r="A16" i="71" s="1"/>
  <c r="A17" i="71" s="1"/>
  <c r="A18" i="71" s="1"/>
  <c r="T13" i="71"/>
  <c r="U13" i="71" s="1"/>
  <c r="V13" i="71" s="1"/>
  <c r="T12" i="71"/>
  <c r="U12" i="71" s="1"/>
  <c r="V12" i="71" s="1"/>
  <c r="T11" i="71"/>
  <c r="U11" i="71" s="1"/>
  <c r="V11" i="71" s="1"/>
  <c r="T10" i="71"/>
  <c r="U10" i="71" s="1"/>
  <c r="V10" i="71" s="1"/>
  <c r="T9" i="71"/>
  <c r="U9" i="71" s="1"/>
  <c r="V9" i="71" s="1"/>
  <c r="A9" i="71"/>
  <c r="A10" i="71" s="1"/>
  <c r="A11" i="71" s="1"/>
  <c r="T8" i="71"/>
  <c r="U8" i="71" s="1"/>
  <c r="V8" i="71" s="1"/>
  <c r="A8" i="71"/>
  <c r="T7" i="71"/>
  <c r="T58" i="72" l="1"/>
  <c r="U17" i="72"/>
  <c r="U47" i="71"/>
  <c r="V47" i="71" s="1"/>
  <c r="U37" i="71"/>
  <c r="V37" i="71" s="1"/>
  <c r="T43" i="71"/>
  <c r="U43" i="71" s="1"/>
  <c r="V43" i="71" s="1"/>
  <c r="H58" i="71"/>
  <c r="U7" i="71"/>
  <c r="C58" i="71"/>
  <c r="C47" i="70"/>
  <c r="K43" i="70"/>
  <c r="J43" i="70"/>
  <c r="C43" i="70"/>
  <c r="C41" i="70"/>
  <c r="C40" i="70"/>
  <c r="C37" i="70"/>
  <c r="C25" i="70"/>
  <c r="H24" i="70"/>
  <c r="T24" i="70" s="1"/>
  <c r="U24" i="70" s="1"/>
  <c r="V24" i="70" s="1"/>
  <c r="H23" i="70"/>
  <c r="H21" i="70"/>
  <c r="H19" i="70"/>
  <c r="H17" i="70"/>
  <c r="C12" i="70"/>
  <c r="C8" i="70"/>
  <c r="R58" i="70"/>
  <c r="Q58" i="70"/>
  <c r="P58" i="70"/>
  <c r="O58" i="70"/>
  <c r="N58" i="70"/>
  <c r="M58" i="70"/>
  <c r="K58" i="70"/>
  <c r="J58" i="70"/>
  <c r="I58" i="70"/>
  <c r="G58" i="70"/>
  <c r="F58" i="70"/>
  <c r="T54" i="70"/>
  <c r="U54" i="70" s="1"/>
  <c r="V54" i="70" s="1"/>
  <c r="T53" i="70"/>
  <c r="U53" i="70" s="1"/>
  <c r="V53" i="70" s="1"/>
  <c r="T52" i="70"/>
  <c r="U52" i="70" s="1"/>
  <c r="V52" i="70" s="1"/>
  <c r="T51" i="70"/>
  <c r="U51" i="70" s="1"/>
  <c r="V51" i="70" s="1"/>
  <c r="T50" i="70"/>
  <c r="U50" i="70" s="1"/>
  <c r="V50" i="70" s="1"/>
  <c r="T49" i="70"/>
  <c r="U49" i="70" s="1"/>
  <c r="V49" i="70" s="1"/>
  <c r="T48" i="70"/>
  <c r="U48" i="70" s="1"/>
  <c r="V48" i="70" s="1"/>
  <c r="T47" i="70"/>
  <c r="T46" i="70"/>
  <c r="U46" i="70" s="1"/>
  <c r="V46" i="70" s="1"/>
  <c r="T45" i="70"/>
  <c r="U45" i="70" s="1"/>
  <c r="V45" i="70" s="1"/>
  <c r="T43" i="70"/>
  <c r="U43" i="70" s="1"/>
  <c r="V43" i="70" s="1"/>
  <c r="T41" i="70"/>
  <c r="T40" i="70"/>
  <c r="U40" i="70" s="1"/>
  <c r="V40" i="70" s="1"/>
  <c r="T39" i="70"/>
  <c r="U39" i="70" s="1"/>
  <c r="V39" i="70" s="1"/>
  <c r="T38" i="70"/>
  <c r="U38" i="70" s="1"/>
  <c r="V38" i="70" s="1"/>
  <c r="T37" i="70"/>
  <c r="U37" i="70" s="1"/>
  <c r="V37" i="70" s="1"/>
  <c r="T36" i="70"/>
  <c r="U36" i="70" s="1"/>
  <c r="V36" i="70" s="1"/>
  <c r="T35" i="70"/>
  <c r="U35" i="70" s="1"/>
  <c r="V35" i="70" s="1"/>
  <c r="T34" i="70"/>
  <c r="U34" i="70" s="1"/>
  <c r="V34" i="70" s="1"/>
  <c r="T33" i="70"/>
  <c r="U33" i="70" s="1"/>
  <c r="V33" i="70" s="1"/>
  <c r="T32" i="70"/>
  <c r="U32" i="70" s="1"/>
  <c r="V32" i="70" s="1"/>
  <c r="T31" i="70"/>
  <c r="U31" i="70" s="1"/>
  <c r="V31" i="70" s="1"/>
  <c r="T30" i="70"/>
  <c r="U30" i="70" s="1"/>
  <c r="V30" i="70" s="1"/>
  <c r="T29" i="70"/>
  <c r="U29" i="70" s="1"/>
  <c r="V29" i="70" s="1"/>
  <c r="T28" i="70"/>
  <c r="U28" i="70" s="1"/>
  <c r="V28" i="70" s="1"/>
  <c r="T27" i="70"/>
  <c r="U27" i="70" s="1"/>
  <c r="V27" i="70" s="1"/>
  <c r="T26" i="70"/>
  <c r="U26" i="70" s="1"/>
  <c r="V26" i="70" s="1"/>
  <c r="AY25" i="70"/>
  <c r="T25" i="70"/>
  <c r="T23" i="70"/>
  <c r="U23" i="70" s="1"/>
  <c r="V23" i="70" s="1"/>
  <c r="T22" i="70"/>
  <c r="U22" i="70" s="1"/>
  <c r="V22" i="70" s="1"/>
  <c r="T20" i="70"/>
  <c r="U20" i="70" s="1"/>
  <c r="V20" i="70" s="1"/>
  <c r="A20" i="70"/>
  <c r="A21" i="70" s="1"/>
  <c r="A22" i="70" s="1"/>
  <c r="A23" i="70" s="1"/>
  <c r="A24" i="70" s="1"/>
  <c r="A25" i="70" s="1"/>
  <c r="A26" i="70" s="1"/>
  <c r="A27" i="70" s="1"/>
  <c r="A28" i="70" s="1"/>
  <c r="A29" i="70" s="1"/>
  <c r="A30" i="70" s="1"/>
  <c r="A31" i="70" s="1"/>
  <c r="A32" i="70" s="1"/>
  <c r="A33" i="70" s="1"/>
  <c r="A34" i="70" s="1"/>
  <c r="A35" i="70" s="1"/>
  <c r="A36" i="70" s="1"/>
  <c r="A37" i="70" s="1"/>
  <c r="A38" i="70" s="1"/>
  <c r="A39" i="70" s="1"/>
  <c r="A40" i="70" s="1"/>
  <c r="A41" i="70" s="1"/>
  <c r="A42" i="70" s="1"/>
  <c r="A43" i="70" s="1"/>
  <c r="A44" i="70" s="1"/>
  <c r="A45" i="70" s="1"/>
  <c r="A46" i="70" s="1"/>
  <c r="A47" i="70" s="1"/>
  <c r="A48" i="70" s="1"/>
  <c r="A49" i="70" s="1"/>
  <c r="A50" i="70" s="1"/>
  <c r="A51" i="70" s="1"/>
  <c r="A52" i="70" s="1"/>
  <c r="A53" i="70" s="1"/>
  <c r="A54" i="70" s="1"/>
  <c r="A55" i="70" s="1"/>
  <c r="A56" i="70" s="1"/>
  <c r="A57" i="70" s="1"/>
  <c r="T19" i="70"/>
  <c r="U19" i="70" s="1"/>
  <c r="V19" i="70" s="1"/>
  <c r="T18" i="70"/>
  <c r="U18" i="70" s="1"/>
  <c r="V18" i="70" s="1"/>
  <c r="T16" i="70"/>
  <c r="U16" i="70" s="1"/>
  <c r="V16" i="70" s="1"/>
  <c r="T15" i="70"/>
  <c r="U15" i="70" s="1"/>
  <c r="V15" i="70" s="1"/>
  <c r="T14" i="70"/>
  <c r="U14" i="70" s="1"/>
  <c r="V14" i="70" s="1"/>
  <c r="A14" i="70"/>
  <c r="A15" i="70" s="1"/>
  <c r="A16" i="70" s="1"/>
  <c r="A17" i="70" s="1"/>
  <c r="A18" i="70" s="1"/>
  <c r="T13" i="70"/>
  <c r="U13" i="70" s="1"/>
  <c r="V13" i="70" s="1"/>
  <c r="T12" i="70"/>
  <c r="U12" i="70"/>
  <c r="V12" i="70" s="1"/>
  <c r="T11" i="70"/>
  <c r="U11" i="70" s="1"/>
  <c r="V11" i="70" s="1"/>
  <c r="T10" i="70"/>
  <c r="U10" i="70" s="1"/>
  <c r="V10" i="70" s="1"/>
  <c r="T9" i="70"/>
  <c r="U9" i="70" s="1"/>
  <c r="V9" i="70" s="1"/>
  <c r="T8" i="70"/>
  <c r="U8" i="70"/>
  <c r="V8" i="70" s="1"/>
  <c r="A8" i="70"/>
  <c r="A9" i="70" s="1"/>
  <c r="A10" i="70" s="1"/>
  <c r="A11" i="70" s="1"/>
  <c r="T7" i="70"/>
  <c r="C47" i="69"/>
  <c r="K43" i="69"/>
  <c r="K58" i="69" s="1"/>
  <c r="J43" i="69"/>
  <c r="C43" i="69"/>
  <c r="C41" i="69"/>
  <c r="C40" i="69"/>
  <c r="C37" i="69"/>
  <c r="C25" i="69"/>
  <c r="H24" i="69"/>
  <c r="T24" i="69" s="1"/>
  <c r="U24" i="69" s="1"/>
  <c r="V24" i="69" s="1"/>
  <c r="H23" i="69"/>
  <c r="T23" i="69" s="1"/>
  <c r="U23" i="69" s="1"/>
  <c r="V23" i="69" s="1"/>
  <c r="H21" i="69"/>
  <c r="H19" i="69"/>
  <c r="T19" i="69" s="1"/>
  <c r="U19" i="69" s="1"/>
  <c r="V19" i="69" s="1"/>
  <c r="H17" i="69"/>
  <c r="T17" i="69" s="1"/>
  <c r="U17" i="69" s="1"/>
  <c r="V17" i="69" s="1"/>
  <c r="C12" i="69"/>
  <c r="C11" i="69"/>
  <c r="C9" i="69"/>
  <c r="U9" i="69" s="1"/>
  <c r="V9" i="69" s="1"/>
  <c r="C8" i="69"/>
  <c r="R58" i="69"/>
  <c r="Q58" i="69"/>
  <c r="P58" i="69"/>
  <c r="O58" i="69"/>
  <c r="N58" i="69"/>
  <c r="M58" i="69"/>
  <c r="I58" i="69"/>
  <c r="G58" i="69"/>
  <c r="F58" i="69"/>
  <c r="U54" i="69"/>
  <c r="V54" i="69" s="1"/>
  <c r="T54" i="69"/>
  <c r="T53" i="69"/>
  <c r="U53" i="69" s="1"/>
  <c r="V53" i="69" s="1"/>
  <c r="T52" i="69"/>
  <c r="U52" i="69" s="1"/>
  <c r="V52" i="69" s="1"/>
  <c r="T51" i="69"/>
  <c r="U51" i="69" s="1"/>
  <c r="V51" i="69" s="1"/>
  <c r="T50" i="69"/>
  <c r="U50" i="69" s="1"/>
  <c r="V50" i="69" s="1"/>
  <c r="T49" i="69"/>
  <c r="U49" i="69" s="1"/>
  <c r="V49" i="69" s="1"/>
  <c r="T48" i="69"/>
  <c r="U48" i="69" s="1"/>
  <c r="V48" i="69" s="1"/>
  <c r="T47" i="69"/>
  <c r="T46" i="69"/>
  <c r="U46" i="69" s="1"/>
  <c r="V46" i="69" s="1"/>
  <c r="T45" i="69"/>
  <c r="U45" i="69" s="1"/>
  <c r="V45" i="69" s="1"/>
  <c r="J58" i="69"/>
  <c r="T41" i="69"/>
  <c r="U41" i="69"/>
  <c r="V41" i="69" s="1"/>
  <c r="T40" i="69"/>
  <c r="T39" i="69"/>
  <c r="U39" i="69" s="1"/>
  <c r="V39" i="69" s="1"/>
  <c r="T38" i="69"/>
  <c r="U38" i="69" s="1"/>
  <c r="V38" i="69" s="1"/>
  <c r="T37" i="69"/>
  <c r="U37" i="69" s="1"/>
  <c r="V37" i="69" s="1"/>
  <c r="T36" i="69"/>
  <c r="U36" i="69" s="1"/>
  <c r="V36" i="69" s="1"/>
  <c r="T35" i="69"/>
  <c r="U35" i="69" s="1"/>
  <c r="V35" i="69" s="1"/>
  <c r="T34" i="69"/>
  <c r="U34" i="69" s="1"/>
  <c r="V34" i="69" s="1"/>
  <c r="U33" i="69"/>
  <c r="V33" i="69" s="1"/>
  <c r="T33" i="69"/>
  <c r="T32" i="69"/>
  <c r="U32" i="69" s="1"/>
  <c r="V32" i="69" s="1"/>
  <c r="T31" i="69"/>
  <c r="U31" i="69" s="1"/>
  <c r="V31" i="69" s="1"/>
  <c r="T30" i="69"/>
  <c r="U30" i="69" s="1"/>
  <c r="V30" i="69" s="1"/>
  <c r="T29" i="69"/>
  <c r="U29" i="69" s="1"/>
  <c r="V29" i="69" s="1"/>
  <c r="T28" i="69"/>
  <c r="U28" i="69" s="1"/>
  <c r="V28" i="69" s="1"/>
  <c r="T27" i="69"/>
  <c r="U27" i="69" s="1"/>
  <c r="V27" i="69" s="1"/>
  <c r="T26" i="69"/>
  <c r="U26" i="69" s="1"/>
  <c r="V26" i="69" s="1"/>
  <c r="AY25" i="69"/>
  <c r="T25" i="69"/>
  <c r="U25" i="69"/>
  <c r="V25" i="69" s="1"/>
  <c r="T22" i="69"/>
  <c r="U22" i="69" s="1"/>
  <c r="V22" i="69" s="1"/>
  <c r="A22" i="69"/>
  <c r="A23" i="69" s="1"/>
  <c r="A24" i="69" s="1"/>
  <c r="A25" i="69" s="1"/>
  <c r="A26" i="69" s="1"/>
  <c r="A27" i="69" s="1"/>
  <c r="A28" i="69" s="1"/>
  <c r="A29" i="69" s="1"/>
  <c r="A30" i="69" s="1"/>
  <c r="A31" i="69" s="1"/>
  <c r="A32" i="69" s="1"/>
  <c r="A33" i="69" s="1"/>
  <c r="A34" i="69" s="1"/>
  <c r="A35" i="69" s="1"/>
  <c r="A36" i="69" s="1"/>
  <c r="A37" i="69" s="1"/>
  <c r="A38" i="69" s="1"/>
  <c r="A39" i="69" s="1"/>
  <c r="A40" i="69" s="1"/>
  <c r="A41" i="69" s="1"/>
  <c r="A42" i="69" s="1"/>
  <c r="A43" i="69" s="1"/>
  <c r="A44" i="69" s="1"/>
  <c r="A45" i="69" s="1"/>
  <c r="A46" i="69" s="1"/>
  <c r="A47" i="69" s="1"/>
  <c r="A48" i="69" s="1"/>
  <c r="A49" i="69" s="1"/>
  <c r="A50" i="69" s="1"/>
  <c r="A51" i="69" s="1"/>
  <c r="A52" i="69" s="1"/>
  <c r="A53" i="69" s="1"/>
  <c r="A54" i="69" s="1"/>
  <c r="A55" i="69" s="1"/>
  <c r="A56" i="69" s="1"/>
  <c r="A57" i="69" s="1"/>
  <c r="T21" i="69"/>
  <c r="U21" i="69" s="1"/>
  <c r="V21" i="69" s="1"/>
  <c r="A21" i="69"/>
  <c r="T20" i="69"/>
  <c r="U20" i="69" s="1"/>
  <c r="V20" i="69" s="1"/>
  <c r="A20" i="69"/>
  <c r="T18" i="69"/>
  <c r="U18" i="69" s="1"/>
  <c r="V18" i="69" s="1"/>
  <c r="U16" i="69"/>
  <c r="V16" i="69" s="1"/>
  <c r="T16" i="69"/>
  <c r="T15" i="69"/>
  <c r="U15" i="69" s="1"/>
  <c r="V15" i="69" s="1"/>
  <c r="A15" i="69"/>
  <c r="A16" i="69" s="1"/>
  <c r="A17" i="69" s="1"/>
  <c r="A18" i="69" s="1"/>
  <c r="T14" i="69"/>
  <c r="U14" i="69" s="1"/>
  <c r="V14" i="69" s="1"/>
  <c r="A14" i="69"/>
  <c r="T13" i="69"/>
  <c r="U13" i="69" s="1"/>
  <c r="V13" i="69" s="1"/>
  <c r="T12" i="69"/>
  <c r="T11" i="69"/>
  <c r="U11" i="69" s="1"/>
  <c r="V11" i="69" s="1"/>
  <c r="T10" i="69"/>
  <c r="U10" i="69" s="1"/>
  <c r="V10" i="69" s="1"/>
  <c r="A10" i="69"/>
  <c r="A11" i="69" s="1"/>
  <c r="T9" i="69"/>
  <c r="A9" i="69"/>
  <c r="T8" i="69"/>
  <c r="A8" i="69"/>
  <c r="T7" i="69"/>
  <c r="U7" i="69" s="1"/>
  <c r="R58" i="68"/>
  <c r="Q58" i="68"/>
  <c r="P58" i="68"/>
  <c r="O58" i="68"/>
  <c r="N58" i="68"/>
  <c r="M58" i="68"/>
  <c r="K58" i="68"/>
  <c r="J58" i="68"/>
  <c r="I58" i="68"/>
  <c r="H58" i="68"/>
  <c r="C58" i="68"/>
  <c r="C47" i="68"/>
  <c r="K43" i="68"/>
  <c r="J43" i="68"/>
  <c r="C43" i="68"/>
  <c r="C41" i="68"/>
  <c r="C40" i="68"/>
  <c r="C37" i="68"/>
  <c r="C25" i="68"/>
  <c r="H24" i="68"/>
  <c r="H23" i="68"/>
  <c r="T23" i="68" s="1"/>
  <c r="U23" i="68" s="1"/>
  <c r="V23" i="68" s="1"/>
  <c r="H21" i="68"/>
  <c r="T21" i="68" s="1"/>
  <c r="U21" i="68" s="1"/>
  <c r="V21" i="68" s="1"/>
  <c r="H19" i="68"/>
  <c r="T19" i="68" s="1"/>
  <c r="U19" i="68" s="1"/>
  <c r="V19" i="68" s="1"/>
  <c r="H17" i="68"/>
  <c r="T17" i="68" s="1"/>
  <c r="U17" i="68" s="1"/>
  <c r="V17" i="68" s="1"/>
  <c r="C13" i="68"/>
  <c r="C12" i="68"/>
  <c r="C8" i="68"/>
  <c r="U54" i="68"/>
  <c r="V54" i="68" s="1"/>
  <c r="T54" i="68"/>
  <c r="T53" i="68"/>
  <c r="U53" i="68" s="1"/>
  <c r="V53" i="68" s="1"/>
  <c r="T52" i="68"/>
  <c r="U52" i="68" s="1"/>
  <c r="V52" i="68" s="1"/>
  <c r="T51" i="68"/>
  <c r="U51" i="68" s="1"/>
  <c r="V51" i="68" s="1"/>
  <c r="T50" i="68"/>
  <c r="U50" i="68" s="1"/>
  <c r="V50" i="68" s="1"/>
  <c r="T49" i="68"/>
  <c r="U49" i="68" s="1"/>
  <c r="V49" i="68" s="1"/>
  <c r="T48" i="68"/>
  <c r="U48" i="68" s="1"/>
  <c r="V48" i="68" s="1"/>
  <c r="T47" i="68"/>
  <c r="T46" i="68"/>
  <c r="U46" i="68" s="1"/>
  <c r="V46" i="68" s="1"/>
  <c r="T45" i="68"/>
  <c r="U45" i="68" s="1"/>
  <c r="V45" i="68" s="1"/>
  <c r="T41" i="68"/>
  <c r="U41" i="68"/>
  <c r="V41" i="68" s="1"/>
  <c r="T40" i="68"/>
  <c r="U40" i="68" s="1"/>
  <c r="V40" i="68" s="1"/>
  <c r="T39" i="68"/>
  <c r="U39" i="68" s="1"/>
  <c r="V39" i="68" s="1"/>
  <c r="T38" i="68"/>
  <c r="U38" i="68" s="1"/>
  <c r="V38" i="68" s="1"/>
  <c r="T37" i="68"/>
  <c r="U37" i="68" s="1"/>
  <c r="V37" i="68" s="1"/>
  <c r="T36" i="68"/>
  <c r="U36" i="68" s="1"/>
  <c r="V36" i="68" s="1"/>
  <c r="T35" i="68"/>
  <c r="U35" i="68" s="1"/>
  <c r="V35" i="68" s="1"/>
  <c r="T34" i="68"/>
  <c r="U34" i="68" s="1"/>
  <c r="V34" i="68" s="1"/>
  <c r="T33" i="68"/>
  <c r="U33" i="68" s="1"/>
  <c r="V33" i="68" s="1"/>
  <c r="T32" i="68"/>
  <c r="U32" i="68" s="1"/>
  <c r="V32" i="68" s="1"/>
  <c r="T31" i="68"/>
  <c r="U31" i="68" s="1"/>
  <c r="V31" i="68" s="1"/>
  <c r="U30" i="68"/>
  <c r="V30" i="68" s="1"/>
  <c r="T30" i="68"/>
  <c r="T29" i="68"/>
  <c r="U29" i="68" s="1"/>
  <c r="V29" i="68" s="1"/>
  <c r="T28" i="68"/>
  <c r="U28" i="68" s="1"/>
  <c r="V28" i="68" s="1"/>
  <c r="T27" i="68"/>
  <c r="U27" i="68" s="1"/>
  <c r="V27" i="68" s="1"/>
  <c r="U26" i="68"/>
  <c r="V26" i="68" s="1"/>
  <c r="T26" i="68"/>
  <c r="AY25" i="68"/>
  <c r="T25" i="68"/>
  <c r="U25" i="68" s="1"/>
  <c r="V25" i="68" s="1"/>
  <c r="T24" i="68"/>
  <c r="U24" i="68" s="1"/>
  <c r="V24" i="68" s="1"/>
  <c r="U22" i="68"/>
  <c r="V22" i="68" s="1"/>
  <c r="T22" i="68"/>
  <c r="A22" i="68"/>
  <c r="A23" i="68" s="1"/>
  <c r="A24" i="68" s="1"/>
  <c r="A25" i="68" s="1"/>
  <c r="A26" i="68" s="1"/>
  <c r="A27" i="68" s="1"/>
  <c r="A28" i="68" s="1"/>
  <c r="A29" i="68" s="1"/>
  <c r="A30" i="68" s="1"/>
  <c r="A31" i="68" s="1"/>
  <c r="A32" i="68" s="1"/>
  <c r="A33" i="68" s="1"/>
  <c r="A34" i="68" s="1"/>
  <c r="A35" i="68" s="1"/>
  <c r="A36" i="68" s="1"/>
  <c r="A37" i="68" s="1"/>
  <c r="A38" i="68" s="1"/>
  <c r="A39" i="68" s="1"/>
  <c r="A40" i="68" s="1"/>
  <c r="A41" i="68" s="1"/>
  <c r="A42" i="68" s="1"/>
  <c r="A43" i="68" s="1"/>
  <c r="A44" i="68" s="1"/>
  <c r="A45" i="68" s="1"/>
  <c r="A46" i="68" s="1"/>
  <c r="A47" i="68" s="1"/>
  <c r="A48" i="68" s="1"/>
  <c r="A49" i="68" s="1"/>
  <c r="A50" i="68" s="1"/>
  <c r="A51" i="68" s="1"/>
  <c r="A52" i="68" s="1"/>
  <c r="A53" i="68" s="1"/>
  <c r="A54" i="68" s="1"/>
  <c r="A55" i="68" s="1"/>
  <c r="A56" i="68" s="1"/>
  <c r="A57" i="68" s="1"/>
  <c r="A21" i="68"/>
  <c r="T20" i="68"/>
  <c r="U20" i="68" s="1"/>
  <c r="V20" i="68" s="1"/>
  <c r="A20" i="68"/>
  <c r="T18" i="68"/>
  <c r="U18" i="68" s="1"/>
  <c r="V18" i="68" s="1"/>
  <c r="T16" i="68"/>
  <c r="U16" i="68" s="1"/>
  <c r="V16" i="68" s="1"/>
  <c r="T15" i="68"/>
  <c r="U15" i="68" s="1"/>
  <c r="V15" i="68" s="1"/>
  <c r="A15" i="68"/>
  <c r="A16" i="68" s="1"/>
  <c r="A17" i="68" s="1"/>
  <c r="A18" i="68" s="1"/>
  <c r="T14" i="68"/>
  <c r="U14" i="68" s="1"/>
  <c r="V14" i="68" s="1"/>
  <c r="A14" i="68"/>
  <c r="T13" i="68"/>
  <c r="T12" i="68"/>
  <c r="U12" i="68" s="1"/>
  <c r="V12" i="68" s="1"/>
  <c r="T11" i="68"/>
  <c r="U11" i="68" s="1"/>
  <c r="V11" i="68" s="1"/>
  <c r="T10" i="68"/>
  <c r="U10" i="68" s="1"/>
  <c r="V10" i="68" s="1"/>
  <c r="A10" i="68"/>
  <c r="A11" i="68" s="1"/>
  <c r="T9" i="68"/>
  <c r="U9" i="68" s="1"/>
  <c r="V9" i="68" s="1"/>
  <c r="A9" i="68"/>
  <c r="T8" i="68"/>
  <c r="A8" i="68"/>
  <c r="T7" i="68"/>
  <c r="H24" i="67"/>
  <c r="C47" i="67"/>
  <c r="M43" i="67"/>
  <c r="M58" i="67" s="1"/>
  <c r="K43" i="67"/>
  <c r="J43" i="67"/>
  <c r="J58" i="67" s="1"/>
  <c r="C43" i="67"/>
  <c r="C41" i="67"/>
  <c r="C40" i="67"/>
  <c r="C37" i="67"/>
  <c r="C25" i="67"/>
  <c r="H23" i="67"/>
  <c r="T23" i="67" s="1"/>
  <c r="U23" i="67" s="1"/>
  <c r="V23" i="67" s="1"/>
  <c r="H21" i="67"/>
  <c r="T21" i="67" s="1"/>
  <c r="U21" i="67" s="1"/>
  <c r="V21" i="67" s="1"/>
  <c r="H19" i="67"/>
  <c r="T19" i="67" s="1"/>
  <c r="U19" i="67" s="1"/>
  <c r="V19" i="67" s="1"/>
  <c r="H17" i="67"/>
  <c r="C12" i="67"/>
  <c r="C8" i="67"/>
  <c r="R58" i="67"/>
  <c r="Q58" i="67"/>
  <c r="P58" i="67"/>
  <c r="O58" i="67"/>
  <c r="N58" i="67"/>
  <c r="K58" i="67"/>
  <c r="I58" i="67"/>
  <c r="G58" i="67"/>
  <c r="F58" i="67"/>
  <c r="T54" i="67"/>
  <c r="U54" i="67" s="1"/>
  <c r="V54" i="67" s="1"/>
  <c r="U53" i="67"/>
  <c r="V53" i="67" s="1"/>
  <c r="T53" i="67"/>
  <c r="T52" i="67"/>
  <c r="U52" i="67" s="1"/>
  <c r="V52" i="67" s="1"/>
  <c r="T51" i="67"/>
  <c r="U51" i="67" s="1"/>
  <c r="V51" i="67" s="1"/>
  <c r="T50" i="67"/>
  <c r="U50" i="67" s="1"/>
  <c r="V50" i="67" s="1"/>
  <c r="U49" i="67"/>
  <c r="V49" i="67" s="1"/>
  <c r="T49" i="67"/>
  <c r="T48" i="67"/>
  <c r="U48" i="67" s="1"/>
  <c r="V48" i="67" s="1"/>
  <c r="T47" i="67"/>
  <c r="U47" i="67" s="1"/>
  <c r="V47" i="67" s="1"/>
  <c r="T46" i="67"/>
  <c r="U46" i="67" s="1"/>
  <c r="V46" i="67" s="1"/>
  <c r="T45" i="67"/>
  <c r="U45" i="67" s="1"/>
  <c r="V45" i="67" s="1"/>
  <c r="T41" i="67"/>
  <c r="U41" i="67" s="1"/>
  <c r="V41" i="67" s="1"/>
  <c r="T40" i="67"/>
  <c r="T39" i="67"/>
  <c r="U39" i="67" s="1"/>
  <c r="V39" i="67" s="1"/>
  <c r="T38" i="67"/>
  <c r="U38" i="67" s="1"/>
  <c r="V38" i="67" s="1"/>
  <c r="T37" i="67"/>
  <c r="U37" i="67" s="1"/>
  <c r="V37" i="67" s="1"/>
  <c r="T36" i="67"/>
  <c r="U36" i="67" s="1"/>
  <c r="V36" i="67" s="1"/>
  <c r="T35" i="67"/>
  <c r="U35" i="67" s="1"/>
  <c r="V35" i="67" s="1"/>
  <c r="T34" i="67"/>
  <c r="U34" i="67" s="1"/>
  <c r="V34" i="67" s="1"/>
  <c r="T33" i="67"/>
  <c r="U33" i="67" s="1"/>
  <c r="V33" i="67" s="1"/>
  <c r="T32" i="67"/>
  <c r="U32" i="67" s="1"/>
  <c r="V32" i="67" s="1"/>
  <c r="T31" i="67"/>
  <c r="U31" i="67" s="1"/>
  <c r="V31" i="67" s="1"/>
  <c r="T30" i="67"/>
  <c r="U30" i="67" s="1"/>
  <c r="V30" i="67" s="1"/>
  <c r="T29" i="67"/>
  <c r="U29" i="67" s="1"/>
  <c r="V29" i="67" s="1"/>
  <c r="T28" i="67"/>
  <c r="U28" i="67" s="1"/>
  <c r="V28" i="67" s="1"/>
  <c r="T27" i="67"/>
  <c r="U27" i="67" s="1"/>
  <c r="V27" i="67" s="1"/>
  <c r="T26" i="67"/>
  <c r="U26" i="67" s="1"/>
  <c r="V26" i="67" s="1"/>
  <c r="AY25" i="67"/>
  <c r="T25" i="67"/>
  <c r="T24" i="67"/>
  <c r="U24" i="67" s="1"/>
  <c r="V24" i="67" s="1"/>
  <c r="T22" i="67"/>
  <c r="U22" i="67" s="1"/>
  <c r="V22" i="67" s="1"/>
  <c r="A21" i="67"/>
  <c r="A22" i="67" s="1"/>
  <c r="A23" i="67" s="1"/>
  <c r="A24" i="67" s="1"/>
  <c r="A25" i="67" s="1"/>
  <c r="A26" i="67" s="1"/>
  <c r="A27" i="67" s="1"/>
  <c r="A28" i="67" s="1"/>
  <c r="A29" i="67" s="1"/>
  <c r="A30" i="67" s="1"/>
  <c r="A31" i="67" s="1"/>
  <c r="A32" i="67" s="1"/>
  <c r="A33" i="67" s="1"/>
  <c r="A34" i="67" s="1"/>
  <c r="A35" i="67" s="1"/>
  <c r="A36" i="67" s="1"/>
  <c r="A37" i="67" s="1"/>
  <c r="A38" i="67" s="1"/>
  <c r="A39" i="67" s="1"/>
  <c r="A40" i="67" s="1"/>
  <c r="A41" i="67" s="1"/>
  <c r="A42" i="67" s="1"/>
  <c r="A43" i="67" s="1"/>
  <c r="A44" i="67" s="1"/>
  <c r="A45" i="67" s="1"/>
  <c r="A46" i="67" s="1"/>
  <c r="A47" i="67" s="1"/>
  <c r="A48" i="67" s="1"/>
  <c r="A49" i="67" s="1"/>
  <c r="A50" i="67" s="1"/>
  <c r="A51" i="67" s="1"/>
  <c r="A52" i="67" s="1"/>
  <c r="A53" i="67" s="1"/>
  <c r="A54" i="67" s="1"/>
  <c r="A55" i="67" s="1"/>
  <c r="A56" i="67" s="1"/>
  <c r="A57" i="67" s="1"/>
  <c r="T20" i="67"/>
  <c r="U20" i="67" s="1"/>
  <c r="V20" i="67" s="1"/>
  <c r="A20" i="67"/>
  <c r="T18" i="67"/>
  <c r="U18" i="67" s="1"/>
  <c r="V18" i="67" s="1"/>
  <c r="U16" i="67"/>
  <c r="V16" i="67" s="1"/>
  <c r="T16" i="67"/>
  <c r="T15" i="67"/>
  <c r="U15" i="67" s="1"/>
  <c r="V15" i="67" s="1"/>
  <c r="U14" i="67"/>
  <c r="V14" i="67" s="1"/>
  <c r="T14" i="67"/>
  <c r="A14" i="67"/>
  <c r="A15" i="67" s="1"/>
  <c r="A16" i="67" s="1"/>
  <c r="A17" i="67" s="1"/>
  <c r="A18" i="67" s="1"/>
  <c r="T13" i="67"/>
  <c r="U13" i="67" s="1"/>
  <c r="V13" i="67" s="1"/>
  <c r="T12" i="67"/>
  <c r="T11" i="67"/>
  <c r="U11" i="67" s="1"/>
  <c r="V11" i="67" s="1"/>
  <c r="T10" i="67"/>
  <c r="U10" i="67" s="1"/>
  <c r="V10" i="67" s="1"/>
  <c r="T9" i="67"/>
  <c r="U9" i="67"/>
  <c r="V9" i="67" s="1"/>
  <c r="A9" i="67"/>
  <c r="A10" i="67" s="1"/>
  <c r="A11" i="67" s="1"/>
  <c r="T8" i="67"/>
  <c r="U8" i="67" s="1"/>
  <c r="V8" i="67" s="1"/>
  <c r="A8" i="67"/>
  <c r="T7" i="67"/>
  <c r="U7" i="67" s="1"/>
  <c r="V17" i="72" l="1"/>
  <c r="V58" i="72" s="1"/>
  <c r="U58" i="72"/>
  <c r="T58" i="71"/>
  <c r="U58" i="71"/>
  <c r="V7" i="71"/>
  <c r="V58" i="71" s="1"/>
  <c r="U47" i="70"/>
  <c r="V47" i="70" s="1"/>
  <c r="U41" i="70"/>
  <c r="V41" i="70" s="1"/>
  <c r="U25" i="70"/>
  <c r="V25" i="70" s="1"/>
  <c r="H58" i="70"/>
  <c r="T17" i="70"/>
  <c r="U17" i="70" s="1"/>
  <c r="V17" i="70" s="1"/>
  <c r="C58" i="70"/>
  <c r="T21" i="70"/>
  <c r="U21" i="70" s="1"/>
  <c r="V21" i="70" s="1"/>
  <c r="U7" i="70"/>
  <c r="U47" i="69"/>
  <c r="V47" i="69" s="1"/>
  <c r="U40" i="69"/>
  <c r="V40" i="69" s="1"/>
  <c r="U12" i="69"/>
  <c r="V12" i="69" s="1"/>
  <c r="V7" i="69"/>
  <c r="T43" i="69"/>
  <c r="U43" i="69" s="1"/>
  <c r="V43" i="69" s="1"/>
  <c r="C58" i="69"/>
  <c r="H58" i="69"/>
  <c r="U8" i="69"/>
  <c r="V8" i="69" s="1"/>
  <c r="U47" i="68"/>
  <c r="V47" i="68" s="1"/>
  <c r="T43" i="68"/>
  <c r="T58" i="68" s="1"/>
  <c r="U13" i="68"/>
  <c r="V13" i="68" s="1"/>
  <c r="U8" i="68"/>
  <c r="V8" i="68" s="1"/>
  <c r="U7" i="68"/>
  <c r="T43" i="67"/>
  <c r="U43" i="67" s="1"/>
  <c r="V43" i="67" s="1"/>
  <c r="U40" i="67"/>
  <c r="V40" i="67" s="1"/>
  <c r="U25" i="67"/>
  <c r="V25" i="67" s="1"/>
  <c r="C58" i="67"/>
  <c r="H58" i="67"/>
  <c r="U12" i="67"/>
  <c r="V12" i="67" s="1"/>
  <c r="V7" i="67"/>
  <c r="T17" i="67"/>
  <c r="U17" i="67" s="1"/>
  <c r="V17" i="67" s="1"/>
  <c r="C47" i="66"/>
  <c r="J43" i="66"/>
  <c r="K43" i="66"/>
  <c r="C43" i="66"/>
  <c r="K58" i="66"/>
  <c r="J58" i="66"/>
  <c r="C37" i="66"/>
  <c r="C25" i="66"/>
  <c r="H24" i="66"/>
  <c r="T24" i="66" s="1"/>
  <c r="U24" i="66" s="1"/>
  <c r="V24" i="66" s="1"/>
  <c r="H23" i="66"/>
  <c r="T23" i="66" s="1"/>
  <c r="U23" i="66" s="1"/>
  <c r="V23" i="66" s="1"/>
  <c r="H21" i="66"/>
  <c r="H19" i="66"/>
  <c r="H17" i="66"/>
  <c r="T17" i="66" s="1"/>
  <c r="U17" i="66" s="1"/>
  <c r="V17" i="66" s="1"/>
  <c r="C12" i="66"/>
  <c r="C9" i="66"/>
  <c r="C8" i="66"/>
  <c r="R58" i="66"/>
  <c r="Q58" i="66"/>
  <c r="P58" i="66"/>
  <c r="O58" i="66"/>
  <c r="N58" i="66"/>
  <c r="M58" i="66"/>
  <c r="I58" i="66"/>
  <c r="G58" i="66"/>
  <c r="F58" i="66"/>
  <c r="U54" i="66"/>
  <c r="V54" i="66" s="1"/>
  <c r="T54" i="66"/>
  <c r="T53" i="66"/>
  <c r="U53" i="66" s="1"/>
  <c r="V53" i="66" s="1"/>
  <c r="T52" i="66"/>
  <c r="U52" i="66" s="1"/>
  <c r="V52" i="66" s="1"/>
  <c r="T51" i="66"/>
  <c r="U51" i="66" s="1"/>
  <c r="V51" i="66" s="1"/>
  <c r="T50" i="66"/>
  <c r="U50" i="66" s="1"/>
  <c r="V50" i="66" s="1"/>
  <c r="T49" i="66"/>
  <c r="U49" i="66" s="1"/>
  <c r="V49" i="66" s="1"/>
  <c r="T48" i="66"/>
  <c r="U48" i="66" s="1"/>
  <c r="V48" i="66" s="1"/>
  <c r="T47" i="66"/>
  <c r="T46" i="66"/>
  <c r="U46" i="66" s="1"/>
  <c r="V46" i="66" s="1"/>
  <c r="T45" i="66"/>
  <c r="U45" i="66" s="1"/>
  <c r="V45" i="66" s="1"/>
  <c r="T43" i="66"/>
  <c r="T41" i="66"/>
  <c r="U41" i="66" s="1"/>
  <c r="V41" i="66" s="1"/>
  <c r="T40" i="66"/>
  <c r="U40" i="66" s="1"/>
  <c r="V40" i="66" s="1"/>
  <c r="T39" i="66"/>
  <c r="U39" i="66" s="1"/>
  <c r="V39" i="66" s="1"/>
  <c r="T38" i="66"/>
  <c r="U38" i="66" s="1"/>
  <c r="V38" i="66" s="1"/>
  <c r="T37" i="66"/>
  <c r="U37" i="66" s="1"/>
  <c r="V37" i="66" s="1"/>
  <c r="T36" i="66"/>
  <c r="U36" i="66" s="1"/>
  <c r="V36" i="66" s="1"/>
  <c r="T35" i="66"/>
  <c r="U35" i="66" s="1"/>
  <c r="V35" i="66" s="1"/>
  <c r="T34" i="66"/>
  <c r="U34" i="66" s="1"/>
  <c r="V34" i="66" s="1"/>
  <c r="T33" i="66"/>
  <c r="U33" i="66" s="1"/>
  <c r="V33" i="66" s="1"/>
  <c r="T32" i="66"/>
  <c r="U32" i="66" s="1"/>
  <c r="V32" i="66" s="1"/>
  <c r="T31" i="66"/>
  <c r="U31" i="66" s="1"/>
  <c r="V31" i="66" s="1"/>
  <c r="T30" i="66"/>
  <c r="U30" i="66" s="1"/>
  <c r="V30" i="66" s="1"/>
  <c r="T29" i="66"/>
  <c r="U29" i="66" s="1"/>
  <c r="V29" i="66" s="1"/>
  <c r="T28" i="66"/>
  <c r="U28" i="66" s="1"/>
  <c r="V28" i="66" s="1"/>
  <c r="T27" i="66"/>
  <c r="U27" i="66" s="1"/>
  <c r="V27" i="66" s="1"/>
  <c r="T26" i="66"/>
  <c r="U26" i="66" s="1"/>
  <c r="V26" i="66" s="1"/>
  <c r="AY25" i="66"/>
  <c r="T25" i="66"/>
  <c r="T22" i="66"/>
  <c r="U22" i="66" s="1"/>
  <c r="V22" i="66" s="1"/>
  <c r="T21" i="66"/>
  <c r="U21" i="66" s="1"/>
  <c r="V21" i="66" s="1"/>
  <c r="T20" i="66"/>
  <c r="U20" i="66" s="1"/>
  <c r="V20" i="66" s="1"/>
  <c r="A20" i="66"/>
  <c r="A21" i="66" s="1"/>
  <c r="A22" i="66" s="1"/>
  <c r="A23" i="66" s="1"/>
  <c r="A24" i="66" s="1"/>
  <c r="A25" i="66" s="1"/>
  <c r="A26" i="66" s="1"/>
  <c r="A27" i="66" s="1"/>
  <c r="A28" i="66" s="1"/>
  <c r="A29" i="66" s="1"/>
  <c r="A30" i="66" s="1"/>
  <c r="A31" i="66" s="1"/>
  <c r="A32" i="66" s="1"/>
  <c r="A33" i="66" s="1"/>
  <c r="A34" i="66" s="1"/>
  <c r="A35" i="66" s="1"/>
  <c r="A36" i="66" s="1"/>
  <c r="A37" i="66" s="1"/>
  <c r="A38" i="66" s="1"/>
  <c r="A39" i="66" s="1"/>
  <c r="A40" i="66" s="1"/>
  <c r="A41" i="66" s="1"/>
  <c r="A42" i="66" s="1"/>
  <c r="A43" i="66" s="1"/>
  <c r="A44" i="66" s="1"/>
  <c r="A45" i="66" s="1"/>
  <c r="A46" i="66" s="1"/>
  <c r="A47" i="66" s="1"/>
  <c r="A48" i="66" s="1"/>
  <c r="A49" i="66" s="1"/>
  <c r="A50" i="66" s="1"/>
  <c r="A51" i="66" s="1"/>
  <c r="A52" i="66" s="1"/>
  <c r="A53" i="66" s="1"/>
  <c r="A54" i="66" s="1"/>
  <c r="A55" i="66" s="1"/>
  <c r="A56" i="66" s="1"/>
  <c r="A57" i="66" s="1"/>
  <c r="T19" i="66"/>
  <c r="U19" i="66" s="1"/>
  <c r="V19" i="66" s="1"/>
  <c r="T18" i="66"/>
  <c r="U18" i="66" s="1"/>
  <c r="V18" i="66" s="1"/>
  <c r="T16" i="66"/>
  <c r="U16" i="66" s="1"/>
  <c r="V16" i="66" s="1"/>
  <c r="T15" i="66"/>
  <c r="U15" i="66" s="1"/>
  <c r="V15" i="66" s="1"/>
  <c r="T14" i="66"/>
  <c r="U14" i="66" s="1"/>
  <c r="V14" i="66" s="1"/>
  <c r="A14" i="66"/>
  <c r="A15" i="66" s="1"/>
  <c r="A16" i="66" s="1"/>
  <c r="A17" i="66" s="1"/>
  <c r="A18" i="66" s="1"/>
  <c r="T13" i="66"/>
  <c r="U13" i="66" s="1"/>
  <c r="V13" i="66" s="1"/>
  <c r="T12" i="66"/>
  <c r="T11" i="66"/>
  <c r="U11" i="66" s="1"/>
  <c r="V11" i="66" s="1"/>
  <c r="T10" i="66"/>
  <c r="U10" i="66" s="1"/>
  <c r="V10" i="66" s="1"/>
  <c r="T9" i="66"/>
  <c r="U9" i="66" s="1"/>
  <c r="V9" i="66" s="1"/>
  <c r="T8" i="66"/>
  <c r="A8" i="66"/>
  <c r="A9" i="66" s="1"/>
  <c r="A10" i="66" s="1"/>
  <c r="A11" i="66" s="1"/>
  <c r="T7" i="66"/>
  <c r="T58" i="70" l="1"/>
  <c r="U58" i="70"/>
  <c r="V7" i="70"/>
  <c r="V58" i="70" s="1"/>
  <c r="V58" i="69"/>
  <c r="U58" i="69"/>
  <c r="T58" i="69"/>
  <c r="U43" i="68"/>
  <c r="V43" i="68" s="1"/>
  <c r="V7" i="68"/>
  <c r="V58" i="67"/>
  <c r="U58" i="67"/>
  <c r="T58" i="67"/>
  <c r="U47" i="66"/>
  <c r="V47" i="66" s="1"/>
  <c r="U43" i="66"/>
  <c r="V43" i="66" s="1"/>
  <c r="U25" i="66"/>
  <c r="V25" i="66" s="1"/>
  <c r="U12" i="66"/>
  <c r="V12" i="66" s="1"/>
  <c r="C58" i="66"/>
  <c r="U8" i="66"/>
  <c r="V8" i="66" s="1"/>
  <c r="T58" i="66"/>
  <c r="H58" i="66"/>
  <c r="U7" i="66"/>
  <c r="C43" i="65"/>
  <c r="K43" i="65"/>
  <c r="J43" i="65"/>
  <c r="J58" i="65"/>
  <c r="I58" i="65"/>
  <c r="C47" i="65"/>
  <c r="K58" i="65"/>
  <c r="H37" i="65"/>
  <c r="C37" i="65"/>
  <c r="C29" i="65"/>
  <c r="C25" i="65"/>
  <c r="U25" i="65" s="1"/>
  <c r="V25" i="65" s="1"/>
  <c r="H24" i="65"/>
  <c r="T24" i="65" s="1"/>
  <c r="U24" i="65" s="1"/>
  <c r="V24" i="65" s="1"/>
  <c r="H23" i="65"/>
  <c r="T23" i="65" s="1"/>
  <c r="U23" i="65" s="1"/>
  <c r="V23" i="65" s="1"/>
  <c r="T22" i="65"/>
  <c r="U22" i="65" s="1"/>
  <c r="V22" i="65" s="1"/>
  <c r="H21" i="65"/>
  <c r="T21" i="65" s="1"/>
  <c r="U21" i="65" s="1"/>
  <c r="V21" i="65" s="1"/>
  <c r="H19" i="65"/>
  <c r="H17" i="65"/>
  <c r="T17" i="65" s="1"/>
  <c r="U17" i="65" s="1"/>
  <c r="V17" i="65" s="1"/>
  <c r="C12" i="65"/>
  <c r="C9" i="65"/>
  <c r="U9" i="65" s="1"/>
  <c r="V9" i="65" s="1"/>
  <c r="C8" i="65"/>
  <c r="U8" i="65" s="1"/>
  <c r="V8" i="65" s="1"/>
  <c r="R58" i="65"/>
  <c r="Q58" i="65"/>
  <c r="P58" i="65"/>
  <c r="O58" i="65"/>
  <c r="N58" i="65"/>
  <c r="M58" i="65"/>
  <c r="G58" i="65"/>
  <c r="F58" i="65"/>
  <c r="T54" i="65"/>
  <c r="U54" i="65" s="1"/>
  <c r="V54" i="65" s="1"/>
  <c r="T53" i="65"/>
  <c r="U53" i="65" s="1"/>
  <c r="V53" i="65" s="1"/>
  <c r="T52" i="65"/>
  <c r="U52" i="65" s="1"/>
  <c r="V52" i="65" s="1"/>
  <c r="T51" i="65"/>
  <c r="U51" i="65" s="1"/>
  <c r="V51" i="65" s="1"/>
  <c r="U50" i="65"/>
  <c r="V50" i="65" s="1"/>
  <c r="T50" i="65"/>
  <c r="T49" i="65"/>
  <c r="U49" i="65" s="1"/>
  <c r="V49" i="65" s="1"/>
  <c r="T48" i="65"/>
  <c r="U48" i="65" s="1"/>
  <c r="V48" i="65" s="1"/>
  <c r="T47" i="65"/>
  <c r="T46" i="65"/>
  <c r="U46" i="65" s="1"/>
  <c r="V46" i="65" s="1"/>
  <c r="T45" i="65"/>
  <c r="U45" i="65" s="1"/>
  <c r="V45" i="65" s="1"/>
  <c r="T41" i="65"/>
  <c r="U41" i="65" s="1"/>
  <c r="V41" i="65" s="1"/>
  <c r="T40" i="65"/>
  <c r="U40" i="65" s="1"/>
  <c r="V40" i="65" s="1"/>
  <c r="T39" i="65"/>
  <c r="U39" i="65" s="1"/>
  <c r="V39" i="65" s="1"/>
  <c r="T38" i="65"/>
  <c r="U38" i="65" s="1"/>
  <c r="V38" i="65" s="1"/>
  <c r="T37" i="65"/>
  <c r="U37" i="65" s="1"/>
  <c r="V37" i="65" s="1"/>
  <c r="U36" i="65"/>
  <c r="V36" i="65" s="1"/>
  <c r="T36" i="65"/>
  <c r="T35" i="65"/>
  <c r="U35" i="65" s="1"/>
  <c r="V35" i="65" s="1"/>
  <c r="T34" i="65"/>
  <c r="U34" i="65" s="1"/>
  <c r="V34" i="65" s="1"/>
  <c r="T33" i="65"/>
  <c r="U33" i="65" s="1"/>
  <c r="V33" i="65" s="1"/>
  <c r="T32" i="65"/>
  <c r="U32" i="65" s="1"/>
  <c r="V32" i="65" s="1"/>
  <c r="T31" i="65"/>
  <c r="U31" i="65" s="1"/>
  <c r="V31" i="65" s="1"/>
  <c r="T30" i="65"/>
  <c r="U30" i="65" s="1"/>
  <c r="V30" i="65" s="1"/>
  <c r="T29" i="65"/>
  <c r="U28" i="65"/>
  <c r="V28" i="65" s="1"/>
  <c r="T28" i="65"/>
  <c r="T27" i="65"/>
  <c r="U27" i="65" s="1"/>
  <c r="V27" i="65" s="1"/>
  <c r="T26" i="65"/>
  <c r="U26" i="65" s="1"/>
  <c r="V26" i="65" s="1"/>
  <c r="AY25" i="65"/>
  <c r="T25" i="65"/>
  <c r="T20" i="65"/>
  <c r="U20" i="65" s="1"/>
  <c r="V20" i="65" s="1"/>
  <c r="A20" i="65"/>
  <c r="A21" i="65" s="1"/>
  <c r="A22" i="65" s="1"/>
  <c r="A23" i="65" s="1"/>
  <c r="A24" i="65" s="1"/>
  <c r="A25" i="65" s="1"/>
  <c r="A26" i="65" s="1"/>
  <c r="A27" i="65" s="1"/>
  <c r="A28" i="65" s="1"/>
  <c r="A29" i="65" s="1"/>
  <c r="A30" i="65" s="1"/>
  <c r="A31" i="65" s="1"/>
  <c r="A32" i="65" s="1"/>
  <c r="A33" i="65" s="1"/>
  <c r="A34" i="65" s="1"/>
  <c r="A35" i="65" s="1"/>
  <c r="A36" i="65" s="1"/>
  <c r="A37" i="65" s="1"/>
  <c r="A38" i="65" s="1"/>
  <c r="A39" i="65" s="1"/>
  <c r="A40" i="65" s="1"/>
  <c r="A41" i="65" s="1"/>
  <c r="A42" i="65" s="1"/>
  <c r="A43" i="65" s="1"/>
  <c r="A44" i="65" s="1"/>
  <c r="A45" i="65" s="1"/>
  <c r="A46" i="65" s="1"/>
  <c r="A47" i="65" s="1"/>
  <c r="A48" i="65" s="1"/>
  <c r="A49" i="65" s="1"/>
  <c r="A50" i="65" s="1"/>
  <c r="A51" i="65" s="1"/>
  <c r="A52" i="65" s="1"/>
  <c r="A53" i="65" s="1"/>
  <c r="A54" i="65" s="1"/>
  <c r="A55" i="65" s="1"/>
  <c r="A56" i="65" s="1"/>
  <c r="A57" i="65" s="1"/>
  <c r="T19" i="65"/>
  <c r="U19" i="65" s="1"/>
  <c r="V19" i="65" s="1"/>
  <c r="T18" i="65"/>
  <c r="U18" i="65" s="1"/>
  <c r="V18" i="65" s="1"/>
  <c r="T16" i="65"/>
  <c r="U16" i="65" s="1"/>
  <c r="V16" i="65" s="1"/>
  <c r="T15" i="65"/>
  <c r="U15" i="65" s="1"/>
  <c r="V15" i="65" s="1"/>
  <c r="U14" i="65"/>
  <c r="V14" i="65" s="1"/>
  <c r="T14" i="65"/>
  <c r="A14" i="65"/>
  <c r="A15" i="65" s="1"/>
  <c r="A16" i="65" s="1"/>
  <c r="A17" i="65" s="1"/>
  <c r="A18" i="65" s="1"/>
  <c r="T13" i="65"/>
  <c r="U13" i="65" s="1"/>
  <c r="V13" i="65" s="1"/>
  <c r="T12" i="65"/>
  <c r="U12" i="65" s="1"/>
  <c r="V12" i="65" s="1"/>
  <c r="T11" i="65"/>
  <c r="U11" i="65" s="1"/>
  <c r="V11" i="65" s="1"/>
  <c r="T10" i="65"/>
  <c r="U10" i="65" s="1"/>
  <c r="V10" i="65" s="1"/>
  <c r="T9" i="65"/>
  <c r="T8" i="65"/>
  <c r="A8" i="65"/>
  <c r="A9" i="65" s="1"/>
  <c r="A10" i="65" s="1"/>
  <c r="A11" i="65" s="1"/>
  <c r="T7" i="65"/>
  <c r="U7" i="65" s="1"/>
  <c r="V58" i="68" l="1"/>
  <c r="U58" i="68"/>
  <c r="U58" i="66"/>
  <c r="V7" i="66"/>
  <c r="V58" i="66" s="1"/>
  <c r="U47" i="65"/>
  <c r="V47" i="65" s="1"/>
  <c r="T43" i="65"/>
  <c r="U43" i="65" s="1"/>
  <c r="U29" i="65"/>
  <c r="V29" i="65" s="1"/>
  <c r="C58" i="65"/>
  <c r="H58" i="65"/>
  <c r="V7" i="65"/>
  <c r="C47" i="64"/>
  <c r="K43" i="64"/>
  <c r="J43" i="64"/>
  <c r="C43" i="64"/>
  <c r="I43" i="64"/>
  <c r="J58" i="64"/>
  <c r="I58" i="64"/>
  <c r="K58" i="64"/>
  <c r="T40" i="64"/>
  <c r="U40" i="64" s="1"/>
  <c r="V40" i="64" s="1"/>
  <c r="C37" i="64"/>
  <c r="C25" i="64"/>
  <c r="H24" i="64"/>
  <c r="H23" i="64"/>
  <c r="T23" i="64" s="1"/>
  <c r="U23" i="64" s="1"/>
  <c r="V23" i="64" s="1"/>
  <c r="H21" i="64"/>
  <c r="T21" i="64" s="1"/>
  <c r="U21" i="64" s="1"/>
  <c r="V21" i="64" s="1"/>
  <c r="H19" i="64"/>
  <c r="T19" i="64" s="1"/>
  <c r="U19" i="64" s="1"/>
  <c r="V19" i="64" s="1"/>
  <c r="H17" i="64"/>
  <c r="T17" i="64" s="1"/>
  <c r="U17" i="64" s="1"/>
  <c r="V17" i="64" s="1"/>
  <c r="C12" i="64"/>
  <c r="C9" i="64"/>
  <c r="C8" i="64"/>
  <c r="R58" i="64"/>
  <c r="Q58" i="64"/>
  <c r="P58" i="64"/>
  <c r="O58" i="64"/>
  <c r="N58" i="64"/>
  <c r="M58" i="64"/>
  <c r="G58" i="64"/>
  <c r="F58" i="64"/>
  <c r="T54" i="64"/>
  <c r="U54" i="64" s="1"/>
  <c r="V54" i="64" s="1"/>
  <c r="T53" i="64"/>
  <c r="U53" i="64" s="1"/>
  <c r="V53" i="64" s="1"/>
  <c r="T52" i="64"/>
  <c r="U52" i="64" s="1"/>
  <c r="V52" i="64" s="1"/>
  <c r="T51" i="64"/>
  <c r="U51" i="64" s="1"/>
  <c r="V51" i="64" s="1"/>
  <c r="T50" i="64"/>
  <c r="U50" i="64" s="1"/>
  <c r="V50" i="64" s="1"/>
  <c r="T49" i="64"/>
  <c r="U49" i="64" s="1"/>
  <c r="V49" i="64" s="1"/>
  <c r="T48" i="64"/>
  <c r="U48" i="64" s="1"/>
  <c r="V48" i="64" s="1"/>
  <c r="T47" i="64"/>
  <c r="T46" i="64"/>
  <c r="U46" i="64" s="1"/>
  <c r="V46" i="64" s="1"/>
  <c r="U45" i="64"/>
  <c r="V45" i="64" s="1"/>
  <c r="T45" i="64"/>
  <c r="T41" i="64"/>
  <c r="U41" i="64" s="1"/>
  <c r="V41" i="64" s="1"/>
  <c r="T39" i="64"/>
  <c r="U39" i="64" s="1"/>
  <c r="V39" i="64" s="1"/>
  <c r="T38" i="64"/>
  <c r="U38" i="64" s="1"/>
  <c r="V38" i="64" s="1"/>
  <c r="T37" i="64"/>
  <c r="T36" i="64"/>
  <c r="U36" i="64" s="1"/>
  <c r="V36" i="64" s="1"/>
  <c r="T35" i="64"/>
  <c r="U35" i="64" s="1"/>
  <c r="V35" i="64" s="1"/>
  <c r="T34" i="64"/>
  <c r="U34" i="64" s="1"/>
  <c r="V34" i="64" s="1"/>
  <c r="T33" i="64"/>
  <c r="U33" i="64" s="1"/>
  <c r="V33" i="64" s="1"/>
  <c r="T32" i="64"/>
  <c r="U32" i="64" s="1"/>
  <c r="V32" i="64" s="1"/>
  <c r="U31" i="64"/>
  <c r="V31" i="64" s="1"/>
  <c r="T31" i="64"/>
  <c r="T30" i="64"/>
  <c r="U30" i="64" s="1"/>
  <c r="V30" i="64" s="1"/>
  <c r="T29" i="64"/>
  <c r="U29" i="64" s="1"/>
  <c r="V29" i="64" s="1"/>
  <c r="T28" i="64"/>
  <c r="U28" i="64" s="1"/>
  <c r="V28" i="64" s="1"/>
  <c r="T27" i="64"/>
  <c r="U27" i="64" s="1"/>
  <c r="V27" i="64" s="1"/>
  <c r="T26" i="64"/>
  <c r="U26" i="64" s="1"/>
  <c r="V26" i="64" s="1"/>
  <c r="AY25" i="64"/>
  <c r="T25" i="64"/>
  <c r="T24" i="64"/>
  <c r="U24" i="64" s="1"/>
  <c r="V24" i="64" s="1"/>
  <c r="A23" i="64"/>
  <c r="A24" i="64" s="1"/>
  <c r="A25" i="64" s="1"/>
  <c r="A26" i="64" s="1"/>
  <c r="A27" i="64" s="1"/>
  <c r="A28" i="64" s="1"/>
  <c r="A29" i="64" s="1"/>
  <c r="A30" i="64" s="1"/>
  <c r="A31" i="64" s="1"/>
  <c r="A32" i="64" s="1"/>
  <c r="A33" i="64" s="1"/>
  <c r="A34" i="64" s="1"/>
  <c r="A35" i="64" s="1"/>
  <c r="A36" i="64" s="1"/>
  <c r="A37" i="64" s="1"/>
  <c r="A38" i="64" s="1"/>
  <c r="A39" i="64" s="1"/>
  <c r="A40" i="64" s="1"/>
  <c r="A41" i="64" s="1"/>
  <c r="A42" i="64" s="1"/>
  <c r="A43" i="64" s="1"/>
  <c r="A44" i="64" s="1"/>
  <c r="A45" i="64" s="1"/>
  <c r="A46" i="64" s="1"/>
  <c r="A47" i="64" s="1"/>
  <c r="A48" i="64" s="1"/>
  <c r="A49" i="64" s="1"/>
  <c r="A50" i="64" s="1"/>
  <c r="A51" i="64" s="1"/>
  <c r="A52" i="64" s="1"/>
  <c r="A53" i="64" s="1"/>
  <c r="A54" i="64" s="1"/>
  <c r="A55" i="64" s="1"/>
  <c r="A56" i="64" s="1"/>
  <c r="A57" i="64" s="1"/>
  <c r="T22" i="64"/>
  <c r="U22" i="64" s="1"/>
  <c r="V22" i="64" s="1"/>
  <c r="A22" i="64"/>
  <c r="A21" i="64"/>
  <c r="T20" i="64"/>
  <c r="U20" i="64" s="1"/>
  <c r="V20" i="64" s="1"/>
  <c r="A20" i="64"/>
  <c r="T18" i="64"/>
  <c r="U18" i="64" s="1"/>
  <c r="V18" i="64" s="1"/>
  <c r="T16" i="64"/>
  <c r="U16" i="64" s="1"/>
  <c r="V16" i="64" s="1"/>
  <c r="T15" i="64"/>
  <c r="U15" i="64" s="1"/>
  <c r="V15" i="64" s="1"/>
  <c r="A15" i="64"/>
  <c r="A16" i="64" s="1"/>
  <c r="A17" i="64" s="1"/>
  <c r="A18" i="64" s="1"/>
  <c r="T14" i="64"/>
  <c r="U14" i="64" s="1"/>
  <c r="V14" i="64" s="1"/>
  <c r="A14" i="64"/>
  <c r="T13" i="64"/>
  <c r="U13" i="64" s="1"/>
  <c r="V13" i="64" s="1"/>
  <c r="T12" i="64"/>
  <c r="U12" i="64" s="1"/>
  <c r="V12" i="64" s="1"/>
  <c r="T11" i="64"/>
  <c r="U11" i="64" s="1"/>
  <c r="V11" i="64" s="1"/>
  <c r="T10" i="64"/>
  <c r="U10" i="64" s="1"/>
  <c r="V10" i="64" s="1"/>
  <c r="T9" i="64"/>
  <c r="U8" i="64"/>
  <c r="V8" i="64" s="1"/>
  <c r="T8" i="64"/>
  <c r="A8" i="64"/>
  <c r="A9" i="64" s="1"/>
  <c r="A10" i="64" s="1"/>
  <c r="A11" i="64" s="1"/>
  <c r="T7" i="64"/>
  <c r="V43" i="65" l="1"/>
  <c r="V58" i="65" s="1"/>
  <c r="U58" i="65"/>
  <c r="T58" i="65"/>
  <c r="U47" i="64"/>
  <c r="V47" i="64" s="1"/>
  <c r="T43" i="64"/>
  <c r="U43" i="64" s="1"/>
  <c r="V43" i="64" s="1"/>
  <c r="U37" i="64"/>
  <c r="V37" i="64" s="1"/>
  <c r="U25" i="64"/>
  <c r="V25" i="64" s="1"/>
  <c r="C58" i="64"/>
  <c r="U9" i="64"/>
  <c r="V9" i="64" s="1"/>
  <c r="U7" i="64"/>
  <c r="H58" i="64"/>
  <c r="C47" i="63"/>
  <c r="J43" i="63"/>
  <c r="C43" i="63"/>
  <c r="K43" i="63"/>
  <c r="C37" i="63"/>
  <c r="C25" i="63"/>
  <c r="H24" i="63"/>
  <c r="T24" i="63" s="1"/>
  <c r="U24" i="63" s="1"/>
  <c r="V24" i="63" s="1"/>
  <c r="H23" i="63"/>
  <c r="H21" i="63"/>
  <c r="H19" i="63"/>
  <c r="T19" i="63" s="1"/>
  <c r="U19" i="63" s="1"/>
  <c r="V19" i="63" s="1"/>
  <c r="H17" i="63"/>
  <c r="C12" i="63"/>
  <c r="C9" i="63"/>
  <c r="C8" i="63"/>
  <c r="R58" i="63"/>
  <c r="T34" i="63"/>
  <c r="Q58" i="63"/>
  <c r="P58" i="63"/>
  <c r="O58" i="63"/>
  <c r="N58" i="63"/>
  <c r="M58" i="63"/>
  <c r="J58" i="63"/>
  <c r="I58" i="63"/>
  <c r="G58" i="63"/>
  <c r="F58" i="63"/>
  <c r="T54" i="63"/>
  <c r="U54" i="63" s="1"/>
  <c r="V54" i="63" s="1"/>
  <c r="T53" i="63"/>
  <c r="U53" i="63" s="1"/>
  <c r="V53" i="63" s="1"/>
  <c r="T52" i="63"/>
  <c r="U52" i="63" s="1"/>
  <c r="V52" i="63" s="1"/>
  <c r="T51" i="63"/>
  <c r="U51" i="63" s="1"/>
  <c r="V51" i="63" s="1"/>
  <c r="T50" i="63"/>
  <c r="U50" i="63" s="1"/>
  <c r="V50" i="63" s="1"/>
  <c r="T49" i="63"/>
  <c r="U49" i="63" s="1"/>
  <c r="V49" i="63" s="1"/>
  <c r="T48" i="63"/>
  <c r="U48" i="63" s="1"/>
  <c r="V48" i="63" s="1"/>
  <c r="T47" i="63"/>
  <c r="T46" i="63"/>
  <c r="U46" i="63" s="1"/>
  <c r="V46" i="63" s="1"/>
  <c r="T45" i="63"/>
  <c r="U45" i="63" s="1"/>
  <c r="V45" i="63" s="1"/>
  <c r="K58" i="63"/>
  <c r="T41" i="63"/>
  <c r="U41" i="63" s="1"/>
  <c r="V41" i="63" s="1"/>
  <c r="T40" i="63"/>
  <c r="U40" i="63" s="1"/>
  <c r="V40" i="63" s="1"/>
  <c r="T39" i="63"/>
  <c r="U39" i="63" s="1"/>
  <c r="V39" i="63" s="1"/>
  <c r="T38" i="63"/>
  <c r="U38" i="63" s="1"/>
  <c r="V38" i="63" s="1"/>
  <c r="T37" i="63"/>
  <c r="T36" i="63"/>
  <c r="U36" i="63" s="1"/>
  <c r="V36" i="63" s="1"/>
  <c r="T35" i="63"/>
  <c r="U35" i="63" s="1"/>
  <c r="V35" i="63" s="1"/>
  <c r="T33" i="63"/>
  <c r="U33" i="63" s="1"/>
  <c r="V33" i="63" s="1"/>
  <c r="T32" i="63"/>
  <c r="U32" i="63" s="1"/>
  <c r="V32" i="63" s="1"/>
  <c r="T31" i="63"/>
  <c r="U31" i="63" s="1"/>
  <c r="V31" i="63" s="1"/>
  <c r="T30" i="63"/>
  <c r="U30" i="63" s="1"/>
  <c r="V30" i="63" s="1"/>
  <c r="T29" i="63"/>
  <c r="U29" i="63" s="1"/>
  <c r="V29" i="63" s="1"/>
  <c r="T28" i="63"/>
  <c r="U28" i="63" s="1"/>
  <c r="V28" i="63" s="1"/>
  <c r="T27" i="63"/>
  <c r="U27" i="63" s="1"/>
  <c r="V27" i="63" s="1"/>
  <c r="T26" i="63"/>
  <c r="U26" i="63" s="1"/>
  <c r="V26" i="63" s="1"/>
  <c r="AY25" i="63"/>
  <c r="T25" i="63"/>
  <c r="T23" i="63"/>
  <c r="U23" i="63" s="1"/>
  <c r="V23" i="63" s="1"/>
  <c r="T22" i="63"/>
  <c r="U22" i="63" s="1"/>
  <c r="V22" i="63" s="1"/>
  <c r="T21" i="63"/>
  <c r="U21" i="63" s="1"/>
  <c r="V21" i="63" s="1"/>
  <c r="A21" i="63"/>
  <c r="A22" i="63" s="1"/>
  <c r="A23" i="63" s="1"/>
  <c r="A24" i="63" s="1"/>
  <c r="A25" i="63" s="1"/>
  <c r="A26" i="63" s="1"/>
  <c r="A27" i="63" s="1"/>
  <c r="A28" i="63" s="1"/>
  <c r="A29" i="63" s="1"/>
  <c r="A30" i="63" s="1"/>
  <c r="A31" i="63" s="1"/>
  <c r="A32" i="63" s="1"/>
  <c r="A33" i="63" s="1"/>
  <c r="A34" i="63" s="1"/>
  <c r="A35" i="63" s="1"/>
  <c r="A36" i="63" s="1"/>
  <c r="A37" i="63" s="1"/>
  <c r="A38" i="63" s="1"/>
  <c r="A39" i="63" s="1"/>
  <c r="A40" i="63" s="1"/>
  <c r="A41" i="63" s="1"/>
  <c r="A42" i="63" s="1"/>
  <c r="A43" i="63" s="1"/>
  <c r="A44" i="63" s="1"/>
  <c r="A45" i="63" s="1"/>
  <c r="A46" i="63" s="1"/>
  <c r="A47" i="63" s="1"/>
  <c r="A48" i="63" s="1"/>
  <c r="A49" i="63" s="1"/>
  <c r="A50" i="63" s="1"/>
  <c r="A51" i="63" s="1"/>
  <c r="A52" i="63" s="1"/>
  <c r="A53" i="63" s="1"/>
  <c r="A54" i="63" s="1"/>
  <c r="A55" i="63" s="1"/>
  <c r="A56" i="63" s="1"/>
  <c r="A57" i="63" s="1"/>
  <c r="T20" i="63"/>
  <c r="U20" i="63" s="1"/>
  <c r="V20" i="63" s="1"/>
  <c r="A20" i="63"/>
  <c r="T18" i="63"/>
  <c r="U18" i="63" s="1"/>
  <c r="V18" i="63" s="1"/>
  <c r="T16" i="63"/>
  <c r="U16" i="63" s="1"/>
  <c r="V16" i="63" s="1"/>
  <c r="T15" i="63"/>
  <c r="U15" i="63" s="1"/>
  <c r="V15" i="63" s="1"/>
  <c r="T14" i="63"/>
  <c r="U14" i="63" s="1"/>
  <c r="V14" i="63" s="1"/>
  <c r="A14" i="63"/>
  <c r="A15" i="63" s="1"/>
  <c r="A16" i="63" s="1"/>
  <c r="A17" i="63" s="1"/>
  <c r="A18" i="63" s="1"/>
  <c r="T13" i="63"/>
  <c r="U13" i="63" s="1"/>
  <c r="V13" i="63" s="1"/>
  <c r="T12" i="63"/>
  <c r="U12" i="63" s="1"/>
  <c r="V12" i="63" s="1"/>
  <c r="T11" i="63"/>
  <c r="U11" i="63" s="1"/>
  <c r="V11" i="63" s="1"/>
  <c r="T10" i="63"/>
  <c r="U10" i="63" s="1"/>
  <c r="V10" i="63" s="1"/>
  <c r="T9" i="63"/>
  <c r="U9" i="63" s="1"/>
  <c r="V9" i="63" s="1"/>
  <c r="A9" i="63"/>
  <c r="A10" i="63" s="1"/>
  <c r="A11" i="63" s="1"/>
  <c r="T8" i="63"/>
  <c r="A8" i="63"/>
  <c r="T7" i="63"/>
  <c r="T58" i="64" l="1"/>
  <c r="U58" i="64"/>
  <c r="V7" i="64"/>
  <c r="V58" i="64" s="1"/>
  <c r="U47" i="63"/>
  <c r="V47" i="63" s="1"/>
  <c r="U37" i="63"/>
  <c r="V37" i="63" s="1"/>
  <c r="C58" i="63"/>
  <c r="H58" i="63"/>
  <c r="U8" i="63"/>
  <c r="V8" i="63" s="1"/>
  <c r="U34" i="63"/>
  <c r="V34" i="63" s="1"/>
  <c r="U25" i="63"/>
  <c r="V25" i="63" s="1"/>
  <c r="T43" i="63"/>
  <c r="U43" i="63" s="1"/>
  <c r="V43" i="63" s="1"/>
  <c r="T17" i="63"/>
  <c r="U17" i="63" s="1"/>
  <c r="V17" i="63" s="1"/>
  <c r="U7" i="63"/>
  <c r="C47" i="62"/>
  <c r="K43" i="62"/>
  <c r="J43" i="62"/>
  <c r="T43" i="62" s="1"/>
  <c r="C43" i="62"/>
  <c r="C37" i="62"/>
  <c r="C34" i="62"/>
  <c r="C25" i="62"/>
  <c r="H24" i="62"/>
  <c r="T24" i="62" s="1"/>
  <c r="U24" i="62" s="1"/>
  <c r="V24" i="62" s="1"/>
  <c r="H23" i="62"/>
  <c r="H21" i="62"/>
  <c r="T21" i="62" s="1"/>
  <c r="U21" i="62" s="1"/>
  <c r="V21" i="62" s="1"/>
  <c r="H19" i="62"/>
  <c r="H17" i="62"/>
  <c r="C12" i="62"/>
  <c r="U12" i="62" s="1"/>
  <c r="V12" i="62" s="1"/>
  <c r="C9" i="62"/>
  <c r="C8" i="62"/>
  <c r="R58" i="62"/>
  <c r="Q58" i="62"/>
  <c r="P58" i="62"/>
  <c r="O58" i="62"/>
  <c r="N58" i="62"/>
  <c r="M58" i="62"/>
  <c r="I58" i="62"/>
  <c r="G58" i="62"/>
  <c r="F58" i="62"/>
  <c r="T54" i="62"/>
  <c r="U54" i="62" s="1"/>
  <c r="V54" i="62" s="1"/>
  <c r="T53" i="62"/>
  <c r="U53" i="62" s="1"/>
  <c r="V53" i="62" s="1"/>
  <c r="T52" i="62"/>
  <c r="U52" i="62" s="1"/>
  <c r="V52" i="62" s="1"/>
  <c r="T51" i="62"/>
  <c r="U51" i="62" s="1"/>
  <c r="V51" i="62" s="1"/>
  <c r="T50" i="62"/>
  <c r="U50" i="62" s="1"/>
  <c r="V50" i="62" s="1"/>
  <c r="U49" i="62"/>
  <c r="V49" i="62" s="1"/>
  <c r="T49" i="62"/>
  <c r="T48" i="62"/>
  <c r="U48" i="62" s="1"/>
  <c r="V48" i="62" s="1"/>
  <c r="T47" i="62"/>
  <c r="U47" i="62" s="1"/>
  <c r="V47" i="62" s="1"/>
  <c r="T46" i="62"/>
  <c r="U46" i="62" s="1"/>
  <c r="V46" i="62" s="1"/>
  <c r="T45" i="62"/>
  <c r="U45" i="62" s="1"/>
  <c r="V45" i="62" s="1"/>
  <c r="K58" i="62"/>
  <c r="T41" i="62"/>
  <c r="U41" i="62" s="1"/>
  <c r="V41" i="62" s="1"/>
  <c r="T40" i="62"/>
  <c r="U40" i="62" s="1"/>
  <c r="V40" i="62" s="1"/>
  <c r="U39" i="62"/>
  <c r="V39" i="62" s="1"/>
  <c r="T39" i="62"/>
  <c r="T38" i="62"/>
  <c r="U38" i="62" s="1"/>
  <c r="V38" i="62" s="1"/>
  <c r="T37" i="62"/>
  <c r="T36" i="62"/>
  <c r="U35" i="62"/>
  <c r="V35" i="62" s="1"/>
  <c r="T35" i="62"/>
  <c r="T34" i="62"/>
  <c r="U34" i="62" s="1"/>
  <c r="V34" i="62" s="1"/>
  <c r="T33" i="62"/>
  <c r="U33" i="62" s="1"/>
  <c r="V33" i="62" s="1"/>
  <c r="T32" i="62"/>
  <c r="U32" i="62" s="1"/>
  <c r="V32" i="62" s="1"/>
  <c r="T31" i="62"/>
  <c r="U31" i="62" s="1"/>
  <c r="V31" i="62" s="1"/>
  <c r="U30" i="62"/>
  <c r="V30" i="62" s="1"/>
  <c r="T30" i="62"/>
  <c r="T29" i="62"/>
  <c r="U29" i="62" s="1"/>
  <c r="V29" i="62" s="1"/>
  <c r="T28" i="62"/>
  <c r="U28" i="62" s="1"/>
  <c r="V28" i="62" s="1"/>
  <c r="T27" i="62"/>
  <c r="U27" i="62" s="1"/>
  <c r="V27" i="62" s="1"/>
  <c r="U26" i="62"/>
  <c r="V26" i="62" s="1"/>
  <c r="T26" i="62"/>
  <c r="AY25" i="62"/>
  <c r="T25" i="62"/>
  <c r="T23" i="62"/>
  <c r="U23" i="62" s="1"/>
  <c r="V23" i="62" s="1"/>
  <c r="T22" i="62"/>
  <c r="U22" i="62" s="1"/>
  <c r="V22" i="62" s="1"/>
  <c r="A21" i="62"/>
  <c r="A22" i="62" s="1"/>
  <c r="A23" i="62" s="1"/>
  <c r="A24" i="62" s="1"/>
  <c r="A25" i="62" s="1"/>
  <c r="A26" i="62" s="1"/>
  <c r="A27" i="62" s="1"/>
  <c r="A28" i="62" s="1"/>
  <c r="A29" i="62" s="1"/>
  <c r="A30" i="62" s="1"/>
  <c r="A31" i="62" s="1"/>
  <c r="A32" i="62" s="1"/>
  <c r="A33" i="62" s="1"/>
  <c r="A34" i="62" s="1"/>
  <c r="A35" i="62" s="1"/>
  <c r="A36" i="62" s="1"/>
  <c r="A37" i="62" s="1"/>
  <c r="A38" i="62" s="1"/>
  <c r="A39" i="62" s="1"/>
  <c r="A40" i="62" s="1"/>
  <c r="A41" i="62" s="1"/>
  <c r="A42" i="62" s="1"/>
  <c r="A43" i="62" s="1"/>
  <c r="A44" i="62" s="1"/>
  <c r="A45" i="62" s="1"/>
  <c r="A46" i="62" s="1"/>
  <c r="A47" i="62" s="1"/>
  <c r="A48" i="62" s="1"/>
  <c r="A49" i="62" s="1"/>
  <c r="A50" i="62" s="1"/>
  <c r="A51" i="62" s="1"/>
  <c r="A52" i="62" s="1"/>
  <c r="A53" i="62" s="1"/>
  <c r="A54" i="62" s="1"/>
  <c r="A55" i="62" s="1"/>
  <c r="A56" i="62" s="1"/>
  <c r="A57" i="62" s="1"/>
  <c r="T20" i="62"/>
  <c r="U20" i="62" s="1"/>
  <c r="V20" i="62" s="1"/>
  <c r="A20" i="62"/>
  <c r="T19" i="62"/>
  <c r="U19" i="62" s="1"/>
  <c r="V19" i="62" s="1"/>
  <c r="T18" i="62"/>
  <c r="U18" i="62" s="1"/>
  <c r="V18" i="62" s="1"/>
  <c r="T16" i="62"/>
  <c r="U16" i="62" s="1"/>
  <c r="V16" i="62" s="1"/>
  <c r="T15" i="62"/>
  <c r="U15" i="62" s="1"/>
  <c r="V15" i="62" s="1"/>
  <c r="T14" i="62"/>
  <c r="U14" i="62" s="1"/>
  <c r="V14" i="62" s="1"/>
  <c r="A14" i="62"/>
  <c r="A15" i="62" s="1"/>
  <c r="A16" i="62" s="1"/>
  <c r="A17" i="62" s="1"/>
  <c r="A18" i="62" s="1"/>
  <c r="T13" i="62"/>
  <c r="U13" i="62" s="1"/>
  <c r="V13" i="62" s="1"/>
  <c r="T12" i="62"/>
  <c r="T11" i="62"/>
  <c r="U11" i="62" s="1"/>
  <c r="V11" i="62" s="1"/>
  <c r="T10" i="62"/>
  <c r="U10" i="62" s="1"/>
  <c r="V10" i="62" s="1"/>
  <c r="T9" i="62"/>
  <c r="U9" i="62" s="1"/>
  <c r="V9" i="62" s="1"/>
  <c r="A9" i="62"/>
  <c r="A10" i="62" s="1"/>
  <c r="A11" i="62" s="1"/>
  <c r="T8" i="62"/>
  <c r="U8" i="62"/>
  <c r="V8" i="62" s="1"/>
  <c r="A8" i="62"/>
  <c r="T7" i="62"/>
  <c r="U7" i="62" s="1"/>
  <c r="V7" i="62" s="1"/>
  <c r="U58" i="63" l="1"/>
  <c r="V7" i="63"/>
  <c r="V58" i="63" s="1"/>
  <c r="T58" i="63"/>
  <c r="J58" i="62"/>
  <c r="U43" i="62"/>
  <c r="V43" i="62" s="1"/>
  <c r="U37" i="62"/>
  <c r="V37" i="62" s="1"/>
  <c r="U36" i="62"/>
  <c r="V36" i="62" s="1"/>
  <c r="U25" i="62"/>
  <c r="V25" i="62" s="1"/>
  <c r="H58" i="62"/>
  <c r="C58" i="62"/>
  <c r="T17" i="62"/>
  <c r="U17" i="62" s="1"/>
  <c r="V17" i="62" s="1"/>
  <c r="C47" i="61"/>
  <c r="K43" i="61"/>
  <c r="J43" i="61"/>
  <c r="C43" i="61"/>
  <c r="K58" i="61"/>
  <c r="C37" i="61"/>
  <c r="C25" i="61"/>
  <c r="H24" i="61"/>
  <c r="H23" i="61"/>
  <c r="H21" i="61"/>
  <c r="T21" i="61" s="1"/>
  <c r="U21" i="61" s="1"/>
  <c r="V21" i="61" s="1"/>
  <c r="H19" i="61"/>
  <c r="H17" i="61"/>
  <c r="C12" i="61"/>
  <c r="C9" i="61"/>
  <c r="C8" i="61"/>
  <c r="R58" i="61"/>
  <c r="Q58" i="61"/>
  <c r="P58" i="61"/>
  <c r="O58" i="61"/>
  <c r="N58" i="61"/>
  <c r="M58" i="61"/>
  <c r="I58" i="61"/>
  <c r="G58" i="61"/>
  <c r="F58" i="61"/>
  <c r="T54" i="61"/>
  <c r="U54" i="61" s="1"/>
  <c r="V54" i="61" s="1"/>
  <c r="T53" i="61"/>
  <c r="U53" i="61" s="1"/>
  <c r="V53" i="61" s="1"/>
  <c r="T52" i="61"/>
  <c r="U52" i="61" s="1"/>
  <c r="V52" i="61" s="1"/>
  <c r="T51" i="61"/>
  <c r="U51" i="61" s="1"/>
  <c r="V51" i="61" s="1"/>
  <c r="U50" i="61"/>
  <c r="V50" i="61" s="1"/>
  <c r="T50" i="61"/>
  <c r="T49" i="61"/>
  <c r="U49" i="61" s="1"/>
  <c r="V49" i="61" s="1"/>
  <c r="T48" i="61"/>
  <c r="U48" i="61" s="1"/>
  <c r="V48" i="61" s="1"/>
  <c r="T47" i="61"/>
  <c r="T46" i="61"/>
  <c r="U46" i="61" s="1"/>
  <c r="V46" i="61" s="1"/>
  <c r="T45" i="61"/>
  <c r="U45" i="61" s="1"/>
  <c r="V45" i="61" s="1"/>
  <c r="J58" i="61"/>
  <c r="T41" i="61"/>
  <c r="U41" i="61"/>
  <c r="V41" i="61" s="1"/>
  <c r="T40" i="61"/>
  <c r="U40" i="61" s="1"/>
  <c r="V40" i="61" s="1"/>
  <c r="T39" i="61"/>
  <c r="U39" i="61" s="1"/>
  <c r="V39" i="61" s="1"/>
  <c r="T38" i="61"/>
  <c r="U38" i="61" s="1"/>
  <c r="V38" i="61" s="1"/>
  <c r="T37" i="61"/>
  <c r="U37" i="61" s="1"/>
  <c r="V37" i="61" s="1"/>
  <c r="T36" i="61"/>
  <c r="U36" i="61" s="1"/>
  <c r="V36" i="61" s="1"/>
  <c r="T35" i="61"/>
  <c r="U35" i="61" s="1"/>
  <c r="V35" i="61" s="1"/>
  <c r="T34" i="61"/>
  <c r="U34" i="61" s="1"/>
  <c r="V34" i="61" s="1"/>
  <c r="T33" i="61"/>
  <c r="U33" i="61" s="1"/>
  <c r="V33" i="61" s="1"/>
  <c r="T32" i="61"/>
  <c r="U32" i="61" s="1"/>
  <c r="V32" i="61" s="1"/>
  <c r="T31" i="61"/>
  <c r="U31" i="61" s="1"/>
  <c r="V31" i="61" s="1"/>
  <c r="T30" i="61"/>
  <c r="U30" i="61" s="1"/>
  <c r="V30" i="61" s="1"/>
  <c r="T29" i="61"/>
  <c r="U29" i="61" s="1"/>
  <c r="V29" i="61" s="1"/>
  <c r="T28" i="61"/>
  <c r="U28" i="61" s="1"/>
  <c r="V28" i="61" s="1"/>
  <c r="U27" i="61"/>
  <c r="V27" i="61" s="1"/>
  <c r="T27" i="61"/>
  <c r="T26" i="61"/>
  <c r="U26" i="61" s="1"/>
  <c r="V26" i="61" s="1"/>
  <c r="AY25" i="61"/>
  <c r="T25" i="61"/>
  <c r="U25" i="61" s="1"/>
  <c r="V25" i="61" s="1"/>
  <c r="T24" i="61"/>
  <c r="U24" i="61" s="1"/>
  <c r="V24" i="61" s="1"/>
  <c r="T23" i="61"/>
  <c r="U23" i="61" s="1"/>
  <c r="V23" i="61" s="1"/>
  <c r="T22" i="61"/>
  <c r="U22" i="61" s="1"/>
  <c r="V22" i="61" s="1"/>
  <c r="A22" i="61"/>
  <c r="A23" i="61" s="1"/>
  <c r="A24" i="61" s="1"/>
  <c r="A25" i="61" s="1"/>
  <c r="A26" i="61" s="1"/>
  <c r="A27" i="61" s="1"/>
  <c r="A28" i="61" s="1"/>
  <c r="A29" i="61" s="1"/>
  <c r="A30" i="61" s="1"/>
  <c r="A31" i="61" s="1"/>
  <c r="A32" i="61" s="1"/>
  <c r="A33" i="61" s="1"/>
  <c r="A34" i="61" s="1"/>
  <c r="A35" i="61" s="1"/>
  <c r="A36" i="61" s="1"/>
  <c r="A37" i="61" s="1"/>
  <c r="A38" i="61" s="1"/>
  <c r="A39" i="61" s="1"/>
  <c r="A40" i="61" s="1"/>
  <c r="A41" i="61" s="1"/>
  <c r="A42" i="61" s="1"/>
  <c r="A43" i="61" s="1"/>
  <c r="A44" i="61" s="1"/>
  <c r="A45" i="61" s="1"/>
  <c r="A46" i="61" s="1"/>
  <c r="A47" i="61" s="1"/>
  <c r="A48" i="61" s="1"/>
  <c r="A49" i="61" s="1"/>
  <c r="A50" i="61" s="1"/>
  <c r="A51" i="61" s="1"/>
  <c r="A52" i="61" s="1"/>
  <c r="A53" i="61" s="1"/>
  <c r="A54" i="61" s="1"/>
  <c r="A55" i="61" s="1"/>
  <c r="A56" i="61" s="1"/>
  <c r="A57" i="61" s="1"/>
  <c r="A21" i="61"/>
  <c r="U20" i="61"/>
  <c r="V20" i="61" s="1"/>
  <c r="T20" i="61"/>
  <c r="A20" i="61"/>
  <c r="T19" i="61"/>
  <c r="U19" i="61" s="1"/>
  <c r="V19" i="61" s="1"/>
  <c r="T18" i="61"/>
  <c r="U18" i="61" s="1"/>
  <c r="V18" i="61" s="1"/>
  <c r="T16" i="61"/>
  <c r="U16" i="61" s="1"/>
  <c r="V16" i="61" s="1"/>
  <c r="T15" i="61"/>
  <c r="U15" i="61" s="1"/>
  <c r="V15" i="61" s="1"/>
  <c r="A15" i="61"/>
  <c r="A16" i="61" s="1"/>
  <c r="A17" i="61" s="1"/>
  <c r="A18" i="61" s="1"/>
  <c r="T14" i="61"/>
  <c r="U14" i="61" s="1"/>
  <c r="V14" i="61" s="1"/>
  <c r="A14" i="61"/>
  <c r="T13" i="61"/>
  <c r="U13" i="61" s="1"/>
  <c r="V13" i="61" s="1"/>
  <c r="T12" i="61"/>
  <c r="U12" i="61" s="1"/>
  <c r="V12" i="61" s="1"/>
  <c r="T11" i="61"/>
  <c r="U11" i="61" s="1"/>
  <c r="V11" i="61" s="1"/>
  <c r="T10" i="61"/>
  <c r="U10" i="61" s="1"/>
  <c r="V10" i="61" s="1"/>
  <c r="T9" i="61"/>
  <c r="U9" i="61"/>
  <c r="V9" i="61" s="1"/>
  <c r="A9" i="61"/>
  <c r="A10" i="61" s="1"/>
  <c r="A11" i="61" s="1"/>
  <c r="U8" i="61"/>
  <c r="V8" i="61" s="1"/>
  <c r="T8" i="61"/>
  <c r="A8" i="61"/>
  <c r="T7" i="61"/>
  <c r="V58" i="62" l="1"/>
  <c r="T58" i="62"/>
  <c r="U58" i="62"/>
  <c r="U47" i="61"/>
  <c r="V47" i="61" s="1"/>
  <c r="H58" i="61"/>
  <c r="T43" i="61"/>
  <c r="U43" i="61" s="1"/>
  <c r="V43" i="61" s="1"/>
  <c r="C58" i="61"/>
  <c r="T17" i="61"/>
  <c r="U17" i="61" s="1"/>
  <c r="V17" i="61" s="1"/>
  <c r="U7" i="61"/>
  <c r="C47" i="60"/>
  <c r="K43" i="60"/>
  <c r="K58" i="60" s="1"/>
  <c r="J43" i="60"/>
  <c r="T43" i="60" s="1"/>
  <c r="U43" i="60" s="1"/>
  <c r="V43" i="60" s="1"/>
  <c r="C43" i="60"/>
  <c r="C41" i="60"/>
  <c r="U41" i="60" s="1"/>
  <c r="V41" i="60" s="1"/>
  <c r="C37" i="60"/>
  <c r="C34" i="60"/>
  <c r="C25" i="60"/>
  <c r="H24" i="60"/>
  <c r="T24" i="60" s="1"/>
  <c r="U24" i="60" s="1"/>
  <c r="V24" i="60" s="1"/>
  <c r="H23" i="60"/>
  <c r="T23" i="60" s="1"/>
  <c r="U23" i="60" s="1"/>
  <c r="V23" i="60" s="1"/>
  <c r="H21" i="60"/>
  <c r="T21" i="60" s="1"/>
  <c r="U21" i="60" s="1"/>
  <c r="V21" i="60" s="1"/>
  <c r="H19" i="60"/>
  <c r="T19" i="60" s="1"/>
  <c r="U19" i="60" s="1"/>
  <c r="V19" i="60" s="1"/>
  <c r="H17" i="60"/>
  <c r="G58" i="60"/>
  <c r="C12" i="60"/>
  <c r="C10" i="60"/>
  <c r="C9" i="60"/>
  <c r="C8" i="60"/>
  <c r="R58" i="60"/>
  <c r="Q58" i="60"/>
  <c r="P58" i="60"/>
  <c r="O58" i="60"/>
  <c r="N58" i="60"/>
  <c r="M58" i="60"/>
  <c r="I58" i="60"/>
  <c r="F58" i="60"/>
  <c r="T54" i="60"/>
  <c r="U54" i="60" s="1"/>
  <c r="V54" i="60" s="1"/>
  <c r="T53" i="60"/>
  <c r="U53" i="60" s="1"/>
  <c r="V53" i="60" s="1"/>
  <c r="T52" i="60"/>
  <c r="U52" i="60" s="1"/>
  <c r="V52" i="60" s="1"/>
  <c r="T51" i="60"/>
  <c r="U51" i="60" s="1"/>
  <c r="V51" i="60" s="1"/>
  <c r="T50" i="60"/>
  <c r="U50" i="60" s="1"/>
  <c r="V50" i="60" s="1"/>
  <c r="T49" i="60"/>
  <c r="U49" i="60" s="1"/>
  <c r="V49" i="60" s="1"/>
  <c r="T48" i="60"/>
  <c r="U48" i="60" s="1"/>
  <c r="V48" i="60" s="1"/>
  <c r="T47" i="60"/>
  <c r="U47" i="60" s="1"/>
  <c r="V47" i="60" s="1"/>
  <c r="T46" i="60"/>
  <c r="U46" i="60" s="1"/>
  <c r="V46" i="60" s="1"/>
  <c r="T45" i="60"/>
  <c r="U45" i="60" s="1"/>
  <c r="V45" i="60" s="1"/>
  <c r="T41" i="60"/>
  <c r="T40" i="60"/>
  <c r="U40" i="60" s="1"/>
  <c r="V40" i="60" s="1"/>
  <c r="T39" i="60"/>
  <c r="U39" i="60" s="1"/>
  <c r="V39" i="60" s="1"/>
  <c r="T38" i="60"/>
  <c r="U38" i="60" s="1"/>
  <c r="V38" i="60" s="1"/>
  <c r="T37" i="60"/>
  <c r="T36" i="60"/>
  <c r="U36" i="60" s="1"/>
  <c r="V36" i="60" s="1"/>
  <c r="T35" i="60"/>
  <c r="U35" i="60" s="1"/>
  <c r="V35" i="60" s="1"/>
  <c r="T34" i="60"/>
  <c r="U34" i="60" s="1"/>
  <c r="V34" i="60" s="1"/>
  <c r="T33" i="60"/>
  <c r="U33" i="60" s="1"/>
  <c r="V33" i="60" s="1"/>
  <c r="T32" i="60"/>
  <c r="U32" i="60" s="1"/>
  <c r="V32" i="60" s="1"/>
  <c r="T31" i="60"/>
  <c r="U31" i="60" s="1"/>
  <c r="V31" i="60" s="1"/>
  <c r="T30" i="60"/>
  <c r="U30" i="60" s="1"/>
  <c r="V30" i="60" s="1"/>
  <c r="T29" i="60"/>
  <c r="U29" i="60" s="1"/>
  <c r="V29" i="60" s="1"/>
  <c r="T28" i="60"/>
  <c r="U28" i="60" s="1"/>
  <c r="V28" i="60" s="1"/>
  <c r="U27" i="60"/>
  <c r="V27" i="60" s="1"/>
  <c r="T27" i="60"/>
  <c r="T26" i="60"/>
  <c r="U26" i="60" s="1"/>
  <c r="V26" i="60" s="1"/>
  <c r="AY25" i="60"/>
  <c r="T25" i="60"/>
  <c r="T22" i="60"/>
  <c r="U22" i="60" s="1"/>
  <c r="V22" i="60" s="1"/>
  <c r="A21" i="60"/>
  <c r="A22" i="60" s="1"/>
  <c r="A23" i="60" s="1"/>
  <c r="A24" i="60" s="1"/>
  <c r="A25" i="60" s="1"/>
  <c r="A26" i="60" s="1"/>
  <c r="A27" i="60" s="1"/>
  <c r="A28" i="60" s="1"/>
  <c r="A29" i="60" s="1"/>
  <c r="A30" i="60" s="1"/>
  <c r="A31" i="60" s="1"/>
  <c r="A32" i="60" s="1"/>
  <c r="A33" i="60" s="1"/>
  <c r="A34" i="60" s="1"/>
  <c r="A35" i="60" s="1"/>
  <c r="A36" i="60" s="1"/>
  <c r="A37" i="60" s="1"/>
  <c r="A38" i="60" s="1"/>
  <c r="A39" i="60" s="1"/>
  <c r="A40" i="60" s="1"/>
  <c r="A41" i="60" s="1"/>
  <c r="A42" i="60" s="1"/>
  <c r="A43" i="60" s="1"/>
  <c r="A44" i="60" s="1"/>
  <c r="A45" i="60" s="1"/>
  <c r="A46" i="60" s="1"/>
  <c r="A47" i="60" s="1"/>
  <c r="A48" i="60" s="1"/>
  <c r="A49" i="60" s="1"/>
  <c r="A50" i="60" s="1"/>
  <c r="A51" i="60" s="1"/>
  <c r="A52" i="60" s="1"/>
  <c r="A53" i="60" s="1"/>
  <c r="A54" i="60" s="1"/>
  <c r="A55" i="60" s="1"/>
  <c r="A56" i="60" s="1"/>
  <c r="A57" i="60" s="1"/>
  <c r="T20" i="60"/>
  <c r="U20" i="60" s="1"/>
  <c r="V20" i="60" s="1"/>
  <c r="A20" i="60"/>
  <c r="T18" i="60"/>
  <c r="U18" i="60" s="1"/>
  <c r="V18" i="60" s="1"/>
  <c r="T16" i="60"/>
  <c r="U16" i="60" s="1"/>
  <c r="V16" i="60" s="1"/>
  <c r="T15" i="60"/>
  <c r="U15" i="60" s="1"/>
  <c r="V15" i="60" s="1"/>
  <c r="T14" i="60"/>
  <c r="U14" i="60" s="1"/>
  <c r="V14" i="60" s="1"/>
  <c r="A14" i="60"/>
  <c r="A15" i="60" s="1"/>
  <c r="A16" i="60" s="1"/>
  <c r="A17" i="60" s="1"/>
  <c r="A18" i="60" s="1"/>
  <c r="T12" i="60"/>
  <c r="U12" i="60" s="1"/>
  <c r="V12" i="60" s="1"/>
  <c r="T11" i="60"/>
  <c r="U11" i="60" s="1"/>
  <c r="V11" i="60" s="1"/>
  <c r="T10" i="60"/>
  <c r="T9" i="60"/>
  <c r="T8" i="60"/>
  <c r="U8" i="60" s="1"/>
  <c r="V8" i="60" s="1"/>
  <c r="A8" i="60"/>
  <c r="A9" i="60" s="1"/>
  <c r="A10" i="60" s="1"/>
  <c r="A11" i="60" s="1"/>
  <c r="T7" i="60"/>
  <c r="U7" i="60" s="1"/>
  <c r="T58" i="61" l="1"/>
  <c r="U58" i="61"/>
  <c r="V7" i="61"/>
  <c r="V58" i="61" s="1"/>
  <c r="J58" i="60"/>
  <c r="U37" i="60"/>
  <c r="V37" i="60" s="1"/>
  <c r="U25" i="60"/>
  <c r="V25" i="60" s="1"/>
  <c r="C58" i="60"/>
  <c r="H58" i="60"/>
  <c r="T13" i="60"/>
  <c r="U13" i="60" s="1"/>
  <c r="V13" i="60" s="1"/>
  <c r="U10" i="60"/>
  <c r="V10" i="60" s="1"/>
  <c r="U9" i="60"/>
  <c r="V9" i="60" s="1"/>
  <c r="T17" i="60"/>
  <c r="U17" i="60" s="1"/>
  <c r="V17" i="60" s="1"/>
  <c r="V7" i="60"/>
  <c r="C47" i="59"/>
  <c r="J43" i="59"/>
  <c r="T43" i="59" s="1"/>
  <c r="I43" i="59"/>
  <c r="C43" i="59"/>
  <c r="C41" i="59"/>
  <c r="U41" i="59" s="1"/>
  <c r="V41" i="59" s="1"/>
  <c r="C37" i="59"/>
  <c r="C25" i="59"/>
  <c r="H24" i="59"/>
  <c r="T24" i="59" s="1"/>
  <c r="U24" i="59" s="1"/>
  <c r="V24" i="59" s="1"/>
  <c r="H23" i="59"/>
  <c r="H21" i="59"/>
  <c r="H19" i="59"/>
  <c r="H17" i="59"/>
  <c r="C12" i="59"/>
  <c r="C9" i="59"/>
  <c r="C8" i="59"/>
  <c r="R58" i="59"/>
  <c r="Q58" i="59"/>
  <c r="P58" i="59"/>
  <c r="O58" i="59"/>
  <c r="N58" i="59"/>
  <c r="M58" i="59"/>
  <c r="K58" i="59"/>
  <c r="I58" i="59"/>
  <c r="G58" i="59"/>
  <c r="F58" i="59"/>
  <c r="U54" i="59"/>
  <c r="V54" i="59" s="1"/>
  <c r="T54" i="59"/>
  <c r="T53" i="59"/>
  <c r="U53" i="59" s="1"/>
  <c r="V53" i="59" s="1"/>
  <c r="T52" i="59"/>
  <c r="U52" i="59" s="1"/>
  <c r="V52" i="59" s="1"/>
  <c r="T51" i="59"/>
  <c r="U51" i="59" s="1"/>
  <c r="V51" i="59" s="1"/>
  <c r="T50" i="59"/>
  <c r="U50" i="59" s="1"/>
  <c r="V50" i="59" s="1"/>
  <c r="T49" i="59"/>
  <c r="U49" i="59" s="1"/>
  <c r="V49" i="59" s="1"/>
  <c r="T48" i="59"/>
  <c r="U48" i="59" s="1"/>
  <c r="V48" i="59" s="1"/>
  <c r="T47" i="59"/>
  <c r="T46" i="59"/>
  <c r="U46" i="59" s="1"/>
  <c r="V46" i="59" s="1"/>
  <c r="T45" i="59"/>
  <c r="U45" i="59" s="1"/>
  <c r="V45" i="59" s="1"/>
  <c r="T41" i="59"/>
  <c r="T40" i="59"/>
  <c r="U40" i="59" s="1"/>
  <c r="V40" i="59" s="1"/>
  <c r="T39" i="59"/>
  <c r="U39" i="59" s="1"/>
  <c r="V39" i="59" s="1"/>
  <c r="T38" i="59"/>
  <c r="U38" i="59" s="1"/>
  <c r="V38" i="59" s="1"/>
  <c r="T37" i="59"/>
  <c r="T36" i="59"/>
  <c r="U36" i="59" s="1"/>
  <c r="V36" i="59" s="1"/>
  <c r="T35" i="59"/>
  <c r="U35" i="59" s="1"/>
  <c r="V35" i="59" s="1"/>
  <c r="T34" i="59"/>
  <c r="U34" i="59" s="1"/>
  <c r="V34" i="59" s="1"/>
  <c r="T33" i="59"/>
  <c r="U33" i="59" s="1"/>
  <c r="V33" i="59" s="1"/>
  <c r="T32" i="59"/>
  <c r="U32" i="59" s="1"/>
  <c r="V32" i="59" s="1"/>
  <c r="T31" i="59"/>
  <c r="U31" i="59" s="1"/>
  <c r="V31" i="59" s="1"/>
  <c r="U30" i="59"/>
  <c r="V30" i="59" s="1"/>
  <c r="T30" i="59"/>
  <c r="T29" i="59"/>
  <c r="U29" i="59" s="1"/>
  <c r="V29" i="59" s="1"/>
  <c r="T28" i="59"/>
  <c r="U28" i="59" s="1"/>
  <c r="V28" i="59" s="1"/>
  <c r="T27" i="59"/>
  <c r="U27" i="59" s="1"/>
  <c r="V27" i="59" s="1"/>
  <c r="T26" i="59"/>
  <c r="U26" i="59" s="1"/>
  <c r="V26" i="59" s="1"/>
  <c r="AY25" i="59"/>
  <c r="T25" i="59"/>
  <c r="T23" i="59"/>
  <c r="U23" i="59" s="1"/>
  <c r="V23" i="59" s="1"/>
  <c r="T22" i="59"/>
  <c r="U22" i="59" s="1"/>
  <c r="V22" i="59" s="1"/>
  <c r="T21" i="59"/>
  <c r="U21" i="59" s="1"/>
  <c r="V21" i="59" s="1"/>
  <c r="A21" i="59"/>
  <c r="A22" i="59" s="1"/>
  <c r="A23" i="59" s="1"/>
  <c r="A24" i="59" s="1"/>
  <c r="A25" i="59" s="1"/>
  <c r="A26" i="59" s="1"/>
  <c r="A27" i="59" s="1"/>
  <c r="A28" i="59" s="1"/>
  <c r="A29" i="59" s="1"/>
  <c r="A30" i="59" s="1"/>
  <c r="A31" i="59" s="1"/>
  <c r="A32" i="59" s="1"/>
  <c r="A33" i="59" s="1"/>
  <c r="A34" i="59" s="1"/>
  <c r="A35" i="59" s="1"/>
  <c r="A36" i="59" s="1"/>
  <c r="A37" i="59" s="1"/>
  <c r="A38" i="59" s="1"/>
  <c r="A39" i="59" s="1"/>
  <c r="A40" i="59" s="1"/>
  <c r="A41" i="59" s="1"/>
  <c r="A42" i="59" s="1"/>
  <c r="A43" i="59" s="1"/>
  <c r="A44" i="59" s="1"/>
  <c r="A45" i="59" s="1"/>
  <c r="A46" i="59" s="1"/>
  <c r="A47" i="59" s="1"/>
  <c r="A48" i="59" s="1"/>
  <c r="A49" i="59" s="1"/>
  <c r="A50" i="59" s="1"/>
  <c r="A51" i="59" s="1"/>
  <c r="A52" i="59" s="1"/>
  <c r="A53" i="59" s="1"/>
  <c r="A54" i="59" s="1"/>
  <c r="A55" i="59" s="1"/>
  <c r="A56" i="59" s="1"/>
  <c r="A57" i="59" s="1"/>
  <c r="T20" i="59"/>
  <c r="U20" i="59" s="1"/>
  <c r="V20" i="59" s="1"/>
  <c r="A20" i="59"/>
  <c r="T18" i="59"/>
  <c r="U18" i="59" s="1"/>
  <c r="V18" i="59" s="1"/>
  <c r="T16" i="59"/>
  <c r="U16" i="59" s="1"/>
  <c r="V16" i="59" s="1"/>
  <c r="T15" i="59"/>
  <c r="U15" i="59" s="1"/>
  <c r="V15" i="59" s="1"/>
  <c r="T14" i="59"/>
  <c r="U14" i="59" s="1"/>
  <c r="V14" i="59" s="1"/>
  <c r="A14" i="59"/>
  <c r="A15" i="59" s="1"/>
  <c r="A16" i="59" s="1"/>
  <c r="A17" i="59" s="1"/>
  <c r="A18" i="59" s="1"/>
  <c r="T13" i="59"/>
  <c r="U13" i="59" s="1"/>
  <c r="V13" i="59" s="1"/>
  <c r="T12" i="59"/>
  <c r="T11" i="59"/>
  <c r="U11" i="59" s="1"/>
  <c r="V11" i="59" s="1"/>
  <c r="T10" i="59"/>
  <c r="U10" i="59" s="1"/>
  <c r="V10" i="59" s="1"/>
  <c r="T9" i="59"/>
  <c r="T8" i="59"/>
  <c r="A8" i="59"/>
  <c r="A9" i="59" s="1"/>
  <c r="A10" i="59" s="1"/>
  <c r="A11" i="59" s="1"/>
  <c r="T7" i="59"/>
  <c r="V58" i="60" l="1"/>
  <c r="U58" i="60"/>
  <c r="T58" i="60"/>
  <c r="U47" i="59"/>
  <c r="V47" i="59" s="1"/>
  <c r="J58" i="59"/>
  <c r="U43" i="59"/>
  <c r="V43" i="59" s="1"/>
  <c r="U37" i="59"/>
  <c r="V37" i="59" s="1"/>
  <c r="U25" i="59"/>
  <c r="V25" i="59" s="1"/>
  <c r="H58" i="59"/>
  <c r="T19" i="59"/>
  <c r="U19" i="59" s="1"/>
  <c r="V19" i="59" s="1"/>
  <c r="U12" i="59"/>
  <c r="V12" i="59" s="1"/>
  <c r="C58" i="59"/>
  <c r="U8" i="59"/>
  <c r="V8" i="59" s="1"/>
  <c r="U9" i="59"/>
  <c r="V9" i="59" s="1"/>
  <c r="T17" i="59"/>
  <c r="U17" i="59" s="1"/>
  <c r="V17" i="59" s="1"/>
  <c r="U7" i="59"/>
  <c r="K43" i="58"/>
  <c r="J43" i="58"/>
  <c r="C43" i="58"/>
  <c r="U58" i="59" l="1"/>
  <c r="V7" i="59"/>
  <c r="V58" i="59" s="1"/>
  <c r="T58" i="59"/>
  <c r="C12" i="58"/>
  <c r="K58" i="58"/>
  <c r="C47" i="58"/>
  <c r="C41" i="58"/>
  <c r="C40" i="58"/>
  <c r="C37" i="58"/>
  <c r="H24" i="58"/>
  <c r="H23" i="58"/>
  <c r="T23" i="58" s="1"/>
  <c r="U23" i="58" s="1"/>
  <c r="V23" i="58" s="1"/>
  <c r="H21" i="58"/>
  <c r="H19" i="58"/>
  <c r="T19" i="58"/>
  <c r="U19" i="58" s="1"/>
  <c r="V19" i="58" s="1"/>
  <c r="H17" i="58"/>
  <c r="T17" i="58" s="1"/>
  <c r="U17" i="58" s="1"/>
  <c r="V17" i="58" s="1"/>
  <c r="C9" i="58"/>
  <c r="C8" i="58"/>
  <c r="U8" i="58" s="1"/>
  <c r="V8" i="58" s="1"/>
  <c r="R58" i="58"/>
  <c r="Q58" i="58"/>
  <c r="P58" i="58"/>
  <c r="O58" i="58"/>
  <c r="N58" i="58"/>
  <c r="M58" i="58"/>
  <c r="G58" i="58"/>
  <c r="F58" i="58"/>
  <c r="U54" i="58"/>
  <c r="V54" i="58" s="1"/>
  <c r="T54" i="58"/>
  <c r="T53" i="58"/>
  <c r="U53" i="58" s="1"/>
  <c r="V53" i="58" s="1"/>
  <c r="T52" i="58"/>
  <c r="U52" i="58" s="1"/>
  <c r="V52" i="58" s="1"/>
  <c r="T51" i="58"/>
  <c r="U51" i="58" s="1"/>
  <c r="V51" i="58" s="1"/>
  <c r="T50" i="58"/>
  <c r="U50" i="58" s="1"/>
  <c r="V50" i="58" s="1"/>
  <c r="T49" i="58"/>
  <c r="U49" i="58" s="1"/>
  <c r="V49" i="58" s="1"/>
  <c r="T48" i="58"/>
  <c r="U48" i="58" s="1"/>
  <c r="V48" i="58" s="1"/>
  <c r="T47" i="58"/>
  <c r="U47" i="58" s="1"/>
  <c r="V47" i="58" s="1"/>
  <c r="T46" i="58"/>
  <c r="U46" i="58" s="1"/>
  <c r="V46" i="58" s="1"/>
  <c r="T45" i="58"/>
  <c r="U45" i="58" s="1"/>
  <c r="V45" i="58" s="1"/>
  <c r="T41" i="58"/>
  <c r="U41" i="58" s="1"/>
  <c r="V41" i="58" s="1"/>
  <c r="T40" i="58"/>
  <c r="U40" i="58" s="1"/>
  <c r="V40" i="58" s="1"/>
  <c r="T39" i="58"/>
  <c r="U39" i="58" s="1"/>
  <c r="V39" i="58" s="1"/>
  <c r="T38" i="58"/>
  <c r="U38" i="58" s="1"/>
  <c r="V38" i="58" s="1"/>
  <c r="T37" i="58"/>
  <c r="U37" i="58" s="1"/>
  <c r="V37" i="58" s="1"/>
  <c r="T36" i="58"/>
  <c r="U36" i="58" s="1"/>
  <c r="V36" i="58" s="1"/>
  <c r="T35" i="58"/>
  <c r="U35" i="58" s="1"/>
  <c r="V35" i="58" s="1"/>
  <c r="T34" i="58"/>
  <c r="U34" i="58" s="1"/>
  <c r="V34" i="58" s="1"/>
  <c r="T33" i="58"/>
  <c r="U33" i="58" s="1"/>
  <c r="V33" i="58" s="1"/>
  <c r="T32" i="58"/>
  <c r="U32" i="58" s="1"/>
  <c r="V32" i="58" s="1"/>
  <c r="T31" i="58"/>
  <c r="U31" i="58" s="1"/>
  <c r="V31" i="58" s="1"/>
  <c r="T30" i="58"/>
  <c r="U30" i="58" s="1"/>
  <c r="V30" i="58" s="1"/>
  <c r="T29" i="58"/>
  <c r="U29" i="58" s="1"/>
  <c r="V29" i="58" s="1"/>
  <c r="T28" i="58"/>
  <c r="U28" i="58" s="1"/>
  <c r="V28" i="58" s="1"/>
  <c r="T27" i="58"/>
  <c r="U27" i="58" s="1"/>
  <c r="V27" i="58" s="1"/>
  <c r="T26" i="58"/>
  <c r="U26" i="58" s="1"/>
  <c r="V26" i="58" s="1"/>
  <c r="AY25" i="58"/>
  <c r="T25" i="58"/>
  <c r="U25" i="58" s="1"/>
  <c r="V25" i="58" s="1"/>
  <c r="T24" i="58"/>
  <c r="U24" i="58" s="1"/>
  <c r="V24" i="58" s="1"/>
  <c r="T22" i="58"/>
  <c r="U22" i="58" s="1"/>
  <c r="V22" i="58" s="1"/>
  <c r="A22" i="58"/>
  <c r="A23" i="58" s="1"/>
  <c r="A24" i="58" s="1"/>
  <c r="A25" i="58" s="1"/>
  <c r="A26" i="58" s="1"/>
  <c r="A27" i="58" s="1"/>
  <c r="A28" i="58" s="1"/>
  <c r="A29" i="58" s="1"/>
  <c r="A30" i="58" s="1"/>
  <c r="A31" i="58" s="1"/>
  <c r="A32" i="58" s="1"/>
  <c r="A33" i="58" s="1"/>
  <c r="A34" i="58" s="1"/>
  <c r="A35" i="58" s="1"/>
  <c r="A36" i="58" s="1"/>
  <c r="A37" i="58" s="1"/>
  <c r="A38" i="58" s="1"/>
  <c r="A39" i="58" s="1"/>
  <c r="A40" i="58" s="1"/>
  <c r="A41" i="58" s="1"/>
  <c r="A42" i="58" s="1"/>
  <c r="A43" i="58" s="1"/>
  <c r="A44" i="58" s="1"/>
  <c r="A45" i="58" s="1"/>
  <c r="A46" i="58" s="1"/>
  <c r="A47" i="58" s="1"/>
  <c r="A48" i="58" s="1"/>
  <c r="A49" i="58" s="1"/>
  <c r="A50" i="58" s="1"/>
  <c r="A51" i="58" s="1"/>
  <c r="A52" i="58" s="1"/>
  <c r="A53" i="58" s="1"/>
  <c r="A54" i="58" s="1"/>
  <c r="A55" i="58" s="1"/>
  <c r="A56" i="58" s="1"/>
  <c r="A57" i="58" s="1"/>
  <c r="T21" i="58"/>
  <c r="U21" i="58" s="1"/>
  <c r="V21" i="58" s="1"/>
  <c r="A21" i="58"/>
  <c r="T20" i="58"/>
  <c r="U20" i="58" s="1"/>
  <c r="V20" i="58" s="1"/>
  <c r="A20" i="58"/>
  <c r="T18" i="58"/>
  <c r="U18" i="58" s="1"/>
  <c r="V18" i="58" s="1"/>
  <c r="T16" i="58"/>
  <c r="U16" i="58" s="1"/>
  <c r="V16" i="58" s="1"/>
  <c r="T15" i="58"/>
  <c r="U15" i="58" s="1"/>
  <c r="V15" i="58" s="1"/>
  <c r="T14" i="58"/>
  <c r="U14" i="58" s="1"/>
  <c r="V14" i="58" s="1"/>
  <c r="A14" i="58"/>
  <c r="A15" i="58" s="1"/>
  <c r="A16" i="58" s="1"/>
  <c r="A17" i="58" s="1"/>
  <c r="A18" i="58" s="1"/>
  <c r="T13" i="58"/>
  <c r="U13" i="58" s="1"/>
  <c r="V13" i="58" s="1"/>
  <c r="T12" i="58"/>
  <c r="U12" i="58" s="1"/>
  <c r="V12" i="58" s="1"/>
  <c r="T11" i="58"/>
  <c r="U11" i="58" s="1"/>
  <c r="V11" i="58" s="1"/>
  <c r="T10" i="58"/>
  <c r="U10" i="58" s="1"/>
  <c r="V10" i="58" s="1"/>
  <c r="A10" i="58"/>
  <c r="A11" i="58" s="1"/>
  <c r="T9" i="58"/>
  <c r="A9" i="58"/>
  <c r="T8" i="58"/>
  <c r="A8" i="58"/>
  <c r="T7" i="58"/>
  <c r="T43" i="58" l="1"/>
  <c r="U43" i="58" s="1"/>
  <c r="V43" i="58" s="1"/>
  <c r="J58" i="58"/>
  <c r="I58" i="58"/>
  <c r="H58" i="58"/>
  <c r="U9" i="58"/>
  <c r="V9" i="58" s="1"/>
  <c r="C58" i="58"/>
  <c r="U7" i="58"/>
  <c r="C47" i="56"/>
  <c r="K43" i="56"/>
  <c r="J43" i="56"/>
  <c r="I43" i="56"/>
  <c r="C43" i="56"/>
  <c r="C41" i="56"/>
  <c r="C40" i="56"/>
  <c r="C37" i="56"/>
  <c r="C28" i="56"/>
  <c r="C25" i="56"/>
  <c r="H24" i="56"/>
  <c r="H23" i="56"/>
  <c r="H21" i="56"/>
  <c r="H19" i="56"/>
  <c r="H17" i="56"/>
  <c r="C12" i="56"/>
  <c r="C9" i="56"/>
  <c r="C8" i="56"/>
  <c r="C47" i="55"/>
  <c r="C43" i="55"/>
  <c r="K43" i="55"/>
  <c r="J43" i="55"/>
  <c r="C41" i="55"/>
  <c r="C40" i="55"/>
  <c r="C37" i="55"/>
  <c r="C30" i="55"/>
  <c r="C28" i="55"/>
  <c r="C25" i="55"/>
  <c r="H24" i="55"/>
  <c r="H23" i="55"/>
  <c r="H21" i="55"/>
  <c r="H17" i="55"/>
  <c r="H19" i="55"/>
  <c r="T58" i="58" l="1"/>
  <c r="U58" i="58"/>
  <c r="V7" i="58"/>
  <c r="V58" i="58" s="1"/>
  <c r="J43" i="57"/>
  <c r="C12" i="55"/>
  <c r="C9" i="55"/>
  <c r="C8" i="55" l="1"/>
  <c r="C37" i="57"/>
  <c r="C41" i="57"/>
  <c r="C43" i="57"/>
  <c r="C47" i="57"/>
  <c r="K43" i="57"/>
  <c r="H23" i="57"/>
  <c r="H21" i="57"/>
  <c r="C40" i="57"/>
  <c r="C32" i="57"/>
  <c r="C28" i="57"/>
  <c r="C25" i="57"/>
  <c r="H24" i="57"/>
  <c r="H19" i="57"/>
  <c r="C12" i="57"/>
  <c r="C9" i="57"/>
  <c r="C8" i="57"/>
  <c r="R58" i="57" l="1"/>
  <c r="Q58" i="57"/>
  <c r="P58" i="57"/>
  <c r="O58" i="57"/>
  <c r="N58" i="57"/>
  <c r="M58" i="57"/>
  <c r="K58" i="57"/>
  <c r="J58" i="57"/>
  <c r="I58" i="57"/>
  <c r="H58" i="57"/>
  <c r="G58" i="57"/>
  <c r="F58" i="57"/>
  <c r="C58" i="57"/>
  <c r="T54" i="57"/>
  <c r="U54" i="57" s="1"/>
  <c r="V54" i="57" s="1"/>
  <c r="T53" i="57"/>
  <c r="U53" i="57" s="1"/>
  <c r="V53" i="57" s="1"/>
  <c r="U52" i="57"/>
  <c r="V52" i="57" s="1"/>
  <c r="T52" i="57"/>
  <c r="T51" i="57"/>
  <c r="U51" i="57" s="1"/>
  <c r="V51" i="57" s="1"/>
  <c r="T50" i="57"/>
  <c r="U50" i="57" s="1"/>
  <c r="V50" i="57" s="1"/>
  <c r="T49" i="57"/>
  <c r="U49" i="57" s="1"/>
  <c r="V49" i="57" s="1"/>
  <c r="T48" i="57"/>
  <c r="U48" i="57" s="1"/>
  <c r="V48" i="57" s="1"/>
  <c r="T47" i="57"/>
  <c r="U47" i="57" s="1"/>
  <c r="V47" i="57" s="1"/>
  <c r="T46" i="57"/>
  <c r="U46" i="57" s="1"/>
  <c r="V46" i="57" s="1"/>
  <c r="T45" i="57"/>
  <c r="U45" i="57" s="1"/>
  <c r="V45" i="57" s="1"/>
  <c r="T43" i="57"/>
  <c r="U43" i="57" s="1"/>
  <c r="V43" i="57" s="1"/>
  <c r="T41" i="57"/>
  <c r="U41" i="57" s="1"/>
  <c r="V41" i="57" s="1"/>
  <c r="T40" i="57"/>
  <c r="U40" i="57" s="1"/>
  <c r="V40" i="57" s="1"/>
  <c r="T39" i="57"/>
  <c r="U39" i="57" s="1"/>
  <c r="V39" i="57" s="1"/>
  <c r="T38" i="57"/>
  <c r="U38" i="57" s="1"/>
  <c r="V38" i="57" s="1"/>
  <c r="T37" i="57"/>
  <c r="U37" i="57" s="1"/>
  <c r="V37" i="57" s="1"/>
  <c r="T36" i="57"/>
  <c r="U36" i="57" s="1"/>
  <c r="V36" i="57" s="1"/>
  <c r="T35" i="57"/>
  <c r="U35" i="57" s="1"/>
  <c r="V35" i="57" s="1"/>
  <c r="T34" i="57"/>
  <c r="U34" i="57" s="1"/>
  <c r="V34" i="57" s="1"/>
  <c r="T33" i="57"/>
  <c r="U33" i="57" s="1"/>
  <c r="V33" i="57" s="1"/>
  <c r="T32" i="57"/>
  <c r="U32" i="57" s="1"/>
  <c r="V32" i="57" s="1"/>
  <c r="T31" i="57"/>
  <c r="U31" i="57" s="1"/>
  <c r="V31" i="57" s="1"/>
  <c r="T30" i="57"/>
  <c r="U30" i="57" s="1"/>
  <c r="V30" i="57" s="1"/>
  <c r="T29" i="57"/>
  <c r="U29" i="57" s="1"/>
  <c r="V29" i="57" s="1"/>
  <c r="T28" i="57"/>
  <c r="U28" i="57" s="1"/>
  <c r="V28" i="57" s="1"/>
  <c r="T27" i="57"/>
  <c r="U27" i="57" s="1"/>
  <c r="V27" i="57" s="1"/>
  <c r="T26" i="57"/>
  <c r="U26" i="57" s="1"/>
  <c r="V26" i="57" s="1"/>
  <c r="AY25" i="57"/>
  <c r="T25" i="57"/>
  <c r="U25" i="57" s="1"/>
  <c r="V25" i="57" s="1"/>
  <c r="T24" i="57"/>
  <c r="U24" i="57" s="1"/>
  <c r="V24" i="57" s="1"/>
  <c r="T23" i="57"/>
  <c r="U23" i="57" s="1"/>
  <c r="V23" i="57" s="1"/>
  <c r="T22" i="57"/>
  <c r="U22" i="57" s="1"/>
  <c r="V22" i="57" s="1"/>
  <c r="T21" i="57"/>
  <c r="U21" i="57" s="1"/>
  <c r="V21" i="57" s="1"/>
  <c r="T20" i="57"/>
  <c r="U20" i="57" s="1"/>
  <c r="V20" i="57" s="1"/>
  <c r="A20" i="57"/>
  <c r="A21" i="57" s="1"/>
  <c r="A22" i="57" s="1"/>
  <c r="A23" i="57" s="1"/>
  <c r="A24" i="57" s="1"/>
  <c r="A25" i="57" s="1"/>
  <c r="A26" i="57" s="1"/>
  <c r="A27" i="57" s="1"/>
  <c r="A28" i="57" s="1"/>
  <c r="A29" i="57" s="1"/>
  <c r="A30" i="57" s="1"/>
  <c r="A31" i="57" s="1"/>
  <c r="A32" i="57" s="1"/>
  <c r="A33" i="57" s="1"/>
  <c r="A34" i="57" s="1"/>
  <c r="A35" i="57" s="1"/>
  <c r="A36" i="57" s="1"/>
  <c r="A37" i="57" s="1"/>
  <c r="A38" i="57" s="1"/>
  <c r="A39" i="57" s="1"/>
  <c r="A40" i="57" s="1"/>
  <c r="A41" i="57" s="1"/>
  <c r="A42" i="57" s="1"/>
  <c r="A43" i="57" s="1"/>
  <c r="A44" i="57" s="1"/>
  <c r="A45" i="57" s="1"/>
  <c r="A46" i="57" s="1"/>
  <c r="A47" i="57" s="1"/>
  <c r="A48" i="57" s="1"/>
  <c r="A49" i="57" s="1"/>
  <c r="A50" i="57" s="1"/>
  <c r="A51" i="57" s="1"/>
  <c r="A52" i="57" s="1"/>
  <c r="A53" i="57" s="1"/>
  <c r="A54" i="57" s="1"/>
  <c r="A55" i="57" s="1"/>
  <c r="A56" i="57" s="1"/>
  <c r="A57" i="57" s="1"/>
  <c r="T19" i="57"/>
  <c r="U19" i="57" s="1"/>
  <c r="V19" i="57" s="1"/>
  <c r="T18" i="57"/>
  <c r="U18" i="57" s="1"/>
  <c r="V18" i="57" s="1"/>
  <c r="T17" i="57"/>
  <c r="U17" i="57" s="1"/>
  <c r="V17" i="57" s="1"/>
  <c r="T16" i="57"/>
  <c r="U16" i="57" s="1"/>
  <c r="V16" i="57" s="1"/>
  <c r="T15" i="57"/>
  <c r="U15" i="57" s="1"/>
  <c r="V15" i="57" s="1"/>
  <c r="T14" i="57"/>
  <c r="U14" i="57" s="1"/>
  <c r="V14" i="57" s="1"/>
  <c r="A14" i="57"/>
  <c r="A15" i="57" s="1"/>
  <c r="A16" i="57" s="1"/>
  <c r="A17" i="57" s="1"/>
  <c r="A18" i="57" s="1"/>
  <c r="T13" i="57"/>
  <c r="U13" i="57" s="1"/>
  <c r="V13" i="57" s="1"/>
  <c r="U12" i="57"/>
  <c r="V12" i="57" s="1"/>
  <c r="T12" i="57"/>
  <c r="T11" i="57"/>
  <c r="U11" i="57" s="1"/>
  <c r="V11" i="57" s="1"/>
  <c r="U10" i="57"/>
  <c r="V10" i="57" s="1"/>
  <c r="T10" i="57"/>
  <c r="T9" i="57"/>
  <c r="U9" i="57" s="1"/>
  <c r="V9" i="57" s="1"/>
  <c r="T8" i="57"/>
  <c r="U8" i="57" s="1"/>
  <c r="V8" i="57" s="1"/>
  <c r="A8" i="57"/>
  <c r="A9" i="57" s="1"/>
  <c r="A10" i="57" s="1"/>
  <c r="A11" i="57" s="1"/>
  <c r="T7" i="57"/>
  <c r="R58" i="56"/>
  <c r="Q58" i="56"/>
  <c r="P58" i="56"/>
  <c r="O58" i="56"/>
  <c r="N58" i="56"/>
  <c r="M58" i="56"/>
  <c r="K58" i="56"/>
  <c r="J58" i="56"/>
  <c r="I58" i="56"/>
  <c r="H58" i="56"/>
  <c r="G58" i="56"/>
  <c r="F58" i="56"/>
  <c r="C58" i="56"/>
  <c r="T54" i="56"/>
  <c r="U54" i="56" s="1"/>
  <c r="V54" i="56" s="1"/>
  <c r="T53" i="56"/>
  <c r="U53" i="56" s="1"/>
  <c r="V53" i="56" s="1"/>
  <c r="U52" i="56"/>
  <c r="V52" i="56" s="1"/>
  <c r="T52" i="56"/>
  <c r="T51" i="56"/>
  <c r="U51" i="56" s="1"/>
  <c r="V51" i="56" s="1"/>
  <c r="T50" i="56"/>
  <c r="U50" i="56" s="1"/>
  <c r="V50" i="56" s="1"/>
  <c r="T49" i="56"/>
  <c r="U49" i="56" s="1"/>
  <c r="V49" i="56" s="1"/>
  <c r="T48" i="56"/>
  <c r="U48" i="56" s="1"/>
  <c r="V48" i="56" s="1"/>
  <c r="T47" i="56"/>
  <c r="U47" i="56" s="1"/>
  <c r="V47" i="56" s="1"/>
  <c r="T46" i="56"/>
  <c r="U46" i="56" s="1"/>
  <c r="V46" i="56" s="1"/>
  <c r="T45" i="56"/>
  <c r="U45" i="56" s="1"/>
  <c r="V45" i="56" s="1"/>
  <c r="T43" i="56"/>
  <c r="U43" i="56" s="1"/>
  <c r="V43" i="56" s="1"/>
  <c r="T41" i="56"/>
  <c r="U41" i="56" s="1"/>
  <c r="V41" i="56" s="1"/>
  <c r="T40" i="56"/>
  <c r="U40" i="56" s="1"/>
  <c r="V40" i="56" s="1"/>
  <c r="T39" i="56"/>
  <c r="U39" i="56" s="1"/>
  <c r="V39" i="56" s="1"/>
  <c r="T38" i="56"/>
  <c r="U38" i="56" s="1"/>
  <c r="V38" i="56" s="1"/>
  <c r="T37" i="56"/>
  <c r="U37" i="56" s="1"/>
  <c r="V37" i="56" s="1"/>
  <c r="T36" i="56"/>
  <c r="U36" i="56" s="1"/>
  <c r="V36" i="56" s="1"/>
  <c r="T35" i="56"/>
  <c r="U35" i="56" s="1"/>
  <c r="V35" i="56" s="1"/>
  <c r="T34" i="56"/>
  <c r="U34" i="56" s="1"/>
  <c r="V34" i="56" s="1"/>
  <c r="T33" i="56"/>
  <c r="U33" i="56" s="1"/>
  <c r="V33" i="56" s="1"/>
  <c r="T32" i="56"/>
  <c r="U32" i="56" s="1"/>
  <c r="V32" i="56" s="1"/>
  <c r="T31" i="56"/>
  <c r="U31" i="56" s="1"/>
  <c r="V31" i="56" s="1"/>
  <c r="T30" i="56"/>
  <c r="U30" i="56" s="1"/>
  <c r="V30" i="56" s="1"/>
  <c r="T29" i="56"/>
  <c r="U29" i="56" s="1"/>
  <c r="V29" i="56" s="1"/>
  <c r="T28" i="56"/>
  <c r="U28" i="56" s="1"/>
  <c r="V28" i="56" s="1"/>
  <c r="T27" i="56"/>
  <c r="U27" i="56" s="1"/>
  <c r="V27" i="56" s="1"/>
  <c r="T26" i="56"/>
  <c r="U26" i="56" s="1"/>
  <c r="V26" i="56" s="1"/>
  <c r="AY25" i="56"/>
  <c r="T25" i="56"/>
  <c r="U25" i="56" s="1"/>
  <c r="V25" i="56" s="1"/>
  <c r="T24" i="56"/>
  <c r="U24" i="56" s="1"/>
  <c r="V24" i="56" s="1"/>
  <c r="T23" i="56"/>
  <c r="U23" i="56" s="1"/>
  <c r="V23" i="56" s="1"/>
  <c r="T22" i="56"/>
  <c r="U22" i="56" s="1"/>
  <c r="V22" i="56" s="1"/>
  <c r="T21" i="56"/>
  <c r="U21" i="56" s="1"/>
  <c r="V21" i="56" s="1"/>
  <c r="A21" i="56"/>
  <c r="A22" i="56" s="1"/>
  <c r="A23" i="56" s="1"/>
  <c r="A24" i="56" s="1"/>
  <c r="A25" i="56" s="1"/>
  <c r="A26" i="56" s="1"/>
  <c r="A27" i="56" s="1"/>
  <c r="A28" i="56" s="1"/>
  <c r="A29" i="56" s="1"/>
  <c r="A30" i="56" s="1"/>
  <c r="A31" i="56" s="1"/>
  <c r="A32" i="56" s="1"/>
  <c r="A33" i="56" s="1"/>
  <c r="A34" i="56" s="1"/>
  <c r="A35" i="56" s="1"/>
  <c r="A36" i="56" s="1"/>
  <c r="A37" i="56" s="1"/>
  <c r="A38" i="56" s="1"/>
  <c r="A39" i="56" s="1"/>
  <c r="A40" i="56" s="1"/>
  <c r="A41" i="56" s="1"/>
  <c r="A42" i="56" s="1"/>
  <c r="A43" i="56" s="1"/>
  <c r="A44" i="56" s="1"/>
  <c r="A45" i="56" s="1"/>
  <c r="A46" i="56" s="1"/>
  <c r="A47" i="56" s="1"/>
  <c r="A48" i="56" s="1"/>
  <c r="A49" i="56" s="1"/>
  <c r="A50" i="56" s="1"/>
  <c r="A51" i="56" s="1"/>
  <c r="A52" i="56" s="1"/>
  <c r="A53" i="56" s="1"/>
  <c r="A54" i="56" s="1"/>
  <c r="A55" i="56" s="1"/>
  <c r="A56" i="56" s="1"/>
  <c r="A57" i="56" s="1"/>
  <c r="T20" i="56"/>
  <c r="U20" i="56" s="1"/>
  <c r="V20" i="56" s="1"/>
  <c r="A20" i="56"/>
  <c r="T19" i="56"/>
  <c r="U19" i="56" s="1"/>
  <c r="V19" i="56" s="1"/>
  <c r="T18" i="56"/>
  <c r="U18" i="56" s="1"/>
  <c r="V18" i="56" s="1"/>
  <c r="T17" i="56"/>
  <c r="U17" i="56" s="1"/>
  <c r="V17" i="56" s="1"/>
  <c r="T16" i="56"/>
  <c r="U16" i="56" s="1"/>
  <c r="V16" i="56" s="1"/>
  <c r="T15" i="56"/>
  <c r="U15" i="56" s="1"/>
  <c r="V15" i="56" s="1"/>
  <c r="A15" i="56"/>
  <c r="A16" i="56" s="1"/>
  <c r="A17" i="56" s="1"/>
  <c r="A18" i="56" s="1"/>
  <c r="T14" i="56"/>
  <c r="U14" i="56" s="1"/>
  <c r="V14" i="56" s="1"/>
  <c r="A14" i="56"/>
  <c r="T13" i="56"/>
  <c r="U13" i="56" s="1"/>
  <c r="V13" i="56" s="1"/>
  <c r="T12" i="56"/>
  <c r="U12" i="56" s="1"/>
  <c r="V12" i="56" s="1"/>
  <c r="T11" i="56"/>
  <c r="U11" i="56" s="1"/>
  <c r="V11" i="56" s="1"/>
  <c r="U10" i="56"/>
  <c r="V10" i="56" s="1"/>
  <c r="T10" i="56"/>
  <c r="T9" i="56"/>
  <c r="U9" i="56" s="1"/>
  <c r="V9" i="56" s="1"/>
  <c r="A9" i="56"/>
  <c r="A10" i="56" s="1"/>
  <c r="A11" i="56" s="1"/>
  <c r="T8" i="56"/>
  <c r="U8" i="56" s="1"/>
  <c r="V8" i="56" s="1"/>
  <c r="A8" i="56"/>
  <c r="T7" i="56"/>
  <c r="U7" i="56" s="1"/>
  <c r="T58" i="57" l="1"/>
  <c r="U7" i="57"/>
  <c r="V7" i="56"/>
  <c r="V58" i="56" s="1"/>
  <c r="U58" i="56"/>
  <c r="T58" i="56"/>
  <c r="R58" i="55"/>
  <c r="Q58" i="55"/>
  <c r="P58" i="55"/>
  <c r="O58" i="55"/>
  <c r="N58" i="55"/>
  <c r="M58" i="55"/>
  <c r="K58" i="55"/>
  <c r="J58" i="55"/>
  <c r="I58" i="55"/>
  <c r="H58" i="55"/>
  <c r="G58" i="55"/>
  <c r="F58" i="55"/>
  <c r="C58" i="55"/>
  <c r="T54" i="55"/>
  <c r="U54" i="55" s="1"/>
  <c r="V54" i="55" s="1"/>
  <c r="T53" i="55"/>
  <c r="U53" i="55" s="1"/>
  <c r="V53" i="55" s="1"/>
  <c r="T52" i="55"/>
  <c r="U52" i="55" s="1"/>
  <c r="V52" i="55" s="1"/>
  <c r="T51" i="55"/>
  <c r="U51" i="55" s="1"/>
  <c r="V51" i="55" s="1"/>
  <c r="T50" i="55"/>
  <c r="U50" i="55" s="1"/>
  <c r="V50" i="55" s="1"/>
  <c r="T49" i="55"/>
  <c r="U49" i="55" s="1"/>
  <c r="V49" i="55" s="1"/>
  <c r="T48" i="55"/>
  <c r="U48" i="55" s="1"/>
  <c r="V48" i="55" s="1"/>
  <c r="T47" i="55"/>
  <c r="U47" i="55" s="1"/>
  <c r="V47" i="55" s="1"/>
  <c r="T46" i="55"/>
  <c r="U46" i="55" s="1"/>
  <c r="V46" i="55" s="1"/>
  <c r="U45" i="55"/>
  <c r="V45" i="55" s="1"/>
  <c r="T45" i="55"/>
  <c r="T43" i="55"/>
  <c r="U43" i="55" s="1"/>
  <c r="V43" i="55" s="1"/>
  <c r="T41" i="55"/>
  <c r="U41" i="55" s="1"/>
  <c r="V41" i="55" s="1"/>
  <c r="T40" i="55"/>
  <c r="U40" i="55" s="1"/>
  <c r="V40" i="55" s="1"/>
  <c r="T39" i="55"/>
  <c r="U39" i="55" s="1"/>
  <c r="V39" i="55" s="1"/>
  <c r="T38" i="55"/>
  <c r="U38" i="55" s="1"/>
  <c r="V38" i="55" s="1"/>
  <c r="T37" i="55"/>
  <c r="U37" i="55" s="1"/>
  <c r="V37" i="55" s="1"/>
  <c r="U36" i="55"/>
  <c r="V36" i="55" s="1"/>
  <c r="T36" i="55"/>
  <c r="T35" i="55"/>
  <c r="U35" i="55" s="1"/>
  <c r="V35" i="55" s="1"/>
  <c r="T34" i="55"/>
  <c r="U34" i="55" s="1"/>
  <c r="V34" i="55" s="1"/>
  <c r="T33" i="55"/>
  <c r="U33" i="55" s="1"/>
  <c r="V33" i="55" s="1"/>
  <c r="U32" i="55"/>
  <c r="V32" i="55" s="1"/>
  <c r="T32" i="55"/>
  <c r="T31" i="55"/>
  <c r="U31" i="55" s="1"/>
  <c r="V31" i="55" s="1"/>
  <c r="T30" i="55"/>
  <c r="U30" i="55" s="1"/>
  <c r="V30" i="55" s="1"/>
  <c r="T29" i="55"/>
  <c r="U29" i="55" s="1"/>
  <c r="V29" i="55" s="1"/>
  <c r="U28" i="55"/>
  <c r="V28" i="55" s="1"/>
  <c r="T28" i="55"/>
  <c r="T27" i="55"/>
  <c r="U27" i="55" s="1"/>
  <c r="V27" i="55" s="1"/>
  <c r="T26" i="55"/>
  <c r="U26" i="55" s="1"/>
  <c r="V26" i="55" s="1"/>
  <c r="AY25" i="55"/>
  <c r="T25" i="55"/>
  <c r="U25" i="55" s="1"/>
  <c r="V25" i="55" s="1"/>
  <c r="T24" i="55"/>
  <c r="U24" i="55" s="1"/>
  <c r="V24" i="55" s="1"/>
  <c r="T23" i="55"/>
  <c r="U23" i="55" s="1"/>
  <c r="V23" i="55" s="1"/>
  <c r="T22" i="55"/>
  <c r="U22" i="55" s="1"/>
  <c r="V22" i="55" s="1"/>
  <c r="T21" i="55"/>
  <c r="U21" i="55" s="1"/>
  <c r="V21" i="55" s="1"/>
  <c r="A21" i="55"/>
  <c r="A22" i="55" s="1"/>
  <c r="A23" i="55" s="1"/>
  <c r="A24" i="55" s="1"/>
  <c r="A25" i="55" s="1"/>
  <c r="A26" i="55" s="1"/>
  <c r="A27" i="55" s="1"/>
  <c r="A28" i="55" s="1"/>
  <c r="A29" i="55" s="1"/>
  <c r="A30" i="55" s="1"/>
  <c r="A31" i="55" s="1"/>
  <c r="A32" i="55" s="1"/>
  <c r="A33" i="55" s="1"/>
  <c r="A34" i="55" s="1"/>
  <c r="A35" i="55" s="1"/>
  <c r="A36" i="55" s="1"/>
  <c r="A37" i="55" s="1"/>
  <c r="A38" i="55" s="1"/>
  <c r="A39" i="55" s="1"/>
  <c r="A40" i="55" s="1"/>
  <c r="A41" i="55" s="1"/>
  <c r="A42" i="55" s="1"/>
  <c r="A43" i="55" s="1"/>
  <c r="A44" i="55" s="1"/>
  <c r="A45" i="55" s="1"/>
  <c r="A46" i="55" s="1"/>
  <c r="A47" i="55" s="1"/>
  <c r="A48" i="55" s="1"/>
  <c r="A49" i="55" s="1"/>
  <c r="A50" i="55" s="1"/>
  <c r="A51" i="55" s="1"/>
  <c r="A52" i="55" s="1"/>
  <c r="A53" i="55" s="1"/>
  <c r="A54" i="55" s="1"/>
  <c r="A55" i="55" s="1"/>
  <c r="A56" i="55" s="1"/>
  <c r="A57" i="55" s="1"/>
  <c r="T20" i="55"/>
  <c r="U20" i="55" s="1"/>
  <c r="V20" i="55" s="1"/>
  <c r="A20" i="55"/>
  <c r="T19" i="55"/>
  <c r="U19" i="55" s="1"/>
  <c r="V19" i="55" s="1"/>
  <c r="T18" i="55"/>
  <c r="U18" i="55" s="1"/>
  <c r="V18" i="55" s="1"/>
  <c r="T17" i="55"/>
  <c r="U17" i="55" s="1"/>
  <c r="V17" i="55" s="1"/>
  <c r="V16" i="55"/>
  <c r="U16" i="55"/>
  <c r="T16" i="55"/>
  <c r="T15" i="55"/>
  <c r="U15" i="55" s="1"/>
  <c r="V15" i="55" s="1"/>
  <c r="T14" i="55"/>
  <c r="U14" i="55" s="1"/>
  <c r="V14" i="55" s="1"/>
  <c r="A14" i="55"/>
  <c r="A15" i="55" s="1"/>
  <c r="A16" i="55" s="1"/>
  <c r="A17" i="55" s="1"/>
  <c r="A18" i="55" s="1"/>
  <c r="T13" i="55"/>
  <c r="U13" i="55" s="1"/>
  <c r="V13" i="55" s="1"/>
  <c r="T12" i="55"/>
  <c r="U12" i="55" s="1"/>
  <c r="V12" i="55" s="1"/>
  <c r="T11" i="55"/>
  <c r="U11" i="55" s="1"/>
  <c r="V11" i="55" s="1"/>
  <c r="T10" i="55"/>
  <c r="U10" i="55" s="1"/>
  <c r="V10" i="55" s="1"/>
  <c r="T9" i="55"/>
  <c r="U9" i="55" s="1"/>
  <c r="V9" i="55" s="1"/>
  <c r="T8" i="55"/>
  <c r="U8" i="55" s="1"/>
  <c r="V8" i="55" s="1"/>
  <c r="A8" i="55"/>
  <c r="A9" i="55" s="1"/>
  <c r="A10" i="55" s="1"/>
  <c r="A11" i="55" s="1"/>
  <c r="T7" i="55"/>
  <c r="U7" i="55" s="1"/>
  <c r="V7" i="57" l="1"/>
  <c r="V58" i="57" s="1"/>
  <c r="U58" i="57"/>
  <c r="V7" i="55"/>
  <c r="V58" i="55" s="1"/>
  <c r="U58" i="55"/>
  <c r="T58" i="55"/>
  <c r="R58" i="32" l="1"/>
  <c r="Q58" i="32"/>
  <c r="P58" i="32"/>
  <c r="O58" i="32"/>
  <c r="N58" i="32"/>
  <c r="M58" i="32"/>
  <c r="K58" i="32"/>
  <c r="J58" i="32"/>
  <c r="I58" i="32"/>
  <c r="H58" i="32"/>
  <c r="G58" i="32"/>
  <c r="F58" i="32"/>
  <c r="C58" i="32"/>
  <c r="T54" i="32"/>
  <c r="U54" i="32" s="1"/>
  <c r="V54" i="32" s="1"/>
  <c r="T53" i="32"/>
  <c r="U53" i="32" s="1"/>
  <c r="V53" i="32" s="1"/>
  <c r="T52" i="32"/>
  <c r="U52" i="32" s="1"/>
  <c r="V52" i="32" s="1"/>
  <c r="T51" i="32"/>
  <c r="U51" i="32" s="1"/>
  <c r="V51" i="32" s="1"/>
  <c r="T50" i="32"/>
  <c r="U50" i="32" s="1"/>
  <c r="V50" i="32" s="1"/>
  <c r="T49" i="32"/>
  <c r="U49" i="32" s="1"/>
  <c r="V49" i="32" s="1"/>
  <c r="T48" i="32"/>
  <c r="U48" i="32" s="1"/>
  <c r="V48" i="32" s="1"/>
  <c r="T47" i="32"/>
  <c r="U47" i="32" s="1"/>
  <c r="V47" i="32" s="1"/>
  <c r="T46" i="32"/>
  <c r="U46" i="32" s="1"/>
  <c r="V46" i="32" s="1"/>
  <c r="T45" i="32"/>
  <c r="U45" i="32" s="1"/>
  <c r="V45" i="32" s="1"/>
  <c r="T43" i="32"/>
  <c r="U43" i="32" s="1"/>
  <c r="V43" i="32" s="1"/>
  <c r="T41" i="32"/>
  <c r="U41" i="32" s="1"/>
  <c r="V41" i="32" s="1"/>
  <c r="T40" i="32"/>
  <c r="U40" i="32"/>
  <c r="V40" i="32" s="1"/>
  <c r="T38" i="32"/>
  <c r="U38" i="32"/>
  <c r="V38" i="32" s="1"/>
  <c r="T37" i="32"/>
  <c r="U37" i="32" s="1"/>
  <c r="V37" i="32" s="1"/>
  <c r="T36" i="32"/>
  <c r="U36" i="32" s="1"/>
  <c r="V36" i="32" s="1"/>
  <c r="T35" i="32"/>
  <c r="U35" i="32" s="1"/>
  <c r="V35" i="32" s="1"/>
  <c r="T34" i="32"/>
  <c r="U34" i="32" s="1"/>
  <c r="V34" i="32" s="1"/>
  <c r="T33" i="32"/>
  <c r="U33" i="32" s="1"/>
  <c r="V33" i="32" s="1"/>
  <c r="T32" i="32"/>
  <c r="U32" i="32" s="1"/>
  <c r="V32" i="32" s="1"/>
  <c r="T31" i="32"/>
  <c r="U31" i="32" s="1"/>
  <c r="V31" i="32" s="1"/>
  <c r="T30" i="32"/>
  <c r="U30" i="32" s="1"/>
  <c r="V30" i="32" s="1"/>
  <c r="T29" i="32"/>
  <c r="U29" i="32" s="1"/>
  <c r="V29" i="32" s="1"/>
  <c r="T28" i="32"/>
  <c r="U28" i="32" s="1"/>
  <c r="V28" i="32" s="1"/>
  <c r="T26" i="32"/>
  <c r="U26" i="32" s="1"/>
  <c r="V26" i="32" s="1"/>
  <c r="AY25" i="32"/>
  <c r="T25" i="32"/>
  <c r="U25" i="32" s="1"/>
  <c r="V25" i="32" s="1"/>
  <c r="T24" i="32"/>
  <c r="U24" i="32" s="1"/>
  <c r="V24" i="32" s="1"/>
  <c r="T23" i="32"/>
  <c r="U23" i="32" s="1"/>
  <c r="V23" i="32" s="1"/>
  <c r="T22" i="32"/>
  <c r="U22" i="32" s="1"/>
  <c r="V22" i="32" s="1"/>
  <c r="T21" i="32"/>
  <c r="U21" i="32" s="1"/>
  <c r="V21" i="32" s="1"/>
  <c r="T20" i="32"/>
  <c r="U20" i="32" s="1"/>
  <c r="V20" i="32" s="1"/>
  <c r="A20" i="32"/>
  <c r="A21" i="32" s="1"/>
  <c r="A22" i="32" s="1"/>
  <c r="A23" i="32" s="1"/>
  <c r="A24" i="32" s="1"/>
  <c r="A25" i="32" s="1"/>
  <c r="A26" i="32" s="1"/>
  <c r="A27" i="32" s="1"/>
  <c r="A28" i="32" s="1"/>
  <c r="A29" i="32" s="1"/>
  <c r="A30" i="32" s="1"/>
  <c r="A31" i="32" s="1"/>
  <c r="A32" i="32" s="1"/>
  <c r="A33" i="32" s="1"/>
  <c r="A34" i="32" s="1"/>
  <c r="A35" i="32" s="1"/>
  <c r="A36" i="32" s="1"/>
  <c r="A37" i="32" s="1"/>
  <c r="A38" i="32" s="1"/>
  <c r="A39" i="32" s="1"/>
  <c r="A40" i="32" s="1"/>
  <c r="A41" i="32" s="1"/>
  <c r="A42" i="32" s="1"/>
  <c r="A43" i="32" s="1"/>
  <c r="A44" i="32" s="1"/>
  <c r="A45" i="32" s="1"/>
  <c r="A46" i="32" s="1"/>
  <c r="A47" i="32" s="1"/>
  <c r="A48" i="32" s="1"/>
  <c r="A49" i="32" s="1"/>
  <c r="A50" i="32" s="1"/>
  <c r="A51" i="32" s="1"/>
  <c r="A52" i="32" s="1"/>
  <c r="A53" i="32" s="1"/>
  <c r="A54" i="32" s="1"/>
  <c r="A55" i="32" s="1"/>
  <c r="A56" i="32" s="1"/>
  <c r="A57" i="32" s="1"/>
  <c r="T19" i="32"/>
  <c r="U19" i="32" s="1"/>
  <c r="V19" i="32" s="1"/>
  <c r="T18" i="32"/>
  <c r="U18" i="32" s="1"/>
  <c r="V18" i="32" s="1"/>
  <c r="T17" i="32"/>
  <c r="U17" i="32" s="1"/>
  <c r="V17" i="32" s="1"/>
  <c r="T16" i="32"/>
  <c r="U16" i="32" s="1"/>
  <c r="V16" i="32" s="1"/>
  <c r="T15" i="32"/>
  <c r="U15" i="32" s="1"/>
  <c r="V15" i="32" s="1"/>
  <c r="T14" i="32"/>
  <c r="U14" i="32" s="1"/>
  <c r="V14" i="32" s="1"/>
  <c r="A14" i="32"/>
  <c r="A15" i="32" s="1"/>
  <c r="A16" i="32" s="1"/>
  <c r="A17" i="32" s="1"/>
  <c r="A18" i="32" s="1"/>
  <c r="T13" i="32"/>
  <c r="U13" i="32" s="1"/>
  <c r="V13" i="32" s="1"/>
  <c r="T12" i="32"/>
  <c r="U12" i="32" s="1"/>
  <c r="V12" i="32" s="1"/>
  <c r="T11" i="32"/>
  <c r="U11" i="32" s="1"/>
  <c r="V11" i="32" s="1"/>
  <c r="T10" i="32"/>
  <c r="U10" i="32" s="1"/>
  <c r="V10" i="32" s="1"/>
  <c r="T9" i="32"/>
  <c r="U9" i="32" s="1"/>
  <c r="V9" i="32" s="1"/>
  <c r="A9" i="32"/>
  <c r="A10" i="32" s="1"/>
  <c r="A11" i="32" s="1"/>
  <c r="T8" i="32"/>
  <c r="U8" i="32"/>
  <c r="V8" i="32" s="1"/>
  <c r="A8" i="32"/>
  <c r="T7" i="32"/>
  <c r="T58" i="32" l="1"/>
  <c r="U7" i="32"/>
  <c r="U58" i="32" l="1"/>
  <c r="V7" i="32"/>
  <c r="V58" i="32" s="1"/>
</calcChain>
</file>

<file path=xl/sharedStrings.xml><?xml version="1.0" encoding="utf-8"?>
<sst xmlns="http://schemas.openxmlformats.org/spreadsheetml/2006/main" count="1596" uniqueCount="74">
  <si>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</si>
  <si>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</si>
  <si>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</si>
  <si>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</si>
  <si>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</si>
  <si>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</si>
  <si>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</si>
  <si>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</si>
  <si>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</si>
  <si>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SMLL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</si>
  <si>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</si>
  <si>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</si>
  <si>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</si>
  <si>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</si>
  <si>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</si>
  <si>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</si>
  <si>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</si>
  <si>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</si>
  <si>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</si>
  <si>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</si>
  <si>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</si>
  <si>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</si>
  <si>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</si>
  <si>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</si>
  <si>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</si>
  <si>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</si>
  <si>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</si>
  <si>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</si>
  <si>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</si>
  <si>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HTL</t>
  </si>
  <si>
    <t>HTA</t>
  </si>
  <si>
    <t>HTS</t>
  </si>
  <si>
    <t>CB</t>
  </si>
  <si>
    <t>CC</t>
  </si>
  <si>
    <t>C10C</t>
  </si>
  <si>
    <t>CIB</t>
  </si>
  <si>
    <t>CIC</t>
  </si>
  <si>
    <t>EMPTIES</t>
  </si>
  <si>
    <t>RH5</t>
  </si>
  <si>
    <t>ROUTE 2</t>
  </si>
  <si>
    <t>ROUTE 3</t>
  </si>
  <si>
    <t>FLOOR STOCKS</t>
  </si>
  <si>
    <t>INVENTORY COUNT SHEET</t>
  </si>
  <si>
    <t>GUILLERMO BEVERAGE DISTRIBUTION SERVICES</t>
  </si>
  <si>
    <t>BOT</t>
  </si>
  <si>
    <t>SHL</t>
  </si>
  <si>
    <t>PL/RHL/GEK</t>
  </si>
  <si>
    <t>FB/SML/RHS</t>
  </si>
  <si>
    <t>HT</t>
  </si>
  <si>
    <t>PALLETS</t>
  </si>
  <si>
    <t>TOTAL</t>
  </si>
  <si>
    <t>TOTAL EMPTIES</t>
  </si>
  <si>
    <t>FULLS
 SKU</t>
  </si>
  <si>
    <t>CBB</t>
  </si>
  <si>
    <t>CNB</t>
  </si>
  <si>
    <t>CLC</t>
  </si>
  <si>
    <t>SMZB</t>
  </si>
  <si>
    <t>RH500C</t>
  </si>
  <si>
    <t>SMFB</t>
  </si>
  <si>
    <t>GE320</t>
  </si>
  <si>
    <t>M</t>
  </si>
  <si>
    <t>bot</t>
  </si>
  <si>
    <t>PP500C</t>
  </si>
  <si>
    <t>MGYZ</t>
  </si>
  <si>
    <t>WB</t>
  </si>
  <si>
    <t>WB BO LIL</t>
  </si>
  <si>
    <t>TOTAL INVENTORY PER CASE</t>
  </si>
  <si>
    <t>TOTAL INVENTORY BOTTLE PER CASE</t>
  </si>
  <si>
    <t>WAREHOUSE,  MISSING, BO, LILOY</t>
  </si>
  <si>
    <t>SML500C</t>
  </si>
  <si>
    <t xml:space="preserve">DATE: </t>
  </si>
  <si>
    <t>DATE: 06/01/2026</t>
  </si>
  <si>
    <t>DATE: 06/02/2026</t>
  </si>
  <si>
    <t>DATE: 06/03/2026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</si>
</sst>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.00_);_(* \(#,##0.00\);_(* &quot;-&quot;??_);_(@_)"/>
    <numFmt numFmtId="165" formatCode="[$-F800]dddd\,\ mmmm\ dd\,\ yyyy"/>
    <numFmt numFmtId="166" formatCode="_(* #,##0_);_(* \(#,##0\);_(* &quot;-&quot;??_);_(@_)"/>
  </numFmts>
  <fonts count="16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sz val="11"/>
      <color indexed="8"/>
      <name val="Calibri"/>
      <family val="2"/>
    </font>
    <font>
      <b/>
      <sz val="8"/>
      <name val="Calibri"/>
      <family val="2"/>
      <scheme val="minor"/>
    </font>
    <font>
      <sz val="10"/>
      <name val="Arial"/>
      <family val="2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14"/>
      <name val="Calibri"/>
      <family val="2"/>
      <scheme val="minor"/>
    </font>
    <font>
      <sz val="14"/>
      <name val="Calibri"/>
      <family val="2"/>
      <scheme val="minor"/>
    </font>
    <font>
      <sz val="12"/>
      <name val="Calibri"/>
      <family val="2"/>
      <scheme val="minor"/>
    </font>
    <font>
      <b/>
      <sz val="9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64">
    <border>
      <left/>
      <right/>
      <top/>
      <bottom/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/>
      <bottom style="medium">
        <color rgb="FFFF0000"/>
      </bottom>
      <diagonal/>
    </border>
    <border>
      <left style="thin">
        <color auto="1"/>
      </left>
      <right style="medium">
        <color auto="1"/>
      </right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thin">
        <color auto="1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 style="medium">
        <color auto="1"/>
      </right>
      <top style="medium">
        <color rgb="FFFF0000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/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rgb="FFFF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medium">
        <color rgb="FFFF0000"/>
      </top>
      <bottom style="medium">
        <color rgb="FFFF0000"/>
      </bottom>
      <diagonal/>
    </border>
    <border>
      <left style="thin">
        <color auto="1"/>
      </left>
      <right/>
      <top/>
      <bottom style="medium">
        <color rgb="FFFF0000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medium">
        <color rgb="FFFF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medium">
        <color rgb="FFFF0000"/>
      </top>
      <bottom style="medium">
        <color rgb="FFFF0000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rgb="FFFF0000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rgb="FFFF0000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164" fontId="3" fillId="0" borderId="0" applyFont="0" applyFill="0" applyBorder="0" applyAlignment="0" applyProtection="0"/>
    <xf numFmtId="0" fontId="5" fillId="0" borderId="0"/>
    <xf numFmtId="164" fontId="5" fillId="0" borderId="0" applyFont="0" applyFill="0" applyBorder="0" applyAlignment="0" applyProtection="0"/>
  </cellStyleXfs>
  <cellXfs count="129">
    <xf numFmtId="0" fontId="0" fillId="0" borderId="0" xfId="0"/>
    <xf numFmtId="166" fontId="2" fillId="0" borderId="6" xfId="3" applyNumberFormat="1" applyFont="1" applyFill="1" applyBorder="1" applyAlignment="1">
      <alignment vertical="center"/>
    </xf>
    <xf numFmtId="166" fontId="7" fillId="0" borderId="20" xfId="2" applyNumberFormat="1" applyFont="1" applyFill="1" applyBorder="1" applyAlignment="1">
      <alignment vertical="center"/>
    </xf>
    <xf numFmtId="166" fontId="2" fillId="0" borderId="23" xfId="3" applyNumberFormat="1" applyFont="1" applyFill="1" applyBorder="1" applyAlignment="1">
      <alignment vertical="center"/>
    </xf>
    <xf numFmtId="166" fontId="7" fillId="0" borderId="24" xfId="2" applyNumberFormat="1" applyFont="1" applyFill="1" applyBorder="1" applyAlignment="1">
      <alignment vertical="center"/>
    </xf>
    <xf numFmtId="166" fontId="7" fillId="0" borderId="19" xfId="2" applyNumberFormat="1" applyFont="1" applyFill="1" applyBorder="1" applyAlignment="1">
      <alignment vertical="center"/>
    </xf>
    <xf numFmtId="166" fontId="7" fillId="0" borderId="21" xfId="2" applyNumberFormat="1" applyFont="1" applyFill="1" applyBorder="1" applyAlignment="1">
      <alignment vertical="center"/>
    </xf>
    <xf numFmtId="166" fontId="2" fillId="0" borderId="25" xfId="3" applyNumberFormat="1" applyFont="1" applyFill="1" applyBorder="1" applyAlignment="1">
      <alignment vertical="center"/>
    </xf>
    <xf numFmtId="166" fontId="2" fillId="0" borderId="7" xfId="3" applyNumberFormat="1" applyFont="1" applyFill="1" applyBorder="1" applyAlignment="1">
      <alignment vertical="center"/>
    </xf>
    <xf numFmtId="0" fontId="2" fillId="0" borderId="0" xfId="2" applyFont="1" applyFill="1" applyAlignment="1">
      <alignment vertical="center"/>
    </xf>
    <xf numFmtId="0" fontId="7" fillId="0" borderId="0" xfId="2" applyFont="1" applyFill="1" applyAlignment="1">
      <alignment horizontal="center" vertical="center"/>
    </xf>
    <xf numFmtId="165" fontId="7" fillId="0" borderId="0" xfId="2" applyNumberFormat="1" applyFont="1" applyFill="1" applyAlignment="1">
      <alignment horizontal="center" vertical="center"/>
    </xf>
    <xf numFmtId="165" fontId="1" fillId="0" borderId="0" xfId="2" applyNumberFormat="1" applyFont="1" applyFill="1" applyAlignment="1">
      <alignment vertical="center"/>
    </xf>
    <xf numFmtId="0" fontId="1" fillId="0" borderId="0" xfId="2" applyFont="1" applyFill="1" applyAlignment="1">
      <alignment vertical="center"/>
    </xf>
    <xf numFmtId="166" fontId="8" fillId="0" borderId="0" xfId="2" applyNumberFormat="1" applyFont="1" applyFill="1" applyAlignment="1">
      <alignment vertical="center"/>
    </xf>
    <xf numFmtId="0" fontId="7" fillId="0" borderId="0" xfId="2" applyFont="1" applyFill="1" applyAlignment="1">
      <alignment vertical="center"/>
    </xf>
    <xf numFmtId="166" fontId="2" fillId="0" borderId="3" xfId="3" applyNumberFormat="1" applyFont="1" applyFill="1" applyBorder="1" applyAlignment="1">
      <alignment vertical="center"/>
    </xf>
    <xf numFmtId="166" fontId="2" fillId="0" borderId="2" xfId="3" applyNumberFormat="1" applyFont="1" applyFill="1" applyBorder="1" applyAlignment="1">
      <alignment vertical="center"/>
    </xf>
    <xf numFmtId="166" fontId="2" fillId="0" borderId="11" xfId="3" applyNumberFormat="1" applyFont="1" applyFill="1" applyBorder="1" applyAlignment="1">
      <alignment vertical="center"/>
    </xf>
    <xf numFmtId="166" fontId="2" fillId="0" borderId="13" xfId="3" applyNumberFormat="1" applyFont="1" applyFill="1" applyBorder="1" applyAlignment="1">
      <alignment vertical="center"/>
    </xf>
    <xf numFmtId="166" fontId="2" fillId="0" borderId="14" xfId="3" applyNumberFormat="1" applyFont="1" applyFill="1" applyBorder="1" applyAlignment="1">
      <alignment vertical="center"/>
    </xf>
    <xf numFmtId="166" fontId="2" fillId="0" borderId="15" xfId="3" applyNumberFormat="1" applyFont="1" applyFill="1" applyBorder="1" applyAlignment="1">
      <alignment vertical="center"/>
    </xf>
    <xf numFmtId="166" fontId="2" fillId="0" borderId="20" xfId="3" applyNumberFormat="1" applyFont="1" applyFill="1" applyBorder="1" applyAlignment="1">
      <alignment vertical="center"/>
    </xf>
    <xf numFmtId="166" fontId="2" fillId="0" borderId="21" xfId="3" applyNumberFormat="1" applyFont="1" applyFill="1" applyBorder="1" applyAlignment="1">
      <alignment vertical="center"/>
    </xf>
    <xf numFmtId="0" fontId="6" fillId="0" borderId="3" xfId="2" applyFont="1" applyFill="1" applyBorder="1" applyAlignment="1">
      <alignment horizontal="center" vertical="center"/>
    </xf>
    <xf numFmtId="0" fontId="11" fillId="0" borderId="16" xfId="2" applyFont="1" applyFill="1" applyBorder="1" applyAlignment="1">
      <alignment vertical="center"/>
    </xf>
    <xf numFmtId="0" fontId="11" fillId="0" borderId="5" xfId="2" applyFont="1" applyFill="1" applyBorder="1" applyAlignment="1">
      <alignment vertical="center"/>
    </xf>
    <xf numFmtId="0" fontId="11" fillId="0" borderId="0" xfId="2" applyFont="1" applyFill="1" applyAlignment="1">
      <alignment vertical="center"/>
    </xf>
    <xf numFmtId="0" fontId="12" fillId="0" borderId="0" xfId="2" applyFont="1" applyFill="1" applyAlignment="1">
      <alignment vertical="center"/>
    </xf>
    <xf numFmtId="0" fontId="11" fillId="0" borderId="19" xfId="2" applyFont="1" applyFill="1" applyBorder="1" applyAlignment="1">
      <alignment vertical="center" wrapText="1"/>
    </xf>
    <xf numFmtId="0" fontId="11" fillId="0" borderId="1" xfId="2" applyFont="1" applyFill="1" applyBorder="1" applyAlignment="1">
      <alignment vertical="center"/>
    </xf>
    <xf numFmtId="0" fontId="11" fillId="0" borderId="12" xfId="2" applyFont="1" applyFill="1" applyBorder="1" applyAlignment="1">
      <alignment vertical="center"/>
    </xf>
    <xf numFmtId="0" fontId="12" fillId="0" borderId="5" xfId="2" applyFont="1" applyFill="1" applyBorder="1" applyAlignment="1">
      <alignment vertical="center"/>
    </xf>
    <xf numFmtId="0" fontId="12" fillId="0" borderId="19" xfId="2" applyFont="1" applyFill="1" applyBorder="1" applyAlignment="1">
      <alignment vertical="center"/>
    </xf>
    <xf numFmtId="0" fontId="7" fillId="0" borderId="26" xfId="2" applyFont="1" applyFill="1" applyBorder="1" applyAlignment="1">
      <alignment horizontal="center" vertical="center"/>
    </xf>
    <xf numFmtId="0" fontId="7" fillId="0" borderId="27" xfId="2" applyFont="1" applyFill="1" applyBorder="1" applyAlignment="1">
      <alignment horizontal="center" vertical="center"/>
    </xf>
    <xf numFmtId="0" fontId="7" fillId="0" borderId="28" xfId="2" applyFont="1" applyFill="1" applyBorder="1" applyAlignment="1">
      <alignment horizontal="center" vertical="center"/>
    </xf>
    <xf numFmtId="0" fontId="7" fillId="0" borderId="5" xfId="2" applyFont="1" applyFill="1" applyBorder="1" applyAlignment="1">
      <alignment horizontal="center" vertical="center"/>
    </xf>
    <xf numFmtId="0" fontId="7" fillId="0" borderId="15" xfId="2" applyFont="1" applyFill="1" applyBorder="1" applyAlignment="1">
      <alignment horizontal="center" vertical="center"/>
    </xf>
    <xf numFmtId="0" fontId="10" fillId="0" borderId="29" xfId="2" applyFont="1" applyFill="1" applyBorder="1" applyAlignment="1">
      <alignment horizontal="center" vertical="center"/>
    </xf>
    <xf numFmtId="0" fontId="7" fillId="0" borderId="6" xfId="2" applyFont="1" applyFill="1" applyBorder="1" applyAlignment="1">
      <alignment horizontal="center" vertical="center"/>
    </xf>
    <xf numFmtId="0" fontId="7" fillId="0" borderId="12" xfId="2" applyFont="1" applyFill="1" applyBorder="1" applyAlignment="1">
      <alignment horizontal="center" vertical="center"/>
    </xf>
    <xf numFmtId="0" fontId="11" fillId="0" borderId="30" xfId="2" applyFont="1" applyFill="1" applyBorder="1" applyAlignment="1">
      <alignment vertical="center"/>
    </xf>
    <xf numFmtId="0" fontId="11" fillId="0" borderId="35" xfId="2" applyFont="1" applyFill="1" applyBorder="1" applyAlignment="1">
      <alignment vertical="center"/>
    </xf>
    <xf numFmtId="166" fontId="2" fillId="0" borderId="45" xfId="3" applyNumberFormat="1" applyFont="1" applyFill="1" applyBorder="1" applyAlignment="1">
      <alignment vertical="center"/>
    </xf>
    <xf numFmtId="166" fontId="2" fillId="0" borderId="44" xfId="3" applyNumberFormat="1" applyFont="1" applyFill="1" applyBorder="1" applyAlignment="1">
      <alignment vertical="center"/>
    </xf>
    <xf numFmtId="166" fontId="2" fillId="0" borderId="43" xfId="3" applyNumberFormat="1" applyFont="1" applyFill="1" applyBorder="1" applyAlignment="1">
      <alignment vertical="center"/>
    </xf>
    <xf numFmtId="166" fontId="2" fillId="0" borderId="22" xfId="3" applyNumberFormat="1" applyFont="1" applyFill="1" applyBorder="1" applyAlignment="1">
      <alignment vertical="center"/>
    </xf>
    <xf numFmtId="0" fontId="7" fillId="0" borderId="50" xfId="2" applyFont="1" applyFill="1" applyBorder="1" applyAlignment="1">
      <alignment horizontal="center" vertical="center"/>
    </xf>
    <xf numFmtId="0" fontId="7" fillId="0" borderId="51" xfId="2" applyFont="1" applyFill="1" applyBorder="1" applyAlignment="1">
      <alignment horizontal="center" vertical="center"/>
    </xf>
    <xf numFmtId="166" fontId="2" fillId="0" borderId="0" xfId="2" applyNumberFormat="1" applyFont="1" applyFill="1" applyAlignment="1">
      <alignment vertical="center"/>
    </xf>
    <xf numFmtId="0" fontId="11" fillId="0" borderId="59" xfId="2" applyFont="1" applyFill="1" applyBorder="1" applyAlignment="1">
      <alignment vertical="center"/>
    </xf>
    <xf numFmtId="166" fontId="13" fillId="0" borderId="6" xfId="3" applyNumberFormat="1" applyFont="1" applyFill="1" applyBorder="1" applyAlignment="1">
      <alignment vertical="center"/>
    </xf>
    <xf numFmtId="166" fontId="13" fillId="0" borderId="45" xfId="3" applyNumberFormat="1" applyFont="1" applyFill="1" applyBorder="1" applyAlignment="1">
      <alignment vertical="center"/>
    </xf>
    <xf numFmtId="166" fontId="13" fillId="0" borderId="15" xfId="3" applyNumberFormat="1" applyFont="1" applyFill="1" applyBorder="1" applyAlignment="1">
      <alignment vertical="center"/>
    </xf>
    <xf numFmtId="0" fontId="13" fillId="0" borderId="0" xfId="2" applyFont="1" applyFill="1" applyAlignment="1">
      <alignment vertical="center"/>
    </xf>
    <xf numFmtId="166" fontId="13" fillId="0" borderId="5" xfId="3" applyNumberFormat="1" applyFont="1" applyFill="1" applyBorder="1" applyAlignment="1">
      <alignment vertical="center"/>
    </xf>
    <xf numFmtId="166" fontId="13" fillId="0" borderId="51" xfId="3" applyNumberFormat="1" applyFont="1" applyFill="1" applyBorder="1" applyAlignment="1">
      <alignment vertical="center"/>
    </xf>
    <xf numFmtId="166" fontId="13" fillId="0" borderId="29" xfId="3" applyNumberFormat="1" applyFont="1" applyFill="1" applyBorder="1" applyAlignment="1">
      <alignment vertical="center"/>
    </xf>
    <xf numFmtId="166" fontId="13" fillId="0" borderId="31" xfId="3" applyNumberFormat="1" applyFont="1" applyFill="1" applyBorder="1" applyAlignment="1">
      <alignment vertical="center"/>
    </xf>
    <xf numFmtId="166" fontId="13" fillId="0" borderId="46" xfId="3" applyNumberFormat="1" applyFont="1" applyFill="1" applyBorder="1" applyAlignment="1">
      <alignment vertical="center"/>
    </xf>
    <xf numFmtId="166" fontId="13" fillId="0" borderId="32" xfId="3" applyNumberFormat="1" applyFont="1" applyFill="1" applyBorder="1" applyAlignment="1">
      <alignment vertical="center"/>
    </xf>
    <xf numFmtId="0" fontId="13" fillId="0" borderId="38" xfId="2" applyFont="1" applyFill="1" applyBorder="1" applyAlignment="1">
      <alignment vertical="center"/>
    </xf>
    <xf numFmtId="166" fontId="13" fillId="0" borderId="39" xfId="3" applyNumberFormat="1" applyFont="1" applyFill="1" applyBorder="1" applyAlignment="1">
      <alignment vertical="center"/>
    </xf>
    <xf numFmtId="166" fontId="13" fillId="0" borderId="52" xfId="3" applyNumberFormat="1" applyFont="1" applyFill="1" applyBorder="1" applyAlignment="1">
      <alignment vertical="center"/>
    </xf>
    <xf numFmtId="166" fontId="13" fillId="0" borderId="33" xfId="3" applyNumberFormat="1" applyFont="1" applyFill="1" applyBorder="1" applyAlignment="1">
      <alignment vertical="center"/>
    </xf>
    <xf numFmtId="166" fontId="13" fillId="0" borderId="49" xfId="3" applyNumberFormat="1" applyFont="1" applyFill="1" applyBorder="1" applyAlignment="1">
      <alignment vertical="center"/>
    </xf>
    <xf numFmtId="166" fontId="13" fillId="0" borderId="34" xfId="3" applyNumberFormat="1" applyFont="1" applyFill="1" applyBorder="1" applyAlignment="1">
      <alignment vertical="center"/>
    </xf>
    <xf numFmtId="166" fontId="13" fillId="0" borderId="58" xfId="3" applyNumberFormat="1" applyFont="1" applyFill="1" applyBorder="1" applyAlignment="1">
      <alignment vertical="center"/>
    </xf>
    <xf numFmtId="166" fontId="13" fillId="0" borderId="57" xfId="3" applyNumberFormat="1" applyFont="1" applyFill="1" applyBorder="1" applyAlignment="1">
      <alignment vertical="center"/>
    </xf>
    <xf numFmtId="166" fontId="13" fillId="0" borderId="17" xfId="3" applyNumberFormat="1" applyFont="1" applyFill="1" applyBorder="1" applyAlignment="1">
      <alignment vertical="center"/>
    </xf>
    <xf numFmtId="166" fontId="13" fillId="0" borderId="47" xfId="3" applyNumberFormat="1" applyFont="1" applyFill="1" applyBorder="1" applyAlignment="1">
      <alignment vertical="center"/>
    </xf>
    <xf numFmtId="166" fontId="13" fillId="0" borderId="18" xfId="3" applyNumberFormat="1" applyFont="1" applyFill="1" applyBorder="1" applyAlignment="1">
      <alignment vertical="center"/>
    </xf>
    <xf numFmtId="166" fontId="13" fillId="0" borderId="16" xfId="3" applyNumberFormat="1" applyFont="1" applyFill="1" applyBorder="1" applyAlignment="1">
      <alignment vertical="center"/>
    </xf>
    <xf numFmtId="166" fontId="13" fillId="0" borderId="53" xfId="3" applyNumberFormat="1" applyFont="1" applyFill="1" applyBorder="1" applyAlignment="1">
      <alignment vertical="center"/>
    </xf>
    <xf numFmtId="166" fontId="13" fillId="0" borderId="23" xfId="3" applyNumberFormat="1" applyFont="1" applyFill="1" applyBorder="1" applyAlignment="1">
      <alignment vertical="center"/>
    </xf>
    <xf numFmtId="166" fontId="13" fillId="0" borderId="56" xfId="3" applyNumberFormat="1" applyFont="1" applyFill="1" applyBorder="1" applyAlignment="1">
      <alignment vertical="center"/>
    </xf>
    <xf numFmtId="166" fontId="13" fillId="0" borderId="40" xfId="3" applyNumberFormat="1" applyFont="1" applyFill="1" applyBorder="1" applyAlignment="1">
      <alignment vertical="center"/>
    </xf>
    <xf numFmtId="166" fontId="13" fillId="0" borderId="60" xfId="3" applyNumberFormat="1" applyFont="1" applyFill="1" applyBorder="1" applyAlignment="1">
      <alignment vertical="center"/>
    </xf>
    <xf numFmtId="166" fontId="13" fillId="0" borderId="61" xfId="3" applyNumberFormat="1" applyFont="1" applyFill="1" applyBorder="1" applyAlignment="1">
      <alignment vertical="center"/>
    </xf>
    <xf numFmtId="166" fontId="13" fillId="0" borderId="62" xfId="3" applyNumberFormat="1" applyFont="1" applyFill="1" applyBorder="1" applyAlignment="1">
      <alignment vertical="center"/>
    </xf>
    <xf numFmtId="166" fontId="13" fillId="0" borderId="8" xfId="3" applyNumberFormat="1" applyFont="1" applyFill="1" applyBorder="1" applyAlignment="1">
      <alignment vertical="center"/>
    </xf>
    <xf numFmtId="166" fontId="13" fillId="0" borderId="36" xfId="3" applyNumberFormat="1" applyFont="1" applyFill="1" applyBorder="1" applyAlignment="1">
      <alignment vertical="center"/>
    </xf>
    <xf numFmtId="166" fontId="13" fillId="0" borderId="48" xfId="3" applyNumberFormat="1" applyFont="1" applyFill="1" applyBorder="1" applyAlignment="1">
      <alignment vertical="center"/>
    </xf>
    <xf numFmtId="166" fontId="13" fillId="0" borderId="37" xfId="3" applyNumberFormat="1" applyFont="1" applyFill="1" applyBorder="1" applyAlignment="1">
      <alignment vertical="center"/>
    </xf>
    <xf numFmtId="0" fontId="13" fillId="0" borderId="41" xfId="2" applyFont="1" applyFill="1" applyBorder="1" applyAlignment="1">
      <alignment vertical="center"/>
    </xf>
    <xf numFmtId="166" fontId="13" fillId="0" borderId="35" xfId="3" applyNumberFormat="1" applyFont="1" applyFill="1" applyBorder="1" applyAlignment="1">
      <alignment vertical="center"/>
    </xf>
    <xf numFmtId="166" fontId="13" fillId="0" borderId="54" xfId="3" applyNumberFormat="1" applyFont="1" applyFill="1" applyBorder="1" applyAlignment="1">
      <alignment vertical="center"/>
    </xf>
    <xf numFmtId="166" fontId="13" fillId="0" borderId="42" xfId="3" applyNumberFormat="1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166" fontId="7" fillId="2" borderId="24" xfId="2" applyNumberFormat="1" applyFont="1" applyFill="1" applyBorder="1" applyAlignment="1">
      <alignment vertical="center"/>
    </xf>
    <xf numFmtId="0" fontId="11" fillId="0" borderId="0" xfId="2" applyFont="1" applyFill="1" applyBorder="1" applyAlignment="1">
      <alignment vertical="center" wrapText="1"/>
    </xf>
    <xf numFmtId="166" fontId="7" fillId="0" borderId="0" xfId="2" applyNumberFormat="1" applyFont="1" applyFill="1" applyBorder="1" applyAlignment="1">
      <alignment vertical="center"/>
    </xf>
    <xf numFmtId="0" fontId="15" fillId="0" borderId="6" xfId="2" applyFont="1" applyFill="1" applyBorder="1" applyAlignment="1">
      <alignment horizontal="center" vertical="center"/>
    </xf>
    <xf numFmtId="0" fontId="15" fillId="0" borderId="50" xfId="2" applyFont="1" applyFill="1" applyBorder="1" applyAlignment="1">
      <alignment horizontal="center" vertical="center"/>
    </xf>
    <xf numFmtId="0" fontId="13" fillId="0" borderId="63" xfId="2" applyFont="1" applyFill="1" applyBorder="1" applyAlignment="1">
      <alignment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45" xfId="2" applyFont="1" applyFill="1" applyBorder="1" applyAlignment="1">
      <alignment horizontal="center" vertical="center"/>
    </xf>
    <xf numFmtId="0" fontId="7" fillId="0" borderId="9" xfId="2" applyFont="1" applyFill="1" applyBorder="1" applyAlignment="1">
      <alignment horizontal="center" vertical="center" wrapText="1"/>
    </xf>
    <xf numFmtId="0" fontId="7" fillId="0" borderId="23" xfId="2" applyFont="1" applyFill="1" applyBorder="1" applyAlignment="1">
      <alignment horizontal="center" vertical="center" wrapText="1"/>
    </xf>
    <xf numFmtId="0" fontId="15" fillId="0" borderId="45" xfId="2" applyFont="1" applyFill="1" applyBorder="1" applyAlignment="1">
      <alignment horizontal="center" vertical="center"/>
    </xf>
    <xf numFmtId="0" fontId="15" fillId="0" borderId="55" xfId="2" applyFont="1" applyFill="1" applyBorder="1" applyAlignment="1">
      <alignment horizontal="center" vertical="center"/>
    </xf>
    <xf numFmtId="0" fontId="7" fillId="0" borderId="22" xfId="2" applyFont="1" applyFill="1" applyBorder="1" applyAlignment="1">
      <alignment horizontal="center" vertical="center"/>
    </xf>
    <xf numFmtId="0" fontId="7" fillId="0" borderId="10" xfId="2" applyFont="1" applyFill="1" applyBorder="1" applyAlignment="1">
      <alignment horizontal="center" vertical="center"/>
    </xf>
    <xf numFmtId="0" fontId="7" fillId="0" borderId="4" xfId="2" applyFont="1" applyFill="1" applyBorder="1" applyAlignment="1">
      <alignment horizontal="center" vertical="center"/>
    </xf>
    <xf numFmtId="0" fontId="9" fillId="0" borderId="0" xfId="2" applyFont="1" applyFill="1" applyAlignment="1">
      <alignment horizontal="right" vertical="center"/>
    </xf>
    <xf numFmtId="0" fontId="7" fillId="0" borderId="13" xfId="2" applyFont="1" applyFill="1" applyBorder="1" applyAlignment="1">
      <alignment horizontal="center" vertical="center"/>
    </xf>
    <xf numFmtId="0" fontId="7" fillId="0" borderId="44" xfId="2" applyFont="1" applyFill="1" applyBorder="1" applyAlignment="1">
      <alignment horizontal="center" vertical="center"/>
    </xf>
    <xf numFmtId="0" fontId="7" fillId="0" borderId="14" xfId="2" applyFont="1" applyFill="1" applyBorder="1" applyAlignment="1">
      <alignment horizontal="center" vertical="center"/>
    </xf>
    <xf numFmtId="0" fontId="4" fillId="0" borderId="9" xfId="2" applyFont="1" applyFill="1" applyBorder="1" applyAlignment="1">
      <alignment horizontal="center" vertical="center" wrapText="1"/>
    </xf>
    <xf numFmtId="0" fontId="4" fillId="0" borderId="23" xfId="2" applyFont="1" applyFill="1" applyBorder="1" applyAlignment="1">
      <alignment horizontal="center" vertical="center" wrapText="1"/>
    </xf>
    <xf numFmtId="0" fontId="14" fillId="0" borderId="9" xfId="2" applyFont="1" applyFill="1" applyBorder="1" applyAlignment="1">
      <alignment horizontal="center" vertical="center" wrapText="1"/>
    </xf>
    <xf numFmtId="0" fontId="14" fillId="0" borderId="23" xfId="2" applyFont="1" applyFill="1" applyBorder="1" applyAlignment="1">
      <alignment horizontal="center" vertical="center" wrapText="1"/>
    </xf>
    <xf numFmtId="0" fontId="7" fillId="0" borderId="45" xfId="2" applyFont="1" applyFill="1" applyBorder="1" applyAlignment="1">
      <alignment horizontal="center" vertical="center"/>
    </xf>
    <xf numFmtId="0" fontId="7" fillId="0" borderId="55" xfId="2" applyFont="1" applyFill="1" applyBorder="1" applyAlignment="1">
      <alignment horizontal="center" vertical="center"/>
    </xf>
    <xf numFmtId="0" fontId="10" fillId="0" borderId="9" xfId="2" applyFont="1" applyFill="1" applyBorder="1" applyAlignment="1">
      <alignment horizontal="center" vertical="center" wrapText="1"/>
    </xf>
    <xf numFmtId="0" fontId="10" fillId="0" borderId="23" xfId="2" applyFont="1" applyFill="1" applyBorder="1" applyAlignment="1">
      <alignment horizontal="center" vertical="center" wrapText="1"/>
    </xf>
  </cellXfs>
  <cellStyles count="4">
    <cellStyle name="Comma 2" xfId="1" xr:uid="{7E3C6B93-9232-4BE3-88EC-0E92E18B612E}"/>
    <cellStyle name="Comma 3" xfId="3" xr:uid="{B13EF1CC-7615-4728-8423-930D2E0A2DD0}"/>
    <cellStyle name="Normal" xfId="0" builtinId="0"/>
    <cellStyle name="Normal 2" xfId="2" xr:uid="{673CC06A-9352-4BA0-8197-2C6B88CEA13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AAD0B5-9BBE-4B8F-9457-EBD483EDFB0D}">
  <sheetPr>
    <pageSetUpPr fitToPage="1"/>
  </sheetPr>
  <dimension ref="A1:BB83"/>
  <sheetViews>
    <sheetView view="pageBreakPreview" zoomScale="55" zoomScaleNormal="100" zoomScaleSheetLayoutView="5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70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94" t="s">
        <v>61</v>
      </c>
      <c r="O4" s="35" t="s">
        <v>39</v>
      </c>
      <c r="P4" s="94" t="s">
        <v>61</v>
      </c>
      <c r="Q4" s="36" t="s">
        <v>40</v>
      </c>
      <c r="R4" s="94" t="s">
        <v>61</v>
      </c>
      <c r="S4" s="9"/>
      <c r="T4" s="121" t="s">
        <v>68</v>
      </c>
      <c r="U4" s="123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93" t="s">
        <v>64</v>
      </c>
      <c r="I5" s="93" t="s">
        <v>60</v>
      </c>
      <c r="J5" s="112" t="s">
        <v>65</v>
      </c>
      <c r="K5" s="113"/>
      <c r="M5" s="37"/>
      <c r="N5" s="49"/>
      <c r="O5" s="40"/>
      <c r="P5" s="89"/>
      <c r="Q5" s="89"/>
      <c r="R5" s="38"/>
      <c r="S5" s="9"/>
      <c r="T5" s="122"/>
      <c r="U5" s="124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89"/>
      <c r="K6" s="38"/>
      <c r="M6" s="37"/>
      <c r="N6" s="49"/>
      <c r="O6" s="40"/>
      <c r="P6" s="89"/>
      <c r="Q6" s="8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/>
      <c r="D7" s="52"/>
      <c r="E7" s="52"/>
      <c r="F7" s="52"/>
      <c r="G7" s="52"/>
      <c r="H7" s="52"/>
      <c r="I7" s="52"/>
      <c r="J7" s="53"/>
      <c r="K7" s="54"/>
      <c r="L7" s="55"/>
      <c r="M7" s="56"/>
      <c r="N7" s="57"/>
      <c r="O7" s="52"/>
      <c r="P7" s="53"/>
      <c r="Q7" s="53"/>
      <c r="R7" s="54"/>
      <c r="S7" s="55"/>
      <c r="T7" s="58">
        <f>H7+I7+J7+K7+N7+P7+R7</f>
        <v>0</v>
      </c>
      <c r="U7" s="58">
        <f>C7*24+M7*24+O7*24+Q7*24+T7</f>
        <v>0</v>
      </c>
      <c r="V7" s="58">
        <f>U7/24</f>
        <v>0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/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/>
      <c r="R8" s="67"/>
      <c r="S8" s="62"/>
      <c r="T8" s="68">
        <f t="shared" ref="T8:T41" si="0">H8+I8+J8+K8+N8+P8+R8</f>
        <v>0</v>
      </c>
      <c r="U8" s="69">
        <f>C8*24+M8*24+O8*24+Q8*24+T8</f>
        <v>0</v>
      </c>
      <c r="V8" s="69">
        <f>U8/24</f>
        <v>0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/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0</v>
      </c>
      <c r="V9" s="76">
        <f t="shared" ref="V9:V11" si="3">U9/24</f>
        <v>0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/>
      <c r="D11" s="70"/>
      <c r="E11" s="70"/>
      <c r="F11" s="70"/>
      <c r="G11" s="70"/>
      <c r="H11" s="70"/>
      <c r="I11" s="70"/>
      <c r="J11" s="71"/>
      <c r="K11" s="72"/>
      <c r="L11" s="55"/>
      <c r="M11" s="73"/>
      <c r="N11" s="74"/>
      <c r="O11" s="70"/>
      <c r="P11" s="71"/>
      <c r="Q11" s="71"/>
      <c r="R11" s="72"/>
      <c r="S11" s="55"/>
      <c r="T11" s="58">
        <f t="shared" si="0"/>
        <v>0</v>
      </c>
      <c r="U11" s="58">
        <f t="shared" si="2"/>
        <v>0</v>
      </c>
      <c r="V11" s="58">
        <f t="shared" si="3"/>
        <v>0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/>
      <c r="D12" s="59"/>
      <c r="E12" s="59"/>
      <c r="F12" s="59"/>
      <c r="G12" s="59"/>
      <c r="H12" s="59"/>
      <c r="I12" s="59"/>
      <c r="J12" s="60"/>
      <c r="K12" s="61"/>
      <c r="L12" s="62"/>
      <c r="M12" s="63"/>
      <c r="N12" s="64"/>
      <c r="O12" s="65"/>
      <c r="P12" s="66"/>
      <c r="Q12" s="66"/>
      <c r="R12" s="67"/>
      <c r="S12" s="62"/>
      <c r="T12" s="58">
        <f t="shared" si="0"/>
        <v>0</v>
      </c>
      <c r="U12" s="69">
        <f>C12*24+M12*24+O12*24+Q12*24+T12</f>
        <v>0</v>
      </c>
      <c r="V12" s="69">
        <f>U12/24</f>
        <v>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/>
      <c r="D13" s="70"/>
      <c r="E13" s="70"/>
      <c r="F13" s="70"/>
      <c r="G13" s="70"/>
      <c r="H13" s="70"/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58">
        <f t="shared" si="0"/>
        <v>0</v>
      </c>
      <c r="U13" s="76">
        <f>C13*24+M13*24+O13*24+Q13*24+T13</f>
        <v>0</v>
      </c>
      <c r="V13" s="76">
        <f>U13/24</f>
        <v>0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/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0</v>
      </c>
      <c r="V14" s="75">
        <f t="shared" ref="V14:V36" si="5">U14/24</f>
        <v>0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0</v>
      </c>
      <c r="V17" s="75">
        <f t="shared" si="5"/>
        <v>0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/>
      <c r="D19" s="70"/>
      <c r="E19" s="70"/>
      <c r="F19" s="70"/>
      <c r="G19" s="70"/>
      <c r="H19" s="70"/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0</v>
      </c>
      <c r="U19" s="75">
        <f t="shared" si="4"/>
        <v>0</v>
      </c>
      <c r="V19" s="75">
        <f t="shared" si="5"/>
        <v>0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/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0</v>
      </c>
      <c r="V20" s="75">
        <f t="shared" si="5"/>
        <v>0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/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0</v>
      </c>
      <c r="U21" s="75">
        <f t="shared" si="4"/>
        <v>0</v>
      </c>
      <c r="V21" s="75">
        <f t="shared" si="5"/>
        <v>0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0</v>
      </c>
      <c r="U22" s="75">
        <f t="shared" si="4"/>
        <v>0</v>
      </c>
      <c r="V22" s="75">
        <f t="shared" si="5"/>
        <v>0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/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0</v>
      </c>
      <c r="U23" s="75">
        <f t="shared" si="4"/>
        <v>0</v>
      </c>
      <c r="V23" s="75">
        <f t="shared" si="5"/>
        <v>0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/>
      <c r="D24" s="70"/>
      <c r="E24" s="70"/>
      <c r="F24" s="70"/>
      <c r="G24" s="70"/>
      <c r="H24" s="70"/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0</v>
      </c>
      <c r="U24" s="75">
        <f t="shared" si="4"/>
        <v>0</v>
      </c>
      <c r="V24" s="75">
        <f t="shared" si="5"/>
        <v>0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/>
      <c r="D25" s="70"/>
      <c r="E25" s="70"/>
      <c r="F25" s="70"/>
      <c r="G25" s="70"/>
      <c r="H25" s="70"/>
      <c r="I25" s="70"/>
      <c r="J25" s="71"/>
      <c r="K25" s="72"/>
      <c r="L25" s="55"/>
      <c r="M25" s="73"/>
      <c r="N25" s="74"/>
      <c r="O25" s="70"/>
      <c r="P25" s="71"/>
      <c r="Q25" s="71"/>
      <c r="R25" s="72"/>
      <c r="S25" s="55"/>
      <c r="T25" s="58">
        <f t="shared" si="0"/>
        <v>0</v>
      </c>
      <c r="U25" s="75">
        <f t="shared" si="4"/>
        <v>0</v>
      </c>
      <c r="V25" s="75">
        <f t="shared" si="5"/>
        <v>0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/>
      <c r="U27" s="75"/>
      <c r="V27" s="75"/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/>
      <c r="D29" s="70"/>
      <c r="E29" s="70"/>
      <c r="F29" s="70"/>
      <c r="G29" s="70"/>
      <c r="H29" s="70"/>
      <c r="I29" s="70"/>
      <c r="J29" s="71"/>
      <c r="K29" s="72"/>
      <c r="L29" s="55"/>
      <c r="M29" s="73"/>
      <c r="N29" s="74"/>
      <c r="O29" s="70"/>
      <c r="P29" s="71"/>
      <c r="Q29" s="71"/>
      <c r="R29" s="72"/>
      <c r="S29" s="55"/>
      <c r="T29" s="58">
        <f t="shared" si="0"/>
        <v>0</v>
      </c>
      <c r="U29" s="75">
        <f t="shared" si="4"/>
        <v>0</v>
      </c>
      <c r="V29" s="75">
        <f t="shared" si="5"/>
        <v>0</v>
      </c>
    </row>
    <row r="30" spans="1:54" x14ac:dyDescent="0.25">
      <c r="A30" s="27">
        <f t="shared" si="1"/>
        <v>27</v>
      </c>
      <c r="B30" s="26" t="s">
        <v>15</v>
      </c>
      <c r="C30" s="70"/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0</v>
      </c>
      <c r="V30" s="75">
        <f t="shared" si="5"/>
        <v>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0</v>
      </c>
      <c r="V32" s="75">
        <f t="shared" si="5"/>
        <v>0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/>
      <c r="D34" s="70"/>
      <c r="E34" s="70"/>
      <c r="F34" s="70"/>
      <c r="G34" s="70"/>
      <c r="H34" s="70"/>
      <c r="I34" s="70"/>
      <c r="J34" s="71"/>
      <c r="K34" s="72"/>
      <c r="L34" s="55"/>
      <c r="M34" s="73"/>
      <c r="N34" s="74"/>
      <c r="O34" s="70"/>
      <c r="P34" s="71"/>
      <c r="Q34" s="71"/>
      <c r="R34" s="72"/>
      <c r="S34" s="55"/>
      <c r="T34" s="58">
        <f t="shared" si="0"/>
        <v>0</v>
      </c>
      <c r="U34" s="75">
        <f t="shared" si="4"/>
        <v>0</v>
      </c>
      <c r="V34" s="75">
        <f t="shared" si="5"/>
        <v>0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/>
      <c r="D37" s="59"/>
      <c r="E37" s="59"/>
      <c r="F37" s="59"/>
      <c r="G37" s="59"/>
      <c r="H37" s="59"/>
      <c r="I37" s="59"/>
      <c r="J37" s="60"/>
      <c r="K37" s="61"/>
      <c r="L37" s="62"/>
      <c r="M37" s="63"/>
      <c r="N37" s="64"/>
      <c r="O37" s="65"/>
      <c r="P37" s="66"/>
      <c r="Q37" s="66"/>
      <c r="R37" s="67"/>
      <c r="S37" s="62"/>
      <c r="T37" s="77">
        <f t="shared" si="0"/>
        <v>0</v>
      </c>
      <c r="U37" s="77">
        <f>C37*6+M37*6+O37*6+Q37*6+T37</f>
        <v>0</v>
      </c>
      <c r="V37" s="77">
        <f>U37/6</f>
        <v>0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56"/>
      <c r="N39" s="57"/>
      <c r="O39" s="52"/>
      <c r="P39" s="53"/>
      <c r="Q39" s="52"/>
      <c r="R39" s="80"/>
      <c r="S39" s="55"/>
      <c r="T39" s="81"/>
      <c r="U39" s="81"/>
      <c r="V39" s="81"/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/>
      <c r="L40" s="62"/>
      <c r="M40" s="63"/>
      <c r="N40" s="64"/>
      <c r="O40" s="65"/>
      <c r="P40" s="66"/>
      <c r="Q40" s="66"/>
      <c r="R40" s="67"/>
      <c r="S40" s="62"/>
      <c r="T40" s="77">
        <f t="shared" si="0"/>
        <v>0</v>
      </c>
      <c r="U40" s="77">
        <f>C40*24+M40*24+O40*24+Q40*24+T40</f>
        <v>0</v>
      </c>
      <c r="V40" s="77">
        <f>U40/24</f>
        <v>0</v>
      </c>
    </row>
    <row r="41" spans="1:23" ht="19.5" thickBot="1" x14ac:dyDescent="0.3">
      <c r="A41" s="27">
        <f t="shared" si="1"/>
        <v>38</v>
      </c>
      <c r="B41" s="43" t="s">
        <v>22</v>
      </c>
      <c r="C41" s="82"/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/>
      <c r="R41" s="84"/>
      <c r="S41" s="85"/>
      <c r="T41" s="88">
        <f t="shared" si="0"/>
        <v>0</v>
      </c>
      <c r="U41" s="88">
        <f>C41*12+M41*12+O41*12+Q41*12+T41</f>
        <v>0</v>
      </c>
      <c r="V41" s="88">
        <f>U41/12</f>
        <v>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/>
      <c r="D43" s="65"/>
      <c r="E43" s="65"/>
      <c r="F43" s="65"/>
      <c r="G43" s="65"/>
      <c r="H43" s="65"/>
      <c r="I43" s="65"/>
      <c r="J43" s="66"/>
      <c r="K43" s="67"/>
      <c r="L43" s="62"/>
      <c r="M43" s="63"/>
      <c r="N43" s="64"/>
      <c r="O43" s="65"/>
      <c r="P43" s="66"/>
      <c r="Q43" s="66"/>
      <c r="R43" s="67"/>
      <c r="S43" s="62"/>
      <c r="T43" s="77">
        <f t="shared" ref="T43" si="6">H43+I43+J43+K43+N43+P43+R43</f>
        <v>0</v>
      </c>
      <c r="U43" s="77">
        <f>C43*6+M43*6+O43*6+Q43*6+T43</f>
        <v>0</v>
      </c>
      <c r="V43" s="77">
        <f>U43/6</f>
        <v>0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/>
      <c r="D47" s="65"/>
      <c r="E47" s="65"/>
      <c r="F47" s="65"/>
      <c r="G47" s="65"/>
      <c r="H47" s="65"/>
      <c r="I47" s="65"/>
      <c r="J47" s="66"/>
      <c r="K47" s="67"/>
      <c r="L47" s="62"/>
      <c r="M47" s="63"/>
      <c r="N47" s="64"/>
      <c r="O47" s="65"/>
      <c r="P47" s="66"/>
      <c r="Q47" s="66"/>
      <c r="R47" s="67"/>
      <c r="S47" s="62"/>
      <c r="T47" s="77">
        <f t="shared" si="7"/>
        <v>0</v>
      </c>
      <c r="U47" s="77">
        <f>C47*6+M47*6+O47*6+Q47*6+T47</f>
        <v>0</v>
      </c>
      <c r="V47" s="77">
        <f>U47/6</f>
        <v>0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0</v>
      </c>
      <c r="V48" s="75">
        <f t="shared" si="9"/>
        <v>0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/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0</v>
      </c>
      <c r="V51" s="77">
        <f>U51/6</f>
        <v>0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/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0</v>
      </c>
      <c r="V53" s="75">
        <f t="shared" si="9"/>
        <v>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0</v>
      </c>
      <c r="I58" s="6">
        <f t="shared" si="11"/>
        <v>0</v>
      </c>
      <c r="J58" s="6">
        <f t="shared" si="11"/>
        <v>0</v>
      </c>
      <c r="K58" s="6">
        <f t="shared" si="11"/>
        <v>0</v>
      </c>
      <c r="M58" s="5">
        <f t="shared" ref="M58:R58" si="12">SUM(M7:M57)</f>
        <v>0</v>
      </c>
      <c r="N58" s="5">
        <f t="shared" si="12"/>
        <v>0</v>
      </c>
      <c r="O58" s="5">
        <f t="shared" si="12"/>
        <v>0</v>
      </c>
      <c r="P58" s="5">
        <f t="shared" si="12"/>
        <v>0</v>
      </c>
      <c r="Q58" s="5">
        <f t="shared" si="12"/>
        <v>0</v>
      </c>
      <c r="R58" s="5">
        <f t="shared" si="12"/>
        <v>0</v>
      </c>
      <c r="S58" s="55"/>
      <c r="T58" s="4">
        <f>SUM(T7:T57)</f>
        <v>0</v>
      </c>
      <c r="U58" s="4">
        <f>SUM(U7:U57)</f>
        <v>0</v>
      </c>
      <c r="V58" s="4">
        <f>SUM(V7:V57)</f>
        <v>0</v>
      </c>
    </row>
    <row r="59" spans="1:22" s="15" customFormat="1" x14ac:dyDescent="0.25">
      <c r="B59" s="91"/>
      <c r="C59" s="92"/>
      <c r="D59" s="92"/>
      <c r="E59" s="92"/>
      <c r="F59" s="92"/>
      <c r="G59" s="92"/>
      <c r="H59" s="92"/>
      <c r="I59" s="92"/>
      <c r="J59" s="92"/>
      <c r="K59" s="92"/>
      <c r="M59" s="92"/>
      <c r="N59" s="92"/>
      <c r="O59" s="92"/>
      <c r="P59" s="92"/>
      <c r="Q59" s="92"/>
      <c r="R59" s="92"/>
      <c r="S59" s="55"/>
      <c r="T59" s="92"/>
      <c r="U59" s="92"/>
      <c r="V59" s="92"/>
    </row>
    <row r="60" spans="1:22" s="15" customFormat="1" x14ac:dyDescent="0.25">
      <c r="B60" s="91"/>
      <c r="C60" s="92"/>
      <c r="D60" s="92"/>
      <c r="E60" s="92"/>
      <c r="F60" s="92"/>
      <c r="G60" s="92"/>
      <c r="H60" s="92"/>
      <c r="I60" s="92"/>
      <c r="J60" s="92"/>
      <c r="K60" s="92"/>
      <c r="M60" s="92"/>
      <c r="N60" s="92"/>
      <c r="O60" s="92"/>
      <c r="P60" s="92"/>
      <c r="Q60" s="92"/>
      <c r="R60" s="92"/>
      <c r="S60" s="55"/>
      <c r="T60" s="92"/>
      <c r="U60" s="92"/>
      <c r="V60" s="92"/>
    </row>
    <row r="61" spans="1:22" ht="20.25" customHeight="1" thickBot="1" x14ac:dyDescent="0.3"/>
    <row r="62" spans="1:22" ht="19.5" thickBot="1" x14ac:dyDescent="0.3">
      <c r="B62" s="30" t="s">
        <v>37</v>
      </c>
      <c r="C62" s="114" t="s">
        <v>41</v>
      </c>
      <c r="D62" s="115"/>
      <c r="E62" s="115"/>
      <c r="F62" s="115"/>
      <c r="G62" s="115"/>
      <c r="H62" s="115"/>
      <c r="I62" s="115"/>
      <c r="J62" s="115"/>
      <c r="K62" s="116"/>
      <c r="U62" s="24" t="s">
        <v>51</v>
      </c>
    </row>
    <row r="63" spans="1:22" x14ac:dyDescent="0.25">
      <c r="B63" s="31" t="s">
        <v>17</v>
      </c>
      <c r="C63" s="19"/>
      <c r="D63" s="19"/>
      <c r="E63" s="19"/>
      <c r="F63" s="19"/>
      <c r="G63" s="19"/>
      <c r="H63" s="19"/>
      <c r="I63" s="19"/>
      <c r="J63" s="45"/>
      <c r="K63" s="20"/>
      <c r="U63" s="7"/>
    </row>
    <row r="64" spans="1:22" x14ac:dyDescent="0.25">
      <c r="B64" s="32" t="s">
        <v>45</v>
      </c>
      <c r="C64" s="1"/>
      <c r="D64" s="1"/>
      <c r="E64" s="1"/>
      <c r="F64" s="1"/>
      <c r="G64" s="1"/>
      <c r="H64" s="1"/>
      <c r="I64" s="1"/>
      <c r="J64" s="44"/>
      <c r="K64" s="21"/>
      <c r="U64" s="3"/>
    </row>
    <row r="65" spans="2:21" ht="19.5" thickBot="1" x14ac:dyDescent="0.3">
      <c r="B65" s="33" t="s">
        <v>44</v>
      </c>
      <c r="C65" s="22"/>
      <c r="D65" s="22"/>
      <c r="E65" s="22"/>
      <c r="F65" s="22"/>
      <c r="G65" s="22"/>
      <c r="H65" s="22"/>
      <c r="I65" s="22"/>
      <c r="J65" s="46"/>
      <c r="K65" s="23"/>
      <c r="U65" s="8"/>
    </row>
    <row r="66" spans="2:21" ht="7.5" customHeight="1" thickBot="1" x14ac:dyDescent="0.3"/>
    <row r="67" spans="2:21" x14ac:dyDescent="0.25">
      <c r="B67" s="31" t="s">
        <v>46</v>
      </c>
      <c r="C67" s="19"/>
      <c r="D67" s="19"/>
      <c r="E67" s="19"/>
      <c r="F67" s="19"/>
      <c r="G67" s="19"/>
      <c r="H67" s="19"/>
      <c r="I67" s="19"/>
      <c r="J67" s="45"/>
      <c r="K67" s="20"/>
      <c r="U67" s="7"/>
    </row>
    <row r="68" spans="2:21" x14ac:dyDescent="0.25">
      <c r="B68" s="32" t="s">
        <v>45</v>
      </c>
      <c r="C68" s="1"/>
      <c r="D68" s="1"/>
      <c r="E68" s="1"/>
      <c r="F68" s="1"/>
      <c r="G68" s="1"/>
      <c r="H68" s="1"/>
      <c r="I68" s="1"/>
      <c r="J68" s="44"/>
      <c r="K68" s="21"/>
      <c r="U68" s="3"/>
    </row>
    <row r="69" spans="2:21" ht="19.5" thickBot="1" x14ac:dyDescent="0.3">
      <c r="B69" s="33" t="s">
        <v>44</v>
      </c>
      <c r="C69" s="22"/>
      <c r="D69" s="22"/>
      <c r="E69" s="22"/>
      <c r="F69" s="22"/>
      <c r="G69" s="22"/>
      <c r="H69" s="22"/>
      <c r="I69" s="22"/>
      <c r="J69" s="46"/>
      <c r="K69" s="23"/>
      <c r="U69" s="8"/>
    </row>
    <row r="70" spans="2:21" ht="7.5" customHeight="1" thickBot="1" x14ac:dyDescent="0.3"/>
    <row r="71" spans="2:21" x14ac:dyDescent="0.25">
      <c r="B71" s="31" t="s">
        <v>38</v>
      </c>
      <c r="C71" s="19"/>
      <c r="D71" s="19"/>
      <c r="E71" s="19"/>
      <c r="F71" s="19"/>
      <c r="G71" s="19"/>
      <c r="H71" s="19"/>
      <c r="I71" s="19"/>
      <c r="J71" s="45"/>
      <c r="K71" s="20"/>
      <c r="U71" s="7"/>
    </row>
    <row r="72" spans="2:21" x14ac:dyDescent="0.25">
      <c r="B72" s="32" t="s">
        <v>45</v>
      </c>
      <c r="C72" s="1"/>
      <c r="D72" s="1"/>
      <c r="E72" s="1"/>
      <c r="F72" s="1"/>
      <c r="G72" s="1"/>
      <c r="H72" s="1"/>
      <c r="I72" s="1"/>
      <c r="J72" s="44"/>
      <c r="K72" s="21"/>
      <c r="U72" s="3"/>
    </row>
    <row r="73" spans="2:21" ht="19.5" thickBot="1" x14ac:dyDescent="0.3">
      <c r="B73" s="33" t="s">
        <v>44</v>
      </c>
      <c r="C73" s="22"/>
      <c r="D73" s="22"/>
      <c r="E73" s="22"/>
      <c r="F73" s="22"/>
      <c r="G73" s="22"/>
      <c r="H73" s="22"/>
      <c r="I73" s="22"/>
      <c r="J73" s="46"/>
      <c r="K73" s="23"/>
      <c r="U73" s="8"/>
    </row>
    <row r="74" spans="2:21" ht="7.5" customHeight="1" thickBot="1" x14ac:dyDescent="0.3"/>
    <row r="75" spans="2:21" x14ac:dyDescent="0.25">
      <c r="B75" s="31" t="s">
        <v>47</v>
      </c>
      <c r="C75" s="19"/>
      <c r="D75" s="19"/>
      <c r="E75" s="19"/>
      <c r="F75" s="19"/>
      <c r="G75" s="19"/>
      <c r="H75" s="19"/>
      <c r="I75" s="19"/>
      <c r="J75" s="45"/>
      <c r="K75" s="20"/>
      <c r="U75" s="7"/>
    </row>
    <row r="76" spans="2:21" x14ac:dyDescent="0.25">
      <c r="B76" s="32" t="s">
        <v>45</v>
      </c>
      <c r="C76" s="1"/>
      <c r="D76" s="1"/>
      <c r="E76" s="1"/>
      <c r="F76" s="1"/>
      <c r="G76" s="1"/>
      <c r="H76" s="1"/>
      <c r="I76" s="1"/>
      <c r="J76" s="44"/>
      <c r="K76" s="21"/>
      <c r="U76" s="3"/>
    </row>
    <row r="77" spans="2:21" ht="19.5" thickBot="1" x14ac:dyDescent="0.3">
      <c r="B77" s="33" t="s">
        <v>44</v>
      </c>
      <c r="C77" s="22"/>
      <c r="D77" s="22"/>
      <c r="E77" s="22"/>
      <c r="F77" s="22"/>
      <c r="G77" s="22"/>
      <c r="H77" s="22"/>
      <c r="I77" s="22"/>
      <c r="J77" s="46"/>
      <c r="K77" s="23"/>
      <c r="U77" s="8"/>
    </row>
    <row r="78" spans="2:21" ht="7.5" customHeight="1" thickBot="1" x14ac:dyDescent="0.3"/>
    <row r="79" spans="2:21" x14ac:dyDescent="0.25">
      <c r="B79" s="31" t="s">
        <v>48</v>
      </c>
      <c r="C79" s="19"/>
      <c r="D79" s="19"/>
      <c r="E79" s="19"/>
      <c r="F79" s="19"/>
      <c r="G79" s="19"/>
      <c r="H79" s="19"/>
      <c r="I79" s="19"/>
      <c r="J79" s="45"/>
      <c r="K79" s="20"/>
      <c r="U79" s="7"/>
    </row>
    <row r="80" spans="2:21" x14ac:dyDescent="0.25">
      <c r="B80" s="32" t="s">
        <v>45</v>
      </c>
      <c r="C80" s="1"/>
      <c r="D80" s="1"/>
      <c r="E80" s="1"/>
      <c r="F80" s="1"/>
      <c r="G80" s="1"/>
      <c r="H80" s="1"/>
      <c r="I80" s="1"/>
      <c r="J80" s="44"/>
      <c r="K80" s="21"/>
      <c r="U80" s="3"/>
    </row>
    <row r="81" spans="2:21" ht="19.5" thickBot="1" x14ac:dyDescent="0.3">
      <c r="B81" s="33" t="s">
        <v>44</v>
      </c>
      <c r="C81" s="22"/>
      <c r="D81" s="22"/>
      <c r="E81" s="22"/>
      <c r="F81" s="22"/>
      <c r="G81" s="22"/>
      <c r="H81" s="22"/>
      <c r="I81" s="22"/>
      <c r="J81" s="46"/>
      <c r="K81" s="23"/>
      <c r="U81" s="8"/>
    </row>
    <row r="82" spans="2:21" ht="7.5" customHeight="1" thickBot="1" x14ac:dyDescent="0.3"/>
    <row r="83" spans="2:21" ht="19.5" thickBot="1" x14ac:dyDescent="0.3">
      <c r="B83" s="30" t="s">
        <v>49</v>
      </c>
      <c r="C83" s="17"/>
      <c r="D83" s="17"/>
      <c r="E83" s="17"/>
      <c r="F83" s="17"/>
      <c r="G83" s="17"/>
      <c r="H83" s="17"/>
      <c r="I83" s="17"/>
      <c r="J83" s="47"/>
      <c r="K83" s="18"/>
      <c r="U83" s="16"/>
    </row>
  </sheetData>
  <mergeCells count="7">
    <mergeCell ref="V4:V5"/>
    <mergeCell ref="J5:K5"/>
    <mergeCell ref="C62:K62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53" orientation="portrait" horizontalDpi="360" verticalDpi="360" r:id="rId1"/>
  <colBreaks count="1" manualBreakCount="1">
    <brk id="24" max="80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A2011-2D80-4AE1-96EB-73435B2D09C4}">
  <sheetPr>
    <pageSetUpPr fitToPage="1"/>
  </sheetPr>
  <dimension ref="A1:BB81"/>
  <sheetViews>
    <sheetView zoomScaleNormal="100" zoomScaleSheetLayoutView="115" workbookViewId="0">
      <selection activeCell="H23" sqref="H2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7.5703125" style="9" bestFit="1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71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7"/>
      <c r="Q5" s="97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30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>
        <v>22</v>
      </c>
      <c r="O7" s="52">
        <v>1</v>
      </c>
      <c r="P7" s="53"/>
      <c r="Q7" s="53">
        <v>1</v>
      </c>
      <c r="R7" s="54"/>
      <c r="S7" s="55"/>
      <c r="T7" s="58">
        <f>H7+I7+J7+K7+N7+P7+R7</f>
        <v>31</v>
      </c>
      <c r="U7" s="58">
        <f>C7*24+M7*24+O7*24+Q7*24+T7</f>
        <v>847</v>
      </c>
      <c r="V7" s="58">
        <f>U7/24</f>
        <v>35.291666666666664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30+3+63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145+4</f>
        <v>149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3648</v>
      </c>
      <c r="V9" s="76">
        <f t="shared" ref="V9:V11" si="3">U9/24</f>
        <v>152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35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10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250+504+1440+576+5+360</f>
        <v>3135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18</v>
      </c>
      <c r="N12" s="64"/>
      <c r="O12" s="65">
        <v>12</v>
      </c>
      <c r="P12" s="66"/>
      <c r="Q12" s="66">
        <v>15</v>
      </c>
      <c r="R12" s="67"/>
      <c r="S12" s="62"/>
      <c r="T12" s="69">
        <f t="shared" si="0"/>
        <v>0</v>
      </c>
      <c r="U12" s="69">
        <f>C12*24+M12*24+O12*24+Q12*24+T12</f>
        <v>76320</v>
      </c>
      <c r="V12" s="69">
        <f>U12/24</f>
        <v>3180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3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>
        <v>1</v>
      </c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>
        <v>3</v>
      </c>
      <c r="D17" s="70"/>
      <c r="E17" s="70"/>
      <c r="F17" s="70"/>
      <c r="G17" s="70"/>
      <c r="H17" s="70"/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0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3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6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>
        <v>1</v>
      </c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>
        <v>1</v>
      </c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6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64+63+21</f>
        <v>148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3649</v>
      </c>
      <c r="V25" s="75">
        <f t="shared" si="5"/>
        <v>152.04166666666666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>
        <v>2</v>
      </c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64+45</f>
        <v>109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10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2976</v>
      </c>
      <c r="V28" s="75">
        <f t="shared" si="5"/>
        <v>124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62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v>15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f>5+1</f>
        <v>6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>
        <v>2</v>
      </c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8</v>
      </c>
      <c r="R34" s="72"/>
      <c r="S34" s="55"/>
      <c r="T34" s="58">
        <f t="shared" si="0"/>
        <v>14</v>
      </c>
      <c r="U34" s="75">
        <f t="shared" si="4"/>
        <v>2174</v>
      </c>
      <c r="V34" s="75">
        <f t="shared" si="5"/>
        <v>90.583333333333329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>
        <v>1</v>
      </c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540+324+3564+99</f>
        <v>4527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13</v>
      </c>
      <c r="N37" s="64">
        <v>1</v>
      </c>
      <c r="O37" s="65">
        <v>40</v>
      </c>
      <c r="P37" s="66"/>
      <c r="Q37" s="66">
        <v>28</v>
      </c>
      <c r="R37" s="67"/>
      <c r="S37" s="62"/>
      <c r="T37" s="77">
        <f t="shared" si="0"/>
        <v>8</v>
      </c>
      <c r="U37" s="77">
        <f>C37*6+M37*6+O37*6+Q37*6+T37</f>
        <v>27656</v>
      </c>
      <c r="V37" s="77">
        <f>U37/6</f>
        <v>4609.333333333333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64+28</f>
        <v>92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192+49</f>
        <v>241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12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3468</v>
      </c>
      <c r="V41" s="88">
        <f>U41/12</f>
        <v>289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4860+4104+4968+1836+8424+5508+3024+5832</f>
        <v>38556</v>
      </c>
      <c r="D43" s="65"/>
      <c r="E43" s="65"/>
      <c r="F43" s="65"/>
      <c r="G43" s="65"/>
      <c r="H43" s="65"/>
      <c r="I43" s="65">
        <v>7</v>
      </c>
      <c r="J43" s="66">
        <f>8*6+1</f>
        <v>49</v>
      </c>
      <c r="K43" s="67">
        <f>69*6+7</f>
        <v>421</v>
      </c>
      <c r="L43" s="62"/>
      <c r="M43" s="63">
        <v>580</v>
      </c>
      <c r="N43" s="64"/>
      <c r="O43" s="65">
        <v>363</v>
      </c>
      <c r="P43" s="66"/>
      <c r="Q43" s="66">
        <v>547</v>
      </c>
      <c r="R43" s="67"/>
      <c r="S43" s="62"/>
      <c r="T43" s="77">
        <f t="shared" ref="T43" si="6">H43+I43+J43+K43+N43+P43+R43</f>
        <v>477</v>
      </c>
      <c r="U43" s="77">
        <f>C43*6+M43*6+O43*6+Q43*6+T43</f>
        <v>240753</v>
      </c>
      <c r="V43" s="77">
        <f>U43/6</f>
        <v>40125.5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432+106+2160+74+22</f>
        <v>2794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2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>
        <v>1</v>
      </c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10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50154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1133</v>
      </c>
      <c r="I58" s="6">
        <f t="shared" si="11"/>
        <v>19</v>
      </c>
      <c r="J58" s="6">
        <f t="shared" si="11"/>
        <v>51</v>
      </c>
      <c r="K58" s="6">
        <f t="shared" si="11"/>
        <v>457</v>
      </c>
      <c r="M58" s="5">
        <f t="shared" ref="M58:R58" si="12">SUM(M7:M57)</f>
        <v>649</v>
      </c>
      <c r="N58" s="5">
        <f t="shared" si="12"/>
        <v>23</v>
      </c>
      <c r="O58" s="5">
        <f t="shared" si="12"/>
        <v>440</v>
      </c>
      <c r="P58" s="5">
        <f t="shared" si="12"/>
        <v>28</v>
      </c>
      <c r="Q58" s="5">
        <f t="shared" si="12"/>
        <v>642</v>
      </c>
      <c r="R58" s="5">
        <f t="shared" si="12"/>
        <v>3</v>
      </c>
      <c r="S58" s="55"/>
      <c r="T58" s="4">
        <f>SUM(T7:T57)</f>
        <v>1714</v>
      </c>
      <c r="U58" s="90">
        <f>SUM(U7:U57)</f>
        <v>388558</v>
      </c>
      <c r="V58" s="4">
        <f>SUM(V7:V57)</f>
        <v>52018.666666666664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C4BC4A-16CE-4134-A359-B3B72FCD191D}">
  <sheetPr>
    <pageSetUpPr fitToPage="1"/>
  </sheetPr>
  <dimension ref="A1:BB81"/>
  <sheetViews>
    <sheetView zoomScaleNormal="100" zoomScaleSheetLayoutView="115" workbookViewId="0">
      <selection activeCell="U58" sqref="U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6.710937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72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6"/>
      <c r="Q5" s="96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6"/>
      <c r="K6" s="38"/>
      <c r="M6" s="37"/>
      <c r="N6" s="49"/>
      <c r="O6" s="40"/>
      <c r="P6" s="96"/>
      <c r="Q6" s="9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>
        <v>6</v>
      </c>
      <c r="K7" s="54"/>
      <c r="L7" s="55"/>
      <c r="M7" s="56">
        <v>2</v>
      </c>
      <c r="N7" s="57"/>
      <c r="O7" s="52">
        <v>1</v>
      </c>
      <c r="P7" s="53"/>
      <c r="Q7" s="53">
        <v>11</v>
      </c>
      <c r="R7" s="54"/>
      <c r="S7" s="55"/>
      <c r="T7" s="58">
        <f>H7+I7+J7+K7+N7+P7+R7</f>
        <v>9</v>
      </c>
      <c r="U7" s="58">
        <f>C7*24+M7*24+O7*24+Q7*24+T7</f>
        <v>825</v>
      </c>
      <c r="V7" s="58">
        <f>U7/24</f>
        <v>34.375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30+63+3</f>
        <v>96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54+90</f>
        <v>144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5</v>
      </c>
      <c r="R9" s="72"/>
      <c r="S9" s="55"/>
      <c r="T9" s="75">
        <f t="shared" si="0"/>
        <v>0</v>
      </c>
      <c r="U9" s="76">
        <f t="shared" ref="U9:U11" si="2">C9*24+M9*24+O9*24+Q9*24+T9</f>
        <v>3576</v>
      </c>
      <c r="V9" s="76">
        <f t="shared" ref="V9:V11" si="3">U9/24</f>
        <v>149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>
        <v>2</v>
      </c>
      <c r="R10" s="72"/>
      <c r="S10" s="55"/>
      <c r="T10" s="58">
        <f t="shared" si="0"/>
        <v>0</v>
      </c>
      <c r="U10" s="58">
        <f t="shared" si="2"/>
        <v>840</v>
      </c>
      <c r="V10" s="58">
        <f t="shared" si="3"/>
        <v>35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>
        <v>2</v>
      </c>
      <c r="K11" s="72"/>
      <c r="L11" s="55"/>
      <c r="M11" s="73"/>
      <c r="N11" s="74"/>
      <c r="O11" s="70"/>
      <c r="P11" s="71"/>
      <c r="Q11" s="71">
        <v>5</v>
      </c>
      <c r="R11" s="72"/>
      <c r="S11" s="55"/>
      <c r="T11" s="58">
        <f t="shared" si="0"/>
        <v>2</v>
      </c>
      <c r="U11" s="58">
        <f t="shared" si="2"/>
        <v>242</v>
      </c>
      <c r="V11" s="58">
        <f t="shared" si="3"/>
        <v>10.083333333333334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34+144+72+504+1440+576+360</f>
        <v>3130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>
        <v>12</v>
      </c>
      <c r="O12" s="65">
        <v>13</v>
      </c>
      <c r="P12" s="66">
        <v>12</v>
      </c>
      <c r="Q12" s="66">
        <v>5</v>
      </c>
      <c r="R12" s="67"/>
      <c r="S12" s="62"/>
      <c r="T12" s="69">
        <f t="shared" si="0"/>
        <v>24</v>
      </c>
      <c r="U12" s="69">
        <f>C12*24+M12*24+O12*24+Q12*24+T12</f>
        <v>75840</v>
      </c>
      <c r="V12" s="69">
        <f>U12/24</f>
        <v>3160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>
        <v>1</v>
      </c>
      <c r="R13" s="72"/>
      <c r="S13" s="55"/>
      <c r="T13" s="76">
        <f t="shared" si="0"/>
        <v>16</v>
      </c>
      <c r="U13" s="76">
        <f>C13*24+M13*24+O13*24+Q13*24+T13</f>
        <v>88</v>
      </c>
      <c r="V13" s="76">
        <f>U13/24</f>
        <v>3.6666666666666665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>
        <v>1</v>
      </c>
      <c r="R15" s="72"/>
      <c r="S15" s="55"/>
      <c r="T15" s="58">
        <f t="shared" si="0"/>
        <v>0</v>
      </c>
      <c r="U15" s="75">
        <f t="shared" si="4"/>
        <v>24</v>
      </c>
      <c r="V15" s="75">
        <f t="shared" si="5"/>
        <v>1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>
        <v>1</v>
      </c>
      <c r="R19" s="72"/>
      <c r="S19" s="55"/>
      <c r="T19" s="58">
        <f t="shared" si="0"/>
        <v>44</v>
      </c>
      <c r="U19" s="75">
        <f t="shared" si="4"/>
        <v>116</v>
      </c>
      <c r="V19" s="75">
        <f t="shared" si="5"/>
        <v>4.833333333333333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>
        <v>1</v>
      </c>
      <c r="R20" s="72"/>
      <c r="S20" s="55"/>
      <c r="T20" s="58">
        <f t="shared" si="0"/>
        <v>0</v>
      </c>
      <c r="U20" s="75">
        <f t="shared" si="4"/>
        <v>144</v>
      </c>
      <c r="V20" s="75">
        <f t="shared" si="5"/>
        <v>6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>
        <v>1</v>
      </c>
      <c r="R21" s="72"/>
      <c r="S21" s="55"/>
      <c r="T21" s="58">
        <f t="shared" si="0"/>
        <v>48</v>
      </c>
      <c r="U21" s="75">
        <f t="shared" si="4"/>
        <v>72</v>
      </c>
      <c r="V21" s="75">
        <f t="shared" si="5"/>
        <v>3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>
        <v>1</v>
      </c>
      <c r="R22" s="72"/>
      <c r="S22" s="55"/>
      <c r="T22" s="58">
        <f t="shared" si="0"/>
        <v>20</v>
      </c>
      <c r="U22" s="75">
        <f t="shared" si="4"/>
        <v>44</v>
      </c>
      <c r="V22" s="75">
        <f t="shared" si="5"/>
        <v>1.8333333333333333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>
        <v>1</v>
      </c>
      <c r="R24" s="72"/>
      <c r="S24" s="55"/>
      <c r="T24" s="58">
        <f t="shared" si="0"/>
        <v>72</v>
      </c>
      <c r="U24" s="75">
        <f t="shared" si="4"/>
        <v>216</v>
      </c>
      <c r="V24" s="75">
        <f t="shared" si="5"/>
        <v>9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63+63+21</f>
        <v>147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>
        <v>2</v>
      </c>
      <c r="R27" s="72"/>
      <c r="S27" s="55"/>
      <c r="T27" s="58">
        <f t="shared" si="0"/>
        <v>0</v>
      </c>
      <c r="U27" s="75">
        <f t="shared" si="4"/>
        <v>48</v>
      </c>
      <c r="V27" s="75">
        <f t="shared" si="5"/>
        <v>2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63+34</f>
        <v>97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10</v>
      </c>
      <c r="R28" s="72"/>
      <c r="S28" s="55"/>
      <c r="T28" s="58">
        <f t="shared" si="0"/>
        <v>0</v>
      </c>
      <c r="U28" s="75">
        <f t="shared" si="4"/>
        <v>2640</v>
      </c>
      <c r="V28" s="75">
        <f t="shared" si="5"/>
        <v>110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10</v>
      </c>
      <c r="R29" s="72"/>
      <c r="S29" s="55"/>
      <c r="T29" s="58">
        <f t="shared" si="0"/>
        <v>5</v>
      </c>
      <c r="U29" s="75">
        <f t="shared" si="4"/>
        <v>1517</v>
      </c>
      <c r="V29" s="75">
        <f t="shared" si="5"/>
        <v>63.208333333333336</v>
      </c>
    </row>
    <row r="30" spans="1:54" x14ac:dyDescent="0.25">
      <c r="A30" s="27">
        <f t="shared" si="1"/>
        <v>27</v>
      </c>
      <c r="B30" s="26" t="s">
        <v>15</v>
      </c>
      <c r="C30" s="70">
        <f>10+3</f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360</v>
      </c>
      <c r="V30" s="75">
        <f t="shared" si="5"/>
        <v>15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>
        <v>2</v>
      </c>
      <c r="R32" s="72"/>
      <c r="S32" s="55"/>
      <c r="T32" s="58">
        <f t="shared" si="0"/>
        <v>0</v>
      </c>
      <c r="U32" s="75">
        <f t="shared" si="4"/>
        <v>144</v>
      </c>
      <c r="V32" s="75">
        <f t="shared" si="5"/>
        <v>6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>
        <v>2</v>
      </c>
      <c r="R33" s="72"/>
      <c r="S33" s="55"/>
      <c r="T33" s="58">
        <f t="shared" si="0"/>
        <v>0</v>
      </c>
      <c r="U33" s="75">
        <f t="shared" si="4"/>
        <v>48</v>
      </c>
      <c r="V33" s="75">
        <f t="shared" si="5"/>
        <v>2</v>
      </c>
    </row>
    <row r="34" spans="1:23" x14ac:dyDescent="0.25">
      <c r="A34" s="27">
        <f t="shared" si="1"/>
        <v>31</v>
      </c>
      <c r="B34" s="26" t="s">
        <v>17</v>
      </c>
      <c r="C34" s="70">
        <v>69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1910</v>
      </c>
      <c r="V34" s="75">
        <f t="shared" si="5"/>
        <v>79.583333333333329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>
        <v>1</v>
      </c>
      <c r="R36" s="72"/>
      <c r="S36" s="55"/>
      <c r="T36" s="58">
        <f t="shared" si="0"/>
        <v>0</v>
      </c>
      <c r="U36" s="75">
        <f t="shared" si="4"/>
        <v>24</v>
      </c>
      <c r="V36" s="75">
        <f t="shared" si="5"/>
        <v>1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540+3456+64+324</f>
        <v>4384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20</v>
      </c>
      <c r="N37" s="64"/>
      <c r="O37" s="65">
        <v>24</v>
      </c>
      <c r="P37" s="66"/>
      <c r="Q37" s="66">
        <v>102</v>
      </c>
      <c r="R37" s="67"/>
      <c r="S37" s="62"/>
      <c r="T37" s="77">
        <f t="shared" si="0"/>
        <v>7</v>
      </c>
      <c r="U37" s="77">
        <f>C37*6+M37*6+O37*6+Q37*6+T37</f>
        <v>27187</v>
      </c>
      <c r="V37" s="77">
        <f>U37/6</f>
        <v>4531.166666666667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63+28</f>
        <v>91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2288</v>
      </c>
      <c r="V40" s="77">
        <f>U40/24</f>
        <v>95.333333333333329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192+39</f>
        <v>231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3204</v>
      </c>
      <c r="V41" s="88">
        <f>U41/12</f>
        <v>267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7776+4212+3024+8424+5508+3024+5832</f>
        <v>37800</v>
      </c>
      <c r="D43" s="65"/>
      <c r="E43" s="65"/>
      <c r="F43" s="65"/>
      <c r="G43" s="65"/>
      <c r="H43" s="65"/>
      <c r="I43" s="65">
        <v>7</v>
      </c>
      <c r="J43" s="66">
        <f>6*9+1</f>
        <v>55</v>
      </c>
      <c r="K43" s="67">
        <f>69*6+7</f>
        <v>421</v>
      </c>
      <c r="L43" s="62"/>
      <c r="M43" s="63">
        <v>334</v>
      </c>
      <c r="N43" s="64"/>
      <c r="O43" s="65">
        <v>411</v>
      </c>
      <c r="P43" s="66"/>
      <c r="Q43" s="66">
        <v>348</v>
      </c>
      <c r="R43" s="67"/>
      <c r="S43" s="62"/>
      <c r="T43" s="77">
        <f t="shared" ref="T43" si="6">H43+I43+J43+K43+N43+P43+R43</f>
        <v>483</v>
      </c>
      <c r="U43" s="77">
        <f>C43*6+M43*6+O43*6+Q43*6+T43</f>
        <v>233841</v>
      </c>
      <c r="V43" s="77">
        <f>U43/6</f>
        <v>38973.5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>
        <v>1</v>
      </c>
      <c r="R45" s="72"/>
      <c r="S45" s="55"/>
      <c r="T45" s="75">
        <f t="shared" ref="T45:T54" si="7">H45+I45+J45+K45+N45+P45+R45</f>
        <v>0</v>
      </c>
      <c r="U45" s="75">
        <f>C45*24+M45*24+O45*24+Q45*24+T45</f>
        <v>24</v>
      </c>
      <c r="V45" s="75">
        <f>U45/24</f>
        <v>1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432+106+22+2160+71</f>
        <v>2791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/>
      <c r="N47" s="64"/>
      <c r="O47" s="65">
        <v>5</v>
      </c>
      <c r="P47" s="66">
        <v>4</v>
      </c>
      <c r="Q47" s="66">
        <v>12</v>
      </c>
      <c r="R47" s="67">
        <v>3</v>
      </c>
      <c r="S47" s="62"/>
      <c r="T47" s="77">
        <f t="shared" si="7"/>
        <v>13</v>
      </c>
      <c r="U47" s="77">
        <f>C47*6+M47*6+O47*6+Q47*6+T47</f>
        <v>16861</v>
      </c>
      <c r="V47" s="77">
        <f>U47/6</f>
        <v>2810.1666666666665</v>
      </c>
    </row>
    <row r="48" spans="1:23" x14ac:dyDescent="0.25">
      <c r="A48" s="27">
        <f t="shared" si="1"/>
        <v>45</v>
      </c>
      <c r="B48" s="25" t="s">
        <v>58</v>
      </c>
      <c r="C48" s="70">
        <v>1</v>
      </c>
      <c r="D48" s="70"/>
      <c r="E48" s="70"/>
      <c r="F48" s="70"/>
      <c r="G48" s="70"/>
      <c r="H48" s="70"/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0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48</v>
      </c>
      <c r="V49" s="75">
        <f t="shared" si="9"/>
        <v>2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>
        <v>1</v>
      </c>
      <c r="R52" s="72"/>
      <c r="S52" s="55"/>
      <c r="T52" s="75">
        <f t="shared" si="7"/>
        <v>0</v>
      </c>
      <c r="U52" s="75">
        <f t="shared" ref="U52:U54" si="10">C52*24+M52*24+O52*24+Q52*24+T52</f>
        <v>24</v>
      </c>
      <c r="V52" s="75">
        <f t="shared" si="9"/>
        <v>1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>
        <v>1</v>
      </c>
      <c r="R53" s="72"/>
      <c r="S53" s="55"/>
      <c r="T53" s="75">
        <f t="shared" si="7"/>
        <v>0</v>
      </c>
      <c r="U53" s="75">
        <f t="shared" si="10"/>
        <v>240</v>
      </c>
      <c r="V53" s="75">
        <f t="shared" si="9"/>
        <v>10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49169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1181</v>
      </c>
      <c r="I58" s="6">
        <f t="shared" si="11"/>
        <v>19</v>
      </c>
      <c r="J58" s="6">
        <f t="shared" si="11"/>
        <v>65</v>
      </c>
      <c r="K58" s="6">
        <f t="shared" si="11"/>
        <v>449</v>
      </c>
      <c r="M58" s="5">
        <f t="shared" ref="M58:R58" si="12">SUM(M7:M57)</f>
        <v>383</v>
      </c>
      <c r="N58" s="5">
        <f t="shared" si="12"/>
        <v>12</v>
      </c>
      <c r="O58" s="5">
        <f t="shared" si="12"/>
        <v>466</v>
      </c>
      <c r="P58" s="5">
        <f t="shared" si="12"/>
        <v>40</v>
      </c>
      <c r="Q58" s="5">
        <f t="shared" si="12"/>
        <v>560</v>
      </c>
      <c r="R58" s="5">
        <f t="shared" si="12"/>
        <v>3</v>
      </c>
      <c r="S58" s="55"/>
      <c r="T58" s="4">
        <f>SUM(T7:T57)</f>
        <v>1769</v>
      </c>
      <c r="U58" s="90">
        <f>SUM(U7:U57)</f>
        <v>379667</v>
      </c>
      <c r="V58" s="4">
        <f>SUM(V7:V57)</f>
        <v>50714.583333333336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C253-41DB-4918-B98F-2A65359497C9}">
  <sheetPr>
    <pageSetUpPr fitToPage="1"/>
  </sheetPr>
  <dimension ref="A1:BB81"/>
  <sheetViews>
    <sheetView topLeftCell="A40" zoomScaleNormal="100" zoomScaleSheetLayoutView="115" workbookViewId="0">
      <selection activeCell="Q67" sqref="Q67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7"/>
      <c r="Q5" s="97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7"/>
      <c r="K6" s="38"/>
      <c r="M6" s="37"/>
      <c r="N6" s="49"/>
      <c r="O6" s="40"/>
      <c r="P6" s="97"/>
      <c r="Q6" s="9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2352</v>
      </c>
      <c r="V8" s="69">
        <f>U8/24</f>
        <v>98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90+53</f>
        <v>143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3456</v>
      </c>
      <c r="V9" s="76">
        <f t="shared" ref="V9:V11" si="3">U9/24</f>
        <v>144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32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1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792</v>
      </c>
      <c r="V10" s="58">
        <f t="shared" si="3"/>
        <v>33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720+34+288+576+47+1440</f>
        <v>3105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26</v>
      </c>
      <c r="N12" s="64"/>
      <c r="O12" s="65">
        <v>10</v>
      </c>
      <c r="P12" s="66">
        <v>12</v>
      </c>
      <c r="Q12" s="66">
        <v>4</v>
      </c>
      <c r="R12" s="67"/>
      <c r="S12" s="62"/>
      <c r="T12" s="69">
        <f t="shared" si="0"/>
        <v>12</v>
      </c>
      <c r="U12" s="69">
        <f>C12*24+M12*24+O12*24+Q12*24+T12</f>
        <v>75492</v>
      </c>
      <c r="V12" s="69">
        <f>U12/24</f>
        <v>3145.5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24*3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126+19</f>
        <v>145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3</v>
      </c>
      <c r="N25" s="74"/>
      <c r="O25" s="70">
        <v>1</v>
      </c>
      <c r="P25" s="71"/>
      <c r="Q25" s="71"/>
      <c r="R25" s="72"/>
      <c r="S25" s="55"/>
      <c r="T25" s="58">
        <f t="shared" si="0"/>
        <v>1</v>
      </c>
      <c r="U25" s="75">
        <f t="shared" si="4"/>
        <v>3577</v>
      </c>
      <c r="V25" s="75">
        <f t="shared" si="5"/>
        <v>149.04166666666666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f>31+63</f>
        <v>94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4</v>
      </c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2400</v>
      </c>
      <c r="V28" s="75">
        <f t="shared" si="5"/>
        <v>100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3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1862</v>
      </c>
      <c r="V34" s="75">
        <f t="shared" si="5"/>
        <v>77.583333333333329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864+3456+54</f>
        <v>4374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19</v>
      </c>
      <c r="N37" s="64"/>
      <c r="O37" s="65">
        <v>23</v>
      </c>
      <c r="P37" s="66"/>
      <c r="Q37" s="66">
        <v>28</v>
      </c>
      <c r="R37" s="67"/>
      <c r="S37" s="62"/>
      <c r="T37" s="77">
        <f t="shared" si="0"/>
        <v>7</v>
      </c>
      <c r="U37" s="77">
        <f>C37*6+M37*6+O37*6+Q37*6+T37</f>
        <v>26671</v>
      </c>
      <c r="V37" s="77">
        <f>U37/6</f>
        <v>4445.166666666667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63+26</f>
        <v>89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3</v>
      </c>
      <c r="N40" s="64"/>
      <c r="O40" s="65">
        <v>1</v>
      </c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2264</v>
      </c>
      <c r="V40" s="77">
        <f>U40/24</f>
        <v>94.333333333333329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192+34</f>
        <v>226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13</v>
      </c>
      <c r="N41" s="87"/>
      <c r="O41" s="82">
        <v>6</v>
      </c>
      <c r="P41" s="83"/>
      <c r="Q41" s="83"/>
      <c r="R41" s="84"/>
      <c r="S41" s="85"/>
      <c r="T41" s="88">
        <f t="shared" si="0"/>
        <v>0</v>
      </c>
      <c r="U41" s="88">
        <f>C41*12+M41*12+O41*12+Q41*12+T41</f>
        <v>2940</v>
      </c>
      <c r="V41" s="88">
        <f>U41/12</f>
        <v>245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7776+3456+3024+8424+5508+3024+5832</f>
        <v>37044</v>
      </c>
      <c r="D43" s="65"/>
      <c r="E43" s="65"/>
      <c r="F43" s="65"/>
      <c r="G43" s="65"/>
      <c r="H43" s="65"/>
      <c r="I43" s="65">
        <f>7</f>
        <v>7</v>
      </c>
      <c r="J43" s="66">
        <f>6*9+1</f>
        <v>55</v>
      </c>
      <c r="K43" s="67">
        <f>69*6+7</f>
        <v>421</v>
      </c>
      <c r="L43" s="62"/>
      <c r="M43" s="63">
        <v>469</v>
      </c>
      <c r="N43" s="64"/>
      <c r="O43" s="65">
        <v>398</v>
      </c>
      <c r="P43" s="66"/>
      <c r="Q43" s="66">
        <v>2</v>
      </c>
      <c r="R43" s="67"/>
      <c r="S43" s="62"/>
      <c r="T43" s="77">
        <f t="shared" ref="T43" si="6">H43+I43+J43+K43+N43+P43+R43</f>
        <v>483</v>
      </c>
      <c r="U43" s="77">
        <f>C43*6+M43*6+O43*6+Q43*6+T43</f>
        <v>227961</v>
      </c>
      <c r="V43" s="77">
        <f>U43/6</f>
        <v>37993.5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2</v>
      </c>
      <c r="I47" s="65"/>
      <c r="J47" s="66"/>
      <c r="K47" s="67">
        <v>4</v>
      </c>
      <c r="L47" s="62"/>
      <c r="M47" s="63">
        <v>8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16801</v>
      </c>
      <c r="V47" s="77">
        <f>U47/6</f>
        <v>2800.1666666666665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>
        <v>1</v>
      </c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48350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1185</v>
      </c>
      <c r="I58" s="6">
        <f t="shared" si="11"/>
        <v>38</v>
      </c>
      <c r="J58" s="6">
        <f t="shared" si="11"/>
        <v>58</v>
      </c>
      <c r="K58" s="6">
        <f t="shared" si="11"/>
        <v>457</v>
      </c>
      <c r="M58" s="5">
        <f t="shared" ref="M58:R58" si="12">SUM(M7:M57)</f>
        <v>554</v>
      </c>
      <c r="N58" s="5">
        <f t="shared" si="12"/>
        <v>0</v>
      </c>
      <c r="O58" s="5">
        <f t="shared" si="12"/>
        <v>449</v>
      </c>
      <c r="P58" s="5">
        <f t="shared" si="12"/>
        <v>40</v>
      </c>
      <c r="Q58" s="5">
        <f t="shared" si="12"/>
        <v>46</v>
      </c>
      <c r="R58" s="5">
        <f t="shared" si="12"/>
        <v>3</v>
      </c>
      <c r="S58" s="55"/>
      <c r="T58" s="4">
        <f>SUM(T7:T57)</f>
        <v>1781</v>
      </c>
      <c r="U58" s="90">
        <f>SUM(U7:U57)</f>
        <v>371015</v>
      </c>
      <c r="V58" s="4">
        <f>SUM(V7:V57)</f>
        <v>49536.083333333336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3B8CD2-395D-43D6-BA4D-0BFC9B6269E5}">
  <sheetPr>
    <pageSetUpPr fitToPage="1"/>
  </sheetPr>
  <dimension ref="A1:BB81"/>
  <sheetViews>
    <sheetView topLeftCell="A34" zoomScaleNormal="100" zoomScaleSheetLayoutView="115" workbookViewId="0">
      <selection activeCell="AC54" sqref="A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8"/>
      <c r="Q5" s="98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8"/>
      <c r="K6" s="38"/>
      <c r="M6" s="37"/>
      <c r="N6" s="49"/>
      <c r="O6" s="40"/>
      <c r="P6" s="98"/>
      <c r="Q6" s="9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3432</v>
      </c>
      <c r="V9" s="76">
        <f t="shared" ref="V9:V11" si="3">U9/24</f>
        <v>143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>
        <v>2</v>
      </c>
      <c r="P10" s="71"/>
      <c r="Q10" s="71">
        <v>7</v>
      </c>
      <c r="R10" s="72"/>
      <c r="S10" s="55"/>
      <c r="T10" s="58">
        <f t="shared" si="0"/>
        <v>0</v>
      </c>
      <c r="U10" s="58">
        <f t="shared" si="2"/>
        <v>768</v>
      </c>
      <c r="V10" s="58">
        <f t="shared" si="3"/>
        <v>32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720+34+1440+288+576+19</f>
        <v>3077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10</v>
      </c>
      <c r="P12" s="66"/>
      <c r="Q12" s="66">
        <v>24</v>
      </c>
      <c r="R12" s="67"/>
      <c r="S12" s="62"/>
      <c r="T12" s="69">
        <f t="shared" si="0"/>
        <v>0</v>
      </c>
      <c r="U12" s="69">
        <f>C12*24+M12*24+O12*24+Q12*24+T12</f>
        <v>75168</v>
      </c>
      <c r="V12" s="69">
        <f>U12/24</f>
        <v>3132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v>126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20</v>
      </c>
      <c r="R25" s="72"/>
      <c r="S25" s="55"/>
      <c r="T25" s="58">
        <f t="shared" si="0"/>
        <v>1</v>
      </c>
      <c r="U25" s="75">
        <f t="shared" si="4"/>
        <v>3529</v>
      </c>
      <c r="V25" s="75">
        <f t="shared" si="5"/>
        <v>147.04166666666666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49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27</v>
      </c>
      <c r="N28" s="74"/>
      <c r="O28" s="70">
        <v>2</v>
      </c>
      <c r="P28" s="71"/>
      <c r="Q28" s="71">
        <v>20</v>
      </c>
      <c r="R28" s="72"/>
      <c r="S28" s="55"/>
      <c r="T28" s="58">
        <f t="shared" si="0"/>
        <v>0</v>
      </c>
      <c r="U28" s="75">
        <f t="shared" si="4"/>
        <v>2352</v>
      </c>
      <c r="V28" s="75">
        <f t="shared" si="5"/>
        <v>98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13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864+3240+44</f>
        <v>4148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127</v>
      </c>
      <c r="N37" s="64"/>
      <c r="O37" s="65">
        <v>23</v>
      </c>
      <c r="P37" s="66"/>
      <c r="Q37" s="66">
        <v>136</v>
      </c>
      <c r="R37" s="67"/>
      <c r="S37" s="62"/>
      <c r="T37" s="77">
        <f t="shared" si="0"/>
        <v>7</v>
      </c>
      <c r="U37" s="77">
        <f>C37*6+M37*6+O37*6+Q37*6+T37</f>
        <v>26611</v>
      </c>
      <c r="V37" s="77">
        <f>U37/6</f>
        <v>4435.166666666667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63+24</f>
        <v>87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2240</v>
      </c>
      <c r="V40" s="77">
        <f>U40/24</f>
        <v>93.333333333333329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96+60</f>
        <v>156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58</v>
      </c>
      <c r="N41" s="87"/>
      <c r="O41" s="82">
        <v>6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2880</v>
      </c>
      <c r="V41" s="88">
        <f>U41/12</f>
        <v>240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7776+2484+72+3024+8424+5508+3024+5832</f>
        <v>36144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399</v>
      </c>
      <c r="N43" s="64"/>
      <c r="O43" s="65">
        <v>387</v>
      </c>
      <c r="P43" s="66"/>
      <c r="Q43" s="66">
        <v>541</v>
      </c>
      <c r="R43" s="67"/>
      <c r="S43" s="62"/>
      <c r="T43" s="77">
        <f t="shared" ref="T43" si="6">H43+I43+J43+K43+N43+P43+R43</f>
        <v>489</v>
      </c>
      <c r="U43" s="77">
        <f>C43*6+M43*6+O43*6+Q43*6+T43</f>
        <v>225315</v>
      </c>
      <c r="V43" s="77">
        <f>U43/6</f>
        <v>37552.5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16789</v>
      </c>
      <c r="V47" s="77">
        <f>U47/6</f>
        <v>2798.1666666666665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>
        <v>1</v>
      </c>
      <c r="R49" s="72"/>
      <c r="S49" s="55"/>
      <c r="T49" s="75">
        <f t="shared" si="7"/>
        <v>0</v>
      </c>
      <c r="U49" s="75">
        <f t="shared" si="8"/>
        <v>24</v>
      </c>
      <c r="V49" s="75">
        <f t="shared" si="9"/>
        <v>1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47046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38</v>
      </c>
      <c r="J58" s="6">
        <f t="shared" si="11"/>
        <v>65</v>
      </c>
      <c r="K58" s="6">
        <f t="shared" si="11"/>
        <v>457</v>
      </c>
      <c r="M58" s="5">
        <f t="shared" ref="M58:R58" si="12">SUM(M7:M57)</f>
        <v>645</v>
      </c>
      <c r="N58" s="5">
        <f t="shared" si="12"/>
        <v>0</v>
      </c>
      <c r="O58" s="5">
        <f t="shared" si="12"/>
        <v>441</v>
      </c>
      <c r="P58" s="5">
        <f t="shared" si="12"/>
        <v>28</v>
      </c>
      <c r="Q58" s="5">
        <f t="shared" si="12"/>
        <v>785</v>
      </c>
      <c r="R58" s="5">
        <f t="shared" si="12"/>
        <v>3</v>
      </c>
      <c r="S58" s="55"/>
      <c r="T58" s="4">
        <f>SUM(T7:T57)</f>
        <v>1775</v>
      </c>
      <c r="U58" s="90">
        <f>SUM(U7:U57)</f>
        <v>367673</v>
      </c>
      <c r="V58" s="4">
        <f>SUM(V7:V57)</f>
        <v>49054.583333333336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73CE5-2315-4869-BE9F-BD6543F78682}">
  <sheetPr>
    <pageSetUpPr fitToPage="1"/>
  </sheetPr>
  <dimension ref="A1:BB81"/>
  <sheetViews>
    <sheetView topLeftCell="A31" zoomScaleNormal="100" zoomScaleSheetLayoutView="115" workbookViewId="0">
      <selection activeCell="AC52" sqref="AC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99"/>
      <c r="Q5" s="99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99"/>
      <c r="K6" s="38"/>
      <c r="M6" s="37"/>
      <c r="N6" s="49"/>
      <c r="O6" s="40"/>
      <c r="P6" s="99"/>
      <c r="Q6" s="9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720+34+1440+288+576</f>
        <v>3058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9</v>
      </c>
      <c r="P12" s="66"/>
      <c r="Q12" s="66">
        <v>19</v>
      </c>
      <c r="R12" s="67"/>
      <c r="S12" s="62"/>
      <c r="T12" s="69">
        <f t="shared" si="0"/>
        <v>12</v>
      </c>
      <c r="U12" s="69">
        <f>C12*24+M12*24+O12*24+Q12*24+T12</f>
        <v>74172</v>
      </c>
      <c r="V12" s="69">
        <f>U12/24</f>
        <v>3090.5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1*24+20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63+61</f>
        <v>124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3049</v>
      </c>
      <c r="V25" s="75">
        <f t="shared" si="5"/>
        <v>127.04166666666667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45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4</v>
      </c>
      <c r="R28" s="72"/>
      <c r="S28" s="55"/>
      <c r="T28" s="58">
        <f t="shared" si="0"/>
        <v>0</v>
      </c>
      <c r="U28" s="75">
        <f t="shared" si="4"/>
        <v>1248</v>
      </c>
      <c r="V28" s="75">
        <f t="shared" si="5"/>
        <v>52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312</v>
      </c>
      <c r="V30" s="75">
        <f t="shared" si="5"/>
        <v>13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7</v>
      </c>
      <c r="R34" s="72"/>
      <c r="S34" s="55"/>
      <c r="T34" s="58">
        <f t="shared" si="0"/>
        <v>14</v>
      </c>
      <c r="U34" s="75">
        <f t="shared" si="4"/>
        <v>1838</v>
      </c>
      <c r="V34" s="75">
        <f t="shared" si="5"/>
        <v>76.583333333333329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864+3132+68</f>
        <v>4064</v>
      </c>
      <c r="D37" s="59"/>
      <c r="E37" s="59"/>
      <c r="F37" s="59"/>
      <c r="G37" s="59"/>
      <c r="H37" s="59">
        <v>2</v>
      </c>
      <c r="I37" s="59"/>
      <c r="J37" s="60">
        <v>2</v>
      </c>
      <c r="K37" s="61">
        <v>3</v>
      </c>
      <c r="L37" s="62"/>
      <c r="M37" s="63">
        <v>10</v>
      </c>
      <c r="N37" s="64"/>
      <c r="O37" s="65">
        <v>30</v>
      </c>
      <c r="P37" s="66"/>
      <c r="Q37" s="66">
        <v>55</v>
      </c>
      <c r="R37" s="67"/>
      <c r="S37" s="62"/>
      <c r="T37" s="77">
        <f t="shared" si="0"/>
        <v>7</v>
      </c>
      <c r="U37" s="77">
        <f>C37*6+M37*6+O37*6+Q37*6+T37</f>
        <v>24961</v>
      </c>
      <c r="V37" s="77">
        <f>U37/6</f>
        <v>4160.166666666667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96+40</f>
        <v>136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5</v>
      </c>
      <c r="P41" s="83"/>
      <c r="Q41" s="83">
        <v>20</v>
      </c>
      <c r="R41" s="84"/>
      <c r="S41" s="85"/>
      <c r="T41" s="88">
        <f t="shared" si="0"/>
        <v>0</v>
      </c>
      <c r="U41" s="88">
        <f>C41*12+M41*12+O41*12+Q41*12+T41</f>
        <v>2028</v>
      </c>
      <c r="V41" s="88">
        <f>U41/12</f>
        <v>169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7776+1836+3024+8424+5508+3024+5832</f>
        <v>35424</v>
      </c>
      <c r="D43" s="65"/>
      <c r="E43" s="65"/>
      <c r="F43" s="65"/>
      <c r="G43" s="65"/>
      <c r="H43" s="65">
        <v>7</v>
      </c>
      <c r="I43" s="65">
        <f>10*6+1</f>
        <v>61</v>
      </c>
      <c r="J43" s="66">
        <f>69*6+7</f>
        <v>421</v>
      </c>
      <c r="K43" s="67"/>
      <c r="L43" s="62"/>
      <c r="M43" s="63">
        <v>29</v>
      </c>
      <c r="N43" s="64"/>
      <c r="O43" s="65">
        <v>378</v>
      </c>
      <c r="P43" s="66"/>
      <c r="Q43" s="66">
        <v>434</v>
      </c>
      <c r="R43" s="67"/>
      <c r="S43" s="62"/>
      <c r="T43" s="77">
        <f t="shared" ref="T43" si="6">H43+I43+J43+K43+N43+P43+R43</f>
        <v>489</v>
      </c>
      <c r="U43" s="77">
        <f>C43*6+M43*6+O43*6+Q43*6+T43</f>
        <v>218079</v>
      </c>
      <c r="V43" s="77">
        <f>U43/6</f>
        <v>36346.5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14+432+106+71+2160</f>
        <v>2783</v>
      </c>
      <c r="D47" s="65"/>
      <c r="E47" s="65"/>
      <c r="F47" s="65"/>
      <c r="G47" s="65"/>
      <c r="H47" s="65">
        <v>1</v>
      </c>
      <c r="I47" s="65">
        <v>1</v>
      </c>
      <c r="J47" s="66"/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46132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1193</v>
      </c>
      <c r="I58" s="6">
        <f t="shared" si="11"/>
        <v>92</v>
      </c>
      <c r="J58" s="6">
        <f t="shared" si="11"/>
        <v>423</v>
      </c>
      <c r="K58" s="6">
        <f t="shared" si="11"/>
        <v>36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433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1787</v>
      </c>
      <c r="U58" s="90">
        <f>SUM(U7:U57)</f>
        <v>353441</v>
      </c>
      <c r="V58" s="4">
        <f>SUM(V7:V57)</f>
        <v>47313.083333333328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DA74C-20E5-4035-B6CA-2758DFD4669B}">
  <sheetPr>
    <pageSetUpPr fitToPage="1"/>
  </sheetPr>
  <dimension ref="A1:BB81"/>
  <sheetViews>
    <sheetView topLeftCell="A34" zoomScaleNormal="100" zoomScaleSheetLayoutView="115" workbookViewId="0">
      <selection activeCell="AB58" sqref="AB5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0"/>
      <c r="Q5" s="100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0"/>
      <c r="K6" s="38"/>
      <c r="M6" s="37"/>
      <c r="N6" s="49"/>
      <c r="O6" s="40"/>
      <c r="P6" s="100"/>
      <c r="Q6" s="100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90+49</f>
        <v>139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f>16+7</f>
        <v>23</v>
      </c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720+34+1440+216+576+47</f>
        <v>3033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4</v>
      </c>
      <c r="N12" s="64">
        <v>12</v>
      </c>
      <c r="O12" s="65">
        <v>15</v>
      </c>
      <c r="P12" s="66"/>
      <c r="Q12" s="66">
        <v>20</v>
      </c>
      <c r="R12" s="67">
        <v>12</v>
      </c>
      <c r="S12" s="62"/>
      <c r="T12" s="69">
        <f t="shared" si="0"/>
        <v>24</v>
      </c>
      <c r="U12" s="69">
        <f>C12*24+M12*24+O12*24+Q12*24+T12</f>
        <v>73752</v>
      </c>
      <c r="V12" s="69">
        <f>U12/24</f>
        <v>3073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24*37+19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3001</v>
      </c>
      <c r="V25" s="75">
        <f t="shared" si="5"/>
        <v>125.04166666666667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40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1152</v>
      </c>
      <c r="V28" s="75">
        <f t="shared" si="5"/>
        <v>48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51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12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65+1</f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864+3024+82</f>
        <v>3970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10</v>
      </c>
      <c r="N37" s="64"/>
      <c r="O37" s="65">
        <v>50</v>
      </c>
      <c r="P37" s="66"/>
      <c r="Q37" s="66">
        <v>77</v>
      </c>
      <c r="R37" s="67"/>
      <c r="S37" s="62"/>
      <c r="T37" s="77">
        <f t="shared" si="0"/>
        <v>7</v>
      </c>
      <c r="U37" s="77">
        <f>C37*6+M37*6+O37*6+Q37*6+T37</f>
        <v>24649</v>
      </c>
      <c r="V37" s="77">
        <f>U37/6</f>
        <v>4108.166666666667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96+17</f>
        <v>113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8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1740</v>
      </c>
      <c r="V41" s="88">
        <f>U41/12</f>
        <v>145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7776+864+52+3024+8424+5508+3024+5832</f>
        <v>34504</v>
      </c>
      <c r="D43" s="65"/>
      <c r="E43" s="65"/>
      <c r="F43" s="65"/>
      <c r="G43" s="65"/>
      <c r="H43" s="65"/>
      <c r="I43" s="65">
        <v>7</v>
      </c>
      <c r="J43" s="66">
        <f>10*6+1</f>
        <v>61</v>
      </c>
      <c r="K43" s="67">
        <f>69*6+7</f>
        <v>421</v>
      </c>
      <c r="L43" s="62"/>
      <c r="M43" s="63">
        <v>29</v>
      </c>
      <c r="N43" s="64"/>
      <c r="O43" s="65">
        <v>482</v>
      </c>
      <c r="P43" s="66"/>
      <c r="Q43" s="66">
        <v>477</v>
      </c>
      <c r="R43" s="67"/>
      <c r="S43" s="62"/>
      <c r="T43" s="77">
        <f t="shared" ref="T43" si="6">H43+I43+J43+K43+N43+P43+R43</f>
        <v>489</v>
      </c>
      <c r="U43" s="77">
        <f>C43*6+M43*6+O43*6+Q43*6+T43</f>
        <v>213441</v>
      </c>
      <c r="V43" s="77">
        <f>U43/6</f>
        <v>35573.5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14+432+106+2160+71</f>
        <v>2783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3</v>
      </c>
      <c r="N47" s="64"/>
      <c r="O47" s="65">
        <v>5</v>
      </c>
      <c r="P47" s="66">
        <v>4</v>
      </c>
      <c r="Q47" s="66">
        <v>2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45063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1184</v>
      </c>
      <c r="I58" s="6">
        <f t="shared" si="11"/>
        <v>39</v>
      </c>
      <c r="J58" s="6">
        <f t="shared" si="11"/>
        <v>64</v>
      </c>
      <c r="K58" s="6">
        <f t="shared" si="11"/>
        <v>457</v>
      </c>
      <c r="M58" s="5">
        <f t="shared" ref="M58:R58" si="12">SUM(M7:M57)</f>
        <v>61</v>
      </c>
      <c r="N58" s="5">
        <f t="shared" si="12"/>
        <v>12</v>
      </c>
      <c r="O58" s="5">
        <f t="shared" si="12"/>
        <v>566</v>
      </c>
      <c r="P58" s="5">
        <f t="shared" si="12"/>
        <v>28</v>
      </c>
      <c r="Q58" s="5">
        <f t="shared" si="12"/>
        <v>609</v>
      </c>
      <c r="R58" s="5">
        <f t="shared" si="12"/>
        <v>15</v>
      </c>
      <c r="S58" s="55"/>
      <c r="T58" s="4">
        <f>SUM(T7:T57)</f>
        <v>1799</v>
      </c>
      <c r="U58" s="90">
        <f>SUM(U7:U57)</f>
        <v>347567</v>
      </c>
      <c r="V58" s="4">
        <f>SUM(V7:V57)</f>
        <v>46437.583333333328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BC2308-B0E6-4A75-AB2A-FD7C2169E77B}">
  <sheetPr>
    <pageSetUpPr fitToPage="1"/>
  </sheetPr>
  <dimension ref="A1:BB81"/>
  <sheetViews>
    <sheetView topLeftCell="A37" zoomScaleNormal="100" zoomScaleSheetLayoutView="115" workbookViewId="0">
      <selection activeCell="P62" sqref="P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1"/>
      <c r="Q5" s="101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1"/>
      <c r="K6" s="38"/>
      <c r="M6" s="37"/>
      <c r="N6" s="49"/>
      <c r="O6" s="40"/>
      <c r="P6" s="101"/>
      <c r="Q6" s="101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20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90+47</f>
        <v>137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3336</v>
      </c>
      <c r="V9" s="76">
        <f t="shared" ref="V9:V11" si="3">U9/24</f>
        <v>139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>
        <v>21</v>
      </c>
      <c r="D10" s="70"/>
      <c r="E10" s="70"/>
      <c r="F10" s="70"/>
      <c r="G10" s="70"/>
      <c r="H10" s="70"/>
      <c r="I10" s="70"/>
      <c r="J10" s="71"/>
      <c r="K10" s="72"/>
      <c r="L10" s="55"/>
      <c r="M10" s="73">
        <v>2</v>
      </c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552</v>
      </c>
      <c r="V10" s="58">
        <f t="shared" si="3"/>
        <v>23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720+34+1440+216+576+19</f>
        <v>3005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9</v>
      </c>
      <c r="N12" s="64">
        <v>12</v>
      </c>
      <c r="O12" s="65">
        <v>13</v>
      </c>
      <c r="P12" s="66"/>
      <c r="Q12" s="66">
        <v>20</v>
      </c>
      <c r="R12" s="67"/>
      <c r="S12" s="62"/>
      <c r="T12" s="69">
        <f t="shared" si="0"/>
        <v>12</v>
      </c>
      <c r="U12" s="69">
        <f>C12*24+M12*24+O12*24+Q12*24+T12</f>
        <v>73140</v>
      </c>
      <c r="V12" s="69">
        <f>U12/24</f>
        <v>3047.5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24*2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24*3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33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7</v>
      </c>
      <c r="R28" s="72"/>
      <c r="S28" s="55"/>
      <c r="T28" s="58">
        <f t="shared" si="0"/>
        <v>0</v>
      </c>
      <c r="U28" s="75">
        <f t="shared" si="4"/>
        <v>1032</v>
      </c>
      <c r="V28" s="75">
        <f t="shared" si="5"/>
        <v>43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1277</v>
      </c>
      <c r="V29" s="75">
        <f t="shared" si="5"/>
        <v>53.208333333333336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1790</v>
      </c>
      <c r="V34" s="75">
        <f t="shared" si="5"/>
        <v>74.583333333333329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864+2916+58</f>
        <v>3838</v>
      </c>
      <c r="D37" s="59"/>
      <c r="E37" s="59"/>
      <c r="F37" s="59"/>
      <c r="G37" s="59"/>
      <c r="H37" s="59"/>
      <c r="I37" s="59">
        <v>2</v>
      </c>
      <c r="J37" s="60">
        <v>2</v>
      </c>
      <c r="K37" s="61">
        <v>3</v>
      </c>
      <c r="L37" s="62"/>
      <c r="M37" s="63">
        <v>21</v>
      </c>
      <c r="N37" s="64"/>
      <c r="O37" s="65">
        <v>30</v>
      </c>
      <c r="P37" s="66"/>
      <c r="Q37" s="66">
        <v>109</v>
      </c>
      <c r="R37" s="67"/>
      <c r="S37" s="62"/>
      <c r="T37" s="77">
        <f t="shared" si="0"/>
        <v>7</v>
      </c>
      <c r="U37" s="77">
        <f>C37*6+M37*6+O37*6+Q37*6+T37</f>
        <v>23995</v>
      </c>
      <c r="V37" s="77">
        <f>U37/6</f>
        <v>3999.1666666666665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680</v>
      </c>
      <c r="V40" s="77">
        <f>U40/24</f>
        <v>28.333333333333332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84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4</v>
      </c>
      <c r="P41" s="83"/>
      <c r="Q41" s="83">
        <v>35</v>
      </c>
      <c r="R41" s="84"/>
      <c r="S41" s="85"/>
      <c r="T41" s="88">
        <f t="shared" si="0"/>
        <v>0</v>
      </c>
      <c r="U41" s="88">
        <f>C41*12+M41*12+O41*12+Q41*12+T41</f>
        <v>1572</v>
      </c>
      <c r="V41" s="88">
        <f>U41/12</f>
        <v>131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7776+3024+8424+5508+3024+5616+52</f>
        <v>33424</v>
      </c>
      <c r="D43" s="65"/>
      <c r="E43" s="65"/>
      <c r="F43" s="65"/>
      <c r="G43" s="65"/>
      <c r="H43" s="65">
        <v>3</v>
      </c>
      <c r="I43" s="65">
        <v>7</v>
      </c>
      <c r="J43" s="66">
        <f>10*6+4</f>
        <v>64</v>
      </c>
      <c r="K43" s="67">
        <f>69*6+7</f>
        <v>421</v>
      </c>
      <c r="L43" s="62"/>
      <c r="M43" s="63">
        <v>333</v>
      </c>
      <c r="N43" s="64"/>
      <c r="O43" s="65">
        <v>368</v>
      </c>
      <c r="P43" s="66"/>
      <c r="Q43" s="66">
        <v>493</v>
      </c>
      <c r="R43" s="67"/>
      <c r="S43" s="62"/>
      <c r="T43" s="77">
        <f t="shared" ref="T43" si="6">H43+I43+J43+K43+N43+P43+R43</f>
        <v>495</v>
      </c>
      <c r="U43" s="77">
        <f>C43*6+M43*6+O43*6+Q43*6+T43</f>
        <v>208203</v>
      </c>
      <c r="V43" s="77">
        <f>U43/6</f>
        <v>34700.5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43762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1187</v>
      </c>
      <c r="I58" s="6">
        <f t="shared" si="11"/>
        <v>39</v>
      </c>
      <c r="J58" s="6">
        <f t="shared" si="11"/>
        <v>67</v>
      </c>
      <c r="K58" s="6">
        <f t="shared" si="11"/>
        <v>457</v>
      </c>
      <c r="M58" s="5">
        <f t="shared" ref="M58:R58" si="12">SUM(M7:M57)</f>
        <v>392</v>
      </c>
      <c r="N58" s="5">
        <f t="shared" si="12"/>
        <v>12</v>
      </c>
      <c r="O58" s="5">
        <f t="shared" si="12"/>
        <v>430</v>
      </c>
      <c r="P58" s="5">
        <f t="shared" si="12"/>
        <v>28</v>
      </c>
      <c r="Q58" s="5">
        <f t="shared" si="12"/>
        <v>687</v>
      </c>
      <c r="R58" s="5">
        <f t="shared" si="12"/>
        <v>3</v>
      </c>
      <c r="S58" s="55"/>
      <c r="T58" s="4">
        <f>SUM(T7:T57)</f>
        <v>1793</v>
      </c>
      <c r="U58" s="90">
        <f>SUM(U7:U57)</f>
        <v>340751</v>
      </c>
      <c r="V58" s="4">
        <f>SUM(V7:V57)</f>
        <v>45410.083333333328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C6FA4E-6F18-47E1-BB68-EA59840B35B2}">
  <sheetPr>
    <pageSetUpPr fitToPage="1"/>
  </sheetPr>
  <dimension ref="A1:BB81"/>
  <sheetViews>
    <sheetView topLeftCell="A36" zoomScaleNormal="100" zoomScaleSheetLayoutView="115" workbookViewId="0">
      <selection activeCell="V62" sqref="V6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2"/>
      <c r="Q5" s="102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2"/>
      <c r="K6" s="38"/>
      <c r="M6" s="37"/>
      <c r="N6" s="49"/>
      <c r="O6" s="40"/>
      <c r="P6" s="102"/>
      <c r="Q6" s="102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3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561</v>
      </c>
      <c r="V7" s="58">
        <f>U7/24</f>
        <v>23.375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90+25</f>
        <v>115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1</v>
      </c>
      <c r="P9" s="71"/>
      <c r="Q9" s="71">
        <v>17</v>
      </c>
      <c r="R9" s="72"/>
      <c r="S9" s="55"/>
      <c r="T9" s="75">
        <f t="shared" si="0"/>
        <v>0</v>
      </c>
      <c r="U9" s="76">
        <f t="shared" ref="U9:U11" si="2">C9*24+M9*24+O9*24+Q9*24+T9</f>
        <v>3240</v>
      </c>
      <c r="V9" s="76">
        <f t="shared" ref="V9:V11" si="3">U9/24</f>
        <v>135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>
        <v>4</v>
      </c>
      <c r="N10" s="74"/>
      <c r="O10" s="70"/>
      <c r="P10" s="71"/>
      <c r="Q10" s="71">
        <v>16</v>
      </c>
      <c r="R10" s="72"/>
      <c r="S10" s="55"/>
      <c r="T10" s="58">
        <f t="shared" si="0"/>
        <v>0</v>
      </c>
      <c r="U10" s="58">
        <f t="shared" si="2"/>
        <v>480</v>
      </c>
      <c r="V10" s="58">
        <f t="shared" si="3"/>
        <v>20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720+34+216+4+1440+576</f>
        <v>2990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72336</v>
      </c>
      <c r="V12" s="69">
        <f>U12/24</f>
        <v>3014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63+59</f>
        <v>122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1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26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1</v>
      </c>
      <c r="P28" s="71"/>
      <c r="Q28" s="71">
        <v>5</v>
      </c>
      <c r="R28" s="72"/>
      <c r="S28" s="55"/>
      <c r="T28" s="58">
        <f t="shared" si="0"/>
        <v>0</v>
      </c>
      <c r="U28" s="75">
        <f t="shared" si="4"/>
        <v>816</v>
      </c>
      <c r="V28" s="75">
        <f t="shared" si="5"/>
        <v>34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f>62</f>
        <v>62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/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864+2808+88</f>
        <v>3760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21</v>
      </c>
      <c r="N37" s="64"/>
      <c r="O37" s="65"/>
      <c r="P37" s="66"/>
      <c r="Q37" s="66">
        <v>38</v>
      </c>
      <c r="R37" s="67"/>
      <c r="S37" s="62"/>
      <c r="T37" s="77">
        <f t="shared" si="0"/>
        <v>13</v>
      </c>
      <c r="U37" s="77">
        <f>C37*6+M37*6+O37*6+Q37*6+T37</f>
        <v>22927</v>
      </c>
      <c r="V37" s="77">
        <f>U37/6</f>
        <v>3821.1666666666665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23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1</v>
      </c>
      <c r="N40" s="64"/>
      <c r="O40" s="65">
        <v>1</v>
      </c>
      <c r="P40" s="66">
        <v>12</v>
      </c>
      <c r="Q40" s="66">
        <v>1</v>
      </c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73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1</v>
      </c>
      <c r="P41" s="83"/>
      <c r="Q41" s="83">
        <v>8</v>
      </c>
      <c r="R41" s="84"/>
      <c r="S41" s="85"/>
      <c r="T41" s="88">
        <f t="shared" si="0"/>
        <v>0</v>
      </c>
      <c r="U41" s="88">
        <f>C41*12+M41*12+O41*12+Q41*12+T41</f>
        <v>1104</v>
      </c>
      <c r="V41" s="88">
        <f>U41/12</f>
        <v>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7776+3024+8424+5508+3024+4860</f>
        <v>32616</v>
      </c>
      <c r="D43" s="65"/>
      <c r="E43" s="65"/>
      <c r="F43" s="65"/>
      <c r="G43" s="65"/>
      <c r="H43" s="65">
        <v>3</v>
      </c>
      <c r="I43" s="65">
        <v>7</v>
      </c>
      <c r="J43" s="66">
        <f>11*6+4</f>
        <v>70</v>
      </c>
      <c r="K43" s="67">
        <f>69*6+7</f>
        <v>421</v>
      </c>
      <c r="L43" s="62"/>
      <c r="M43" s="63">
        <v>370</v>
      </c>
      <c r="N43" s="64"/>
      <c r="O43" s="65">
        <v>45</v>
      </c>
      <c r="P43" s="66"/>
      <c r="Q43" s="66">
        <v>434</v>
      </c>
      <c r="R43" s="67"/>
      <c r="S43" s="62"/>
      <c r="T43" s="77">
        <f t="shared" ref="T43" si="6">H43+I43+J43+K43+N43+P43+R43</f>
        <v>501</v>
      </c>
      <c r="U43" s="77">
        <f>C43*6+M43*6+O43*6+Q43*6+T43</f>
        <v>201291</v>
      </c>
      <c r="V43" s="77">
        <f>U43/6</f>
        <v>33548.5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10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16771</v>
      </c>
      <c r="V47" s="77">
        <f>U47/6</f>
        <v>2795.1666666666665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42794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39</v>
      </c>
      <c r="J58" s="6">
        <f t="shared" si="11"/>
        <v>74</v>
      </c>
      <c r="K58" s="6">
        <f t="shared" si="11"/>
        <v>457</v>
      </c>
      <c r="M58" s="5">
        <f t="shared" ref="M58:R58" si="12">SUM(M7:M57)</f>
        <v>433</v>
      </c>
      <c r="N58" s="5">
        <f t="shared" si="12"/>
        <v>0</v>
      </c>
      <c r="O58" s="5">
        <f t="shared" si="12"/>
        <v>61</v>
      </c>
      <c r="P58" s="5">
        <f t="shared" si="12"/>
        <v>28</v>
      </c>
      <c r="Q58" s="5">
        <f t="shared" si="12"/>
        <v>549</v>
      </c>
      <c r="R58" s="5">
        <f t="shared" si="12"/>
        <v>3</v>
      </c>
      <c r="S58" s="55"/>
      <c r="T58" s="4">
        <f>SUM(T7:T57)</f>
        <v>1793</v>
      </c>
      <c r="U58" s="90">
        <f>SUM(U7:U57)</f>
        <v>330779</v>
      </c>
      <c r="V58" s="4">
        <f>SUM(V7:V57)</f>
        <v>43977.583333333328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FA54C-F0FF-4F87-83F3-3422B1318445}">
  <sheetPr>
    <pageSetUpPr fitToPage="1"/>
  </sheetPr>
  <dimension ref="A1:BB81"/>
  <sheetViews>
    <sheetView topLeftCell="A37" zoomScaleNormal="100" zoomScaleSheetLayoutView="115" workbookViewId="0">
      <selection activeCell="C54" sqref="C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3"/>
      <c r="Q5" s="103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3"/>
      <c r="K6" s="38"/>
      <c r="M6" s="37"/>
      <c r="N6" s="49"/>
      <c r="O6" s="40"/>
      <c r="P6" s="103"/>
      <c r="Q6" s="103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18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61+33</f>
        <v>94</v>
      </c>
      <c r="D8" s="59"/>
      <c r="E8" s="59"/>
      <c r="F8" s="59"/>
      <c r="G8" s="59"/>
      <c r="H8" s="59"/>
      <c r="I8" s="59"/>
      <c r="J8" s="60"/>
      <c r="K8" s="61"/>
      <c r="L8" s="62"/>
      <c r="M8" s="63"/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90+24</f>
        <v>114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2784</v>
      </c>
      <c r="V9" s="76">
        <f t="shared" ref="V9:V11" si="3">U9/24</f>
        <v>116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720+34+1440+144+51+576</f>
        <v>2965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7</v>
      </c>
      <c r="N12" s="64"/>
      <c r="O12" s="65">
        <v>16</v>
      </c>
      <c r="P12" s="66"/>
      <c r="Q12" s="66">
        <v>16</v>
      </c>
      <c r="R12" s="67"/>
      <c r="S12" s="62"/>
      <c r="T12" s="69">
        <f t="shared" si="0"/>
        <v>0</v>
      </c>
      <c r="U12" s="69">
        <f>C12*24+M12*24+O12*24+Q12*24+T12</f>
        <v>72096</v>
      </c>
      <c r="V12" s="69">
        <f>U12/24</f>
        <v>3004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63+58</f>
        <v>121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2977</v>
      </c>
      <c r="V25" s="75">
        <f t="shared" si="5"/>
        <v>124.04166666666667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22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1</v>
      </c>
      <c r="N28" s="74"/>
      <c r="O28" s="70">
        <v>2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672</v>
      </c>
      <c r="V28" s="75">
        <f t="shared" si="5"/>
        <v>28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4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/>
      <c r="J34" s="71">
        <v>1</v>
      </c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864+2700+58</f>
        <v>3622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6</v>
      </c>
      <c r="N37" s="64"/>
      <c r="O37" s="65">
        <v>108</v>
      </c>
      <c r="P37" s="66"/>
      <c r="Q37" s="66">
        <v>54</v>
      </c>
      <c r="R37" s="67"/>
      <c r="S37" s="62"/>
      <c r="T37" s="77">
        <f t="shared" si="0"/>
        <v>13</v>
      </c>
      <c r="U37" s="77">
        <f>C37*6+M37*6+O37*6+Q37*6+T37</f>
        <v>22753</v>
      </c>
      <c r="V37" s="77">
        <f>U37/6</f>
        <v>3792.1666666666665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v>26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656</v>
      </c>
      <c r="V40" s="77">
        <f>U40/24</f>
        <v>27.333333333333332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60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2</v>
      </c>
      <c r="N41" s="87"/>
      <c r="O41" s="82">
        <v>6</v>
      </c>
      <c r="P41" s="83"/>
      <c r="Q41" s="83">
        <v>15</v>
      </c>
      <c r="R41" s="84"/>
      <c r="S41" s="85"/>
      <c r="T41" s="88">
        <f t="shared" si="0"/>
        <v>0</v>
      </c>
      <c r="U41" s="88">
        <f>C41*12+M41*12+O41*12+Q41*12+T41</f>
        <v>996</v>
      </c>
      <c r="V41" s="88">
        <f>U41/12</f>
        <v>83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7776+3024+8424+5508+3024+4212</f>
        <v>31968</v>
      </c>
      <c r="D43" s="65"/>
      <c r="E43" s="65"/>
      <c r="F43" s="65"/>
      <c r="G43" s="65"/>
      <c r="H43" s="65">
        <v>3</v>
      </c>
      <c r="I43" s="65">
        <v>7</v>
      </c>
      <c r="J43" s="66">
        <f>6*12+4</f>
        <v>76</v>
      </c>
      <c r="K43" s="67">
        <f>69*6+7</f>
        <v>421</v>
      </c>
      <c r="L43" s="62"/>
      <c r="M43" s="63">
        <v>58</v>
      </c>
      <c r="N43" s="64"/>
      <c r="O43" s="65">
        <v>369</v>
      </c>
      <c r="P43" s="66"/>
      <c r="Q43" s="66">
        <v>419</v>
      </c>
      <c r="R43" s="67"/>
      <c r="S43" s="62"/>
      <c r="T43" s="77">
        <f t="shared" ref="T43" si="6">H43+I43+J43+K43+N43+P43+R43</f>
        <v>507</v>
      </c>
      <c r="U43" s="77">
        <f>C43*6+M43*6+O43*6+Q43*6+T43</f>
        <v>197391</v>
      </c>
      <c r="V43" s="77">
        <f>U43/6</f>
        <v>32898.5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9</v>
      </c>
      <c r="R47" s="67">
        <v>3</v>
      </c>
      <c r="S47" s="62"/>
      <c r="T47" s="77">
        <f t="shared" si="7"/>
        <v>13</v>
      </c>
      <c r="U47" s="77">
        <f>C47*6+M47*6+O47*6+Q47*6+T47</f>
        <v>16759</v>
      </c>
      <c r="V47" s="77">
        <f>U47/6</f>
        <v>2793.1666666666665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41966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1192</v>
      </c>
      <c r="I58" s="6">
        <f t="shared" si="11"/>
        <v>32</v>
      </c>
      <c r="J58" s="6">
        <f t="shared" si="11"/>
        <v>87</v>
      </c>
      <c r="K58" s="6">
        <f t="shared" si="11"/>
        <v>457</v>
      </c>
      <c r="M58" s="5">
        <f t="shared" ref="M58:R58" si="12">SUM(M7:M57)</f>
        <v>86</v>
      </c>
      <c r="N58" s="5">
        <f t="shared" si="12"/>
        <v>0</v>
      </c>
      <c r="O58" s="5">
        <f t="shared" si="12"/>
        <v>515</v>
      </c>
      <c r="P58" s="5">
        <f t="shared" si="12"/>
        <v>28</v>
      </c>
      <c r="Q58" s="5">
        <f t="shared" si="12"/>
        <v>522</v>
      </c>
      <c r="R58" s="5">
        <f t="shared" si="12"/>
        <v>3</v>
      </c>
      <c r="S58" s="55"/>
      <c r="T58" s="4">
        <f>SUM(T7:T57)</f>
        <v>1799</v>
      </c>
      <c r="U58" s="90">
        <f>SUM(U7:U57)</f>
        <v>325217</v>
      </c>
      <c r="V58" s="4">
        <f>SUM(V7:V57)</f>
        <v>43230.583333333328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837BAA-A524-43AB-A68D-722EBC86F0F3}">
  <sheetPr>
    <pageSetUpPr fitToPage="1"/>
  </sheetPr>
  <dimension ref="A1:BB81"/>
  <sheetViews>
    <sheetView topLeftCell="A40" zoomScaleNormal="100" zoomScaleSheetLayoutView="115" workbookViewId="0">
      <selection activeCell="Y63" sqref="Y6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4"/>
      <c r="Q5" s="104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4"/>
      <c r="K6" s="38"/>
      <c r="M6" s="37"/>
      <c r="N6" s="49"/>
      <c r="O6" s="40"/>
      <c r="P6" s="104"/>
      <c r="Q6" s="104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4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513</v>
      </c>
      <c r="V7" s="58">
        <f>U7/24</f>
        <v>21.375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33+57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2304</v>
      </c>
      <c r="V8" s="69">
        <f>U8/24</f>
        <v>96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90+19</f>
        <v>109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>
        <v>3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2736</v>
      </c>
      <c r="V9" s="76">
        <f t="shared" ref="V9:V11" si="3">U9/24</f>
        <v>114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720+34+1440+144+41+576</f>
        <v>2955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12</v>
      </c>
      <c r="N12" s="64"/>
      <c r="O12" s="65">
        <v>10</v>
      </c>
      <c r="P12" s="66">
        <v>12</v>
      </c>
      <c r="Q12" s="66">
        <v>8</v>
      </c>
      <c r="R12" s="67">
        <v>12</v>
      </c>
      <c r="S12" s="62"/>
      <c r="T12" s="69">
        <f t="shared" si="0"/>
        <v>24</v>
      </c>
      <c r="U12" s="69">
        <f>C12*24+M12*24+O12*24+Q12*24+T12</f>
        <v>71664</v>
      </c>
      <c r="V12" s="69">
        <f>U12/24</f>
        <v>2986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21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2</v>
      </c>
      <c r="P28" s="71"/>
      <c r="Q28" s="71">
        <v>1</v>
      </c>
      <c r="R28" s="72"/>
      <c r="S28" s="55"/>
      <c r="T28" s="58">
        <f t="shared" si="0"/>
        <v>0</v>
      </c>
      <c r="U28" s="75">
        <f t="shared" si="4"/>
        <v>624</v>
      </c>
      <c r="V28" s="75">
        <f t="shared" si="5"/>
        <v>26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2</v>
      </c>
      <c r="P32" s="71"/>
      <c r="Q32" s="71"/>
      <c r="R32" s="72"/>
      <c r="S32" s="55"/>
      <c r="T32" s="58">
        <f t="shared" si="0"/>
        <v>0</v>
      </c>
      <c r="U32" s="75">
        <f t="shared" si="4"/>
        <v>96</v>
      </c>
      <c r="V32" s="75">
        <f t="shared" si="5"/>
        <v>4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864+2592+73</f>
        <v>3529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33</v>
      </c>
      <c r="N37" s="64"/>
      <c r="O37" s="65">
        <v>66</v>
      </c>
      <c r="P37" s="66"/>
      <c r="Q37" s="66">
        <v>1</v>
      </c>
      <c r="R37" s="67"/>
      <c r="S37" s="62"/>
      <c r="T37" s="77">
        <f t="shared" si="0"/>
        <v>13</v>
      </c>
      <c r="U37" s="77">
        <f>C37*6+M37*6+O37*6+Q37*6+T37</f>
        <v>21787</v>
      </c>
      <c r="V37" s="77">
        <f>U37/6</f>
        <v>3631.1666666666665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48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14</v>
      </c>
      <c r="N41" s="87"/>
      <c r="O41" s="82">
        <v>6</v>
      </c>
      <c r="P41" s="83"/>
      <c r="Q41" s="83">
        <v>4</v>
      </c>
      <c r="R41" s="84"/>
      <c r="S41" s="85"/>
      <c r="T41" s="88">
        <f t="shared" si="0"/>
        <v>0</v>
      </c>
      <c r="U41" s="88">
        <f>C41*12+M41*12+O41*12+Q41*12+T41</f>
        <v>864</v>
      </c>
      <c r="V41" s="88">
        <f>U41/12</f>
        <v>72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7776+3024+8424+5508+3024+3564+91</f>
        <v>31411</v>
      </c>
      <c r="D43" s="65"/>
      <c r="E43" s="65"/>
      <c r="F43" s="65"/>
      <c r="G43" s="65"/>
      <c r="H43" s="65"/>
      <c r="I43" s="65">
        <f>7</f>
        <v>7</v>
      </c>
      <c r="J43" s="66">
        <f>13*6</f>
        <v>78</v>
      </c>
      <c r="K43" s="67">
        <f>69*6+7</f>
        <v>421</v>
      </c>
      <c r="L43" s="62"/>
      <c r="M43" s="63">
        <v>333</v>
      </c>
      <c r="N43" s="64"/>
      <c r="O43" s="65">
        <v>374</v>
      </c>
      <c r="P43" s="66"/>
      <c r="Q43" s="66">
        <v>162</v>
      </c>
      <c r="R43" s="67"/>
      <c r="S43" s="62"/>
      <c r="T43" s="77">
        <f t="shared" ref="T43" si="6">H43+I43+J43+K43+N43+P43+R43</f>
        <v>506</v>
      </c>
      <c r="U43" s="77">
        <f>C43*6+M43*6+O43*6+Q43*6+T43</f>
        <v>194186</v>
      </c>
      <c r="V43" s="77">
        <f>U43/6</f>
        <v>32364.333333333332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41248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414</v>
      </c>
      <c r="N58" s="5">
        <f t="shared" si="12"/>
        <v>0</v>
      </c>
      <c r="O58" s="5">
        <f t="shared" si="12"/>
        <v>476</v>
      </c>
      <c r="P58" s="5">
        <f t="shared" si="12"/>
        <v>40</v>
      </c>
      <c r="Q58" s="5">
        <f t="shared" si="12"/>
        <v>188</v>
      </c>
      <c r="R58" s="5">
        <f t="shared" si="12"/>
        <v>15</v>
      </c>
      <c r="S58" s="55"/>
      <c r="T58" s="4">
        <f>SUM(T7:T57)</f>
        <v>1822</v>
      </c>
      <c r="U58" s="90">
        <f>SUM(U7:U57)</f>
        <v>319624</v>
      </c>
      <c r="V58" s="4">
        <f>SUM(V7:V57)</f>
        <v>42468.416666666664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94D50-5105-482B-A3FE-262EC85AC025}">
  <sheetPr>
    <pageSetUpPr fitToPage="1"/>
  </sheetPr>
  <dimension ref="A1:BB81"/>
  <sheetViews>
    <sheetView topLeftCell="A37" zoomScaleNormal="100" zoomScaleSheetLayoutView="115" workbookViewId="0">
      <selection activeCell="I43" sqref="I43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5"/>
      <c r="Q5" s="105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5"/>
      <c r="K6" s="38"/>
      <c r="M6" s="37"/>
      <c r="N6" s="49"/>
      <c r="O6" s="40"/>
      <c r="P6" s="105"/>
      <c r="Q6" s="105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15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57+33</f>
        <v>90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90+5</f>
        <v>95</v>
      </c>
      <c r="D9" s="70"/>
      <c r="E9" s="70"/>
      <c r="F9" s="70"/>
      <c r="G9" s="70"/>
      <c r="H9" s="70"/>
      <c r="I9" s="70"/>
      <c r="J9" s="71"/>
      <c r="K9" s="72"/>
      <c r="L9" s="55"/>
      <c r="M9" s="73">
        <v>2</v>
      </c>
      <c r="N9" s="74"/>
      <c r="O9" s="70"/>
      <c r="P9" s="71"/>
      <c r="Q9" s="71">
        <v>10</v>
      </c>
      <c r="R9" s="72"/>
      <c r="S9" s="55"/>
      <c r="T9" s="75">
        <f t="shared" si="0"/>
        <v>0</v>
      </c>
      <c r="U9" s="76">
        <f t="shared" ref="U9:U11" si="2">C9*24+M9*24+O9*24+Q9*24+T9</f>
        <v>2568</v>
      </c>
      <c r="V9" s="76">
        <f t="shared" ref="V9:V11" si="3">U9/24</f>
        <v>107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720+29+1440+576+144+4</f>
        <v>2913</v>
      </c>
      <c r="D12" s="59"/>
      <c r="E12" s="59"/>
      <c r="F12" s="59"/>
      <c r="G12" s="59"/>
      <c r="H12" s="59"/>
      <c r="I12" s="59"/>
      <c r="J12" s="60"/>
      <c r="K12" s="61"/>
      <c r="L12" s="62">
        <v>10</v>
      </c>
      <c r="M12" s="63">
        <v>10</v>
      </c>
      <c r="N12" s="64"/>
      <c r="O12" s="65">
        <v>15</v>
      </c>
      <c r="P12" s="66">
        <v>12</v>
      </c>
      <c r="Q12" s="66">
        <v>25</v>
      </c>
      <c r="R12" s="67">
        <v>12</v>
      </c>
      <c r="S12" s="62"/>
      <c r="T12" s="69">
        <f t="shared" si="0"/>
        <v>24</v>
      </c>
      <c r="U12" s="69">
        <f>C12*24+M12*24+O12*24+Q12*24+T12</f>
        <v>71136</v>
      </c>
      <c r="V12" s="69">
        <f>U12/24</f>
        <v>2964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>
        <v>20</v>
      </c>
      <c r="I22" s="70"/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63+53</f>
        <v>116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2857</v>
      </c>
      <c r="V25" s="75">
        <f t="shared" si="5"/>
        <v>119.04166666666667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17</v>
      </c>
      <c r="D28" s="70"/>
      <c r="E28" s="70"/>
      <c r="F28" s="70"/>
      <c r="G28" s="70"/>
      <c r="H28" s="70"/>
      <c r="I28" s="70"/>
      <c r="J28" s="71"/>
      <c r="K28" s="72"/>
      <c r="L28" s="55"/>
      <c r="M28" s="73">
        <v>2</v>
      </c>
      <c r="N28" s="74"/>
      <c r="O28" s="70">
        <v>3</v>
      </c>
      <c r="P28" s="71"/>
      <c r="Q28" s="71">
        <v>3</v>
      </c>
      <c r="R28" s="72"/>
      <c r="S28" s="55"/>
      <c r="T28" s="58">
        <f t="shared" si="0"/>
        <v>0</v>
      </c>
      <c r="U28" s="75">
        <f t="shared" si="4"/>
        <v>600</v>
      </c>
      <c r="V28" s="75">
        <f t="shared" si="5"/>
        <v>25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f>49</f>
        <v>49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/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11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288</v>
      </c>
      <c r="V30" s="75">
        <f t="shared" si="5"/>
        <v>12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61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/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864+2268</f>
        <v>3132</v>
      </c>
      <c r="D37" s="59"/>
      <c r="E37" s="59"/>
      <c r="F37" s="59"/>
      <c r="G37" s="59"/>
      <c r="H37" s="59">
        <f>5</f>
        <v>5</v>
      </c>
      <c r="I37" s="59">
        <v>2</v>
      </c>
      <c r="J37" s="60">
        <v>3</v>
      </c>
      <c r="K37" s="61">
        <v>3</v>
      </c>
      <c r="L37" s="62"/>
      <c r="M37" s="63">
        <v>117</v>
      </c>
      <c r="N37" s="64"/>
      <c r="O37" s="65">
        <v>46</v>
      </c>
      <c r="P37" s="66"/>
      <c r="Q37" s="66">
        <v>163</v>
      </c>
      <c r="R37" s="67"/>
      <c r="S37" s="62"/>
      <c r="T37" s="77">
        <f t="shared" si="0"/>
        <v>13</v>
      </c>
      <c r="U37" s="77">
        <f>C37*6+M37*6+O37*6+Q37*6+T37</f>
        <v>20761</v>
      </c>
      <c r="V37" s="77">
        <f>U37/6</f>
        <v>3460.1666666666665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32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6</v>
      </c>
      <c r="N41" s="87"/>
      <c r="O41" s="82">
        <v>7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708</v>
      </c>
      <c r="V41" s="88">
        <f>U41/12</f>
        <v>59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7776+3024+8424+5508+3024+2484</f>
        <v>30240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326</v>
      </c>
      <c r="N43" s="64"/>
      <c r="O43" s="65">
        <v>529</v>
      </c>
      <c r="P43" s="66"/>
      <c r="Q43" s="66">
        <v>486</v>
      </c>
      <c r="R43" s="67"/>
      <c r="S43" s="62"/>
      <c r="T43" s="77">
        <f t="shared" ref="T43" si="6">H43+I43+J43+K43+N43+P43+R43</f>
        <v>506</v>
      </c>
      <c r="U43" s="77">
        <f>C43*6+M43*6+O43*6+Q43*6+T43</f>
        <v>189992</v>
      </c>
      <c r="V43" s="77">
        <f>U43/6</f>
        <v>31665.333333333332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432+106+2160+67</f>
        <v>2765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39604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1209</v>
      </c>
      <c r="I58" s="6">
        <f t="shared" si="11"/>
        <v>19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477</v>
      </c>
      <c r="N58" s="5">
        <f t="shared" si="12"/>
        <v>0</v>
      </c>
      <c r="O58" s="5">
        <f t="shared" si="12"/>
        <v>613</v>
      </c>
      <c r="P58" s="5">
        <f t="shared" si="12"/>
        <v>40</v>
      </c>
      <c r="Q58" s="5">
        <f t="shared" si="12"/>
        <v>713</v>
      </c>
      <c r="R58" s="5">
        <f t="shared" si="12"/>
        <v>15</v>
      </c>
      <c r="S58" s="55"/>
      <c r="T58" s="4">
        <f>SUM(T7:T57)</f>
        <v>1822</v>
      </c>
      <c r="U58" s="90">
        <f>SUM(U7:U57)</f>
        <v>313384</v>
      </c>
      <c r="V58" s="4">
        <f>SUM(V7:V57)</f>
        <v>41549.416666666664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D73BA-545B-416B-B982-577C234B39E1}">
  <sheetPr>
    <pageSetUpPr fitToPage="1"/>
  </sheetPr>
  <dimension ref="A1:BB81"/>
  <sheetViews>
    <sheetView topLeftCell="A29" zoomScaleNormal="100" zoomScaleSheetLayoutView="115" workbookViewId="0">
      <selection activeCell="AD34" sqref="AD3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6"/>
      <c r="Q5" s="106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6"/>
      <c r="K6" s="38"/>
      <c r="M6" s="37"/>
      <c r="N6" s="49"/>
      <c r="O6" s="40"/>
      <c r="P6" s="106"/>
      <c r="Q6" s="106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56+33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90+2</f>
        <v>92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2280</v>
      </c>
      <c r="V9" s="76">
        <f t="shared" ref="V9:V11" si="3">U9/24</f>
        <v>95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720+29+1440+576+72+22+4</f>
        <v>2863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21</v>
      </c>
      <c r="N12" s="64"/>
      <c r="O12" s="65">
        <v>13</v>
      </c>
      <c r="P12" s="66">
        <v>12</v>
      </c>
      <c r="Q12" s="66">
        <v>22</v>
      </c>
      <c r="R12" s="67">
        <v>12</v>
      </c>
      <c r="S12" s="62"/>
      <c r="T12" s="69">
        <f t="shared" si="0"/>
        <v>24</v>
      </c>
      <c r="U12" s="69">
        <f>C12*24+M12*24+O12*24+Q12*24+T12</f>
        <v>70080</v>
      </c>
      <c r="V12" s="69">
        <f>U12/24</f>
        <v>2920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63+35</f>
        <v>98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4</v>
      </c>
      <c r="N25" s="74"/>
      <c r="O25" s="70"/>
      <c r="P25" s="71"/>
      <c r="Q25" s="71">
        <v>15</v>
      </c>
      <c r="R25" s="72"/>
      <c r="S25" s="55"/>
      <c r="T25" s="58">
        <f t="shared" si="0"/>
        <v>1</v>
      </c>
      <c r="U25" s="75">
        <f t="shared" si="4"/>
        <v>2809</v>
      </c>
      <c r="V25" s="75">
        <f t="shared" si="5"/>
        <v>117.04166666666667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>
        <v>17</v>
      </c>
      <c r="R28" s="72"/>
      <c r="S28" s="55"/>
      <c r="T28" s="58">
        <f t="shared" si="0"/>
        <v>0</v>
      </c>
      <c r="U28" s="75">
        <f t="shared" si="4"/>
        <v>480</v>
      </c>
      <c r="V28" s="75">
        <f t="shared" si="5"/>
        <v>20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43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>
        <v>1</v>
      </c>
      <c r="N29" s="74"/>
      <c r="O29" s="70">
        <v>1</v>
      </c>
      <c r="P29" s="71"/>
      <c r="Q29" s="71">
        <v>5</v>
      </c>
      <c r="R29" s="72"/>
      <c r="S29" s="55"/>
      <c r="T29" s="58">
        <f t="shared" si="0"/>
        <v>5</v>
      </c>
      <c r="U29" s="75">
        <f t="shared" si="4"/>
        <v>1205</v>
      </c>
      <c r="V29" s="75">
        <f t="shared" si="5"/>
        <v>50.208333333333336</v>
      </c>
    </row>
    <row r="30" spans="1:54" x14ac:dyDescent="0.25">
      <c r="A30" s="27">
        <f t="shared" si="1"/>
        <v>27</v>
      </c>
      <c r="B30" s="26" t="s">
        <v>15</v>
      </c>
      <c r="C30" s="70">
        <v>10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/>
      <c r="R30" s="72"/>
      <c r="S30" s="55"/>
      <c r="T30" s="58">
        <f t="shared" si="0"/>
        <v>0</v>
      </c>
      <c r="U30" s="75">
        <f t="shared" si="4"/>
        <v>264</v>
      </c>
      <c r="V30" s="75">
        <f t="shared" si="5"/>
        <v>11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57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4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1550</v>
      </c>
      <c r="V34" s="75">
        <f t="shared" si="5"/>
        <v>64.583333333333329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864+58+2052</f>
        <v>2974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134</v>
      </c>
      <c r="N37" s="64"/>
      <c r="O37" s="65">
        <v>30</v>
      </c>
      <c r="P37" s="66"/>
      <c r="Q37" s="66">
        <v>41</v>
      </c>
      <c r="R37" s="67"/>
      <c r="S37" s="62"/>
      <c r="T37" s="77">
        <f t="shared" si="0"/>
        <v>13</v>
      </c>
      <c r="U37" s="77">
        <f>C37*6+M37*6+O37*6+Q37*6+T37</f>
        <v>19087</v>
      </c>
      <c r="V37" s="77">
        <f>U37/6</f>
        <v>3181.1666666666665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/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/>
      <c r="R40" s="67"/>
      <c r="S40" s="62"/>
      <c r="T40" s="77">
        <f t="shared" si="0"/>
        <v>32</v>
      </c>
      <c r="U40" s="77">
        <f>C40*24+M40*24+O40*24+Q40*24+T40</f>
        <v>32</v>
      </c>
      <c r="V40" s="77">
        <f>U40/24</f>
        <v>1.3333333333333333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v>8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8</v>
      </c>
      <c r="N41" s="87"/>
      <c r="O41" s="82">
        <v>7</v>
      </c>
      <c r="P41" s="83"/>
      <c r="Q41" s="83">
        <v>19</v>
      </c>
      <c r="R41" s="84"/>
      <c r="S41" s="85"/>
      <c r="T41" s="88">
        <f t="shared" si="0"/>
        <v>0</v>
      </c>
      <c r="U41" s="88">
        <f>C41*12+M41*12+O41*12+Q41*12+T41</f>
        <v>504</v>
      </c>
      <c r="V41" s="88">
        <f>U41/12</f>
        <v>42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7776+3024+8424+5508+3024+1080</f>
        <v>28836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544</v>
      </c>
      <c r="N43" s="64"/>
      <c r="O43" s="65">
        <v>366</v>
      </c>
      <c r="P43" s="66"/>
      <c r="Q43" s="66">
        <v>651</v>
      </c>
      <c r="R43" s="67"/>
      <c r="S43" s="62"/>
      <c r="T43" s="77">
        <f t="shared" ref="T43" si="6">H43+I43+J43+K43+N43+P43+R43</f>
        <v>506</v>
      </c>
      <c r="U43" s="77">
        <f>C43*6+M43*6+O43*6+Q43*6+T43</f>
        <v>182888</v>
      </c>
      <c r="V43" s="77">
        <f>U43/6</f>
        <v>30481.333333333332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11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16741</v>
      </c>
      <c r="V47" s="77">
        <f>U47/6</f>
        <v>2790.1666666666665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37914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733</v>
      </c>
      <c r="N58" s="5">
        <f t="shared" si="12"/>
        <v>0</v>
      </c>
      <c r="O58" s="5">
        <f t="shared" si="12"/>
        <v>433</v>
      </c>
      <c r="P58" s="5">
        <f t="shared" si="12"/>
        <v>40</v>
      </c>
      <c r="Q58" s="5">
        <f t="shared" si="12"/>
        <v>783</v>
      </c>
      <c r="R58" s="5">
        <f t="shared" si="12"/>
        <v>15</v>
      </c>
      <c r="S58" s="55"/>
      <c r="T58" s="4">
        <f>SUM(T7:T57)</f>
        <v>1822</v>
      </c>
      <c r="U58" s="90">
        <f>SUM(U7:U57)</f>
        <v>302866</v>
      </c>
      <c r="V58" s="4">
        <f>SUM(V7:V57)</f>
        <v>40005.416666666664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D6FB9-F0E0-4D2B-8AC3-82CF2C48E9DF}">
  <sheetPr>
    <pageSetUpPr fitToPage="1"/>
  </sheetPr>
  <dimension ref="A1:BB81"/>
  <sheetViews>
    <sheetView topLeftCell="A30" zoomScaleNormal="100" zoomScaleSheetLayoutView="115" workbookViewId="0">
      <selection activeCell="G38" sqref="G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7"/>
      <c r="Q5" s="107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33+56</f>
        <v>89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/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90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2232</v>
      </c>
      <c r="V9" s="76">
        <f t="shared" ref="V9:V11" si="3">U9/24</f>
        <v>93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720+29+1440+72+576+6</f>
        <v>2843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11</v>
      </c>
      <c r="N12" s="64"/>
      <c r="O12" s="65">
        <v>6</v>
      </c>
      <c r="P12" s="66">
        <v>12</v>
      </c>
      <c r="Q12" s="66">
        <v>20</v>
      </c>
      <c r="R12" s="67"/>
      <c r="S12" s="62"/>
      <c r="T12" s="69">
        <f t="shared" si="0"/>
        <v>12</v>
      </c>
      <c r="U12" s="69">
        <f>C12*24+M12*24+O12*24+Q12*24+T12</f>
        <v>69132</v>
      </c>
      <c r="V12" s="69">
        <f>U12/24</f>
        <v>2880.5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33+63</f>
        <v>96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/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3</v>
      </c>
      <c r="P28" s="71"/>
      <c r="Q28" s="71"/>
      <c r="R28" s="72"/>
      <c r="S28" s="55"/>
      <c r="T28" s="58">
        <f t="shared" si="0"/>
        <v>0</v>
      </c>
      <c r="U28" s="75">
        <f t="shared" si="4"/>
        <v>72</v>
      </c>
      <c r="V28" s="75">
        <f t="shared" si="5"/>
        <v>3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41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1061</v>
      </c>
      <c r="V29" s="75">
        <f t="shared" si="5"/>
        <v>44.208333333333336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54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1454</v>
      </c>
      <c r="V34" s="75">
        <f t="shared" si="5"/>
        <v>60.583333333333336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864+2052</f>
        <v>2916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13</v>
      </c>
      <c r="N37" s="64"/>
      <c r="O37" s="65">
        <v>26</v>
      </c>
      <c r="P37" s="66"/>
      <c r="Q37" s="66">
        <v>59</v>
      </c>
      <c r="R37" s="67"/>
      <c r="S37" s="62"/>
      <c r="T37" s="77">
        <f t="shared" si="0"/>
        <v>13</v>
      </c>
      <c r="U37" s="77">
        <f>C37*6+M37*6+O37*6+Q37*6+T37</f>
        <v>18097</v>
      </c>
      <c r="V37" s="77">
        <f>U37/6</f>
        <v>3016.1666666666665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189+61</f>
        <v>250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>
        <v>12</v>
      </c>
      <c r="Q40" s="66">
        <v>2</v>
      </c>
      <c r="R40" s="67"/>
      <c r="S40" s="62"/>
      <c r="T40" s="77">
        <f t="shared" si="0"/>
        <v>32</v>
      </c>
      <c r="U40" s="77">
        <f>C40*24+M40*24+O40*24+Q40*24+T40</f>
        <v>6080</v>
      </c>
      <c r="V40" s="77">
        <f>U40/24</f>
        <v>253.33333333333334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288+88</f>
        <v>376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/>
      <c r="P41" s="83"/>
      <c r="Q41" s="83">
        <v>17</v>
      </c>
      <c r="R41" s="84"/>
      <c r="S41" s="85"/>
      <c r="T41" s="88">
        <f t="shared" si="0"/>
        <v>0</v>
      </c>
      <c r="U41" s="88">
        <f>C41*12+M41*12+O41*12+Q41*12+T41</f>
        <v>4716</v>
      </c>
      <c r="V41" s="88">
        <f>U41/12</f>
        <v>393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7776+3024+8424+5508+3024+972</f>
        <v>28728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f>340</f>
        <v>340</v>
      </c>
      <c r="N43" s="64"/>
      <c r="O43" s="65">
        <v>209</v>
      </c>
      <c r="P43" s="66"/>
      <c r="Q43" s="66">
        <v>543</v>
      </c>
      <c r="R43" s="67"/>
      <c r="S43" s="62"/>
      <c r="T43" s="77">
        <f t="shared" ref="T43" si="6">H43+I43+J43+K43+N43+P43+R43</f>
        <v>506</v>
      </c>
      <c r="U43" s="77">
        <f>C43*6+M43*6+O43*6+Q43*6+T43</f>
        <v>179426</v>
      </c>
      <c r="V43" s="77">
        <f>U43/6</f>
        <v>29904.333333333332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38335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39</v>
      </c>
      <c r="J58" s="6">
        <f t="shared" si="11"/>
        <v>82</v>
      </c>
      <c r="K58" s="6">
        <f t="shared" si="11"/>
        <v>457</v>
      </c>
      <c r="M58" s="5">
        <f t="shared" ref="M58:R58" si="12">SUM(M7:M57)</f>
        <v>381</v>
      </c>
      <c r="N58" s="5">
        <f t="shared" si="12"/>
        <v>0</v>
      </c>
      <c r="O58" s="5">
        <f t="shared" si="12"/>
        <v>258</v>
      </c>
      <c r="P58" s="5">
        <f t="shared" si="12"/>
        <v>40</v>
      </c>
      <c r="Q58" s="5">
        <f t="shared" si="12"/>
        <v>661</v>
      </c>
      <c r="R58" s="5">
        <f t="shared" si="12"/>
        <v>3</v>
      </c>
      <c r="S58" s="55"/>
      <c r="T58" s="4">
        <f>SUM(T7:T57)</f>
        <v>1810</v>
      </c>
      <c r="U58" s="90">
        <f>SUM(U7:U57)</f>
        <v>306580</v>
      </c>
      <c r="V58" s="4">
        <f>SUM(V7:V57)</f>
        <v>39776.916666666664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AA6FF-0FEB-441D-B15F-165A1BFAA06E}">
  <sheetPr>
    <pageSetUpPr fitToPage="1"/>
  </sheetPr>
  <dimension ref="A1:BB81"/>
  <sheetViews>
    <sheetView topLeftCell="A28" zoomScaleNormal="100" zoomScaleSheetLayoutView="115" workbookViewId="0">
      <selection activeCell="G38" sqref="G3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7"/>
      <c r="Q5" s="107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87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/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2136</v>
      </c>
      <c r="V9" s="76">
        <f t="shared" ref="V9:V11" si="3">U9/24</f>
        <v>89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720+29+1440+576+29</f>
        <v>2794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25</v>
      </c>
      <c r="N12" s="64">
        <v>12</v>
      </c>
      <c r="O12" s="65">
        <v>11</v>
      </c>
      <c r="P12" s="66"/>
      <c r="Q12" s="66">
        <v>19</v>
      </c>
      <c r="R12" s="67">
        <v>12</v>
      </c>
      <c r="S12" s="62"/>
      <c r="T12" s="69">
        <f t="shared" si="0"/>
        <v>24</v>
      </c>
      <c r="U12" s="69">
        <f>C12*24+M12*24+O12*24+Q12*24+T12</f>
        <v>68400</v>
      </c>
      <c r="V12" s="69">
        <f>U12/24</f>
        <v>2850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f>2</f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0</v>
      </c>
      <c r="V26" s="75">
        <f t="shared" si="5"/>
        <v>0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>
        <v>2</v>
      </c>
      <c r="P28" s="71"/>
      <c r="Q28" s="71"/>
      <c r="R28" s="72"/>
      <c r="S28" s="55"/>
      <c r="T28" s="58">
        <f t="shared" si="0"/>
        <v>0</v>
      </c>
      <c r="U28" s="75">
        <f t="shared" si="4"/>
        <v>48</v>
      </c>
      <c r="V28" s="75">
        <f t="shared" si="5"/>
        <v>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>
        <v>1</v>
      </c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1013</v>
      </c>
      <c r="V29" s="75">
        <f t="shared" si="5"/>
        <v>42.208333333333336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>
        <v>1</v>
      </c>
      <c r="P32" s="71"/>
      <c r="Q32" s="71"/>
      <c r="R32" s="72"/>
      <c r="S32" s="55"/>
      <c r="T32" s="58">
        <f t="shared" si="0"/>
        <v>0</v>
      </c>
      <c r="U32" s="75">
        <f t="shared" si="4"/>
        <v>72</v>
      </c>
      <c r="V32" s="75">
        <f t="shared" si="5"/>
        <v>3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1382</v>
      </c>
      <c r="V34" s="75">
        <f t="shared" si="5"/>
        <v>57.583333333333336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864+1944+53</f>
        <v>2861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30</v>
      </c>
      <c r="P37" s="66"/>
      <c r="Q37" s="66">
        <v>37</v>
      </c>
      <c r="R37" s="67"/>
      <c r="S37" s="62"/>
      <c r="T37" s="77">
        <f t="shared" si="0"/>
        <v>13</v>
      </c>
      <c r="U37" s="77">
        <f>C37*6+M37*6+O37*6+Q37*6+T37</f>
        <v>17587</v>
      </c>
      <c r="V37" s="77">
        <f>U37/6</f>
        <v>2931.1666666666665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0</v>
      </c>
      <c r="V38" s="75">
        <f>U38/24</f>
        <v>0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189+58</f>
        <v>247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2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6044</v>
      </c>
      <c r="V40" s="77">
        <f>U40/24</f>
        <v>251.83333333333334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288+82</f>
        <v>370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6</v>
      </c>
      <c r="P41" s="83"/>
      <c r="Q41" s="83">
        <v>11</v>
      </c>
      <c r="R41" s="84"/>
      <c r="S41" s="85"/>
      <c r="T41" s="88">
        <f t="shared" si="0"/>
        <v>0</v>
      </c>
      <c r="U41" s="88">
        <f>C41*12+M41*12+O41*12+Q41*12+T41</f>
        <v>4644</v>
      </c>
      <c r="V41" s="88">
        <f>U41/12</f>
        <v>387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7776+3024+8424+5508+972+1728</f>
        <v>27432</v>
      </c>
      <c r="D43" s="65"/>
      <c r="E43" s="65"/>
      <c r="F43" s="65"/>
      <c r="G43" s="65"/>
      <c r="H43" s="65"/>
      <c r="I43" s="65">
        <v>7</v>
      </c>
      <c r="J43" s="66">
        <f>13*6</f>
        <v>78</v>
      </c>
      <c r="K43" s="67">
        <f>69*6+7</f>
        <v>421</v>
      </c>
      <c r="L43" s="62"/>
      <c r="M43" s="63">
        <v>437</v>
      </c>
      <c r="N43" s="64"/>
      <c r="O43" s="65">
        <v>349</v>
      </c>
      <c r="P43" s="66"/>
      <c r="Q43" s="66">
        <v>523</v>
      </c>
      <c r="R43" s="67"/>
      <c r="S43" s="62"/>
      <c r="T43" s="77">
        <f t="shared" ref="T43" si="6">H43+I43+J43+K43+N43+P43+R43</f>
        <v>506</v>
      </c>
      <c r="U43" s="77">
        <f>C43*6+M43*6+O43*6+Q43*6+T43</f>
        <v>172952</v>
      </c>
      <c r="V43" s="77">
        <f>U43/6</f>
        <v>28825.333333333332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/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0</v>
      </c>
      <c r="V45" s="75">
        <f>U45/24</f>
        <v>0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SUM(C7:C53)</f>
        <v>36905</v>
      </c>
      <c r="D58" s="2"/>
      <c r="E58" s="2"/>
      <c r="F58" s="2"/>
      <c r="G58" s="2"/>
      <c r="H58" s="2">
        <f>SUM(H7:H53)</f>
        <v>1189</v>
      </c>
      <c r="I58" s="6">
        <f>SUM(I7:I53)</f>
        <v>39</v>
      </c>
      <c r="J58" s="6">
        <f>SUM(J7:J53)</f>
        <v>82</v>
      </c>
      <c r="K58" s="6">
        <f>SUM(K7:K53)</f>
        <v>457</v>
      </c>
      <c r="M58" s="5">
        <f t="shared" ref="M58:R58" si="11">SUM(M7:M53)</f>
        <v>480</v>
      </c>
      <c r="N58" s="5">
        <f t="shared" si="11"/>
        <v>12</v>
      </c>
      <c r="O58" s="5">
        <f t="shared" si="11"/>
        <v>415</v>
      </c>
      <c r="P58" s="5">
        <f t="shared" si="11"/>
        <v>16</v>
      </c>
      <c r="Q58" s="5">
        <f t="shared" si="11"/>
        <v>623</v>
      </c>
      <c r="R58" s="5">
        <f t="shared" si="11"/>
        <v>15</v>
      </c>
      <c r="S58" s="55"/>
      <c r="T58" s="4">
        <f>SUM(T7:T57)</f>
        <v>1810</v>
      </c>
      <c r="U58" s="90">
        <f>SUM(U7:U57)</f>
        <v>298516</v>
      </c>
      <c r="V58" s="4">
        <f>SUM(V7:V57)</f>
        <v>38564.916666666664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469E90-4FB7-4E44-B239-C75B996FAD37}">
  <sheetPr>
    <pageSetUpPr fitToPage="1"/>
  </sheetPr>
  <dimension ref="A1:BB81"/>
  <sheetViews>
    <sheetView topLeftCell="A34" zoomScaleNormal="100" zoomScaleSheetLayoutView="115" workbookViewId="0">
      <selection activeCell="Z54" sqref="Z54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7"/>
      <c r="Q5" s="107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55+33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f>85</f>
        <v>85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>
        <v>2</v>
      </c>
      <c r="R9" s="72"/>
      <c r="S9" s="55"/>
      <c r="T9" s="75">
        <f t="shared" si="0"/>
        <v>0</v>
      </c>
      <c r="U9" s="76">
        <f t="shared" ref="U9:U11" si="2">C9*24+M9*24+O9*24+Q9*24+T9</f>
        <v>2112</v>
      </c>
      <c r="V9" s="76">
        <f t="shared" ref="V9:V11" si="3">U9/24</f>
        <v>88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f>5</f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720+1440+576+29</f>
        <v>2765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15</v>
      </c>
      <c r="P12" s="66"/>
      <c r="Q12" s="66">
        <v>21</v>
      </c>
      <c r="R12" s="67"/>
      <c r="S12" s="62"/>
      <c r="T12" s="69">
        <f t="shared" si="0"/>
        <v>12</v>
      </c>
      <c r="U12" s="69">
        <f>C12*24+M12*24+O12*24+Q12*24+T12</f>
        <v>67620</v>
      </c>
      <c r="V12" s="69">
        <f>U12/24</f>
        <v>2817.5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24+20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63+22</f>
        <v>85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2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3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2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49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864+1944+25</f>
        <v>2833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</v>
      </c>
      <c r="N37" s="64"/>
      <c r="O37" s="65">
        <v>20</v>
      </c>
      <c r="P37" s="66"/>
      <c r="Q37" s="66">
        <v>53</v>
      </c>
      <c r="R37" s="67"/>
      <c r="S37" s="62"/>
      <c r="T37" s="77">
        <f t="shared" si="0"/>
        <v>13</v>
      </c>
      <c r="U37" s="77">
        <f>C37*6+M37*6+O37*6+Q37*6+T37</f>
        <v>17455</v>
      </c>
      <c r="V37" s="77">
        <f>U37/6</f>
        <v>2909.1666666666665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126+51</f>
        <v>177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288+63</f>
        <v>351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10</v>
      </c>
      <c r="P41" s="83"/>
      <c r="Q41" s="83">
        <v>16</v>
      </c>
      <c r="R41" s="84"/>
      <c r="S41" s="85"/>
      <c r="T41" s="88">
        <f t="shared" si="0"/>
        <v>0</v>
      </c>
      <c r="U41" s="88">
        <f>C41*12+M41*12+O41*12+Q41*12+T41</f>
        <v>4524</v>
      </c>
      <c r="V41" s="88">
        <f>U41/12</f>
        <v>377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7776+3024+8424+5508+2808+864</f>
        <v>28404</v>
      </c>
      <c r="D43" s="65"/>
      <c r="E43" s="65"/>
      <c r="F43" s="65"/>
      <c r="G43" s="65"/>
      <c r="H43" s="65">
        <v>7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6</v>
      </c>
      <c r="N43" s="64"/>
      <c r="O43" s="65">
        <v>427</v>
      </c>
      <c r="P43" s="66"/>
      <c r="Q43" s="66">
        <v>543</v>
      </c>
      <c r="R43" s="67"/>
      <c r="S43" s="62"/>
      <c r="T43" s="77">
        <f t="shared" ref="T43" si="6">H43+I43+J43+K43+N43+P43+R43</f>
        <v>410</v>
      </c>
      <c r="U43" s="77">
        <f>C43*6+M43*6+O43*6+Q43*6+T43</f>
        <v>176690</v>
      </c>
      <c r="V43" s="77">
        <f>U43/6</f>
        <v>29448.333333333332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8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/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37742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1196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40</v>
      </c>
      <c r="N58" s="5">
        <f t="shared" si="12"/>
        <v>12</v>
      </c>
      <c r="O58" s="5">
        <f t="shared" si="12"/>
        <v>487</v>
      </c>
      <c r="P58" s="5">
        <f t="shared" si="12"/>
        <v>16</v>
      </c>
      <c r="Q58" s="5">
        <f t="shared" si="12"/>
        <v>664</v>
      </c>
      <c r="R58" s="5">
        <f t="shared" si="12"/>
        <v>3</v>
      </c>
      <c r="S58" s="55"/>
      <c r="T58" s="4">
        <f>SUM(T7:T57)</f>
        <v>1702</v>
      </c>
      <c r="U58" s="90">
        <f>SUM(U7:U57)</f>
        <v>299662</v>
      </c>
      <c r="V58" s="4">
        <f>SUM(V7:V57)</f>
        <v>39058.416666666664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EC461-FD3C-4AB3-9804-28138FCF1D15}">
  <sheetPr>
    <pageSetUpPr fitToPage="1"/>
  </sheetPr>
  <dimension ref="A1:BB81"/>
  <sheetViews>
    <sheetView topLeftCell="A31" zoomScaleNormal="100" zoomScaleSheetLayoutView="115" workbookViewId="0">
      <selection activeCell="AD52" sqref="AD52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7"/>
      <c r="Q5" s="107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7"/>
      <c r="K6" s="38"/>
      <c r="M6" s="37"/>
      <c r="N6" s="49"/>
      <c r="O6" s="40"/>
      <c r="P6" s="107"/>
      <c r="Q6" s="107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>
        <v>1</v>
      </c>
      <c r="N9" s="74"/>
      <c r="O9" s="70">
        <v>2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2064</v>
      </c>
      <c r="V9" s="76">
        <f t="shared" ref="V9:V11" si="3">U9/24</f>
        <v>86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720+19+1440+504+64</f>
        <v>2747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16</v>
      </c>
      <c r="N12" s="64">
        <v>12</v>
      </c>
      <c r="O12" s="65">
        <v>14</v>
      </c>
      <c r="P12" s="66">
        <v>12</v>
      </c>
      <c r="Q12" s="66">
        <v>18</v>
      </c>
      <c r="R12" s="67"/>
      <c r="S12" s="62"/>
      <c r="T12" s="69">
        <f t="shared" si="0"/>
        <v>24</v>
      </c>
      <c r="U12" s="69">
        <f>C12*24+M12*24+O12*24+Q12*24+T12</f>
        <v>67104</v>
      </c>
      <c r="V12" s="69">
        <f>U12/24</f>
        <v>2796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63+19</f>
        <v>82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5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2401</v>
      </c>
      <c r="V25" s="75">
        <f t="shared" si="5"/>
        <v>100.04166666666667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>
        <v>1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72</v>
      </c>
      <c r="V26" s="75">
        <f t="shared" si="5"/>
        <v>3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40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1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240</v>
      </c>
      <c r="V30" s="75">
        <f t="shared" si="5"/>
        <v>10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48</v>
      </c>
      <c r="V32" s="75">
        <f t="shared" si="5"/>
        <v>2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39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12</v>
      </c>
      <c r="N34" s="74"/>
      <c r="O34" s="70">
        <v>1</v>
      </c>
      <c r="P34" s="71">
        <v>12</v>
      </c>
      <c r="Q34" s="71">
        <v>3</v>
      </c>
      <c r="R34" s="72"/>
      <c r="S34" s="55"/>
      <c r="T34" s="58">
        <f t="shared" si="0"/>
        <v>14</v>
      </c>
      <c r="U34" s="75">
        <f t="shared" si="4"/>
        <v>1334</v>
      </c>
      <c r="V34" s="75">
        <f t="shared" si="5"/>
        <v>55.583333333333336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864+1836+48</f>
        <v>2748</v>
      </c>
      <c r="D37" s="59"/>
      <c r="E37" s="59"/>
      <c r="F37" s="59"/>
      <c r="G37" s="59"/>
      <c r="H37" s="59">
        <v>5</v>
      </c>
      <c r="I37" s="59">
        <v>2</v>
      </c>
      <c r="J37" s="60">
        <v>3</v>
      </c>
      <c r="K37" s="61">
        <v>3</v>
      </c>
      <c r="L37" s="62"/>
      <c r="M37" s="63">
        <v>12</v>
      </c>
      <c r="N37" s="64"/>
      <c r="O37" s="65">
        <v>30</v>
      </c>
      <c r="P37" s="66"/>
      <c r="Q37" s="66">
        <v>72</v>
      </c>
      <c r="R37" s="67"/>
      <c r="S37" s="62"/>
      <c r="T37" s="77">
        <f t="shared" si="0"/>
        <v>13</v>
      </c>
      <c r="U37" s="77">
        <f>C37*6+M37*6+O37*6+Q37*6+T37</f>
        <v>17185</v>
      </c>
      <c r="V37" s="77">
        <f>U37/6</f>
        <v>2864.1666666666665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126+46</f>
        <v>172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5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4340</v>
      </c>
      <c r="V40" s="77">
        <f>U40/24</f>
        <v>180.83333333333334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192+95</f>
        <v>287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56</v>
      </c>
      <c r="N41" s="87"/>
      <c r="O41" s="82">
        <v>5</v>
      </c>
      <c r="P41" s="83"/>
      <c r="Q41" s="83">
        <v>14</v>
      </c>
      <c r="R41" s="84"/>
      <c r="S41" s="85"/>
      <c r="T41" s="88">
        <f t="shared" si="0"/>
        <v>0</v>
      </c>
      <c r="U41" s="88">
        <f>C41*12+M41*12+O41*12+Q41*12+T41</f>
        <v>4344</v>
      </c>
      <c r="V41" s="88">
        <f>U41/12</f>
        <v>362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7776+3024+8424+5400+4644+1</f>
        <v>29269</v>
      </c>
      <c r="D43" s="65"/>
      <c r="E43" s="65"/>
      <c r="F43" s="65"/>
      <c r="G43" s="65"/>
      <c r="H43" s="65">
        <v>1</v>
      </c>
      <c r="I43" s="65">
        <v>7</v>
      </c>
      <c r="J43" s="66">
        <f>6+4</f>
        <v>10</v>
      </c>
      <c r="K43" s="67">
        <f>64*6+2</f>
        <v>386</v>
      </c>
      <c r="L43" s="62"/>
      <c r="M43" s="63">
        <v>330</v>
      </c>
      <c r="N43" s="64"/>
      <c r="O43" s="65">
        <v>439</v>
      </c>
      <c r="P43" s="66"/>
      <c r="Q43" s="66">
        <v>488</v>
      </c>
      <c r="R43" s="67"/>
      <c r="S43" s="62"/>
      <c r="T43" s="77">
        <f t="shared" ref="T43" si="6">H43+I43+J43+K43+N43+P43+R43</f>
        <v>404</v>
      </c>
      <c r="U43" s="77">
        <f>C43*6+M43*6+O43*6+Q43*6+T43</f>
        <v>183560</v>
      </c>
      <c r="V43" s="77">
        <f>U43/6</f>
        <v>30593.333333333332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38417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1190</v>
      </c>
      <c r="I58" s="6">
        <f t="shared" si="11"/>
        <v>39</v>
      </c>
      <c r="J58" s="6">
        <f t="shared" si="11"/>
        <v>14</v>
      </c>
      <c r="K58" s="6">
        <f t="shared" si="11"/>
        <v>422</v>
      </c>
      <c r="M58" s="5">
        <f t="shared" ref="M58:R58" si="12">SUM(M7:M57)</f>
        <v>452</v>
      </c>
      <c r="N58" s="5">
        <f t="shared" si="12"/>
        <v>12</v>
      </c>
      <c r="O58" s="5">
        <f t="shared" si="12"/>
        <v>505</v>
      </c>
      <c r="P58" s="5">
        <f t="shared" si="12"/>
        <v>28</v>
      </c>
      <c r="Q58" s="5">
        <f t="shared" si="12"/>
        <v>621</v>
      </c>
      <c r="R58" s="5">
        <f t="shared" si="12"/>
        <v>3</v>
      </c>
      <c r="S58" s="55"/>
      <c r="T58" s="4">
        <f>SUM(T7:T57)</f>
        <v>1708</v>
      </c>
      <c r="U58" s="90">
        <f>SUM(U7:U57)</f>
        <v>305518</v>
      </c>
      <c r="V58" s="4">
        <f>SUM(V7:V57)</f>
        <v>40119.916666666664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48825-6195-4651-9B8A-9591CDCBBADF}">
  <sheetPr>
    <pageSetUpPr fitToPage="1"/>
  </sheetPr>
  <dimension ref="A1:BB81"/>
  <sheetViews>
    <sheetView topLeftCell="A37" zoomScaleNormal="100" zoomScaleSheetLayoutView="115" workbookViewId="0">
      <selection activeCell="Q65" sqref="Q65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8"/>
      <c r="Q5" s="108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8"/>
      <c r="K6" s="38"/>
      <c r="M6" s="37"/>
      <c r="N6" s="49"/>
      <c r="O6" s="40"/>
      <c r="P6" s="108"/>
      <c r="Q6" s="108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2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441</v>
      </c>
      <c r="V7" s="58">
        <f>U7/24</f>
        <v>18.375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33+55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3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2256</v>
      </c>
      <c r="V8" s="69">
        <f>U8/24</f>
        <v>94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83</v>
      </c>
      <c r="D9" s="70"/>
      <c r="E9" s="70"/>
      <c r="F9" s="70"/>
      <c r="G9" s="70"/>
      <c r="H9" s="70"/>
      <c r="I9" s="70"/>
      <c r="J9" s="71"/>
      <c r="K9" s="72"/>
      <c r="L9" s="55"/>
      <c r="M9" s="73"/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2016</v>
      </c>
      <c r="V9" s="76">
        <f t="shared" ref="V9:V11" si="3">U9/24</f>
        <v>84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720+11+1440+432+53+64</f>
        <v>2720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15</v>
      </c>
      <c r="N12" s="64"/>
      <c r="O12" s="65">
        <v>13</v>
      </c>
      <c r="P12" s="66"/>
      <c r="Q12" s="66">
        <v>20</v>
      </c>
      <c r="R12" s="67">
        <v>12</v>
      </c>
      <c r="S12" s="62"/>
      <c r="T12" s="69">
        <f t="shared" si="0"/>
        <v>12</v>
      </c>
      <c r="U12" s="69">
        <f>C12*24+M12*24+O12*24+Q12*24+T12</f>
        <v>66444</v>
      </c>
      <c r="V12" s="69">
        <f>U12/24</f>
        <v>2768.5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63+9</f>
        <v>72</v>
      </c>
      <c r="D25" s="70"/>
      <c r="E25" s="70"/>
      <c r="F25" s="70"/>
      <c r="G25" s="70"/>
      <c r="H25" s="70"/>
      <c r="I25" s="70">
        <v>1</v>
      </c>
      <c r="J25" s="71"/>
      <c r="K25" s="72"/>
      <c r="L25" s="55"/>
      <c r="M25" s="73">
        <v>10</v>
      </c>
      <c r="N25" s="74"/>
      <c r="O25" s="70">
        <v>1</v>
      </c>
      <c r="P25" s="71"/>
      <c r="Q25" s="71">
        <v>12</v>
      </c>
      <c r="R25" s="72"/>
      <c r="S25" s="55"/>
      <c r="T25" s="58">
        <f t="shared" si="0"/>
        <v>1</v>
      </c>
      <c r="U25" s="75">
        <f t="shared" si="4"/>
        <v>2281</v>
      </c>
      <c r="V25" s="75">
        <f t="shared" si="5"/>
        <v>95.041666666666671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>
        <v>2</v>
      </c>
      <c r="D26" s="70"/>
      <c r="E26" s="70"/>
      <c r="F26" s="70"/>
      <c r="G26" s="70"/>
      <c r="H26" s="70"/>
      <c r="I26" s="70"/>
      <c r="J26" s="71"/>
      <c r="K26" s="72"/>
      <c r="L26" s="55"/>
      <c r="M26" s="73"/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/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0</v>
      </c>
      <c r="V28" s="75">
        <f t="shared" si="5"/>
        <v>0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37</v>
      </c>
      <c r="D29" s="70"/>
      <c r="E29" s="70"/>
      <c r="F29" s="70"/>
      <c r="G29" s="70"/>
      <c r="H29" s="70"/>
      <c r="I29" s="70">
        <v>5</v>
      </c>
      <c r="J29" s="71"/>
      <c r="K29" s="72"/>
      <c r="L29" s="55"/>
      <c r="M29" s="73"/>
      <c r="N29" s="74"/>
      <c r="O29" s="70"/>
      <c r="P29" s="71"/>
      <c r="Q29" s="71">
        <v>4</v>
      </c>
      <c r="R29" s="72"/>
      <c r="S29" s="55"/>
      <c r="T29" s="58">
        <f t="shared" si="0"/>
        <v>5</v>
      </c>
      <c r="U29" s="75">
        <f t="shared" si="4"/>
        <v>989</v>
      </c>
      <c r="V29" s="75">
        <f t="shared" si="5"/>
        <v>41.208333333333336</v>
      </c>
    </row>
    <row r="30" spans="1:54" x14ac:dyDescent="0.25">
      <c r="A30" s="27">
        <f t="shared" si="1"/>
        <v>27</v>
      </c>
      <c r="B30" s="26" t="s">
        <v>15</v>
      </c>
      <c r="C30" s="70">
        <v>8</v>
      </c>
      <c r="D30" s="70"/>
      <c r="E30" s="70"/>
      <c r="F30" s="70"/>
      <c r="G30" s="70"/>
      <c r="H30" s="70"/>
      <c r="I30" s="70"/>
      <c r="J30" s="71"/>
      <c r="K30" s="72"/>
      <c r="L30" s="55"/>
      <c r="M30" s="73"/>
      <c r="N30" s="74"/>
      <c r="O30" s="70"/>
      <c r="P30" s="71"/>
      <c r="Q30" s="71">
        <v>1</v>
      </c>
      <c r="R30" s="72"/>
      <c r="S30" s="55"/>
      <c r="T30" s="58">
        <f t="shared" si="0"/>
        <v>0</v>
      </c>
      <c r="U30" s="75">
        <f t="shared" si="4"/>
        <v>216</v>
      </c>
      <c r="V30" s="75">
        <f t="shared" si="5"/>
        <v>9</v>
      </c>
    </row>
    <row r="31" spans="1:54" x14ac:dyDescent="0.25">
      <c r="A31" s="27">
        <f t="shared" si="1"/>
        <v>28</v>
      </c>
      <c r="B31" s="26" t="s">
        <v>12</v>
      </c>
      <c r="C31" s="70"/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0</v>
      </c>
      <c r="V31" s="75">
        <f t="shared" si="5"/>
        <v>0</v>
      </c>
    </row>
    <row r="32" spans="1:54" x14ac:dyDescent="0.25">
      <c r="A32" s="27">
        <f t="shared" si="1"/>
        <v>29</v>
      </c>
      <c r="B32" s="26" t="s">
        <v>14</v>
      </c>
      <c r="C32" s="70">
        <v>1</v>
      </c>
      <c r="D32" s="70"/>
      <c r="E32" s="70"/>
      <c r="F32" s="70"/>
      <c r="G32" s="70"/>
      <c r="H32" s="70"/>
      <c r="I32" s="70"/>
      <c r="J32" s="71"/>
      <c r="K32" s="72"/>
      <c r="L32" s="55"/>
      <c r="M32" s="73"/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36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5</v>
      </c>
      <c r="R34" s="72"/>
      <c r="S34" s="55"/>
      <c r="T34" s="58">
        <f t="shared" si="0"/>
        <v>14</v>
      </c>
      <c r="U34" s="75">
        <f t="shared" si="4"/>
        <v>1046</v>
      </c>
      <c r="V34" s="75">
        <f t="shared" si="5"/>
        <v>43.583333333333336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864+1728+48</f>
        <v>2640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7</v>
      </c>
      <c r="N37" s="64"/>
      <c r="O37" s="65">
        <v>20</v>
      </c>
      <c r="P37" s="66"/>
      <c r="Q37" s="66">
        <v>109</v>
      </c>
      <c r="R37" s="67"/>
      <c r="S37" s="62"/>
      <c r="T37" s="77">
        <f t="shared" si="0"/>
        <v>13</v>
      </c>
      <c r="U37" s="77">
        <f>C37*6+M37*6+O37*6+Q37*6+T37</f>
        <v>16669</v>
      </c>
      <c r="V37" s="77">
        <f>U37/6</f>
        <v>2778.1666666666665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>
        <v>2</v>
      </c>
      <c r="D38" s="70"/>
      <c r="E38" s="70"/>
      <c r="F38" s="70"/>
      <c r="G38" s="70"/>
      <c r="H38" s="70"/>
      <c r="I38" s="70"/>
      <c r="J38" s="71"/>
      <c r="K38" s="72"/>
      <c r="L38" s="55"/>
      <c r="M38" s="73"/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126+38</f>
        <v>164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/>
      <c r="N40" s="64"/>
      <c r="O40" s="65"/>
      <c r="P40" s="66"/>
      <c r="Q40" s="66">
        <v>10</v>
      </c>
      <c r="R40" s="67"/>
      <c r="S40" s="62"/>
      <c r="T40" s="77">
        <f t="shared" si="0"/>
        <v>20</v>
      </c>
      <c r="U40" s="77">
        <f>C40*24+M40*24+O40*24+Q40*24+T40</f>
        <v>4196</v>
      </c>
      <c r="V40" s="77">
        <f>U40/24</f>
        <v>174.83333333333334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192+44</f>
        <v>236</v>
      </c>
      <c r="D41" s="82"/>
      <c r="E41" s="82"/>
      <c r="F41" s="82"/>
      <c r="G41" s="82"/>
      <c r="H41" s="82"/>
      <c r="I41" s="82"/>
      <c r="J41" s="83"/>
      <c r="K41" s="84"/>
      <c r="L41" s="85"/>
      <c r="M41" s="86"/>
      <c r="N41" s="87"/>
      <c r="O41" s="82">
        <v>4</v>
      </c>
      <c r="P41" s="83"/>
      <c r="Q41" s="83">
        <v>52</v>
      </c>
      <c r="R41" s="84"/>
      <c r="S41" s="85"/>
      <c r="T41" s="88">
        <f t="shared" si="0"/>
        <v>0</v>
      </c>
      <c r="U41" s="88">
        <f>C41*12+M41*12+O41*12+Q41*12+T41</f>
        <v>3504</v>
      </c>
      <c r="V41" s="88">
        <f>U41/12</f>
        <v>292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7776+3024+8424+4320+4644</f>
        <v>28188</v>
      </c>
      <c r="D43" s="65"/>
      <c r="E43" s="65"/>
      <c r="F43" s="65"/>
      <c r="G43" s="65"/>
      <c r="H43" s="65">
        <v>3</v>
      </c>
      <c r="I43" s="65">
        <v>7</v>
      </c>
      <c r="J43" s="66">
        <f>3*6+2</f>
        <v>20</v>
      </c>
      <c r="K43" s="67">
        <f>64*6+2</f>
        <v>386</v>
      </c>
      <c r="L43" s="62"/>
      <c r="M43" s="63">
        <v>463</v>
      </c>
      <c r="N43" s="64"/>
      <c r="O43" s="65">
        <v>405</v>
      </c>
      <c r="P43" s="66"/>
      <c r="Q43" s="66">
        <v>542</v>
      </c>
      <c r="R43" s="67"/>
      <c r="S43" s="62"/>
      <c r="T43" s="77">
        <f t="shared" ref="T43" si="6">H43+I43+J43+K43+N43+P43+R43</f>
        <v>416</v>
      </c>
      <c r="U43" s="77">
        <f>C43*6+M43*6+O43*6+Q43*6+T43</f>
        <v>178004</v>
      </c>
      <c r="V43" s="77">
        <f>U43/6</f>
        <v>29667.333333333332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7</v>
      </c>
      <c r="D45" s="70"/>
      <c r="E45" s="70"/>
      <c r="F45" s="70"/>
      <c r="G45" s="70"/>
      <c r="H45" s="70"/>
      <c r="I45" s="70"/>
      <c r="J45" s="71"/>
      <c r="K45" s="72"/>
      <c r="L45" s="55"/>
      <c r="M45" s="73"/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8</v>
      </c>
      <c r="N47" s="64"/>
      <c r="O47" s="65">
        <v>9</v>
      </c>
      <c r="P47" s="66">
        <v>4</v>
      </c>
      <c r="Q47" s="66">
        <v>6</v>
      </c>
      <c r="R47" s="67">
        <v>3</v>
      </c>
      <c r="S47" s="62"/>
      <c r="T47" s="77">
        <f t="shared" si="7"/>
        <v>13</v>
      </c>
      <c r="U47" s="77">
        <f>C47*6+M47*6+O47*6+Q47*6+T47</f>
        <v>16723</v>
      </c>
      <c r="V47" s="77">
        <f>U47/6</f>
        <v>2787.1666666666665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37126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1191</v>
      </c>
      <c r="I58" s="6">
        <f t="shared" si="11"/>
        <v>39</v>
      </c>
      <c r="J58" s="6">
        <f t="shared" si="11"/>
        <v>25</v>
      </c>
      <c r="K58" s="6">
        <f t="shared" si="11"/>
        <v>422</v>
      </c>
      <c r="M58" s="5">
        <f t="shared" ref="M58:R58" si="12">SUM(M7:M57)</f>
        <v>509</v>
      </c>
      <c r="N58" s="5">
        <f t="shared" si="12"/>
        <v>0</v>
      </c>
      <c r="O58" s="5">
        <f t="shared" si="12"/>
        <v>457</v>
      </c>
      <c r="P58" s="5">
        <f t="shared" si="12"/>
        <v>16</v>
      </c>
      <c r="Q58" s="5">
        <f t="shared" si="12"/>
        <v>764</v>
      </c>
      <c r="R58" s="5">
        <f t="shared" si="12"/>
        <v>15</v>
      </c>
      <c r="S58" s="55"/>
      <c r="T58" s="4">
        <f>SUM(T7:T57)</f>
        <v>1708</v>
      </c>
      <c r="U58" s="90">
        <f>SUM(U7:U57)</f>
        <v>297274</v>
      </c>
      <c r="V58" s="4">
        <f>SUM(V7:V57)</f>
        <v>38982.416666666664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V4:V5"/>
    <mergeCell ref="J5:K5"/>
    <mergeCell ref="C60:K60"/>
    <mergeCell ref="I1:U1"/>
    <mergeCell ref="C4:K4"/>
    <mergeCell ref="T4:T5"/>
    <mergeCell ref="U4:U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E77CA5-5417-4708-A976-C4AC15747B86}">
  <sheetPr>
    <pageSetUpPr fitToPage="1"/>
  </sheetPr>
  <dimension ref="A1:BB81"/>
  <sheetViews>
    <sheetView tabSelected="1" topLeftCell="A34" zoomScaleNormal="100" zoomScaleSheetLayoutView="115" workbookViewId="0">
      <selection activeCell="AA48" sqref="AA48"/>
    </sheetView>
  </sheetViews>
  <sheetFormatPr defaultColWidth="9.140625" defaultRowHeight="18.75" x14ac:dyDescent="0.25"/>
  <cols>
    <col min="1" max="1" width="4.140625" style="9" bestFit="1" customWidth="1"/>
    <col min="2" max="2" width="12.28515625" style="28" customWidth="1"/>
    <col min="3" max="6" width="10" style="9" customWidth="1"/>
    <col min="7" max="7" width="6.85546875" style="9" customWidth="1"/>
    <col min="8" max="8" width="6.7109375" style="9" customWidth="1"/>
    <col min="9" max="9" width="6.7109375" style="9" bestFit="1" customWidth="1"/>
    <col min="10" max="10" width="6.85546875" style="9" customWidth="1"/>
    <col min="11" max="11" width="7.5703125" style="9" bestFit="1" customWidth="1"/>
    <col min="12" max="12" width="1.42578125" style="9" customWidth="1"/>
    <col min="13" max="13" width="10" style="9" customWidth="1"/>
    <col min="14" max="14" width="6.7109375" style="9" bestFit="1" customWidth="1"/>
    <col min="15" max="15" width="10" style="9" customWidth="1"/>
    <col min="16" max="16" width="5.5703125" style="9" customWidth="1"/>
    <col min="17" max="17" width="10" style="9" customWidth="1"/>
    <col min="18" max="18" width="6.7109375" style="9" bestFit="1" customWidth="1"/>
    <col min="19" max="19" width="1.42578125" style="9" customWidth="1"/>
    <col min="20" max="20" width="12.7109375" style="9" bestFit="1" customWidth="1"/>
    <col min="21" max="21" width="14.28515625" style="9" customWidth="1"/>
    <col min="22" max="22" width="19.5703125" style="9" bestFit="1" customWidth="1"/>
    <col min="23" max="49" width="7.28515625" style="9" customWidth="1"/>
    <col min="50" max="50" width="1.5703125" style="9" customWidth="1"/>
    <col min="51" max="51" width="9.42578125" style="9" customWidth="1"/>
    <col min="52" max="52" width="1.28515625" style="9" customWidth="1"/>
    <col min="53" max="53" width="12.7109375" style="9" bestFit="1" customWidth="1"/>
    <col min="54" max="54" width="10.28515625" style="9" bestFit="1" customWidth="1"/>
    <col min="55" max="16384" width="9.140625" style="9"/>
  </cols>
  <sheetData>
    <row r="1" spans="1:54" ht="15" customHeight="1" x14ac:dyDescent="0.25">
      <c r="B1" s="27" t="s">
        <v>42</v>
      </c>
      <c r="I1" s="117" t="s">
        <v>43</v>
      </c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</row>
    <row r="2" spans="1:54" x14ac:dyDescent="0.25">
      <c r="B2" s="28" t="s">
        <v>73</v>
      </c>
    </row>
    <row r="3" spans="1:54" ht="19.5" thickBot="1" x14ac:dyDescent="0.3"/>
    <row r="4" spans="1:54" s="10" customFormat="1" ht="15.75" x14ac:dyDescent="0.25">
      <c r="B4" s="41" t="s">
        <v>52</v>
      </c>
      <c r="C4" s="118" t="s">
        <v>41</v>
      </c>
      <c r="D4" s="118"/>
      <c r="E4" s="118"/>
      <c r="F4" s="118"/>
      <c r="G4" s="118"/>
      <c r="H4" s="118"/>
      <c r="I4" s="118"/>
      <c r="J4" s="119"/>
      <c r="K4" s="120"/>
      <c r="M4" s="34" t="s">
        <v>0</v>
      </c>
      <c r="N4" s="48" t="s">
        <v>61</v>
      </c>
      <c r="O4" s="35" t="s">
        <v>39</v>
      </c>
      <c r="P4" s="48" t="s">
        <v>61</v>
      </c>
      <c r="Q4" s="36" t="s">
        <v>40</v>
      </c>
      <c r="R4" s="48" t="s">
        <v>61</v>
      </c>
      <c r="S4" s="9"/>
      <c r="T4" s="121" t="s">
        <v>68</v>
      </c>
      <c r="U4" s="127" t="s">
        <v>67</v>
      </c>
      <c r="V4" s="110" t="s">
        <v>66</v>
      </c>
      <c r="AF4" s="11"/>
      <c r="AG4" s="11"/>
      <c r="AH4" s="11"/>
      <c r="AI4" s="11"/>
      <c r="AJ4" s="11"/>
      <c r="AK4" s="11"/>
      <c r="AL4" s="11"/>
      <c r="AM4" s="11"/>
      <c r="AN4" s="11"/>
      <c r="AO4" s="11"/>
      <c r="AP4" s="11"/>
      <c r="AQ4" s="11"/>
      <c r="AR4" s="11"/>
      <c r="AS4" s="11"/>
      <c r="AT4" s="11"/>
      <c r="AU4" s="11"/>
      <c r="AV4" s="11"/>
      <c r="AW4" s="11"/>
      <c r="AX4" s="11"/>
      <c r="AY4" s="11"/>
      <c r="AZ4" s="11"/>
      <c r="BA4" s="11"/>
      <c r="BB4" s="11"/>
    </row>
    <row r="5" spans="1:54" s="10" customFormat="1" ht="15.75" x14ac:dyDescent="0.25">
      <c r="B5" s="37"/>
      <c r="C5" s="40"/>
      <c r="D5" s="40"/>
      <c r="E5" s="40"/>
      <c r="F5" s="40"/>
      <c r="G5" s="40"/>
      <c r="H5" s="40" t="s">
        <v>64</v>
      </c>
      <c r="I5" s="40" t="s">
        <v>60</v>
      </c>
      <c r="J5" s="125" t="s">
        <v>65</v>
      </c>
      <c r="K5" s="126"/>
      <c r="M5" s="37"/>
      <c r="N5" s="49"/>
      <c r="O5" s="40"/>
      <c r="P5" s="109"/>
      <c r="Q5" s="109"/>
      <c r="R5" s="38"/>
      <c r="S5" s="9"/>
      <c r="T5" s="122"/>
      <c r="U5" s="128"/>
      <c r="V5" s="111"/>
      <c r="AF5" s="11"/>
      <c r="AG5" s="11"/>
      <c r="AH5" s="11"/>
      <c r="AI5" s="11"/>
      <c r="AJ5" s="11"/>
      <c r="AK5" s="11"/>
      <c r="AL5" s="11"/>
      <c r="AM5" s="11"/>
      <c r="AN5" s="11"/>
      <c r="AO5" s="11"/>
      <c r="AP5" s="11"/>
      <c r="AQ5" s="11"/>
      <c r="AR5" s="11"/>
      <c r="AS5" s="11"/>
      <c r="AT5" s="11"/>
      <c r="AU5" s="11"/>
      <c r="AV5" s="11"/>
      <c r="AW5" s="11"/>
      <c r="AX5" s="11"/>
      <c r="AY5" s="11"/>
      <c r="AZ5" s="11"/>
      <c r="BA5" s="11"/>
      <c r="BB5" s="11"/>
    </row>
    <row r="6" spans="1:54" s="10" customFormat="1" ht="15.75" x14ac:dyDescent="0.25">
      <c r="B6" s="37"/>
      <c r="C6" s="40"/>
      <c r="D6" s="40"/>
      <c r="E6" s="40"/>
      <c r="F6" s="40"/>
      <c r="G6" s="40"/>
      <c r="H6" s="40"/>
      <c r="I6" s="40"/>
      <c r="J6" s="109"/>
      <c r="K6" s="38"/>
      <c r="M6" s="37"/>
      <c r="N6" s="49"/>
      <c r="O6" s="40"/>
      <c r="P6" s="109"/>
      <c r="Q6" s="109"/>
      <c r="R6" s="38"/>
      <c r="S6" s="9"/>
      <c r="T6" s="39"/>
      <c r="U6" s="39"/>
      <c r="V6" s="39"/>
      <c r="AF6" s="11"/>
      <c r="AG6" s="11"/>
      <c r="AH6" s="11"/>
      <c r="AI6" s="11"/>
      <c r="AJ6" s="11"/>
      <c r="AK6" s="11"/>
      <c r="AL6" s="11"/>
      <c r="AM6" s="11"/>
      <c r="AN6" s="11"/>
      <c r="AO6" s="11"/>
      <c r="AP6" s="11"/>
      <c r="AQ6" s="11"/>
      <c r="AR6" s="11"/>
      <c r="AS6" s="11"/>
      <c r="AT6" s="11"/>
      <c r="AU6" s="11"/>
      <c r="AV6" s="11"/>
      <c r="AW6" s="11"/>
      <c r="AX6" s="11"/>
      <c r="AY6" s="11"/>
      <c r="AZ6" s="11"/>
      <c r="BA6" s="11"/>
      <c r="BB6" s="11"/>
    </row>
    <row r="7" spans="1:54" x14ac:dyDescent="0.25">
      <c r="A7" s="27">
        <v>1</v>
      </c>
      <c r="B7" s="26" t="s">
        <v>32</v>
      </c>
      <c r="C7" s="52">
        <v>14</v>
      </c>
      <c r="D7" s="52"/>
      <c r="E7" s="52"/>
      <c r="F7" s="52"/>
      <c r="G7" s="52"/>
      <c r="H7" s="52"/>
      <c r="I7" s="52">
        <v>3</v>
      </c>
      <c r="J7" s="53"/>
      <c r="K7" s="54">
        <v>6</v>
      </c>
      <c r="L7" s="55"/>
      <c r="M7" s="56">
        <v>1</v>
      </c>
      <c r="N7" s="57"/>
      <c r="O7" s="52">
        <v>1</v>
      </c>
      <c r="P7" s="53"/>
      <c r="Q7" s="53">
        <v>1</v>
      </c>
      <c r="R7" s="54"/>
      <c r="S7" s="55"/>
      <c r="T7" s="58">
        <f>H7+I7+J7+K7+N7+P7+R7</f>
        <v>9</v>
      </c>
      <c r="U7" s="58">
        <f>C7*24+M7*24+O7*24+Q7*24+T7</f>
        <v>417</v>
      </c>
      <c r="V7" s="58">
        <f>U7/24</f>
        <v>17.375</v>
      </c>
      <c r="W7" s="50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  <c r="AS7" s="12"/>
      <c r="AT7" s="12"/>
      <c r="AU7" s="12"/>
      <c r="AV7" s="12"/>
      <c r="AW7" s="12"/>
      <c r="AX7" s="12"/>
      <c r="AY7" s="12"/>
      <c r="AZ7" s="12"/>
      <c r="BA7" s="12"/>
      <c r="BB7" s="12"/>
    </row>
    <row r="8" spans="1:54" ht="19.5" thickBot="1" x14ac:dyDescent="0.3">
      <c r="A8" s="27">
        <f>A7+1</f>
        <v>2</v>
      </c>
      <c r="B8" s="42" t="s">
        <v>35</v>
      </c>
      <c r="C8" s="59">
        <f>55+33</f>
        <v>88</v>
      </c>
      <c r="D8" s="59"/>
      <c r="E8" s="59"/>
      <c r="F8" s="59"/>
      <c r="G8" s="59"/>
      <c r="H8" s="59"/>
      <c r="I8" s="59"/>
      <c r="J8" s="60"/>
      <c r="K8" s="61"/>
      <c r="L8" s="62"/>
      <c r="M8" s="63">
        <v>2</v>
      </c>
      <c r="N8" s="64"/>
      <c r="O8" s="65">
        <v>1</v>
      </c>
      <c r="P8" s="66"/>
      <c r="Q8" s="66">
        <v>2</v>
      </c>
      <c r="R8" s="67"/>
      <c r="S8" s="62"/>
      <c r="T8" s="68">
        <f t="shared" ref="T8:T41" si="0">H8+I8+J8+K8+N8+P8+R8</f>
        <v>0</v>
      </c>
      <c r="U8" s="69">
        <f>C8*24+M8*24+O8*24+Q8*24+T8</f>
        <v>2232</v>
      </c>
      <c r="V8" s="69">
        <f>U8/24</f>
        <v>93</v>
      </c>
      <c r="W8" s="50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</row>
    <row r="9" spans="1:54" x14ac:dyDescent="0.25">
      <c r="A9" s="27">
        <f t="shared" ref="A9:A57" si="1">A8+1</f>
        <v>3</v>
      </c>
      <c r="B9" s="25" t="s">
        <v>33</v>
      </c>
      <c r="C9" s="70">
        <v>78</v>
      </c>
      <c r="D9" s="70"/>
      <c r="E9" s="70"/>
      <c r="F9" s="70"/>
      <c r="G9" s="70"/>
      <c r="H9" s="70"/>
      <c r="I9" s="70"/>
      <c r="J9" s="71"/>
      <c r="K9" s="72"/>
      <c r="L9" s="55"/>
      <c r="M9" s="73">
        <v>5</v>
      </c>
      <c r="N9" s="74"/>
      <c r="O9" s="70">
        <v>1</v>
      </c>
      <c r="P9" s="71"/>
      <c r="Q9" s="71"/>
      <c r="R9" s="72"/>
      <c r="S9" s="55"/>
      <c r="T9" s="75">
        <f t="shared" si="0"/>
        <v>0</v>
      </c>
      <c r="U9" s="76">
        <f t="shared" ref="U9:U11" si="2">C9*24+M9*24+O9*24+Q9*24+T9</f>
        <v>2016</v>
      </c>
      <c r="V9" s="76">
        <f t="shared" ref="V9:V11" si="3">U9/24</f>
        <v>84</v>
      </c>
      <c r="W9" s="50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</row>
    <row r="10" spans="1:54" x14ac:dyDescent="0.25">
      <c r="A10" s="27">
        <f t="shared" si="1"/>
        <v>4</v>
      </c>
      <c r="B10" s="26" t="s">
        <v>36</v>
      </c>
      <c r="C10" s="70"/>
      <c r="D10" s="70"/>
      <c r="E10" s="70"/>
      <c r="F10" s="70"/>
      <c r="G10" s="70"/>
      <c r="H10" s="70"/>
      <c r="I10" s="70"/>
      <c r="J10" s="71"/>
      <c r="K10" s="72"/>
      <c r="L10" s="55"/>
      <c r="M10" s="73"/>
      <c r="N10" s="74"/>
      <c r="O10" s="70"/>
      <c r="P10" s="71"/>
      <c r="Q10" s="71"/>
      <c r="R10" s="72"/>
      <c r="S10" s="55"/>
      <c r="T10" s="58">
        <f t="shared" si="0"/>
        <v>0</v>
      </c>
      <c r="U10" s="58">
        <f t="shared" si="2"/>
        <v>0</v>
      </c>
      <c r="V10" s="58">
        <f t="shared" si="3"/>
        <v>0</v>
      </c>
      <c r="W10" s="50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</row>
    <row r="11" spans="1:54" x14ac:dyDescent="0.25">
      <c r="A11" s="27">
        <f t="shared" si="1"/>
        <v>5</v>
      </c>
      <c r="B11" s="26" t="s">
        <v>34</v>
      </c>
      <c r="C11" s="70">
        <v>5</v>
      </c>
      <c r="D11" s="70"/>
      <c r="E11" s="70"/>
      <c r="F11" s="70"/>
      <c r="G11" s="70"/>
      <c r="H11" s="70"/>
      <c r="I11" s="70"/>
      <c r="J11" s="71"/>
      <c r="K11" s="72">
        <v>2</v>
      </c>
      <c r="L11" s="55"/>
      <c r="M11" s="73"/>
      <c r="N11" s="74"/>
      <c r="O11" s="70"/>
      <c r="P11" s="71"/>
      <c r="Q11" s="71"/>
      <c r="R11" s="72"/>
      <c r="S11" s="55"/>
      <c r="T11" s="58">
        <f t="shared" si="0"/>
        <v>2</v>
      </c>
      <c r="U11" s="58">
        <f t="shared" si="2"/>
        <v>122</v>
      </c>
      <c r="V11" s="58">
        <f t="shared" si="3"/>
        <v>5.083333333333333</v>
      </c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</row>
    <row r="12" spans="1:54" s="13" customFormat="1" ht="19.5" thickBot="1" x14ac:dyDescent="0.3">
      <c r="A12" s="27">
        <v>7</v>
      </c>
      <c r="B12" s="42" t="s">
        <v>30</v>
      </c>
      <c r="C12" s="59">
        <f>720+11+1440+432+19+64</f>
        <v>2686</v>
      </c>
      <c r="D12" s="59"/>
      <c r="E12" s="59"/>
      <c r="F12" s="59"/>
      <c r="G12" s="59"/>
      <c r="H12" s="59"/>
      <c r="I12" s="59"/>
      <c r="J12" s="60"/>
      <c r="K12" s="61"/>
      <c r="L12" s="62"/>
      <c r="M12" s="63">
        <v>14</v>
      </c>
      <c r="N12" s="64"/>
      <c r="O12" s="65">
        <v>14</v>
      </c>
      <c r="P12" s="66"/>
      <c r="Q12" s="66">
        <v>20</v>
      </c>
      <c r="R12" s="67">
        <v>12</v>
      </c>
      <c r="S12" s="62"/>
      <c r="T12" s="69">
        <f t="shared" si="0"/>
        <v>12</v>
      </c>
      <c r="U12" s="69">
        <f>C12*24+M12*24+O12*24+Q12*24+T12</f>
        <v>65628</v>
      </c>
      <c r="V12" s="69">
        <f>U12/24</f>
        <v>2734.5</v>
      </c>
      <c r="W12" s="9"/>
      <c r="X12" s="9"/>
      <c r="Y12" s="9"/>
      <c r="Z12" s="9"/>
      <c r="AA12" s="9"/>
      <c r="AB12" s="9"/>
      <c r="AC12" s="9"/>
      <c r="AD12" s="9"/>
      <c r="AE12" s="9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</row>
    <row r="13" spans="1:54" x14ac:dyDescent="0.25">
      <c r="A13" s="27">
        <v>11</v>
      </c>
      <c r="B13" s="25" t="s">
        <v>1</v>
      </c>
      <c r="C13" s="70">
        <v>2</v>
      </c>
      <c r="D13" s="70"/>
      <c r="E13" s="70"/>
      <c r="F13" s="70"/>
      <c r="G13" s="70"/>
      <c r="H13" s="70">
        <v>16</v>
      </c>
      <c r="I13" s="70"/>
      <c r="J13" s="71"/>
      <c r="K13" s="72"/>
      <c r="L13" s="55"/>
      <c r="M13" s="73"/>
      <c r="N13" s="74"/>
      <c r="O13" s="70"/>
      <c r="P13" s="71"/>
      <c r="Q13" s="71"/>
      <c r="R13" s="72"/>
      <c r="S13" s="55"/>
      <c r="T13" s="76">
        <f t="shared" si="0"/>
        <v>16</v>
      </c>
      <c r="U13" s="76">
        <f>C13*24+M13*24+O13*24+Q13*24+T13</f>
        <v>64</v>
      </c>
      <c r="V13" s="76">
        <f>U13/24</f>
        <v>2.6666666666666665</v>
      </c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</row>
    <row r="14" spans="1:54" x14ac:dyDescent="0.25">
      <c r="A14" s="27">
        <f t="shared" si="1"/>
        <v>12</v>
      </c>
      <c r="B14" s="26" t="s">
        <v>2</v>
      </c>
      <c r="C14" s="70">
        <v>4</v>
      </c>
      <c r="D14" s="70"/>
      <c r="E14" s="70"/>
      <c r="F14" s="70"/>
      <c r="G14" s="70"/>
      <c r="H14" s="70"/>
      <c r="I14" s="70"/>
      <c r="J14" s="71"/>
      <c r="K14" s="72"/>
      <c r="L14" s="55"/>
      <c r="M14" s="73"/>
      <c r="N14" s="74"/>
      <c r="O14" s="70"/>
      <c r="P14" s="71"/>
      <c r="Q14" s="71"/>
      <c r="R14" s="72"/>
      <c r="S14" s="55"/>
      <c r="T14" s="58">
        <f t="shared" si="0"/>
        <v>0</v>
      </c>
      <c r="U14" s="75">
        <f t="shared" ref="U14:U36" si="4">C14*24+M14*24+O14*24+Q14*24+T14</f>
        <v>96</v>
      </c>
      <c r="V14" s="75">
        <f t="shared" ref="V14:V36" si="5">U14/24</f>
        <v>4</v>
      </c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</row>
    <row r="15" spans="1:54" x14ac:dyDescent="0.25">
      <c r="A15" s="27">
        <f t="shared" si="1"/>
        <v>13</v>
      </c>
      <c r="B15" s="26" t="s">
        <v>3</v>
      </c>
      <c r="C15" s="70"/>
      <c r="D15" s="70"/>
      <c r="E15" s="70"/>
      <c r="F15" s="70"/>
      <c r="G15" s="70"/>
      <c r="H15" s="70"/>
      <c r="I15" s="70"/>
      <c r="J15" s="71"/>
      <c r="K15" s="72"/>
      <c r="L15" s="55"/>
      <c r="M15" s="73"/>
      <c r="N15" s="74"/>
      <c r="O15" s="70"/>
      <c r="P15" s="71"/>
      <c r="Q15" s="71"/>
      <c r="R15" s="72"/>
      <c r="S15" s="55"/>
      <c r="T15" s="58">
        <f t="shared" si="0"/>
        <v>0</v>
      </c>
      <c r="U15" s="75">
        <f t="shared" si="4"/>
        <v>0</v>
      </c>
      <c r="V15" s="75">
        <f t="shared" si="5"/>
        <v>0</v>
      </c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</row>
    <row r="16" spans="1:54" x14ac:dyDescent="0.25">
      <c r="A16" s="27">
        <f t="shared" si="1"/>
        <v>14</v>
      </c>
      <c r="B16" s="26" t="s">
        <v>4</v>
      </c>
      <c r="C16" s="70"/>
      <c r="D16" s="70"/>
      <c r="E16" s="70"/>
      <c r="F16" s="70"/>
      <c r="G16" s="70"/>
      <c r="H16" s="70"/>
      <c r="I16" s="70"/>
      <c r="J16" s="71"/>
      <c r="K16" s="72"/>
      <c r="L16" s="55"/>
      <c r="M16" s="73"/>
      <c r="N16" s="74"/>
      <c r="O16" s="70"/>
      <c r="P16" s="71"/>
      <c r="Q16" s="71"/>
      <c r="R16" s="72"/>
      <c r="S16" s="55"/>
      <c r="T16" s="58">
        <f t="shared" si="0"/>
        <v>0</v>
      </c>
      <c r="U16" s="75">
        <f t="shared" si="4"/>
        <v>0</v>
      </c>
      <c r="V16" s="75">
        <f t="shared" si="5"/>
        <v>0</v>
      </c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</row>
    <row r="17" spans="1:54" x14ac:dyDescent="0.25">
      <c r="A17" s="27">
        <f t="shared" si="1"/>
        <v>15</v>
      </c>
      <c r="B17" s="26" t="s">
        <v>5</v>
      </c>
      <c r="C17" s="70"/>
      <c r="D17" s="70"/>
      <c r="E17" s="70"/>
      <c r="F17" s="70"/>
      <c r="G17" s="70"/>
      <c r="H17" s="70">
        <f>3*24</f>
        <v>72</v>
      </c>
      <c r="I17" s="70"/>
      <c r="J17" s="71"/>
      <c r="K17" s="72"/>
      <c r="L17" s="55"/>
      <c r="M17" s="73"/>
      <c r="N17" s="74"/>
      <c r="O17" s="70"/>
      <c r="P17" s="71"/>
      <c r="Q17" s="71"/>
      <c r="R17" s="72"/>
      <c r="S17" s="55"/>
      <c r="T17" s="58">
        <f t="shared" si="0"/>
        <v>72</v>
      </c>
      <c r="U17" s="75">
        <f t="shared" si="4"/>
        <v>72</v>
      </c>
      <c r="V17" s="75">
        <f t="shared" si="5"/>
        <v>3</v>
      </c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</row>
    <row r="18" spans="1:54" hidden="1" x14ac:dyDescent="0.25">
      <c r="A18" s="27">
        <f t="shared" si="1"/>
        <v>16</v>
      </c>
      <c r="B18" s="26" t="s">
        <v>9</v>
      </c>
      <c r="C18" s="70"/>
      <c r="D18" s="70"/>
      <c r="E18" s="70"/>
      <c r="F18" s="70"/>
      <c r="G18" s="70"/>
      <c r="H18" s="70"/>
      <c r="I18" s="70"/>
      <c r="J18" s="71"/>
      <c r="K18" s="72"/>
      <c r="L18" s="55"/>
      <c r="M18" s="73"/>
      <c r="N18" s="74"/>
      <c r="O18" s="70"/>
      <c r="P18" s="71"/>
      <c r="Q18" s="71"/>
      <c r="R18" s="72"/>
      <c r="S18" s="55"/>
      <c r="T18" s="58">
        <f t="shared" si="0"/>
        <v>0</v>
      </c>
      <c r="U18" s="75">
        <f t="shared" si="4"/>
        <v>0</v>
      </c>
      <c r="V18" s="75">
        <f t="shared" si="5"/>
        <v>0</v>
      </c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</row>
    <row r="19" spans="1:54" x14ac:dyDescent="0.25">
      <c r="A19" s="27">
        <v>16</v>
      </c>
      <c r="B19" s="26" t="s">
        <v>53</v>
      </c>
      <c r="C19" s="70">
        <v>2</v>
      </c>
      <c r="D19" s="70"/>
      <c r="E19" s="70"/>
      <c r="F19" s="70"/>
      <c r="G19" s="70"/>
      <c r="H19" s="70">
        <f>20+24</f>
        <v>44</v>
      </c>
      <c r="I19" s="70"/>
      <c r="J19" s="71"/>
      <c r="K19" s="72"/>
      <c r="L19" s="55"/>
      <c r="M19" s="73"/>
      <c r="N19" s="74"/>
      <c r="O19" s="70"/>
      <c r="P19" s="71"/>
      <c r="Q19" s="71"/>
      <c r="R19" s="72"/>
      <c r="S19" s="55"/>
      <c r="T19" s="58">
        <f t="shared" si="0"/>
        <v>44</v>
      </c>
      <c r="U19" s="75">
        <f t="shared" si="4"/>
        <v>92</v>
      </c>
      <c r="V19" s="75">
        <f t="shared" si="5"/>
        <v>3.8333333333333335</v>
      </c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</row>
    <row r="20" spans="1:54" x14ac:dyDescent="0.25">
      <c r="A20" s="27">
        <f t="shared" si="1"/>
        <v>17</v>
      </c>
      <c r="B20" s="26" t="s">
        <v>6</v>
      </c>
      <c r="C20" s="70">
        <v>5</v>
      </c>
      <c r="D20" s="70"/>
      <c r="E20" s="70"/>
      <c r="F20" s="70"/>
      <c r="G20" s="70"/>
      <c r="H20" s="70"/>
      <c r="I20" s="70"/>
      <c r="J20" s="71"/>
      <c r="K20" s="72"/>
      <c r="L20" s="55"/>
      <c r="M20" s="73"/>
      <c r="N20" s="74"/>
      <c r="O20" s="70"/>
      <c r="P20" s="71"/>
      <c r="Q20" s="71"/>
      <c r="R20" s="72"/>
      <c r="S20" s="55"/>
      <c r="T20" s="58">
        <f t="shared" si="0"/>
        <v>0</v>
      </c>
      <c r="U20" s="75">
        <f t="shared" si="4"/>
        <v>120</v>
      </c>
      <c r="V20" s="75">
        <f t="shared" si="5"/>
        <v>5</v>
      </c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</row>
    <row r="21" spans="1:54" x14ac:dyDescent="0.25">
      <c r="A21" s="27">
        <f t="shared" si="1"/>
        <v>18</v>
      </c>
      <c r="B21" s="26" t="s">
        <v>7</v>
      </c>
      <c r="C21" s="70"/>
      <c r="D21" s="70"/>
      <c r="E21" s="70"/>
      <c r="F21" s="70"/>
      <c r="G21" s="70"/>
      <c r="H21" s="70">
        <f>2*24</f>
        <v>48</v>
      </c>
      <c r="I21" s="70"/>
      <c r="J21" s="71"/>
      <c r="K21" s="72"/>
      <c r="L21" s="55"/>
      <c r="M21" s="73"/>
      <c r="N21" s="74"/>
      <c r="O21" s="70"/>
      <c r="P21" s="71"/>
      <c r="Q21" s="71"/>
      <c r="R21" s="72"/>
      <c r="S21" s="55"/>
      <c r="T21" s="58">
        <f t="shared" si="0"/>
        <v>48</v>
      </c>
      <c r="U21" s="75">
        <f t="shared" si="4"/>
        <v>48</v>
      </c>
      <c r="V21" s="75">
        <f t="shared" si="5"/>
        <v>2</v>
      </c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</row>
    <row r="22" spans="1:54" s="13" customFormat="1" x14ac:dyDescent="0.25">
      <c r="A22" s="27">
        <f t="shared" si="1"/>
        <v>19</v>
      </c>
      <c r="B22" s="26" t="s">
        <v>54</v>
      </c>
      <c r="C22" s="70"/>
      <c r="D22" s="70"/>
      <c r="E22" s="70"/>
      <c r="F22" s="70"/>
      <c r="G22" s="70"/>
      <c r="H22" s="70"/>
      <c r="I22" s="70">
        <v>20</v>
      </c>
      <c r="J22" s="71"/>
      <c r="K22" s="72"/>
      <c r="L22" s="55"/>
      <c r="M22" s="73"/>
      <c r="N22" s="74"/>
      <c r="O22" s="70"/>
      <c r="P22" s="71"/>
      <c r="Q22" s="71"/>
      <c r="R22" s="72"/>
      <c r="S22" s="55"/>
      <c r="T22" s="58">
        <f t="shared" si="0"/>
        <v>20</v>
      </c>
      <c r="U22" s="75">
        <f t="shared" si="4"/>
        <v>20</v>
      </c>
      <c r="V22" s="75">
        <f t="shared" si="5"/>
        <v>0.83333333333333337</v>
      </c>
      <c r="W22" s="9"/>
      <c r="X22" s="9"/>
      <c r="Y22" s="9"/>
      <c r="Z22" s="9"/>
      <c r="AA22" s="9"/>
      <c r="AB22" s="9"/>
      <c r="AC22" s="9"/>
      <c r="AD22" s="9"/>
      <c r="AE22" s="9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</row>
    <row r="23" spans="1:54" s="13" customFormat="1" x14ac:dyDescent="0.25">
      <c r="A23" s="27">
        <f t="shared" si="1"/>
        <v>20</v>
      </c>
      <c r="B23" s="26" t="s">
        <v>55</v>
      </c>
      <c r="C23" s="70"/>
      <c r="D23" s="70"/>
      <c r="E23" s="70"/>
      <c r="F23" s="70"/>
      <c r="G23" s="70"/>
      <c r="H23" s="70">
        <f>37*24+19</f>
        <v>907</v>
      </c>
      <c r="I23" s="70"/>
      <c r="J23" s="71"/>
      <c r="K23" s="72"/>
      <c r="L23" s="55"/>
      <c r="M23" s="73"/>
      <c r="N23" s="74"/>
      <c r="O23" s="70"/>
      <c r="P23" s="71"/>
      <c r="Q23" s="71"/>
      <c r="R23" s="72"/>
      <c r="S23" s="55"/>
      <c r="T23" s="58">
        <f t="shared" si="0"/>
        <v>907</v>
      </c>
      <c r="U23" s="75">
        <f t="shared" si="4"/>
        <v>907</v>
      </c>
      <c r="V23" s="75">
        <f t="shared" si="5"/>
        <v>37.791666666666664</v>
      </c>
      <c r="W23" s="9"/>
      <c r="X23" s="9"/>
      <c r="Y23" s="9"/>
      <c r="Z23" s="9"/>
      <c r="AA23" s="9"/>
      <c r="AB23" s="9"/>
      <c r="AC23" s="9"/>
      <c r="AD23" s="9"/>
      <c r="AE23" s="9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  <c r="AS23" s="12"/>
      <c r="AT23" s="12"/>
      <c r="AU23" s="12"/>
      <c r="AV23" s="12"/>
      <c r="AW23" s="12"/>
      <c r="AX23" s="12"/>
      <c r="AY23" s="12"/>
      <c r="AZ23" s="12"/>
      <c r="BA23" s="12"/>
      <c r="BB23" s="12"/>
    </row>
    <row r="24" spans="1:54" x14ac:dyDescent="0.25">
      <c r="A24" s="27">
        <f t="shared" si="1"/>
        <v>21</v>
      </c>
      <c r="B24" s="26" t="s">
        <v>56</v>
      </c>
      <c r="C24" s="70">
        <v>5</v>
      </c>
      <c r="D24" s="70"/>
      <c r="E24" s="70"/>
      <c r="F24" s="70"/>
      <c r="G24" s="70"/>
      <c r="H24" s="70">
        <f>3*24</f>
        <v>72</v>
      </c>
      <c r="I24" s="70"/>
      <c r="J24" s="71"/>
      <c r="K24" s="72"/>
      <c r="L24" s="55"/>
      <c r="M24" s="73"/>
      <c r="N24" s="74"/>
      <c r="O24" s="70"/>
      <c r="P24" s="71"/>
      <c r="Q24" s="71"/>
      <c r="R24" s="72"/>
      <c r="S24" s="55"/>
      <c r="T24" s="58">
        <f t="shared" si="0"/>
        <v>72</v>
      </c>
      <c r="U24" s="75">
        <f t="shared" si="4"/>
        <v>192</v>
      </c>
      <c r="V24" s="75">
        <f t="shared" si="5"/>
        <v>8</v>
      </c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  <c r="AS24" s="12"/>
      <c r="AT24" s="12"/>
      <c r="AU24" s="12"/>
      <c r="AV24" s="12"/>
      <c r="AW24" s="12"/>
      <c r="AX24" s="12"/>
      <c r="AY24" s="12"/>
      <c r="AZ24" s="12"/>
      <c r="BA24" s="12"/>
      <c r="BB24" s="12"/>
    </row>
    <row r="25" spans="1:54" x14ac:dyDescent="0.25">
      <c r="A25" s="27">
        <f t="shared" si="1"/>
        <v>22</v>
      </c>
      <c r="B25" s="26" t="s">
        <v>8</v>
      </c>
      <c r="C25" s="70">
        <f>63+3</f>
        <v>66</v>
      </c>
      <c r="D25" s="70"/>
      <c r="E25" s="70"/>
      <c r="F25" s="70"/>
      <c r="G25" s="70"/>
      <c r="H25" s="70"/>
      <c r="I25" s="70"/>
      <c r="J25" s="71">
        <v>1</v>
      </c>
      <c r="K25" s="72"/>
      <c r="L25" s="55"/>
      <c r="M25" s="73">
        <v>2</v>
      </c>
      <c r="N25" s="74"/>
      <c r="O25" s="70">
        <v>1</v>
      </c>
      <c r="P25" s="71"/>
      <c r="Q25" s="71">
        <v>2</v>
      </c>
      <c r="R25" s="72"/>
      <c r="S25" s="55"/>
      <c r="T25" s="58">
        <f t="shared" si="0"/>
        <v>1</v>
      </c>
      <c r="U25" s="75">
        <f t="shared" si="4"/>
        <v>1705</v>
      </c>
      <c r="V25" s="75">
        <f t="shared" si="5"/>
        <v>71.041666666666671</v>
      </c>
      <c r="AY25" s="14" t="e">
        <f>#REF!-AY24</f>
        <v>#REF!</v>
      </c>
    </row>
    <row r="26" spans="1:54" s="13" customFormat="1" x14ac:dyDescent="0.25">
      <c r="A26" s="27">
        <f t="shared" si="1"/>
        <v>23</v>
      </c>
      <c r="B26" s="26" t="s">
        <v>10</v>
      </c>
      <c r="C26" s="70"/>
      <c r="D26" s="70"/>
      <c r="E26" s="70"/>
      <c r="F26" s="70"/>
      <c r="G26" s="70"/>
      <c r="H26" s="70"/>
      <c r="I26" s="70"/>
      <c r="J26" s="71"/>
      <c r="K26" s="72"/>
      <c r="L26" s="55"/>
      <c r="M26" s="73">
        <v>2</v>
      </c>
      <c r="N26" s="74"/>
      <c r="O26" s="70"/>
      <c r="P26" s="71"/>
      <c r="Q26" s="71"/>
      <c r="R26" s="72"/>
      <c r="S26" s="55"/>
      <c r="T26" s="58">
        <f t="shared" si="0"/>
        <v>0</v>
      </c>
      <c r="U26" s="75">
        <f t="shared" si="4"/>
        <v>48</v>
      </c>
      <c r="V26" s="75">
        <f t="shared" si="5"/>
        <v>2</v>
      </c>
      <c r="W26" s="9"/>
      <c r="X26" s="9"/>
      <c r="Y26" s="9"/>
      <c r="Z26" s="9"/>
      <c r="AA26" s="9"/>
      <c r="AB26" s="9"/>
      <c r="AC26" s="9"/>
      <c r="AD26" s="9"/>
      <c r="AE26" s="9"/>
    </row>
    <row r="27" spans="1:54" s="13" customFormat="1" x14ac:dyDescent="0.25">
      <c r="A27" s="27">
        <f t="shared" si="1"/>
        <v>24</v>
      </c>
      <c r="B27" s="26" t="s">
        <v>69</v>
      </c>
      <c r="C27" s="70"/>
      <c r="D27" s="70"/>
      <c r="E27" s="70"/>
      <c r="F27" s="70"/>
      <c r="G27" s="70"/>
      <c r="H27" s="70"/>
      <c r="I27" s="70"/>
      <c r="J27" s="71"/>
      <c r="K27" s="72"/>
      <c r="L27" s="55"/>
      <c r="M27" s="73"/>
      <c r="N27" s="74"/>
      <c r="O27" s="70"/>
      <c r="P27" s="71"/>
      <c r="Q27" s="71"/>
      <c r="R27" s="72"/>
      <c r="S27" s="55"/>
      <c r="T27" s="58">
        <f t="shared" si="0"/>
        <v>0</v>
      </c>
      <c r="U27" s="75">
        <f t="shared" si="4"/>
        <v>0</v>
      </c>
      <c r="V27" s="75">
        <f t="shared" si="5"/>
        <v>0</v>
      </c>
      <c r="W27" s="9"/>
      <c r="X27" s="9"/>
      <c r="Y27" s="9"/>
      <c r="Z27" s="9"/>
      <c r="AA27" s="9"/>
      <c r="AB27" s="9"/>
      <c r="AC27" s="9"/>
      <c r="AD27" s="9"/>
      <c r="AE27" s="9"/>
    </row>
    <row r="28" spans="1:54" s="13" customFormat="1" x14ac:dyDescent="0.25">
      <c r="A28" s="27">
        <f t="shared" si="1"/>
        <v>25</v>
      </c>
      <c r="B28" s="26" t="s">
        <v>11</v>
      </c>
      <c r="C28" s="70">
        <v>192</v>
      </c>
      <c r="D28" s="70"/>
      <c r="E28" s="70"/>
      <c r="F28" s="70"/>
      <c r="G28" s="70"/>
      <c r="H28" s="70"/>
      <c r="I28" s="70"/>
      <c r="J28" s="71"/>
      <c r="K28" s="72"/>
      <c r="L28" s="55"/>
      <c r="M28" s="73"/>
      <c r="N28" s="74"/>
      <c r="O28" s="70"/>
      <c r="P28" s="71"/>
      <c r="Q28" s="71"/>
      <c r="R28" s="72"/>
      <c r="S28" s="55"/>
      <c r="T28" s="58">
        <f t="shared" si="0"/>
        <v>0</v>
      </c>
      <c r="U28" s="75">
        <f t="shared" si="4"/>
        <v>4608</v>
      </c>
      <c r="V28" s="75">
        <f t="shared" si="5"/>
        <v>192</v>
      </c>
      <c r="W28" s="9"/>
      <c r="X28" s="9"/>
      <c r="Y28" s="9"/>
      <c r="Z28" s="9"/>
      <c r="AA28" s="9"/>
      <c r="AB28" s="9"/>
      <c r="AC28" s="9"/>
      <c r="AD28" s="9"/>
      <c r="AE28" s="9"/>
    </row>
    <row r="29" spans="1:54" x14ac:dyDescent="0.25">
      <c r="A29" s="27">
        <f t="shared" si="1"/>
        <v>26</v>
      </c>
      <c r="B29" s="26" t="s">
        <v>13</v>
      </c>
      <c r="C29" s="70">
        <v>32</v>
      </c>
      <c r="D29" s="70"/>
      <c r="E29" s="70"/>
      <c r="F29" s="70"/>
      <c r="G29" s="70"/>
      <c r="H29" s="70"/>
      <c r="I29" s="70"/>
      <c r="J29" s="71">
        <v>5</v>
      </c>
      <c r="K29" s="72"/>
      <c r="L29" s="55"/>
      <c r="M29" s="73">
        <v>1</v>
      </c>
      <c r="N29" s="74"/>
      <c r="O29" s="70">
        <v>1</v>
      </c>
      <c r="P29" s="71"/>
      <c r="Q29" s="71">
        <v>2</v>
      </c>
      <c r="R29" s="72"/>
      <c r="S29" s="55"/>
      <c r="T29" s="58">
        <f t="shared" si="0"/>
        <v>5</v>
      </c>
      <c r="U29" s="75">
        <f t="shared" si="4"/>
        <v>869</v>
      </c>
      <c r="V29" s="75">
        <f t="shared" si="5"/>
        <v>36.208333333333336</v>
      </c>
    </row>
    <row r="30" spans="1:54" x14ac:dyDescent="0.25">
      <c r="A30" s="27">
        <f t="shared" si="1"/>
        <v>27</v>
      </c>
      <c r="B30" s="26" t="s">
        <v>15</v>
      </c>
      <c r="C30" s="70">
        <v>5</v>
      </c>
      <c r="D30" s="70"/>
      <c r="E30" s="70"/>
      <c r="F30" s="70"/>
      <c r="G30" s="70"/>
      <c r="H30" s="70"/>
      <c r="I30" s="70"/>
      <c r="J30" s="71"/>
      <c r="K30" s="72"/>
      <c r="L30" s="55"/>
      <c r="M30" s="73">
        <v>1</v>
      </c>
      <c r="N30" s="74"/>
      <c r="O30" s="70"/>
      <c r="P30" s="71"/>
      <c r="Q30" s="71">
        <v>2</v>
      </c>
      <c r="R30" s="72"/>
      <c r="S30" s="55"/>
      <c r="T30" s="58">
        <f t="shared" si="0"/>
        <v>0</v>
      </c>
      <c r="U30" s="75">
        <f t="shared" si="4"/>
        <v>192</v>
      </c>
      <c r="V30" s="75">
        <f t="shared" si="5"/>
        <v>8</v>
      </c>
    </row>
    <row r="31" spans="1:54" x14ac:dyDescent="0.25">
      <c r="A31" s="27">
        <f t="shared" si="1"/>
        <v>28</v>
      </c>
      <c r="B31" s="26" t="s">
        <v>12</v>
      </c>
      <c r="C31" s="70">
        <v>5</v>
      </c>
      <c r="D31" s="70"/>
      <c r="E31" s="70"/>
      <c r="F31" s="70"/>
      <c r="G31" s="70"/>
      <c r="H31" s="70"/>
      <c r="I31" s="70"/>
      <c r="J31" s="71"/>
      <c r="K31" s="72"/>
      <c r="L31" s="55"/>
      <c r="M31" s="73"/>
      <c r="N31" s="74"/>
      <c r="O31" s="70"/>
      <c r="P31" s="71"/>
      <c r="Q31" s="71"/>
      <c r="R31" s="72"/>
      <c r="S31" s="55"/>
      <c r="T31" s="58">
        <f t="shared" si="0"/>
        <v>0</v>
      </c>
      <c r="U31" s="75">
        <f t="shared" si="4"/>
        <v>120</v>
      </c>
      <c r="V31" s="75">
        <f t="shared" si="5"/>
        <v>5</v>
      </c>
    </row>
    <row r="32" spans="1:54" x14ac:dyDescent="0.25">
      <c r="A32" s="27">
        <f t="shared" si="1"/>
        <v>29</v>
      </c>
      <c r="B32" s="26" t="s">
        <v>14</v>
      </c>
      <c r="C32" s="70"/>
      <c r="D32" s="70"/>
      <c r="E32" s="70"/>
      <c r="F32" s="70"/>
      <c r="G32" s="70"/>
      <c r="H32" s="70"/>
      <c r="I32" s="70"/>
      <c r="J32" s="71"/>
      <c r="K32" s="72"/>
      <c r="L32" s="55"/>
      <c r="M32" s="73">
        <v>1</v>
      </c>
      <c r="N32" s="74"/>
      <c r="O32" s="70"/>
      <c r="P32" s="71"/>
      <c r="Q32" s="71"/>
      <c r="R32" s="72"/>
      <c r="S32" s="55"/>
      <c r="T32" s="58">
        <f t="shared" si="0"/>
        <v>0</v>
      </c>
      <c r="U32" s="75">
        <f t="shared" si="4"/>
        <v>24</v>
      </c>
      <c r="V32" s="75">
        <f t="shared" si="5"/>
        <v>1</v>
      </c>
    </row>
    <row r="33" spans="1:23" x14ac:dyDescent="0.25">
      <c r="A33" s="27">
        <f t="shared" si="1"/>
        <v>30</v>
      </c>
      <c r="B33" s="26" t="s">
        <v>16</v>
      </c>
      <c r="C33" s="70"/>
      <c r="D33" s="70"/>
      <c r="E33" s="70"/>
      <c r="F33" s="70"/>
      <c r="G33" s="70"/>
      <c r="H33" s="70"/>
      <c r="I33" s="70"/>
      <c r="J33" s="71"/>
      <c r="K33" s="72"/>
      <c r="L33" s="55"/>
      <c r="M33" s="73"/>
      <c r="N33" s="74"/>
      <c r="O33" s="70"/>
      <c r="P33" s="71"/>
      <c r="Q33" s="71"/>
      <c r="R33" s="72"/>
      <c r="S33" s="55"/>
      <c r="T33" s="58">
        <f t="shared" si="0"/>
        <v>0</v>
      </c>
      <c r="U33" s="75">
        <f t="shared" si="4"/>
        <v>0</v>
      </c>
      <c r="V33" s="75">
        <f t="shared" si="5"/>
        <v>0</v>
      </c>
    </row>
    <row r="34" spans="1:23" x14ac:dyDescent="0.25">
      <c r="A34" s="27">
        <f t="shared" si="1"/>
        <v>31</v>
      </c>
      <c r="B34" s="26" t="s">
        <v>17</v>
      </c>
      <c r="C34" s="70">
        <v>32</v>
      </c>
      <c r="D34" s="70"/>
      <c r="E34" s="70"/>
      <c r="F34" s="70"/>
      <c r="G34" s="70"/>
      <c r="H34" s="70"/>
      <c r="I34" s="70">
        <v>1</v>
      </c>
      <c r="J34" s="71"/>
      <c r="K34" s="72">
        <v>1</v>
      </c>
      <c r="L34" s="55"/>
      <c r="M34" s="73">
        <v>1</v>
      </c>
      <c r="N34" s="74"/>
      <c r="O34" s="70">
        <v>1</v>
      </c>
      <c r="P34" s="71">
        <v>12</v>
      </c>
      <c r="Q34" s="71">
        <v>2</v>
      </c>
      <c r="R34" s="72"/>
      <c r="S34" s="55"/>
      <c r="T34" s="58">
        <f t="shared" si="0"/>
        <v>14</v>
      </c>
      <c r="U34" s="75">
        <f t="shared" si="4"/>
        <v>878</v>
      </c>
      <c r="V34" s="75">
        <f t="shared" si="5"/>
        <v>36.583333333333336</v>
      </c>
    </row>
    <row r="35" spans="1:23" hidden="1" x14ac:dyDescent="0.25">
      <c r="A35" s="27">
        <f t="shared" si="1"/>
        <v>32</v>
      </c>
      <c r="B35" s="26" t="s">
        <v>25</v>
      </c>
      <c r="C35" s="70"/>
      <c r="D35" s="70"/>
      <c r="E35" s="70"/>
      <c r="F35" s="70"/>
      <c r="G35" s="70"/>
      <c r="H35" s="70"/>
      <c r="I35" s="70"/>
      <c r="J35" s="71"/>
      <c r="K35" s="72"/>
      <c r="L35" s="55"/>
      <c r="M35" s="73"/>
      <c r="N35" s="74"/>
      <c r="O35" s="70"/>
      <c r="P35" s="71"/>
      <c r="Q35" s="71"/>
      <c r="R35" s="72"/>
      <c r="S35" s="55"/>
      <c r="T35" s="58">
        <f t="shared" si="0"/>
        <v>0</v>
      </c>
      <c r="U35" s="75">
        <f t="shared" si="4"/>
        <v>0</v>
      </c>
      <c r="V35" s="75">
        <f t="shared" si="5"/>
        <v>0</v>
      </c>
    </row>
    <row r="36" spans="1:23" x14ac:dyDescent="0.25">
      <c r="A36" s="27">
        <f t="shared" si="1"/>
        <v>33</v>
      </c>
      <c r="B36" s="26" t="s">
        <v>18</v>
      </c>
      <c r="C36" s="70"/>
      <c r="D36" s="70"/>
      <c r="E36" s="70"/>
      <c r="F36" s="70"/>
      <c r="G36" s="70"/>
      <c r="H36" s="70"/>
      <c r="I36" s="70"/>
      <c r="J36" s="71"/>
      <c r="K36" s="72"/>
      <c r="L36" s="55"/>
      <c r="M36" s="73"/>
      <c r="N36" s="74"/>
      <c r="O36" s="70"/>
      <c r="P36" s="71"/>
      <c r="Q36" s="71"/>
      <c r="R36" s="72"/>
      <c r="S36" s="55"/>
      <c r="T36" s="58">
        <f t="shared" si="0"/>
        <v>0</v>
      </c>
      <c r="U36" s="75">
        <f t="shared" si="4"/>
        <v>0</v>
      </c>
      <c r="V36" s="75">
        <f t="shared" si="5"/>
        <v>0</v>
      </c>
    </row>
    <row r="37" spans="1:23" ht="19.5" thickBot="1" x14ac:dyDescent="0.3">
      <c r="A37" s="27">
        <f t="shared" si="1"/>
        <v>34</v>
      </c>
      <c r="B37" s="42" t="s">
        <v>19</v>
      </c>
      <c r="C37" s="59">
        <f>864+1620+42</f>
        <v>2526</v>
      </c>
      <c r="D37" s="59"/>
      <c r="E37" s="59"/>
      <c r="F37" s="59"/>
      <c r="G37" s="59"/>
      <c r="H37" s="59">
        <v>4</v>
      </c>
      <c r="I37" s="59">
        <v>2</v>
      </c>
      <c r="J37" s="60">
        <v>4</v>
      </c>
      <c r="K37" s="61">
        <v>3</v>
      </c>
      <c r="L37" s="62"/>
      <c r="M37" s="63">
        <v>43</v>
      </c>
      <c r="N37" s="64"/>
      <c r="O37" s="65">
        <v>30</v>
      </c>
      <c r="P37" s="66"/>
      <c r="Q37" s="66">
        <v>43</v>
      </c>
      <c r="R37" s="67"/>
      <c r="S37" s="62"/>
      <c r="T37" s="77">
        <f t="shared" si="0"/>
        <v>13</v>
      </c>
      <c r="U37" s="77">
        <f>C37*6+M37*6+O37*6+Q37*6+T37</f>
        <v>15865</v>
      </c>
      <c r="V37" s="77">
        <f>U37/6</f>
        <v>2644.1666666666665</v>
      </c>
      <c r="W37" s="50"/>
    </row>
    <row r="38" spans="1:23" x14ac:dyDescent="0.25">
      <c r="A38" s="27">
        <f t="shared" si="1"/>
        <v>35</v>
      </c>
      <c r="B38" s="25" t="s">
        <v>20</v>
      </c>
      <c r="C38" s="70"/>
      <c r="D38" s="70"/>
      <c r="E38" s="70"/>
      <c r="F38" s="70"/>
      <c r="G38" s="70"/>
      <c r="H38" s="70"/>
      <c r="I38" s="70"/>
      <c r="J38" s="71"/>
      <c r="K38" s="72"/>
      <c r="L38" s="55"/>
      <c r="M38" s="73">
        <v>2</v>
      </c>
      <c r="N38" s="74"/>
      <c r="O38" s="70"/>
      <c r="P38" s="71"/>
      <c r="Q38" s="71"/>
      <c r="R38" s="72"/>
      <c r="S38" s="55"/>
      <c r="T38" s="75">
        <f t="shared" si="0"/>
        <v>0</v>
      </c>
      <c r="U38" s="75">
        <f>C38*24+M38*24+O38*24+Q38*24+T38</f>
        <v>48</v>
      </c>
      <c r="V38" s="75">
        <f>U38/24</f>
        <v>2</v>
      </c>
    </row>
    <row r="39" spans="1:23" x14ac:dyDescent="0.25">
      <c r="A39" s="27">
        <f t="shared" si="1"/>
        <v>36</v>
      </c>
      <c r="B39" s="51" t="s">
        <v>62</v>
      </c>
      <c r="C39" s="78"/>
      <c r="D39" s="78"/>
      <c r="E39" s="78"/>
      <c r="F39" s="78"/>
      <c r="G39" s="78"/>
      <c r="H39" s="78"/>
      <c r="I39" s="78"/>
      <c r="J39" s="79"/>
      <c r="K39" s="80"/>
      <c r="L39" s="55"/>
      <c r="M39" s="73"/>
      <c r="N39" s="74"/>
      <c r="O39" s="70"/>
      <c r="P39" s="71"/>
      <c r="Q39" s="71"/>
      <c r="R39" s="72"/>
      <c r="S39" s="95"/>
      <c r="T39" s="75">
        <f t="shared" si="0"/>
        <v>0</v>
      </c>
      <c r="U39" s="75">
        <f>C39*24+M39*24+O39*24+Q39*24+T39</f>
        <v>0</v>
      </c>
      <c r="V39" s="75">
        <f>U39/24</f>
        <v>0</v>
      </c>
    </row>
    <row r="40" spans="1:23" ht="19.5" thickBot="1" x14ac:dyDescent="0.3">
      <c r="A40" s="27">
        <f t="shared" si="1"/>
        <v>37</v>
      </c>
      <c r="B40" s="42" t="s">
        <v>21</v>
      </c>
      <c r="C40" s="59">
        <f>126+33</f>
        <v>159</v>
      </c>
      <c r="D40" s="59"/>
      <c r="E40" s="59"/>
      <c r="F40" s="59"/>
      <c r="G40" s="59"/>
      <c r="H40" s="59"/>
      <c r="I40" s="59"/>
      <c r="J40" s="60"/>
      <c r="K40" s="61">
        <v>20</v>
      </c>
      <c r="L40" s="62"/>
      <c r="M40" s="63">
        <v>2</v>
      </c>
      <c r="N40" s="64"/>
      <c r="O40" s="65">
        <v>1</v>
      </c>
      <c r="P40" s="66"/>
      <c r="Q40" s="66">
        <v>2</v>
      </c>
      <c r="R40" s="67"/>
      <c r="S40" s="62"/>
      <c r="T40" s="77">
        <f t="shared" si="0"/>
        <v>20</v>
      </c>
      <c r="U40" s="77">
        <f>C40*24+M40*24+O40*24+Q40*24+T40</f>
        <v>3956</v>
      </c>
      <c r="V40" s="77">
        <f>U40/24</f>
        <v>164.83333333333334</v>
      </c>
    </row>
    <row r="41" spans="1:23" ht="19.5" thickBot="1" x14ac:dyDescent="0.3">
      <c r="A41" s="27">
        <f t="shared" si="1"/>
        <v>38</v>
      </c>
      <c r="B41" s="43" t="s">
        <v>22</v>
      </c>
      <c r="C41" s="82">
        <f>96+94</f>
        <v>190</v>
      </c>
      <c r="D41" s="82"/>
      <c r="E41" s="82"/>
      <c r="F41" s="82"/>
      <c r="G41" s="82"/>
      <c r="H41" s="82"/>
      <c r="I41" s="82"/>
      <c r="J41" s="83"/>
      <c r="K41" s="84"/>
      <c r="L41" s="85"/>
      <c r="M41" s="86">
        <v>10</v>
      </c>
      <c r="N41" s="87"/>
      <c r="O41" s="82">
        <v>6</v>
      </c>
      <c r="P41" s="83"/>
      <c r="Q41" s="83">
        <v>26</v>
      </c>
      <c r="R41" s="84"/>
      <c r="S41" s="85"/>
      <c r="T41" s="88">
        <f t="shared" si="0"/>
        <v>0</v>
      </c>
      <c r="U41" s="88">
        <f>C41*12+M41*12+O41*12+Q41*12+T41</f>
        <v>2784</v>
      </c>
      <c r="V41" s="88">
        <f>U41/12</f>
        <v>232</v>
      </c>
    </row>
    <row r="42" spans="1:23" hidden="1" x14ac:dyDescent="0.25">
      <c r="A42" s="27">
        <f t="shared" si="1"/>
        <v>39</v>
      </c>
      <c r="B42" s="25" t="s">
        <v>29</v>
      </c>
      <c r="C42" s="70"/>
      <c r="D42" s="70"/>
      <c r="E42" s="70"/>
      <c r="F42" s="70"/>
      <c r="G42" s="70"/>
      <c r="H42" s="70"/>
      <c r="I42" s="70"/>
      <c r="J42" s="71"/>
      <c r="K42" s="72"/>
      <c r="L42" s="55"/>
      <c r="M42" s="73"/>
      <c r="N42" s="74"/>
      <c r="O42" s="70"/>
      <c r="P42" s="71"/>
      <c r="Q42" s="71"/>
      <c r="R42" s="72"/>
      <c r="S42" s="55"/>
      <c r="T42" s="75"/>
      <c r="U42" s="75"/>
      <c r="V42" s="75"/>
    </row>
    <row r="43" spans="1:23" ht="19.5" thickBot="1" x14ac:dyDescent="0.3">
      <c r="A43" s="27">
        <f t="shared" si="1"/>
        <v>40</v>
      </c>
      <c r="B43" s="42" t="s">
        <v>23</v>
      </c>
      <c r="C43" s="65">
        <f>1512+7776+3024+8424+3024+4644+72</f>
        <v>28476</v>
      </c>
      <c r="D43" s="65"/>
      <c r="E43" s="65"/>
      <c r="F43" s="65"/>
      <c r="G43" s="65"/>
      <c r="H43" s="65">
        <v>1</v>
      </c>
      <c r="I43" s="65">
        <v>7</v>
      </c>
      <c r="J43" s="66">
        <f>4*6+3</f>
        <v>27</v>
      </c>
      <c r="K43" s="67">
        <f>64*6+2</f>
        <v>386</v>
      </c>
      <c r="L43" s="62"/>
      <c r="M43" s="63">
        <v>364</v>
      </c>
      <c r="N43" s="64"/>
      <c r="O43" s="65">
        <v>416</v>
      </c>
      <c r="P43" s="66"/>
      <c r="Q43" s="66">
        <v>581</v>
      </c>
      <c r="R43" s="67"/>
      <c r="S43" s="62"/>
      <c r="T43" s="77">
        <f t="shared" ref="T43" si="6">H43+I43+J43+K43+N43+P43+R43</f>
        <v>421</v>
      </c>
      <c r="U43" s="77">
        <f>C43*6+M43*6+O43*6+Q43*6+T43</f>
        <v>179443</v>
      </c>
      <c r="V43" s="77">
        <f>U43/6</f>
        <v>29907.166666666668</v>
      </c>
    </row>
    <row r="44" spans="1:23" hidden="1" x14ac:dyDescent="0.25">
      <c r="A44" s="27">
        <f t="shared" si="1"/>
        <v>41</v>
      </c>
      <c r="B44" s="25" t="s">
        <v>31</v>
      </c>
      <c r="C44" s="70"/>
      <c r="D44" s="70"/>
      <c r="E44" s="70"/>
      <c r="F44" s="70"/>
      <c r="G44" s="70"/>
      <c r="H44" s="70"/>
      <c r="I44" s="70"/>
      <c r="J44" s="71"/>
      <c r="K44" s="72"/>
      <c r="L44" s="55"/>
      <c r="M44" s="73"/>
      <c r="N44" s="74"/>
      <c r="O44" s="70"/>
      <c r="P44" s="71"/>
      <c r="Q44" s="71"/>
      <c r="R44" s="72"/>
      <c r="S44" s="55"/>
      <c r="T44" s="75"/>
      <c r="U44" s="75"/>
      <c r="V44" s="75"/>
    </row>
    <row r="45" spans="1:23" x14ac:dyDescent="0.25">
      <c r="A45" s="27">
        <f t="shared" si="1"/>
        <v>42</v>
      </c>
      <c r="B45" s="26" t="s">
        <v>24</v>
      </c>
      <c r="C45" s="70">
        <v>5</v>
      </c>
      <c r="D45" s="70"/>
      <c r="E45" s="70"/>
      <c r="F45" s="70"/>
      <c r="G45" s="70"/>
      <c r="H45" s="70"/>
      <c r="I45" s="70"/>
      <c r="J45" s="71"/>
      <c r="K45" s="72"/>
      <c r="L45" s="55"/>
      <c r="M45" s="73">
        <v>2</v>
      </c>
      <c r="N45" s="74"/>
      <c r="O45" s="70">
        <v>1</v>
      </c>
      <c r="P45" s="71"/>
      <c r="Q45" s="71"/>
      <c r="R45" s="72"/>
      <c r="S45" s="55"/>
      <c r="T45" s="75">
        <f t="shared" ref="T45:T54" si="7">H45+I45+J45+K45+N45+P45+R45</f>
        <v>0</v>
      </c>
      <c r="U45" s="75">
        <f>C45*24+M45*24+O45*24+Q45*24+T45</f>
        <v>192</v>
      </c>
      <c r="V45" s="75">
        <f>U45/24</f>
        <v>8</v>
      </c>
    </row>
    <row r="46" spans="1:23" x14ac:dyDescent="0.25">
      <c r="A46" s="27">
        <f t="shared" si="1"/>
        <v>43</v>
      </c>
      <c r="B46" s="26" t="s">
        <v>57</v>
      </c>
      <c r="C46" s="70"/>
      <c r="D46" s="70"/>
      <c r="E46" s="70"/>
      <c r="F46" s="70"/>
      <c r="G46" s="70"/>
      <c r="H46" s="70"/>
      <c r="I46" s="70"/>
      <c r="J46" s="71"/>
      <c r="K46" s="72"/>
      <c r="L46" s="55"/>
      <c r="M46" s="73"/>
      <c r="N46" s="74"/>
      <c r="O46" s="70"/>
      <c r="P46" s="71"/>
      <c r="Q46" s="71"/>
      <c r="R46" s="72"/>
      <c r="S46" s="55"/>
      <c r="T46" s="75">
        <f t="shared" si="7"/>
        <v>0</v>
      </c>
      <c r="U46" s="75">
        <f t="shared" ref="U46:U50" si="8">C46*24+M46*24+O46*24+Q46*24+T46</f>
        <v>0</v>
      </c>
      <c r="V46" s="75">
        <f t="shared" ref="V46:V54" si="9">U46/24</f>
        <v>0</v>
      </c>
    </row>
    <row r="47" spans="1:23" ht="19.5" thickBot="1" x14ac:dyDescent="0.3">
      <c r="A47" s="27">
        <f t="shared" si="1"/>
        <v>44</v>
      </c>
      <c r="B47" s="42" t="s">
        <v>25</v>
      </c>
      <c r="C47" s="65">
        <f>432+106+2160+64</f>
        <v>2762</v>
      </c>
      <c r="D47" s="65"/>
      <c r="E47" s="65"/>
      <c r="F47" s="65"/>
      <c r="G47" s="65"/>
      <c r="H47" s="65">
        <v>1</v>
      </c>
      <c r="I47" s="65"/>
      <c r="J47" s="66">
        <v>1</v>
      </c>
      <c r="K47" s="67">
        <v>4</v>
      </c>
      <c r="L47" s="62"/>
      <c r="M47" s="63">
        <v>6</v>
      </c>
      <c r="N47" s="64"/>
      <c r="O47" s="65">
        <v>9</v>
      </c>
      <c r="P47" s="66">
        <v>4</v>
      </c>
      <c r="Q47" s="66">
        <v>3</v>
      </c>
      <c r="R47" s="67">
        <v>3</v>
      </c>
      <c r="S47" s="62"/>
      <c r="T47" s="77">
        <f t="shared" si="7"/>
        <v>13</v>
      </c>
      <c r="U47" s="77">
        <f>C47*6+M47*6+O47*6+Q47*6+T47</f>
        <v>16693</v>
      </c>
      <c r="V47" s="77">
        <f>U47/6</f>
        <v>2782.1666666666665</v>
      </c>
    </row>
    <row r="48" spans="1:23" x14ac:dyDescent="0.25">
      <c r="A48" s="27">
        <f t="shared" si="1"/>
        <v>45</v>
      </c>
      <c r="B48" s="25" t="s">
        <v>58</v>
      </c>
      <c r="C48" s="70"/>
      <c r="D48" s="70"/>
      <c r="E48" s="70"/>
      <c r="F48" s="70"/>
      <c r="G48" s="70"/>
      <c r="H48" s="70">
        <v>24</v>
      </c>
      <c r="I48" s="70"/>
      <c r="J48" s="71"/>
      <c r="K48" s="72"/>
      <c r="L48" s="55"/>
      <c r="M48" s="73"/>
      <c r="N48" s="74"/>
      <c r="O48" s="70"/>
      <c r="P48" s="71"/>
      <c r="Q48" s="71"/>
      <c r="R48" s="72"/>
      <c r="S48" s="55"/>
      <c r="T48" s="75">
        <f t="shared" si="7"/>
        <v>24</v>
      </c>
      <c r="U48" s="75">
        <f t="shared" si="8"/>
        <v>24</v>
      </c>
      <c r="V48" s="75">
        <f t="shared" si="9"/>
        <v>1</v>
      </c>
    </row>
    <row r="49" spans="1:22" x14ac:dyDescent="0.25">
      <c r="A49" s="27">
        <f t="shared" si="1"/>
        <v>46</v>
      </c>
      <c r="B49" s="26" t="s">
        <v>26</v>
      </c>
      <c r="C49" s="70"/>
      <c r="D49" s="70"/>
      <c r="E49" s="70"/>
      <c r="F49" s="70"/>
      <c r="G49" s="70"/>
      <c r="H49" s="70"/>
      <c r="I49" s="70"/>
      <c r="J49" s="71"/>
      <c r="K49" s="72"/>
      <c r="L49" s="55"/>
      <c r="M49" s="73"/>
      <c r="N49" s="74"/>
      <c r="O49" s="70"/>
      <c r="P49" s="71"/>
      <c r="Q49" s="71"/>
      <c r="R49" s="72"/>
      <c r="S49" s="55"/>
      <c r="T49" s="75">
        <f t="shared" si="7"/>
        <v>0</v>
      </c>
      <c r="U49" s="75">
        <f t="shared" si="8"/>
        <v>0</v>
      </c>
      <c r="V49" s="75">
        <f t="shared" si="9"/>
        <v>0</v>
      </c>
    </row>
    <row r="50" spans="1:22" x14ac:dyDescent="0.25">
      <c r="A50" s="27">
        <f t="shared" si="1"/>
        <v>47</v>
      </c>
      <c r="B50" s="26" t="s">
        <v>59</v>
      </c>
      <c r="C50" s="70"/>
      <c r="D50" s="70"/>
      <c r="E50" s="70"/>
      <c r="F50" s="70"/>
      <c r="G50" s="70"/>
      <c r="H50" s="70"/>
      <c r="I50" s="70"/>
      <c r="J50" s="71"/>
      <c r="K50" s="72"/>
      <c r="L50" s="55"/>
      <c r="M50" s="73"/>
      <c r="N50" s="74"/>
      <c r="O50" s="70"/>
      <c r="P50" s="71"/>
      <c r="Q50" s="71"/>
      <c r="R50" s="72"/>
      <c r="S50" s="55"/>
      <c r="T50" s="75">
        <f t="shared" si="7"/>
        <v>0</v>
      </c>
      <c r="U50" s="75">
        <f t="shared" si="8"/>
        <v>0</v>
      </c>
      <c r="V50" s="75">
        <f t="shared" si="9"/>
        <v>0</v>
      </c>
    </row>
    <row r="51" spans="1:22" ht="19.5" thickBot="1" x14ac:dyDescent="0.3">
      <c r="A51" s="27">
        <f t="shared" si="1"/>
        <v>48</v>
      </c>
      <c r="B51" s="42" t="s">
        <v>27</v>
      </c>
      <c r="C51" s="65">
        <v>34</v>
      </c>
      <c r="D51" s="65"/>
      <c r="E51" s="65"/>
      <c r="F51" s="65"/>
      <c r="G51" s="65"/>
      <c r="H51" s="65"/>
      <c r="I51" s="65"/>
      <c r="J51" s="66"/>
      <c r="K51" s="67"/>
      <c r="L51" s="62"/>
      <c r="M51" s="63"/>
      <c r="N51" s="64"/>
      <c r="O51" s="65"/>
      <c r="P51" s="66"/>
      <c r="Q51" s="66"/>
      <c r="R51" s="67"/>
      <c r="S51" s="62"/>
      <c r="T51" s="77">
        <f t="shared" si="7"/>
        <v>0</v>
      </c>
      <c r="U51" s="77">
        <f>C51*6+M51*6+O51*6+Q51*6+T51</f>
        <v>204</v>
      </c>
      <c r="V51" s="77">
        <f>U51/6</f>
        <v>34</v>
      </c>
    </row>
    <row r="52" spans="1:22" x14ac:dyDescent="0.25">
      <c r="A52" s="27">
        <f t="shared" si="1"/>
        <v>49</v>
      </c>
      <c r="B52" s="25" t="s">
        <v>28</v>
      </c>
      <c r="C52" s="70"/>
      <c r="D52" s="70"/>
      <c r="E52" s="70"/>
      <c r="F52" s="70"/>
      <c r="G52" s="70"/>
      <c r="H52" s="70"/>
      <c r="I52" s="70"/>
      <c r="J52" s="71"/>
      <c r="K52" s="72"/>
      <c r="L52" s="55"/>
      <c r="M52" s="73"/>
      <c r="N52" s="74"/>
      <c r="O52" s="70"/>
      <c r="P52" s="71"/>
      <c r="Q52" s="71"/>
      <c r="R52" s="72"/>
      <c r="S52" s="55"/>
      <c r="T52" s="75">
        <f t="shared" si="7"/>
        <v>0</v>
      </c>
      <c r="U52" s="75">
        <f t="shared" ref="U52:U54" si="10">C52*24+M52*24+O52*24+Q52*24+T52</f>
        <v>0</v>
      </c>
      <c r="V52" s="75">
        <f t="shared" si="9"/>
        <v>0</v>
      </c>
    </row>
    <row r="53" spans="1:22" x14ac:dyDescent="0.25">
      <c r="A53" s="27">
        <f t="shared" si="1"/>
        <v>50</v>
      </c>
      <c r="B53" s="26" t="s">
        <v>63</v>
      </c>
      <c r="C53" s="70">
        <v>9</v>
      </c>
      <c r="D53" s="70"/>
      <c r="E53" s="70"/>
      <c r="F53" s="70"/>
      <c r="G53" s="70"/>
      <c r="H53" s="70"/>
      <c r="I53" s="70"/>
      <c r="J53" s="71"/>
      <c r="K53" s="72"/>
      <c r="L53" s="55"/>
      <c r="M53" s="73"/>
      <c r="N53" s="74"/>
      <c r="O53" s="70"/>
      <c r="P53" s="71"/>
      <c r="Q53" s="71"/>
      <c r="R53" s="72"/>
      <c r="S53" s="55"/>
      <c r="T53" s="75">
        <f t="shared" si="7"/>
        <v>0</v>
      </c>
      <c r="U53" s="75">
        <f t="shared" si="10"/>
        <v>216</v>
      </c>
      <c r="V53" s="75">
        <f t="shared" si="9"/>
        <v>9</v>
      </c>
    </row>
    <row r="54" spans="1:22" x14ac:dyDescent="0.25">
      <c r="A54" s="27">
        <f t="shared" si="1"/>
        <v>51</v>
      </c>
      <c r="B54" s="26"/>
      <c r="C54" s="70"/>
      <c r="D54" s="70"/>
      <c r="E54" s="70"/>
      <c r="F54" s="70"/>
      <c r="G54" s="70"/>
      <c r="H54" s="70"/>
      <c r="I54" s="70"/>
      <c r="J54" s="71"/>
      <c r="K54" s="72"/>
      <c r="L54" s="55"/>
      <c r="M54" s="73"/>
      <c r="N54" s="74"/>
      <c r="O54" s="70"/>
      <c r="P54" s="71"/>
      <c r="Q54" s="71"/>
      <c r="R54" s="72"/>
      <c r="S54" s="55"/>
      <c r="T54" s="75">
        <f t="shared" si="7"/>
        <v>0</v>
      </c>
      <c r="U54" s="75">
        <f t="shared" si="10"/>
        <v>0</v>
      </c>
      <c r="V54" s="75">
        <f t="shared" si="9"/>
        <v>0</v>
      </c>
    </row>
    <row r="55" spans="1:22" x14ac:dyDescent="0.25">
      <c r="A55" s="27">
        <f t="shared" si="1"/>
        <v>52</v>
      </c>
      <c r="B55" s="26"/>
      <c r="C55" s="70"/>
      <c r="D55" s="70"/>
      <c r="E55" s="70"/>
      <c r="F55" s="70"/>
      <c r="G55" s="70"/>
      <c r="H55" s="70"/>
      <c r="I55" s="70"/>
      <c r="J55" s="71"/>
      <c r="K55" s="72"/>
      <c r="L55" s="55"/>
      <c r="M55" s="73"/>
      <c r="N55" s="74"/>
      <c r="O55" s="70"/>
      <c r="P55" s="71"/>
      <c r="Q55" s="71"/>
      <c r="R55" s="72"/>
      <c r="S55" s="55"/>
      <c r="T55" s="75"/>
      <c r="U55" s="75"/>
      <c r="V55" s="75"/>
    </row>
    <row r="56" spans="1:22" x14ac:dyDescent="0.25">
      <c r="A56" s="27">
        <f t="shared" si="1"/>
        <v>53</v>
      </c>
      <c r="B56" s="26"/>
      <c r="C56" s="70"/>
      <c r="D56" s="70"/>
      <c r="E56" s="70"/>
      <c r="F56" s="70"/>
      <c r="G56" s="70"/>
      <c r="H56" s="70"/>
      <c r="I56" s="70"/>
      <c r="J56" s="71"/>
      <c r="K56" s="72"/>
      <c r="L56" s="55"/>
      <c r="M56" s="73"/>
      <c r="N56" s="74"/>
      <c r="O56" s="70"/>
      <c r="P56" s="71"/>
      <c r="Q56" s="71"/>
      <c r="R56" s="72"/>
      <c r="S56" s="55"/>
      <c r="T56" s="75"/>
      <c r="U56" s="75"/>
      <c r="V56" s="75"/>
    </row>
    <row r="57" spans="1:22" x14ac:dyDescent="0.25">
      <c r="A57" s="27">
        <f t="shared" si="1"/>
        <v>54</v>
      </c>
      <c r="B57" s="26"/>
      <c r="C57" s="70"/>
      <c r="D57" s="70"/>
      <c r="E57" s="70"/>
      <c r="F57" s="70"/>
      <c r="G57" s="70"/>
      <c r="H57" s="70"/>
      <c r="I57" s="70"/>
      <c r="J57" s="71"/>
      <c r="K57" s="72"/>
      <c r="L57" s="55"/>
      <c r="M57" s="73"/>
      <c r="N57" s="74"/>
      <c r="O57" s="70"/>
      <c r="P57" s="71"/>
      <c r="Q57" s="71"/>
      <c r="R57" s="72"/>
      <c r="S57" s="55"/>
      <c r="T57" s="75"/>
      <c r="U57" s="75"/>
      <c r="V57" s="75"/>
    </row>
    <row r="58" spans="1:22" s="15" customFormat="1" ht="19.5" thickBot="1" x14ac:dyDescent="0.3">
      <c r="B58" s="29" t="s">
        <v>50</v>
      </c>
      <c r="C58" s="2">
        <f>SUM(C7:C57)</f>
        <v>37382</v>
      </c>
      <c r="D58" s="2"/>
      <c r="E58" s="2"/>
      <c r="F58" s="2">
        <f t="shared" ref="F58:K58" si="11">SUM(F7:F57)</f>
        <v>0</v>
      </c>
      <c r="G58" s="2">
        <f t="shared" si="11"/>
        <v>0</v>
      </c>
      <c r="H58" s="2">
        <f t="shared" si="11"/>
        <v>1189</v>
      </c>
      <c r="I58" s="6">
        <f t="shared" si="11"/>
        <v>33</v>
      </c>
      <c r="J58" s="6">
        <f t="shared" si="11"/>
        <v>38</v>
      </c>
      <c r="K58" s="6">
        <f t="shared" si="11"/>
        <v>422</v>
      </c>
      <c r="M58" s="5">
        <f t="shared" ref="M58:R58" si="12">SUM(M7:M57)</f>
        <v>459</v>
      </c>
      <c r="N58" s="5">
        <f t="shared" si="12"/>
        <v>0</v>
      </c>
      <c r="O58" s="5">
        <f t="shared" si="12"/>
        <v>483</v>
      </c>
      <c r="P58" s="5">
        <f t="shared" si="12"/>
        <v>16</v>
      </c>
      <c r="Q58" s="5">
        <f t="shared" si="12"/>
        <v>686</v>
      </c>
      <c r="R58" s="5">
        <f t="shared" si="12"/>
        <v>15</v>
      </c>
      <c r="S58" s="55"/>
      <c r="T58" s="4">
        <f>SUM(T7:T57)</f>
        <v>1713</v>
      </c>
      <c r="U58" s="90">
        <f>SUM(U7:U57)</f>
        <v>299895</v>
      </c>
      <c r="V58" s="4">
        <f>SUM(V7:V57)</f>
        <v>39137.25</v>
      </c>
    </row>
    <row r="59" spans="1:22" ht="7.5" customHeight="1" thickBot="1" x14ac:dyDescent="0.3"/>
    <row r="60" spans="1:22" ht="19.5" thickBot="1" x14ac:dyDescent="0.3">
      <c r="B60" s="30" t="s">
        <v>37</v>
      </c>
      <c r="C60" s="114" t="s">
        <v>41</v>
      </c>
      <c r="D60" s="115"/>
      <c r="E60" s="115"/>
      <c r="F60" s="115"/>
      <c r="G60" s="115"/>
      <c r="H60" s="115"/>
      <c r="I60" s="115"/>
      <c r="J60" s="115"/>
      <c r="K60" s="116"/>
      <c r="U60" s="24" t="s">
        <v>51</v>
      </c>
    </row>
    <row r="61" spans="1:22" x14ac:dyDescent="0.25">
      <c r="B61" s="31" t="s">
        <v>17</v>
      </c>
      <c r="C61" s="19"/>
      <c r="D61" s="19"/>
      <c r="E61" s="19"/>
      <c r="F61" s="19"/>
      <c r="G61" s="19"/>
      <c r="H61" s="19"/>
      <c r="I61" s="19"/>
      <c r="J61" s="45"/>
      <c r="K61" s="20"/>
      <c r="U61" s="7"/>
    </row>
    <row r="62" spans="1:22" x14ac:dyDescent="0.25">
      <c r="B62" s="32" t="s">
        <v>45</v>
      </c>
      <c r="C62" s="1"/>
      <c r="D62" s="1"/>
      <c r="E62" s="1"/>
      <c r="F62" s="1"/>
      <c r="G62" s="1"/>
      <c r="H62" s="1"/>
      <c r="I62" s="1"/>
      <c r="J62" s="44"/>
      <c r="K62" s="21"/>
      <c r="U62" s="3"/>
    </row>
    <row r="63" spans="1:22" ht="19.5" thickBot="1" x14ac:dyDescent="0.3">
      <c r="B63" s="33" t="s">
        <v>44</v>
      </c>
      <c r="C63" s="22"/>
      <c r="D63" s="22"/>
      <c r="E63" s="22"/>
      <c r="F63" s="22"/>
      <c r="G63" s="22"/>
      <c r="H63" s="22"/>
      <c r="I63" s="22"/>
      <c r="J63" s="46"/>
      <c r="K63" s="23"/>
      <c r="U63" s="8"/>
    </row>
    <row r="64" spans="1:22" ht="7.5" customHeight="1" thickBot="1" x14ac:dyDescent="0.3"/>
    <row r="65" spans="2:21" x14ac:dyDescent="0.25">
      <c r="B65" s="31" t="s">
        <v>46</v>
      </c>
      <c r="C65" s="19"/>
      <c r="D65" s="19"/>
      <c r="E65" s="19"/>
      <c r="F65" s="19"/>
      <c r="G65" s="19"/>
      <c r="H65" s="19"/>
      <c r="I65" s="19"/>
      <c r="J65" s="45"/>
      <c r="K65" s="20"/>
      <c r="U65" s="7"/>
    </row>
    <row r="66" spans="2:21" x14ac:dyDescent="0.25">
      <c r="B66" s="32" t="s">
        <v>45</v>
      </c>
      <c r="C66" s="1"/>
      <c r="D66" s="1"/>
      <c r="E66" s="1"/>
      <c r="F66" s="1"/>
      <c r="G66" s="1"/>
      <c r="H66" s="1"/>
      <c r="I66" s="1"/>
      <c r="J66" s="44"/>
      <c r="K66" s="21"/>
      <c r="U66" s="3"/>
    </row>
    <row r="67" spans="2:21" ht="19.5" thickBot="1" x14ac:dyDescent="0.3">
      <c r="B67" s="33" t="s">
        <v>44</v>
      </c>
      <c r="C67" s="22"/>
      <c r="D67" s="22"/>
      <c r="E67" s="22"/>
      <c r="F67" s="22"/>
      <c r="G67" s="22"/>
      <c r="H67" s="22"/>
      <c r="I67" s="22"/>
      <c r="J67" s="46"/>
      <c r="K67" s="23"/>
      <c r="U67" s="8"/>
    </row>
    <row r="68" spans="2:21" ht="7.5" customHeight="1" thickBot="1" x14ac:dyDescent="0.3"/>
    <row r="69" spans="2:21" x14ac:dyDescent="0.25">
      <c r="B69" s="31" t="s">
        <v>38</v>
      </c>
      <c r="C69" s="19"/>
      <c r="D69" s="19"/>
      <c r="E69" s="19"/>
      <c r="F69" s="19"/>
      <c r="G69" s="19"/>
      <c r="H69" s="19"/>
      <c r="I69" s="19"/>
      <c r="J69" s="45"/>
      <c r="K69" s="20"/>
      <c r="U69" s="7"/>
    </row>
    <row r="70" spans="2:21" x14ac:dyDescent="0.25">
      <c r="B70" s="32" t="s">
        <v>45</v>
      </c>
      <c r="C70" s="1"/>
      <c r="D70" s="1"/>
      <c r="E70" s="1"/>
      <c r="F70" s="1"/>
      <c r="G70" s="1"/>
      <c r="H70" s="1"/>
      <c r="I70" s="1"/>
      <c r="J70" s="44"/>
      <c r="K70" s="21"/>
      <c r="U70" s="3"/>
    </row>
    <row r="71" spans="2:21" ht="19.5" thickBot="1" x14ac:dyDescent="0.3">
      <c r="B71" s="33" t="s">
        <v>44</v>
      </c>
      <c r="C71" s="22"/>
      <c r="D71" s="22"/>
      <c r="E71" s="22"/>
      <c r="F71" s="22"/>
      <c r="G71" s="22"/>
      <c r="H71" s="22"/>
      <c r="I71" s="22"/>
      <c r="J71" s="46"/>
      <c r="K71" s="23"/>
      <c r="U71" s="8"/>
    </row>
    <row r="72" spans="2:21" ht="7.5" customHeight="1" thickBot="1" x14ac:dyDescent="0.3"/>
    <row r="73" spans="2:21" x14ac:dyDescent="0.25">
      <c r="B73" s="31" t="s">
        <v>47</v>
      </c>
      <c r="C73" s="19"/>
      <c r="D73" s="19"/>
      <c r="E73" s="19"/>
      <c r="F73" s="19"/>
      <c r="G73" s="19"/>
      <c r="H73" s="19"/>
      <c r="I73" s="19"/>
      <c r="J73" s="45"/>
      <c r="K73" s="20"/>
      <c r="U73" s="7"/>
    </row>
    <row r="74" spans="2:21" x14ac:dyDescent="0.25">
      <c r="B74" s="32" t="s">
        <v>45</v>
      </c>
      <c r="C74" s="1"/>
      <c r="D74" s="1"/>
      <c r="E74" s="1"/>
      <c r="F74" s="1"/>
      <c r="G74" s="1"/>
      <c r="H74" s="1"/>
      <c r="I74" s="1"/>
      <c r="J74" s="44"/>
      <c r="K74" s="21"/>
      <c r="U74" s="3"/>
    </row>
    <row r="75" spans="2:21" ht="19.5" thickBot="1" x14ac:dyDescent="0.3">
      <c r="B75" s="33" t="s">
        <v>44</v>
      </c>
      <c r="C75" s="22"/>
      <c r="D75" s="22"/>
      <c r="E75" s="22"/>
      <c r="F75" s="22"/>
      <c r="G75" s="22"/>
      <c r="H75" s="22"/>
      <c r="I75" s="22"/>
      <c r="J75" s="46"/>
      <c r="K75" s="23"/>
      <c r="U75" s="8"/>
    </row>
    <row r="76" spans="2:21" ht="7.5" customHeight="1" thickBot="1" x14ac:dyDescent="0.3"/>
    <row r="77" spans="2:21" x14ac:dyDescent="0.25">
      <c r="B77" s="31" t="s">
        <v>48</v>
      </c>
      <c r="C77" s="19"/>
      <c r="D77" s="19"/>
      <c r="E77" s="19"/>
      <c r="F77" s="19"/>
      <c r="G77" s="19"/>
      <c r="H77" s="19"/>
      <c r="I77" s="19"/>
      <c r="J77" s="45"/>
      <c r="K77" s="20"/>
      <c r="U77" s="7"/>
    </row>
    <row r="78" spans="2:21" x14ac:dyDescent="0.25">
      <c r="B78" s="32" t="s">
        <v>45</v>
      </c>
      <c r="C78" s="1"/>
      <c r="D78" s="1"/>
      <c r="E78" s="1"/>
      <c r="F78" s="1"/>
      <c r="G78" s="1"/>
      <c r="H78" s="1"/>
      <c r="I78" s="1"/>
      <c r="J78" s="44"/>
      <c r="K78" s="21"/>
      <c r="U78" s="3"/>
    </row>
    <row r="79" spans="2:21" ht="19.5" thickBot="1" x14ac:dyDescent="0.3">
      <c r="B79" s="33" t="s">
        <v>44</v>
      </c>
      <c r="C79" s="22"/>
      <c r="D79" s="22"/>
      <c r="E79" s="22"/>
      <c r="F79" s="22"/>
      <c r="G79" s="22"/>
      <c r="H79" s="22"/>
      <c r="I79" s="22"/>
      <c r="J79" s="46"/>
      <c r="K79" s="23"/>
      <c r="U79" s="8"/>
    </row>
    <row r="80" spans="2:21" ht="7.5" customHeight="1" thickBot="1" x14ac:dyDescent="0.3"/>
    <row r="81" spans="2:21" ht="19.5" thickBot="1" x14ac:dyDescent="0.3">
      <c r="B81" s="30" t="s">
        <v>49</v>
      </c>
      <c r="C81" s="17"/>
      <c r="D81" s="17"/>
      <c r="E81" s="17"/>
      <c r="F81" s="17"/>
      <c r="G81" s="17"/>
      <c r="H81" s="17"/>
      <c r="I81" s="17"/>
      <c r="J81" s="47"/>
      <c r="K81" s="18"/>
      <c r="U81" s="16"/>
    </row>
  </sheetData>
  <mergeCells count="7">
    <mergeCell ref="C60:K60"/>
    <mergeCell ref="I1:U1"/>
    <mergeCell ref="C4:K4"/>
    <mergeCell ref="T4:T5"/>
    <mergeCell ref="U4:U5"/>
    <mergeCell ref="V4:V5"/>
    <mergeCell ref="J5:K5"/>
  </mergeCells>
  <printOptions horizontalCentered="1" verticalCentered="1"/>
  <pageMargins left="0.19685039370078741" right="0.19685039370078741" top="0.19685039370078741" bottom="0.19685039370078741" header="0.19685039370078741" footer="0.19685039370078741"/>
  <pageSetup paperSize="14" scale="70" orientation="portrait" horizontalDpi="360" verticalDpi="360" r:id="rId1"/>
  <colBreaks count="1" manualBreakCount="1">
    <brk id="24" max="80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19</vt:i4>
      </vt:variant>
    </vt:vector>
  </HeadingPairs>
  <TitlesOfParts>
    <vt:vector size="38" baseType="lpstr">
      <vt:lpstr>SAMPLE</vt:lpstr>
      <vt:lpstr>06-01-2026</vt:lpstr>
      <vt:lpstr>06-02-2026</vt:lpstr>
      <vt:lpstr>06-03-2026</vt:lpstr>
      <vt:lpstr>06-04-2026 </vt:lpstr>
      <vt:lpstr>06-05-2026 </vt:lpstr>
      <vt:lpstr>06-08-2026 </vt:lpstr>
      <vt:lpstr>06-09-2026</vt:lpstr>
      <vt:lpstr>06-10-2026</vt:lpstr>
      <vt:lpstr>06-11-2026</vt:lpstr>
      <vt:lpstr>06-12-2026</vt:lpstr>
      <vt:lpstr>06-15-2026 </vt:lpstr>
      <vt:lpstr>06-16-2026</vt:lpstr>
      <vt:lpstr>06-17-2026</vt:lpstr>
      <vt:lpstr>06-18-2026</vt:lpstr>
      <vt:lpstr>06-19-2026 </vt:lpstr>
      <vt:lpstr>06-22-2026</vt:lpstr>
      <vt:lpstr>06-23-2026</vt:lpstr>
      <vt:lpstr>06-24-2026</vt:lpstr>
      <vt:lpstr>'06-01-2026'!Print_Area</vt:lpstr>
      <vt:lpstr>'06-02-2026'!Print_Area</vt:lpstr>
      <vt:lpstr>'06-03-2026'!Print_Area</vt:lpstr>
      <vt:lpstr>'06-04-2026 '!Print_Area</vt:lpstr>
      <vt:lpstr>'06-05-2026 '!Print_Area</vt:lpstr>
      <vt:lpstr>'06-08-2026 '!Print_Area</vt:lpstr>
      <vt:lpstr>'06-09-2026'!Print_Area</vt:lpstr>
      <vt:lpstr>'06-10-2026'!Print_Area</vt:lpstr>
      <vt:lpstr>'06-11-2026'!Print_Area</vt:lpstr>
      <vt:lpstr>'06-12-2026'!Print_Area</vt:lpstr>
      <vt:lpstr>'06-15-2026 '!Print_Area</vt:lpstr>
      <vt:lpstr>'06-16-2026'!Print_Area</vt:lpstr>
      <vt:lpstr>'06-17-2026'!Print_Area</vt:lpstr>
      <vt:lpstr>'06-18-2026'!Print_Area</vt:lpstr>
      <vt:lpstr>'06-19-2026 '!Print_Area</vt:lpstr>
      <vt:lpstr>'06-22-2026'!Print_Area</vt:lpstr>
      <vt:lpstr>'06-23-2026'!Print_Area</vt:lpstr>
      <vt:lpstr>'06-24-2026'!Print_Area</vt:lpstr>
      <vt:lpstr>SAMPLE!Print_Area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2026-05-14T09:16:27Z</cp:lastPrinted>
  <dcterms:created xsi:type="dcterms:W3CDTF">2024-08-17T00:07:58Z</dcterms:created>
  <dcterms:modified xsi:type="dcterms:W3CDTF">2026-06-24T03:18:58Z</dcterms:modified>
</cp:coreProperties>
</file>