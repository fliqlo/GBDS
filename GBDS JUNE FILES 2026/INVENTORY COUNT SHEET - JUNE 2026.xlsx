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E0C71558-F8EF-4974-9572-5C2E031C3EC2}" xr6:coauthVersionLast="45" xr6:coauthVersionMax="45" xr10:uidLastSave="{00000000-0000-0000-0000-000000000000}"/>
  <bookViews>
    <workbookView xWindow="-120" yWindow="-120" windowWidth="29040" windowHeight="15840" firstSheet="1" activeTab="10" xr2:uid="{D34C963E-9680-4B45-A4EE-B681FF0CEC08}"/>
  </bookViews>
  <sheets>
    <sheet name="SAMPLE" sheetId="32" r:id="rId1"/>
    <sheet name="06-01-2026" sheetId="57" r:id="rId2"/>
    <sheet name="06-02-2026" sheetId="55" r:id="rId3"/>
    <sheet name="06-03-2026" sheetId="56" r:id="rId4"/>
    <sheet name="06-04-2026 " sheetId="58" r:id="rId5"/>
    <sheet name="06-05-2026 " sheetId="59" r:id="rId6"/>
    <sheet name="06-08-2026 " sheetId="60" r:id="rId7"/>
    <sheet name="06-09-2026" sheetId="61" r:id="rId8"/>
    <sheet name="06-10-2026" sheetId="62" r:id="rId9"/>
    <sheet name="06-11-2026" sheetId="63" r:id="rId10"/>
    <sheet name="06-12-2026" sheetId="64" r:id="rId11"/>
  </sheets>
  <definedNames>
    <definedName name="_xlnm.Print_Area" localSheetId="1">'06-01-2026'!$A$1:$W$59</definedName>
    <definedName name="_xlnm.Print_Area" localSheetId="2">'06-02-2026'!$A$1:$W$59</definedName>
    <definedName name="_xlnm.Print_Area" localSheetId="3">'06-03-2026'!$A$1:$W$59</definedName>
    <definedName name="_xlnm.Print_Area" localSheetId="4">'06-04-2026 '!$A$1:$W$59</definedName>
    <definedName name="_xlnm.Print_Area" localSheetId="5">'06-05-2026 '!$A$1:$W$59</definedName>
    <definedName name="_xlnm.Print_Area" localSheetId="6">'06-08-2026 '!$A$1:$W$59</definedName>
    <definedName name="_xlnm.Print_Area" localSheetId="7">'06-09-2026'!$A$1:$W$59</definedName>
    <definedName name="_xlnm.Print_Area" localSheetId="8">'06-10-2026'!$A$1:$W$59</definedName>
    <definedName name="_xlnm.Print_Area" localSheetId="9">'06-11-2026'!$A$1:$W$59</definedName>
    <definedName name="_xlnm.Print_Area" localSheetId="10">'06-12-2026'!$A$1:$W$59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64" l="1"/>
  <c r="K43" i="64"/>
  <c r="J43" i="64"/>
  <c r="C43" i="64"/>
  <c r="I43" i="64"/>
  <c r="J58" i="64"/>
  <c r="I58" i="64"/>
  <c r="K58" i="64"/>
  <c r="T40" i="64"/>
  <c r="U40" i="64" s="1"/>
  <c r="V40" i="64" s="1"/>
  <c r="C37" i="64"/>
  <c r="C25" i="64"/>
  <c r="H24" i="64"/>
  <c r="H23" i="64"/>
  <c r="T23" i="64" s="1"/>
  <c r="U23" i="64" s="1"/>
  <c r="V23" i="64" s="1"/>
  <c r="H21" i="64"/>
  <c r="T21" i="64" s="1"/>
  <c r="U21" i="64" s="1"/>
  <c r="V21" i="64" s="1"/>
  <c r="H19" i="64"/>
  <c r="T19" i="64" s="1"/>
  <c r="U19" i="64" s="1"/>
  <c r="V19" i="64" s="1"/>
  <c r="H17" i="64"/>
  <c r="T17" i="64" s="1"/>
  <c r="U17" i="64" s="1"/>
  <c r="V17" i="64" s="1"/>
  <c r="C12" i="64"/>
  <c r="C9" i="64"/>
  <c r="C8" i="64"/>
  <c r="R58" i="64"/>
  <c r="Q58" i="64"/>
  <c r="P58" i="64"/>
  <c r="O58" i="64"/>
  <c r="N58" i="64"/>
  <c r="M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U45" i="64"/>
  <c r="V45" i="64" s="1"/>
  <c r="T45" i="64"/>
  <c r="T41" i="64"/>
  <c r="U41" i="64" s="1"/>
  <c r="V41" i="64" s="1"/>
  <c r="T39" i="64"/>
  <c r="U39" i="64" s="1"/>
  <c r="V39" i="64" s="1"/>
  <c r="T38" i="64"/>
  <c r="U38" i="64" s="1"/>
  <c r="V38" i="64" s="1"/>
  <c r="T37" i="64"/>
  <c r="T36" i="64"/>
  <c r="U36" i="64" s="1"/>
  <c r="V36" i="64" s="1"/>
  <c r="T35" i="64"/>
  <c r="U35" i="64" s="1"/>
  <c r="V35" i="64" s="1"/>
  <c r="T34" i="64"/>
  <c r="U34" i="64" s="1"/>
  <c r="V34" i="64" s="1"/>
  <c r="T33" i="64"/>
  <c r="U33" i="64" s="1"/>
  <c r="V33" i="64" s="1"/>
  <c r="T32" i="64"/>
  <c r="U32" i="64" s="1"/>
  <c r="V32" i="64" s="1"/>
  <c r="U31" i="64"/>
  <c r="V31" i="64" s="1"/>
  <c r="T31" i="64"/>
  <c r="T30" i="64"/>
  <c r="U30" i="64" s="1"/>
  <c r="V30" i="64" s="1"/>
  <c r="T29" i="64"/>
  <c r="U29" i="64" s="1"/>
  <c r="V29" i="64" s="1"/>
  <c r="T28" i="64"/>
  <c r="U28" i="64" s="1"/>
  <c r="V28" i="64" s="1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A23" i="64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22" i="64"/>
  <c r="U22" i="64" s="1"/>
  <c r="V22" i="64" s="1"/>
  <c r="A22" i="64"/>
  <c r="A21" i="64"/>
  <c r="T20" i="64"/>
  <c r="U20" i="64" s="1"/>
  <c r="V20" i="64" s="1"/>
  <c r="A20" i="64"/>
  <c r="T18" i="64"/>
  <c r="U18" i="64" s="1"/>
  <c r="V18" i="64" s="1"/>
  <c r="T16" i="64"/>
  <c r="U16" i="64" s="1"/>
  <c r="V16" i="64" s="1"/>
  <c r="T15" i="64"/>
  <c r="U15" i="64" s="1"/>
  <c r="V15" i="64" s="1"/>
  <c r="A15" i="64"/>
  <c r="A16" i="64" s="1"/>
  <c r="A17" i="64" s="1"/>
  <c r="A18" i="64" s="1"/>
  <c r="T14" i="64"/>
  <c r="U14" i="64" s="1"/>
  <c r="V14" i="64" s="1"/>
  <c r="A14" i="64"/>
  <c r="T13" i="64"/>
  <c r="U13" i="64" s="1"/>
  <c r="V13" i="64" s="1"/>
  <c r="T12" i="64"/>
  <c r="U12" i="64" s="1"/>
  <c r="V12" i="64" s="1"/>
  <c r="T11" i="64"/>
  <c r="U11" i="64" s="1"/>
  <c r="V11" i="64" s="1"/>
  <c r="T10" i="64"/>
  <c r="U10" i="64" s="1"/>
  <c r="V10" i="64" s="1"/>
  <c r="T9" i="64"/>
  <c r="U8" i="64"/>
  <c r="V8" i="64" s="1"/>
  <c r="T8" i="64"/>
  <c r="A8" i="64"/>
  <c r="A9" i="64" s="1"/>
  <c r="A10" i="64" s="1"/>
  <c r="A11" i="64" s="1"/>
  <c r="T7" i="64"/>
  <c r="U47" i="64" l="1"/>
  <c r="V47" i="64" s="1"/>
  <c r="T43" i="64"/>
  <c r="U43" i="64" s="1"/>
  <c r="V43" i="64" s="1"/>
  <c r="U37" i="64"/>
  <c r="V37" i="64" s="1"/>
  <c r="U25" i="64"/>
  <c r="V25" i="64" s="1"/>
  <c r="C58" i="64"/>
  <c r="U9" i="64"/>
  <c r="V9" i="64" s="1"/>
  <c r="U7" i="64"/>
  <c r="H58" i="64"/>
  <c r="C47" i="63"/>
  <c r="J43" i="63"/>
  <c r="C43" i="63"/>
  <c r="K43" i="63"/>
  <c r="C37" i="63"/>
  <c r="C25" i="63"/>
  <c r="H24" i="63"/>
  <c r="T24" i="63" s="1"/>
  <c r="U24" i="63" s="1"/>
  <c r="V24" i="63" s="1"/>
  <c r="H23" i="63"/>
  <c r="H21" i="63"/>
  <c r="H19" i="63"/>
  <c r="T19" i="63" s="1"/>
  <c r="U19" i="63" s="1"/>
  <c r="V19" i="63" s="1"/>
  <c r="H17" i="63"/>
  <c r="C12" i="63"/>
  <c r="C9" i="63"/>
  <c r="C8" i="63"/>
  <c r="R58" i="63"/>
  <c r="T34" i="63"/>
  <c r="Q58" i="63"/>
  <c r="P58" i="63"/>
  <c r="O58" i="63"/>
  <c r="N58" i="63"/>
  <c r="M58" i="63"/>
  <c r="J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K58" i="63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1" i="63"/>
  <c r="U21" i="63" s="1"/>
  <c r="V21" i="63" s="1"/>
  <c r="A21" i="63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20" i="63"/>
  <c r="U20" i="63" s="1"/>
  <c r="V20" i="63" s="1"/>
  <c r="A20" i="63"/>
  <c r="T18" i="63"/>
  <c r="U18" i="63" s="1"/>
  <c r="V18" i="63" s="1"/>
  <c r="T16" i="63"/>
  <c r="U16" i="63" s="1"/>
  <c r="V16" i="63" s="1"/>
  <c r="T15" i="63"/>
  <c r="U15" i="63" s="1"/>
  <c r="V15" i="63" s="1"/>
  <c r="T14" i="63"/>
  <c r="U14" i="63" s="1"/>
  <c r="V14" i="63" s="1"/>
  <c r="A14" i="63"/>
  <c r="A15" i="63" s="1"/>
  <c r="A16" i="63" s="1"/>
  <c r="A17" i="63" s="1"/>
  <c r="A18" i="63" s="1"/>
  <c r="T13" i="63"/>
  <c r="U13" i="63" s="1"/>
  <c r="V13" i="63" s="1"/>
  <c r="T12" i="63"/>
  <c r="U12" i="63" s="1"/>
  <c r="V12" i="63" s="1"/>
  <c r="T11" i="63"/>
  <c r="U11" i="63" s="1"/>
  <c r="V11" i="63" s="1"/>
  <c r="T10" i="63"/>
  <c r="U10" i="63" s="1"/>
  <c r="V10" i="63" s="1"/>
  <c r="T9" i="63"/>
  <c r="U9" i="63" s="1"/>
  <c r="V9" i="63" s="1"/>
  <c r="A9" i="63"/>
  <c r="A10" i="63" s="1"/>
  <c r="A11" i="63" s="1"/>
  <c r="T8" i="63"/>
  <c r="A8" i="63"/>
  <c r="T7" i="63"/>
  <c r="T58" i="64" l="1"/>
  <c r="U58" i="64"/>
  <c r="V7" i="64"/>
  <c r="V58" i="64" s="1"/>
  <c r="U47" i="63"/>
  <c r="V47" i="63" s="1"/>
  <c r="U37" i="63"/>
  <c r="V37" i="63" s="1"/>
  <c r="C58" i="63"/>
  <c r="H58" i="63"/>
  <c r="U8" i="63"/>
  <c r="V8" i="63" s="1"/>
  <c r="U34" i="63"/>
  <c r="V34" i="63" s="1"/>
  <c r="U25" i="63"/>
  <c r="V25" i="63" s="1"/>
  <c r="T43" i="63"/>
  <c r="U43" i="63" s="1"/>
  <c r="V43" i="63" s="1"/>
  <c r="T17" i="63"/>
  <c r="U17" i="63" s="1"/>
  <c r="V17" i="63" s="1"/>
  <c r="U7" i="63"/>
  <c r="C47" i="62"/>
  <c r="K43" i="62"/>
  <c r="J43" i="62"/>
  <c r="T43" i="62" s="1"/>
  <c r="C43" i="62"/>
  <c r="C37" i="62"/>
  <c r="C34" i="62"/>
  <c r="C25" i="62"/>
  <c r="H24" i="62"/>
  <c r="T24" i="62" s="1"/>
  <c r="U24" i="62" s="1"/>
  <c r="V24" i="62" s="1"/>
  <c r="H23" i="62"/>
  <c r="H21" i="62"/>
  <c r="T21" i="62" s="1"/>
  <c r="U21" i="62" s="1"/>
  <c r="V21" i="62" s="1"/>
  <c r="H19" i="62"/>
  <c r="H17" i="62"/>
  <c r="C12" i="62"/>
  <c r="U12" i="62" s="1"/>
  <c r="V12" i="62" s="1"/>
  <c r="C9" i="62"/>
  <c r="C8" i="62"/>
  <c r="R58" i="62"/>
  <c r="Q58" i="62"/>
  <c r="P58" i="62"/>
  <c r="O58" i="62"/>
  <c r="N58" i="62"/>
  <c r="M58" i="62"/>
  <c r="I58" i="62"/>
  <c r="G58" i="62"/>
  <c r="F58" i="62"/>
  <c r="T54" i="62"/>
  <c r="U54" i="62" s="1"/>
  <c r="V54" i="62" s="1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U49" i="62"/>
  <c r="V49" i="62" s="1"/>
  <c r="T49" i="62"/>
  <c r="T48" i="62"/>
  <c r="U48" i="62" s="1"/>
  <c r="V48" i="62" s="1"/>
  <c r="T47" i="62"/>
  <c r="U47" i="62" s="1"/>
  <c r="V47" i="62" s="1"/>
  <c r="T46" i="62"/>
  <c r="U46" i="62" s="1"/>
  <c r="V46" i="62" s="1"/>
  <c r="T45" i="62"/>
  <c r="U45" i="62" s="1"/>
  <c r="V45" i="62" s="1"/>
  <c r="K58" i="62"/>
  <c r="T41" i="62"/>
  <c r="U41" i="62" s="1"/>
  <c r="V41" i="62" s="1"/>
  <c r="T40" i="62"/>
  <c r="U40" i="62" s="1"/>
  <c r="V40" i="62" s="1"/>
  <c r="U39" i="62"/>
  <c r="V39" i="62" s="1"/>
  <c r="T39" i="62"/>
  <c r="T38" i="62"/>
  <c r="U38" i="62" s="1"/>
  <c r="V38" i="62" s="1"/>
  <c r="T37" i="62"/>
  <c r="T36" i="62"/>
  <c r="U35" i="62"/>
  <c r="V35" i="62" s="1"/>
  <c r="T35" i="62"/>
  <c r="T34" i="62"/>
  <c r="U34" i="62" s="1"/>
  <c r="V34" i="62" s="1"/>
  <c r="T33" i="62"/>
  <c r="U33" i="62" s="1"/>
  <c r="V33" i="62" s="1"/>
  <c r="T32" i="62"/>
  <c r="U32" i="62" s="1"/>
  <c r="V32" i="62" s="1"/>
  <c r="T31" i="62"/>
  <c r="U31" i="62" s="1"/>
  <c r="V31" i="62" s="1"/>
  <c r="U30" i="62"/>
  <c r="V30" i="62" s="1"/>
  <c r="T30" i="62"/>
  <c r="T29" i="62"/>
  <c r="U29" i="62" s="1"/>
  <c r="V29" i="62" s="1"/>
  <c r="T28" i="62"/>
  <c r="U28" i="62" s="1"/>
  <c r="V28" i="62" s="1"/>
  <c r="T27" i="62"/>
  <c r="U27" i="62" s="1"/>
  <c r="V27" i="62" s="1"/>
  <c r="U26" i="62"/>
  <c r="V26" i="62" s="1"/>
  <c r="T26" i="62"/>
  <c r="AY25" i="62"/>
  <c r="T25" i="62"/>
  <c r="T23" i="62"/>
  <c r="U23" i="62" s="1"/>
  <c r="V23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T14" i="62"/>
  <c r="U14" i="62" s="1"/>
  <c r="V14" i="62" s="1"/>
  <c r="A14" i="62"/>
  <c r="A15" i="62" s="1"/>
  <c r="A16" i="62" s="1"/>
  <c r="A17" i="62" s="1"/>
  <c r="A18" i="62" s="1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U8" i="62"/>
  <c r="V8" i="62" s="1"/>
  <c r="A8" i="62"/>
  <c r="T7" i="62"/>
  <c r="U7" i="62" s="1"/>
  <c r="V7" i="62" s="1"/>
  <c r="U58" i="63" l="1"/>
  <c r="V7" i="63"/>
  <c r="V58" i="63" s="1"/>
  <c r="T58" i="63"/>
  <c r="J58" i="62"/>
  <c r="U43" i="62"/>
  <c r="V43" i="62" s="1"/>
  <c r="U37" i="62"/>
  <c r="V37" i="62" s="1"/>
  <c r="U36" i="62"/>
  <c r="V36" i="62" s="1"/>
  <c r="U25" i="62"/>
  <c r="V25" i="62" s="1"/>
  <c r="H58" i="62"/>
  <c r="C58" i="62"/>
  <c r="T17" i="62"/>
  <c r="U17" i="62" s="1"/>
  <c r="V17" i="62" s="1"/>
  <c r="C47" i="61"/>
  <c r="K43" i="61"/>
  <c r="J43" i="61"/>
  <c r="C43" i="61"/>
  <c r="K58" i="61"/>
  <c r="C37" i="61"/>
  <c r="C25" i="61"/>
  <c r="H24" i="61"/>
  <c r="H23" i="61"/>
  <c r="H21" i="61"/>
  <c r="T21" i="61" s="1"/>
  <c r="U21" i="61" s="1"/>
  <c r="V21" i="61" s="1"/>
  <c r="H19" i="61"/>
  <c r="H17" i="61"/>
  <c r="C12" i="61"/>
  <c r="C9" i="61"/>
  <c r="C8" i="61"/>
  <c r="R58" i="61"/>
  <c r="Q58" i="61"/>
  <c r="P58" i="61"/>
  <c r="O58" i="61"/>
  <c r="N58" i="61"/>
  <c r="M58" i="61"/>
  <c r="I58" i="61"/>
  <c r="G58" i="61"/>
  <c r="F58" i="61"/>
  <c r="T54" i="61"/>
  <c r="U54" i="61" s="1"/>
  <c r="V54" i="61" s="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T45" i="61"/>
  <c r="U45" i="61" s="1"/>
  <c r="V45" i="61" s="1"/>
  <c r="J58" i="61"/>
  <c r="T41" i="61"/>
  <c r="U41" i="6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U34" i="61" s="1"/>
  <c r="V34" i="61" s="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U28" i="61" s="1"/>
  <c r="V28" i="61" s="1"/>
  <c r="U27" i="61"/>
  <c r="V27" i="61" s="1"/>
  <c r="T27" i="61"/>
  <c r="T26" i="61"/>
  <c r="U26" i="61" s="1"/>
  <c r="V26" i="61" s="1"/>
  <c r="AY25" i="61"/>
  <c r="T25" i="61"/>
  <c r="U25" i="61" s="1"/>
  <c r="V25" i="61" s="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U20" i="61"/>
  <c r="V20" i="61" s="1"/>
  <c r="T20" i="61"/>
  <c r="A20" i="61"/>
  <c r="T19" i="61"/>
  <c r="U19" i="61" s="1"/>
  <c r="V19" i="61" s="1"/>
  <c r="T18" i="61"/>
  <c r="U18" i="61" s="1"/>
  <c r="V18" i="61" s="1"/>
  <c r="T16" i="61"/>
  <c r="U16" i="61" s="1"/>
  <c r="V16" i="61" s="1"/>
  <c r="T15" i="61"/>
  <c r="U15" i="61" s="1"/>
  <c r="V15" i="61" s="1"/>
  <c r="A15" i="61"/>
  <c r="A16" i="61" s="1"/>
  <c r="A17" i="61" s="1"/>
  <c r="A18" i="61" s="1"/>
  <c r="T14" i="61"/>
  <c r="U14" i="61" s="1"/>
  <c r="V14" i="61" s="1"/>
  <c r="A14" i="61"/>
  <c r="T13" i="61"/>
  <c r="U13" i="61" s="1"/>
  <c r="V13" i="61" s="1"/>
  <c r="T12" i="61"/>
  <c r="U12" i="61" s="1"/>
  <c r="V12" i="61" s="1"/>
  <c r="T11" i="61"/>
  <c r="U11" i="61" s="1"/>
  <c r="V11" i="61" s="1"/>
  <c r="T10" i="61"/>
  <c r="U10" i="61" s="1"/>
  <c r="V10" i="61" s="1"/>
  <c r="T9" i="61"/>
  <c r="U9" i="61"/>
  <c r="V9" i="61" s="1"/>
  <c r="A9" i="61"/>
  <c r="A10" i="61" s="1"/>
  <c r="A11" i="61" s="1"/>
  <c r="U8" i="61"/>
  <c r="V8" i="61" s="1"/>
  <c r="T8" i="61"/>
  <c r="A8" i="61"/>
  <c r="T7" i="61"/>
  <c r="V58" i="62" l="1"/>
  <c r="T58" i="62"/>
  <c r="U58" i="62"/>
  <c r="U47" i="61"/>
  <c r="V47" i="61" s="1"/>
  <c r="H58" i="61"/>
  <c r="T43" i="61"/>
  <c r="U43" i="61" s="1"/>
  <c r="V43" i="61" s="1"/>
  <c r="C58" i="61"/>
  <c r="T17" i="61"/>
  <c r="U17" i="61" s="1"/>
  <c r="V17" i="61" s="1"/>
  <c r="U7" i="61"/>
  <c r="C47" i="60"/>
  <c r="K43" i="60"/>
  <c r="K58" i="60" s="1"/>
  <c r="J43" i="60"/>
  <c r="T43" i="60" s="1"/>
  <c r="U43" i="60" s="1"/>
  <c r="V43" i="60" s="1"/>
  <c r="C43" i="60"/>
  <c r="C41" i="60"/>
  <c r="U41" i="60" s="1"/>
  <c r="V41" i="60" s="1"/>
  <c r="C37" i="60"/>
  <c r="C34" i="60"/>
  <c r="C25" i="60"/>
  <c r="H24" i="60"/>
  <c r="T24" i="60" s="1"/>
  <c r="U24" i="60" s="1"/>
  <c r="V24" i="60" s="1"/>
  <c r="H23" i="60"/>
  <c r="T23" i="60" s="1"/>
  <c r="U23" i="60" s="1"/>
  <c r="V23" i="60" s="1"/>
  <c r="H21" i="60"/>
  <c r="T21" i="60" s="1"/>
  <c r="U21" i="60" s="1"/>
  <c r="V21" i="60" s="1"/>
  <c r="H19" i="60"/>
  <c r="T19" i="60" s="1"/>
  <c r="U19" i="60" s="1"/>
  <c r="V19" i="60" s="1"/>
  <c r="H17" i="60"/>
  <c r="G58" i="60"/>
  <c r="C12" i="60"/>
  <c r="C10" i="60"/>
  <c r="C9" i="60"/>
  <c r="C8" i="60"/>
  <c r="R58" i="60"/>
  <c r="Q58" i="60"/>
  <c r="P58" i="60"/>
  <c r="O58" i="60"/>
  <c r="N58" i="60"/>
  <c r="M58" i="60"/>
  <c r="I58" i="60"/>
  <c r="F58" i="60"/>
  <c r="T54" i="60"/>
  <c r="U54" i="60" s="1"/>
  <c r="V54" i="60" s="1"/>
  <c r="T53" i="60"/>
  <c r="U53" i="60" s="1"/>
  <c r="V53" i="60" s="1"/>
  <c r="T52" i="60"/>
  <c r="U52" i="60" s="1"/>
  <c r="V52" i="60" s="1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U28" i="60" s="1"/>
  <c r="V28" i="60" s="1"/>
  <c r="U27" i="60"/>
  <c r="V27" i="60" s="1"/>
  <c r="T27" i="60"/>
  <c r="T26" i="60"/>
  <c r="U26" i="60" s="1"/>
  <c r="V26" i="60" s="1"/>
  <c r="AY25" i="60"/>
  <c r="T25" i="60"/>
  <c r="T22" i="60"/>
  <c r="U22" i="60" s="1"/>
  <c r="V22" i="60" s="1"/>
  <c r="A21" i="60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20" i="60"/>
  <c r="U20" i="60" s="1"/>
  <c r="V20" i="60" s="1"/>
  <c r="A20" i="60"/>
  <c r="T18" i="60"/>
  <c r="U18" i="60" s="1"/>
  <c r="V18" i="60" s="1"/>
  <c r="T16" i="60"/>
  <c r="U16" i="60" s="1"/>
  <c r="V16" i="60" s="1"/>
  <c r="T15" i="60"/>
  <c r="U15" i="60" s="1"/>
  <c r="V15" i="60" s="1"/>
  <c r="T14" i="60"/>
  <c r="U14" i="60" s="1"/>
  <c r="V14" i="60" s="1"/>
  <c r="A14" i="60"/>
  <c r="A15" i="60" s="1"/>
  <c r="A16" i="60" s="1"/>
  <c r="A17" i="60" s="1"/>
  <c r="A18" i="60" s="1"/>
  <c r="T12" i="60"/>
  <c r="U12" i="60" s="1"/>
  <c r="V12" i="60" s="1"/>
  <c r="T11" i="60"/>
  <c r="U11" i="60" s="1"/>
  <c r="V11" i="60" s="1"/>
  <c r="T10" i="60"/>
  <c r="T9" i="60"/>
  <c r="T8" i="60"/>
  <c r="U8" i="60" s="1"/>
  <c r="V8" i="60" s="1"/>
  <c r="A8" i="60"/>
  <c r="A9" i="60" s="1"/>
  <c r="A10" i="60" s="1"/>
  <c r="A11" i="60" s="1"/>
  <c r="T7" i="60"/>
  <c r="U7" i="60" s="1"/>
  <c r="T58" i="61" l="1"/>
  <c r="U58" i="61"/>
  <c r="V7" i="61"/>
  <c r="V58" i="61" s="1"/>
  <c r="J58" i="60"/>
  <c r="U37" i="60"/>
  <c r="V37" i="60" s="1"/>
  <c r="U25" i="60"/>
  <c r="V25" i="60" s="1"/>
  <c r="C58" i="60"/>
  <c r="H58" i="60"/>
  <c r="T13" i="60"/>
  <c r="U13" i="60" s="1"/>
  <c r="V13" i="60" s="1"/>
  <c r="U10" i="60"/>
  <c r="V10" i="60" s="1"/>
  <c r="U9" i="60"/>
  <c r="V9" i="60" s="1"/>
  <c r="T17" i="60"/>
  <c r="U17" i="60" s="1"/>
  <c r="V17" i="60" s="1"/>
  <c r="V7" i="60"/>
  <c r="C47" i="59"/>
  <c r="J43" i="59"/>
  <c r="T43" i="59" s="1"/>
  <c r="I43" i="59"/>
  <c r="C43" i="59"/>
  <c r="C41" i="59"/>
  <c r="U41" i="59" s="1"/>
  <c r="V41" i="59" s="1"/>
  <c r="C37" i="59"/>
  <c r="C25" i="59"/>
  <c r="H24" i="59"/>
  <c r="T24" i="59" s="1"/>
  <c r="U24" i="59" s="1"/>
  <c r="V24" i="59" s="1"/>
  <c r="H23" i="59"/>
  <c r="H21" i="59"/>
  <c r="H19" i="59"/>
  <c r="H17" i="59"/>
  <c r="C12" i="59"/>
  <c r="C9" i="59"/>
  <c r="C8" i="59"/>
  <c r="R58" i="59"/>
  <c r="Q58" i="59"/>
  <c r="P58" i="59"/>
  <c r="O58" i="59"/>
  <c r="N58" i="59"/>
  <c r="M58" i="59"/>
  <c r="K58" i="59"/>
  <c r="I58" i="59"/>
  <c r="G58" i="59"/>
  <c r="F58" i="59"/>
  <c r="U54" i="59"/>
  <c r="V54" i="59" s="1"/>
  <c r="T54" i="59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T46" i="59"/>
  <c r="U46" i="59" s="1"/>
  <c r="V46" i="59" s="1"/>
  <c r="T45" i="59"/>
  <c r="U45" i="59" s="1"/>
  <c r="V45" i="59" s="1"/>
  <c r="T41" i="59"/>
  <c r="T40" i="59"/>
  <c r="U40" i="59" s="1"/>
  <c r="V40" i="59" s="1"/>
  <c r="T39" i="59"/>
  <c r="U39" i="59" s="1"/>
  <c r="V39" i="59" s="1"/>
  <c r="T38" i="59"/>
  <c r="U38" i="59" s="1"/>
  <c r="V38" i="59" s="1"/>
  <c r="T37" i="59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U30" i="59"/>
  <c r="V30" i="59" s="1"/>
  <c r="T30" i="59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8" i="59"/>
  <c r="U18" i="59" s="1"/>
  <c r="V18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T11" i="59"/>
  <c r="U11" i="59" s="1"/>
  <c r="V11" i="59" s="1"/>
  <c r="T10" i="59"/>
  <c r="U10" i="59" s="1"/>
  <c r="V10" i="59" s="1"/>
  <c r="T9" i="59"/>
  <c r="T8" i="59"/>
  <c r="A8" i="59"/>
  <c r="A9" i="59" s="1"/>
  <c r="A10" i="59" s="1"/>
  <c r="A11" i="59" s="1"/>
  <c r="T7" i="59"/>
  <c r="V58" i="60" l="1"/>
  <c r="U58" i="60"/>
  <c r="T58" i="60"/>
  <c r="U47" i="59"/>
  <c r="V47" i="59" s="1"/>
  <c r="J58" i="59"/>
  <c r="U43" i="59"/>
  <c r="V43" i="59" s="1"/>
  <c r="U37" i="59"/>
  <c r="V37" i="59" s="1"/>
  <c r="U25" i="59"/>
  <c r="V25" i="59" s="1"/>
  <c r="H58" i="59"/>
  <c r="T19" i="59"/>
  <c r="U19" i="59" s="1"/>
  <c r="V19" i="59" s="1"/>
  <c r="U12" i="59"/>
  <c r="V12" i="59" s="1"/>
  <c r="C58" i="59"/>
  <c r="U8" i="59"/>
  <c r="V8" i="59" s="1"/>
  <c r="U9" i="59"/>
  <c r="V9" i="59" s="1"/>
  <c r="T17" i="59"/>
  <c r="U17" i="59" s="1"/>
  <c r="V17" i="59" s="1"/>
  <c r="U7" i="59"/>
  <c r="K43" i="58"/>
  <c r="J43" i="58"/>
  <c r="C43" i="58"/>
  <c r="U58" i="59" l="1"/>
  <c r="V7" i="59"/>
  <c r="V58" i="59" s="1"/>
  <c r="T58" i="59"/>
  <c r="C12" i="58"/>
  <c r="K58" i="58"/>
  <c r="C47" i="58"/>
  <c r="C41" i="58"/>
  <c r="C40" i="58"/>
  <c r="C37" i="58"/>
  <c r="H24" i="58"/>
  <c r="H23" i="58"/>
  <c r="T23" i="58" s="1"/>
  <c r="U23" i="58" s="1"/>
  <c r="V23" i="58" s="1"/>
  <c r="H21" i="58"/>
  <c r="H19" i="58"/>
  <c r="T19" i="58"/>
  <c r="U19" i="58" s="1"/>
  <c r="V19" i="58" s="1"/>
  <c r="H17" i="58"/>
  <c r="T17" i="58" s="1"/>
  <c r="U17" i="58" s="1"/>
  <c r="V17" i="58" s="1"/>
  <c r="C9" i="58"/>
  <c r="C8" i="58"/>
  <c r="U8" i="58" s="1"/>
  <c r="V8" i="58" s="1"/>
  <c r="R58" i="58"/>
  <c r="Q58" i="58"/>
  <c r="P58" i="58"/>
  <c r="O58" i="58"/>
  <c r="N58" i="58"/>
  <c r="M58" i="58"/>
  <c r="G58" i="58"/>
  <c r="F58" i="58"/>
  <c r="U54" i="58"/>
  <c r="V54" i="58" s="1"/>
  <c r="T54" i="58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U47" i="58" s="1"/>
  <c r="V47" i="58" s="1"/>
  <c r="T46" i="58"/>
  <c r="U46" i="58" s="1"/>
  <c r="V46" i="58" s="1"/>
  <c r="T45" i="58"/>
  <c r="U45" i="58" s="1"/>
  <c r="V45" i="58" s="1"/>
  <c r="T41" i="58"/>
  <c r="U41" i="58" s="1"/>
  <c r="V41" i="58" s="1"/>
  <c r="T40" i="58"/>
  <c r="U40" i="58" s="1"/>
  <c r="V40" i="58" s="1"/>
  <c r="T39" i="58"/>
  <c r="U39" i="58" s="1"/>
  <c r="V39" i="58" s="1"/>
  <c r="T38" i="58"/>
  <c r="U38" i="58" s="1"/>
  <c r="V38" i="58" s="1"/>
  <c r="T37" i="58"/>
  <c r="U37" i="58" s="1"/>
  <c r="V37" i="58" s="1"/>
  <c r="T36" i="58"/>
  <c r="U36" i="58" s="1"/>
  <c r="V36" i="58" s="1"/>
  <c r="T35" i="58"/>
  <c r="U35" i="58" s="1"/>
  <c r="V35" i="58" s="1"/>
  <c r="T34" i="58"/>
  <c r="U34" i="58" s="1"/>
  <c r="V34" i="58" s="1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T26" i="58"/>
  <c r="U26" i="58" s="1"/>
  <c r="V26" i="58" s="1"/>
  <c r="AY25" i="58"/>
  <c r="T25" i="58"/>
  <c r="U25" i="58" s="1"/>
  <c r="V25" i="58" s="1"/>
  <c r="T24" i="58"/>
  <c r="U24" i="58" s="1"/>
  <c r="V24" i="58" s="1"/>
  <c r="T22" i="58"/>
  <c r="U22" i="58" s="1"/>
  <c r="V22" i="58" s="1"/>
  <c r="A22" i="58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1" i="58"/>
  <c r="U21" i="58" s="1"/>
  <c r="V21" i="58" s="1"/>
  <c r="A21" i="58"/>
  <c r="T20" i="58"/>
  <c r="U20" i="58" s="1"/>
  <c r="V20" i="58" s="1"/>
  <c r="A20" i="58"/>
  <c r="T18" i="58"/>
  <c r="U18" i="58" s="1"/>
  <c r="V18" i="58" s="1"/>
  <c r="T16" i="58"/>
  <c r="U16" i="58" s="1"/>
  <c r="V16" i="58" s="1"/>
  <c r="T15" i="58"/>
  <c r="U15" i="58" s="1"/>
  <c r="V15" i="58" s="1"/>
  <c r="T14" i="58"/>
  <c r="U14" i="58" s="1"/>
  <c r="V14" i="58" s="1"/>
  <c r="A14" i="58"/>
  <c r="A15" i="58" s="1"/>
  <c r="A16" i="58" s="1"/>
  <c r="A17" i="58" s="1"/>
  <c r="A18" i="58" s="1"/>
  <c r="T13" i="58"/>
  <c r="U13" i="58" s="1"/>
  <c r="V13" i="58" s="1"/>
  <c r="T12" i="58"/>
  <c r="U12" i="58" s="1"/>
  <c r="V12" i="58" s="1"/>
  <c r="T11" i="58"/>
  <c r="U11" i="58" s="1"/>
  <c r="V11" i="58" s="1"/>
  <c r="T10" i="58"/>
  <c r="U10" i="58" s="1"/>
  <c r="V10" i="58" s="1"/>
  <c r="A10" i="58"/>
  <c r="A11" i="58" s="1"/>
  <c r="T9" i="58"/>
  <c r="A9" i="58"/>
  <c r="T8" i="58"/>
  <c r="A8" i="58"/>
  <c r="T7" i="58"/>
  <c r="T43" i="58" l="1"/>
  <c r="U43" i="58" s="1"/>
  <c r="V43" i="58" s="1"/>
  <c r="J58" i="58"/>
  <c r="I58" i="58"/>
  <c r="H58" i="58"/>
  <c r="U9" i="58"/>
  <c r="V9" i="58" s="1"/>
  <c r="C58" i="58"/>
  <c r="U7" i="58"/>
  <c r="C47" i="56"/>
  <c r="K43" i="56"/>
  <c r="J43" i="56"/>
  <c r="I43" i="56"/>
  <c r="C43" i="56"/>
  <c r="C41" i="56"/>
  <c r="C40" i="56"/>
  <c r="C37" i="56"/>
  <c r="C28" i="56"/>
  <c r="C25" i="56"/>
  <c r="H24" i="56"/>
  <c r="H23" i="56"/>
  <c r="H21" i="56"/>
  <c r="H19" i="56"/>
  <c r="H17" i="56"/>
  <c r="C12" i="56"/>
  <c r="C9" i="56"/>
  <c r="C8" i="56"/>
  <c r="C47" i="55"/>
  <c r="C43" i="55"/>
  <c r="K43" i="55"/>
  <c r="J43" i="55"/>
  <c r="C41" i="55"/>
  <c r="C40" i="55"/>
  <c r="C37" i="55"/>
  <c r="C30" i="55"/>
  <c r="C28" i="55"/>
  <c r="C25" i="55"/>
  <c r="H24" i="55"/>
  <c r="H23" i="55"/>
  <c r="H21" i="55"/>
  <c r="H17" i="55"/>
  <c r="H19" i="55"/>
  <c r="T58" i="58" l="1"/>
  <c r="U58" i="58"/>
  <c r="V7" i="58"/>
  <c r="V58" i="58" s="1"/>
  <c r="J43" i="57"/>
  <c r="C12" i="55"/>
  <c r="C9" i="55"/>
  <c r="C8" i="55" l="1"/>
  <c r="C37" i="57"/>
  <c r="C41" i="57"/>
  <c r="C43" i="57"/>
  <c r="C47" i="57"/>
  <c r="K43" i="57"/>
  <c r="H23" i="57"/>
  <c r="H21" i="57"/>
  <c r="C40" i="57"/>
  <c r="C32" i="57"/>
  <c r="C28" i="57"/>
  <c r="C25" i="57"/>
  <c r="H24" i="57"/>
  <c r="H19" i="57"/>
  <c r="C12" i="57"/>
  <c r="C9" i="57"/>
  <c r="C8" i="57"/>
  <c r="R58" i="57" l="1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U52" i="57"/>
  <c r="V52" i="57" s="1"/>
  <c r="T52" i="57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U12" i="57"/>
  <c r="V12" i="57" s="1"/>
  <c r="T12" i="57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R58" i="56"/>
  <c r="Q58" i="56"/>
  <c r="P58" i="56"/>
  <c r="O58" i="56"/>
  <c r="N58" i="56"/>
  <c r="M58" i="56"/>
  <c r="K58" i="56"/>
  <c r="J58" i="56"/>
  <c r="I58" i="56"/>
  <c r="H58" i="56"/>
  <c r="G58" i="56"/>
  <c r="F58" i="56"/>
  <c r="C58" i="56"/>
  <c r="T54" i="56"/>
  <c r="U54" i="56" s="1"/>
  <c r="V54" i="56" s="1"/>
  <c r="T53" i="56"/>
  <c r="U53" i="56" s="1"/>
  <c r="V53" i="56" s="1"/>
  <c r="U52" i="56"/>
  <c r="V52" i="56" s="1"/>
  <c r="T52" i="56"/>
  <c r="T51" i="56"/>
  <c r="U51" i="56" s="1"/>
  <c r="V51" i="56" s="1"/>
  <c r="T50" i="56"/>
  <c r="U50" i="56" s="1"/>
  <c r="V50" i="56" s="1"/>
  <c r="T49" i="56"/>
  <c r="U49" i="56" s="1"/>
  <c r="V49" i="56" s="1"/>
  <c r="T48" i="56"/>
  <c r="U48" i="56" s="1"/>
  <c r="V48" i="56" s="1"/>
  <c r="T47" i="56"/>
  <c r="U47" i="56" s="1"/>
  <c r="V47" i="56" s="1"/>
  <c r="T46" i="56"/>
  <c r="U46" i="56" s="1"/>
  <c r="V46" i="56" s="1"/>
  <c r="T45" i="56"/>
  <c r="U45" i="56" s="1"/>
  <c r="V45" i="56" s="1"/>
  <c r="T43" i="56"/>
  <c r="U43" i="56" s="1"/>
  <c r="V43" i="56" s="1"/>
  <c r="T41" i="56"/>
  <c r="U41" i="56" s="1"/>
  <c r="V41" i="56" s="1"/>
  <c r="T40" i="56"/>
  <c r="U40" i="56" s="1"/>
  <c r="V40" i="56" s="1"/>
  <c r="T39" i="56"/>
  <c r="U39" i="56" s="1"/>
  <c r="V39" i="56" s="1"/>
  <c r="T38" i="56"/>
  <c r="U38" i="56" s="1"/>
  <c r="V38" i="56" s="1"/>
  <c r="T37" i="56"/>
  <c r="U37" i="56" s="1"/>
  <c r="V37" i="56" s="1"/>
  <c r="T36" i="56"/>
  <c r="U36" i="56" s="1"/>
  <c r="V36" i="56" s="1"/>
  <c r="T35" i="56"/>
  <c r="U35" i="56" s="1"/>
  <c r="V35" i="56" s="1"/>
  <c r="T34" i="56"/>
  <c r="U34" i="56" s="1"/>
  <c r="V34" i="56" s="1"/>
  <c r="T33" i="56"/>
  <c r="U33" i="56" s="1"/>
  <c r="V33" i="56" s="1"/>
  <c r="T32" i="56"/>
  <c r="U32" i="56" s="1"/>
  <c r="V32" i="56" s="1"/>
  <c r="T31" i="56"/>
  <c r="U31" i="56" s="1"/>
  <c r="V31" i="56" s="1"/>
  <c r="T30" i="56"/>
  <c r="U30" i="56" s="1"/>
  <c r="V30" i="56" s="1"/>
  <c r="T29" i="56"/>
  <c r="U29" i="56" s="1"/>
  <c r="V29" i="56" s="1"/>
  <c r="T28" i="56"/>
  <c r="U28" i="56" s="1"/>
  <c r="V28" i="56" s="1"/>
  <c r="T27" i="56"/>
  <c r="U27" i="56" s="1"/>
  <c r="V27" i="56" s="1"/>
  <c r="T26" i="56"/>
  <c r="U26" i="56" s="1"/>
  <c r="V26" i="56" s="1"/>
  <c r="AY25" i="56"/>
  <c r="T25" i="56"/>
  <c r="U25" i="56" s="1"/>
  <c r="V25" i="56" s="1"/>
  <c r="T24" i="56"/>
  <c r="U24" i="56" s="1"/>
  <c r="V24" i="56" s="1"/>
  <c r="T23" i="56"/>
  <c r="U23" i="56" s="1"/>
  <c r="V23" i="56" s="1"/>
  <c r="T22" i="56"/>
  <c r="U22" i="56" s="1"/>
  <c r="V22" i="56" s="1"/>
  <c r="T21" i="56"/>
  <c r="U21" i="56" s="1"/>
  <c r="V21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T20" i="56"/>
  <c r="U20" i="56" s="1"/>
  <c r="V20" i="56" s="1"/>
  <c r="A20" i="56"/>
  <c r="T19" i="56"/>
  <c r="U19" i="56" s="1"/>
  <c r="V19" i="56" s="1"/>
  <c r="T18" i="56"/>
  <c r="U18" i="56" s="1"/>
  <c r="V18" i="56" s="1"/>
  <c r="T17" i="56"/>
  <c r="U17" i="56" s="1"/>
  <c r="V17" i="56" s="1"/>
  <c r="T16" i="56"/>
  <c r="U16" i="56" s="1"/>
  <c r="V16" i="56" s="1"/>
  <c r="T15" i="56"/>
  <c r="U15" i="56" s="1"/>
  <c r="V15" i="56" s="1"/>
  <c r="A15" i="56"/>
  <c r="A16" i="56" s="1"/>
  <c r="A17" i="56" s="1"/>
  <c r="A18" i="56" s="1"/>
  <c r="T14" i="56"/>
  <c r="U14" i="56" s="1"/>
  <c r="V14" i="56" s="1"/>
  <c r="A14" i="56"/>
  <c r="T13" i="56"/>
  <c r="U13" i="56" s="1"/>
  <c r="V13" i="56" s="1"/>
  <c r="T12" i="56"/>
  <c r="U12" i="56" s="1"/>
  <c r="V12" i="56" s="1"/>
  <c r="T11" i="56"/>
  <c r="U11" i="56" s="1"/>
  <c r="V11" i="56" s="1"/>
  <c r="U10" i="56"/>
  <c r="V10" i="56" s="1"/>
  <c r="T10" i="56"/>
  <c r="T9" i="56"/>
  <c r="U9" i="56" s="1"/>
  <c r="V9" i="56" s="1"/>
  <c r="A9" i="56"/>
  <c r="A10" i="56" s="1"/>
  <c r="A11" i="56" s="1"/>
  <c r="T8" i="56"/>
  <c r="U8" i="56" s="1"/>
  <c r="V8" i="56" s="1"/>
  <c r="A8" i="56"/>
  <c r="T7" i="56"/>
  <c r="U7" i="56" s="1"/>
  <c r="T58" i="57" l="1"/>
  <c r="U7" i="57"/>
  <c r="V7" i="56"/>
  <c r="V58" i="56" s="1"/>
  <c r="U58" i="56"/>
  <c r="T58" i="56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T43" i="55"/>
  <c r="U43" i="55" s="1"/>
  <c r="V43" i="55" s="1"/>
  <c r="T41" i="55"/>
  <c r="U41" i="55" s="1"/>
  <c r="V41" i="55" s="1"/>
  <c r="T40" i="55"/>
  <c r="U40" i="55" s="1"/>
  <c r="V40" i="55" s="1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T25" i="55"/>
  <c r="U25" i="55" s="1"/>
  <c r="V25" i="55" s="1"/>
  <c r="T24" i="55"/>
  <c r="U24" i="55" s="1"/>
  <c r="V24" i="55" s="1"/>
  <c r="T23" i="55"/>
  <c r="U23" i="55" s="1"/>
  <c r="V23" i="55" s="1"/>
  <c r="T22" i="55"/>
  <c r="U22" i="55" s="1"/>
  <c r="V22" i="55" s="1"/>
  <c r="T21" i="55"/>
  <c r="U21" i="55" s="1"/>
  <c r="V21" i="55" s="1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T11" i="55"/>
  <c r="U11" i="55" s="1"/>
  <c r="V11" i="55" s="1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7" l="1"/>
  <c r="V58" i="57" s="1"/>
  <c r="U58" i="57"/>
  <c r="V7" i="55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<sst xmlns="http://schemas.openxmlformats.org/spreadsheetml/2006/main" count="924" uniqueCount="74">
  <si>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</si>
  <si>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</si>
  <si>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</si>
  <si>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</si>
  <si>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</si>
  <si>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</si>
  <si>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</si>
  <si>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</si>
  <si>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</si>
  <si>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</si>
  <si>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</si>
  <si>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</si>
  <si>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</si>
  <si>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</si>
  <si>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</si>
  <si>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</si>
  <si>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</si>
  <si>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</si>
  <si>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</si>
  <si>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</si>
  <si>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</si>
  <si>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</si>
  <si>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</si>
  <si>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</si>
  <si>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</si>
  <si>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</si>
  <si>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</si>
  <si>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</si>
  <si>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</si>
  <si>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</si>
  <si>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</si>
  <si>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</si>
  <si>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</si>
  <si>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</si>
  <si>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</si>
  <si>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</si>
  <si>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</si>
  <si>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</si>
  <si>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</si>
  <si>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</si>
  <si>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</si>
  <si>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</si>
  <si>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</si>
  <si>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</si>
  <si>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</si>
  <si>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</si>
  <si>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</si>
  <si>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</si>
  <si>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</si>
  <si>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</si>
  <si>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</si>
  <si>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</si>
  <si>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</si>
  <si>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</si>
  <si>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</si>
  <si>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</si>
  <si>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</si>
  <si>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</si>
  <si>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</si>
  <si>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</si>
  <si>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</si>
  <si>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</si>
  <si>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</si>
  <si>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</si>
  <si>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</si>
  <si>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</si>
  <si>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</si>
  <si>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</si>
  <si>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</si>
  <si>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</si>
  <si>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</si>
  <si>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06/01/2026</t>
  </si>
  <si>
    <t>DATE: 06/02/2026</t>
  </si>
  <si>
    <t>DATE: 06/03/2026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</si>
</sst>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4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6" t="s">
        <v>68</v>
      </c>
      <c r="U4" s="118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7" t="s">
        <v>65</v>
      </c>
      <c r="K5" s="108"/>
      <c r="M5" s="37"/>
      <c r="N5" s="49"/>
      <c r="O5" s="40"/>
      <c r="P5" s="89"/>
      <c r="Q5" s="89"/>
      <c r="R5" s="38"/>
      <c r="S5" s="9"/>
      <c r="T5" s="117"/>
      <c r="U5" s="119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9" t="s">
        <v>41</v>
      </c>
      <c r="D62" s="110"/>
      <c r="E62" s="110"/>
      <c r="F62" s="110"/>
      <c r="G62" s="110"/>
      <c r="H62" s="110"/>
      <c r="I62" s="110"/>
      <c r="J62" s="110"/>
      <c r="K62" s="111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H23" sqref="H2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97"/>
      <c r="Q5" s="97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>
        <v>22</v>
      </c>
      <c r="O7" s="52">
        <v>1</v>
      </c>
      <c r="P7" s="53"/>
      <c r="Q7" s="53">
        <v>1</v>
      </c>
      <c r="R7" s="54"/>
      <c r="S7" s="55"/>
      <c r="T7" s="58">
        <f>H7+I7+J7+K7+N7+P7+R7</f>
        <v>31</v>
      </c>
      <c r="U7" s="58">
        <f>C7*24+M7*24+O7*24+Q7*24+T7</f>
        <v>847</v>
      </c>
      <c r="V7" s="58">
        <f>U7/24</f>
        <v>35.291666666666664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30+3+63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145+4</f>
        <v>149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3648</v>
      </c>
      <c r="V9" s="76">
        <f t="shared" ref="V9:V11" si="3">U9/24</f>
        <v>152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250+504+1440+576+5+360</f>
        <v>3135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/>
      <c r="O12" s="65">
        <v>12</v>
      </c>
      <c r="P12" s="66"/>
      <c r="Q12" s="66">
        <v>15</v>
      </c>
      <c r="R12" s="67"/>
      <c r="S12" s="62"/>
      <c r="T12" s="69">
        <f t="shared" si="0"/>
        <v>0</v>
      </c>
      <c r="U12" s="69">
        <f>C12*24+M12*24+O12*24+Q12*24+T12</f>
        <v>76320</v>
      </c>
      <c r="V12" s="69">
        <f>U12/24</f>
        <v>3180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3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1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3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6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v>1</v>
      </c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6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64+63+21</f>
        <v>148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64+45</f>
        <v>109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10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2976</v>
      </c>
      <c r="V28" s="75">
        <f t="shared" si="5"/>
        <v>124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62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f>5+1</f>
        <v>6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8</v>
      </c>
      <c r="R34" s="72"/>
      <c r="S34" s="55"/>
      <c r="T34" s="58">
        <f t="shared" si="0"/>
        <v>14</v>
      </c>
      <c r="U34" s="75">
        <f t="shared" si="4"/>
        <v>2174</v>
      </c>
      <c r="V34" s="75">
        <f t="shared" si="5"/>
        <v>90.583333333333329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1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540+324+3564+99</f>
        <v>4527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13</v>
      </c>
      <c r="N37" s="64">
        <v>1</v>
      </c>
      <c r="O37" s="65">
        <v>40</v>
      </c>
      <c r="P37" s="66"/>
      <c r="Q37" s="66">
        <v>28</v>
      </c>
      <c r="R37" s="67"/>
      <c r="S37" s="62"/>
      <c r="T37" s="77">
        <f t="shared" si="0"/>
        <v>8</v>
      </c>
      <c r="U37" s="77">
        <f>C37*6+M37*6+O37*6+Q37*6+T37</f>
        <v>27656</v>
      </c>
      <c r="V37" s="77">
        <f>U37/6</f>
        <v>4609.333333333333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64+28</f>
        <v>92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192+49</f>
        <v>241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3468</v>
      </c>
      <c r="V41" s="88">
        <f>U41/12</f>
        <v>289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4860+4104+4968+1836+8424+5508+3024+5832</f>
        <v>38556</v>
      </c>
      <c r="D43" s="65"/>
      <c r="E43" s="65"/>
      <c r="F43" s="65"/>
      <c r="G43" s="65"/>
      <c r="H43" s="65"/>
      <c r="I43" s="65">
        <v>7</v>
      </c>
      <c r="J43" s="66">
        <f>8*6+1</f>
        <v>49</v>
      </c>
      <c r="K43" s="67">
        <f>69*6+7</f>
        <v>421</v>
      </c>
      <c r="L43" s="62"/>
      <c r="M43" s="63">
        <v>580</v>
      </c>
      <c r="N43" s="64"/>
      <c r="O43" s="65">
        <v>363</v>
      </c>
      <c r="P43" s="66"/>
      <c r="Q43" s="66">
        <v>547</v>
      </c>
      <c r="R43" s="67"/>
      <c r="S43" s="62"/>
      <c r="T43" s="77">
        <f t="shared" ref="T43" si="6">H43+I43+J43+K43+N43+P43+R43</f>
        <v>477</v>
      </c>
      <c r="U43" s="77">
        <f>C43*6+M43*6+O43*6+Q43*6+T43</f>
        <v>240753</v>
      </c>
      <c r="V43" s="77">
        <f>U43/6</f>
        <v>40125.5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432+106+2160+74+22</f>
        <v>2794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1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10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50154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1133</v>
      </c>
      <c r="I58" s="6">
        <f t="shared" si="11"/>
        <v>19</v>
      </c>
      <c r="J58" s="6">
        <f t="shared" si="11"/>
        <v>51</v>
      </c>
      <c r="K58" s="6">
        <f t="shared" si="11"/>
        <v>457</v>
      </c>
      <c r="M58" s="5">
        <f t="shared" ref="M58:R58" si="12">SUM(M7:M57)</f>
        <v>649</v>
      </c>
      <c r="N58" s="5">
        <f t="shared" si="12"/>
        <v>23</v>
      </c>
      <c r="O58" s="5">
        <f t="shared" si="12"/>
        <v>440</v>
      </c>
      <c r="P58" s="5">
        <f t="shared" si="12"/>
        <v>28</v>
      </c>
      <c r="Q58" s="5">
        <f t="shared" si="12"/>
        <v>642</v>
      </c>
      <c r="R58" s="5">
        <f t="shared" si="12"/>
        <v>3</v>
      </c>
      <c r="S58" s="55"/>
      <c r="T58" s="4">
        <f>SUM(T7:T57)</f>
        <v>1714</v>
      </c>
      <c r="U58" s="90">
        <f>SUM(U7:U57)</f>
        <v>388558</v>
      </c>
      <c r="V58" s="4">
        <f>SUM(V7:V57)</f>
        <v>52018.666666666664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96"/>
      <c r="Q5" s="96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>
        <v>2</v>
      </c>
      <c r="N7" s="57"/>
      <c r="O7" s="52">
        <v>1</v>
      </c>
      <c r="P7" s="53"/>
      <c r="Q7" s="53">
        <v>11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30+63+3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54+90</f>
        <v>144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3576</v>
      </c>
      <c r="V9" s="76">
        <f t="shared" ref="V9:V11" si="3">U9/24</f>
        <v>149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34+144+72+504+1440+576+360</f>
        <v>3130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>
        <v>12</v>
      </c>
      <c r="O12" s="65">
        <v>13</v>
      </c>
      <c r="P12" s="66">
        <v>12</v>
      </c>
      <c r="Q12" s="66">
        <v>5</v>
      </c>
      <c r="R12" s="67"/>
      <c r="S12" s="62"/>
      <c r="T12" s="69">
        <f t="shared" si="0"/>
        <v>24</v>
      </c>
      <c r="U12" s="69">
        <f>C12*24+M12*24+O12*24+Q12*24+T12</f>
        <v>75840</v>
      </c>
      <c r="V12" s="69">
        <f>U12/24</f>
        <v>3160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>
        <v>1</v>
      </c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>
        <v>1</v>
      </c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>
        <v>1</v>
      </c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>
        <v>1</v>
      </c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>
        <v>1</v>
      </c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>
        <v>1</v>
      </c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>
        <v>1</v>
      </c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63+63+21</f>
        <v>147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2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63+34</f>
        <v>97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2640</v>
      </c>
      <c r="V28" s="75">
        <f t="shared" si="5"/>
        <v>110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10</v>
      </c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f>10+3</f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2</v>
      </c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1910</v>
      </c>
      <c r="V34" s="75">
        <f t="shared" si="5"/>
        <v>79.583333333333329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>
        <v>1</v>
      </c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540+3456+64+324</f>
        <v>4384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20</v>
      </c>
      <c r="N37" s="64"/>
      <c r="O37" s="65">
        <v>24</v>
      </c>
      <c r="P37" s="66"/>
      <c r="Q37" s="66">
        <v>102</v>
      </c>
      <c r="R37" s="67"/>
      <c r="S37" s="62"/>
      <c r="T37" s="77">
        <f t="shared" si="0"/>
        <v>7</v>
      </c>
      <c r="U37" s="77">
        <f>C37*6+M37*6+O37*6+Q37*6+T37</f>
        <v>27187</v>
      </c>
      <c r="V37" s="77">
        <f>U37/6</f>
        <v>4531.166666666667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63+28</f>
        <v>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192+39</f>
        <v>231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3204</v>
      </c>
      <c r="V41" s="88">
        <f>U41/12</f>
        <v>267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7776+4212+3024+8424+5508+3024+5832</f>
        <v>37800</v>
      </c>
      <c r="D43" s="65"/>
      <c r="E43" s="65"/>
      <c r="F43" s="65"/>
      <c r="G43" s="65"/>
      <c r="H43" s="65"/>
      <c r="I43" s="65">
        <v>7</v>
      </c>
      <c r="J43" s="66">
        <f>6*9+1</f>
        <v>55</v>
      </c>
      <c r="K43" s="67">
        <f>69*6+7</f>
        <v>421</v>
      </c>
      <c r="L43" s="62"/>
      <c r="M43" s="63">
        <v>334</v>
      </c>
      <c r="N43" s="64"/>
      <c r="O43" s="65">
        <v>411</v>
      </c>
      <c r="P43" s="66"/>
      <c r="Q43" s="66">
        <v>348</v>
      </c>
      <c r="R43" s="67"/>
      <c r="S43" s="62"/>
      <c r="T43" s="77">
        <f t="shared" ref="T43" si="6">H43+I43+J43+K43+N43+P43+R43</f>
        <v>483</v>
      </c>
      <c r="U43" s="77">
        <f>C43*6+M43*6+O43*6+Q43*6+T43</f>
        <v>233841</v>
      </c>
      <c r="V43" s="77">
        <f>U43/6</f>
        <v>38973.5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432+106+22+2160+71</f>
        <v>2791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12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>
        <v>1</v>
      </c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49169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1181</v>
      </c>
      <c r="I58" s="6">
        <f t="shared" si="11"/>
        <v>19</v>
      </c>
      <c r="J58" s="6">
        <f t="shared" si="11"/>
        <v>65</v>
      </c>
      <c r="K58" s="6">
        <f t="shared" si="11"/>
        <v>449</v>
      </c>
      <c r="M58" s="5">
        <f t="shared" ref="M58:R58" si="12">SUM(M7:M57)</f>
        <v>383</v>
      </c>
      <c r="N58" s="5">
        <f t="shared" si="12"/>
        <v>12</v>
      </c>
      <c r="O58" s="5">
        <f t="shared" si="12"/>
        <v>466</v>
      </c>
      <c r="P58" s="5">
        <f t="shared" si="12"/>
        <v>40</v>
      </c>
      <c r="Q58" s="5">
        <f t="shared" si="12"/>
        <v>560</v>
      </c>
      <c r="R58" s="5">
        <f t="shared" si="12"/>
        <v>3</v>
      </c>
      <c r="S58" s="55"/>
      <c r="T58" s="4">
        <f>SUM(T7:T57)</f>
        <v>1769</v>
      </c>
      <c r="U58" s="90">
        <f>SUM(U7:U57)</f>
        <v>379667</v>
      </c>
      <c r="V58" s="4">
        <f>SUM(V7:V57)</f>
        <v>50714.583333333336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C253-41DB-4918-B98F-2A65359497C9}">
  <sheetPr>
    <pageSetUpPr fitToPage="1"/>
  </sheetPr>
  <dimension ref="A1:BB81"/>
  <sheetViews>
    <sheetView topLeftCell="A40" zoomScaleNormal="100" zoomScaleSheetLayoutView="115" workbookViewId="0">
      <selection activeCell="Q67" sqref="Q6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97"/>
      <c r="Q5" s="97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90+53</f>
        <v>143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3456</v>
      </c>
      <c r="V9" s="76">
        <f t="shared" ref="V9:V11" si="3">U9/24</f>
        <v>144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792</v>
      </c>
      <c r="V10" s="58">
        <f t="shared" si="3"/>
        <v>33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720+34+288+576+47+1440</f>
        <v>3105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26</v>
      </c>
      <c r="N12" s="64"/>
      <c r="O12" s="65">
        <v>10</v>
      </c>
      <c r="P12" s="66">
        <v>12</v>
      </c>
      <c r="Q12" s="66">
        <v>4</v>
      </c>
      <c r="R12" s="67"/>
      <c r="S12" s="62"/>
      <c r="T12" s="69">
        <f t="shared" si="0"/>
        <v>12</v>
      </c>
      <c r="U12" s="69">
        <f>C12*24+M12*24+O12*24+Q12*24+T12</f>
        <v>75492</v>
      </c>
      <c r="V12" s="69">
        <f>U12/24</f>
        <v>3145.5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126+19</f>
        <v>145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3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31+63</f>
        <v>94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2400</v>
      </c>
      <c r="V28" s="75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3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1862</v>
      </c>
      <c r="V34" s="75">
        <f t="shared" si="5"/>
        <v>77.583333333333329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864+3456+54</f>
        <v>4374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19</v>
      </c>
      <c r="N37" s="64"/>
      <c r="O37" s="65">
        <v>23</v>
      </c>
      <c r="P37" s="66"/>
      <c r="Q37" s="66">
        <v>28</v>
      </c>
      <c r="R37" s="67"/>
      <c r="S37" s="62"/>
      <c r="T37" s="77">
        <f t="shared" si="0"/>
        <v>7</v>
      </c>
      <c r="U37" s="77">
        <f>C37*6+M37*6+O37*6+Q37*6+T37</f>
        <v>26671</v>
      </c>
      <c r="V37" s="77">
        <f>U37/6</f>
        <v>4445.166666666667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63+26</f>
        <v>89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3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2264</v>
      </c>
      <c r="V40" s="77">
        <f>U40/24</f>
        <v>94.333333333333329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192+34</f>
        <v>226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13</v>
      </c>
      <c r="N41" s="87"/>
      <c r="O41" s="82">
        <v>6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2940</v>
      </c>
      <c r="V41" s="88">
        <f>U41/12</f>
        <v>245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7776+3456+3024+8424+5508+3024+5832</f>
        <v>37044</v>
      </c>
      <c r="D43" s="65"/>
      <c r="E43" s="65"/>
      <c r="F43" s="65"/>
      <c r="G43" s="65"/>
      <c r="H43" s="65"/>
      <c r="I43" s="65">
        <f>7</f>
        <v>7</v>
      </c>
      <c r="J43" s="66">
        <f>6*9+1</f>
        <v>55</v>
      </c>
      <c r="K43" s="67">
        <f>69*6+7</f>
        <v>421</v>
      </c>
      <c r="L43" s="62"/>
      <c r="M43" s="63">
        <v>469</v>
      </c>
      <c r="N43" s="64"/>
      <c r="O43" s="65">
        <v>398</v>
      </c>
      <c r="P43" s="66"/>
      <c r="Q43" s="66">
        <v>2</v>
      </c>
      <c r="R43" s="67"/>
      <c r="S43" s="62"/>
      <c r="T43" s="77">
        <f t="shared" ref="T43" si="6">H43+I43+J43+K43+N43+P43+R43</f>
        <v>483</v>
      </c>
      <c r="U43" s="77">
        <f>C43*6+M43*6+O43*6+Q43*6+T43</f>
        <v>227961</v>
      </c>
      <c r="V43" s="77">
        <f>U43/6</f>
        <v>37993.5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8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16801</v>
      </c>
      <c r="V47" s="77">
        <f>U47/6</f>
        <v>2800.1666666666665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48350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1185</v>
      </c>
      <c r="I58" s="6">
        <f t="shared" si="11"/>
        <v>38</v>
      </c>
      <c r="J58" s="6">
        <f t="shared" si="11"/>
        <v>58</v>
      </c>
      <c r="K58" s="6">
        <f t="shared" si="11"/>
        <v>457</v>
      </c>
      <c r="M58" s="5">
        <f t="shared" ref="M58:R58" si="12">SUM(M7:M57)</f>
        <v>554</v>
      </c>
      <c r="N58" s="5">
        <f t="shared" si="12"/>
        <v>0</v>
      </c>
      <c r="O58" s="5">
        <f t="shared" si="12"/>
        <v>449</v>
      </c>
      <c r="P58" s="5">
        <f t="shared" si="12"/>
        <v>40</v>
      </c>
      <c r="Q58" s="5">
        <f t="shared" si="12"/>
        <v>46</v>
      </c>
      <c r="R58" s="5">
        <f t="shared" si="12"/>
        <v>3</v>
      </c>
      <c r="S58" s="55"/>
      <c r="T58" s="4">
        <f>SUM(T7:T57)</f>
        <v>1781</v>
      </c>
      <c r="U58" s="90">
        <f>SUM(U7:U57)</f>
        <v>371015</v>
      </c>
      <c r="V58" s="4">
        <f>SUM(V7:V57)</f>
        <v>49536.083333333336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B8CD2-395D-43D6-BA4D-0BFC9B6269E5}">
  <sheetPr>
    <pageSetUpPr fitToPage="1"/>
  </sheetPr>
  <dimension ref="A1:BB81"/>
  <sheetViews>
    <sheetView topLeftCell="A34" zoomScaleNormal="100" zoomScaleSheetLayoutView="115" workbookViewId="0">
      <selection activeCell="AC54" sqref="A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98"/>
      <c r="Q5" s="98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3432</v>
      </c>
      <c r="V9" s="76">
        <f t="shared" ref="V9:V11" si="3">U9/24</f>
        <v>143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7</v>
      </c>
      <c r="R10" s="72"/>
      <c r="S10" s="55"/>
      <c r="T10" s="58">
        <f t="shared" si="0"/>
        <v>0</v>
      </c>
      <c r="U10" s="58">
        <f t="shared" si="2"/>
        <v>768</v>
      </c>
      <c r="V10" s="58">
        <f t="shared" si="3"/>
        <v>32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720+34+1440+288+576+19</f>
        <v>3077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10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75168</v>
      </c>
      <c r="V12" s="69">
        <f>U12/24</f>
        <v>3132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126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20</v>
      </c>
      <c r="R25" s="72"/>
      <c r="S25" s="55"/>
      <c r="T25" s="58">
        <f t="shared" si="0"/>
        <v>1</v>
      </c>
      <c r="U25" s="75">
        <f t="shared" si="4"/>
        <v>3529</v>
      </c>
      <c r="V25" s="75">
        <f t="shared" si="5"/>
        <v>147.04166666666666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27</v>
      </c>
      <c r="N28" s="74"/>
      <c r="O28" s="70">
        <v>2</v>
      </c>
      <c r="P28" s="71"/>
      <c r="Q28" s="71">
        <v>20</v>
      </c>
      <c r="R28" s="72"/>
      <c r="S28" s="55"/>
      <c r="T28" s="58">
        <f t="shared" si="0"/>
        <v>0</v>
      </c>
      <c r="U28" s="75">
        <f t="shared" si="4"/>
        <v>2352</v>
      </c>
      <c r="V28" s="75">
        <f t="shared" si="5"/>
        <v>98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864+3240+44</f>
        <v>4148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127</v>
      </c>
      <c r="N37" s="64"/>
      <c r="O37" s="65">
        <v>23</v>
      </c>
      <c r="P37" s="66"/>
      <c r="Q37" s="66">
        <v>136</v>
      </c>
      <c r="R37" s="67"/>
      <c r="S37" s="62"/>
      <c r="T37" s="77">
        <f t="shared" si="0"/>
        <v>7</v>
      </c>
      <c r="U37" s="77">
        <f>C37*6+M37*6+O37*6+Q37*6+T37</f>
        <v>26611</v>
      </c>
      <c r="V37" s="77">
        <f>U37/6</f>
        <v>4435.166666666667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63+24</f>
        <v>87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2240</v>
      </c>
      <c r="V40" s="77">
        <f>U40/24</f>
        <v>93.333333333333329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96+60</f>
        <v>156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58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2880</v>
      </c>
      <c r="V41" s="88">
        <f>U41/12</f>
        <v>240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7776+2484+72+3024+8424+5508+3024+5832</f>
        <v>36144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399</v>
      </c>
      <c r="N43" s="64"/>
      <c r="O43" s="65">
        <v>387</v>
      </c>
      <c r="P43" s="66"/>
      <c r="Q43" s="66">
        <v>541</v>
      </c>
      <c r="R43" s="67"/>
      <c r="S43" s="62"/>
      <c r="T43" s="77">
        <f t="shared" ref="T43" si="6">H43+I43+J43+K43+N43+P43+R43</f>
        <v>489</v>
      </c>
      <c r="U43" s="77">
        <f>C43*6+M43*6+O43*6+Q43*6+T43</f>
        <v>225315</v>
      </c>
      <c r="V43" s="77">
        <f>U43/6</f>
        <v>37552.5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16789</v>
      </c>
      <c r="V47" s="77">
        <f>U47/6</f>
        <v>2798.1666666666665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47046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38</v>
      </c>
      <c r="J58" s="6">
        <f t="shared" si="11"/>
        <v>65</v>
      </c>
      <c r="K58" s="6">
        <f t="shared" si="11"/>
        <v>457</v>
      </c>
      <c r="M58" s="5">
        <f t="shared" ref="M58:R58" si="12">SUM(M7:M57)</f>
        <v>645</v>
      </c>
      <c r="N58" s="5">
        <f t="shared" si="12"/>
        <v>0</v>
      </c>
      <c r="O58" s="5">
        <f t="shared" si="12"/>
        <v>441</v>
      </c>
      <c r="P58" s="5">
        <f t="shared" si="12"/>
        <v>28</v>
      </c>
      <c r="Q58" s="5">
        <f t="shared" si="12"/>
        <v>785</v>
      </c>
      <c r="R58" s="5">
        <f t="shared" si="12"/>
        <v>3</v>
      </c>
      <c r="S58" s="55"/>
      <c r="T58" s="4">
        <f>SUM(T7:T57)</f>
        <v>1775</v>
      </c>
      <c r="U58" s="90">
        <f>SUM(U7:U57)</f>
        <v>367673</v>
      </c>
      <c r="V58" s="4">
        <f>SUM(V7:V57)</f>
        <v>49054.583333333336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73CE5-2315-4869-BE9F-BD6543F78682}">
  <sheetPr>
    <pageSetUpPr fitToPage="1"/>
  </sheetPr>
  <dimension ref="A1:BB81"/>
  <sheetViews>
    <sheetView topLeftCell="A31" zoomScaleNormal="100" zoomScaleSheetLayoutView="115" workbookViewId="0">
      <selection activeCell="AC52" sqref="AC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99"/>
      <c r="Q5" s="99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</f>
        <v>3058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9</v>
      </c>
      <c r="P12" s="66"/>
      <c r="Q12" s="66">
        <v>19</v>
      </c>
      <c r="R12" s="67"/>
      <c r="S12" s="62"/>
      <c r="T12" s="69">
        <f t="shared" si="0"/>
        <v>12</v>
      </c>
      <c r="U12" s="69">
        <f>C12*24+M12*24+O12*24+Q12*24+T12</f>
        <v>74172</v>
      </c>
      <c r="V12" s="69">
        <f>U12/24</f>
        <v>3090.5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63+61</f>
        <v>124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3049</v>
      </c>
      <c r="V25" s="75">
        <f t="shared" si="5"/>
        <v>127.04166666666667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1248</v>
      </c>
      <c r="V28" s="75">
        <f t="shared" si="5"/>
        <v>52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864+3132+68</f>
        <v>4064</v>
      </c>
      <c r="D37" s="59"/>
      <c r="E37" s="59"/>
      <c r="F37" s="59"/>
      <c r="G37" s="59"/>
      <c r="H37" s="59">
        <v>2</v>
      </c>
      <c r="I37" s="59"/>
      <c r="J37" s="60">
        <v>2</v>
      </c>
      <c r="K37" s="61">
        <v>3</v>
      </c>
      <c r="L37" s="62"/>
      <c r="M37" s="63">
        <v>10</v>
      </c>
      <c r="N37" s="64"/>
      <c r="O37" s="65">
        <v>30</v>
      </c>
      <c r="P37" s="66"/>
      <c r="Q37" s="66">
        <v>55</v>
      </c>
      <c r="R37" s="67"/>
      <c r="S37" s="62"/>
      <c r="T37" s="77">
        <f t="shared" si="0"/>
        <v>7</v>
      </c>
      <c r="U37" s="77">
        <f>C37*6+M37*6+O37*6+Q37*6+T37</f>
        <v>24961</v>
      </c>
      <c r="V37" s="77">
        <f>U37/6</f>
        <v>4160.166666666667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96+40</f>
        <v>136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5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2028</v>
      </c>
      <c r="V41" s="88">
        <f>U41/12</f>
        <v>169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7776+1836+3024+8424+5508+3024+5832</f>
        <v>35424</v>
      </c>
      <c r="D43" s="65"/>
      <c r="E43" s="65"/>
      <c r="F43" s="65"/>
      <c r="G43" s="65"/>
      <c r="H43" s="65">
        <v>7</v>
      </c>
      <c r="I43" s="65">
        <f>10*6+1</f>
        <v>61</v>
      </c>
      <c r="J43" s="66">
        <f>69*6+7</f>
        <v>421</v>
      </c>
      <c r="K43" s="67"/>
      <c r="L43" s="62"/>
      <c r="M43" s="63">
        <v>29</v>
      </c>
      <c r="N43" s="64"/>
      <c r="O43" s="65">
        <v>378</v>
      </c>
      <c r="P43" s="66"/>
      <c r="Q43" s="66">
        <v>434</v>
      </c>
      <c r="R43" s="67"/>
      <c r="S43" s="62"/>
      <c r="T43" s="77">
        <f t="shared" ref="T43" si="6">H43+I43+J43+K43+N43+P43+R43</f>
        <v>489</v>
      </c>
      <c r="U43" s="77">
        <f>C43*6+M43*6+O43*6+Q43*6+T43</f>
        <v>218079</v>
      </c>
      <c r="V43" s="77">
        <f>U43/6</f>
        <v>36346.5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14+432+106+71+2160</f>
        <v>2783</v>
      </c>
      <c r="D47" s="65"/>
      <c r="E47" s="65"/>
      <c r="F47" s="65"/>
      <c r="G47" s="65"/>
      <c r="H47" s="65">
        <v>1</v>
      </c>
      <c r="I47" s="65">
        <v>1</v>
      </c>
      <c r="J47" s="66"/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46132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92</v>
      </c>
      <c r="J58" s="6">
        <f t="shared" si="11"/>
        <v>423</v>
      </c>
      <c r="K58" s="6">
        <f t="shared" si="11"/>
        <v>36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433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1787</v>
      </c>
      <c r="U58" s="90">
        <f>SUM(U7:U57)</f>
        <v>353441</v>
      </c>
      <c r="V58" s="4">
        <f>SUM(V7:V57)</f>
        <v>47313.083333333328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DA74C-20E5-4035-B6CA-2758DFD4669B}">
  <sheetPr>
    <pageSetUpPr fitToPage="1"/>
  </sheetPr>
  <dimension ref="A1:BB81"/>
  <sheetViews>
    <sheetView topLeftCell="A34" zoomScaleNormal="100" zoomScaleSheetLayoutView="115" workbookViewId="0">
      <selection activeCell="AB58" sqref="AB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0"/>
      <c r="Q5" s="100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16+7</f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720+34+1440+216+576+47</f>
        <v>3033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15</v>
      </c>
      <c r="P12" s="66"/>
      <c r="Q12" s="66">
        <v>20</v>
      </c>
      <c r="R12" s="67">
        <v>12</v>
      </c>
      <c r="S12" s="62"/>
      <c r="T12" s="69">
        <f t="shared" si="0"/>
        <v>24</v>
      </c>
      <c r="U12" s="69">
        <f>C12*24+M12*24+O12*24+Q12*24+T12</f>
        <v>73752</v>
      </c>
      <c r="V12" s="69">
        <f>U12/24</f>
        <v>3073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3001</v>
      </c>
      <c r="V25" s="75">
        <f t="shared" si="5"/>
        <v>125.04166666666667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1152</v>
      </c>
      <c r="V28" s="75">
        <f t="shared" si="5"/>
        <v>48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65+1</f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864+3024+82</f>
        <v>3970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10</v>
      </c>
      <c r="N37" s="64"/>
      <c r="O37" s="65">
        <v>50</v>
      </c>
      <c r="P37" s="66"/>
      <c r="Q37" s="66">
        <v>77</v>
      </c>
      <c r="R37" s="67"/>
      <c r="S37" s="62"/>
      <c r="T37" s="77">
        <f t="shared" si="0"/>
        <v>7</v>
      </c>
      <c r="U37" s="77">
        <f>C37*6+M37*6+O37*6+Q37*6+T37</f>
        <v>24649</v>
      </c>
      <c r="V37" s="77">
        <f>U37/6</f>
        <v>4108.166666666667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96+17</f>
        <v>113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8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1740</v>
      </c>
      <c r="V41" s="88">
        <f>U41/12</f>
        <v>145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7776+864+52+3024+8424+5508+3024+5832</f>
        <v>34504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29</v>
      </c>
      <c r="N43" s="64"/>
      <c r="O43" s="65">
        <v>482</v>
      </c>
      <c r="P43" s="66"/>
      <c r="Q43" s="66">
        <v>477</v>
      </c>
      <c r="R43" s="67"/>
      <c r="S43" s="62"/>
      <c r="T43" s="77">
        <f t="shared" ref="T43" si="6">H43+I43+J43+K43+N43+P43+R43</f>
        <v>489</v>
      </c>
      <c r="U43" s="77">
        <f>C43*6+M43*6+O43*6+Q43*6+T43</f>
        <v>213441</v>
      </c>
      <c r="V43" s="77">
        <f>U43/6</f>
        <v>35573.5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45063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39</v>
      </c>
      <c r="J58" s="6">
        <f t="shared" si="11"/>
        <v>64</v>
      </c>
      <c r="K58" s="6">
        <f t="shared" si="11"/>
        <v>457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566</v>
      </c>
      <c r="P58" s="5">
        <f t="shared" si="12"/>
        <v>28</v>
      </c>
      <c r="Q58" s="5">
        <f t="shared" si="12"/>
        <v>609</v>
      </c>
      <c r="R58" s="5">
        <f t="shared" si="12"/>
        <v>15</v>
      </c>
      <c r="S58" s="55"/>
      <c r="T58" s="4">
        <f>SUM(T7:T57)</f>
        <v>1799</v>
      </c>
      <c r="U58" s="90">
        <f>SUM(U7:U57)</f>
        <v>347567</v>
      </c>
      <c r="V58" s="4">
        <f>SUM(V7:V57)</f>
        <v>46437.583333333328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C2308-B0E6-4A75-AB2A-FD7C2169E77B}">
  <sheetPr>
    <pageSetUpPr fitToPage="1"/>
  </sheetPr>
  <dimension ref="A1:BB81"/>
  <sheetViews>
    <sheetView topLeftCell="A37" zoomScaleNormal="100" zoomScaleSheetLayoutView="115" workbookViewId="0">
      <selection activeCell="P62" sqref="P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1"/>
      <c r="Q5" s="101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90+47</f>
        <v>137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21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720+34+1440+216+576+19</f>
        <v>3005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73140</v>
      </c>
      <c r="V12" s="69">
        <f>U12/24</f>
        <v>3047.5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33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7</v>
      </c>
      <c r="R28" s="72"/>
      <c r="S28" s="55"/>
      <c r="T28" s="58">
        <f t="shared" si="0"/>
        <v>0</v>
      </c>
      <c r="U28" s="75">
        <f t="shared" si="4"/>
        <v>1032</v>
      </c>
      <c r="V28" s="75">
        <f t="shared" si="5"/>
        <v>43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864+2916+58</f>
        <v>3838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21</v>
      </c>
      <c r="N37" s="64"/>
      <c r="O37" s="65">
        <v>30</v>
      </c>
      <c r="P37" s="66"/>
      <c r="Q37" s="66">
        <v>109</v>
      </c>
      <c r="R37" s="67"/>
      <c r="S37" s="62"/>
      <c r="T37" s="77">
        <f t="shared" si="0"/>
        <v>7</v>
      </c>
      <c r="U37" s="77">
        <f>C37*6+M37*6+O37*6+Q37*6+T37</f>
        <v>23995</v>
      </c>
      <c r="V37" s="77">
        <f>U37/6</f>
        <v>3999.1666666666665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84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4</v>
      </c>
      <c r="P41" s="83"/>
      <c r="Q41" s="83">
        <v>35</v>
      </c>
      <c r="R41" s="84"/>
      <c r="S41" s="85"/>
      <c r="T41" s="88">
        <f t="shared" si="0"/>
        <v>0</v>
      </c>
      <c r="U41" s="88">
        <f>C41*12+M41*12+O41*12+Q41*12+T41</f>
        <v>1572</v>
      </c>
      <c r="V41" s="88">
        <f>U41/12</f>
        <v>131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7776+3024+8424+5508+3024+5616+52</f>
        <v>33424</v>
      </c>
      <c r="D43" s="65"/>
      <c r="E43" s="65"/>
      <c r="F43" s="65"/>
      <c r="G43" s="65"/>
      <c r="H43" s="65">
        <v>3</v>
      </c>
      <c r="I43" s="65">
        <v>7</v>
      </c>
      <c r="J43" s="66">
        <f>10*6+4</f>
        <v>64</v>
      </c>
      <c r="K43" s="67">
        <f>69*6+7</f>
        <v>421</v>
      </c>
      <c r="L43" s="62"/>
      <c r="M43" s="63">
        <v>333</v>
      </c>
      <c r="N43" s="64"/>
      <c r="O43" s="65">
        <v>368</v>
      </c>
      <c r="P43" s="66"/>
      <c r="Q43" s="66">
        <v>493</v>
      </c>
      <c r="R43" s="67"/>
      <c r="S43" s="62"/>
      <c r="T43" s="77">
        <f t="shared" ref="T43" si="6">H43+I43+J43+K43+N43+P43+R43</f>
        <v>495</v>
      </c>
      <c r="U43" s="77">
        <f>C43*6+M43*6+O43*6+Q43*6+T43</f>
        <v>208203</v>
      </c>
      <c r="V43" s="77">
        <f>U43/6</f>
        <v>34700.5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43762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67</v>
      </c>
      <c r="K58" s="6">
        <f t="shared" si="11"/>
        <v>457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430</v>
      </c>
      <c r="P58" s="5">
        <f t="shared" si="12"/>
        <v>28</v>
      </c>
      <c r="Q58" s="5">
        <f t="shared" si="12"/>
        <v>687</v>
      </c>
      <c r="R58" s="5">
        <f t="shared" si="12"/>
        <v>3</v>
      </c>
      <c r="S58" s="55"/>
      <c r="T58" s="4">
        <f>SUM(T7:T57)</f>
        <v>1793</v>
      </c>
      <c r="U58" s="90">
        <f>SUM(U7:U57)</f>
        <v>340751</v>
      </c>
      <c r="V58" s="4">
        <f>SUM(V7:V57)</f>
        <v>45410.083333333328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FA4E-6F18-47E1-BB68-EA59840B35B2}">
  <sheetPr>
    <pageSetUpPr fitToPage="1"/>
  </sheetPr>
  <dimension ref="A1:BB81"/>
  <sheetViews>
    <sheetView topLeftCell="A36" zoomScaleNormal="100" zoomScaleSheetLayoutView="115" workbookViewId="0">
      <selection activeCell="V62" sqref="V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2"/>
      <c r="Q5" s="102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3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90+25</f>
        <v>115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>
        <v>17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>
        <v>4</v>
      </c>
      <c r="N10" s="74"/>
      <c r="O10" s="70"/>
      <c r="P10" s="71"/>
      <c r="Q10" s="71">
        <v>16</v>
      </c>
      <c r="R10" s="72"/>
      <c r="S10" s="55"/>
      <c r="T10" s="58">
        <f t="shared" si="0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720+34+216+4+1440+576</f>
        <v>2990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72336</v>
      </c>
      <c r="V12" s="69">
        <f>U12/24</f>
        <v>3014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816</v>
      </c>
      <c r="V28" s="75">
        <f t="shared" si="5"/>
        <v>34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62</f>
        <v>62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864+2808+88</f>
        <v>3760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21</v>
      </c>
      <c r="N37" s="64"/>
      <c r="O37" s="65"/>
      <c r="P37" s="66"/>
      <c r="Q37" s="66">
        <v>38</v>
      </c>
      <c r="R37" s="67"/>
      <c r="S37" s="62"/>
      <c r="T37" s="77">
        <f t="shared" si="0"/>
        <v>13</v>
      </c>
      <c r="U37" s="77">
        <f>C37*6+M37*6+O37*6+Q37*6+T37</f>
        <v>22927</v>
      </c>
      <c r="V37" s="77">
        <f>U37/6</f>
        <v>3821.1666666666665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73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</v>
      </c>
      <c r="P41" s="83"/>
      <c r="Q41" s="83">
        <v>8</v>
      </c>
      <c r="R41" s="84"/>
      <c r="S41" s="85"/>
      <c r="T41" s="88">
        <f t="shared" si="0"/>
        <v>0</v>
      </c>
      <c r="U41" s="88">
        <f>C41*12+M41*12+O41*12+Q41*12+T41</f>
        <v>1104</v>
      </c>
      <c r="V41" s="88">
        <f>U41/12</f>
        <v>92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7776+3024+8424+5508+3024+4860</f>
        <v>32616</v>
      </c>
      <c r="D43" s="65"/>
      <c r="E43" s="65"/>
      <c r="F43" s="65"/>
      <c r="G43" s="65"/>
      <c r="H43" s="65">
        <v>3</v>
      </c>
      <c r="I43" s="65">
        <v>7</v>
      </c>
      <c r="J43" s="66">
        <f>11*6+4</f>
        <v>70</v>
      </c>
      <c r="K43" s="67">
        <f>69*6+7</f>
        <v>421</v>
      </c>
      <c r="L43" s="62"/>
      <c r="M43" s="63">
        <v>370</v>
      </c>
      <c r="N43" s="64"/>
      <c r="O43" s="65">
        <v>45</v>
      </c>
      <c r="P43" s="66"/>
      <c r="Q43" s="66">
        <v>434</v>
      </c>
      <c r="R43" s="67"/>
      <c r="S43" s="62"/>
      <c r="T43" s="77">
        <f t="shared" ref="T43" si="6">H43+I43+J43+K43+N43+P43+R43</f>
        <v>501</v>
      </c>
      <c r="U43" s="77">
        <f>C43*6+M43*6+O43*6+Q43*6+T43</f>
        <v>201291</v>
      </c>
      <c r="V43" s="77">
        <f>U43/6</f>
        <v>33548.5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42794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74</v>
      </c>
      <c r="K58" s="6">
        <f t="shared" si="11"/>
        <v>457</v>
      </c>
      <c r="M58" s="5">
        <f t="shared" ref="M58:R58" si="12">SUM(M7:M57)</f>
        <v>433</v>
      </c>
      <c r="N58" s="5">
        <f t="shared" si="12"/>
        <v>0</v>
      </c>
      <c r="O58" s="5">
        <f t="shared" si="12"/>
        <v>61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1793</v>
      </c>
      <c r="U58" s="90">
        <f>SUM(U7:U57)</f>
        <v>330779</v>
      </c>
      <c r="V58" s="4">
        <f>SUM(V7:V57)</f>
        <v>43977.583333333328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FA54C-F0FF-4F87-83F3-3422B1318445}">
  <sheetPr>
    <pageSetUpPr fitToPage="1"/>
  </sheetPr>
  <dimension ref="A1:BB81"/>
  <sheetViews>
    <sheetView topLeftCell="A37" zoomScaleNormal="100" zoomScaleSheetLayoutView="115" workbookViewId="0">
      <selection activeCell="C54" sqref="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3"/>
      <c r="Q5" s="103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90+24</f>
        <v>114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2784</v>
      </c>
      <c r="V9" s="76">
        <f t="shared" ref="V9:V11" si="3">U9/24</f>
        <v>116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720+34+1440+144+51+576</f>
        <v>2965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16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72096</v>
      </c>
      <c r="V12" s="69">
        <f>U12/24</f>
        <v>3004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63+58</f>
        <v>121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672</v>
      </c>
      <c r="V28" s="75">
        <f t="shared" si="5"/>
        <v>28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864+2700+58</f>
        <v>3622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6</v>
      </c>
      <c r="N37" s="64"/>
      <c r="O37" s="65">
        <v>108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22753</v>
      </c>
      <c r="V37" s="77">
        <f>U37/6</f>
        <v>3792.1666666666665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6</v>
      </c>
      <c r="P41" s="83"/>
      <c r="Q41" s="83">
        <v>15</v>
      </c>
      <c r="R41" s="84"/>
      <c r="S41" s="85"/>
      <c r="T41" s="88">
        <f t="shared" si="0"/>
        <v>0</v>
      </c>
      <c r="U41" s="88">
        <f>C41*12+M41*12+O41*12+Q41*12+T41</f>
        <v>996</v>
      </c>
      <c r="V41" s="88">
        <f>U41/12</f>
        <v>83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7776+3024+8424+5508+3024+4212</f>
        <v>31968</v>
      </c>
      <c r="D43" s="65"/>
      <c r="E43" s="65"/>
      <c r="F43" s="65"/>
      <c r="G43" s="65"/>
      <c r="H43" s="65">
        <v>3</v>
      </c>
      <c r="I43" s="65">
        <v>7</v>
      </c>
      <c r="J43" s="66">
        <f>6*12+4</f>
        <v>76</v>
      </c>
      <c r="K43" s="67">
        <f>69*6+7</f>
        <v>421</v>
      </c>
      <c r="L43" s="62"/>
      <c r="M43" s="63">
        <v>58</v>
      </c>
      <c r="N43" s="64"/>
      <c r="O43" s="65">
        <v>369</v>
      </c>
      <c r="P43" s="66"/>
      <c r="Q43" s="66">
        <v>419</v>
      </c>
      <c r="R43" s="67"/>
      <c r="S43" s="62"/>
      <c r="T43" s="77">
        <f t="shared" ref="T43" si="6">H43+I43+J43+K43+N43+P43+R43</f>
        <v>507</v>
      </c>
      <c r="U43" s="77">
        <f>C43*6+M43*6+O43*6+Q43*6+T43</f>
        <v>197391</v>
      </c>
      <c r="V43" s="77">
        <f>U43/6</f>
        <v>32898.5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16759</v>
      </c>
      <c r="V47" s="77">
        <f>U47/6</f>
        <v>2793.1666666666665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41966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32</v>
      </c>
      <c r="J58" s="6">
        <f t="shared" si="11"/>
        <v>87</v>
      </c>
      <c r="K58" s="6">
        <f t="shared" si="11"/>
        <v>457</v>
      </c>
      <c r="M58" s="5">
        <f t="shared" ref="M58:R58" si="12">SUM(M7:M57)</f>
        <v>86</v>
      </c>
      <c r="N58" s="5">
        <f t="shared" si="12"/>
        <v>0</v>
      </c>
      <c r="O58" s="5">
        <f t="shared" si="12"/>
        <v>515</v>
      </c>
      <c r="P58" s="5">
        <f t="shared" si="12"/>
        <v>28</v>
      </c>
      <c r="Q58" s="5">
        <f t="shared" si="12"/>
        <v>522</v>
      </c>
      <c r="R58" s="5">
        <f t="shared" si="12"/>
        <v>3</v>
      </c>
      <c r="S58" s="55"/>
      <c r="T58" s="4">
        <f>SUM(T7:T57)</f>
        <v>1799</v>
      </c>
      <c r="U58" s="90">
        <f>SUM(U7:U57)</f>
        <v>325217</v>
      </c>
      <c r="V58" s="4">
        <f>SUM(V7:V57)</f>
        <v>43230.583333333328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37BAA-A524-43AB-A68D-722EBC86F0F3}">
  <sheetPr>
    <pageSetUpPr fitToPage="1"/>
  </sheetPr>
  <dimension ref="A1:BB81"/>
  <sheetViews>
    <sheetView tabSelected="1" topLeftCell="A40" zoomScaleNormal="100" zoomScaleSheetLayoutView="115" workbookViewId="0">
      <selection activeCell="AC45" sqref="AC4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2" t="s">
        <v>43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3" t="s">
        <v>41</v>
      </c>
      <c r="D4" s="113"/>
      <c r="E4" s="113"/>
      <c r="F4" s="113"/>
      <c r="G4" s="113"/>
      <c r="H4" s="113"/>
      <c r="I4" s="113"/>
      <c r="J4" s="114"/>
      <c r="K4" s="115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6" t="s">
        <v>68</v>
      </c>
      <c r="U4" s="122" t="s">
        <v>67</v>
      </c>
      <c r="V4" s="105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0" t="s">
        <v>65</v>
      </c>
      <c r="K5" s="121"/>
      <c r="M5" s="37"/>
      <c r="N5" s="49"/>
      <c r="O5" s="40"/>
      <c r="P5" s="104"/>
      <c r="Q5" s="104"/>
      <c r="R5" s="38"/>
      <c r="S5" s="9"/>
      <c r="T5" s="117"/>
      <c r="U5" s="123"/>
      <c r="V5" s="106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4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33+57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90+19</f>
        <v>109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3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2736</v>
      </c>
      <c r="V9" s="76">
        <f t="shared" ref="V9:V11" si="3">U9/24</f>
        <v>114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720+34+1440+144+41+576</f>
        <v>2955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10</v>
      </c>
      <c r="P12" s="66">
        <v>12</v>
      </c>
      <c r="Q12" s="66">
        <v>8</v>
      </c>
      <c r="R12" s="67">
        <v>12</v>
      </c>
      <c r="S12" s="62"/>
      <c r="T12" s="69">
        <f t="shared" si="0"/>
        <v>24</v>
      </c>
      <c r="U12" s="69">
        <f>C12*24+M12*24+O12*24+Q12*24+T12</f>
        <v>71664</v>
      </c>
      <c r="V12" s="69">
        <f>U12/24</f>
        <v>2986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1</v>
      </c>
      <c r="R28" s="72"/>
      <c r="S28" s="55"/>
      <c r="T28" s="58">
        <f t="shared" si="0"/>
        <v>0</v>
      </c>
      <c r="U28" s="75">
        <f t="shared" si="4"/>
        <v>624</v>
      </c>
      <c r="V28" s="75">
        <f t="shared" si="5"/>
        <v>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2</v>
      </c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864+2592+73</f>
        <v>3529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33</v>
      </c>
      <c r="N37" s="64"/>
      <c r="O37" s="65">
        <v>66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21787</v>
      </c>
      <c r="V37" s="77">
        <f>U37/6</f>
        <v>3631.1666666666665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14</v>
      </c>
      <c r="N41" s="87"/>
      <c r="O41" s="82">
        <v>6</v>
      </c>
      <c r="P41" s="83"/>
      <c r="Q41" s="83">
        <v>4</v>
      </c>
      <c r="R41" s="84"/>
      <c r="S41" s="85"/>
      <c r="T41" s="88">
        <f t="shared" si="0"/>
        <v>0</v>
      </c>
      <c r="U41" s="88">
        <f>C41*12+M41*12+O41*12+Q41*12+T41</f>
        <v>864</v>
      </c>
      <c r="V41" s="88">
        <f>U41/12</f>
        <v>72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7776+3024+8424+5508+3024+3564+91</f>
        <v>31411</v>
      </c>
      <c r="D43" s="65"/>
      <c r="E43" s="65"/>
      <c r="F43" s="65"/>
      <c r="G43" s="65"/>
      <c r="H43" s="65"/>
      <c r="I43" s="65">
        <f>7</f>
        <v>7</v>
      </c>
      <c r="J43" s="66">
        <f>13*6</f>
        <v>78</v>
      </c>
      <c r="K43" s="67">
        <f>69*6+7</f>
        <v>421</v>
      </c>
      <c r="L43" s="62"/>
      <c r="M43" s="63">
        <v>333</v>
      </c>
      <c r="N43" s="64"/>
      <c r="O43" s="65">
        <v>374</v>
      </c>
      <c r="P43" s="66"/>
      <c r="Q43" s="66">
        <v>162</v>
      </c>
      <c r="R43" s="67"/>
      <c r="S43" s="62"/>
      <c r="T43" s="77">
        <f t="shared" ref="T43" si="6">H43+I43+J43+K43+N43+P43+R43</f>
        <v>506</v>
      </c>
      <c r="U43" s="77">
        <f>C43*6+M43*6+O43*6+Q43*6+T43</f>
        <v>194186</v>
      </c>
      <c r="V43" s="77">
        <f>U43/6</f>
        <v>32364.333333333332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41248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414</v>
      </c>
      <c r="N58" s="5">
        <f t="shared" si="12"/>
        <v>0</v>
      </c>
      <c r="O58" s="5">
        <f t="shared" si="12"/>
        <v>476</v>
      </c>
      <c r="P58" s="5">
        <f t="shared" si="12"/>
        <v>40</v>
      </c>
      <c r="Q58" s="5">
        <f t="shared" si="12"/>
        <v>188</v>
      </c>
      <c r="R58" s="5">
        <f t="shared" si="12"/>
        <v>15</v>
      </c>
      <c r="S58" s="55"/>
      <c r="T58" s="4">
        <f>SUM(T7:T57)</f>
        <v>1822</v>
      </c>
      <c r="U58" s="90">
        <f>SUM(U7:U57)</f>
        <v>319624</v>
      </c>
      <c r="V58" s="4">
        <f>SUM(V7:V57)</f>
        <v>42468.416666666664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9" t="s">
        <v>41</v>
      </c>
      <c r="D60" s="110"/>
      <c r="E60" s="110"/>
      <c r="F60" s="110"/>
      <c r="G60" s="110"/>
      <c r="H60" s="110"/>
      <c r="I60" s="110"/>
      <c r="J60" s="110"/>
      <c r="K60" s="111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11</vt:i4>
      </vt:variant>
    </vt:vector>
  </HeadingPairs>
  <TitlesOfParts>
    <vt:vector size="22" baseType="lpstr">
      <vt:lpstr>SAMPLE</vt:lpstr>
      <vt:lpstr>06-01-2026</vt:lpstr>
      <vt:lpstr>06-02-2026</vt:lpstr>
      <vt:lpstr>06-03-2026</vt:lpstr>
      <vt:lpstr>06-04-2026 </vt:lpstr>
      <vt:lpstr>06-05-2026 </vt:lpstr>
      <vt:lpstr>06-08-2026 </vt:lpstr>
      <vt:lpstr>06-09-2026</vt:lpstr>
      <vt:lpstr>06-10-2026</vt:lpstr>
      <vt:lpstr>06-11-2026</vt:lpstr>
      <vt:lpstr>06-12-2026</vt:lpstr>
      <vt:lpstr>'06-01-2026'!Print_Area</vt:lpstr>
      <vt:lpstr>'06-02-2026'!Print_Area</vt:lpstr>
      <vt:lpstr>'06-03-2026'!Print_Area</vt:lpstr>
      <vt:lpstr>'06-04-2026 '!Print_Area</vt:lpstr>
      <vt:lpstr>'06-05-2026 '!Print_Area</vt:lpstr>
      <vt:lpstr>'06-08-2026 '!Print_Area</vt:lpstr>
      <vt:lpstr>'06-09-2026'!Print_Area</vt:lpstr>
      <vt:lpstr>'06-10-2026'!Print_Area</vt:lpstr>
      <vt:lpstr>'06-11-2026'!Print_Area</vt:lpstr>
      <vt:lpstr>'06-12-2026'!Print_Area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2026-06-12T03:05:59Z</dcterms:modified>
</cp:coreProperties>
</file>