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JUNE FILES 2026\"/>
    </mc:Choice>
  </mc:AlternateContent>
  <xr:revisionPtr revIDLastSave="0" documentId="13_ncr:1_{EE879483-3325-4525-883A-638253C6419D}" xr6:coauthVersionLast="45" xr6:coauthVersionMax="45" xr10:uidLastSave="{00000000-0000-0000-0000-000000000000}"/>
  <bookViews>
    <workbookView xWindow="-120" yWindow="-120" windowWidth="29040" windowHeight="15840" activeTab="4" xr2:uid="{D34C963E-9680-4B45-A4EE-B681FF0CEC08}"/>
  </bookViews>
  <sheets>
    <sheet name="SAMPLE" sheetId="32" r:id="rId1"/>
    <sheet name="06-01-2026" sheetId="57" r:id="rId2"/>
    <sheet name="06-02-2026" sheetId="55" r:id="rId3"/>
    <sheet name="06-03-2026" sheetId="56" r:id="rId4"/>
    <sheet name="06-04-2026 " sheetId="58" r:id="rId5"/>
  </sheets>
  <definedNames>
    <definedName name="_xlnm.Print_Area" localSheetId="1">'06-01-2026'!$A$1:$W$59</definedName>
    <definedName name="_xlnm.Print_Area" localSheetId="2">'06-02-2026'!$A$1:$W$59</definedName>
    <definedName name="_xlnm.Print_Area" localSheetId="3">'06-03-2026'!$A$1:$W$59</definedName>
    <definedName name="_xlnm.Print_Area" localSheetId="4">'06-04-2026 '!$A$1:$W$59</definedName>
    <definedName name="_xlnm.Print_Area" localSheetId="0">SAMPLE!$A$1:$W$85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K43" i="58" l="1"/>
  <c r="J43" i="58"/>
  <c r="C43" i="58"/>
  <c r="C12" i="58" l="1"/>
  <c r="K58" i="58"/>
  <c r="C47" i="58"/>
  <c r="C41" i="58"/>
  <c r="C40" i="58"/>
  <c r="C37" i="58"/>
  <c r="H24" i="58"/>
  <c r="H23" i="58"/>
  <c r="T23" i="58" s="1"/>
  <c r="U23" i="58" s="1"/>
  <c r="V23" i="58" s="1"/>
  <c r="H21" i="58"/>
  <c r="H19" i="58"/>
  <c r="T19" i="58"/>
  <c r="U19" i="58" s="1"/>
  <c r="V19" i="58" s="1"/>
  <c r="H17" i="58"/>
  <c r="T17" i="58" s="1"/>
  <c r="U17" i="58" s="1"/>
  <c r="V17" i="58" s="1"/>
  <c r="C9" i="58"/>
  <c r="C8" i="58"/>
  <c r="U8" i="58" s="1"/>
  <c r="V8" i="58" s="1"/>
  <c r="R58" i="58"/>
  <c r="Q58" i="58"/>
  <c r="P58" i="58"/>
  <c r="O58" i="58"/>
  <c r="N58" i="58"/>
  <c r="M58" i="58"/>
  <c r="G58" i="58"/>
  <c r="F58" i="58"/>
  <c r="U54" i="58"/>
  <c r="V54" i="58" s="1"/>
  <c r="T54" i="58"/>
  <c r="T53" i="58"/>
  <c r="U53" i="58" s="1"/>
  <c r="V53" i="58" s="1"/>
  <c r="T52" i="58"/>
  <c r="U52" i="58" s="1"/>
  <c r="V52" i="58" s="1"/>
  <c r="T51" i="58"/>
  <c r="U51" i="58" s="1"/>
  <c r="V51" i="58" s="1"/>
  <c r="T50" i="58"/>
  <c r="U50" i="58" s="1"/>
  <c r="V50" i="58" s="1"/>
  <c r="T49" i="58"/>
  <c r="U49" i="58" s="1"/>
  <c r="V49" i="58" s="1"/>
  <c r="T48" i="58"/>
  <c r="U48" i="58" s="1"/>
  <c r="V48" i="58" s="1"/>
  <c r="T47" i="58"/>
  <c r="U47" i="58" s="1"/>
  <c r="V47" i="58" s="1"/>
  <c r="T46" i="58"/>
  <c r="U46" i="58" s="1"/>
  <c r="V46" i="58" s="1"/>
  <c r="T45" i="58"/>
  <c r="U45" i="58" s="1"/>
  <c r="V45" i="58" s="1"/>
  <c r="T41" i="58"/>
  <c r="U41" i="58" s="1"/>
  <c r="V41" i="58" s="1"/>
  <c r="T40" i="58"/>
  <c r="U40" i="58" s="1"/>
  <c r="V40" i="58" s="1"/>
  <c r="T39" i="58"/>
  <c r="U39" i="58" s="1"/>
  <c r="V39" i="58" s="1"/>
  <c r="T38" i="58"/>
  <c r="U38" i="58" s="1"/>
  <c r="V38" i="58" s="1"/>
  <c r="T37" i="58"/>
  <c r="U37" i="58" s="1"/>
  <c r="V37" i="58" s="1"/>
  <c r="T36" i="58"/>
  <c r="U36" i="58" s="1"/>
  <c r="V36" i="58" s="1"/>
  <c r="T35" i="58"/>
  <c r="U35" i="58" s="1"/>
  <c r="V35" i="58" s="1"/>
  <c r="T34" i="58"/>
  <c r="U34" i="58" s="1"/>
  <c r="V34" i="58" s="1"/>
  <c r="T33" i="58"/>
  <c r="U33" i="58" s="1"/>
  <c r="V33" i="58" s="1"/>
  <c r="T32" i="58"/>
  <c r="U32" i="58" s="1"/>
  <c r="V32" i="58" s="1"/>
  <c r="T31" i="58"/>
  <c r="U31" i="58" s="1"/>
  <c r="V31" i="58" s="1"/>
  <c r="T30" i="58"/>
  <c r="U30" i="58" s="1"/>
  <c r="V30" i="58" s="1"/>
  <c r="T29" i="58"/>
  <c r="U29" i="58" s="1"/>
  <c r="V29" i="58" s="1"/>
  <c r="T28" i="58"/>
  <c r="U28" i="58" s="1"/>
  <c r="V28" i="58" s="1"/>
  <c r="T27" i="58"/>
  <c r="U27" i="58" s="1"/>
  <c r="V27" i="58" s="1"/>
  <c r="T26" i="58"/>
  <c r="U26" i="58" s="1"/>
  <c r="V26" i="58" s="1"/>
  <c r="AY25" i="58"/>
  <c r="T25" i="58"/>
  <c r="U25" i="58" s="1"/>
  <c r="V25" i="58" s="1"/>
  <c r="T24" i="58"/>
  <c r="U24" i="58" s="1"/>
  <c r="V24" i="58" s="1"/>
  <c r="T22" i="58"/>
  <c r="U22" i="58" s="1"/>
  <c r="V22" i="58" s="1"/>
  <c r="A22" i="58"/>
  <c r="A23" i="58" s="1"/>
  <c r="A24" i="58" s="1"/>
  <c r="A25" i="58" s="1"/>
  <c r="A26" i="58" s="1"/>
  <c r="A27" i="58" s="1"/>
  <c r="A28" i="58" s="1"/>
  <c r="A29" i="58" s="1"/>
  <c r="A30" i="58" s="1"/>
  <c r="A31" i="58" s="1"/>
  <c r="A32" i="58" s="1"/>
  <c r="A33" i="58" s="1"/>
  <c r="A34" i="58" s="1"/>
  <c r="A35" i="58" s="1"/>
  <c r="A36" i="58" s="1"/>
  <c r="A37" i="58" s="1"/>
  <c r="A38" i="58" s="1"/>
  <c r="A39" i="58" s="1"/>
  <c r="A40" i="58" s="1"/>
  <c r="A41" i="58" s="1"/>
  <c r="A42" i="58" s="1"/>
  <c r="A43" i="58" s="1"/>
  <c r="A44" i="58" s="1"/>
  <c r="A45" i="58" s="1"/>
  <c r="A46" i="58" s="1"/>
  <c r="A47" i="58" s="1"/>
  <c r="A48" i="58" s="1"/>
  <c r="A49" i="58" s="1"/>
  <c r="A50" i="58" s="1"/>
  <c r="A51" i="58" s="1"/>
  <c r="A52" i="58" s="1"/>
  <c r="A53" i="58" s="1"/>
  <c r="A54" i="58" s="1"/>
  <c r="A55" i="58" s="1"/>
  <c r="A56" i="58" s="1"/>
  <c r="A57" i="58" s="1"/>
  <c r="T21" i="58"/>
  <c r="U21" i="58" s="1"/>
  <c r="V21" i="58" s="1"/>
  <c r="A21" i="58"/>
  <c r="T20" i="58"/>
  <c r="U20" i="58" s="1"/>
  <c r="V20" i="58" s="1"/>
  <c r="A20" i="58"/>
  <c r="T18" i="58"/>
  <c r="U18" i="58" s="1"/>
  <c r="V18" i="58" s="1"/>
  <c r="T16" i="58"/>
  <c r="U16" i="58" s="1"/>
  <c r="V16" i="58" s="1"/>
  <c r="T15" i="58"/>
  <c r="U15" i="58" s="1"/>
  <c r="V15" i="58" s="1"/>
  <c r="T14" i="58"/>
  <c r="U14" i="58" s="1"/>
  <c r="V14" i="58" s="1"/>
  <c r="A14" i="58"/>
  <c r="A15" i="58" s="1"/>
  <c r="A16" i="58" s="1"/>
  <c r="A17" i="58" s="1"/>
  <c r="A18" i="58" s="1"/>
  <c r="T13" i="58"/>
  <c r="U13" i="58" s="1"/>
  <c r="V13" i="58" s="1"/>
  <c r="T12" i="58"/>
  <c r="U12" i="58" s="1"/>
  <c r="V12" i="58" s="1"/>
  <c r="T11" i="58"/>
  <c r="U11" i="58" s="1"/>
  <c r="V11" i="58" s="1"/>
  <c r="T10" i="58"/>
  <c r="U10" i="58" s="1"/>
  <c r="V10" i="58" s="1"/>
  <c r="A10" i="58"/>
  <c r="A11" i="58" s="1"/>
  <c r="T9" i="58"/>
  <c r="A9" i="58"/>
  <c r="T8" i="58"/>
  <c r="A8" i="58"/>
  <c r="T7" i="58"/>
  <c r="T43" i="58" l="1"/>
  <c r="U43" i="58" s="1"/>
  <c r="V43" i="58" s="1"/>
  <c r="J58" i="58"/>
  <c r="I58" i="58"/>
  <c r="H58" i="58"/>
  <c r="U9" i="58"/>
  <c r="V9" i="58" s="1"/>
  <c r="C58" i="58"/>
  <c r="U7" i="58"/>
  <c r="C47" i="56"/>
  <c r="K43" i="56"/>
  <c r="J43" i="56"/>
  <c r="I43" i="56"/>
  <c r="C43" i="56"/>
  <c r="C41" i="56"/>
  <c r="C40" i="56"/>
  <c r="C37" i="56"/>
  <c r="C28" i="56"/>
  <c r="C25" i="56"/>
  <c r="H24" i="56"/>
  <c r="H23" i="56"/>
  <c r="H21" i="56"/>
  <c r="H19" i="56"/>
  <c r="H17" i="56"/>
  <c r="C12" i="56"/>
  <c r="C9" i="56"/>
  <c r="C8" i="56"/>
  <c r="C47" i="55"/>
  <c r="C43" i="55"/>
  <c r="K43" i="55"/>
  <c r="J43" i="55"/>
  <c r="C41" i="55"/>
  <c r="C40" i="55"/>
  <c r="C37" i="55"/>
  <c r="C30" i="55"/>
  <c r="C28" i="55"/>
  <c r="C25" i="55"/>
  <c r="H24" i="55"/>
  <c r="H23" i="55"/>
  <c r="H21" i="55"/>
  <c r="H17" i="55"/>
  <c r="H19" i="55"/>
  <c r="T58" i="58" l="1"/>
  <c r="U58" i="58"/>
  <c r="V7" i="58"/>
  <c r="V58" i="58" s="1"/>
  <c r="J43" i="57"/>
  <c r="C12" i="55"/>
  <c r="C9" i="55"/>
  <c r="C8" i="55" l="1"/>
  <c r="C37" i="57"/>
  <c r="C41" i="57"/>
  <c r="C43" i="57"/>
  <c r="C47" i="57"/>
  <c r="K43" i="57"/>
  <c r="H23" i="57"/>
  <c r="H21" i="57"/>
  <c r="C40" i="57"/>
  <c r="C32" i="57"/>
  <c r="C28" i="57"/>
  <c r="C25" i="57"/>
  <c r="H24" i="57"/>
  <c r="H19" i="57"/>
  <c r="C12" i="57"/>
  <c r="C9" i="57"/>
  <c r="C8" i="57"/>
  <c r="R58" i="57" l="1"/>
  <c r="Q58" i="57"/>
  <c r="P58" i="57"/>
  <c r="O58" i="57"/>
  <c r="N58" i="57"/>
  <c r="M58" i="57"/>
  <c r="K58" i="57"/>
  <c r="J58" i="57"/>
  <c r="I58" i="57"/>
  <c r="H58" i="57"/>
  <c r="G58" i="57"/>
  <c r="F58" i="57"/>
  <c r="C58" i="57"/>
  <c r="T54" i="57"/>
  <c r="U54" i="57" s="1"/>
  <c r="V54" i="57" s="1"/>
  <c r="T53" i="57"/>
  <c r="U53" i="57" s="1"/>
  <c r="V53" i="57" s="1"/>
  <c r="U52" i="57"/>
  <c r="V52" i="57" s="1"/>
  <c r="T52" i="57"/>
  <c r="T51" i="57"/>
  <c r="U51" i="57" s="1"/>
  <c r="V51" i="57" s="1"/>
  <c r="T50" i="57"/>
  <c r="U50" i="57" s="1"/>
  <c r="V50" i="57" s="1"/>
  <c r="T49" i="57"/>
  <c r="U49" i="57" s="1"/>
  <c r="V49" i="57" s="1"/>
  <c r="T48" i="57"/>
  <c r="U48" i="57" s="1"/>
  <c r="V48" i="57" s="1"/>
  <c r="T47" i="57"/>
  <c r="U47" i="57" s="1"/>
  <c r="V47" i="57" s="1"/>
  <c r="T46" i="57"/>
  <c r="U46" i="57" s="1"/>
  <c r="V46" i="57" s="1"/>
  <c r="T45" i="57"/>
  <c r="U45" i="57" s="1"/>
  <c r="V45" i="57" s="1"/>
  <c r="T43" i="57"/>
  <c r="U43" i="57" s="1"/>
  <c r="V43" i="57" s="1"/>
  <c r="T41" i="57"/>
  <c r="U41" i="57" s="1"/>
  <c r="V41" i="57" s="1"/>
  <c r="T40" i="57"/>
  <c r="U40" i="57" s="1"/>
  <c r="V40" i="57" s="1"/>
  <c r="T39" i="57"/>
  <c r="U39" i="57" s="1"/>
  <c r="V39" i="57" s="1"/>
  <c r="T38" i="57"/>
  <c r="U38" i="57" s="1"/>
  <c r="V38" i="57" s="1"/>
  <c r="T37" i="57"/>
  <c r="U37" i="57" s="1"/>
  <c r="V37" i="57" s="1"/>
  <c r="T36" i="57"/>
  <c r="U36" i="57" s="1"/>
  <c r="V36" i="57" s="1"/>
  <c r="T35" i="57"/>
  <c r="U35" i="57" s="1"/>
  <c r="V35" i="57" s="1"/>
  <c r="T34" i="57"/>
  <c r="U34" i="57" s="1"/>
  <c r="V34" i="57" s="1"/>
  <c r="T33" i="57"/>
  <c r="U33" i="57" s="1"/>
  <c r="V33" i="57" s="1"/>
  <c r="T32" i="57"/>
  <c r="U32" i="57" s="1"/>
  <c r="V32" i="57" s="1"/>
  <c r="T31" i="57"/>
  <c r="U31" i="57" s="1"/>
  <c r="V31" i="57" s="1"/>
  <c r="T30" i="57"/>
  <c r="U30" i="57" s="1"/>
  <c r="V30" i="57" s="1"/>
  <c r="T29" i="57"/>
  <c r="U29" i="57" s="1"/>
  <c r="V29" i="57" s="1"/>
  <c r="T28" i="57"/>
  <c r="U28" i="57" s="1"/>
  <c r="V28" i="57" s="1"/>
  <c r="T27" i="57"/>
  <c r="U27" i="57" s="1"/>
  <c r="V27" i="57" s="1"/>
  <c r="T26" i="57"/>
  <c r="U26" i="57" s="1"/>
  <c r="V26" i="57" s="1"/>
  <c r="AY25" i="57"/>
  <c r="T25" i="57"/>
  <c r="U25" i="57" s="1"/>
  <c r="V25" i="57" s="1"/>
  <c r="T24" i="57"/>
  <c r="U24" i="57" s="1"/>
  <c r="V24" i="57" s="1"/>
  <c r="T23" i="57"/>
  <c r="U23" i="57" s="1"/>
  <c r="V23" i="57" s="1"/>
  <c r="T22" i="57"/>
  <c r="U22" i="57" s="1"/>
  <c r="V22" i="57" s="1"/>
  <c r="T21" i="57"/>
  <c r="U21" i="57" s="1"/>
  <c r="V21" i="57" s="1"/>
  <c r="T20" i="57"/>
  <c r="U20" i="57" s="1"/>
  <c r="V20" i="57" s="1"/>
  <c r="A20" i="57"/>
  <c r="A21" i="57" s="1"/>
  <c r="A22" i="57" s="1"/>
  <c r="A23" i="57" s="1"/>
  <c r="A24" i="57" s="1"/>
  <c r="A25" i="57" s="1"/>
  <c r="A26" i="57" s="1"/>
  <c r="A27" i="57" s="1"/>
  <c r="A28" i="57" s="1"/>
  <c r="A29" i="57" s="1"/>
  <c r="A30" i="57" s="1"/>
  <c r="A31" i="57" s="1"/>
  <c r="A32" i="57" s="1"/>
  <c r="A33" i="57" s="1"/>
  <c r="A34" i="57" s="1"/>
  <c r="A35" i="57" s="1"/>
  <c r="A36" i="57" s="1"/>
  <c r="A37" i="57" s="1"/>
  <c r="A38" i="57" s="1"/>
  <c r="A39" i="57" s="1"/>
  <c r="A40" i="57" s="1"/>
  <c r="A41" i="57" s="1"/>
  <c r="A42" i="57" s="1"/>
  <c r="A43" i="57" s="1"/>
  <c r="A44" i="57" s="1"/>
  <c r="A45" i="57" s="1"/>
  <c r="A46" i="57" s="1"/>
  <c r="A47" i="57" s="1"/>
  <c r="A48" i="57" s="1"/>
  <c r="A49" i="57" s="1"/>
  <c r="A50" i="57" s="1"/>
  <c r="A51" i="57" s="1"/>
  <c r="A52" i="57" s="1"/>
  <c r="A53" i="57" s="1"/>
  <c r="A54" i="57" s="1"/>
  <c r="A55" i="57" s="1"/>
  <c r="A56" i="57" s="1"/>
  <c r="A57" i="57" s="1"/>
  <c r="T19" i="57"/>
  <c r="U19" i="57" s="1"/>
  <c r="V19" i="57" s="1"/>
  <c r="T18" i="57"/>
  <c r="U18" i="57" s="1"/>
  <c r="V18" i="57" s="1"/>
  <c r="T17" i="57"/>
  <c r="U17" i="57" s="1"/>
  <c r="V17" i="57" s="1"/>
  <c r="T16" i="57"/>
  <c r="U16" i="57" s="1"/>
  <c r="V16" i="57" s="1"/>
  <c r="T15" i="57"/>
  <c r="U15" i="57" s="1"/>
  <c r="V15" i="57" s="1"/>
  <c r="T14" i="57"/>
  <c r="U14" i="57" s="1"/>
  <c r="V14" i="57" s="1"/>
  <c r="A14" i="57"/>
  <c r="A15" i="57" s="1"/>
  <c r="A16" i="57" s="1"/>
  <c r="A17" i="57" s="1"/>
  <c r="A18" i="57" s="1"/>
  <c r="T13" i="57"/>
  <c r="U13" i="57" s="1"/>
  <c r="V13" i="57" s="1"/>
  <c r="U12" i="57"/>
  <c r="V12" i="57" s="1"/>
  <c r="T12" i="57"/>
  <c r="T11" i="57"/>
  <c r="U11" i="57" s="1"/>
  <c r="V11" i="57" s="1"/>
  <c r="U10" i="57"/>
  <c r="V10" i="57" s="1"/>
  <c r="T10" i="57"/>
  <c r="T9" i="57"/>
  <c r="U9" i="57" s="1"/>
  <c r="V9" i="57" s="1"/>
  <c r="T8" i="57"/>
  <c r="U8" i="57" s="1"/>
  <c r="V8" i="57" s="1"/>
  <c r="A8" i="57"/>
  <c r="A9" i="57" s="1"/>
  <c r="A10" i="57" s="1"/>
  <c r="A11" i="57" s="1"/>
  <c r="T7" i="57"/>
  <c r="R58" i="56"/>
  <c r="Q58" i="56"/>
  <c r="P58" i="56"/>
  <c r="O58" i="56"/>
  <c r="N58" i="56"/>
  <c r="M58" i="56"/>
  <c r="K58" i="56"/>
  <c r="J58" i="56"/>
  <c r="I58" i="56"/>
  <c r="H58" i="56"/>
  <c r="G58" i="56"/>
  <c r="F58" i="56"/>
  <c r="C58" i="56"/>
  <c r="T54" i="56"/>
  <c r="U54" i="56" s="1"/>
  <c r="V54" i="56" s="1"/>
  <c r="T53" i="56"/>
  <c r="U53" i="56" s="1"/>
  <c r="V53" i="56" s="1"/>
  <c r="U52" i="56"/>
  <c r="V52" i="56" s="1"/>
  <c r="T52" i="56"/>
  <c r="T51" i="56"/>
  <c r="U51" i="56" s="1"/>
  <c r="V51" i="56" s="1"/>
  <c r="T50" i="56"/>
  <c r="U50" i="56" s="1"/>
  <c r="V50" i="56" s="1"/>
  <c r="T49" i="56"/>
  <c r="U49" i="56" s="1"/>
  <c r="V49" i="56" s="1"/>
  <c r="T48" i="56"/>
  <c r="U48" i="56" s="1"/>
  <c r="V48" i="56" s="1"/>
  <c r="T47" i="56"/>
  <c r="U47" i="56" s="1"/>
  <c r="V47" i="56" s="1"/>
  <c r="T46" i="56"/>
  <c r="U46" i="56" s="1"/>
  <c r="V46" i="56" s="1"/>
  <c r="T45" i="56"/>
  <c r="U45" i="56" s="1"/>
  <c r="V45" i="56" s="1"/>
  <c r="T43" i="56"/>
  <c r="U43" i="56" s="1"/>
  <c r="V43" i="56" s="1"/>
  <c r="T41" i="56"/>
  <c r="U41" i="56" s="1"/>
  <c r="V41" i="56" s="1"/>
  <c r="T40" i="56"/>
  <c r="U40" i="56" s="1"/>
  <c r="V40" i="56" s="1"/>
  <c r="T39" i="56"/>
  <c r="U39" i="56" s="1"/>
  <c r="V39" i="56" s="1"/>
  <c r="T38" i="56"/>
  <c r="U38" i="56" s="1"/>
  <c r="V38" i="56" s="1"/>
  <c r="T37" i="56"/>
  <c r="U37" i="56" s="1"/>
  <c r="V37" i="56" s="1"/>
  <c r="T36" i="56"/>
  <c r="U36" i="56" s="1"/>
  <c r="V36" i="56" s="1"/>
  <c r="T35" i="56"/>
  <c r="U35" i="56" s="1"/>
  <c r="V35" i="56" s="1"/>
  <c r="T34" i="56"/>
  <c r="U34" i="56" s="1"/>
  <c r="V34" i="56" s="1"/>
  <c r="T33" i="56"/>
  <c r="U33" i="56" s="1"/>
  <c r="V33" i="56" s="1"/>
  <c r="T32" i="56"/>
  <c r="U32" i="56" s="1"/>
  <c r="V32" i="56" s="1"/>
  <c r="T31" i="56"/>
  <c r="U31" i="56" s="1"/>
  <c r="V31" i="56" s="1"/>
  <c r="T30" i="56"/>
  <c r="U30" i="56" s="1"/>
  <c r="V30" i="56" s="1"/>
  <c r="T29" i="56"/>
  <c r="U29" i="56" s="1"/>
  <c r="V29" i="56" s="1"/>
  <c r="T28" i="56"/>
  <c r="U28" i="56" s="1"/>
  <c r="V28" i="56" s="1"/>
  <c r="T27" i="56"/>
  <c r="U27" i="56" s="1"/>
  <c r="V27" i="56" s="1"/>
  <c r="T26" i="56"/>
  <c r="U26" i="56" s="1"/>
  <c r="V26" i="56" s="1"/>
  <c r="AY25" i="56"/>
  <c r="T25" i="56"/>
  <c r="U25" i="56" s="1"/>
  <c r="V25" i="56" s="1"/>
  <c r="T24" i="56"/>
  <c r="U24" i="56" s="1"/>
  <c r="V24" i="56" s="1"/>
  <c r="T23" i="56"/>
  <c r="U23" i="56" s="1"/>
  <c r="V23" i="56" s="1"/>
  <c r="T22" i="56"/>
  <c r="U22" i="56" s="1"/>
  <c r="V22" i="56" s="1"/>
  <c r="T21" i="56"/>
  <c r="U21" i="56" s="1"/>
  <c r="V21" i="56" s="1"/>
  <c r="A21" i="56"/>
  <c r="A22" i="56" s="1"/>
  <c r="A23" i="56" s="1"/>
  <c r="A24" i="56" s="1"/>
  <c r="A25" i="56" s="1"/>
  <c r="A26" i="56" s="1"/>
  <c r="A27" i="56" s="1"/>
  <c r="A28" i="56" s="1"/>
  <c r="A29" i="56" s="1"/>
  <c r="A30" i="56" s="1"/>
  <c r="A31" i="56" s="1"/>
  <c r="A32" i="56" s="1"/>
  <c r="A33" i="56" s="1"/>
  <c r="A34" i="56" s="1"/>
  <c r="A35" i="56" s="1"/>
  <c r="A36" i="56" s="1"/>
  <c r="A37" i="56" s="1"/>
  <c r="A38" i="56" s="1"/>
  <c r="A39" i="56" s="1"/>
  <c r="A40" i="56" s="1"/>
  <c r="A41" i="56" s="1"/>
  <c r="A42" i="56" s="1"/>
  <c r="A43" i="56" s="1"/>
  <c r="A44" i="56" s="1"/>
  <c r="A45" i="56" s="1"/>
  <c r="A46" i="56" s="1"/>
  <c r="A47" i="56" s="1"/>
  <c r="A48" i="56" s="1"/>
  <c r="A49" i="56" s="1"/>
  <c r="A50" i="56" s="1"/>
  <c r="A51" i="56" s="1"/>
  <c r="A52" i="56" s="1"/>
  <c r="A53" i="56" s="1"/>
  <c r="A54" i="56" s="1"/>
  <c r="A55" i="56" s="1"/>
  <c r="A56" i="56" s="1"/>
  <c r="A57" i="56" s="1"/>
  <c r="T20" i="56"/>
  <c r="U20" i="56" s="1"/>
  <c r="V20" i="56" s="1"/>
  <c r="A20" i="56"/>
  <c r="T19" i="56"/>
  <c r="U19" i="56" s="1"/>
  <c r="V19" i="56" s="1"/>
  <c r="T18" i="56"/>
  <c r="U18" i="56" s="1"/>
  <c r="V18" i="56" s="1"/>
  <c r="T17" i="56"/>
  <c r="U17" i="56" s="1"/>
  <c r="V17" i="56" s="1"/>
  <c r="T16" i="56"/>
  <c r="U16" i="56" s="1"/>
  <c r="V16" i="56" s="1"/>
  <c r="T15" i="56"/>
  <c r="U15" i="56" s="1"/>
  <c r="V15" i="56" s="1"/>
  <c r="A15" i="56"/>
  <c r="A16" i="56" s="1"/>
  <c r="A17" i="56" s="1"/>
  <c r="A18" i="56" s="1"/>
  <c r="T14" i="56"/>
  <c r="U14" i="56" s="1"/>
  <c r="V14" i="56" s="1"/>
  <c r="A14" i="56"/>
  <c r="T13" i="56"/>
  <c r="U13" i="56" s="1"/>
  <c r="V13" i="56" s="1"/>
  <c r="T12" i="56"/>
  <c r="U12" i="56" s="1"/>
  <c r="V12" i="56" s="1"/>
  <c r="T11" i="56"/>
  <c r="U11" i="56" s="1"/>
  <c r="V11" i="56" s="1"/>
  <c r="U10" i="56"/>
  <c r="V10" i="56" s="1"/>
  <c r="T10" i="56"/>
  <c r="T9" i="56"/>
  <c r="U9" i="56" s="1"/>
  <c r="V9" i="56" s="1"/>
  <c r="A9" i="56"/>
  <c r="A10" i="56" s="1"/>
  <c r="A11" i="56" s="1"/>
  <c r="T8" i="56"/>
  <c r="U8" i="56" s="1"/>
  <c r="V8" i="56" s="1"/>
  <c r="A8" i="56"/>
  <c r="T7" i="56"/>
  <c r="U7" i="56" s="1"/>
  <c r="T58" i="57" l="1"/>
  <c r="U7" i="57"/>
  <c r="V7" i="56"/>
  <c r="V58" i="56" s="1"/>
  <c r="U58" i="56"/>
  <c r="T58" i="56"/>
  <c r="R58" i="55"/>
  <c r="Q58" i="55"/>
  <c r="P58" i="55"/>
  <c r="O58" i="55"/>
  <c r="N58" i="55"/>
  <c r="M58" i="55"/>
  <c r="K58" i="55"/>
  <c r="J58" i="55"/>
  <c r="I58" i="55"/>
  <c r="H58" i="55"/>
  <c r="G58" i="55"/>
  <c r="F58" i="55"/>
  <c r="C58" i="55"/>
  <c r="T54" i="55"/>
  <c r="U54" i="55" s="1"/>
  <c r="V54" i="55" s="1"/>
  <c r="T53" i="55"/>
  <c r="U53" i="55" s="1"/>
  <c r="V53" i="55" s="1"/>
  <c r="T52" i="55"/>
  <c r="U52" i="55" s="1"/>
  <c r="V52" i="55" s="1"/>
  <c r="T51" i="55"/>
  <c r="U51" i="55" s="1"/>
  <c r="V51" i="55" s="1"/>
  <c r="T50" i="55"/>
  <c r="U50" i="55" s="1"/>
  <c r="V50" i="55" s="1"/>
  <c r="T49" i="55"/>
  <c r="U49" i="55" s="1"/>
  <c r="V49" i="55" s="1"/>
  <c r="T48" i="55"/>
  <c r="U48" i="55" s="1"/>
  <c r="V48" i="55" s="1"/>
  <c r="T47" i="55"/>
  <c r="U47" i="55" s="1"/>
  <c r="V47" i="55" s="1"/>
  <c r="T46" i="55"/>
  <c r="U46" i="55" s="1"/>
  <c r="V46" i="55" s="1"/>
  <c r="U45" i="55"/>
  <c r="V45" i="55" s="1"/>
  <c r="T45" i="55"/>
  <c r="T43" i="55"/>
  <c r="U43" i="55" s="1"/>
  <c r="V43" i="55" s="1"/>
  <c r="T41" i="55"/>
  <c r="U41" i="55" s="1"/>
  <c r="V41" i="55" s="1"/>
  <c r="T40" i="55"/>
  <c r="U40" i="55" s="1"/>
  <c r="V40" i="55" s="1"/>
  <c r="T39" i="55"/>
  <c r="U39" i="55" s="1"/>
  <c r="V39" i="55" s="1"/>
  <c r="T38" i="55"/>
  <c r="U38" i="55" s="1"/>
  <c r="V38" i="55" s="1"/>
  <c r="T37" i="55"/>
  <c r="U37" i="55" s="1"/>
  <c r="V37" i="55" s="1"/>
  <c r="U36" i="55"/>
  <c r="V36" i="55" s="1"/>
  <c r="T36" i="55"/>
  <c r="T35" i="55"/>
  <c r="U35" i="55" s="1"/>
  <c r="V35" i="55" s="1"/>
  <c r="T34" i="55"/>
  <c r="U34" i="55" s="1"/>
  <c r="V34" i="55" s="1"/>
  <c r="T33" i="55"/>
  <c r="U33" i="55" s="1"/>
  <c r="V33" i="55" s="1"/>
  <c r="U32" i="55"/>
  <c r="V32" i="55" s="1"/>
  <c r="T32" i="55"/>
  <c r="T31" i="55"/>
  <c r="U31" i="55" s="1"/>
  <c r="V31" i="55" s="1"/>
  <c r="T30" i="55"/>
  <c r="U30" i="55" s="1"/>
  <c r="V30" i="55" s="1"/>
  <c r="T29" i="55"/>
  <c r="U29" i="55" s="1"/>
  <c r="V29" i="55" s="1"/>
  <c r="U28" i="55"/>
  <c r="V28" i="55" s="1"/>
  <c r="T28" i="55"/>
  <c r="T27" i="55"/>
  <c r="U27" i="55" s="1"/>
  <c r="V27" i="55" s="1"/>
  <c r="T26" i="55"/>
  <c r="U26" i="55" s="1"/>
  <c r="V26" i="55" s="1"/>
  <c r="AY25" i="55"/>
  <c r="T25" i="55"/>
  <c r="U25" i="55" s="1"/>
  <c r="V25" i="55" s="1"/>
  <c r="T24" i="55"/>
  <c r="U24" i="55" s="1"/>
  <c r="V24" i="55" s="1"/>
  <c r="T23" i="55"/>
  <c r="U23" i="55" s="1"/>
  <c r="V23" i="55" s="1"/>
  <c r="T22" i="55"/>
  <c r="U22" i="55" s="1"/>
  <c r="V22" i="55" s="1"/>
  <c r="T21" i="55"/>
  <c r="U21" i="55" s="1"/>
  <c r="V21" i="55" s="1"/>
  <c r="A21" i="55"/>
  <c r="A22" i="55" s="1"/>
  <c r="A23" i="55" s="1"/>
  <c r="A24" i="55" s="1"/>
  <c r="A25" i="55" s="1"/>
  <c r="A26" i="55" s="1"/>
  <c r="A27" i="55" s="1"/>
  <c r="A28" i="55" s="1"/>
  <c r="A29" i="55" s="1"/>
  <c r="A30" i="55" s="1"/>
  <c r="A31" i="55" s="1"/>
  <c r="A32" i="55" s="1"/>
  <c r="A33" i="55" s="1"/>
  <c r="A34" i="55" s="1"/>
  <c r="A35" i="55" s="1"/>
  <c r="A36" i="55" s="1"/>
  <c r="A37" i="55" s="1"/>
  <c r="A38" i="55" s="1"/>
  <c r="A39" i="55" s="1"/>
  <c r="A40" i="55" s="1"/>
  <c r="A41" i="55" s="1"/>
  <c r="A42" i="55" s="1"/>
  <c r="A43" i="55" s="1"/>
  <c r="A44" i="55" s="1"/>
  <c r="A45" i="55" s="1"/>
  <c r="A46" i="55" s="1"/>
  <c r="A47" i="55" s="1"/>
  <c r="A48" i="55" s="1"/>
  <c r="A49" i="55" s="1"/>
  <c r="A50" i="55" s="1"/>
  <c r="A51" i="55" s="1"/>
  <c r="A52" i="55" s="1"/>
  <c r="A53" i="55" s="1"/>
  <c r="A54" i="55" s="1"/>
  <c r="A55" i="55" s="1"/>
  <c r="A56" i="55" s="1"/>
  <c r="A57" i="55" s="1"/>
  <c r="T20" i="55"/>
  <c r="U20" i="55" s="1"/>
  <c r="V20" i="55" s="1"/>
  <c r="A20" i="55"/>
  <c r="T19" i="55"/>
  <c r="U19" i="55" s="1"/>
  <c r="V19" i="55" s="1"/>
  <c r="T18" i="55"/>
  <c r="U18" i="55" s="1"/>
  <c r="V18" i="55" s="1"/>
  <c r="T17" i="55"/>
  <c r="U17" i="55" s="1"/>
  <c r="V17" i="55" s="1"/>
  <c r="V16" i="55"/>
  <c r="U16" i="55"/>
  <c r="T16" i="55"/>
  <c r="T15" i="55"/>
  <c r="U15" i="55" s="1"/>
  <c r="V15" i="55" s="1"/>
  <c r="T14" i="55"/>
  <c r="U14" i="55" s="1"/>
  <c r="V14" i="55" s="1"/>
  <c r="A14" i="55"/>
  <c r="A15" i="55" s="1"/>
  <c r="A16" i="55" s="1"/>
  <c r="A17" i="55" s="1"/>
  <c r="A18" i="55" s="1"/>
  <c r="T13" i="55"/>
  <c r="U13" i="55" s="1"/>
  <c r="V13" i="55" s="1"/>
  <c r="T12" i="55"/>
  <c r="U12" i="55" s="1"/>
  <c r="V12" i="55" s="1"/>
  <c r="T11" i="55"/>
  <c r="U11" i="55" s="1"/>
  <c r="V11" i="55" s="1"/>
  <c r="T10" i="55"/>
  <c r="U10" i="55" s="1"/>
  <c r="V10" i="55" s="1"/>
  <c r="T9" i="55"/>
  <c r="U9" i="55" s="1"/>
  <c r="V9" i="55" s="1"/>
  <c r="T8" i="55"/>
  <c r="U8" i="55" s="1"/>
  <c r="V8" i="55" s="1"/>
  <c r="A8" i="55"/>
  <c r="A9" i="55" s="1"/>
  <c r="A10" i="55" s="1"/>
  <c r="A11" i="55" s="1"/>
  <c r="T7" i="55"/>
  <c r="U7" i="55" s="1"/>
  <c r="V7" i="57" l="1"/>
  <c r="V58" i="57" s="1"/>
  <c r="U58" i="57"/>
  <c r="V7" i="55"/>
  <c r="V58" i="55" s="1"/>
  <c r="U58" i="55"/>
  <c r="T58" i="55"/>
  <c r="R58" i="32" l="1"/>
  <c r="Q58" i="32"/>
  <c r="P58" i="32"/>
  <c r="O58" i="32"/>
  <c r="N58" i="32"/>
  <c r="M58" i="32"/>
  <c r="K58" i="32"/>
  <c r="J58" i="32"/>
  <c r="I58" i="32"/>
  <c r="H58" i="32"/>
  <c r="G58" i="32"/>
  <c r="F58" i="32"/>
  <c r="C58" i="32"/>
  <c r="T54" i="32"/>
  <c r="U54" i="32" s="1"/>
  <c r="V54" i="32" s="1"/>
  <c r="T53" i="32"/>
  <c r="U53" i="32" s="1"/>
  <c r="V53" i="32" s="1"/>
  <c r="T52" i="32"/>
  <c r="U52" i="32" s="1"/>
  <c r="V52" i="32" s="1"/>
  <c r="T51" i="32"/>
  <c r="U51" i="32" s="1"/>
  <c r="V51" i="32" s="1"/>
  <c r="T50" i="32"/>
  <c r="U50" i="32" s="1"/>
  <c r="V50" i="32" s="1"/>
  <c r="T49" i="32"/>
  <c r="U49" i="32" s="1"/>
  <c r="V49" i="32" s="1"/>
  <c r="T48" i="32"/>
  <c r="U48" i="32" s="1"/>
  <c r="V48" i="32" s="1"/>
  <c r="T47" i="32"/>
  <c r="U47" i="32" s="1"/>
  <c r="V47" i="32" s="1"/>
  <c r="T46" i="32"/>
  <c r="U46" i="32" s="1"/>
  <c r="V46" i="32" s="1"/>
  <c r="T45" i="32"/>
  <c r="U45" i="32" s="1"/>
  <c r="V45" i="32" s="1"/>
  <c r="T43" i="32"/>
  <c r="U43" i="32" s="1"/>
  <c r="V43" i="32" s="1"/>
  <c r="T41" i="32"/>
  <c r="U41" i="32" s="1"/>
  <c r="V41" i="32" s="1"/>
  <c r="T40" i="32"/>
  <c r="U40" i="32"/>
  <c r="V40" i="32" s="1"/>
  <c r="T38" i="32"/>
  <c r="U38" i="32"/>
  <c r="V38" i="32" s="1"/>
  <c r="T37" i="32"/>
  <c r="U37" i="32" s="1"/>
  <c r="V37" i="32" s="1"/>
  <c r="T36" i="32"/>
  <c r="U36" i="32" s="1"/>
  <c r="V36" i="32" s="1"/>
  <c r="T35" i="32"/>
  <c r="U35" i="32" s="1"/>
  <c r="V35" i="32" s="1"/>
  <c r="T34" i="32"/>
  <c r="U34" i="32" s="1"/>
  <c r="V34" i="32" s="1"/>
  <c r="T33" i="32"/>
  <c r="U33" i="32" s="1"/>
  <c r="V33" i="32" s="1"/>
  <c r="T32" i="32"/>
  <c r="U32" i="32" s="1"/>
  <c r="V32" i="32" s="1"/>
  <c r="T31" i="32"/>
  <c r="U31" i="32" s="1"/>
  <c r="V31" i="32" s="1"/>
  <c r="T30" i="32"/>
  <c r="U30" i="32" s="1"/>
  <c r="V30" i="32" s="1"/>
  <c r="T29" i="32"/>
  <c r="U29" i="32" s="1"/>
  <c r="V29" i="32" s="1"/>
  <c r="T28" i="32"/>
  <c r="U28" i="32" s="1"/>
  <c r="V28" i="32" s="1"/>
  <c r="T26" i="32"/>
  <c r="U26" i="32" s="1"/>
  <c r="V26" i="32" s="1"/>
  <c r="AY25" i="32"/>
  <c r="T25" i="32"/>
  <c r="U25" i="32" s="1"/>
  <c r="V25" i="32" s="1"/>
  <c r="T24" i="32"/>
  <c r="U24" i="32" s="1"/>
  <c r="V24" i="32" s="1"/>
  <c r="T23" i="32"/>
  <c r="U23" i="32" s="1"/>
  <c r="V23" i="32" s="1"/>
  <c r="T22" i="32"/>
  <c r="U22" i="32" s="1"/>
  <c r="V22" i="32" s="1"/>
  <c r="T21" i="32"/>
  <c r="U21" i="32" s="1"/>
  <c r="V21" i="32" s="1"/>
  <c r="T20" i="32"/>
  <c r="U20" i="32" s="1"/>
  <c r="V20" i="32" s="1"/>
  <c r="A20" i="32"/>
  <c r="A21" i="32" s="1"/>
  <c r="A22" i="32" s="1"/>
  <c r="A23" i="32" s="1"/>
  <c r="A24" i="32" s="1"/>
  <c r="A25" i="32" s="1"/>
  <c r="A26" i="32" s="1"/>
  <c r="A27" i="32" s="1"/>
  <c r="A28" i="32" s="1"/>
  <c r="A29" i="32" s="1"/>
  <c r="A30" i="32" s="1"/>
  <c r="A31" i="32" s="1"/>
  <c r="A32" i="32" s="1"/>
  <c r="A33" i="32" s="1"/>
  <c r="A34" i="32" s="1"/>
  <c r="A35" i="32" s="1"/>
  <c r="A36" i="32" s="1"/>
  <c r="A37" i="32" s="1"/>
  <c r="A38" i="32" s="1"/>
  <c r="A39" i="32" s="1"/>
  <c r="A40" i="32" s="1"/>
  <c r="A41" i="32" s="1"/>
  <c r="A42" i="32" s="1"/>
  <c r="A43" i="32" s="1"/>
  <c r="A44" i="32" s="1"/>
  <c r="A45" i="32" s="1"/>
  <c r="A46" i="32" s="1"/>
  <c r="A47" i="32" s="1"/>
  <c r="A48" i="32" s="1"/>
  <c r="A49" i="32" s="1"/>
  <c r="A50" i="32" s="1"/>
  <c r="A51" i="32" s="1"/>
  <c r="A52" i="32" s="1"/>
  <c r="A53" i="32" s="1"/>
  <c r="A54" i="32" s="1"/>
  <c r="A55" i="32" s="1"/>
  <c r="A56" i="32" s="1"/>
  <c r="A57" i="32" s="1"/>
  <c r="T19" i="32"/>
  <c r="U19" i="32" s="1"/>
  <c r="V19" i="32" s="1"/>
  <c r="T18" i="32"/>
  <c r="U18" i="32" s="1"/>
  <c r="V18" i="32" s="1"/>
  <c r="T17" i="32"/>
  <c r="U17" i="32" s="1"/>
  <c r="V17" i="32" s="1"/>
  <c r="T16" i="32"/>
  <c r="U16" i="32" s="1"/>
  <c r="V16" i="32" s="1"/>
  <c r="T15" i="32"/>
  <c r="U15" i="32" s="1"/>
  <c r="V15" i="32" s="1"/>
  <c r="T14" i="32"/>
  <c r="U14" i="32" s="1"/>
  <c r="V14" i="32" s="1"/>
  <c r="A14" i="32"/>
  <c r="A15" i="32" s="1"/>
  <c r="A16" i="32" s="1"/>
  <c r="A17" i="32" s="1"/>
  <c r="A18" i="32" s="1"/>
  <c r="T13" i="32"/>
  <c r="U13" i="32" s="1"/>
  <c r="V13" i="32" s="1"/>
  <c r="T12" i="32"/>
  <c r="U12" i="32" s="1"/>
  <c r="V12" i="32" s="1"/>
  <c r="T11" i="32"/>
  <c r="U11" i="32" s="1"/>
  <c r="V11" i="32" s="1"/>
  <c r="T10" i="32"/>
  <c r="U10" i="32" s="1"/>
  <c r="V10" i="32" s="1"/>
  <c r="T9" i="32"/>
  <c r="U9" i="32" s="1"/>
  <c r="V9" i="32" s="1"/>
  <c r="A9" i="32"/>
  <c r="A10" i="32" s="1"/>
  <c r="A11" i="32" s="1"/>
  <c r="T8" i="32"/>
  <c r="U8" i="32"/>
  <c r="V8" i="32" s="1"/>
  <c r="A8" i="32"/>
  <c r="T7" i="32"/>
  <c r="T58" i="32" l="1"/>
  <c r="U7" i="32"/>
  <c r="U58" i="32" l="1"/>
  <c r="V7" i="32"/>
  <c r="V58" i="32" s="1"/>
</calcChain>
</file>

<file path=xl/sharedStrings.xml><?xml version="1.0" encoding="utf-8"?>
<sst xmlns="http://schemas.openxmlformats.org/spreadsheetml/2006/main" count="420" uniqueCount="74">
  <si>
    <t>ROUTE 1</t>
  </si>
  <si>
    <t>PAMB</t>
  </si>
  <si>
    <t>PAMC</t>
  </si>
  <si>
    <t>KRB</t>
  </si>
  <si>
    <t>KRC</t>
  </si>
  <si>
    <t>CBC</t>
  </si>
  <si>
    <t>SDB</t>
  </si>
  <si>
    <t>SDC</t>
  </si>
  <si>
    <t>SMLB</t>
  </si>
  <si>
    <t>SMLL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</si>
  <si>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</si>
  <si>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</si>
  <si>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</si>
  <si>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</si>
  <si>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</si>
  <si>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</si>
  <si>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</si>
  <si>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</si>
  <si>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</si>
  <si>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PL</t>
  </si>
  <si>
    <t>PPC</t>
  </si>
  <si>
    <t>RHS</t>
  </si>
  <si>
    <t>RHP</t>
  </si>
  <si>
    <t>RHL</t>
  </si>
  <si>
    <t>RHC</t>
  </si>
  <si>
    <t>RHSL</t>
  </si>
  <si>
    <t>SMFC</t>
  </si>
  <si>
    <t>GEK</t>
  </si>
  <si>
    <t>HSC</t>
  </si>
  <si>
    <t>HTL</t>
  </si>
  <si>
    <t>HTA</t>
  </si>
  <si>
    <t>HTS</t>
  </si>
  <si>
    <t>CB</t>
  </si>
  <si>
    <t>CC</t>
  </si>
  <si>
    <t>C10C</t>
  </si>
  <si>
    <t>CIB</t>
  </si>
  <si>
    <t>CIC</t>
  </si>
  <si>
    <t>EMPTIES</t>
  </si>
  <si>
    <t>RH5</t>
  </si>
  <si>
    <t>ROUTE 2</t>
  </si>
  <si>
    <t>ROUTE 3</t>
  </si>
  <si>
    <t>FLOOR STOCKS</t>
  </si>
  <si>
    <t>INVENTORY COUNT SHEET</t>
  </si>
  <si>
    <t>GUILLERMO BEVERAGE DISTRIBUTION SERVICES</t>
  </si>
  <si>
    <t>BOT</t>
  </si>
  <si>
    <t>SHL</t>
  </si>
  <si>
    <t>PL/RHL/GEK</t>
  </si>
  <si>
    <t>FB/SML/RHS</t>
  </si>
  <si>
    <t>HT</t>
  </si>
  <si>
    <t>PALLETS</t>
  </si>
  <si>
    <t>TOTAL</t>
  </si>
  <si>
    <t>TOTAL EMPTIES</t>
  </si>
  <si>
    <t>FULLS
 SKU</t>
  </si>
  <si>
    <t>CBB</t>
  </si>
  <si>
    <t>CNB</t>
  </si>
  <si>
    <t>CLC</t>
  </si>
  <si>
    <t>SMZB</t>
  </si>
  <si>
    <t>RH500C</t>
  </si>
  <si>
    <t>SMFB</t>
  </si>
  <si>
    <t>GE320</t>
  </si>
  <si>
    <t>M</t>
  </si>
  <si>
    <t>bot</t>
  </si>
  <si>
    <t>PP500C</t>
  </si>
  <si>
    <t>MGYZ</t>
  </si>
  <si>
    <t>WB</t>
  </si>
  <si>
    <t>WB BO LIL</t>
  </si>
  <si>
    <t>TOTAL INVENTORY PER CASE</t>
  </si>
  <si>
    <t>TOTAL INVENTORY BOTTLE PER CASE</t>
  </si>
  <si>
    <t>WAREHOUSE,  MISSING, BO, LILOY</t>
  </si>
  <si>
    <t>SML500C</t>
  </si>
  <si>
    <t xml:space="preserve">DATE: </t>
  </si>
  <si>
    <t>DATE: 06/01/2026</t>
  </si>
  <si>
    <t>DATE: 06/02/2026</t>
  </si>
  <si>
    <t>DATE: 06/03/2026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</si>
</sst>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(* #,##0.00_);_(* \(#,##0.00\);_(* &quot;-&quot;??_);_(@_)"/>
    <numFmt numFmtId="165" formatCode="[$-F800]dddd\,\ mmmm\ dd\,\ yyyy"/>
    <numFmt numFmtId="166" formatCode="_(* #,##0_);_(* \(#,##0\);_(* &quot;-&quot;??_);_(@_)"/>
  </numFmts>
  <fonts count="16" x14ac:knownFonts="1">
    <font>
      <sz val="11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0"/>
      <name val="Calibri"/>
      <family val="2"/>
      <scheme val="minor"/>
    </font>
    <font>
      <sz val="11"/>
      <color indexed="8"/>
      <name val="Calibri"/>
      <family val="2"/>
    </font>
    <font>
      <b/>
      <sz val="8"/>
      <name val="Calibri"/>
      <family val="2"/>
      <scheme val="minor"/>
    </font>
    <font>
      <sz val="10"/>
      <name val="Arial"/>
      <family val="2"/>
    </font>
    <font>
      <b/>
      <sz val="11"/>
      <name val="Calibri"/>
      <family val="2"/>
      <scheme val="minor"/>
    </font>
    <font>
      <b/>
      <sz val="12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b/>
      <sz val="9"/>
      <name val="Calibri"/>
      <family val="2"/>
      <scheme val="minor"/>
    </font>
    <font>
      <b/>
      <sz val="14"/>
      <name val="Calibri"/>
      <family val="2"/>
      <scheme val="minor"/>
    </font>
    <font>
      <sz val="14"/>
      <name val="Calibri"/>
      <family val="2"/>
      <scheme val="minor"/>
    </font>
    <font>
      <sz val="12"/>
      <name val="Calibri"/>
      <family val="2"/>
      <scheme val="minor"/>
    </font>
    <font>
      <b/>
      <sz val="9"/>
      <color rgb="FFFF0000"/>
      <name val="Calibri"/>
      <family val="2"/>
      <scheme val="minor"/>
    </font>
    <font>
      <b/>
      <sz val="12"/>
      <color rgb="FFFF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64">
    <border>
      <left/>
      <right/>
      <top/>
      <bottom/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rgb="FFFF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rgb="FFFF0000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rgb="FFFF0000"/>
      </bottom>
      <diagonal/>
    </border>
    <border>
      <left style="thin">
        <color auto="1"/>
      </left>
      <right style="thin">
        <color auto="1"/>
      </right>
      <top/>
      <bottom style="medium">
        <color rgb="FFFF0000"/>
      </bottom>
      <diagonal/>
    </border>
    <border>
      <left style="thin">
        <color auto="1"/>
      </left>
      <right style="medium">
        <color auto="1"/>
      </right>
      <top/>
      <bottom style="medium">
        <color rgb="FFFF0000"/>
      </bottom>
      <diagonal/>
    </border>
    <border>
      <left style="medium">
        <color auto="1"/>
      </left>
      <right style="thin">
        <color auto="1"/>
      </right>
      <top style="medium">
        <color rgb="FFFF0000"/>
      </top>
      <bottom style="medium">
        <color rgb="FFFF0000"/>
      </bottom>
      <diagonal/>
    </border>
    <border>
      <left style="thin">
        <color auto="1"/>
      </left>
      <right style="thin">
        <color auto="1"/>
      </right>
      <top style="medium">
        <color rgb="FFFF0000"/>
      </top>
      <bottom style="medium">
        <color rgb="FFFF0000"/>
      </bottom>
      <diagonal/>
    </border>
    <border>
      <left style="thin">
        <color auto="1"/>
      </left>
      <right style="medium">
        <color auto="1"/>
      </right>
      <top style="medium">
        <color rgb="FFFF0000"/>
      </top>
      <bottom style="medium">
        <color rgb="FFFF0000"/>
      </bottom>
      <diagonal/>
    </border>
    <border>
      <left/>
      <right/>
      <top/>
      <bottom style="medium">
        <color rgb="FFFF0000"/>
      </bottom>
      <diagonal/>
    </border>
    <border>
      <left style="medium">
        <color auto="1"/>
      </left>
      <right style="thin">
        <color auto="1"/>
      </right>
      <top/>
      <bottom style="medium">
        <color rgb="FFFF0000"/>
      </bottom>
      <diagonal/>
    </border>
    <border>
      <left style="medium">
        <color indexed="64"/>
      </left>
      <right style="medium">
        <color indexed="64"/>
      </right>
      <top/>
      <bottom style="medium">
        <color rgb="FFFF0000"/>
      </bottom>
      <diagonal/>
    </border>
    <border>
      <left/>
      <right/>
      <top style="medium">
        <color rgb="FFFF0000"/>
      </top>
      <bottom style="medium">
        <color rgb="FFFF0000"/>
      </bottom>
      <diagonal/>
    </border>
    <border>
      <left style="medium">
        <color indexed="64"/>
      </left>
      <right style="medium">
        <color indexed="64"/>
      </right>
      <top style="medium">
        <color rgb="FFFF0000"/>
      </top>
      <bottom style="medium">
        <color rgb="FFFF0000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indexed="64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rgb="FFFF0000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medium">
        <color rgb="FFFF0000"/>
      </top>
      <bottom style="medium">
        <color rgb="FFFF0000"/>
      </bottom>
      <diagonal/>
    </border>
    <border>
      <left style="thin">
        <color auto="1"/>
      </left>
      <right/>
      <top/>
      <bottom style="medium">
        <color rgb="FFFF0000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medium">
        <color rgb="FFFF0000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medium">
        <color rgb="FFFF0000"/>
      </top>
      <bottom style="medium">
        <color rgb="FFFF0000"/>
      </bottom>
      <diagonal/>
    </border>
    <border>
      <left/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medium">
        <color rgb="FFFF0000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rgb="FFFF0000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/>
      <right/>
      <top/>
      <bottom style="thin">
        <color indexed="64"/>
      </bottom>
      <diagonal/>
    </border>
  </borders>
  <cellStyleXfs count="4">
    <xf numFmtId="0" fontId="0" fillId="0" borderId="0"/>
    <xf numFmtId="164" fontId="3" fillId="0" borderId="0" applyFont="0" applyFill="0" applyBorder="0" applyAlignment="0" applyProtection="0"/>
    <xf numFmtId="0" fontId="5" fillId="0" borderId="0"/>
    <xf numFmtId="164" fontId="5" fillId="0" borderId="0" applyFont="0" applyFill="0" applyBorder="0" applyAlignment="0" applyProtection="0"/>
  </cellStyleXfs>
  <cellXfs count="118">
    <xf numFmtId="0" fontId="0" fillId="0" borderId="0" xfId="0"/>
    <xf numFmtId="166" fontId="2" fillId="0" borderId="6" xfId="3" applyNumberFormat="1" applyFont="1" applyFill="1" applyBorder="1" applyAlignment="1">
      <alignment vertical="center"/>
    </xf>
    <xf numFmtId="166" fontId="7" fillId="0" borderId="20" xfId="2" applyNumberFormat="1" applyFont="1" applyFill="1" applyBorder="1" applyAlignment="1">
      <alignment vertical="center"/>
    </xf>
    <xf numFmtId="166" fontId="2" fillId="0" borderId="23" xfId="3" applyNumberFormat="1" applyFont="1" applyFill="1" applyBorder="1" applyAlignment="1">
      <alignment vertical="center"/>
    </xf>
    <xf numFmtId="166" fontId="7" fillId="0" borderId="24" xfId="2" applyNumberFormat="1" applyFont="1" applyFill="1" applyBorder="1" applyAlignment="1">
      <alignment vertical="center"/>
    </xf>
    <xf numFmtId="166" fontId="7" fillId="0" borderId="19" xfId="2" applyNumberFormat="1" applyFont="1" applyFill="1" applyBorder="1" applyAlignment="1">
      <alignment vertical="center"/>
    </xf>
    <xf numFmtId="166" fontId="7" fillId="0" borderId="21" xfId="2" applyNumberFormat="1" applyFont="1" applyFill="1" applyBorder="1" applyAlignment="1">
      <alignment vertical="center"/>
    </xf>
    <xf numFmtId="166" fontId="2" fillId="0" borderId="25" xfId="3" applyNumberFormat="1" applyFont="1" applyFill="1" applyBorder="1" applyAlignment="1">
      <alignment vertical="center"/>
    </xf>
    <xf numFmtId="166" fontId="2" fillId="0" borderId="7" xfId="3" applyNumberFormat="1" applyFont="1" applyFill="1" applyBorder="1" applyAlignment="1">
      <alignment vertical="center"/>
    </xf>
    <xf numFmtId="0" fontId="2" fillId="0" borderId="0" xfId="2" applyFont="1" applyFill="1" applyAlignment="1">
      <alignment vertical="center"/>
    </xf>
    <xf numFmtId="0" fontId="7" fillId="0" borderId="0" xfId="2" applyFont="1" applyFill="1" applyAlignment="1">
      <alignment horizontal="center" vertical="center"/>
    </xf>
    <xf numFmtId="165" fontId="7" fillId="0" borderId="0" xfId="2" applyNumberFormat="1" applyFont="1" applyFill="1" applyAlignment="1">
      <alignment horizontal="center" vertical="center"/>
    </xf>
    <xf numFmtId="165" fontId="1" fillId="0" borderId="0" xfId="2" applyNumberFormat="1" applyFont="1" applyFill="1" applyAlignment="1">
      <alignment vertical="center"/>
    </xf>
    <xf numFmtId="0" fontId="1" fillId="0" borderId="0" xfId="2" applyFont="1" applyFill="1" applyAlignment="1">
      <alignment vertical="center"/>
    </xf>
    <xf numFmtId="166" fontId="8" fillId="0" borderId="0" xfId="2" applyNumberFormat="1" applyFont="1" applyFill="1" applyAlignment="1">
      <alignment vertical="center"/>
    </xf>
    <xf numFmtId="0" fontId="7" fillId="0" borderId="0" xfId="2" applyFont="1" applyFill="1" applyAlignment="1">
      <alignment vertical="center"/>
    </xf>
    <xf numFmtId="166" fontId="2" fillId="0" borderId="3" xfId="3" applyNumberFormat="1" applyFont="1" applyFill="1" applyBorder="1" applyAlignment="1">
      <alignment vertical="center"/>
    </xf>
    <xf numFmtId="166" fontId="2" fillId="0" borderId="2" xfId="3" applyNumberFormat="1" applyFont="1" applyFill="1" applyBorder="1" applyAlignment="1">
      <alignment vertical="center"/>
    </xf>
    <xf numFmtId="166" fontId="2" fillId="0" borderId="11" xfId="3" applyNumberFormat="1" applyFont="1" applyFill="1" applyBorder="1" applyAlignment="1">
      <alignment vertical="center"/>
    </xf>
    <xf numFmtId="166" fontId="2" fillId="0" borderId="13" xfId="3" applyNumberFormat="1" applyFont="1" applyFill="1" applyBorder="1" applyAlignment="1">
      <alignment vertical="center"/>
    </xf>
    <xf numFmtId="166" fontId="2" fillId="0" borderId="14" xfId="3" applyNumberFormat="1" applyFont="1" applyFill="1" applyBorder="1" applyAlignment="1">
      <alignment vertical="center"/>
    </xf>
    <xf numFmtId="166" fontId="2" fillId="0" borderId="15" xfId="3" applyNumberFormat="1" applyFont="1" applyFill="1" applyBorder="1" applyAlignment="1">
      <alignment vertical="center"/>
    </xf>
    <xf numFmtId="166" fontId="2" fillId="0" borderId="20" xfId="3" applyNumberFormat="1" applyFont="1" applyFill="1" applyBorder="1" applyAlignment="1">
      <alignment vertical="center"/>
    </xf>
    <xf numFmtId="166" fontId="2" fillId="0" borderId="21" xfId="3" applyNumberFormat="1" applyFont="1" applyFill="1" applyBorder="1" applyAlignment="1">
      <alignment vertical="center"/>
    </xf>
    <xf numFmtId="0" fontId="6" fillId="0" borderId="3" xfId="2" applyFont="1" applyFill="1" applyBorder="1" applyAlignment="1">
      <alignment horizontal="center" vertical="center"/>
    </xf>
    <xf numFmtId="0" fontId="11" fillId="0" borderId="16" xfId="2" applyFont="1" applyFill="1" applyBorder="1" applyAlignment="1">
      <alignment vertical="center"/>
    </xf>
    <xf numFmtId="0" fontId="11" fillId="0" borderId="5" xfId="2" applyFont="1" applyFill="1" applyBorder="1" applyAlignment="1">
      <alignment vertical="center"/>
    </xf>
    <xf numFmtId="0" fontId="11" fillId="0" borderId="0" xfId="2" applyFont="1" applyFill="1" applyAlignment="1">
      <alignment vertical="center"/>
    </xf>
    <xf numFmtId="0" fontId="12" fillId="0" borderId="0" xfId="2" applyFont="1" applyFill="1" applyAlignment="1">
      <alignment vertical="center"/>
    </xf>
    <xf numFmtId="0" fontId="11" fillId="0" borderId="19" xfId="2" applyFont="1" applyFill="1" applyBorder="1" applyAlignment="1">
      <alignment vertical="center" wrapText="1"/>
    </xf>
    <xf numFmtId="0" fontId="11" fillId="0" borderId="1" xfId="2" applyFont="1" applyFill="1" applyBorder="1" applyAlignment="1">
      <alignment vertical="center"/>
    </xf>
    <xf numFmtId="0" fontId="11" fillId="0" borderId="12" xfId="2" applyFont="1" applyFill="1" applyBorder="1" applyAlignment="1">
      <alignment vertical="center"/>
    </xf>
    <xf numFmtId="0" fontId="12" fillId="0" borderId="5" xfId="2" applyFont="1" applyFill="1" applyBorder="1" applyAlignment="1">
      <alignment vertical="center"/>
    </xf>
    <xf numFmtId="0" fontId="12" fillId="0" borderId="19" xfId="2" applyFont="1" applyFill="1" applyBorder="1" applyAlignment="1">
      <alignment vertical="center"/>
    </xf>
    <xf numFmtId="0" fontId="7" fillId="0" borderId="26" xfId="2" applyFont="1" applyFill="1" applyBorder="1" applyAlignment="1">
      <alignment horizontal="center" vertical="center"/>
    </xf>
    <xf numFmtId="0" fontId="7" fillId="0" borderId="27" xfId="2" applyFont="1" applyFill="1" applyBorder="1" applyAlignment="1">
      <alignment horizontal="center" vertical="center"/>
    </xf>
    <xf numFmtId="0" fontId="7" fillId="0" borderId="28" xfId="2" applyFont="1" applyFill="1" applyBorder="1" applyAlignment="1">
      <alignment horizontal="center" vertical="center"/>
    </xf>
    <xf numFmtId="0" fontId="7" fillId="0" borderId="5" xfId="2" applyFont="1" applyFill="1" applyBorder="1" applyAlignment="1">
      <alignment horizontal="center" vertical="center"/>
    </xf>
    <xf numFmtId="0" fontId="7" fillId="0" borderId="15" xfId="2" applyFont="1" applyFill="1" applyBorder="1" applyAlignment="1">
      <alignment horizontal="center" vertical="center"/>
    </xf>
    <xf numFmtId="0" fontId="10" fillId="0" borderId="29" xfId="2" applyFont="1" applyFill="1" applyBorder="1" applyAlignment="1">
      <alignment horizontal="center" vertical="center"/>
    </xf>
    <xf numFmtId="0" fontId="7" fillId="0" borderId="6" xfId="2" applyFont="1" applyFill="1" applyBorder="1" applyAlignment="1">
      <alignment horizontal="center" vertical="center"/>
    </xf>
    <xf numFmtId="0" fontId="7" fillId="0" borderId="12" xfId="2" applyFont="1" applyFill="1" applyBorder="1" applyAlignment="1">
      <alignment horizontal="center" vertical="center"/>
    </xf>
    <xf numFmtId="0" fontId="11" fillId="0" borderId="30" xfId="2" applyFont="1" applyFill="1" applyBorder="1" applyAlignment="1">
      <alignment vertical="center"/>
    </xf>
    <xf numFmtId="0" fontId="11" fillId="0" borderId="35" xfId="2" applyFont="1" applyFill="1" applyBorder="1" applyAlignment="1">
      <alignment vertical="center"/>
    </xf>
    <xf numFmtId="166" fontId="2" fillId="0" borderId="45" xfId="3" applyNumberFormat="1" applyFont="1" applyFill="1" applyBorder="1" applyAlignment="1">
      <alignment vertical="center"/>
    </xf>
    <xf numFmtId="166" fontId="2" fillId="0" borderId="44" xfId="3" applyNumberFormat="1" applyFont="1" applyFill="1" applyBorder="1" applyAlignment="1">
      <alignment vertical="center"/>
    </xf>
    <xf numFmtId="166" fontId="2" fillId="0" borderId="43" xfId="3" applyNumberFormat="1" applyFont="1" applyFill="1" applyBorder="1" applyAlignment="1">
      <alignment vertical="center"/>
    </xf>
    <xf numFmtId="166" fontId="2" fillId="0" borderId="22" xfId="3" applyNumberFormat="1" applyFont="1" applyFill="1" applyBorder="1" applyAlignment="1">
      <alignment vertical="center"/>
    </xf>
    <xf numFmtId="0" fontId="7" fillId="0" borderId="50" xfId="2" applyFont="1" applyFill="1" applyBorder="1" applyAlignment="1">
      <alignment horizontal="center" vertical="center"/>
    </xf>
    <xf numFmtId="0" fontId="7" fillId="0" borderId="51" xfId="2" applyFont="1" applyFill="1" applyBorder="1" applyAlignment="1">
      <alignment horizontal="center" vertical="center"/>
    </xf>
    <xf numFmtId="166" fontId="2" fillId="0" borderId="0" xfId="2" applyNumberFormat="1" applyFont="1" applyFill="1" applyAlignment="1">
      <alignment vertical="center"/>
    </xf>
    <xf numFmtId="0" fontId="11" fillId="0" borderId="59" xfId="2" applyFont="1" applyFill="1" applyBorder="1" applyAlignment="1">
      <alignment vertical="center"/>
    </xf>
    <xf numFmtId="166" fontId="13" fillId="0" borderId="6" xfId="3" applyNumberFormat="1" applyFont="1" applyFill="1" applyBorder="1" applyAlignment="1">
      <alignment vertical="center"/>
    </xf>
    <xf numFmtId="166" fontId="13" fillId="0" borderId="45" xfId="3" applyNumberFormat="1" applyFont="1" applyFill="1" applyBorder="1" applyAlignment="1">
      <alignment vertical="center"/>
    </xf>
    <xf numFmtId="166" fontId="13" fillId="0" borderId="15" xfId="3" applyNumberFormat="1" applyFont="1" applyFill="1" applyBorder="1" applyAlignment="1">
      <alignment vertical="center"/>
    </xf>
    <xf numFmtId="0" fontId="13" fillId="0" borderId="0" xfId="2" applyFont="1" applyFill="1" applyAlignment="1">
      <alignment vertical="center"/>
    </xf>
    <xf numFmtId="166" fontId="13" fillId="0" borderId="5" xfId="3" applyNumberFormat="1" applyFont="1" applyFill="1" applyBorder="1" applyAlignment="1">
      <alignment vertical="center"/>
    </xf>
    <xf numFmtId="166" fontId="13" fillId="0" borderId="51" xfId="3" applyNumberFormat="1" applyFont="1" applyFill="1" applyBorder="1" applyAlignment="1">
      <alignment vertical="center"/>
    </xf>
    <xf numFmtId="166" fontId="13" fillId="0" borderId="29" xfId="3" applyNumberFormat="1" applyFont="1" applyFill="1" applyBorder="1" applyAlignment="1">
      <alignment vertical="center"/>
    </xf>
    <xf numFmtId="166" fontId="13" fillId="0" borderId="31" xfId="3" applyNumberFormat="1" applyFont="1" applyFill="1" applyBorder="1" applyAlignment="1">
      <alignment vertical="center"/>
    </xf>
    <xf numFmtId="166" fontId="13" fillId="0" borderId="46" xfId="3" applyNumberFormat="1" applyFont="1" applyFill="1" applyBorder="1" applyAlignment="1">
      <alignment vertical="center"/>
    </xf>
    <xf numFmtId="166" fontId="13" fillId="0" borderId="32" xfId="3" applyNumberFormat="1" applyFont="1" applyFill="1" applyBorder="1" applyAlignment="1">
      <alignment vertical="center"/>
    </xf>
    <xf numFmtId="0" fontId="13" fillId="0" borderId="38" xfId="2" applyFont="1" applyFill="1" applyBorder="1" applyAlignment="1">
      <alignment vertical="center"/>
    </xf>
    <xf numFmtId="166" fontId="13" fillId="0" borderId="39" xfId="3" applyNumberFormat="1" applyFont="1" applyFill="1" applyBorder="1" applyAlignment="1">
      <alignment vertical="center"/>
    </xf>
    <xf numFmtId="166" fontId="13" fillId="0" borderId="52" xfId="3" applyNumberFormat="1" applyFont="1" applyFill="1" applyBorder="1" applyAlignment="1">
      <alignment vertical="center"/>
    </xf>
    <xf numFmtId="166" fontId="13" fillId="0" borderId="33" xfId="3" applyNumberFormat="1" applyFont="1" applyFill="1" applyBorder="1" applyAlignment="1">
      <alignment vertical="center"/>
    </xf>
    <xf numFmtId="166" fontId="13" fillId="0" borderId="49" xfId="3" applyNumberFormat="1" applyFont="1" applyFill="1" applyBorder="1" applyAlignment="1">
      <alignment vertical="center"/>
    </xf>
    <xf numFmtId="166" fontId="13" fillId="0" borderId="34" xfId="3" applyNumberFormat="1" applyFont="1" applyFill="1" applyBorder="1" applyAlignment="1">
      <alignment vertical="center"/>
    </xf>
    <xf numFmtId="166" fontId="13" fillId="0" borderId="58" xfId="3" applyNumberFormat="1" applyFont="1" applyFill="1" applyBorder="1" applyAlignment="1">
      <alignment vertical="center"/>
    </xf>
    <xf numFmtId="166" fontId="13" fillId="0" borderId="57" xfId="3" applyNumberFormat="1" applyFont="1" applyFill="1" applyBorder="1" applyAlignment="1">
      <alignment vertical="center"/>
    </xf>
    <xf numFmtId="166" fontId="13" fillId="0" borderId="17" xfId="3" applyNumberFormat="1" applyFont="1" applyFill="1" applyBorder="1" applyAlignment="1">
      <alignment vertical="center"/>
    </xf>
    <xf numFmtId="166" fontId="13" fillId="0" borderId="47" xfId="3" applyNumberFormat="1" applyFont="1" applyFill="1" applyBorder="1" applyAlignment="1">
      <alignment vertical="center"/>
    </xf>
    <xf numFmtId="166" fontId="13" fillId="0" borderId="18" xfId="3" applyNumberFormat="1" applyFont="1" applyFill="1" applyBorder="1" applyAlignment="1">
      <alignment vertical="center"/>
    </xf>
    <xf numFmtId="166" fontId="13" fillId="0" borderId="16" xfId="3" applyNumberFormat="1" applyFont="1" applyFill="1" applyBorder="1" applyAlignment="1">
      <alignment vertical="center"/>
    </xf>
    <xf numFmtId="166" fontId="13" fillId="0" borderId="53" xfId="3" applyNumberFormat="1" applyFont="1" applyFill="1" applyBorder="1" applyAlignment="1">
      <alignment vertical="center"/>
    </xf>
    <xf numFmtId="166" fontId="13" fillId="0" borderId="23" xfId="3" applyNumberFormat="1" applyFont="1" applyFill="1" applyBorder="1" applyAlignment="1">
      <alignment vertical="center"/>
    </xf>
    <xf numFmtId="166" fontId="13" fillId="0" borderId="56" xfId="3" applyNumberFormat="1" applyFont="1" applyFill="1" applyBorder="1" applyAlignment="1">
      <alignment vertical="center"/>
    </xf>
    <xf numFmtId="166" fontId="13" fillId="0" borderId="40" xfId="3" applyNumberFormat="1" applyFont="1" applyFill="1" applyBorder="1" applyAlignment="1">
      <alignment vertical="center"/>
    </xf>
    <xf numFmtId="166" fontId="13" fillId="0" borderId="60" xfId="3" applyNumberFormat="1" applyFont="1" applyFill="1" applyBorder="1" applyAlignment="1">
      <alignment vertical="center"/>
    </xf>
    <xf numFmtId="166" fontId="13" fillId="0" borderId="61" xfId="3" applyNumberFormat="1" applyFont="1" applyFill="1" applyBorder="1" applyAlignment="1">
      <alignment vertical="center"/>
    </xf>
    <xf numFmtId="166" fontId="13" fillId="0" borderId="62" xfId="3" applyNumberFormat="1" applyFont="1" applyFill="1" applyBorder="1" applyAlignment="1">
      <alignment vertical="center"/>
    </xf>
    <xf numFmtId="166" fontId="13" fillId="0" borderId="8" xfId="3" applyNumberFormat="1" applyFont="1" applyFill="1" applyBorder="1" applyAlignment="1">
      <alignment vertical="center"/>
    </xf>
    <xf numFmtId="166" fontId="13" fillId="0" borderId="36" xfId="3" applyNumberFormat="1" applyFont="1" applyFill="1" applyBorder="1" applyAlignment="1">
      <alignment vertical="center"/>
    </xf>
    <xf numFmtId="166" fontId="13" fillId="0" borderId="48" xfId="3" applyNumberFormat="1" applyFont="1" applyFill="1" applyBorder="1" applyAlignment="1">
      <alignment vertical="center"/>
    </xf>
    <xf numFmtId="166" fontId="13" fillId="0" borderId="37" xfId="3" applyNumberFormat="1" applyFont="1" applyFill="1" applyBorder="1" applyAlignment="1">
      <alignment vertical="center"/>
    </xf>
    <xf numFmtId="0" fontId="13" fillId="0" borderId="41" xfId="2" applyFont="1" applyFill="1" applyBorder="1" applyAlignment="1">
      <alignment vertical="center"/>
    </xf>
    <xf numFmtId="166" fontId="13" fillId="0" borderId="35" xfId="3" applyNumberFormat="1" applyFont="1" applyFill="1" applyBorder="1" applyAlignment="1">
      <alignment vertical="center"/>
    </xf>
    <xf numFmtId="166" fontId="13" fillId="0" borderId="54" xfId="3" applyNumberFormat="1" applyFont="1" applyFill="1" applyBorder="1" applyAlignment="1">
      <alignment vertical="center"/>
    </xf>
    <xf numFmtId="166" fontId="13" fillId="0" borderId="42" xfId="3" applyNumberFormat="1" applyFont="1" applyFill="1" applyBorder="1" applyAlignment="1">
      <alignment vertical="center"/>
    </xf>
    <xf numFmtId="0" fontId="7" fillId="0" borderId="45" xfId="2" applyFont="1" applyFill="1" applyBorder="1" applyAlignment="1">
      <alignment horizontal="center" vertical="center"/>
    </xf>
    <xf numFmtId="166" fontId="7" fillId="2" borderId="24" xfId="2" applyNumberFormat="1" applyFont="1" applyFill="1" applyBorder="1" applyAlignment="1">
      <alignment vertical="center"/>
    </xf>
    <xf numFmtId="0" fontId="11" fillId="0" borderId="0" xfId="2" applyFont="1" applyFill="1" applyBorder="1" applyAlignment="1">
      <alignment vertical="center" wrapText="1"/>
    </xf>
    <xf numFmtId="166" fontId="7" fillId="0" borderId="0" xfId="2" applyNumberFormat="1" applyFont="1" applyFill="1" applyBorder="1" applyAlignment="1">
      <alignment vertical="center"/>
    </xf>
    <xf numFmtId="0" fontId="15" fillId="0" borderId="6" xfId="2" applyFont="1" applyFill="1" applyBorder="1" applyAlignment="1">
      <alignment horizontal="center" vertical="center"/>
    </xf>
    <xf numFmtId="0" fontId="15" fillId="0" borderId="50" xfId="2" applyFont="1" applyFill="1" applyBorder="1" applyAlignment="1">
      <alignment horizontal="center" vertical="center"/>
    </xf>
    <xf numFmtId="0" fontId="13" fillId="0" borderId="63" xfId="2" applyFont="1" applyFill="1" applyBorder="1" applyAlignment="1">
      <alignment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9" xfId="2" applyFont="1" applyFill="1" applyBorder="1" applyAlignment="1">
      <alignment horizontal="center" vertical="center" wrapText="1"/>
    </xf>
    <xf numFmtId="0" fontId="7" fillId="0" borderId="23" xfId="2" applyFont="1" applyFill="1" applyBorder="1" applyAlignment="1">
      <alignment horizontal="center" vertical="center" wrapText="1"/>
    </xf>
    <xf numFmtId="0" fontId="15" fillId="0" borderId="45" xfId="2" applyFont="1" applyFill="1" applyBorder="1" applyAlignment="1">
      <alignment horizontal="center" vertical="center"/>
    </xf>
    <xf numFmtId="0" fontId="15" fillId="0" borderId="55" xfId="2" applyFont="1" applyFill="1" applyBorder="1" applyAlignment="1">
      <alignment horizontal="center" vertical="center"/>
    </xf>
    <xf numFmtId="0" fontId="7" fillId="0" borderId="22" xfId="2" applyFont="1" applyFill="1" applyBorder="1" applyAlignment="1">
      <alignment horizontal="center" vertical="center"/>
    </xf>
    <xf numFmtId="0" fontId="7" fillId="0" borderId="10" xfId="2" applyFont="1" applyFill="1" applyBorder="1" applyAlignment="1">
      <alignment horizontal="center" vertical="center"/>
    </xf>
    <xf numFmtId="0" fontId="7" fillId="0" borderId="4" xfId="2" applyFont="1" applyFill="1" applyBorder="1" applyAlignment="1">
      <alignment horizontal="center" vertical="center"/>
    </xf>
    <xf numFmtId="0" fontId="9" fillId="0" borderId="0" xfId="2" applyFont="1" applyFill="1" applyAlignment="1">
      <alignment horizontal="right" vertical="center"/>
    </xf>
    <xf numFmtId="0" fontId="7" fillId="0" borderId="13" xfId="2" applyFont="1" applyFill="1" applyBorder="1" applyAlignment="1">
      <alignment horizontal="center" vertical="center"/>
    </xf>
    <xf numFmtId="0" fontId="7" fillId="0" borderId="44" xfId="2" applyFont="1" applyFill="1" applyBorder="1" applyAlignment="1">
      <alignment horizontal="center" vertical="center"/>
    </xf>
    <xf numFmtId="0" fontId="7" fillId="0" borderId="14" xfId="2" applyFont="1" applyFill="1" applyBorder="1" applyAlignment="1">
      <alignment horizontal="center" vertical="center"/>
    </xf>
    <xf numFmtId="0" fontId="4" fillId="0" borderId="9" xfId="2" applyFont="1" applyFill="1" applyBorder="1" applyAlignment="1">
      <alignment horizontal="center" vertical="center" wrapText="1"/>
    </xf>
    <xf numFmtId="0" fontId="4" fillId="0" borderId="23" xfId="2" applyFont="1" applyFill="1" applyBorder="1" applyAlignment="1">
      <alignment horizontal="center" vertical="center" wrapText="1"/>
    </xf>
    <xf numFmtId="0" fontId="14" fillId="0" borderId="9" xfId="2" applyFont="1" applyFill="1" applyBorder="1" applyAlignment="1">
      <alignment horizontal="center" vertical="center" wrapText="1"/>
    </xf>
    <xf numFmtId="0" fontId="14" fillId="0" borderId="23" xfId="2" applyFont="1" applyFill="1" applyBorder="1" applyAlignment="1">
      <alignment horizontal="center" vertical="center" wrapText="1"/>
    </xf>
    <xf numFmtId="0" fontId="7" fillId="0" borderId="45" xfId="2" applyFont="1" applyFill="1" applyBorder="1" applyAlignment="1">
      <alignment horizontal="center" vertical="center"/>
    </xf>
    <xf numFmtId="0" fontId="7" fillId="0" borderId="55" xfId="2" applyFont="1" applyFill="1" applyBorder="1" applyAlignment="1">
      <alignment horizontal="center" vertical="center"/>
    </xf>
    <xf numFmtId="0" fontId="10" fillId="0" borderId="9" xfId="2" applyFont="1" applyFill="1" applyBorder="1" applyAlignment="1">
      <alignment horizontal="center" vertical="center" wrapText="1"/>
    </xf>
    <xf numFmtId="0" fontId="10" fillId="0" borderId="23" xfId="2" applyFont="1" applyFill="1" applyBorder="1" applyAlignment="1">
      <alignment horizontal="center" vertical="center" wrapText="1"/>
    </xf>
  </cellXfs>
  <cellStyles count="4">
    <cellStyle name="Comma 2" xfId="1" xr:uid="{7E3C6B93-9232-4BE3-88EC-0E92E18B612E}"/>
    <cellStyle name="Comma 3" xfId="3" xr:uid="{B13EF1CC-7615-4728-8423-930D2E0A2DD0}"/>
    <cellStyle name="Normal" xfId="0" builtinId="0"/>
    <cellStyle name="Normal 2" xfId="2" xr:uid="{673CC06A-9352-4BA0-8197-2C6B88CEA13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AAD0B5-9BBE-4B8F-9457-EBD483EDFB0D}">
  <sheetPr>
    <pageSetUpPr fitToPage="1"/>
  </sheetPr>
  <dimension ref="A1:BB83"/>
  <sheetViews>
    <sheetView view="pageBreakPreview" zoomScale="55" zoomScaleNormal="100" zoomScaleSheetLayoutView="55" workbookViewId="0">
      <selection activeCell="U58" sqref="U58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6.7109375" style="9" customWidth="1"/>
    <col min="9" max="9" width="6.7109375" style="9" bestFit="1" customWidth="1"/>
    <col min="10" max="10" width="6.85546875" style="9" customWidth="1"/>
    <col min="11" max="11" width="6.710937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06" t="s">
        <v>43</v>
      </c>
      <c r="J1" s="106"/>
      <c r="K1" s="106"/>
      <c r="L1" s="106"/>
      <c r="M1" s="106"/>
      <c r="N1" s="106"/>
      <c r="O1" s="106"/>
      <c r="P1" s="106"/>
      <c r="Q1" s="106"/>
      <c r="R1" s="106"/>
      <c r="S1" s="106"/>
      <c r="T1" s="106"/>
      <c r="U1" s="106"/>
    </row>
    <row r="2" spans="1:54" x14ac:dyDescent="0.25">
      <c r="B2" s="28" t="s">
        <v>70</v>
      </c>
    </row>
    <row r="3" spans="1:54" ht="19.5" thickBot="1" x14ac:dyDescent="0.3"/>
    <row r="4" spans="1:54" s="10" customFormat="1" ht="15.75" x14ac:dyDescent="0.25">
      <c r="B4" s="41" t="s">
        <v>52</v>
      </c>
      <c r="C4" s="107" t="s">
        <v>41</v>
      </c>
      <c r="D4" s="107"/>
      <c r="E4" s="107"/>
      <c r="F4" s="107"/>
      <c r="G4" s="107"/>
      <c r="H4" s="107"/>
      <c r="I4" s="107"/>
      <c r="J4" s="108"/>
      <c r="K4" s="109"/>
      <c r="M4" s="34" t="s">
        <v>0</v>
      </c>
      <c r="N4" s="94" t="s">
        <v>61</v>
      </c>
      <c r="O4" s="35" t="s">
        <v>39</v>
      </c>
      <c r="P4" s="94" t="s">
        <v>61</v>
      </c>
      <c r="Q4" s="36" t="s">
        <v>40</v>
      </c>
      <c r="R4" s="94" t="s">
        <v>61</v>
      </c>
      <c r="S4" s="9"/>
      <c r="T4" s="110" t="s">
        <v>68</v>
      </c>
      <c r="U4" s="112" t="s">
        <v>67</v>
      </c>
      <c r="V4" s="99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93" t="s">
        <v>64</v>
      </c>
      <c r="I5" s="93" t="s">
        <v>60</v>
      </c>
      <c r="J5" s="101" t="s">
        <v>65</v>
      </c>
      <c r="K5" s="102"/>
      <c r="M5" s="37"/>
      <c r="N5" s="49"/>
      <c r="O5" s="40"/>
      <c r="P5" s="89"/>
      <c r="Q5" s="89"/>
      <c r="R5" s="38"/>
      <c r="S5" s="9"/>
      <c r="T5" s="111"/>
      <c r="U5" s="113"/>
      <c r="V5" s="100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89"/>
      <c r="K6" s="38"/>
      <c r="M6" s="37"/>
      <c r="N6" s="49"/>
      <c r="O6" s="40"/>
      <c r="P6" s="89"/>
      <c r="Q6" s="89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/>
      <c r="D7" s="52"/>
      <c r="E7" s="52"/>
      <c r="F7" s="52"/>
      <c r="G7" s="52"/>
      <c r="H7" s="52"/>
      <c r="I7" s="52"/>
      <c r="J7" s="53"/>
      <c r="K7" s="54"/>
      <c r="L7" s="55"/>
      <c r="M7" s="56"/>
      <c r="N7" s="57"/>
      <c r="O7" s="52"/>
      <c r="P7" s="53"/>
      <c r="Q7" s="53"/>
      <c r="R7" s="54"/>
      <c r="S7" s="55"/>
      <c r="T7" s="58">
        <f>H7+I7+J7+K7+N7+P7+R7</f>
        <v>0</v>
      </c>
      <c r="U7" s="58">
        <f>C7*24+M7*24+O7*24+Q7*24+T7</f>
        <v>0</v>
      </c>
      <c r="V7" s="58">
        <f>U7/24</f>
        <v>0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/>
      <c r="D8" s="59"/>
      <c r="E8" s="59"/>
      <c r="F8" s="59"/>
      <c r="G8" s="59"/>
      <c r="H8" s="59"/>
      <c r="I8" s="59"/>
      <c r="J8" s="60"/>
      <c r="K8" s="61"/>
      <c r="L8" s="62"/>
      <c r="M8" s="63"/>
      <c r="N8" s="64"/>
      <c r="O8" s="65"/>
      <c r="P8" s="66"/>
      <c r="Q8" s="66"/>
      <c r="R8" s="67"/>
      <c r="S8" s="62"/>
      <c r="T8" s="68">
        <f t="shared" ref="T8:T41" si="0">H8+I8+J8+K8+N8+P8+R8</f>
        <v>0</v>
      </c>
      <c r="U8" s="69">
        <f>C8*24+M8*24+O8*24+Q8*24+T8</f>
        <v>0</v>
      </c>
      <c r="V8" s="69">
        <f>U8/24</f>
        <v>0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/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/>
      <c r="P9" s="71"/>
      <c r="Q9" s="71"/>
      <c r="R9" s="72"/>
      <c r="S9" s="55"/>
      <c r="T9" s="75">
        <f t="shared" si="0"/>
        <v>0</v>
      </c>
      <c r="U9" s="76">
        <f t="shared" ref="U9:U11" si="2">C9*24+M9*24+O9*24+Q9*24+T9</f>
        <v>0</v>
      </c>
      <c r="V9" s="76">
        <f t="shared" ref="V9:V11" si="3">U9/24</f>
        <v>0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/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0</v>
      </c>
      <c r="V10" s="58">
        <f t="shared" si="3"/>
        <v>0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/>
      <c r="D11" s="70"/>
      <c r="E11" s="70"/>
      <c r="F11" s="70"/>
      <c r="G11" s="70"/>
      <c r="H11" s="70"/>
      <c r="I11" s="70"/>
      <c r="J11" s="71"/>
      <c r="K11" s="72"/>
      <c r="L11" s="55"/>
      <c r="M11" s="73"/>
      <c r="N11" s="74"/>
      <c r="O11" s="70"/>
      <c r="P11" s="71"/>
      <c r="Q11" s="71"/>
      <c r="R11" s="72"/>
      <c r="S11" s="55"/>
      <c r="T11" s="58">
        <f t="shared" si="0"/>
        <v>0</v>
      </c>
      <c r="U11" s="58">
        <f t="shared" si="2"/>
        <v>0</v>
      </c>
      <c r="V11" s="58">
        <f t="shared" si="3"/>
        <v>0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/>
      <c r="D12" s="59"/>
      <c r="E12" s="59"/>
      <c r="F12" s="59"/>
      <c r="G12" s="59"/>
      <c r="H12" s="59"/>
      <c r="I12" s="59"/>
      <c r="J12" s="60"/>
      <c r="K12" s="61"/>
      <c r="L12" s="62"/>
      <c r="M12" s="63"/>
      <c r="N12" s="64"/>
      <c r="O12" s="65"/>
      <c r="P12" s="66"/>
      <c r="Q12" s="66"/>
      <c r="R12" s="67"/>
      <c r="S12" s="62"/>
      <c r="T12" s="58">
        <f t="shared" si="0"/>
        <v>0</v>
      </c>
      <c r="U12" s="69">
        <f>C12*24+M12*24+O12*24+Q12*24+T12</f>
        <v>0</v>
      </c>
      <c r="V12" s="69">
        <f>U12/24</f>
        <v>0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/>
      <c r="D13" s="70"/>
      <c r="E13" s="70"/>
      <c r="F13" s="70"/>
      <c r="G13" s="70"/>
      <c r="H13" s="70"/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58">
        <f t="shared" si="0"/>
        <v>0</v>
      </c>
      <c r="U13" s="76">
        <f>C13*24+M13*24+O13*24+Q13*24+T13</f>
        <v>0</v>
      </c>
      <c r="V13" s="76">
        <f>U13/24</f>
        <v>0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/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0</v>
      </c>
      <c r="V14" s="75">
        <f t="shared" ref="V14:V36" si="5">U14/24</f>
        <v>0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/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0</v>
      </c>
      <c r="U17" s="75">
        <f t="shared" si="4"/>
        <v>0</v>
      </c>
      <c r="V17" s="75">
        <f t="shared" si="5"/>
        <v>0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/>
      <c r="D19" s="70"/>
      <c r="E19" s="70"/>
      <c r="F19" s="70"/>
      <c r="G19" s="70"/>
      <c r="H19" s="70"/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0</v>
      </c>
      <c r="U19" s="75">
        <f t="shared" si="4"/>
        <v>0</v>
      </c>
      <c r="V19" s="75">
        <f t="shared" si="5"/>
        <v>0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/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0</v>
      </c>
      <c r="V20" s="75">
        <f t="shared" si="5"/>
        <v>0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/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0</v>
      </c>
      <c r="U21" s="75">
        <f t="shared" si="4"/>
        <v>0</v>
      </c>
      <c r="V21" s="75">
        <f t="shared" si="5"/>
        <v>0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/>
      <c r="I22" s="70"/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0</v>
      </c>
      <c r="U22" s="75">
        <f t="shared" si="4"/>
        <v>0</v>
      </c>
      <c r="V22" s="75">
        <f t="shared" si="5"/>
        <v>0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/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0</v>
      </c>
      <c r="U23" s="75">
        <f t="shared" si="4"/>
        <v>0</v>
      </c>
      <c r="V23" s="75">
        <f t="shared" si="5"/>
        <v>0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/>
      <c r="D24" s="70"/>
      <c r="E24" s="70"/>
      <c r="F24" s="70"/>
      <c r="G24" s="70"/>
      <c r="H24" s="70"/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0</v>
      </c>
      <c r="U24" s="75">
        <f t="shared" si="4"/>
        <v>0</v>
      </c>
      <c r="V24" s="75">
        <f t="shared" si="5"/>
        <v>0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/>
      <c r="D25" s="70"/>
      <c r="E25" s="70"/>
      <c r="F25" s="70"/>
      <c r="G25" s="70"/>
      <c r="H25" s="70"/>
      <c r="I25" s="70"/>
      <c r="J25" s="71"/>
      <c r="K25" s="72"/>
      <c r="L25" s="55"/>
      <c r="M25" s="73"/>
      <c r="N25" s="74"/>
      <c r="O25" s="70"/>
      <c r="P25" s="71"/>
      <c r="Q25" s="71"/>
      <c r="R25" s="72"/>
      <c r="S25" s="55"/>
      <c r="T25" s="58">
        <f t="shared" si="0"/>
        <v>0</v>
      </c>
      <c r="U25" s="75">
        <f t="shared" si="4"/>
        <v>0</v>
      </c>
      <c r="V25" s="75">
        <f t="shared" si="5"/>
        <v>0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/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/>
      <c r="U27" s="75"/>
      <c r="V27" s="75"/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/>
      <c r="D28" s="70"/>
      <c r="E28" s="70"/>
      <c r="F28" s="70"/>
      <c r="G28" s="70"/>
      <c r="H28" s="70"/>
      <c r="I28" s="70"/>
      <c r="J28" s="71"/>
      <c r="K28" s="72"/>
      <c r="L28" s="55"/>
      <c r="M28" s="73"/>
      <c r="N28" s="74"/>
      <c r="O28" s="70"/>
      <c r="P28" s="71"/>
      <c r="Q28" s="71"/>
      <c r="R28" s="72"/>
      <c r="S28" s="55"/>
      <c r="T28" s="58">
        <f t="shared" si="0"/>
        <v>0</v>
      </c>
      <c r="U28" s="75">
        <f t="shared" si="4"/>
        <v>0</v>
      </c>
      <c r="V28" s="75">
        <f t="shared" si="5"/>
        <v>0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/>
      <c r="D29" s="70"/>
      <c r="E29" s="70"/>
      <c r="F29" s="70"/>
      <c r="G29" s="70"/>
      <c r="H29" s="70"/>
      <c r="I29" s="70"/>
      <c r="J29" s="71"/>
      <c r="K29" s="72"/>
      <c r="L29" s="55"/>
      <c r="M29" s="73"/>
      <c r="N29" s="74"/>
      <c r="O29" s="70"/>
      <c r="P29" s="71"/>
      <c r="Q29" s="71"/>
      <c r="R29" s="72"/>
      <c r="S29" s="55"/>
      <c r="T29" s="58">
        <f t="shared" si="0"/>
        <v>0</v>
      </c>
      <c r="U29" s="75">
        <f t="shared" si="4"/>
        <v>0</v>
      </c>
      <c r="V29" s="75">
        <f t="shared" si="5"/>
        <v>0</v>
      </c>
    </row>
    <row r="30" spans="1:54" x14ac:dyDescent="0.25">
      <c r="A30" s="27">
        <f t="shared" si="1"/>
        <v>27</v>
      </c>
      <c r="B30" s="26" t="s">
        <v>15</v>
      </c>
      <c r="C30" s="70"/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/>
      <c r="R30" s="72"/>
      <c r="S30" s="55"/>
      <c r="T30" s="58">
        <f t="shared" si="0"/>
        <v>0</v>
      </c>
      <c r="U30" s="75">
        <f t="shared" si="4"/>
        <v>0</v>
      </c>
      <c r="V30" s="75">
        <f t="shared" si="5"/>
        <v>0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0</v>
      </c>
      <c r="V33" s="75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0"/>
      <c r="D34" s="70"/>
      <c r="E34" s="70"/>
      <c r="F34" s="70"/>
      <c r="G34" s="70"/>
      <c r="H34" s="70"/>
      <c r="I34" s="70"/>
      <c r="J34" s="71"/>
      <c r="K34" s="72"/>
      <c r="L34" s="55"/>
      <c r="M34" s="73"/>
      <c r="N34" s="74"/>
      <c r="O34" s="70"/>
      <c r="P34" s="71"/>
      <c r="Q34" s="71"/>
      <c r="R34" s="72"/>
      <c r="S34" s="55"/>
      <c r="T34" s="58">
        <f t="shared" si="0"/>
        <v>0</v>
      </c>
      <c r="U34" s="75">
        <f t="shared" si="4"/>
        <v>0</v>
      </c>
      <c r="V34" s="75">
        <f t="shared" si="5"/>
        <v>0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/>
      <c r="D37" s="59"/>
      <c r="E37" s="59"/>
      <c r="F37" s="59"/>
      <c r="G37" s="59"/>
      <c r="H37" s="59"/>
      <c r="I37" s="59"/>
      <c r="J37" s="60"/>
      <c r="K37" s="61"/>
      <c r="L37" s="62"/>
      <c r="M37" s="63"/>
      <c r="N37" s="64"/>
      <c r="O37" s="65"/>
      <c r="P37" s="66"/>
      <c r="Q37" s="66"/>
      <c r="R37" s="67"/>
      <c r="S37" s="62"/>
      <c r="T37" s="77">
        <f t="shared" si="0"/>
        <v>0</v>
      </c>
      <c r="U37" s="77">
        <f>C37*6+M37*6+O37*6+Q37*6+T37</f>
        <v>0</v>
      </c>
      <c r="V37" s="77">
        <f>U37/6</f>
        <v>0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56"/>
      <c r="N39" s="57"/>
      <c r="O39" s="52"/>
      <c r="P39" s="53"/>
      <c r="Q39" s="52"/>
      <c r="R39" s="80"/>
      <c r="S39" s="55"/>
      <c r="T39" s="81"/>
      <c r="U39" s="81"/>
      <c r="V39" s="81"/>
    </row>
    <row r="40" spans="1:23" ht="19.5" thickBot="1" x14ac:dyDescent="0.3">
      <c r="A40" s="27">
        <f t="shared" si="1"/>
        <v>37</v>
      </c>
      <c r="B40" s="42" t="s">
        <v>21</v>
      </c>
      <c r="C40" s="59"/>
      <c r="D40" s="59"/>
      <c r="E40" s="59"/>
      <c r="F40" s="59"/>
      <c r="G40" s="59"/>
      <c r="H40" s="59"/>
      <c r="I40" s="59"/>
      <c r="J40" s="60"/>
      <c r="K40" s="61"/>
      <c r="L40" s="62"/>
      <c r="M40" s="63"/>
      <c r="N40" s="64"/>
      <c r="O40" s="65"/>
      <c r="P40" s="66"/>
      <c r="Q40" s="66"/>
      <c r="R40" s="67"/>
      <c r="S40" s="62"/>
      <c r="T40" s="77">
        <f t="shared" si="0"/>
        <v>0</v>
      </c>
      <c r="U40" s="77">
        <f>C40*24+M40*24+O40*24+Q40*24+T40</f>
        <v>0</v>
      </c>
      <c r="V40" s="77">
        <f>U40/24</f>
        <v>0</v>
      </c>
    </row>
    <row r="41" spans="1:23" ht="19.5" thickBot="1" x14ac:dyDescent="0.3">
      <c r="A41" s="27">
        <f t="shared" si="1"/>
        <v>38</v>
      </c>
      <c r="B41" s="43" t="s">
        <v>22</v>
      </c>
      <c r="C41" s="82"/>
      <c r="D41" s="82"/>
      <c r="E41" s="82"/>
      <c r="F41" s="82"/>
      <c r="G41" s="82"/>
      <c r="H41" s="82"/>
      <c r="I41" s="82"/>
      <c r="J41" s="83"/>
      <c r="K41" s="84"/>
      <c r="L41" s="85"/>
      <c r="M41" s="86"/>
      <c r="N41" s="87"/>
      <c r="O41" s="82"/>
      <c r="P41" s="83"/>
      <c r="Q41" s="83"/>
      <c r="R41" s="84"/>
      <c r="S41" s="85"/>
      <c r="T41" s="88">
        <f t="shared" si="0"/>
        <v>0</v>
      </c>
      <c r="U41" s="88">
        <f>C41*12+M41*12+O41*12+Q41*12+T41</f>
        <v>0</v>
      </c>
      <c r="V41" s="88">
        <f>U41/12</f>
        <v>0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/>
      <c r="D43" s="65"/>
      <c r="E43" s="65"/>
      <c r="F43" s="65"/>
      <c r="G43" s="65"/>
      <c r="H43" s="65"/>
      <c r="I43" s="65"/>
      <c r="J43" s="66"/>
      <c r="K43" s="67"/>
      <c r="L43" s="62"/>
      <c r="M43" s="63"/>
      <c r="N43" s="64"/>
      <c r="O43" s="65"/>
      <c r="P43" s="66"/>
      <c r="Q43" s="66"/>
      <c r="R43" s="67"/>
      <c r="S43" s="62"/>
      <c r="T43" s="77">
        <f t="shared" ref="T43" si="6">H43+I43+J43+K43+N43+P43+R43</f>
        <v>0</v>
      </c>
      <c r="U43" s="77">
        <f>C43*6+M43*6+O43*6+Q43*6+T43</f>
        <v>0</v>
      </c>
      <c r="V43" s="77">
        <f>U43/6</f>
        <v>0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/>
      <c r="D47" s="65"/>
      <c r="E47" s="65"/>
      <c r="F47" s="65"/>
      <c r="G47" s="65"/>
      <c r="H47" s="65"/>
      <c r="I47" s="65"/>
      <c r="J47" s="66"/>
      <c r="K47" s="67"/>
      <c r="L47" s="62"/>
      <c r="M47" s="63"/>
      <c r="N47" s="64"/>
      <c r="O47" s="65"/>
      <c r="P47" s="66"/>
      <c r="Q47" s="66"/>
      <c r="R47" s="67"/>
      <c r="S47" s="62"/>
      <c r="T47" s="77">
        <f t="shared" si="7"/>
        <v>0</v>
      </c>
      <c r="U47" s="77">
        <f>C47*6+M47*6+O47*6+Q47*6+T47</f>
        <v>0</v>
      </c>
      <c r="V47" s="77">
        <f>U47/6</f>
        <v>0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/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0</v>
      </c>
      <c r="U48" s="75">
        <f t="shared" si="8"/>
        <v>0</v>
      </c>
      <c r="V48" s="75">
        <f t="shared" si="9"/>
        <v>0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/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0</v>
      </c>
      <c r="V51" s="77">
        <f>U51/6</f>
        <v>0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/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0</v>
      </c>
      <c r="V53" s="75">
        <f t="shared" si="9"/>
        <v>0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0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0</v>
      </c>
      <c r="I58" s="6">
        <f t="shared" si="11"/>
        <v>0</v>
      </c>
      <c r="J58" s="6">
        <f t="shared" si="11"/>
        <v>0</v>
      </c>
      <c r="K58" s="6">
        <f t="shared" si="11"/>
        <v>0</v>
      </c>
      <c r="M58" s="5">
        <f t="shared" ref="M58:R58" si="12">SUM(M7:M57)</f>
        <v>0</v>
      </c>
      <c r="N58" s="5">
        <f t="shared" si="12"/>
        <v>0</v>
      </c>
      <c r="O58" s="5">
        <f t="shared" si="12"/>
        <v>0</v>
      </c>
      <c r="P58" s="5">
        <f t="shared" si="12"/>
        <v>0</v>
      </c>
      <c r="Q58" s="5">
        <f t="shared" si="12"/>
        <v>0</v>
      </c>
      <c r="R58" s="5">
        <f t="shared" si="12"/>
        <v>0</v>
      </c>
      <c r="S58" s="55"/>
      <c r="T58" s="4">
        <f>SUM(T7:T57)</f>
        <v>0</v>
      </c>
      <c r="U58" s="4">
        <f>SUM(U7:U57)</f>
        <v>0</v>
      </c>
      <c r="V58" s="4">
        <f>SUM(V7:V57)</f>
        <v>0</v>
      </c>
    </row>
    <row r="59" spans="1:22" s="15" customFormat="1" x14ac:dyDescent="0.25">
      <c r="B59" s="91"/>
      <c r="C59" s="92"/>
      <c r="D59" s="92"/>
      <c r="E59" s="92"/>
      <c r="F59" s="92"/>
      <c r="G59" s="92"/>
      <c r="H59" s="92"/>
      <c r="I59" s="92"/>
      <c r="J59" s="92"/>
      <c r="K59" s="92"/>
      <c r="M59" s="92"/>
      <c r="N59" s="92"/>
      <c r="O59" s="92"/>
      <c r="P59" s="92"/>
      <c r="Q59" s="92"/>
      <c r="R59" s="92"/>
      <c r="S59" s="55"/>
      <c r="T59" s="92"/>
      <c r="U59" s="92"/>
      <c r="V59" s="92"/>
    </row>
    <row r="60" spans="1:22" s="15" customFormat="1" x14ac:dyDescent="0.25">
      <c r="B60" s="91"/>
      <c r="C60" s="92"/>
      <c r="D60" s="92"/>
      <c r="E60" s="92"/>
      <c r="F60" s="92"/>
      <c r="G60" s="92"/>
      <c r="H60" s="92"/>
      <c r="I60" s="92"/>
      <c r="J60" s="92"/>
      <c r="K60" s="92"/>
      <c r="M60" s="92"/>
      <c r="N60" s="92"/>
      <c r="O60" s="92"/>
      <c r="P60" s="92"/>
      <c r="Q60" s="92"/>
      <c r="R60" s="92"/>
      <c r="S60" s="55"/>
      <c r="T60" s="92"/>
      <c r="U60" s="92"/>
      <c r="V60" s="92"/>
    </row>
    <row r="61" spans="1:22" ht="20.25" customHeight="1" thickBot="1" x14ac:dyDescent="0.3"/>
    <row r="62" spans="1:22" ht="19.5" thickBot="1" x14ac:dyDescent="0.3">
      <c r="B62" s="30" t="s">
        <v>37</v>
      </c>
      <c r="C62" s="103" t="s">
        <v>41</v>
      </c>
      <c r="D62" s="104"/>
      <c r="E62" s="104"/>
      <c r="F62" s="104"/>
      <c r="G62" s="104"/>
      <c r="H62" s="104"/>
      <c r="I62" s="104"/>
      <c r="J62" s="104"/>
      <c r="K62" s="105"/>
      <c r="U62" s="24" t="s">
        <v>51</v>
      </c>
    </row>
    <row r="63" spans="1:22" x14ac:dyDescent="0.25">
      <c r="B63" s="31" t="s">
        <v>17</v>
      </c>
      <c r="C63" s="19"/>
      <c r="D63" s="19"/>
      <c r="E63" s="19"/>
      <c r="F63" s="19"/>
      <c r="G63" s="19"/>
      <c r="H63" s="19"/>
      <c r="I63" s="19"/>
      <c r="J63" s="45"/>
      <c r="K63" s="20"/>
      <c r="U63" s="7"/>
    </row>
    <row r="64" spans="1:22" x14ac:dyDescent="0.25">
      <c r="B64" s="32" t="s">
        <v>45</v>
      </c>
      <c r="C64" s="1"/>
      <c r="D64" s="1"/>
      <c r="E64" s="1"/>
      <c r="F64" s="1"/>
      <c r="G64" s="1"/>
      <c r="H64" s="1"/>
      <c r="I64" s="1"/>
      <c r="J64" s="44"/>
      <c r="K64" s="21"/>
      <c r="U64" s="3"/>
    </row>
    <row r="65" spans="2:21" ht="19.5" thickBot="1" x14ac:dyDescent="0.3">
      <c r="B65" s="33" t="s">
        <v>44</v>
      </c>
      <c r="C65" s="22"/>
      <c r="D65" s="22"/>
      <c r="E65" s="22"/>
      <c r="F65" s="22"/>
      <c r="G65" s="22"/>
      <c r="H65" s="22"/>
      <c r="I65" s="22"/>
      <c r="J65" s="46"/>
      <c r="K65" s="23"/>
      <c r="U65" s="8"/>
    </row>
    <row r="66" spans="2:21" ht="7.5" customHeight="1" thickBot="1" x14ac:dyDescent="0.3"/>
    <row r="67" spans="2:21" x14ac:dyDescent="0.25">
      <c r="B67" s="31" t="s">
        <v>46</v>
      </c>
      <c r="C67" s="19"/>
      <c r="D67" s="19"/>
      <c r="E67" s="19"/>
      <c r="F67" s="19"/>
      <c r="G67" s="19"/>
      <c r="H67" s="19"/>
      <c r="I67" s="19"/>
      <c r="J67" s="45"/>
      <c r="K67" s="20"/>
      <c r="U67" s="7"/>
    </row>
    <row r="68" spans="2:21" x14ac:dyDescent="0.25">
      <c r="B68" s="32" t="s">
        <v>45</v>
      </c>
      <c r="C68" s="1"/>
      <c r="D68" s="1"/>
      <c r="E68" s="1"/>
      <c r="F68" s="1"/>
      <c r="G68" s="1"/>
      <c r="H68" s="1"/>
      <c r="I68" s="1"/>
      <c r="J68" s="44"/>
      <c r="K68" s="21"/>
      <c r="U68" s="3"/>
    </row>
    <row r="69" spans="2:21" ht="19.5" thickBot="1" x14ac:dyDescent="0.3">
      <c r="B69" s="33" t="s">
        <v>44</v>
      </c>
      <c r="C69" s="22"/>
      <c r="D69" s="22"/>
      <c r="E69" s="22"/>
      <c r="F69" s="22"/>
      <c r="G69" s="22"/>
      <c r="H69" s="22"/>
      <c r="I69" s="22"/>
      <c r="J69" s="46"/>
      <c r="K69" s="23"/>
      <c r="U69" s="8"/>
    </row>
    <row r="70" spans="2:21" ht="7.5" customHeight="1" thickBot="1" x14ac:dyDescent="0.3"/>
    <row r="71" spans="2:21" x14ac:dyDescent="0.25">
      <c r="B71" s="31" t="s">
        <v>38</v>
      </c>
      <c r="C71" s="19"/>
      <c r="D71" s="19"/>
      <c r="E71" s="19"/>
      <c r="F71" s="19"/>
      <c r="G71" s="19"/>
      <c r="H71" s="19"/>
      <c r="I71" s="19"/>
      <c r="J71" s="45"/>
      <c r="K71" s="20"/>
      <c r="U71" s="7"/>
    </row>
    <row r="72" spans="2:21" x14ac:dyDescent="0.25">
      <c r="B72" s="32" t="s">
        <v>45</v>
      </c>
      <c r="C72" s="1"/>
      <c r="D72" s="1"/>
      <c r="E72" s="1"/>
      <c r="F72" s="1"/>
      <c r="G72" s="1"/>
      <c r="H72" s="1"/>
      <c r="I72" s="1"/>
      <c r="J72" s="44"/>
      <c r="K72" s="21"/>
      <c r="U72" s="3"/>
    </row>
    <row r="73" spans="2:21" ht="19.5" thickBot="1" x14ac:dyDescent="0.3">
      <c r="B73" s="33" t="s">
        <v>44</v>
      </c>
      <c r="C73" s="22"/>
      <c r="D73" s="22"/>
      <c r="E73" s="22"/>
      <c r="F73" s="22"/>
      <c r="G73" s="22"/>
      <c r="H73" s="22"/>
      <c r="I73" s="22"/>
      <c r="J73" s="46"/>
      <c r="K73" s="23"/>
      <c r="U73" s="8"/>
    </row>
    <row r="74" spans="2:21" ht="7.5" customHeight="1" thickBot="1" x14ac:dyDescent="0.3"/>
    <row r="75" spans="2:21" x14ac:dyDescent="0.25">
      <c r="B75" s="31" t="s">
        <v>47</v>
      </c>
      <c r="C75" s="19"/>
      <c r="D75" s="19"/>
      <c r="E75" s="19"/>
      <c r="F75" s="19"/>
      <c r="G75" s="19"/>
      <c r="H75" s="19"/>
      <c r="I75" s="19"/>
      <c r="J75" s="45"/>
      <c r="K75" s="20"/>
      <c r="U75" s="7"/>
    </row>
    <row r="76" spans="2:21" x14ac:dyDescent="0.25">
      <c r="B76" s="32" t="s">
        <v>45</v>
      </c>
      <c r="C76" s="1"/>
      <c r="D76" s="1"/>
      <c r="E76" s="1"/>
      <c r="F76" s="1"/>
      <c r="G76" s="1"/>
      <c r="H76" s="1"/>
      <c r="I76" s="1"/>
      <c r="J76" s="44"/>
      <c r="K76" s="21"/>
      <c r="U76" s="3"/>
    </row>
    <row r="77" spans="2:21" ht="19.5" thickBot="1" x14ac:dyDescent="0.3">
      <c r="B77" s="33" t="s">
        <v>44</v>
      </c>
      <c r="C77" s="22"/>
      <c r="D77" s="22"/>
      <c r="E77" s="22"/>
      <c r="F77" s="22"/>
      <c r="G77" s="22"/>
      <c r="H77" s="22"/>
      <c r="I77" s="22"/>
      <c r="J77" s="46"/>
      <c r="K77" s="23"/>
      <c r="U77" s="8"/>
    </row>
    <row r="78" spans="2:21" ht="7.5" customHeight="1" thickBot="1" x14ac:dyDescent="0.3"/>
    <row r="79" spans="2:21" x14ac:dyDescent="0.25">
      <c r="B79" s="31" t="s">
        <v>48</v>
      </c>
      <c r="C79" s="19"/>
      <c r="D79" s="19"/>
      <c r="E79" s="19"/>
      <c r="F79" s="19"/>
      <c r="G79" s="19"/>
      <c r="H79" s="19"/>
      <c r="I79" s="19"/>
      <c r="J79" s="45"/>
      <c r="K79" s="20"/>
      <c r="U79" s="7"/>
    </row>
    <row r="80" spans="2:21" x14ac:dyDescent="0.25">
      <c r="B80" s="32" t="s">
        <v>45</v>
      </c>
      <c r="C80" s="1"/>
      <c r="D80" s="1"/>
      <c r="E80" s="1"/>
      <c r="F80" s="1"/>
      <c r="G80" s="1"/>
      <c r="H80" s="1"/>
      <c r="I80" s="1"/>
      <c r="J80" s="44"/>
      <c r="K80" s="21"/>
      <c r="U80" s="3"/>
    </row>
    <row r="81" spans="2:21" ht="19.5" thickBot="1" x14ac:dyDescent="0.3">
      <c r="B81" s="33" t="s">
        <v>44</v>
      </c>
      <c r="C81" s="22"/>
      <c r="D81" s="22"/>
      <c r="E81" s="22"/>
      <c r="F81" s="22"/>
      <c r="G81" s="22"/>
      <c r="H81" s="22"/>
      <c r="I81" s="22"/>
      <c r="J81" s="46"/>
      <c r="K81" s="23"/>
      <c r="U81" s="8"/>
    </row>
    <row r="82" spans="2:21" ht="7.5" customHeight="1" thickBot="1" x14ac:dyDescent="0.3"/>
    <row r="83" spans="2:21" ht="19.5" thickBot="1" x14ac:dyDescent="0.3">
      <c r="B83" s="30" t="s">
        <v>49</v>
      </c>
      <c r="C83" s="17"/>
      <c r="D83" s="17"/>
      <c r="E83" s="17"/>
      <c r="F83" s="17"/>
      <c r="G83" s="17"/>
      <c r="H83" s="17"/>
      <c r="I83" s="17"/>
      <c r="J83" s="47"/>
      <c r="K83" s="18"/>
      <c r="U83" s="16"/>
    </row>
  </sheetData>
  <mergeCells count="7">
    <mergeCell ref="V4:V5"/>
    <mergeCell ref="J5:K5"/>
    <mergeCell ref="C62:K62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53" orientation="portrait" horizontalDpi="360" verticalDpi="360" r:id="rId1"/>
  <colBreaks count="1" manualBreakCount="1">
    <brk id="24" max="80" man="1"/>
  </col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4A2011-2D80-4AE1-96EB-73435B2D09C4}">
  <sheetPr>
    <pageSetUpPr fitToPage="1"/>
  </sheetPr>
  <dimension ref="A1:BB81"/>
  <sheetViews>
    <sheetView zoomScaleNormal="100" zoomScaleSheetLayoutView="115" workbookViewId="0">
      <selection activeCell="H23" sqref="H23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7.5703125" style="9" bestFit="1" customWidth="1"/>
    <col min="9" max="9" width="6.7109375" style="9" bestFit="1" customWidth="1"/>
    <col min="10" max="10" width="6.85546875" style="9" customWidth="1"/>
    <col min="11" max="11" width="6.710937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06" t="s">
        <v>43</v>
      </c>
      <c r="J1" s="106"/>
      <c r="K1" s="106"/>
      <c r="L1" s="106"/>
      <c r="M1" s="106"/>
      <c r="N1" s="106"/>
      <c r="O1" s="106"/>
      <c r="P1" s="106"/>
      <c r="Q1" s="106"/>
      <c r="R1" s="106"/>
      <c r="S1" s="106"/>
      <c r="T1" s="106"/>
      <c r="U1" s="106"/>
    </row>
    <row r="2" spans="1:54" x14ac:dyDescent="0.25">
      <c r="B2" s="28" t="s">
        <v>71</v>
      </c>
    </row>
    <row r="3" spans="1:54" ht="19.5" thickBot="1" x14ac:dyDescent="0.3"/>
    <row r="4" spans="1:54" s="10" customFormat="1" ht="15.75" x14ac:dyDescent="0.25">
      <c r="B4" s="41" t="s">
        <v>52</v>
      </c>
      <c r="C4" s="107" t="s">
        <v>41</v>
      </c>
      <c r="D4" s="107"/>
      <c r="E4" s="107"/>
      <c r="F4" s="107"/>
      <c r="G4" s="107"/>
      <c r="H4" s="107"/>
      <c r="I4" s="107"/>
      <c r="J4" s="108"/>
      <c r="K4" s="109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0" t="s">
        <v>68</v>
      </c>
      <c r="U4" s="116" t="s">
        <v>67</v>
      </c>
      <c r="V4" s="99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14" t="s">
        <v>65</v>
      </c>
      <c r="K5" s="115"/>
      <c r="M5" s="37"/>
      <c r="N5" s="49"/>
      <c r="O5" s="40"/>
      <c r="P5" s="97"/>
      <c r="Q5" s="97"/>
      <c r="R5" s="38"/>
      <c r="S5" s="9"/>
      <c r="T5" s="111"/>
      <c r="U5" s="117"/>
      <c r="V5" s="100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97"/>
      <c r="K6" s="38"/>
      <c r="M6" s="37"/>
      <c r="N6" s="49"/>
      <c r="O6" s="40"/>
      <c r="P6" s="97"/>
      <c r="Q6" s="97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30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>
        <v>2</v>
      </c>
      <c r="N7" s="57">
        <v>22</v>
      </c>
      <c r="O7" s="52">
        <v>1</v>
      </c>
      <c r="P7" s="53"/>
      <c r="Q7" s="53">
        <v>1</v>
      </c>
      <c r="R7" s="54"/>
      <c r="S7" s="55"/>
      <c r="T7" s="58">
        <f>H7+I7+J7+K7+N7+P7+R7</f>
        <v>31</v>
      </c>
      <c r="U7" s="58">
        <f>C7*24+M7*24+O7*24+Q7*24+T7</f>
        <v>847</v>
      </c>
      <c r="V7" s="58">
        <f>U7/24</f>
        <v>35.291666666666664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30+3+63</f>
        <v>96</v>
      </c>
      <c r="D8" s="59"/>
      <c r="E8" s="59"/>
      <c r="F8" s="59"/>
      <c r="G8" s="59"/>
      <c r="H8" s="59"/>
      <c r="I8" s="59"/>
      <c r="J8" s="60"/>
      <c r="K8" s="61"/>
      <c r="L8" s="62"/>
      <c r="M8" s="63"/>
      <c r="N8" s="64"/>
      <c r="O8" s="65"/>
      <c r="P8" s="66"/>
      <c r="Q8" s="66">
        <v>2</v>
      </c>
      <c r="R8" s="67"/>
      <c r="S8" s="62"/>
      <c r="T8" s="68">
        <f t="shared" ref="T8:T41" si="0">H8+I8+J8+K8+N8+P8+R8</f>
        <v>0</v>
      </c>
      <c r="U8" s="69">
        <f>C8*24+M8*24+O8*24+Q8*24+T8</f>
        <v>2352</v>
      </c>
      <c r="V8" s="69">
        <f>U8/24</f>
        <v>98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f>145+4</f>
        <v>149</v>
      </c>
      <c r="D9" s="70"/>
      <c r="E9" s="70"/>
      <c r="F9" s="70"/>
      <c r="G9" s="70"/>
      <c r="H9" s="70"/>
      <c r="I9" s="70"/>
      <c r="J9" s="71"/>
      <c r="K9" s="72"/>
      <c r="L9" s="55"/>
      <c r="M9" s="73">
        <v>2</v>
      </c>
      <c r="N9" s="74"/>
      <c r="O9" s="70">
        <v>1</v>
      </c>
      <c r="P9" s="71"/>
      <c r="Q9" s="71"/>
      <c r="R9" s="72"/>
      <c r="S9" s="55"/>
      <c r="T9" s="75">
        <f t="shared" si="0"/>
        <v>0</v>
      </c>
      <c r="U9" s="76">
        <f t="shared" ref="U9:U11" si="2">C9*24+M9*24+O9*24+Q9*24+T9</f>
        <v>3648</v>
      </c>
      <c r="V9" s="76">
        <f t="shared" ref="V9:V11" si="3">U9/24</f>
        <v>152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>
        <v>35</v>
      </c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840</v>
      </c>
      <c r="V10" s="58">
        <f t="shared" si="3"/>
        <v>35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10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242</v>
      </c>
      <c r="V11" s="58">
        <f t="shared" si="3"/>
        <v>10.083333333333334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250+504+1440+576+5+360</f>
        <v>3135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18</v>
      </c>
      <c r="N12" s="64"/>
      <c r="O12" s="65">
        <v>12</v>
      </c>
      <c r="P12" s="66"/>
      <c r="Q12" s="66">
        <v>15</v>
      </c>
      <c r="R12" s="67"/>
      <c r="S12" s="62"/>
      <c r="T12" s="69">
        <f t="shared" si="0"/>
        <v>0</v>
      </c>
      <c r="U12" s="69">
        <f>C12*24+M12*24+O12*24+Q12*24+T12</f>
        <v>76320</v>
      </c>
      <c r="V12" s="69">
        <f>U12/24</f>
        <v>3180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3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88</v>
      </c>
      <c r="V13" s="76">
        <f>U13/24</f>
        <v>3.6666666666666665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4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96</v>
      </c>
      <c r="V14" s="75">
        <f t="shared" ref="V14:V36" si="5">U14/24</f>
        <v>4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>
        <v>1</v>
      </c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24</v>
      </c>
      <c r="V15" s="75">
        <f t="shared" si="5"/>
        <v>1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>
        <v>3</v>
      </c>
      <c r="D17" s="70"/>
      <c r="E17" s="70"/>
      <c r="F17" s="70"/>
      <c r="G17" s="70"/>
      <c r="H17" s="70"/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0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3</v>
      </c>
      <c r="D19" s="70"/>
      <c r="E19" s="70"/>
      <c r="F19" s="70"/>
      <c r="G19" s="70"/>
      <c r="H19" s="70">
        <f>24+20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116</v>
      </c>
      <c r="V19" s="75">
        <f t="shared" si="5"/>
        <v>4.833333333333333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6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144</v>
      </c>
      <c r="V20" s="75">
        <f t="shared" si="5"/>
        <v>6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>
        <v>1</v>
      </c>
      <c r="D21" s="70"/>
      <c r="E21" s="70"/>
      <c r="F21" s="70"/>
      <c r="G21" s="70"/>
      <c r="H21" s="70">
        <f>24*2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72</v>
      </c>
      <c r="V21" s="75">
        <f t="shared" si="5"/>
        <v>3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>
        <v>1</v>
      </c>
      <c r="D22" s="70"/>
      <c r="E22" s="70"/>
      <c r="F22" s="70"/>
      <c r="G22" s="70"/>
      <c r="H22" s="70">
        <v>20</v>
      </c>
      <c r="I22" s="70"/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44</v>
      </c>
      <c r="V22" s="75">
        <f t="shared" si="5"/>
        <v>1.8333333333333333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6</v>
      </c>
      <c r="D24" s="70"/>
      <c r="E24" s="70"/>
      <c r="F24" s="70"/>
      <c r="G24" s="70"/>
      <c r="H24" s="70">
        <f>24*3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216</v>
      </c>
      <c r="V24" s="75">
        <f t="shared" si="5"/>
        <v>9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f>64+63+21</f>
        <v>148</v>
      </c>
      <c r="D25" s="70"/>
      <c r="E25" s="70"/>
      <c r="F25" s="70"/>
      <c r="G25" s="70"/>
      <c r="H25" s="70"/>
      <c r="I25" s="70">
        <v>1</v>
      </c>
      <c r="J25" s="71"/>
      <c r="K25" s="72"/>
      <c r="L25" s="55"/>
      <c r="M25" s="73">
        <v>1</v>
      </c>
      <c r="N25" s="74"/>
      <c r="O25" s="70">
        <v>1</v>
      </c>
      <c r="P25" s="71"/>
      <c r="Q25" s="71">
        <v>2</v>
      </c>
      <c r="R25" s="72"/>
      <c r="S25" s="55"/>
      <c r="T25" s="58">
        <f t="shared" si="0"/>
        <v>1</v>
      </c>
      <c r="U25" s="75">
        <f t="shared" si="4"/>
        <v>3649</v>
      </c>
      <c r="V25" s="75">
        <f t="shared" si="5"/>
        <v>152.04166666666666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>
        <v>2</v>
      </c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48</v>
      </c>
      <c r="V27" s="75">
        <f t="shared" si="5"/>
        <v>2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>
        <f>64+45</f>
        <v>109</v>
      </c>
      <c r="D28" s="70"/>
      <c r="E28" s="70"/>
      <c r="F28" s="70"/>
      <c r="G28" s="70"/>
      <c r="H28" s="70"/>
      <c r="I28" s="70"/>
      <c r="J28" s="71"/>
      <c r="K28" s="72"/>
      <c r="L28" s="55"/>
      <c r="M28" s="73">
        <v>10</v>
      </c>
      <c r="N28" s="74"/>
      <c r="O28" s="70">
        <v>2</v>
      </c>
      <c r="P28" s="71"/>
      <c r="Q28" s="71">
        <v>3</v>
      </c>
      <c r="R28" s="72"/>
      <c r="S28" s="55"/>
      <c r="T28" s="58">
        <f t="shared" si="0"/>
        <v>0</v>
      </c>
      <c r="U28" s="75">
        <f t="shared" si="4"/>
        <v>2976</v>
      </c>
      <c r="V28" s="75">
        <f t="shared" si="5"/>
        <v>124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62</v>
      </c>
      <c r="D29" s="70"/>
      <c r="E29" s="70"/>
      <c r="F29" s="70"/>
      <c r="G29" s="70"/>
      <c r="H29" s="70"/>
      <c r="I29" s="70">
        <v>5</v>
      </c>
      <c r="J29" s="71"/>
      <c r="K29" s="72"/>
      <c r="L29" s="55"/>
      <c r="M29" s="73"/>
      <c r="N29" s="74"/>
      <c r="O29" s="70">
        <v>1</v>
      </c>
      <c r="P29" s="71"/>
      <c r="Q29" s="71"/>
      <c r="R29" s="72"/>
      <c r="S29" s="55"/>
      <c r="T29" s="58">
        <f t="shared" si="0"/>
        <v>5</v>
      </c>
      <c r="U29" s="75">
        <f t="shared" si="4"/>
        <v>1517</v>
      </c>
      <c r="V29" s="75">
        <f t="shared" si="5"/>
        <v>63.208333333333336</v>
      </c>
    </row>
    <row r="30" spans="1:54" x14ac:dyDescent="0.25">
      <c r="A30" s="27">
        <f t="shared" si="1"/>
        <v>27</v>
      </c>
      <c r="B30" s="26" t="s">
        <v>15</v>
      </c>
      <c r="C30" s="70">
        <v>15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/>
      <c r="R30" s="72"/>
      <c r="S30" s="55"/>
      <c r="T30" s="58">
        <f t="shared" si="0"/>
        <v>0</v>
      </c>
      <c r="U30" s="75">
        <f t="shared" si="4"/>
        <v>360</v>
      </c>
      <c r="V30" s="75">
        <f t="shared" si="5"/>
        <v>15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>
        <f>5+1</f>
        <v>6</v>
      </c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144</v>
      </c>
      <c r="V32" s="75">
        <f t="shared" si="5"/>
        <v>6</v>
      </c>
    </row>
    <row r="33" spans="1:23" x14ac:dyDescent="0.25">
      <c r="A33" s="27">
        <f t="shared" si="1"/>
        <v>30</v>
      </c>
      <c r="B33" s="26" t="s">
        <v>16</v>
      </c>
      <c r="C33" s="70">
        <v>2</v>
      </c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48</v>
      </c>
      <c r="V33" s="75">
        <f t="shared" si="5"/>
        <v>2</v>
      </c>
    </row>
    <row r="34" spans="1:23" x14ac:dyDescent="0.25">
      <c r="A34" s="27">
        <f t="shared" si="1"/>
        <v>31</v>
      </c>
      <c r="B34" s="26" t="s">
        <v>17</v>
      </c>
      <c r="C34" s="70">
        <v>69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>
        <v>12</v>
      </c>
      <c r="N34" s="74"/>
      <c r="O34" s="70">
        <v>1</v>
      </c>
      <c r="P34" s="71">
        <v>12</v>
      </c>
      <c r="Q34" s="71">
        <v>8</v>
      </c>
      <c r="R34" s="72"/>
      <c r="S34" s="55"/>
      <c r="T34" s="58">
        <f t="shared" si="0"/>
        <v>14</v>
      </c>
      <c r="U34" s="75">
        <f t="shared" si="4"/>
        <v>2174</v>
      </c>
      <c r="V34" s="75">
        <f t="shared" si="5"/>
        <v>90.583333333333329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>
        <v>1</v>
      </c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24</v>
      </c>
      <c r="V36" s="75">
        <f t="shared" si="5"/>
        <v>1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540+324+3564+99</f>
        <v>4527</v>
      </c>
      <c r="D37" s="59"/>
      <c r="E37" s="59"/>
      <c r="F37" s="59"/>
      <c r="G37" s="59"/>
      <c r="H37" s="59"/>
      <c r="I37" s="59">
        <v>2</v>
      </c>
      <c r="J37" s="60">
        <v>2</v>
      </c>
      <c r="K37" s="61">
        <v>3</v>
      </c>
      <c r="L37" s="62"/>
      <c r="M37" s="63">
        <v>13</v>
      </c>
      <c r="N37" s="64">
        <v>1</v>
      </c>
      <c r="O37" s="65">
        <v>40</v>
      </c>
      <c r="P37" s="66"/>
      <c r="Q37" s="66">
        <v>28</v>
      </c>
      <c r="R37" s="67"/>
      <c r="S37" s="62"/>
      <c r="T37" s="77">
        <f t="shared" si="0"/>
        <v>8</v>
      </c>
      <c r="U37" s="77">
        <f>C37*6+M37*6+O37*6+Q37*6+T37</f>
        <v>27656</v>
      </c>
      <c r="V37" s="77">
        <f>U37/6</f>
        <v>4609.333333333333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64+28</f>
        <v>92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>
        <v>1</v>
      </c>
      <c r="N40" s="64"/>
      <c r="O40" s="65">
        <v>1</v>
      </c>
      <c r="P40" s="66">
        <v>12</v>
      </c>
      <c r="Q40" s="66"/>
      <c r="R40" s="67"/>
      <c r="S40" s="62"/>
      <c r="T40" s="77">
        <f t="shared" si="0"/>
        <v>32</v>
      </c>
      <c r="U40" s="77">
        <f>C40*24+M40*24+O40*24+Q40*24+T40</f>
        <v>2288</v>
      </c>
      <c r="V40" s="77">
        <f>U40/24</f>
        <v>95.333333333333329</v>
      </c>
    </row>
    <row r="41" spans="1:23" ht="19.5" thickBot="1" x14ac:dyDescent="0.3">
      <c r="A41" s="27">
        <f t="shared" si="1"/>
        <v>38</v>
      </c>
      <c r="B41" s="43" t="s">
        <v>22</v>
      </c>
      <c r="C41" s="82">
        <f>192+49</f>
        <v>241</v>
      </c>
      <c r="D41" s="82"/>
      <c r="E41" s="82"/>
      <c r="F41" s="82"/>
      <c r="G41" s="82"/>
      <c r="H41" s="82"/>
      <c r="I41" s="82"/>
      <c r="J41" s="83"/>
      <c r="K41" s="84"/>
      <c r="L41" s="85"/>
      <c r="M41" s="86">
        <v>10</v>
      </c>
      <c r="N41" s="87"/>
      <c r="O41" s="82">
        <v>12</v>
      </c>
      <c r="P41" s="83"/>
      <c r="Q41" s="83">
        <v>26</v>
      </c>
      <c r="R41" s="84"/>
      <c r="S41" s="85"/>
      <c r="T41" s="88">
        <f t="shared" si="0"/>
        <v>0</v>
      </c>
      <c r="U41" s="88">
        <f>C41*12+M41*12+O41*12+Q41*12+T41</f>
        <v>3468</v>
      </c>
      <c r="V41" s="88">
        <f>U41/12</f>
        <v>289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4860+4104+4968+1836+8424+5508+3024+5832</f>
        <v>38556</v>
      </c>
      <c r="D43" s="65"/>
      <c r="E43" s="65"/>
      <c r="F43" s="65"/>
      <c r="G43" s="65"/>
      <c r="H43" s="65"/>
      <c r="I43" s="65">
        <v>7</v>
      </c>
      <c r="J43" s="66">
        <f>8*6+1</f>
        <v>49</v>
      </c>
      <c r="K43" s="67">
        <f>69*6+7</f>
        <v>421</v>
      </c>
      <c r="L43" s="62"/>
      <c r="M43" s="63">
        <v>580</v>
      </c>
      <c r="N43" s="64"/>
      <c r="O43" s="65">
        <v>363</v>
      </c>
      <c r="P43" s="66"/>
      <c r="Q43" s="66">
        <v>547</v>
      </c>
      <c r="R43" s="67"/>
      <c r="S43" s="62"/>
      <c r="T43" s="77">
        <f t="shared" ref="T43" si="6">H43+I43+J43+K43+N43+P43+R43</f>
        <v>477</v>
      </c>
      <c r="U43" s="77">
        <f>C43*6+M43*6+O43*6+Q43*6+T43</f>
        <v>240753</v>
      </c>
      <c r="V43" s="77">
        <f>U43/6</f>
        <v>40125.5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>
        <v>1</v>
      </c>
      <c r="R45" s="72"/>
      <c r="S45" s="55"/>
      <c r="T45" s="75">
        <f t="shared" ref="T45:T54" si="7">H45+I45+J45+K45+N45+P45+R45</f>
        <v>0</v>
      </c>
      <c r="U45" s="75">
        <f>C45*24+M45*24+O45*24+Q45*24+T45</f>
        <v>24</v>
      </c>
      <c r="V45" s="75">
        <f>U45/24</f>
        <v>1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432+106+2160+74+22</f>
        <v>2794</v>
      </c>
      <c r="D47" s="65"/>
      <c r="E47" s="65"/>
      <c r="F47" s="65"/>
      <c r="G47" s="65"/>
      <c r="H47" s="65">
        <v>2</v>
      </c>
      <c r="I47" s="65"/>
      <c r="J47" s="66"/>
      <c r="K47" s="67">
        <v>4</v>
      </c>
      <c r="L47" s="62"/>
      <c r="M47" s="63"/>
      <c r="N47" s="64"/>
      <c r="O47" s="65">
        <v>5</v>
      </c>
      <c r="P47" s="66">
        <v>4</v>
      </c>
      <c r="Q47" s="66">
        <v>9</v>
      </c>
      <c r="R47" s="67">
        <v>3</v>
      </c>
      <c r="S47" s="62"/>
      <c r="T47" s="77">
        <f t="shared" si="7"/>
        <v>13</v>
      </c>
      <c r="U47" s="77">
        <f>C47*6+M47*6+O47*6+Q47*6+T47</f>
        <v>16861</v>
      </c>
      <c r="V47" s="77">
        <f>U47/6</f>
        <v>2810.1666666666665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>
        <v>2</v>
      </c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48</v>
      </c>
      <c r="V49" s="75">
        <f t="shared" si="9"/>
        <v>2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>
        <v>1</v>
      </c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24</v>
      </c>
      <c r="V52" s="75">
        <f t="shared" si="9"/>
        <v>1</v>
      </c>
    </row>
    <row r="53" spans="1:22" x14ac:dyDescent="0.25">
      <c r="A53" s="27">
        <f t="shared" si="1"/>
        <v>50</v>
      </c>
      <c r="B53" s="26" t="s">
        <v>63</v>
      </c>
      <c r="C53" s="70">
        <v>10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240</v>
      </c>
      <c r="V53" s="75">
        <f t="shared" si="9"/>
        <v>10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50154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1133</v>
      </c>
      <c r="I58" s="6">
        <f t="shared" si="11"/>
        <v>19</v>
      </c>
      <c r="J58" s="6">
        <f t="shared" si="11"/>
        <v>51</v>
      </c>
      <c r="K58" s="6">
        <f t="shared" si="11"/>
        <v>457</v>
      </c>
      <c r="M58" s="5">
        <f t="shared" ref="M58:R58" si="12">SUM(M7:M57)</f>
        <v>649</v>
      </c>
      <c r="N58" s="5">
        <f t="shared" si="12"/>
        <v>23</v>
      </c>
      <c r="O58" s="5">
        <f t="shared" si="12"/>
        <v>440</v>
      </c>
      <c r="P58" s="5">
        <f t="shared" si="12"/>
        <v>28</v>
      </c>
      <c r="Q58" s="5">
        <f t="shared" si="12"/>
        <v>642</v>
      </c>
      <c r="R58" s="5">
        <f t="shared" si="12"/>
        <v>3</v>
      </c>
      <c r="S58" s="55"/>
      <c r="T58" s="4">
        <f>SUM(T7:T57)</f>
        <v>1714</v>
      </c>
      <c r="U58" s="90">
        <f>SUM(U7:U57)</f>
        <v>388558</v>
      </c>
      <c r="V58" s="4">
        <f>SUM(V7:V57)</f>
        <v>52018.666666666664</v>
      </c>
    </row>
    <row r="59" spans="1:22" ht="7.5" customHeight="1" thickBot="1" x14ac:dyDescent="0.3"/>
    <row r="60" spans="1:22" ht="19.5" thickBot="1" x14ac:dyDescent="0.3">
      <c r="B60" s="30" t="s">
        <v>37</v>
      </c>
      <c r="C60" s="103" t="s">
        <v>41</v>
      </c>
      <c r="D60" s="104"/>
      <c r="E60" s="104"/>
      <c r="F60" s="104"/>
      <c r="G60" s="104"/>
      <c r="H60" s="104"/>
      <c r="I60" s="104"/>
      <c r="J60" s="104"/>
      <c r="K60" s="105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C4BC4A-16CE-4134-A359-B3B72FCD191D}">
  <sheetPr>
    <pageSetUpPr fitToPage="1"/>
  </sheetPr>
  <dimension ref="A1:BB81"/>
  <sheetViews>
    <sheetView zoomScaleNormal="100" zoomScaleSheetLayoutView="115" workbookViewId="0">
      <selection activeCell="U58" sqref="U58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6.7109375" style="9" customWidth="1"/>
    <col min="9" max="9" width="6.7109375" style="9" bestFit="1" customWidth="1"/>
    <col min="10" max="10" width="6.85546875" style="9" customWidth="1"/>
    <col min="11" max="11" width="6.710937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06" t="s">
        <v>43</v>
      </c>
      <c r="J1" s="106"/>
      <c r="K1" s="106"/>
      <c r="L1" s="106"/>
      <c r="M1" s="106"/>
      <c r="N1" s="106"/>
      <c r="O1" s="106"/>
      <c r="P1" s="106"/>
      <c r="Q1" s="106"/>
      <c r="R1" s="106"/>
      <c r="S1" s="106"/>
      <c r="T1" s="106"/>
      <c r="U1" s="106"/>
    </row>
    <row r="2" spans="1:54" x14ac:dyDescent="0.25">
      <c r="B2" s="28" t="s">
        <v>72</v>
      </c>
    </row>
    <row r="3" spans="1:54" ht="19.5" thickBot="1" x14ac:dyDescent="0.3"/>
    <row r="4" spans="1:54" s="10" customFormat="1" ht="15.75" x14ac:dyDescent="0.25">
      <c r="B4" s="41" t="s">
        <v>52</v>
      </c>
      <c r="C4" s="107" t="s">
        <v>41</v>
      </c>
      <c r="D4" s="107"/>
      <c r="E4" s="107"/>
      <c r="F4" s="107"/>
      <c r="G4" s="107"/>
      <c r="H4" s="107"/>
      <c r="I4" s="107"/>
      <c r="J4" s="108"/>
      <c r="K4" s="109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0" t="s">
        <v>68</v>
      </c>
      <c r="U4" s="116" t="s">
        <v>67</v>
      </c>
      <c r="V4" s="99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14" t="s">
        <v>65</v>
      </c>
      <c r="K5" s="115"/>
      <c r="M5" s="37"/>
      <c r="N5" s="49"/>
      <c r="O5" s="40"/>
      <c r="P5" s="96"/>
      <c r="Q5" s="96"/>
      <c r="R5" s="38"/>
      <c r="S5" s="9"/>
      <c r="T5" s="111"/>
      <c r="U5" s="117"/>
      <c r="V5" s="100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96"/>
      <c r="K6" s="38"/>
      <c r="M6" s="37"/>
      <c r="N6" s="49"/>
      <c r="O6" s="40"/>
      <c r="P6" s="96"/>
      <c r="Q6" s="96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20</v>
      </c>
      <c r="D7" s="52"/>
      <c r="E7" s="52"/>
      <c r="F7" s="52"/>
      <c r="G7" s="52"/>
      <c r="H7" s="52"/>
      <c r="I7" s="52">
        <v>3</v>
      </c>
      <c r="J7" s="53">
        <v>6</v>
      </c>
      <c r="K7" s="54"/>
      <c r="L7" s="55"/>
      <c r="M7" s="56">
        <v>2</v>
      </c>
      <c r="N7" s="57"/>
      <c r="O7" s="52">
        <v>1</v>
      </c>
      <c r="P7" s="53"/>
      <c r="Q7" s="53">
        <v>11</v>
      </c>
      <c r="R7" s="54"/>
      <c r="S7" s="55"/>
      <c r="T7" s="58">
        <f>H7+I7+J7+K7+N7+P7+R7</f>
        <v>9</v>
      </c>
      <c r="U7" s="58">
        <f>C7*24+M7*24+O7*24+Q7*24+T7</f>
        <v>825</v>
      </c>
      <c r="V7" s="58">
        <f>U7/24</f>
        <v>34.375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30+63+3</f>
        <v>96</v>
      </c>
      <c r="D8" s="59"/>
      <c r="E8" s="59"/>
      <c r="F8" s="59"/>
      <c r="G8" s="59"/>
      <c r="H8" s="59"/>
      <c r="I8" s="59"/>
      <c r="J8" s="60"/>
      <c r="K8" s="61"/>
      <c r="L8" s="62"/>
      <c r="M8" s="63"/>
      <c r="N8" s="64"/>
      <c r="O8" s="65"/>
      <c r="P8" s="66"/>
      <c r="Q8" s="66">
        <v>2</v>
      </c>
      <c r="R8" s="67"/>
      <c r="S8" s="62"/>
      <c r="T8" s="68">
        <f t="shared" ref="T8:T41" si="0">H8+I8+J8+K8+N8+P8+R8</f>
        <v>0</v>
      </c>
      <c r="U8" s="69">
        <f>C8*24+M8*24+O8*24+Q8*24+T8</f>
        <v>2352</v>
      </c>
      <c r="V8" s="69">
        <f>U8/24</f>
        <v>98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f>54+90</f>
        <v>144</v>
      </c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/>
      <c r="P9" s="71"/>
      <c r="Q9" s="71">
        <v>5</v>
      </c>
      <c r="R9" s="72"/>
      <c r="S9" s="55"/>
      <c r="T9" s="75">
        <f t="shared" si="0"/>
        <v>0</v>
      </c>
      <c r="U9" s="76">
        <f t="shared" ref="U9:U11" si="2">C9*24+M9*24+O9*24+Q9*24+T9</f>
        <v>3576</v>
      </c>
      <c r="V9" s="76">
        <f t="shared" ref="V9:V11" si="3">U9/24</f>
        <v>149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>
        <v>33</v>
      </c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>
        <v>2</v>
      </c>
      <c r="R10" s="72"/>
      <c r="S10" s="55"/>
      <c r="T10" s="58">
        <f t="shared" si="0"/>
        <v>0</v>
      </c>
      <c r="U10" s="58">
        <f t="shared" si="2"/>
        <v>840</v>
      </c>
      <c r="V10" s="58">
        <f t="shared" si="3"/>
        <v>35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5</v>
      </c>
      <c r="D11" s="70"/>
      <c r="E11" s="70"/>
      <c r="F11" s="70"/>
      <c r="G11" s="70"/>
      <c r="H11" s="70"/>
      <c r="I11" s="70"/>
      <c r="J11" s="71">
        <v>2</v>
      </c>
      <c r="K11" s="72"/>
      <c r="L11" s="55"/>
      <c r="M11" s="73"/>
      <c r="N11" s="74"/>
      <c r="O11" s="70"/>
      <c r="P11" s="71"/>
      <c r="Q11" s="71">
        <v>5</v>
      </c>
      <c r="R11" s="72"/>
      <c r="S11" s="55"/>
      <c r="T11" s="58">
        <f t="shared" si="0"/>
        <v>2</v>
      </c>
      <c r="U11" s="58">
        <f t="shared" si="2"/>
        <v>242</v>
      </c>
      <c r="V11" s="58">
        <f t="shared" si="3"/>
        <v>10.083333333333334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34+144+72+504+1440+576+360</f>
        <v>3130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11</v>
      </c>
      <c r="N12" s="64">
        <v>12</v>
      </c>
      <c r="O12" s="65">
        <v>13</v>
      </c>
      <c r="P12" s="66">
        <v>12</v>
      </c>
      <c r="Q12" s="66">
        <v>5</v>
      </c>
      <c r="R12" s="67"/>
      <c r="S12" s="62"/>
      <c r="T12" s="69">
        <f t="shared" si="0"/>
        <v>24</v>
      </c>
      <c r="U12" s="69">
        <f>C12*24+M12*24+O12*24+Q12*24+T12</f>
        <v>75840</v>
      </c>
      <c r="V12" s="69">
        <f>U12/24</f>
        <v>3160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>
        <v>1</v>
      </c>
      <c r="R13" s="72"/>
      <c r="S13" s="55"/>
      <c r="T13" s="76">
        <f t="shared" si="0"/>
        <v>16</v>
      </c>
      <c r="U13" s="76">
        <f>C13*24+M13*24+O13*24+Q13*24+T13</f>
        <v>88</v>
      </c>
      <c r="V13" s="76">
        <f>U13/24</f>
        <v>3.6666666666666665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4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96</v>
      </c>
      <c r="V14" s="75">
        <f t="shared" ref="V14:V36" si="5">U14/24</f>
        <v>4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>
        <v>1</v>
      </c>
      <c r="R15" s="72"/>
      <c r="S15" s="55"/>
      <c r="T15" s="58">
        <f t="shared" si="0"/>
        <v>0</v>
      </c>
      <c r="U15" s="75">
        <f t="shared" si="4"/>
        <v>24</v>
      </c>
      <c r="V15" s="75">
        <f t="shared" si="5"/>
        <v>1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24*3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24+20</f>
        <v>44</v>
      </c>
      <c r="I19" s="70"/>
      <c r="J19" s="71"/>
      <c r="K19" s="72"/>
      <c r="L19" s="55"/>
      <c r="M19" s="73"/>
      <c r="N19" s="74"/>
      <c r="O19" s="70"/>
      <c r="P19" s="71"/>
      <c r="Q19" s="71">
        <v>1</v>
      </c>
      <c r="R19" s="72"/>
      <c r="S19" s="55"/>
      <c r="T19" s="58">
        <f t="shared" si="0"/>
        <v>44</v>
      </c>
      <c r="U19" s="75">
        <f t="shared" si="4"/>
        <v>116</v>
      </c>
      <c r="V19" s="75">
        <f t="shared" si="5"/>
        <v>4.833333333333333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>
        <v>1</v>
      </c>
      <c r="R20" s="72"/>
      <c r="S20" s="55"/>
      <c r="T20" s="58">
        <f t="shared" si="0"/>
        <v>0</v>
      </c>
      <c r="U20" s="75">
        <f t="shared" si="4"/>
        <v>144</v>
      </c>
      <c r="V20" s="75">
        <f t="shared" si="5"/>
        <v>6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24*2</f>
        <v>48</v>
      </c>
      <c r="I21" s="70"/>
      <c r="J21" s="71"/>
      <c r="K21" s="72"/>
      <c r="L21" s="55"/>
      <c r="M21" s="73"/>
      <c r="N21" s="74"/>
      <c r="O21" s="70"/>
      <c r="P21" s="71"/>
      <c r="Q21" s="71">
        <v>1</v>
      </c>
      <c r="R21" s="72"/>
      <c r="S21" s="55"/>
      <c r="T21" s="58">
        <f t="shared" si="0"/>
        <v>48</v>
      </c>
      <c r="U21" s="75">
        <f t="shared" si="4"/>
        <v>72</v>
      </c>
      <c r="V21" s="75">
        <f t="shared" si="5"/>
        <v>3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>
        <v>20</v>
      </c>
      <c r="I22" s="70"/>
      <c r="J22" s="71"/>
      <c r="K22" s="72"/>
      <c r="L22" s="55"/>
      <c r="M22" s="73"/>
      <c r="N22" s="74"/>
      <c r="O22" s="70"/>
      <c r="P22" s="71"/>
      <c r="Q22" s="71">
        <v>1</v>
      </c>
      <c r="R22" s="72"/>
      <c r="S22" s="55"/>
      <c r="T22" s="58">
        <f t="shared" si="0"/>
        <v>20</v>
      </c>
      <c r="U22" s="75">
        <f t="shared" si="4"/>
        <v>44</v>
      </c>
      <c r="V22" s="75">
        <f t="shared" si="5"/>
        <v>1.8333333333333333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5</v>
      </c>
      <c r="D24" s="70"/>
      <c r="E24" s="70"/>
      <c r="F24" s="70"/>
      <c r="G24" s="70"/>
      <c r="H24" s="70">
        <f>3*24</f>
        <v>72</v>
      </c>
      <c r="I24" s="70"/>
      <c r="J24" s="71"/>
      <c r="K24" s="72"/>
      <c r="L24" s="55"/>
      <c r="M24" s="73"/>
      <c r="N24" s="74"/>
      <c r="O24" s="70"/>
      <c r="P24" s="71"/>
      <c r="Q24" s="71">
        <v>1</v>
      </c>
      <c r="R24" s="72"/>
      <c r="S24" s="55"/>
      <c r="T24" s="58">
        <f t="shared" si="0"/>
        <v>72</v>
      </c>
      <c r="U24" s="75">
        <f t="shared" si="4"/>
        <v>216</v>
      </c>
      <c r="V24" s="75">
        <f t="shared" si="5"/>
        <v>9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f>63+63+21</f>
        <v>147</v>
      </c>
      <c r="D25" s="70"/>
      <c r="E25" s="70"/>
      <c r="F25" s="70"/>
      <c r="G25" s="70"/>
      <c r="H25" s="70"/>
      <c r="I25" s="70">
        <v>1</v>
      </c>
      <c r="J25" s="71"/>
      <c r="K25" s="72"/>
      <c r="L25" s="55"/>
      <c r="M25" s="73">
        <v>1</v>
      </c>
      <c r="N25" s="74"/>
      <c r="O25" s="70">
        <v>1</v>
      </c>
      <c r="P25" s="71"/>
      <c r="Q25" s="71"/>
      <c r="R25" s="72"/>
      <c r="S25" s="55"/>
      <c r="T25" s="58">
        <f t="shared" si="0"/>
        <v>1</v>
      </c>
      <c r="U25" s="75">
        <f t="shared" si="4"/>
        <v>3577</v>
      </c>
      <c r="V25" s="75">
        <f t="shared" si="5"/>
        <v>149.04166666666666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/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>
        <v>2</v>
      </c>
      <c r="R27" s="72"/>
      <c r="S27" s="55"/>
      <c r="T27" s="58">
        <f t="shared" si="0"/>
        <v>0</v>
      </c>
      <c r="U27" s="75">
        <f t="shared" si="4"/>
        <v>48</v>
      </c>
      <c r="V27" s="75">
        <f t="shared" si="5"/>
        <v>2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>
        <f>63+34</f>
        <v>97</v>
      </c>
      <c r="D28" s="70"/>
      <c r="E28" s="70"/>
      <c r="F28" s="70"/>
      <c r="G28" s="70"/>
      <c r="H28" s="70"/>
      <c r="I28" s="70"/>
      <c r="J28" s="71"/>
      <c r="K28" s="72"/>
      <c r="L28" s="55"/>
      <c r="M28" s="73">
        <v>1</v>
      </c>
      <c r="N28" s="74"/>
      <c r="O28" s="70">
        <v>2</v>
      </c>
      <c r="P28" s="71"/>
      <c r="Q28" s="71">
        <v>10</v>
      </c>
      <c r="R28" s="72"/>
      <c r="S28" s="55"/>
      <c r="T28" s="58">
        <f t="shared" si="0"/>
        <v>0</v>
      </c>
      <c r="U28" s="75">
        <f t="shared" si="4"/>
        <v>2640</v>
      </c>
      <c r="V28" s="75">
        <f t="shared" si="5"/>
        <v>110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51</v>
      </c>
      <c r="D29" s="70"/>
      <c r="E29" s="70"/>
      <c r="F29" s="70"/>
      <c r="G29" s="70"/>
      <c r="H29" s="70"/>
      <c r="I29" s="70">
        <v>5</v>
      </c>
      <c r="J29" s="71"/>
      <c r="K29" s="72"/>
      <c r="L29" s="55"/>
      <c r="M29" s="73">
        <v>1</v>
      </c>
      <c r="N29" s="74"/>
      <c r="O29" s="70">
        <v>1</v>
      </c>
      <c r="P29" s="71"/>
      <c r="Q29" s="71">
        <v>10</v>
      </c>
      <c r="R29" s="72"/>
      <c r="S29" s="55"/>
      <c r="T29" s="58">
        <f t="shared" si="0"/>
        <v>5</v>
      </c>
      <c r="U29" s="75">
        <f t="shared" si="4"/>
        <v>1517</v>
      </c>
      <c r="V29" s="75">
        <f t="shared" si="5"/>
        <v>63.208333333333336</v>
      </c>
    </row>
    <row r="30" spans="1:54" x14ac:dyDescent="0.25">
      <c r="A30" s="27">
        <f t="shared" si="1"/>
        <v>27</v>
      </c>
      <c r="B30" s="26" t="s">
        <v>15</v>
      </c>
      <c r="C30" s="70">
        <f>10+3</f>
        <v>13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>
        <v>2</v>
      </c>
      <c r="R30" s="72"/>
      <c r="S30" s="55"/>
      <c r="T30" s="58">
        <f t="shared" si="0"/>
        <v>0</v>
      </c>
      <c r="U30" s="75">
        <f t="shared" si="4"/>
        <v>360</v>
      </c>
      <c r="V30" s="75">
        <f t="shared" si="5"/>
        <v>15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>
        <v>4</v>
      </c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>
        <v>2</v>
      </c>
      <c r="R32" s="72"/>
      <c r="S32" s="55"/>
      <c r="T32" s="58">
        <f t="shared" si="0"/>
        <v>0</v>
      </c>
      <c r="U32" s="75">
        <f t="shared" si="4"/>
        <v>144</v>
      </c>
      <c r="V32" s="75">
        <f t="shared" si="5"/>
        <v>6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>
        <v>2</v>
      </c>
      <c r="R33" s="72"/>
      <c r="S33" s="55"/>
      <c r="T33" s="58">
        <f t="shared" si="0"/>
        <v>0</v>
      </c>
      <c r="U33" s="75">
        <f t="shared" si="4"/>
        <v>48</v>
      </c>
      <c r="V33" s="75">
        <f t="shared" si="5"/>
        <v>2</v>
      </c>
    </row>
    <row r="34" spans="1:23" x14ac:dyDescent="0.25">
      <c r="A34" s="27">
        <f t="shared" si="1"/>
        <v>31</v>
      </c>
      <c r="B34" s="26" t="s">
        <v>17</v>
      </c>
      <c r="C34" s="70">
        <v>69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>
        <v>2</v>
      </c>
      <c r="N34" s="74"/>
      <c r="O34" s="70">
        <v>1</v>
      </c>
      <c r="P34" s="71">
        <v>12</v>
      </c>
      <c r="Q34" s="71">
        <v>7</v>
      </c>
      <c r="R34" s="72"/>
      <c r="S34" s="55"/>
      <c r="T34" s="58">
        <f t="shared" si="0"/>
        <v>14</v>
      </c>
      <c r="U34" s="75">
        <f t="shared" si="4"/>
        <v>1910</v>
      </c>
      <c r="V34" s="75">
        <f t="shared" si="5"/>
        <v>79.583333333333329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>
        <v>1</v>
      </c>
      <c r="R36" s="72"/>
      <c r="S36" s="55"/>
      <c r="T36" s="58">
        <f t="shared" si="0"/>
        <v>0</v>
      </c>
      <c r="U36" s="75">
        <f t="shared" si="4"/>
        <v>24</v>
      </c>
      <c r="V36" s="75">
        <f t="shared" si="5"/>
        <v>1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540+3456+64+324</f>
        <v>4384</v>
      </c>
      <c r="D37" s="59"/>
      <c r="E37" s="59"/>
      <c r="F37" s="59"/>
      <c r="G37" s="59"/>
      <c r="H37" s="59"/>
      <c r="I37" s="59">
        <v>2</v>
      </c>
      <c r="J37" s="60">
        <v>2</v>
      </c>
      <c r="K37" s="61">
        <v>3</v>
      </c>
      <c r="L37" s="62"/>
      <c r="M37" s="63">
        <v>20</v>
      </c>
      <c r="N37" s="64"/>
      <c r="O37" s="65">
        <v>24</v>
      </c>
      <c r="P37" s="66"/>
      <c r="Q37" s="66">
        <v>102</v>
      </c>
      <c r="R37" s="67"/>
      <c r="S37" s="62"/>
      <c r="T37" s="77">
        <f t="shared" si="0"/>
        <v>7</v>
      </c>
      <c r="U37" s="77">
        <f>C37*6+M37*6+O37*6+Q37*6+T37</f>
        <v>27187</v>
      </c>
      <c r="V37" s="77">
        <f>U37/6</f>
        <v>4531.166666666667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63+28</f>
        <v>91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>
        <v>1</v>
      </c>
      <c r="N40" s="64"/>
      <c r="O40" s="65">
        <v>1</v>
      </c>
      <c r="P40" s="66">
        <v>12</v>
      </c>
      <c r="Q40" s="66">
        <v>1</v>
      </c>
      <c r="R40" s="67"/>
      <c r="S40" s="62"/>
      <c r="T40" s="77">
        <f t="shared" si="0"/>
        <v>32</v>
      </c>
      <c r="U40" s="77">
        <f>C40*24+M40*24+O40*24+Q40*24+T40</f>
        <v>2288</v>
      </c>
      <c r="V40" s="77">
        <f>U40/24</f>
        <v>95.333333333333329</v>
      </c>
    </row>
    <row r="41" spans="1:23" ht="19.5" thickBot="1" x14ac:dyDescent="0.3">
      <c r="A41" s="27">
        <f t="shared" si="1"/>
        <v>38</v>
      </c>
      <c r="B41" s="43" t="s">
        <v>22</v>
      </c>
      <c r="C41" s="82">
        <f>192+39</f>
        <v>231</v>
      </c>
      <c r="D41" s="82"/>
      <c r="E41" s="82"/>
      <c r="F41" s="82"/>
      <c r="G41" s="82"/>
      <c r="H41" s="82"/>
      <c r="I41" s="82"/>
      <c r="J41" s="83"/>
      <c r="K41" s="84"/>
      <c r="L41" s="85"/>
      <c r="M41" s="86">
        <v>10</v>
      </c>
      <c r="N41" s="87"/>
      <c r="O41" s="82">
        <v>6</v>
      </c>
      <c r="P41" s="83"/>
      <c r="Q41" s="83">
        <v>20</v>
      </c>
      <c r="R41" s="84"/>
      <c r="S41" s="85"/>
      <c r="T41" s="88">
        <f t="shared" si="0"/>
        <v>0</v>
      </c>
      <c r="U41" s="88">
        <f>C41*12+M41*12+O41*12+Q41*12+T41</f>
        <v>3204</v>
      </c>
      <c r="V41" s="88">
        <f>U41/12</f>
        <v>267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7776+4212+3024+8424+5508+3024+5832</f>
        <v>37800</v>
      </c>
      <c r="D43" s="65"/>
      <c r="E43" s="65"/>
      <c r="F43" s="65"/>
      <c r="G43" s="65"/>
      <c r="H43" s="65"/>
      <c r="I43" s="65">
        <v>7</v>
      </c>
      <c r="J43" s="66">
        <f>6*9+1</f>
        <v>55</v>
      </c>
      <c r="K43" s="67">
        <f>69*6+7</f>
        <v>421</v>
      </c>
      <c r="L43" s="62"/>
      <c r="M43" s="63">
        <v>334</v>
      </c>
      <c r="N43" s="64"/>
      <c r="O43" s="65">
        <v>411</v>
      </c>
      <c r="P43" s="66"/>
      <c r="Q43" s="66">
        <v>348</v>
      </c>
      <c r="R43" s="67"/>
      <c r="S43" s="62"/>
      <c r="T43" s="77">
        <f t="shared" ref="T43" si="6">H43+I43+J43+K43+N43+P43+R43</f>
        <v>483</v>
      </c>
      <c r="U43" s="77">
        <f>C43*6+M43*6+O43*6+Q43*6+T43</f>
        <v>233841</v>
      </c>
      <c r="V43" s="77">
        <f>U43/6</f>
        <v>38973.5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>
        <v>1</v>
      </c>
      <c r="R45" s="72"/>
      <c r="S45" s="55"/>
      <c r="T45" s="75">
        <f t="shared" ref="T45:T54" si="7">H45+I45+J45+K45+N45+P45+R45</f>
        <v>0</v>
      </c>
      <c r="U45" s="75">
        <f>C45*24+M45*24+O45*24+Q45*24+T45</f>
        <v>24</v>
      </c>
      <c r="V45" s="75">
        <f>U45/24</f>
        <v>1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432+106+22+2160+71</f>
        <v>2791</v>
      </c>
      <c r="D47" s="65"/>
      <c r="E47" s="65"/>
      <c r="F47" s="65"/>
      <c r="G47" s="65"/>
      <c r="H47" s="65">
        <v>2</v>
      </c>
      <c r="I47" s="65"/>
      <c r="J47" s="66"/>
      <c r="K47" s="67">
        <v>4</v>
      </c>
      <c r="L47" s="62"/>
      <c r="M47" s="63"/>
      <c r="N47" s="64"/>
      <c r="O47" s="65">
        <v>5</v>
      </c>
      <c r="P47" s="66">
        <v>4</v>
      </c>
      <c r="Q47" s="66">
        <v>12</v>
      </c>
      <c r="R47" s="67">
        <v>3</v>
      </c>
      <c r="S47" s="62"/>
      <c r="T47" s="77">
        <f t="shared" si="7"/>
        <v>13</v>
      </c>
      <c r="U47" s="77">
        <f>C47*6+M47*6+O47*6+Q47*6+T47</f>
        <v>16861</v>
      </c>
      <c r="V47" s="77">
        <f>U47/6</f>
        <v>2810.1666666666665</v>
      </c>
    </row>
    <row r="48" spans="1:23" x14ac:dyDescent="0.25">
      <c r="A48" s="27">
        <f t="shared" si="1"/>
        <v>45</v>
      </c>
      <c r="B48" s="25" t="s">
        <v>58</v>
      </c>
      <c r="C48" s="70">
        <v>1</v>
      </c>
      <c r="D48" s="70"/>
      <c r="E48" s="70"/>
      <c r="F48" s="70"/>
      <c r="G48" s="70"/>
      <c r="H48" s="70"/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0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>
        <v>1</v>
      </c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>
        <v>1</v>
      </c>
      <c r="R49" s="72"/>
      <c r="S49" s="55"/>
      <c r="T49" s="75">
        <f t="shared" si="7"/>
        <v>0</v>
      </c>
      <c r="U49" s="75">
        <f t="shared" si="8"/>
        <v>48</v>
      </c>
      <c r="V49" s="75">
        <f t="shared" si="9"/>
        <v>2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>
        <v>1</v>
      </c>
      <c r="R52" s="72"/>
      <c r="S52" s="55"/>
      <c r="T52" s="75">
        <f t="shared" si="7"/>
        <v>0</v>
      </c>
      <c r="U52" s="75">
        <f t="shared" ref="U52:U54" si="10">C52*24+M52*24+O52*24+Q52*24+T52</f>
        <v>24</v>
      </c>
      <c r="V52" s="75">
        <f t="shared" si="9"/>
        <v>1</v>
      </c>
    </row>
    <row r="53" spans="1:22" x14ac:dyDescent="0.25">
      <c r="A53" s="27">
        <f t="shared" si="1"/>
        <v>50</v>
      </c>
      <c r="B53" s="26" t="s">
        <v>63</v>
      </c>
      <c r="C53" s="70">
        <v>9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>
        <v>1</v>
      </c>
      <c r="R53" s="72"/>
      <c r="S53" s="55"/>
      <c r="T53" s="75">
        <f t="shared" si="7"/>
        <v>0</v>
      </c>
      <c r="U53" s="75">
        <f t="shared" si="10"/>
        <v>240</v>
      </c>
      <c r="V53" s="75">
        <f t="shared" si="9"/>
        <v>10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49169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1181</v>
      </c>
      <c r="I58" s="6">
        <f t="shared" si="11"/>
        <v>19</v>
      </c>
      <c r="J58" s="6">
        <f t="shared" si="11"/>
        <v>65</v>
      </c>
      <c r="K58" s="6">
        <f t="shared" si="11"/>
        <v>449</v>
      </c>
      <c r="M58" s="5">
        <f t="shared" ref="M58:R58" si="12">SUM(M7:M57)</f>
        <v>383</v>
      </c>
      <c r="N58" s="5">
        <f t="shared" si="12"/>
        <v>12</v>
      </c>
      <c r="O58" s="5">
        <f t="shared" si="12"/>
        <v>466</v>
      </c>
      <c r="P58" s="5">
        <f t="shared" si="12"/>
        <v>40</v>
      </c>
      <c r="Q58" s="5">
        <f t="shared" si="12"/>
        <v>560</v>
      </c>
      <c r="R58" s="5">
        <f t="shared" si="12"/>
        <v>3</v>
      </c>
      <c r="S58" s="55"/>
      <c r="T58" s="4">
        <f>SUM(T7:T57)</f>
        <v>1769</v>
      </c>
      <c r="U58" s="90">
        <f>SUM(U7:U57)</f>
        <v>379667</v>
      </c>
      <c r="V58" s="4">
        <f>SUM(V7:V57)</f>
        <v>50714.583333333336</v>
      </c>
    </row>
    <row r="59" spans="1:22" ht="7.5" customHeight="1" thickBot="1" x14ac:dyDescent="0.3"/>
    <row r="60" spans="1:22" ht="19.5" thickBot="1" x14ac:dyDescent="0.3">
      <c r="B60" s="30" t="s">
        <v>37</v>
      </c>
      <c r="C60" s="103" t="s">
        <v>41</v>
      </c>
      <c r="D60" s="104"/>
      <c r="E60" s="104"/>
      <c r="F60" s="104"/>
      <c r="G60" s="104"/>
      <c r="H60" s="104"/>
      <c r="I60" s="104"/>
      <c r="J60" s="104"/>
      <c r="K60" s="105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8FC253-41DB-4918-B98F-2A65359497C9}">
  <sheetPr>
    <pageSetUpPr fitToPage="1"/>
  </sheetPr>
  <dimension ref="A1:BB81"/>
  <sheetViews>
    <sheetView topLeftCell="A40" zoomScaleNormal="100" zoomScaleSheetLayoutView="115" workbookViewId="0">
      <selection activeCell="Q67" sqref="Q67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6.7109375" style="9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06" t="s">
        <v>43</v>
      </c>
      <c r="J1" s="106"/>
      <c r="K1" s="106"/>
      <c r="L1" s="106"/>
      <c r="M1" s="106"/>
      <c r="N1" s="106"/>
      <c r="O1" s="106"/>
      <c r="P1" s="106"/>
      <c r="Q1" s="106"/>
      <c r="R1" s="106"/>
      <c r="S1" s="106"/>
      <c r="T1" s="106"/>
      <c r="U1" s="106"/>
    </row>
    <row r="2" spans="1:54" x14ac:dyDescent="0.25">
      <c r="B2" s="28" t="s">
        <v>73</v>
      </c>
    </row>
    <row r="3" spans="1:54" ht="19.5" thickBot="1" x14ac:dyDescent="0.3"/>
    <row r="4" spans="1:54" s="10" customFormat="1" ht="15.75" x14ac:dyDescent="0.25">
      <c r="B4" s="41" t="s">
        <v>52</v>
      </c>
      <c r="C4" s="107" t="s">
        <v>41</v>
      </c>
      <c r="D4" s="107"/>
      <c r="E4" s="107"/>
      <c r="F4" s="107"/>
      <c r="G4" s="107"/>
      <c r="H4" s="107"/>
      <c r="I4" s="107"/>
      <c r="J4" s="108"/>
      <c r="K4" s="109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0" t="s">
        <v>68</v>
      </c>
      <c r="U4" s="116" t="s">
        <v>67</v>
      </c>
      <c r="V4" s="99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14" t="s">
        <v>65</v>
      </c>
      <c r="K5" s="115"/>
      <c r="M5" s="37"/>
      <c r="N5" s="49"/>
      <c r="O5" s="40"/>
      <c r="P5" s="97"/>
      <c r="Q5" s="97"/>
      <c r="R5" s="38"/>
      <c r="S5" s="9"/>
      <c r="T5" s="111"/>
      <c r="U5" s="117"/>
      <c r="V5" s="100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97"/>
      <c r="K6" s="38"/>
      <c r="M6" s="37"/>
      <c r="N6" s="49"/>
      <c r="O6" s="40"/>
      <c r="P6" s="97"/>
      <c r="Q6" s="97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20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>
        <v>1</v>
      </c>
      <c r="N7" s="57"/>
      <c r="O7" s="52">
        <v>1</v>
      </c>
      <c r="P7" s="53"/>
      <c r="Q7" s="53">
        <v>1</v>
      </c>
      <c r="R7" s="54"/>
      <c r="S7" s="55"/>
      <c r="T7" s="58">
        <f>H7+I7+J7+K7+N7+P7+R7</f>
        <v>9</v>
      </c>
      <c r="U7" s="58">
        <f>C7*24+M7*24+O7*24+Q7*24+T7</f>
        <v>561</v>
      </c>
      <c r="V7" s="58">
        <f>U7/24</f>
        <v>23.375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61+33</f>
        <v>94</v>
      </c>
      <c r="D8" s="59"/>
      <c r="E8" s="59"/>
      <c r="F8" s="59"/>
      <c r="G8" s="59"/>
      <c r="H8" s="59"/>
      <c r="I8" s="59"/>
      <c r="J8" s="60"/>
      <c r="K8" s="61"/>
      <c r="L8" s="62"/>
      <c r="M8" s="63">
        <v>2</v>
      </c>
      <c r="N8" s="64"/>
      <c r="O8" s="65"/>
      <c r="P8" s="66"/>
      <c r="Q8" s="66">
        <v>2</v>
      </c>
      <c r="R8" s="67"/>
      <c r="S8" s="62"/>
      <c r="T8" s="68">
        <f t="shared" ref="T8:T41" si="0">H8+I8+J8+K8+N8+P8+R8</f>
        <v>0</v>
      </c>
      <c r="U8" s="69">
        <f>C8*24+M8*24+O8*24+Q8*24+T8</f>
        <v>2352</v>
      </c>
      <c r="V8" s="69">
        <f>U8/24</f>
        <v>98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f>90+53</f>
        <v>143</v>
      </c>
      <c r="D9" s="70"/>
      <c r="E9" s="70"/>
      <c r="F9" s="70"/>
      <c r="G9" s="70"/>
      <c r="H9" s="70"/>
      <c r="I9" s="70"/>
      <c r="J9" s="71"/>
      <c r="K9" s="72"/>
      <c r="L9" s="55"/>
      <c r="M9" s="73">
        <v>1</v>
      </c>
      <c r="N9" s="74"/>
      <c r="O9" s="70"/>
      <c r="P9" s="71"/>
      <c r="Q9" s="71"/>
      <c r="R9" s="72"/>
      <c r="S9" s="55"/>
      <c r="T9" s="75">
        <f t="shared" si="0"/>
        <v>0</v>
      </c>
      <c r="U9" s="76">
        <f t="shared" ref="U9:U11" si="2">C9*24+M9*24+O9*24+Q9*24+T9</f>
        <v>3456</v>
      </c>
      <c r="V9" s="76">
        <f t="shared" ref="V9:V11" si="3">U9/24</f>
        <v>144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>
        <v>32</v>
      </c>
      <c r="D10" s="70"/>
      <c r="E10" s="70"/>
      <c r="F10" s="70"/>
      <c r="G10" s="70"/>
      <c r="H10" s="70"/>
      <c r="I10" s="70"/>
      <c r="J10" s="71"/>
      <c r="K10" s="72"/>
      <c r="L10" s="55"/>
      <c r="M10" s="73">
        <v>1</v>
      </c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792</v>
      </c>
      <c r="V10" s="58">
        <f t="shared" si="3"/>
        <v>33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5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122</v>
      </c>
      <c r="V11" s="58">
        <f t="shared" si="3"/>
        <v>5.083333333333333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720+34+288+576+47+1440</f>
        <v>3105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26</v>
      </c>
      <c r="N12" s="64"/>
      <c r="O12" s="65">
        <v>10</v>
      </c>
      <c r="P12" s="66">
        <v>12</v>
      </c>
      <c r="Q12" s="66">
        <v>4</v>
      </c>
      <c r="R12" s="67"/>
      <c r="S12" s="62"/>
      <c r="T12" s="69">
        <f t="shared" si="0"/>
        <v>12</v>
      </c>
      <c r="U12" s="69">
        <f>C12*24+M12*24+O12*24+Q12*24+T12</f>
        <v>75492</v>
      </c>
      <c r="V12" s="69">
        <f>U12/24</f>
        <v>3145.5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4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96</v>
      </c>
      <c r="V14" s="75">
        <f t="shared" ref="V14:V36" si="5">U14/24</f>
        <v>4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24*3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24+20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2*24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20</v>
      </c>
      <c r="V22" s="75">
        <f t="shared" si="5"/>
        <v>0.83333333333333337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5</v>
      </c>
      <c r="D24" s="70"/>
      <c r="E24" s="70"/>
      <c r="F24" s="70"/>
      <c r="G24" s="70"/>
      <c r="H24" s="70">
        <f>3*24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192</v>
      </c>
      <c r="V24" s="75">
        <f t="shared" si="5"/>
        <v>8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f>126+19</f>
        <v>145</v>
      </c>
      <c r="D25" s="70"/>
      <c r="E25" s="70"/>
      <c r="F25" s="70"/>
      <c r="G25" s="70"/>
      <c r="H25" s="70"/>
      <c r="I25" s="70"/>
      <c r="J25" s="71">
        <v>1</v>
      </c>
      <c r="K25" s="72"/>
      <c r="L25" s="55"/>
      <c r="M25" s="73">
        <v>3</v>
      </c>
      <c r="N25" s="74"/>
      <c r="O25" s="70">
        <v>1</v>
      </c>
      <c r="P25" s="71"/>
      <c r="Q25" s="71"/>
      <c r="R25" s="72"/>
      <c r="S25" s="55"/>
      <c r="T25" s="58">
        <f t="shared" si="0"/>
        <v>1</v>
      </c>
      <c r="U25" s="75">
        <f t="shared" si="4"/>
        <v>3577</v>
      </c>
      <c r="V25" s="75">
        <f t="shared" si="5"/>
        <v>149.04166666666666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/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0</v>
      </c>
      <c r="V27" s="75">
        <f t="shared" si="5"/>
        <v>0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>
        <f>31+63</f>
        <v>94</v>
      </c>
      <c r="D28" s="70"/>
      <c r="E28" s="70"/>
      <c r="F28" s="70"/>
      <c r="G28" s="70"/>
      <c r="H28" s="70"/>
      <c r="I28" s="70"/>
      <c r="J28" s="71"/>
      <c r="K28" s="72"/>
      <c r="L28" s="55"/>
      <c r="M28" s="73">
        <v>4</v>
      </c>
      <c r="N28" s="74"/>
      <c r="O28" s="70">
        <v>2</v>
      </c>
      <c r="P28" s="71"/>
      <c r="Q28" s="71"/>
      <c r="R28" s="72"/>
      <c r="S28" s="55"/>
      <c r="T28" s="58">
        <f t="shared" si="0"/>
        <v>0</v>
      </c>
      <c r="U28" s="75">
        <f t="shared" si="4"/>
        <v>2400</v>
      </c>
      <c r="V28" s="75">
        <f t="shared" si="5"/>
        <v>100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51</v>
      </c>
      <c r="D29" s="70"/>
      <c r="E29" s="70"/>
      <c r="F29" s="70"/>
      <c r="G29" s="70"/>
      <c r="H29" s="70"/>
      <c r="I29" s="70">
        <v>5</v>
      </c>
      <c r="J29" s="71"/>
      <c r="K29" s="72"/>
      <c r="L29" s="55"/>
      <c r="M29" s="73">
        <v>1</v>
      </c>
      <c r="N29" s="74"/>
      <c r="O29" s="70">
        <v>1</v>
      </c>
      <c r="P29" s="71"/>
      <c r="Q29" s="71"/>
      <c r="R29" s="72"/>
      <c r="S29" s="55"/>
      <c r="T29" s="58">
        <f t="shared" si="0"/>
        <v>5</v>
      </c>
      <c r="U29" s="75">
        <f t="shared" si="4"/>
        <v>1277</v>
      </c>
      <c r="V29" s="75">
        <f t="shared" si="5"/>
        <v>53.208333333333336</v>
      </c>
    </row>
    <row r="30" spans="1:54" x14ac:dyDescent="0.25">
      <c r="A30" s="27">
        <f t="shared" si="1"/>
        <v>27</v>
      </c>
      <c r="B30" s="26" t="s">
        <v>15</v>
      </c>
      <c r="C30" s="70">
        <v>13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/>
      <c r="R30" s="72"/>
      <c r="S30" s="55"/>
      <c r="T30" s="58">
        <f t="shared" si="0"/>
        <v>0</v>
      </c>
      <c r="U30" s="75">
        <f t="shared" si="4"/>
        <v>312</v>
      </c>
      <c r="V30" s="75">
        <f t="shared" si="5"/>
        <v>13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>
        <v>4</v>
      </c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96</v>
      </c>
      <c r="V32" s="75">
        <f t="shared" si="5"/>
        <v>4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0</v>
      </c>
      <c r="V33" s="75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0">
        <v>66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>
        <v>3</v>
      </c>
      <c r="N34" s="74"/>
      <c r="O34" s="70">
        <v>1</v>
      </c>
      <c r="P34" s="71">
        <v>12</v>
      </c>
      <c r="Q34" s="71">
        <v>7</v>
      </c>
      <c r="R34" s="72"/>
      <c r="S34" s="55"/>
      <c r="T34" s="58">
        <f t="shared" si="0"/>
        <v>14</v>
      </c>
      <c r="U34" s="75">
        <f t="shared" si="4"/>
        <v>1862</v>
      </c>
      <c r="V34" s="75">
        <f t="shared" si="5"/>
        <v>77.583333333333329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864+3456+54</f>
        <v>4374</v>
      </c>
      <c r="D37" s="59"/>
      <c r="E37" s="59"/>
      <c r="F37" s="59"/>
      <c r="G37" s="59"/>
      <c r="H37" s="59"/>
      <c r="I37" s="59">
        <v>2</v>
      </c>
      <c r="J37" s="60">
        <v>2</v>
      </c>
      <c r="K37" s="61">
        <v>3</v>
      </c>
      <c r="L37" s="62"/>
      <c r="M37" s="63">
        <v>19</v>
      </c>
      <c r="N37" s="64"/>
      <c r="O37" s="65">
        <v>23</v>
      </c>
      <c r="P37" s="66"/>
      <c r="Q37" s="66">
        <v>28</v>
      </c>
      <c r="R37" s="67"/>
      <c r="S37" s="62"/>
      <c r="T37" s="77">
        <f t="shared" si="0"/>
        <v>7</v>
      </c>
      <c r="U37" s="77">
        <f>C37*6+M37*6+O37*6+Q37*6+T37</f>
        <v>26671</v>
      </c>
      <c r="V37" s="77">
        <f>U37/6</f>
        <v>4445.166666666667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63+26</f>
        <v>89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>
        <v>3</v>
      </c>
      <c r="N40" s="64"/>
      <c r="O40" s="65">
        <v>1</v>
      </c>
      <c r="P40" s="66">
        <v>12</v>
      </c>
      <c r="Q40" s="66"/>
      <c r="R40" s="67"/>
      <c r="S40" s="62"/>
      <c r="T40" s="77">
        <f t="shared" si="0"/>
        <v>32</v>
      </c>
      <c r="U40" s="77">
        <f>C40*24+M40*24+O40*24+Q40*24+T40</f>
        <v>2264</v>
      </c>
      <c r="V40" s="77">
        <f>U40/24</f>
        <v>94.333333333333329</v>
      </c>
    </row>
    <row r="41" spans="1:23" ht="19.5" thickBot="1" x14ac:dyDescent="0.3">
      <c r="A41" s="27">
        <f t="shared" si="1"/>
        <v>38</v>
      </c>
      <c r="B41" s="43" t="s">
        <v>22</v>
      </c>
      <c r="C41" s="82">
        <f>192+34</f>
        <v>226</v>
      </c>
      <c r="D41" s="82"/>
      <c r="E41" s="82"/>
      <c r="F41" s="82"/>
      <c r="G41" s="82"/>
      <c r="H41" s="82"/>
      <c r="I41" s="82"/>
      <c r="J41" s="83"/>
      <c r="K41" s="84"/>
      <c r="L41" s="85"/>
      <c r="M41" s="86">
        <v>13</v>
      </c>
      <c r="N41" s="87"/>
      <c r="O41" s="82">
        <v>6</v>
      </c>
      <c r="P41" s="83"/>
      <c r="Q41" s="83"/>
      <c r="R41" s="84"/>
      <c r="S41" s="85"/>
      <c r="T41" s="88">
        <f t="shared" si="0"/>
        <v>0</v>
      </c>
      <c r="U41" s="88">
        <f>C41*12+M41*12+O41*12+Q41*12+T41</f>
        <v>2940</v>
      </c>
      <c r="V41" s="88">
        <f>U41/12</f>
        <v>245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7776+3456+3024+8424+5508+3024+5832</f>
        <v>37044</v>
      </c>
      <c r="D43" s="65"/>
      <c r="E43" s="65"/>
      <c r="F43" s="65"/>
      <c r="G43" s="65"/>
      <c r="H43" s="65"/>
      <c r="I43" s="65">
        <f>7</f>
        <v>7</v>
      </c>
      <c r="J43" s="66">
        <f>6*9+1</f>
        <v>55</v>
      </c>
      <c r="K43" s="67">
        <f>69*6+7</f>
        <v>421</v>
      </c>
      <c r="L43" s="62"/>
      <c r="M43" s="63">
        <v>469</v>
      </c>
      <c r="N43" s="64"/>
      <c r="O43" s="65">
        <v>398</v>
      </c>
      <c r="P43" s="66"/>
      <c r="Q43" s="66">
        <v>2</v>
      </c>
      <c r="R43" s="67"/>
      <c r="S43" s="62"/>
      <c r="T43" s="77">
        <f t="shared" ref="T43" si="6">H43+I43+J43+K43+N43+P43+R43</f>
        <v>483</v>
      </c>
      <c r="U43" s="77">
        <f>C43*6+M43*6+O43*6+Q43*6+T43</f>
        <v>227961</v>
      </c>
      <c r="V43" s="77">
        <f>U43/6</f>
        <v>37993.5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14+432+106+2160+71</f>
        <v>2783</v>
      </c>
      <c r="D47" s="65"/>
      <c r="E47" s="65"/>
      <c r="F47" s="65"/>
      <c r="G47" s="65"/>
      <c r="H47" s="65">
        <v>2</v>
      </c>
      <c r="I47" s="65"/>
      <c r="J47" s="66"/>
      <c r="K47" s="67">
        <v>4</v>
      </c>
      <c r="L47" s="62"/>
      <c r="M47" s="63">
        <v>8</v>
      </c>
      <c r="N47" s="64"/>
      <c r="O47" s="65">
        <v>5</v>
      </c>
      <c r="P47" s="66">
        <v>4</v>
      </c>
      <c r="Q47" s="66">
        <v>2</v>
      </c>
      <c r="R47" s="67">
        <v>3</v>
      </c>
      <c r="S47" s="62"/>
      <c r="T47" s="77">
        <f t="shared" si="7"/>
        <v>13</v>
      </c>
      <c r="U47" s="77">
        <f>C47*6+M47*6+O47*6+Q47*6+T47</f>
        <v>16801</v>
      </c>
      <c r="V47" s="77">
        <f>U47/6</f>
        <v>2800.1666666666665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>
        <v>1</v>
      </c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24</v>
      </c>
      <c r="V49" s="75">
        <f t="shared" si="9"/>
        <v>1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9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216</v>
      </c>
      <c r="V53" s="75">
        <f t="shared" si="9"/>
        <v>9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48350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1185</v>
      </c>
      <c r="I58" s="6">
        <f t="shared" si="11"/>
        <v>38</v>
      </c>
      <c r="J58" s="6">
        <f t="shared" si="11"/>
        <v>58</v>
      </c>
      <c r="K58" s="6">
        <f t="shared" si="11"/>
        <v>457</v>
      </c>
      <c r="M58" s="5">
        <f t="shared" ref="M58:R58" si="12">SUM(M7:M57)</f>
        <v>554</v>
      </c>
      <c r="N58" s="5">
        <f t="shared" si="12"/>
        <v>0</v>
      </c>
      <c r="O58" s="5">
        <f t="shared" si="12"/>
        <v>449</v>
      </c>
      <c r="P58" s="5">
        <f t="shared" si="12"/>
        <v>40</v>
      </c>
      <c r="Q58" s="5">
        <f t="shared" si="12"/>
        <v>46</v>
      </c>
      <c r="R58" s="5">
        <f t="shared" si="12"/>
        <v>3</v>
      </c>
      <c r="S58" s="55"/>
      <c r="T58" s="4">
        <f>SUM(T7:T57)</f>
        <v>1781</v>
      </c>
      <c r="U58" s="90">
        <f>SUM(U7:U57)</f>
        <v>371015</v>
      </c>
      <c r="V58" s="4">
        <f>SUM(V7:V57)</f>
        <v>49536.083333333336</v>
      </c>
    </row>
    <row r="59" spans="1:22" ht="7.5" customHeight="1" thickBot="1" x14ac:dyDescent="0.3"/>
    <row r="60" spans="1:22" ht="19.5" thickBot="1" x14ac:dyDescent="0.3">
      <c r="B60" s="30" t="s">
        <v>37</v>
      </c>
      <c r="C60" s="103" t="s">
        <v>41</v>
      </c>
      <c r="D60" s="104"/>
      <c r="E60" s="104"/>
      <c r="F60" s="104"/>
      <c r="G60" s="104"/>
      <c r="H60" s="104"/>
      <c r="I60" s="104"/>
      <c r="J60" s="104"/>
      <c r="K60" s="105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3B8CD2-395D-43D6-BA4D-0BFC9B6269E5}">
  <sheetPr>
    <pageSetUpPr fitToPage="1"/>
  </sheetPr>
  <dimension ref="A1:BB81"/>
  <sheetViews>
    <sheetView tabSelected="1" topLeftCell="A34" zoomScaleNormal="100" zoomScaleSheetLayoutView="115" workbookViewId="0">
      <selection activeCell="AC54" sqref="AC54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6.7109375" style="9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06" t="s">
        <v>43</v>
      </c>
      <c r="J1" s="106"/>
      <c r="K1" s="106"/>
      <c r="L1" s="106"/>
      <c r="M1" s="106"/>
      <c r="N1" s="106"/>
      <c r="O1" s="106"/>
      <c r="P1" s="106"/>
      <c r="Q1" s="106"/>
      <c r="R1" s="106"/>
      <c r="S1" s="106"/>
      <c r="T1" s="106"/>
      <c r="U1" s="106"/>
    </row>
    <row r="2" spans="1:54" x14ac:dyDescent="0.25">
      <c r="B2" s="28" t="s">
        <v>73</v>
      </c>
    </row>
    <row r="3" spans="1:54" ht="19.5" thickBot="1" x14ac:dyDescent="0.3"/>
    <row r="4" spans="1:54" s="10" customFormat="1" ht="15.75" x14ac:dyDescent="0.25">
      <c r="B4" s="41" t="s">
        <v>52</v>
      </c>
      <c r="C4" s="107" t="s">
        <v>41</v>
      </c>
      <c r="D4" s="107"/>
      <c r="E4" s="107"/>
      <c r="F4" s="107"/>
      <c r="G4" s="107"/>
      <c r="H4" s="107"/>
      <c r="I4" s="107"/>
      <c r="J4" s="108"/>
      <c r="K4" s="109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0" t="s">
        <v>68</v>
      </c>
      <c r="U4" s="116" t="s">
        <v>67</v>
      </c>
      <c r="V4" s="99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14" t="s">
        <v>65</v>
      </c>
      <c r="K5" s="115"/>
      <c r="M5" s="37"/>
      <c r="N5" s="49"/>
      <c r="O5" s="40"/>
      <c r="P5" s="98"/>
      <c r="Q5" s="98"/>
      <c r="R5" s="38"/>
      <c r="S5" s="9"/>
      <c r="T5" s="111"/>
      <c r="U5" s="117"/>
      <c r="V5" s="100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98"/>
      <c r="K6" s="38"/>
      <c r="M6" s="37"/>
      <c r="N6" s="49"/>
      <c r="O6" s="40"/>
      <c r="P6" s="98"/>
      <c r="Q6" s="98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20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>
        <v>1</v>
      </c>
      <c r="N7" s="57"/>
      <c r="O7" s="52">
        <v>1</v>
      </c>
      <c r="P7" s="53"/>
      <c r="Q7" s="53">
        <v>1</v>
      </c>
      <c r="R7" s="54"/>
      <c r="S7" s="55"/>
      <c r="T7" s="58">
        <f>H7+I7+J7+K7+N7+P7+R7</f>
        <v>9</v>
      </c>
      <c r="U7" s="58">
        <f>C7*24+M7*24+O7*24+Q7*24+T7</f>
        <v>561</v>
      </c>
      <c r="V7" s="58">
        <f>U7/24</f>
        <v>23.375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61+33</f>
        <v>94</v>
      </c>
      <c r="D8" s="59"/>
      <c r="E8" s="59"/>
      <c r="F8" s="59"/>
      <c r="G8" s="59"/>
      <c r="H8" s="59"/>
      <c r="I8" s="59"/>
      <c r="J8" s="60"/>
      <c r="K8" s="61"/>
      <c r="L8" s="62"/>
      <c r="M8" s="63"/>
      <c r="N8" s="64"/>
      <c r="O8" s="65"/>
      <c r="P8" s="66"/>
      <c r="Q8" s="66">
        <v>2</v>
      </c>
      <c r="R8" s="67"/>
      <c r="S8" s="62"/>
      <c r="T8" s="68">
        <f t="shared" ref="T8:T41" si="0">H8+I8+J8+K8+N8+P8+R8</f>
        <v>0</v>
      </c>
      <c r="U8" s="69">
        <f>C8*24+M8*24+O8*24+Q8*24+T8</f>
        <v>2304</v>
      </c>
      <c r="V8" s="69">
        <f>U8/24</f>
        <v>96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f>90+49</f>
        <v>139</v>
      </c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>
        <v>2</v>
      </c>
      <c r="P9" s="71"/>
      <c r="Q9" s="71">
        <v>2</v>
      </c>
      <c r="R9" s="72"/>
      <c r="S9" s="55"/>
      <c r="T9" s="75">
        <f t="shared" si="0"/>
        <v>0</v>
      </c>
      <c r="U9" s="76">
        <f t="shared" ref="U9:U11" si="2">C9*24+M9*24+O9*24+Q9*24+T9</f>
        <v>3432</v>
      </c>
      <c r="V9" s="76">
        <f t="shared" ref="V9:V11" si="3">U9/24</f>
        <v>143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>
        <v>23</v>
      </c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>
        <v>2</v>
      </c>
      <c r="P10" s="71"/>
      <c r="Q10" s="71">
        <v>7</v>
      </c>
      <c r="R10" s="72"/>
      <c r="S10" s="55"/>
      <c r="T10" s="58">
        <f t="shared" si="0"/>
        <v>0</v>
      </c>
      <c r="U10" s="58">
        <f t="shared" si="2"/>
        <v>768</v>
      </c>
      <c r="V10" s="58">
        <f t="shared" si="3"/>
        <v>32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5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122</v>
      </c>
      <c r="V11" s="58">
        <f t="shared" si="3"/>
        <v>5.083333333333333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720+34+1440+288+576+19</f>
        <v>3077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21</v>
      </c>
      <c r="N12" s="64"/>
      <c r="O12" s="65">
        <v>10</v>
      </c>
      <c r="P12" s="66"/>
      <c r="Q12" s="66">
        <v>24</v>
      </c>
      <c r="R12" s="67"/>
      <c r="S12" s="62"/>
      <c r="T12" s="69">
        <f t="shared" si="0"/>
        <v>0</v>
      </c>
      <c r="U12" s="69">
        <f>C12*24+M12*24+O12*24+Q12*24+T12</f>
        <v>75168</v>
      </c>
      <c r="V12" s="69">
        <f>U12/24</f>
        <v>3132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4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96</v>
      </c>
      <c r="V14" s="75">
        <f t="shared" ref="V14:V36" si="5">U14/24</f>
        <v>4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3*24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24+20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24*2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20</v>
      </c>
      <c r="V22" s="75">
        <f t="shared" si="5"/>
        <v>0.83333333333333337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5</v>
      </c>
      <c r="D24" s="70"/>
      <c r="E24" s="70"/>
      <c r="F24" s="70"/>
      <c r="G24" s="70"/>
      <c r="H24" s="70">
        <f>24*3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192</v>
      </c>
      <c r="V24" s="75">
        <f t="shared" si="5"/>
        <v>8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v>126</v>
      </c>
      <c r="D25" s="70"/>
      <c r="E25" s="70"/>
      <c r="F25" s="70"/>
      <c r="G25" s="70"/>
      <c r="H25" s="70"/>
      <c r="I25" s="70"/>
      <c r="J25" s="71">
        <v>1</v>
      </c>
      <c r="K25" s="72"/>
      <c r="L25" s="55"/>
      <c r="M25" s="73">
        <v>1</v>
      </c>
      <c r="N25" s="74"/>
      <c r="O25" s="70"/>
      <c r="P25" s="71"/>
      <c r="Q25" s="71">
        <v>20</v>
      </c>
      <c r="R25" s="72"/>
      <c r="S25" s="55"/>
      <c r="T25" s="58">
        <f t="shared" si="0"/>
        <v>1</v>
      </c>
      <c r="U25" s="75">
        <f t="shared" si="4"/>
        <v>3529</v>
      </c>
      <c r="V25" s="75">
        <f t="shared" si="5"/>
        <v>147.04166666666666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/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0</v>
      </c>
      <c r="V27" s="75">
        <f t="shared" si="5"/>
        <v>0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>
        <v>49</v>
      </c>
      <c r="D28" s="70"/>
      <c r="E28" s="70"/>
      <c r="F28" s="70"/>
      <c r="G28" s="70"/>
      <c r="H28" s="70"/>
      <c r="I28" s="70"/>
      <c r="J28" s="71"/>
      <c r="K28" s="72"/>
      <c r="L28" s="55"/>
      <c r="M28" s="73">
        <v>27</v>
      </c>
      <c r="N28" s="74"/>
      <c r="O28" s="70">
        <v>2</v>
      </c>
      <c r="P28" s="71"/>
      <c r="Q28" s="71">
        <v>20</v>
      </c>
      <c r="R28" s="72"/>
      <c r="S28" s="55"/>
      <c r="T28" s="58">
        <f t="shared" si="0"/>
        <v>0</v>
      </c>
      <c r="U28" s="75">
        <f t="shared" si="4"/>
        <v>2352</v>
      </c>
      <c r="V28" s="75">
        <f t="shared" si="5"/>
        <v>98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51</v>
      </c>
      <c r="D29" s="70"/>
      <c r="E29" s="70"/>
      <c r="F29" s="70"/>
      <c r="G29" s="70"/>
      <c r="H29" s="70"/>
      <c r="I29" s="70">
        <v>5</v>
      </c>
      <c r="J29" s="71"/>
      <c r="K29" s="72"/>
      <c r="L29" s="55"/>
      <c r="M29" s="73">
        <v>1</v>
      </c>
      <c r="N29" s="74"/>
      <c r="O29" s="70">
        <v>1</v>
      </c>
      <c r="P29" s="71"/>
      <c r="Q29" s="71"/>
      <c r="R29" s="72"/>
      <c r="S29" s="55"/>
      <c r="T29" s="58">
        <f t="shared" si="0"/>
        <v>5</v>
      </c>
      <c r="U29" s="75">
        <f t="shared" si="4"/>
        <v>1277</v>
      </c>
      <c r="V29" s="75">
        <f t="shared" si="5"/>
        <v>53.208333333333336</v>
      </c>
    </row>
    <row r="30" spans="1:54" x14ac:dyDescent="0.25">
      <c r="A30" s="27">
        <f t="shared" si="1"/>
        <v>27</v>
      </c>
      <c r="B30" s="26" t="s">
        <v>15</v>
      </c>
      <c r="C30" s="70">
        <v>13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/>
      <c r="R30" s="72"/>
      <c r="S30" s="55"/>
      <c r="T30" s="58">
        <f t="shared" si="0"/>
        <v>0</v>
      </c>
      <c r="U30" s="75">
        <f t="shared" si="4"/>
        <v>312</v>
      </c>
      <c r="V30" s="75">
        <f t="shared" si="5"/>
        <v>13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>
        <v>4</v>
      </c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96</v>
      </c>
      <c r="V32" s="75">
        <f t="shared" si="5"/>
        <v>4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0</v>
      </c>
      <c r="V33" s="75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0">
        <v>66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>
        <v>2</v>
      </c>
      <c r="N34" s="74"/>
      <c r="O34" s="70">
        <v>1</v>
      </c>
      <c r="P34" s="71">
        <v>12</v>
      </c>
      <c r="Q34" s="71">
        <v>7</v>
      </c>
      <c r="R34" s="72"/>
      <c r="S34" s="55"/>
      <c r="T34" s="58">
        <f t="shared" si="0"/>
        <v>14</v>
      </c>
      <c r="U34" s="75">
        <f t="shared" si="4"/>
        <v>1838</v>
      </c>
      <c r="V34" s="75">
        <f t="shared" si="5"/>
        <v>76.583333333333329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864+3240+44</f>
        <v>4148</v>
      </c>
      <c r="D37" s="59"/>
      <c r="E37" s="59"/>
      <c r="F37" s="59"/>
      <c r="G37" s="59"/>
      <c r="H37" s="59"/>
      <c r="I37" s="59">
        <v>2</v>
      </c>
      <c r="J37" s="60">
        <v>2</v>
      </c>
      <c r="K37" s="61">
        <v>3</v>
      </c>
      <c r="L37" s="62"/>
      <c r="M37" s="63">
        <v>127</v>
      </c>
      <c r="N37" s="64"/>
      <c r="O37" s="65">
        <v>23</v>
      </c>
      <c r="P37" s="66"/>
      <c r="Q37" s="66">
        <v>136</v>
      </c>
      <c r="R37" s="67"/>
      <c r="S37" s="62"/>
      <c r="T37" s="77">
        <f t="shared" si="0"/>
        <v>7</v>
      </c>
      <c r="U37" s="77">
        <f>C37*6+M37*6+O37*6+Q37*6+T37</f>
        <v>26611</v>
      </c>
      <c r="V37" s="77">
        <f>U37/6</f>
        <v>4435.166666666667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63+24</f>
        <v>87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>
        <v>2</v>
      </c>
      <c r="N40" s="64"/>
      <c r="O40" s="65">
        <v>1</v>
      </c>
      <c r="P40" s="66">
        <v>12</v>
      </c>
      <c r="Q40" s="66">
        <v>2</v>
      </c>
      <c r="R40" s="67"/>
      <c r="S40" s="62"/>
      <c r="T40" s="77">
        <f t="shared" si="0"/>
        <v>32</v>
      </c>
      <c r="U40" s="77">
        <f>C40*24+M40*24+O40*24+Q40*24+T40</f>
        <v>2240</v>
      </c>
      <c r="V40" s="77">
        <f>U40/24</f>
        <v>93.333333333333329</v>
      </c>
    </row>
    <row r="41" spans="1:23" ht="19.5" thickBot="1" x14ac:dyDescent="0.3">
      <c r="A41" s="27">
        <f t="shared" si="1"/>
        <v>38</v>
      </c>
      <c r="B41" s="43" t="s">
        <v>22</v>
      </c>
      <c r="C41" s="82">
        <f>96+60</f>
        <v>156</v>
      </c>
      <c r="D41" s="82"/>
      <c r="E41" s="82"/>
      <c r="F41" s="82"/>
      <c r="G41" s="82"/>
      <c r="H41" s="82"/>
      <c r="I41" s="82"/>
      <c r="J41" s="83"/>
      <c r="K41" s="84"/>
      <c r="L41" s="85"/>
      <c r="M41" s="86">
        <v>58</v>
      </c>
      <c r="N41" s="87"/>
      <c r="O41" s="82">
        <v>6</v>
      </c>
      <c r="P41" s="83"/>
      <c r="Q41" s="83">
        <v>20</v>
      </c>
      <c r="R41" s="84"/>
      <c r="S41" s="85"/>
      <c r="T41" s="88">
        <f t="shared" si="0"/>
        <v>0</v>
      </c>
      <c r="U41" s="88">
        <f>C41*12+M41*12+O41*12+Q41*12+T41</f>
        <v>2880</v>
      </c>
      <c r="V41" s="88">
        <f>U41/12</f>
        <v>240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7776+2484+72+3024+8424+5508+3024+5832</f>
        <v>36144</v>
      </c>
      <c r="D43" s="65"/>
      <c r="E43" s="65"/>
      <c r="F43" s="65"/>
      <c r="G43" s="65"/>
      <c r="H43" s="65"/>
      <c r="I43" s="65">
        <v>7</v>
      </c>
      <c r="J43" s="66">
        <f>10*6+1</f>
        <v>61</v>
      </c>
      <c r="K43" s="67">
        <f>69*6+7</f>
        <v>421</v>
      </c>
      <c r="L43" s="62"/>
      <c r="M43" s="63">
        <v>399</v>
      </c>
      <c r="N43" s="64"/>
      <c r="O43" s="65">
        <v>387</v>
      </c>
      <c r="P43" s="66"/>
      <c r="Q43" s="66">
        <v>541</v>
      </c>
      <c r="R43" s="67"/>
      <c r="S43" s="62"/>
      <c r="T43" s="77">
        <f t="shared" ref="T43" si="6">H43+I43+J43+K43+N43+P43+R43</f>
        <v>489</v>
      </c>
      <c r="U43" s="77">
        <f>C43*6+M43*6+O43*6+Q43*6+T43</f>
        <v>225315</v>
      </c>
      <c r="V43" s="77">
        <f>U43/6</f>
        <v>37552.5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14+432+106+2160+71</f>
        <v>2783</v>
      </c>
      <c r="D47" s="65"/>
      <c r="E47" s="65"/>
      <c r="F47" s="65"/>
      <c r="G47" s="65"/>
      <c r="H47" s="65">
        <v>1</v>
      </c>
      <c r="I47" s="65"/>
      <c r="J47" s="66">
        <v>1</v>
      </c>
      <c r="K47" s="67">
        <v>4</v>
      </c>
      <c r="L47" s="62"/>
      <c r="M47" s="63">
        <v>6</v>
      </c>
      <c r="N47" s="64"/>
      <c r="O47" s="65">
        <v>5</v>
      </c>
      <c r="P47" s="66">
        <v>4</v>
      </c>
      <c r="Q47" s="66">
        <v>2</v>
      </c>
      <c r="R47" s="67">
        <v>3</v>
      </c>
      <c r="S47" s="62"/>
      <c r="T47" s="77">
        <f t="shared" si="7"/>
        <v>13</v>
      </c>
      <c r="U47" s="77">
        <f>C47*6+M47*6+O47*6+Q47*6+T47</f>
        <v>16789</v>
      </c>
      <c r="V47" s="77">
        <f>U47/6</f>
        <v>2798.1666666666665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>
        <v>1</v>
      </c>
      <c r="R49" s="72"/>
      <c r="S49" s="55"/>
      <c r="T49" s="75">
        <f t="shared" si="7"/>
        <v>0</v>
      </c>
      <c r="U49" s="75">
        <f t="shared" si="8"/>
        <v>24</v>
      </c>
      <c r="V49" s="75">
        <f t="shared" si="9"/>
        <v>1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9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216</v>
      </c>
      <c r="V53" s="75">
        <f t="shared" si="9"/>
        <v>9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47046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1184</v>
      </c>
      <c r="I58" s="6">
        <f t="shared" si="11"/>
        <v>38</v>
      </c>
      <c r="J58" s="6">
        <f t="shared" si="11"/>
        <v>65</v>
      </c>
      <c r="K58" s="6">
        <f t="shared" si="11"/>
        <v>457</v>
      </c>
      <c r="M58" s="5">
        <f t="shared" ref="M58:R58" si="12">SUM(M7:M57)</f>
        <v>645</v>
      </c>
      <c r="N58" s="5">
        <f t="shared" si="12"/>
        <v>0</v>
      </c>
      <c r="O58" s="5">
        <f t="shared" si="12"/>
        <v>441</v>
      </c>
      <c r="P58" s="5">
        <f t="shared" si="12"/>
        <v>28</v>
      </c>
      <c r="Q58" s="5">
        <f t="shared" si="12"/>
        <v>785</v>
      </c>
      <c r="R58" s="5">
        <f t="shared" si="12"/>
        <v>3</v>
      </c>
      <c r="S58" s="55"/>
      <c r="T58" s="4">
        <f>SUM(T7:T57)</f>
        <v>1775</v>
      </c>
      <c r="U58" s="90">
        <f>SUM(U7:U57)</f>
        <v>367673</v>
      </c>
      <c r="V58" s="4">
        <f>SUM(V7:V57)</f>
        <v>49054.583333333336</v>
      </c>
    </row>
    <row r="59" spans="1:22" ht="7.5" customHeight="1" thickBot="1" x14ac:dyDescent="0.3"/>
    <row r="60" spans="1:22" ht="19.5" thickBot="1" x14ac:dyDescent="0.3">
      <c r="B60" s="30" t="s">
        <v>37</v>
      </c>
      <c r="C60" s="103" t="s">
        <v>41</v>
      </c>
      <c r="D60" s="104"/>
      <c r="E60" s="104"/>
      <c r="F60" s="104"/>
      <c r="G60" s="104"/>
      <c r="H60" s="104"/>
      <c r="I60" s="104"/>
      <c r="J60" s="104"/>
      <c r="K60" s="105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5</vt:i4>
      </vt:variant>
    </vt:vector>
  </HeadingPairs>
  <TitlesOfParts>
    <vt:vector size="10" baseType="lpstr">
      <vt:lpstr>SAMPLE</vt:lpstr>
      <vt:lpstr>06-01-2026</vt:lpstr>
      <vt:lpstr>06-02-2026</vt:lpstr>
      <vt:lpstr>06-03-2026</vt:lpstr>
      <vt:lpstr>06-04-2026 </vt:lpstr>
      <vt:lpstr>'06-01-2026'!Print_Area</vt:lpstr>
      <vt:lpstr>'06-02-2026'!Print_Area</vt:lpstr>
      <vt:lpstr>'06-03-2026'!Print_Area</vt:lpstr>
      <vt:lpstr>'06-04-2026 '!Print_Area</vt:lpstr>
      <vt:lpstr>SAMPLE!Print_Area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2026-05-14T09:16:27Z</cp:lastPrinted>
  <dcterms:created xsi:type="dcterms:W3CDTF">2024-08-17T00:07:58Z</dcterms:created>
  <dcterms:modified xsi:type="dcterms:W3CDTF">2026-06-04T05:45:12Z</dcterms:modified>
</cp:coreProperties>
</file>