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8BD4929-840A-48E0-9ECA-30C6D87E78B8}" xr6:coauthVersionLast="45" xr6:coauthVersionMax="47" xr10:uidLastSave="{00000000-0000-0000-0000-000000000000}"/>
  <bookViews>
    <workbookView xWindow="-120" yWindow="-120" windowWidth="29040" windowHeight="15840" firstSheet="15" activeTab="22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  <sheet name="06-25-2026" sheetId="225" r:id="rId23"/>
    <sheet name="06-25-2026-Nab mts" sheetId="226" r:id="rId24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  <definedName name="_xlnm.Print_Area" localSheetId="22">'06-25-2026'!$A$1:$V$97</definedName>
    <definedName name="_xlnm.Print_Area" localSheetId="23">'06-25-2026-Nab mts'!$A$1:$V$97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9" i="225" l="1"/>
  <c r="M79" i="226" l="1"/>
  <c r="P71" i="226"/>
  <c r="H71" i="226"/>
  <c r="Q70" i="226"/>
  <c r="P70" i="226"/>
  <c r="I70" i="226"/>
  <c r="H70" i="226"/>
  <c r="E70" i="226"/>
  <c r="Q69" i="226"/>
  <c r="P69" i="226"/>
  <c r="I69" i="226"/>
  <c r="H69" i="226"/>
  <c r="E69" i="226"/>
  <c r="AE68" i="226"/>
  <c r="AI68" i="226" s="1"/>
  <c r="Y68" i="226" s="1"/>
  <c r="AD68" i="226"/>
  <c r="AC68" i="226"/>
  <c r="AB68" i="226"/>
  <c r="Z68" i="226"/>
  <c r="X68" i="226"/>
  <c r="Q68" i="226"/>
  <c r="P68" i="226"/>
  <c r="I68" i="226"/>
  <c r="H68" i="226"/>
  <c r="E68" i="226"/>
  <c r="AD67" i="226"/>
  <c r="AC67" i="226"/>
  <c r="AB67" i="226"/>
  <c r="AE67" i="226" s="1"/>
  <c r="AI67" i="226" s="1"/>
  <c r="Y67" i="226" s="1"/>
  <c r="Z67" i="226"/>
  <c r="X67" i="226"/>
  <c r="Q67" i="226"/>
  <c r="P67" i="226"/>
  <c r="H67" i="226"/>
  <c r="E67" i="226"/>
  <c r="I67" i="226" s="1"/>
  <c r="AE66" i="226"/>
  <c r="AI66" i="226" s="1"/>
  <c r="Y66" i="226" s="1"/>
  <c r="AD66" i="226"/>
  <c r="AC66" i="226"/>
  <c r="AB66" i="226"/>
  <c r="Z66" i="226"/>
  <c r="X66" i="226"/>
  <c r="Q66" i="226"/>
  <c r="P66" i="226"/>
  <c r="I66" i="226"/>
  <c r="H66" i="226"/>
  <c r="E66" i="226"/>
  <c r="AD65" i="226"/>
  <c r="AE65" i="226" s="1"/>
  <c r="AI65" i="226" s="1"/>
  <c r="Y65" i="226" s="1"/>
  <c r="AC65" i="226"/>
  <c r="AB65" i="226"/>
  <c r="Z65" i="226"/>
  <c r="X65" i="226"/>
  <c r="Q65" i="226"/>
  <c r="P65" i="226"/>
  <c r="I65" i="226"/>
  <c r="H65" i="226"/>
  <c r="E65" i="226"/>
  <c r="AD64" i="226"/>
  <c r="AC64" i="226"/>
  <c r="AB64" i="226"/>
  <c r="AE64" i="226" s="1"/>
  <c r="AI64" i="226" s="1"/>
  <c r="Y64" i="226" s="1"/>
  <c r="Z64" i="226"/>
  <c r="X64" i="226"/>
  <c r="Q64" i="226"/>
  <c r="P64" i="226"/>
  <c r="H64" i="226"/>
  <c r="E64" i="226"/>
  <c r="I64" i="226" s="1"/>
  <c r="AD63" i="226"/>
  <c r="AC63" i="226"/>
  <c r="AB63" i="226"/>
  <c r="AE63" i="226" s="1"/>
  <c r="AI63" i="226" s="1"/>
  <c r="Y63" i="226" s="1"/>
  <c r="Z63" i="226"/>
  <c r="X63" i="226"/>
  <c r="Q63" i="226"/>
  <c r="P63" i="226"/>
  <c r="H63" i="226"/>
  <c r="E63" i="226"/>
  <c r="I63" i="226" s="1"/>
  <c r="AD62" i="226"/>
  <c r="AE62" i="226" s="1"/>
  <c r="AI62" i="226" s="1"/>
  <c r="Y62" i="226" s="1"/>
  <c r="AC62" i="226"/>
  <c r="AB62" i="226"/>
  <c r="Z62" i="226"/>
  <c r="X62" i="226"/>
  <c r="Q62" i="226"/>
  <c r="P62" i="226"/>
  <c r="I62" i="226"/>
  <c r="H62" i="226"/>
  <c r="E62" i="226"/>
  <c r="AC61" i="226"/>
  <c r="AE61" i="226" s="1"/>
  <c r="AI61" i="226" s="1"/>
  <c r="Y61" i="226" s="1"/>
  <c r="AB61" i="226"/>
  <c r="X61" i="226"/>
  <c r="Q61" i="226"/>
  <c r="P61" i="226"/>
  <c r="H61" i="226"/>
  <c r="E61" i="226"/>
  <c r="I61" i="226" s="1"/>
  <c r="AE60" i="226"/>
  <c r="AI60" i="226" s="1"/>
  <c r="Y60" i="226" s="1"/>
  <c r="X60" i="226"/>
  <c r="Q60" i="226"/>
  <c r="P60" i="226"/>
  <c r="I60" i="226"/>
  <c r="H60" i="226"/>
  <c r="E60" i="226"/>
  <c r="AE59" i="226"/>
  <c r="AI59" i="226" s="1"/>
  <c r="Y59" i="226" s="1"/>
  <c r="AC59" i="226"/>
  <c r="AB59" i="226"/>
  <c r="X59" i="226"/>
  <c r="Q59" i="226"/>
  <c r="P59" i="226"/>
  <c r="H59" i="226"/>
  <c r="E59" i="226"/>
  <c r="I59" i="226" s="1"/>
  <c r="AC58" i="226"/>
  <c r="AB58" i="226"/>
  <c r="AE58" i="226" s="1"/>
  <c r="AI58" i="226" s="1"/>
  <c r="Y58" i="226" s="1"/>
  <c r="X58" i="226"/>
  <c r="Q58" i="226"/>
  <c r="P58" i="226"/>
  <c r="I58" i="226"/>
  <c r="E58" i="226"/>
  <c r="AC57" i="226"/>
  <c r="AB57" i="226"/>
  <c r="AE57" i="226" s="1"/>
  <c r="AI57" i="226" s="1"/>
  <c r="Y57" i="226" s="1"/>
  <c r="X57" i="226"/>
  <c r="Q57" i="226"/>
  <c r="P57" i="226"/>
  <c r="I57" i="226"/>
  <c r="H57" i="226"/>
  <c r="E57" i="226"/>
  <c r="AE56" i="226"/>
  <c r="AI56" i="226" s="1"/>
  <c r="Y56" i="226" s="1"/>
  <c r="AD56" i="226"/>
  <c r="AC56" i="226"/>
  <c r="AB56" i="226"/>
  <c r="Z56" i="226"/>
  <c r="X56" i="226"/>
  <c r="Q56" i="226"/>
  <c r="P56" i="226"/>
  <c r="I56" i="226"/>
  <c r="H56" i="226"/>
  <c r="E56" i="226"/>
  <c r="AE55" i="226"/>
  <c r="AI55" i="226" s="1"/>
  <c r="Y55" i="226" s="1"/>
  <c r="AD55" i="226"/>
  <c r="AC55" i="226"/>
  <c r="AB55" i="226"/>
  <c r="Z55" i="226"/>
  <c r="X55" i="226"/>
  <c r="Q55" i="226"/>
  <c r="P55" i="226"/>
  <c r="H55" i="226"/>
  <c r="E55" i="226"/>
  <c r="I55" i="226" s="1"/>
  <c r="AD54" i="226"/>
  <c r="AC54" i="226"/>
  <c r="AB54" i="226"/>
  <c r="AE54" i="226" s="1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I53" i="226"/>
  <c r="H53" i="226"/>
  <c r="E53" i="226"/>
  <c r="AE52" i="226"/>
  <c r="AI52" i="226" s="1"/>
  <c r="Y52" i="226" s="1"/>
  <c r="Z52" i="226"/>
  <c r="X52" i="226"/>
  <c r="Q52" i="226"/>
  <c r="P52" i="226"/>
  <c r="I52" i="226"/>
  <c r="H52" i="226"/>
  <c r="E52" i="226"/>
  <c r="AD51" i="226"/>
  <c r="AC51" i="226"/>
  <c r="AB51" i="226"/>
  <c r="AE51" i="226" s="1"/>
  <c r="AI51" i="226" s="1"/>
  <c r="Y51" i="226" s="1"/>
  <c r="Z51" i="226"/>
  <c r="X51" i="226"/>
  <c r="Q51" i="226"/>
  <c r="P51" i="226"/>
  <c r="H51" i="226"/>
  <c r="E51" i="226"/>
  <c r="I51" i="226" s="1"/>
  <c r="AD50" i="226"/>
  <c r="AC50" i="226"/>
  <c r="AE50" i="226" s="1"/>
  <c r="AI50" i="226" s="1"/>
  <c r="Y50" i="226" s="1"/>
  <c r="AB50" i="226"/>
  <c r="Z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I48" i="226"/>
  <c r="Y48" i="226" s="1"/>
  <c r="AE48" i="226"/>
  <c r="Z48" i="226"/>
  <c r="X48" i="226"/>
  <c r="Q48" i="226"/>
  <c r="P48" i="226"/>
  <c r="I48" i="226"/>
  <c r="H48" i="226"/>
  <c r="E48" i="226"/>
  <c r="AI47" i="226"/>
  <c r="Y47" i="226" s="1"/>
  <c r="AE47" i="226"/>
  <c r="Z47" i="226"/>
  <c r="X47" i="226"/>
  <c r="Q47" i="226"/>
  <c r="P47" i="226"/>
  <c r="H47" i="226"/>
  <c r="E47" i="226"/>
  <c r="I47" i="226" s="1"/>
  <c r="AD46" i="226"/>
  <c r="AC46" i="226"/>
  <c r="AB46" i="226"/>
  <c r="AE46" i="226" s="1"/>
  <c r="AI46" i="226" s="1"/>
  <c r="Y46" i="226" s="1"/>
  <c r="Z46" i="226"/>
  <c r="X46" i="226"/>
  <c r="Q46" i="226"/>
  <c r="P46" i="226"/>
  <c r="H46" i="226"/>
  <c r="E46" i="226"/>
  <c r="I46" i="226" s="1"/>
  <c r="AD45" i="226"/>
  <c r="AC45" i="226"/>
  <c r="AB45" i="226"/>
  <c r="AE45" i="226" s="1"/>
  <c r="AI45" i="226" s="1"/>
  <c r="Y45" i="226" s="1"/>
  <c r="Z45" i="226"/>
  <c r="X45" i="226"/>
  <c r="Q45" i="226"/>
  <c r="P45" i="226"/>
  <c r="H45" i="226"/>
  <c r="E45" i="226"/>
  <c r="I45" i="226" s="1"/>
  <c r="AD44" i="226"/>
  <c r="AE44" i="226" s="1"/>
  <c r="AI44" i="226" s="1"/>
  <c r="Y44" i="226" s="1"/>
  <c r="AC44" i="226"/>
  <c r="AB44" i="226"/>
  <c r="Z44" i="226"/>
  <c r="X44" i="226"/>
  <c r="Q44" i="226"/>
  <c r="P44" i="226"/>
  <c r="I44" i="226"/>
  <c r="H44" i="226"/>
  <c r="E44" i="226"/>
  <c r="AE43" i="226"/>
  <c r="AI43" i="226" s="1"/>
  <c r="Y43" i="226" s="1"/>
  <c r="AD43" i="226"/>
  <c r="AC43" i="226"/>
  <c r="AB43" i="226"/>
  <c r="Z43" i="226"/>
  <c r="X43" i="226"/>
  <c r="Q43" i="226"/>
  <c r="P43" i="226"/>
  <c r="H43" i="226"/>
  <c r="E43" i="226"/>
  <c r="I43" i="226" s="1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E41" i="226" s="1"/>
  <c r="AI41" i="226" s="1"/>
  <c r="Y41" i="226" s="1"/>
  <c r="AB41" i="226"/>
  <c r="Z41" i="226"/>
  <c r="X41" i="226"/>
  <c r="Q41" i="226"/>
  <c r="P41" i="226"/>
  <c r="I41" i="226"/>
  <c r="H41" i="226"/>
  <c r="E41" i="226"/>
  <c r="AD40" i="226"/>
  <c r="AC40" i="226"/>
  <c r="AB40" i="226"/>
  <c r="AE40" i="226" s="1"/>
  <c r="AI40" i="226" s="1"/>
  <c r="Y40" i="226" s="1"/>
  <c r="Z40" i="226"/>
  <c r="X40" i="226"/>
  <c r="Q40" i="226"/>
  <c r="P40" i="226"/>
  <c r="I40" i="226"/>
  <c r="H40" i="226"/>
  <c r="E40" i="226"/>
  <c r="AE39" i="226"/>
  <c r="AI39" i="226" s="1"/>
  <c r="Y39" i="226" s="1"/>
  <c r="AD39" i="226"/>
  <c r="AC39" i="226"/>
  <c r="AB39" i="226"/>
  <c r="Z39" i="226"/>
  <c r="X39" i="226"/>
  <c r="Q39" i="226"/>
  <c r="P39" i="226"/>
  <c r="I39" i="226"/>
  <c r="H39" i="226"/>
  <c r="E39" i="226"/>
  <c r="AD38" i="226"/>
  <c r="AC38" i="226"/>
  <c r="AB38" i="226"/>
  <c r="AE38" i="226" s="1"/>
  <c r="AI38" i="226" s="1"/>
  <c r="Y38" i="226" s="1"/>
  <c r="Z38" i="226"/>
  <c r="X38" i="226"/>
  <c r="Q38" i="226"/>
  <c r="P38" i="226"/>
  <c r="H38" i="226"/>
  <c r="E38" i="226"/>
  <c r="I38" i="226" s="1"/>
  <c r="AD37" i="226"/>
  <c r="AC37" i="226"/>
  <c r="AE37" i="226" s="1"/>
  <c r="AI37" i="226" s="1"/>
  <c r="Y37" i="226" s="1"/>
  <c r="AB37" i="226"/>
  <c r="Z37" i="226"/>
  <c r="X37" i="226"/>
  <c r="Q37" i="226"/>
  <c r="P37" i="226"/>
  <c r="I37" i="226"/>
  <c r="H37" i="226"/>
  <c r="E37" i="226"/>
  <c r="AD36" i="226"/>
  <c r="AE36" i="226" s="1"/>
  <c r="AI36" i="226" s="1"/>
  <c r="Y36" i="226" s="1"/>
  <c r="AC36" i="226"/>
  <c r="AB36" i="226"/>
  <c r="Z36" i="226"/>
  <c r="X36" i="226"/>
  <c r="Q36" i="226"/>
  <c r="P36" i="226"/>
  <c r="I36" i="226"/>
  <c r="H36" i="226"/>
  <c r="E36" i="226"/>
  <c r="AD35" i="226"/>
  <c r="AC35" i="226"/>
  <c r="AB35" i="226"/>
  <c r="AE35" i="226" s="1"/>
  <c r="AI35" i="226" s="1"/>
  <c r="Y35" i="226" s="1"/>
  <c r="Z35" i="226"/>
  <c r="X35" i="226"/>
  <c r="Q35" i="226"/>
  <c r="P35" i="226"/>
  <c r="H35" i="226"/>
  <c r="E35" i="226"/>
  <c r="I35" i="226" s="1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D33" i="226"/>
  <c r="AC33" i="226"/>
  <c r="AE33" i="226" s="1"/>
  <c r="AI33" i="226" s="1"/>
  <c r="Y33" i="226" s="1"/>
  <c r="AB33" i="226"/>
  <c r="Z33" i="226"/>
  <c r="X33" i="226"/>
  <c r="Q33" i="226"/>
  <c r="P33" i="226"/>
  <c r="I33" i="226"/>
  <c r="H33" i="226"/>
  <c r="E33" i="226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H31" i="226"/>
  <c r="E31" i="226"/>
  <c r="I31" i="226" s="1"/>
  <c r="AD30" i="226"/>
  <c r="AC30" i="226"/>
  <c r="AB30" i="226"/>
  <c r="AE30" i="226" s="1"/>
  <c r="AI30" i="226" s="1"/>
  <c r="Y30" i="226" s="1"/>
  <c r="Z30" i="226"/>
  <c r="X30" i="226"/>
  <c r="Q30" i="226"/>
  <c r="P30" i="226"/>
  <c r="H30" i="226"/>
  <c r="E30" i="226"/>
  <c r="I30" i="226" s="1"/>
  <c r="AE29" i="226"/>
  <c r="AI29" i="226" s="1"/>
  <c r="Y29" i="226" s="1"/>
  <c r="AD29" i="226"/>
  <c r="AC29" i="226"/>
  <c r="AB29" i="226"/>
  <c r="Z29" i="226"/>
  <c r="X29" i="226"/>
  <c r="Q29" i="226"/>
  <c r="P29" i="226"/>
  <c r="I29" i="226"/>
  <c r="H29" i="226"/>
  <c r="E29" i="226"/>
  <c r="AD28" i="226"/>
  <c r="AC28" i="226"/>
  <c r="AB28" i="226"/>
  <c r="AE28" i="226" s="1"/>
  <c r="AI28" i="226" s="1"/>
  <c r="Y28" i="226" s="1"/>
  <c r="Z28" i="226"/>
  <c r="X28" i="226"/>
  <c r="Q28" i="226"/>
  <c r="P28" i="226"/>
  <c r="H28" i="226"/>
  <c r="E28" i="226"/>
  <c r="I28" i="226" s="1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E26" i="226" s="1"/>
  <c r="AI26" i="226" s="1"/>
  <c r="Y26" i="226" s="1"/>
  <c r="AB26" i="226"/>
  <c r="Z26" i="226"/>
  <c r="X26" i="226"/>
  <c r="Q26" i="226"/>
  <c r="P26" i="226"/>
  <c r="I26" i="226"/>
  <c r="H26" i="226"/>
  <c r="E26" i="226"/>
  <c r="AD25" i="226"/>
  <c r="AC25" i="226"/>
  <c r="AB25" i="226"/>
  <c r="AE25" i="226" s="1"/>
  <c r="AI25" i="226" s="1"/>
  <c r="Y25" i="226" s="1"/>
  <c r="Z25" i="226"/>
  <c r="X25" i="226"/>
  <c r="Q25" i="226"/>
  <c r="P25" i="226"/>
  <c r="I25" i="226"/>
  <c r="H25" i="226"/>
  <c r="E25" i="226"/>
  <c r="AE24" i="226"/>
  <c r="AI24" i="226" s="1"/>
  <c r="Y24" i="226" s="1"/>
  <c r="AD24" i="226"/>
  <c r="AC24" i="226"/>
  <c r="AB24" i="226"/>
  <c r="Z24" i="226"/>
  <c r="X24" i="226"/>
  <c r="Q24" i="226"/>
  <c r="P24" i="226"/>
  <c r="I24" i="226"/>
  <c r="H24" i="226"/>
  <c r="E24" i="226"/>
  <c r="AD23" i="226"/>
  <c r="AC23" i="226"/>
  <c r="AB23" i="226"/>
  <c r="AE23" i="226" s="1"/>
  <c r="AI23" i="226" s="1"/>
  <c r="Y23" i="226" s="1"/>
  <c r="Z23" i="226"/>
  <c r="X23" i="226"/>
  <c r="Q23" i="226"/>
  <c r="P23" i="226"/>
  <c r="H23" i="226"/>
  <c r="E23" i="226"/>
  <c r="I23" i="226" s="1"/>
  <c r="AD22" i="226"/>
  <c r="AC22" i="226"/>
  <c r="AE22" i="226" s="1"/>
  <c r="AI22" i="226" s="1"/>
  <c r="Y22" i="226" s="1"/>
  <c r="AB22" i="226"/>
  <c r="Z22" i="226"/>
  <c r="X22" i="226"/>
  <c r="Q22" i="226"/>
  <c r="P22" i="226"/>
  <c r="I22" i="226"/>
  <c r="H22" i="226"/>
  <c r="E22" i="226"/>
  <c r="AD21" i="226"/>
  <c r="AE21" i="226" s="1"/>
  <c r="AI21" i="226" s="1"/>
  <c r="Y21" i="226" s="1"/>
  <c r="AC21" i="226"/>
  <c r="AB21" i="226"/>
  <c r="Z21" i="226"/>
  <c r="X21" i="226"/>
  <c r="Q21" i="226"/>
  <c r="P21" i="226"/>
  <c r="I21" i="226"/>
  <c r="H21" i="226"/>
  <c r="E21" i="226"/>
  <c r="AD20" i="226"/>
  <c r="AC20" i="226"/>
  <c r="AB20" i="226"/>
  <c r="AE20" i="226" s="1"/>
  <c r="AI20" i="226" s="1"/>
  <c r="Y20" i="226" s="1"/>
  <c r="Z20" i="226"/>
  <c r="X20" i="226"/>
  <c r="Q20" i="226"/>
  <c r="P20" i="226"/>
  <c r="H20" i="226"/>
  <c r="E20" i="226"/>
  <c r="I20" i="226" s="1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D18" i="226"/>
  <c r="AC18" i="226"/>
  <c r="AE18" i="226" s="1"/>
  <c r="AI18" i="226" s="1"/>
  <c r="Y18" i="226" s="1"/>
  <c r="AB18" i="226"/>
  <c r="Z18" i="226"/>
  <c r="X18" i="226"/>
  <c r="Q18" i="226"/>
  <c r="P18" i="226"/>
  <c r="I18" i="226"/>
  <c r="H18" i="226"/>
  <c r="E18" i="226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E16" i="226"/>
  <c r="AI16" i="226" s="1"/>
  <c r="Y16" i="226" s="1"/>
  <c r="AD16" i="226"/>
  <c r="AC16" i="226"/>
  <c r="AB16" i="226"/>
  <c r="Z16" i="226"/>
  <c r="X16" i="226"/>
  <c r="Q16" i="226"/>
  <c r="P16" i="226"/>
  <c r="I16" i="226"/>
  <c r="E16" i="226"/>
  <c r="AD15" i="226"/>
  <c r="AC15" i="226"/>
  <c r="AB15" i="226"/>
  <c r="AE15" i="226" s="1"/>
  <c r="AI15" i="226" s="1"/>
  <c r="Y15" i="226" s="1"/>
  <c r="Z15" i="226"/>
  <c r="X15" i="226"/>
  <c r="Q15" i="226"/>
  <c r="P15" i="226"/>
  <c r="E15" i="226"/>
  <c r="I15" i="226" s="1"/>
  <c r="AI14" i="226"/>
  <c r="Y14" i="226" s="1"/>
  <c r="AE14" i="226"/>
  <c r="AD14" i="226"/>
  <c r="AC14" i="226"/>
  <c r="AB14" i="226"/>
  <c r="Z14" i="226"/>
  <c r="X14" i="226"/>
  <c r="Q14" i="226"/>
  <c r="P14" i="226"/>
  <c r="I14" i="226"/>
  <c r="H14" i="226"/>
  <c r="E14" i="226"/>
  <c r="AD13" i="226"/>
  <c r="AC13" i="226"/>
  <c r="AB13" i="226"/>
  <c r="AE13" i="226" s="1"/>
  <c r="AI13" i="226" s="1"/>
  <c r="Y13" i="226" s="1"/>
  <c r="Z13" i="226"/>
  <c r="X13" i="226"/>
  <c r="Q13" i="226"/>
  <c r="P13" i="226"/>
  <c r="H13" i="226"/>
  <c r="E13" i="226"/>
  <c r="I13" i="226" s="1"/>
  <c r="AI12" i="226"/>
  <c r="Y12" i="226" s="1"/>
  <c r="AE12" i="226"/>
  <c r="AD12" i="226"/>
  <c r="AC12" i="226"/>
  <c r="AB12" i="226"/>
  <c r="Z12" i="226"/>
  <c r="X12" i="226"/>
  <c r="Q12" i="226"/>
  <c r="P12" i="226"/>
  <c r="I12" i="226"/>
  <c r="H12" i="226"/>
  <c r="E12" i="226"/>
  <c r="M79" i="225"/>
  <c r="P71" i="225"/>
  <c r="H71" i="225"/>
  <c r="Q70" i="225"/>
  <c r="P70" i="225"/>
  <c r="I70" i="225"/>
  <c r="H70" i="225"/>
  <c r="E70" i="225"/>
  <c r="Q69" i="225"/>
  <c r="P69" i="225"/>
  <c r="I69" i="225"/>
  <c r="H69" i="225"/>
  <c r="E69" i="225"/>
  <c r="AD68" i="225"/>
  <c r="AC68" i="225"/>
  <c r="AB68" i="225"/>
  <c r="AE68" i="225" s="1"/>
  <c r="AI68" i="225" s="1"/>
  <c r="Y68" i="225" s="1"/>
  <c r="Z68" i="225"/>
  <c r="X68" i="225"/>
  <c r="Q68" i="225"/>
  <c r="P68" i="225"/>
  <c r="H68" i="225"/>
  <c r="E68" i="225"/>
  <c r="I68" i="225" s="1"/>
  <c r="AI67" i="225"/>
  <c r="Y67" i="225" s="1"/>
  <c r="AE67" i="225"/>
  <c r="AD67" i="225"/>
  <c r="AC67" i="225"/>
  <c r="AB67" i="225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H66" i="225"/>
  <c r="E66" i="225"/>
  <c r="I66" i="225" s="1"/>
  <c r="AD65" i="225"/>
  <c r="AC65" i="225"/>
  <c r="AB65" i="225"/>
  <c r="AE65" i="225" s="1"/>
  <c r="AI65" i="225" s="1"/>
  <c r="Y65" i="225" s="1"/>
  <c r="Z65" i="225"/>
  <c r="X65" i="225"/>
  <c r="Q65" i="225"/>
  <c r="P65" i="225"/>
  <c r="H65" i="225"/>
  <c r="E65" i="225"/>
  <c r="I65" i="225" s="1"/>
  <c r="AE64" i="225"/>
  <c r="AI64" i="225" s="1"/>
  <c r="Y64" i="225" s="1"/>
  <c r="AD64" i="225"/>
  <c r="AC64" i="225"/>
  <c r="AB64" i="225"/>
  <c r="Z64" i="225"/>
  <c r="X64" i="225"/>
  <c r="Q64" i="225"/>
  <c r="P64" i="225"/>
  <c r="H64" i="225"/>
  <c r="E64" i="225"/>
  <c r="I64" i="225" s="1"/>
  <c r="AD63" i="225"/>
  <c r="AC63" i="225"/>
  <c r="AB63" i="225"/>
  <c r="AE63" i="225" s="1"/>
  <c r="AI63" i="225" s="1"/>
  <c r="Y63" i="225" s="1"/>
  <c r="Z63" i="225"/>
  <c r="X63" i="225"/>
  <c r="Q63" i="225"/>
  <c r="P63" i="225"/>
  <c r="I63" i="225"/>
  <c r="H63" i="225"/>
  <c r="E63" i="225"/>
  <c r="AD62" i="225"/>
  <c r="AC62" i="225"/>
  <c r="AB62" i="225"/>
  <c r="AE62" i="225" s="1"/>
  <c r="AI62" i="225" s="1"/>
  <c r="Y62" i="225" s="1"/>
  <c r="Z62" i="225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I61" i="225"/>
  <c r="H61" i="225"/>
  <c r="E61" i="225"/>
  <c r="AE60" i="225"/>
  <c r="AI60" i="225" s="1"/>
  <c r="Y60" i="225" s="1"/>
  <c r="X60" i="225"/>
  <c r="Q60" i="225"/>
  <c r="P60" i="225"/>
  <c r="I60" i="225"/>
  <c r="H60" i="225"/>
  <c r="E60" i="225"/>
  <c r="AC59" i="225"/>
  <c r="AB59" i="225"/>
  <c r="AE59" i="225" s="1"/>
  <c r="AI59" i="225" s="1"/>
  <c r="Y59" i="225" s="1"/>
  <c r="X59" i="225"/>
  <c r="Q59" i="225"/>
  <c r="P59" i="225"/>
  <c r="H59" i="225"/>
  <c r="E59" i="225"/>
  <c r="I59" i="225" s="1"/>
  <c r="AE58" i="225"/>
  <c r="AI58" i="225" s="1"/>
  <c r="Y58" i="225" s="1"/>
  <c r="AC58" i="225"/>
  <c r="AB58" i="225"/>
  <c r="X58" i="225"/>
  <c r="Q58" i="225"/>
  <c r="P58" i="225"/>
  <c r="E58" i="225"/>
  <c r="I58" i="225" s="1"/>
  <c r="AE57" i="225"/>
  <c r="AI57" i="225" s="1"/>
  <c r="Y57" i="225" s="1"/>
  <c r="AC57" i="225"/>
  <c r="AB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B55" i="225"/>
  <c r="AE55" i="225" s="1"/>
  <c r="AI55" i="225" s="1"/>
  <c r="Y55" i="225" s="1"/>
  <c r="Z55" i="225"/>
  <c r="X55" i="225"/>
  <c r="Q55" i="225"/>
  <c r="P55" i="225"/>
  <c r="I55" i="225"/>
  <c r="H55" i="225"/>
  <c r="E55" i="225"/>
  <c r="AD54" i="225"/>
  <c r="AC54" i="225"/>
  <c r="AE54" i="225" s="1"/>
  <c r="AI54" i="225" s="1"/>
  <c r="Y54" i="225" s="1"/>
  <c r="AB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I52" i="225"/>
  <c r="Y52" i="225" s="1"/>
  <c r="AE52" i="225"/>
  <c r="Z52" i="225"/>
  <c r="X52" i="225"/>
  <c r="Q52" i="225"/>
  <c r="P52" i="225"/>
  <c r="H52" i="225"/>
  <c r="E52" i="225"/>
  <c r="I52" i="225" s="1"/>
  <c r="AD51" i="225"/>
  <c r="AC51" i="225"/>
  <c r="AB51" i="225"/>
  <c r="AE51" i="225" s="1"/>
  <c r="AI51" i="225" s="1"/>
  <c r="Y51" i="225" s="1"/>
  <c r="Z51" i="225"/>
  <c r="X51" i="225"/>
  <c r="Q51" i="225"/>
  <c r="P51" i="225"/>
  <c r="H51" i="225"/>
  <c r="E51" i="225"/>
  <c r="I51" i="225" s="1"/>
  <c r="AD50" i="225"/>
  <c r="AC50" i="225"/>
  <c r="AB50" i="225"/>
  <c r="AE50" i="225" s="1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I49" i="225"/>
  <c r="H49" i="225"/>
  <c r="E49" i="225"/>
  <c r="AI48" i="225"/>
  <c r="Y48" i="225" s="1"/>
  <c r="AE48" i="225"/>
  <c r="Z48" i="225"/>
  <c r="X48" i="225"/>
  <c r="Q48" i="225"/>
  <c r="P48" i="225"/>
  <c r="H48" i="225"/>
  <c r="E48" i="225"/>
  <c r="I48" i="225" s="1"/>
  <c r="AI47" i="225"/>
  <c r="AE47" i="225"/>
  <c r="Z47" i="225"/>
  <c r="Y47" i="225"/>
  <c r="X47" i="225"/>
  <c r="Q47" i="225"/>
  <c r="P47" i="225"/>
  <c r="I47" i="225"/>
  <c r="H47" i="225"/>
  <c r="E47" i="225"/>
  <c r="AD46" i="225"/>
  <c r="AC46" i="225"/>
  <c r="AB46" i="225"/>
  <c r="AE46" i="225" s="1"/>
  <c r="AI46" i="225" s="1"/>
  <c r="Y46" i="225" s="1"/>
  <c r="Z46" i="225"/>
  <c r="X46" i="225"/>
  <c r="Q46" i="225"/>
  <c r="P46" i="225"/>
  <c r="H46" i="225"/>
  <c r="E46" i="225"/>
  <c r="I46" i="225" s="1"/>
  <c r="AD45" i="225"/>
  <c r="AC45" i="225"/>
  <c r="AE45" i="225" s="1"/>
  <c r="AI45" i="225" s="1"/>
  <c r="Y45" i="225" s="1"/>
  <c r="AB45" i="225"/>
  <c r="Z45" i="225"/>
  <c r="X45" i="225"/>
  <c r="Q45" i="225"/>
  <c r="P45" i="225"/>
  <c r="H45" i="225"/>
  <c r="E45" i="225"/>
  <c r="I45" i="225" s="1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B43" i="225"/>
  <c r="AE43" i="225" s="1"/>
  <c r="AI43" i="225" s="1"/>
  <c r="Y43" i="225" s="1"/>
  <c r="Z43" i="225"/>
  <c r="X43" i="225"/>
  <c r="Q43" i="225"/>
  <c r="P43" i="225"/>
  <c r="I43" i="225"/>
  <c r="H43" i="225"/>
  <c r="E43" i="225"/>
  <c r="AD42" i="225"/>
  <c r="AC42" i="225"/>
  <c r="AE42" i="225" s="1"/>
  <c r="AI42" i="225" s="1"/>
  <c r="Y42" i="225" s="1"/>
  <c r="AB42" i="225"/>
  <c r="Z42" i="225"/>
  <c r="X42" i="225"/>
  <c r="Q42" i="225"/>
  <c r="P42" i="225"/>
  <c r="H42" i="225"/>
  <c r="E42" i="225"/>
  <c r="I42" i="225" s="1"/>
  <c r="AD41" i="225"/>
  <c r="AC41" i="225"/>
  <c r="AE41" i="225" s="1"/>
  <c r="AI41" i="225" s="1"/>
  <c r="Y41" i="225" s="1"/>
  <c r="AB41" i="225"/>
  <c r="Z41" i="225"/>
  <c r="X41" i="225"/>
  <c r="Q41" i="225"/>
  <c r="P41" i="225"/>
  <c r="H41" i="225"/>
  <c r="E41" i="225"/>
  <c r="I41" i="225" s="1"/>
  <c r="AD40" i="225"/>
  <c r="AC40" i="225"/>
  <c r="AB40" i="225"/>
  <c r="AE40" i="225" s="1"/>
  <c r="AI40" i="225" s="1"/>
  <c r="Y40" i="225" s="1"/>
  <c r="Z40" i="225"/>
  <c r="X40" i="225"/>
  <c r="Q40" i="225"/>
  <c r="P40" i="225"/>
  <c r="I40" i="225"/>
  <c r="H40" i="225"/>
  <c r="E40" i="225"/>
  <c r="AE39" i="225"/>
  <c r="AI39" i="225" s="1"/>
  <c r="Y39" i="225" s="1"/>
  <c r="AD39" i="225"/>
  <c r="AC39" i="225"/>
  <c r="AB39" i="225"/>
  <c r="Z39" i="225"/>
  <c r="X39" i="225"/>
  <c r="Q39" i="225"/>
  <c r="P39" i="225"/>
  <c r="H39" i="225"/>
  <c r="E39" i="225"/>
  <c r="I39" i="225" s="1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B37" i="225"/>
  <c r="AE37" i="225" s="1"/>
  <c r="AI37" i="225" s="1"/>
  <c r="Y37" i="225" s="1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E35" i="225"/>
  <c r="AI35" i="225" s="1"/>
  <c r="Y35" i="225" s="1"/>
  <c r="AD35" i="225"/>
  <c r="AC35" i="225"/>
  <c r="AB35" i="225"/>
  <c r="Z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D33" i="225"/>
  <c r="AC33" i="225"/>
  <c r="AB33" i="225"/>
  <c r="AE33" i="225" s="1"/>
  <c r="AI33" i="225" s="1"/>
  <c r="Y33" i="225" s="1"/>
  <c r="Z33" i="225"/>
  <c r="X33" i="225"/>
  <c r="Q33" i="225"/>
  <c r="P33" i="225"/>
  <c r="H33" i="225"/>
  <c r="E33" i="225"/>
  <c r="I33" i="225" s="1"/>
  <c r="AD32" i="225"/>
  <c r="AC32" i="225"/>
  <c r="AE32" i="225" s="1"/>
  <c r="AI32" i="225" s="1"/>
  <c r="Y32" i="225" s="1"/>
  <c r="AB32" i="225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H31" i="225"/>
  <c r="E31" i="225"/>
  <c r="I31" i="225" s="1"/>
  <c r="AD30" i="225"/>
  <c r="AC30" i="225"/>
  <c r="AE30" i="225" s="1"/>
  <c r="AI30" i="225" s="1"/>
  <c r="Y30" i="225" s="1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B28" i="225"/>
  <c r="AE28" i="225" s="1"/>
  <c r="AI28" i="225" s="1"/>
  <c r="Y28" i="225" s="1"/>
  <c r="Z28" i="225"/>
  <c r="X28" i="225"/>
  <c r="Q28" i="225"/>
  <c r="P28" i="225"/>
  <c r="I28" i="225"/>
  <c r="H28" i="225"/>
  <c r="E28" i="225"/>
  <c r="AD27" i="225"/>
  <c r="AC27" i="225"/>
  <c r="AE27" i="225" s="1"/>
  <c r="AI27" i="225" s="1"/>
  <c r="Y27" i="225" s="1"/>
  <c r="AB27" i="225"/>
  <c r="Z27" i="225"/>
  <c r="X27" i="225"/>
  <c r="Q27" i="225"/>
  <c r="P27" i="225"/>
  <c r="H27" i="225"/>
  <c r="E27" i="225"/>
  <c r="I27" i="225" s="1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H24" i="225"/>
  <c r="E24" i="225"/>
  <c r="I24" i="225" s="1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B22" i="225"/>
  <c r="AE22" i="225" s="1"/>
  <c r="AI22" i="225" s="1"/>
  <c r="Y22" i="225" s="1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D18" i="225"/>
  <c r="AC18" i="225"/>
  <c r="AB18" i="225"/>
  <c r="AE18" i="225" s="1"/>
  <c r="AI18" i="225" s="1"/>
  <c r="Y18" i="225" s="1"/>
  <c r="Z18" i="225"/>
  <c r="X18" i="225"/>
  <c r="Q18" i="225"/>
  <c r="P18" i="225"/>
  <c r="H18" i="225"/>
  <c r="E18" i="225"/>
  <c r="I18" i="225" s="1"/>
  <c r="AD17" i="225"/>
  <c r="AC17" i="225"/>
  <c r="AE17" i="225" s="1"/>
  <c r="AI17" i="225" s="1"/>
  <c r="Y17" i="225" s="1"/>
  <c r="AB17" i="225"/>
  <c r="Z17" i="225"/>
  <c r="X17" i="225"/>
  <c r="Q17" i="225"/>
  <c r="P17" i="225"/>
  <c r="I17" i="225"/>
  <c r="H17" i="225"/>
  <c r="E17" i="225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I15" i="225"/>
  <c r="E15" i="225"/>
  <c r="AE14" i="225"/>
  <c r="AI14" i="225" s="1"/>
  <c r="Y14" i="225" s="1"/>
  <c r="AD14" i="225"/>
  <c r="AC14" i="225"/>
  <c r="AB14" i="225"/>
  <c r="Z14" i="225"/>
  <c r="X14" i="225"/>
  <c r="Q14" i="225"/>
  <c r="P14" i="225"/>
  <c r="H14" i="225"/>
  <c r="E14" i="225"/>
  <c r="I14" i="225" s="1"/>
  <c r="F75" i="225" s="1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B12" i="225"/>
  <c r="AE12" i="225" s="1"/>
  <c r="AI12" i="225" s="1"/>
  <c r="Y12" i="225" s="1"/>
  <c r="Z12" i="225"/>
  <c r="T75" i="225" s="1"/>
  <c r="X12" i="225"/>
  <c r="T77" i="225" s="1"/>
  <c r="Q12" i="225"/>
  <c r="P12" i="225"/>
  <c r="I12" i="225"/>
  <c r="H12" i="225"/>
  <c r="E12" i="225"/>
  <c r="T77" i="226" l="1"/>
  <c r="T75" i="226"/>
  <c r="O73" i="226"/>
  <c r="O75" i="226"/>
  <c r="F75" i="226"/>
  <c r="T73" i="226"/>
  <c r="F73" i="226"/>
  <c r="O73" i="225"/>
  <c r="O75" i="225"/>
  <c r="T73" i="225"/>
  <c r="T79" i="225" s="1"/>
  <c r="F73" i="225"/>
  <c r="M79" i="224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T79" i="226" l="1"/>
  <c r="F77" i="226"/>
  <c r="F77" i="225"/>
  <c r="O73" i="224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<sst xmlns="http://schemas.openxmlformats.org/spreadsheetml/2006/main" count="3384" uniqueCount="134">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</sst>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105480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57204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-105480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33804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33804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-33804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199368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175392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-199368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11340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11340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-11340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177156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153180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-177156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203796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191808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-203796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187884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163908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-187884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5670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5670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-5670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191808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179820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-191808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5616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5616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-5616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203796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167832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-203796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190800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142524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-190800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149328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110124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-149328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11286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11286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-11286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1315032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163404</v>
      </c>
      <c r="P73" s="235"/>
      <c r="Q73" s="236"/>
      <c r="R73" s="152"/>
      <c r="S73" s="159" t="s">
        <v>104</v>
      </c>
      <c r="T73" s="239">
        <f>SUM(Y12:Y68)</f>
        <v>48450.12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1315032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151416</v>
      </c>
      <c r="P75" s="235"/>
      <c r="Q75" s="236"/>
      <c r="R75" s="152"/>
      <c r="S75" s="159" t="s">
        <v>129</v>
      </c>
      <c r="T75" s="239">
        <f>SUM(Z12:Z70)</f>
        <v>5628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878596.32000000007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>
        <f>1036.48+23193.08</f>
        <v>24229.56</v>
      </c>
      <c r="Q77" s="253"/>
      <c r="R77" s="152"/>
      <c r="S77" s="159" t="s">
        <v>108</v>
      </c>
      <c r="T77" s="239">
        <f>IF(SUM(X12:X68)*0.15&gt;P77,P77,SUM(X12:X68)*0.15)</f>
        <v>24229.56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>
        <f>194724</f>
        <v>194724</v>
      </c>
      <c r="Q79" s="253"/>
      <c r="R79" s="152"/>
      <c r="S79" s="159" t="s">
        <v>112</v>
      </c>
      <c r="T79" s="239">
        <f>T77+T73+T75</f>
        <v>78307.680000000008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6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6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1412471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191808</v>
      </c>
      <c r="P73" s="235"/>
      <c r="Q73" s="236"/>
      <c r="R73" s="152"/>
      <c r="S73" s="159" t="s">
        <v>104</v>
      </c>
      <c r="T73" s="239">
        <f>SUM(Y12:Y68)</f>
        <v>54785.120000000003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1412471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167832</v>
      </c>
      <c r="P75" s="235"/>
      <c r="Q75" s="236"/>
      <c r="R75" s="152"/>
      <c r="S75" s="159" t="s">
        <v>129</v>
      </c>
      <c r="T75" s="239">
        <f>SUM(Z12:Z70)</f>
        <v>6471.5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1159406.3799999999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61256.62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6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6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5616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5616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-5616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7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7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1397196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203796</v>
      </c>
      <c r="P73" s="235"/>
      <c r="Q73" s="236"/>
      <c r="R73" s="152"/>
      <c r="S73" s="159" t="s">
        <v>104</v>
      </c>
      <c r="T73" s="239">
        <f>SUM(Y12:Y68)</f>
        <v>54419.040000000001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1397196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191808</v>
      </c>
      <c r="P75" s="235"/>
      <c r="Q75" s="236"/>
      <c r="R75" s="152"/>
      <c r="S75" s="159" t="s">
        <v>129</v>
      </c>
      <c r="T75" s="239">
        <f>SUM(Z12:Z70)</f>
        <v>6426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1069935.22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>
        <v>62619.74</v>
      </c>
      <c r="Q79" s="253"/>
      <c r="R79" s="152"/>
      <c r="S79" s="159" t="s">
        <v>112</v>
      </c>
      <c r="T79" s="239">
        <f>T77+T73+T75</f>
        <v>60845.04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8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8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91656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70596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-91656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8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8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5616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5616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-5616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9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9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1346606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203796</v>
      </c>
      <c r="P73" s="235"/>
      <c r="Q73" s="236"/>
      <c r="R73" s="152"/>
      <c r="S73" s="159" t="s">
        <v>104</v>
      </c>
      <c r="T73" s="239">
        <f>SUM(Y12:Y68)</f>
        <v>51113.920000000006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1346606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179820</v>
      </c>
      <c r="P75" s="235"/>
      <c r="Q75" s="236"/>
      <c r="R75" s="152"/>
      <c r="S75" s="159" t="s">
        <v>129</v>
      </c>
      <c r="T75" s="239">
        <f>SUM(Z12:Z70)</f>
        <v>5981.5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992966.58000000007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>
        <v>92748</v>
      </c>
      <c r="Q79" s="253"/>
      <c r="R79" s="152"/>
      <c r="S79" s="159" t="s">
        <v>112</v>
      </c>
      <c r="T79" s="239">
        <f>T77+T73+T75</f>
        <v>57095.420000000006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200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200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1397196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143856</v>
      </c>
      <c r="P73" s="235"/>
      <c r="Q73" s="236"/>
      <c r="R73" s="152"/>
      <c r="S73" s="159" t="s">
        <v>104</v>
      </c>
      <c r="T73" s="239">
        <f>SUM(Y12:Y68)</f>
        <v>54419.040000000001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1397196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131868</v>
      </c>
      <c r="P75" s="235"/>
      <c r="Q75" s="236"/>
      <c r="R75" s="152"/>
      <c r="S75" s="159" t="s">
        <v>129</v>
      </c>
      <c r="T75" s="239">
        <f>SUM(Z12:Z70)</f>
        <v>6426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1192494.96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60845.04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81E6-36E4-4D06-9535-D6830D1F8E5B}">
  <sheetPr>
    <tabColor rgb="FF00B050"/>
    <pageSetUpPr fitToPage="1"/>
  </sheetPr>
  <dimension ref="A1:AJ100"/>
  <sheetViews>
    <sheetView showGridLines="0" tabSelected="1" topLeftCell="A7" zoomScale="85" zoomScaleNormal="85" workbookViewId="0">
      <pane xSplit="2" topLeftCell="C1" activePane="topRight" state="frozen"/>
      <selection activeCell="P79" sqref="P79:Q79"/>
      <selection pane="topRight" activeCell="C16" sqref="C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201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201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f>63+63</f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1397196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177120</v>
      </c>
      <c r="P73" s="235"/>
      <c r="Q73" s="236"/>
      <c r="R73" s="152"/>
      <c r="S73" s="159" t="s">
        <v>104</v>
      </c>
      <c r="T73" s="239">
        <f>SUM(Y12:Y68)</f>
        <v>54419.040000000001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1397196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146988</v>
      </c>
      <c r="P75" s="235"/>
      <c r="Q75" s="236"/>
      <c r="R75" s="152"/>
      <c r="S75" s="159" t="s">
        <v>129</v>
      </c>
      <c r="T75" s="239">
        <f>SUM(Z12:Z70)</f>
        <v>6426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1159230.96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60845.04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8530-EC14-426D-8BAA-3E7D0AC1855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N67" sqref="N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201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201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5670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5670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-5670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132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133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24</vt:i4>
      </vt:variant>
    </vt:vector>
  </HeadingPairs>
  <TitlesOfParts>
    <vt:vector size="48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06-25-2026</vt:lpstr>
      <vt:lpstr>06-25-2026-Nab mts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  <vt:lpstr>'06-25-2026'!Print_Area</vt:lpstr>
      <vt:lpstr>'06-25-2026-Nab mts'!Print_Area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2026-06-25T05:38:08Z</dcterms:modified>
</cp:coreProperties>
</file>