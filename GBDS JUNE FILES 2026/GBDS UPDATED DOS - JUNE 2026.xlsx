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0ABA8D0-AFB4-4182-B3D3-3F9AF7503424}" xr6:coauthVersionLast="45" xr6:coauthVersionMax="47" xr10:uidLastSave="{00000000-0000-0000-0000-000000000000}"/>
  <bookViews>
    <workbookView xWindow="-120" yWindow="-120" windowWidth="29040" windowHeight="15840" firstSheet="17" activeTab="25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8" l="1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O75" i="228" l="1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<sst xmlns="http://schemas.openxmlformats.org/spreadsheetml/2006/main" count="3666" uniqueCount="134">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</sst>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105480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57204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-105480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33804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33804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-33804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199368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175392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-199368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11340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11340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-11340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177156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153180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-177156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187884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163908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-187884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5670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5670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-5670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191808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-191808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5616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5616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-5616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167832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190800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142524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-190800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149328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110124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-149328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11286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11286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-11286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1315032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163404</v>
      </c>
      <c r="P73" s="237"/>
      <c r="Q73" s="238"/>
      <c r="R73" s="152"/>
      <c r="S73" s="159" t="s">
        <v>104</v>
      </c>
      <c r="T73" s="241">
        <f>SUM(Y12:Y68)</f>
        <v>48450.12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1315032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151416</v>
      </c>
      <c r="P75" s="237"/>
      <c r="Q75" s="238"/>
      <c r="R75" s="152"/>
      <c r="S75" s="159" t="s">
        <v>129</v>
      </c>
      <c r="T75" s="241">
        <f>SUM(Z12:Z70)</f>
        <v>5628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878596.32000000007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>
        <f>1036.48+23193.08</f>
        <v>24229.56</v>
      </c>
      <c r="Q77" s="255"/>
      <c r="R77" s="152"/>
      <c r="S77" s="159" t="s">
        <v>108</v>
      </c>
      <c r="T77" s="241">
        <f>IF(SUM(X12:X68)*0.15&gt;P77,P77,SUM(X12:X68)*0.15)</f>
        <v>24229.56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f>194724</f>
        <v>194724</v>
      </c>
      <c r="Q79" s="255"/>
      <c r="R79" s="152"/>
      <c r="S79" s="159" t="s">
        <v>112</v>
      </c>
      <c r="T79" s="241">
        <f>T77+T73+T75</f>
        <v>78307.680000000008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1412471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191808</v>
      </c>
      <c r="P73" s="237"/>
      <c r="Q73" s="238"/>
      <c r="R73" s="152"/>
      <c r="S73" s="159" t="s">
        <v>104</v>
      </c>
      <c r="T73" s="241">
        <f>SUM(Y12:Y68)</f>
        <v>54785.120000000003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1412471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167832</v>
      </c>
      <c r="P75" s="237"/>
      <c r="Q75" s="238"/>
      <c r="R75" s="152"/>
      <c r="S75" s="159" t="s">
        <v>129</v>
      </c>
      <c r="T75" s="241">
        <f>SUM(Z12:Z70)</f>
        <v>6471.5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1159406.3799999999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61256.62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5616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5616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-5616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7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7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1069935.22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62619.74</v>
      </c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91656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70596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-91656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5616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5616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-5616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9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9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1346606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51113.920000000006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1346606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5981.5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992966.58000000007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92748</v>
      </c>
      <c r="Q79" s="255"/>
      <c r="R79" s="152"/>
      <c r="S79" s="159" t="s">
        <v>112</v>
      </c>
      <c r="T79" s="241">
        <f>T77+T73+T75</f>
        <v>57095.420000000006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0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0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143856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131868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1192494.96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177120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146988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1159230.96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5670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5670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-5670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0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0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1336350.96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118548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106560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1217802.96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26</vt:i4>
      </vt:variant>
    </vt:vector>
  </HeadingPairs>
  <TitlesOfParts>
    <vt:vector size="52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2026-06-26T03:39:44Z</dcterms:modified>
</cp:coreProperties>
</file>