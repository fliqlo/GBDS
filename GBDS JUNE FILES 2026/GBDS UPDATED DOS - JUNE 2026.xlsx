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Work\GBDS\GBDS JUNE FILES 2026\"/>
    </mc:Choice>
  </mc:AlternateContent>
  <xr:revisionPtr revIDLastSave="0" documentId="13_ncr:1_{4785B5E4-955F-46EF-BA6C-D45E9CC2B1D7}" xr6:coauthVersionLast="47" xr6:coauthVersionMax="47" xr10:uidLastSave="{00000000-0000-0000-0000-000000000000}"/>
  <bookViews>
    <workbookView xWindow="-108" yWindow="-108" windowWidth="23256" windowHeight="12576" firstSheet="9" activeTab="14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9" i="217" l="1"/>
  <c r="P77" i="217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<sst xmlns="http://schemas.openxmlformats.org/spreadsheetml/2006/main" count="2115" uniqueCount="134">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</sst>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43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43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43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43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43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43" fontId="21" fillId="0" borderId="37" xfId="1" applyFont="1" applyFill="1" applyBorder="1" applyAlignment="1" applyProtection="1">
      <alignment horizontal="center" vertical="center"/>
    </xf>
    <xf numFmtId="43" fontId="22" fillId="0" borderId="37" xfId="1" applyFont="1" applyFill="1" applyBorder="1" applyAlignment="1" applyProtection="1">
      <alignment horizontal="center" vertical="center"/>
    </xf>
    <xf numFmtId="43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43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43" fontId="9" fillId="0" borderId="39" xfId="1" applyFont="1" applyBorder="1" applyAlignment="1">
      <alignment vertical="center"/>
    </xf>
    <xf numFmtId="43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164" fontId="9" fillId="0" borderId="41" xfId="2" applyNumberFormat="1" applyFont="1" applyBorder="1" applyAlignment="1">
      <alignment vertical="center"/>
    </xf>
    <xf numFmtId="164" fontId="9" fillId="0" borderId="0" xfId="2" applyNumberFormat="1" applyFont="1" applyAlignment="1">
      <alignment vertical="center"/>
    </xf>
    <xf numFmtId="43" fontId="9" fillId="0" borderId="12" xfId="1" applyFont="1" applyBorder="1" applyAlignment="1">
      <alignment vertical="center"/>
    </xf>
    <xf numFmtId="43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43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43" fontId="22" fillId="0" borderId="43" xfId="1" applyFont="1" applyFill="1" applyBorder="1" applyAlignment="1" applyProtection="1">
      <alignment horizontal="center" vertical="center"/>
    </xf>
    <xf numFmtId="43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43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43" fontId="9" fillId="0" borderId="22" xfId="1" applyFont="1" applyBorder="1" applyAlignment="1">
      <alignment vertical="center"/>
    </xf>
    <xf numFmtId="43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164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43" fontId="9" fillId="0" borderId="24" xfId="1" applyFont="1" applyBorder="1" applyAlignment="1">
      <alignment vertical="center"/>
    </xf>
    <xf numFmtId="43" fontId="9" fillId="0" borderId="24" xfId="1" applyFont="1" applyFill="1" applyBorder="1" applyAlignment="1" applyProtection="1">
      <alignment vertical="center"/>
    </xf>
    <xf numFmtId="43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43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43" fontId="21" fillId="0" borderId="45" xfId="1" applyFont="1" applyFill="1" applyBorder="1" applyAlignment="1" applyProtection="1">
      <alignment horizontal="center" vertical="center"/>
    </xf>
    <xf numFmtId="43" fontId="22" fillId="0" borderId="45" xfId="1" applyFont="1" applyFill="1" applyBorder="1" applyAlignment="1" applyProtection="1">
      <alignment horizontal="center" vertical="center"/>
    </xf>
    <xf numFmtId="43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43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43" fontId="9" fillId="0" borderId="48" xfId="1" applyFont="1" applyFill="1" applyBorder="1" applyAlignment="1" applyProtection="1">
      <alignment vertical="center"/>
    </xf>
    <xf numFmtId="43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43" fontId="21" fillId="0" borderId="36" xfId="1" applyFont="1" applyFill="1" applyBorder="1" applyAlignment="1" applyProtection="1">
      <alignment horizontal="center" vertical="center"/>
    </xf>
    <xf numFmtId="43" fontId="22" fillId="0" borderId="36" xfId="1" applyFont="1" applyFill="1" applyBorder="1" applyAlignment="1" applyProtection="1">
      <alignment horizontal="center" vertical="center"/>
    </xf>
    <xf numFmtId="43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43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43" fontId="23" fillId="0" borderId="45" xfId="1" applyFont="1" applyFill="1" applyBorder="1" applyAlignment="1" applyProtection="1">
      <alignment vertical="center"/>
    </xf>
    <xf numFmtId="43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43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43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43" fontId="11" fillId="0" borderId="50" xfId="1" applyFont="1" applyFill="1" applyBorder="1" applyAlignment="1" applyProtection="1">
      <alignment vertical="center"/>
    </xf>
    <xf numFmtId="43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43" fontId="11" fillId="0" borderId="51" xfId="1" applyFont="1" applyFill="1" applyBorder="1" applyAlignment="1" applyProtection="1">
      <alignment vertical="center"/>
    </xf>
    <xf numFmtId="43" fontId="9" fillId="0" borderId="35" xfId="1" applyFont="1" applyFill="1" applyBorder="1" applyAlignment="1" applyProtection="1">
      <alignment vertical="center"/>
    </xf>
    <xf numFmtId="43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43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43" fontId="21" fillId="0" borderId="52" xfId="1" applyFont="1" applyFill="1" applyBorder="1" applyAlignment="1" applyProtection="1">
      <alignment horizontal="center" vertical="center"/>
    </xf>
    <xf numFmtId="43" fontId="22" fillId="0" borderId="52" xfId="1" applyFont="1" applyFill="1" applyBorder="1" applyAlignment="1" applyProtection="1">
      <alignment horizontal="center" vertical="center"/>
    </xf>
    <xf numFmtId="43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43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43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43" fontId="9" fillId="0" borderId="30" xfId="1" applyFont="1" applyBorder="1" applyAlignment="1">
      <alignment vertical="center"/>
    </xf>
    <xf numFmtId="43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164" fontId="9" fillId="0" borderId="32" xfId="2" applyNumberFormat="1" applyFont="1" applyBorder="1" applyAlignment="1">
      <alignment vertical="center"/>
    </xf>
    <xf numFmtId="43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43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43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43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43" fontId="20" fillId="0" borderId="32" xfId="1" applyFont="1" applyFill="1" applyBorder="1" applyAlignment="1" applyProtection="1">
      <alignment horizontal="center" vertical="center"/>
    </xf>
    <xf numFmtId="43" fontId="22" fillId="0" borderId="0" xfId="1" applyFont="1" applyFill="1" applyBorder="1" applyAlignment="1" applyProtection="1">
      <alignment horizontal="center" vertical="center"/>
    </xf>
    <xf numFmtId="43" fontId="20" fillId="0" borderId="0" xfId="1" applyFont="1" applyFill="1" applyBorder="1" applyAlignment="1" applyProtection="1">
      <alignment horizontal="center" vertical="center"/>
    </xf>
    <xf numFmtId="43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43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43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43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43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43" fontId="26" fillId="0" borderId="14" xfId="1" applyFont="1" applyFill="1" applyBorder="1" applyAlignment="1" applyProtection="1">
      <alignment vertical="center"/>
    </xf>
    <xf numFmtId="43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43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43" fontId="13" fillId="0" borderId="26" xfId="1" applyFont="1" applyFill="1" applyBorder="1" applyAlignment="1" applyProtection="1">
      <alignment vertical="center"/>
    </xf>
    <xf numFmtId="43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43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43" fontId="12" fillId="0" borderId="15" xfId="1" applyFont="1" applyFill="1" applyBorder="1" applyAlignment="1" applyProtection="1">
      <alignment horizontal="center" vertical="center" wrapText="1"/>
    </xf>
    <xf numFmtId="43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8.6640625" style="3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105480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57204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-105480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8.6640625" style="3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33804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33804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-33804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8.6640625" style="3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199368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175392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-199368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8.6640625" style="3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11340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11340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-11340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8.6640625" style="3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G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177156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153180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-177156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203796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191808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-203796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187884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163908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-187884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G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5670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5670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-5670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H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191808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179820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-191808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I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5616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5616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-5616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J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203796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167832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-203796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K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190800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142524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-190800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L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149328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110124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-149328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M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11286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11286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-11286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abSelected="1" topLeftCell="A71" zoomScale="85" zoomScaleNormal="85" workbookViewId="0">
      <pane xSplit="2" topLeftCell="C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3"/>
  <cols>
    <col min="1" max="1" width="2.6640625" style="2" customWidth="1"/>
    <col min="2" max="2" width="21.88671875" style="2" customWidth="1"/>
    <col min="3" max="5" width="11.6640625" style="2" customWidth="1"/>
    <col min="6" max="6" width="16.109375" style="2" customWidth="1"/>
    <col min="7" max="7" width="18.6640625" style="2" customWidth="1"/>
    <col min="8" max="8" width="24.44140625" style="2" customWidth="1"/>
    <col min="9" max="9" width="17.5546875" style="3" hidden="1" customWidth="1"/>
    <col min="10" max="12" width="18.6640625" style="3" hidden="1" customWidth="1"/>
    <col min="13" max="13" width="18.6640625" style="2" customWidth="1"/>
    <col min="14" max="14" width="19.5546875" style="2" customWidth="1"/>
    <col min="15" max="15" width="24.109375" style="2" customWidth="1"/>
    <col min="16" max="16" width="18.6640625" style="2" customWidth="1"/>
    <col min="17" max="17" width="19.33203125" style="3" bestFit="1" customWidth="1"/>
    <col min="18" max="18" width="2.109375" style="2" customWidth="1"/>
    <col min="19" max="21" width="18.6640625" style="2" customWidth="1"/>
    <col min="22" max="22" width="2.6640625" style="2" customWidth="1"/>
    <col min="23" max="23" width="45.5546875" style="2" customWidth="1"/>
    <col min="24" max="24" width="23" style="2" bestFit="1" customWidth="1"/>
    <col min="25" max="26" width="18.6640625" style="2" customWidth="1"/>
    <col min="27" max="27" width="1.6640625" style="2" customWidth="1"/>
    <col min="28" max="31" width="14.109375" style="2" customWidth="1"/>
    <col min="32" max="32" width="1.5546875" style="2" customWidth="1"/>
    <col min="33" max="33" width="14.109375" style="2" customWidth="1"/>
    <col min="34" max="34" width="1.6640625" style="2" customWidth="1"/>
    <col min="35" max="35" width="14.109375" style="2" customWidth="1"/>
    <col min="36" max="36" width="0" style="2" hidden="1" customWidth="1"/>
    <col min="37" max="16384" width="10.33203125" style="2" hidden="1"/>
  </cols>
  <sheetData>
    <row r="1" spans="2:35" ht="12.75" customHeight="1" thickBot="1" x14ac:dyDescent="0.35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3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3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5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5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3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5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5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1" x14ac:dyDescent="0.3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3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5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5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O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5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5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5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5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5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3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3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3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3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3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3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3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3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3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3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3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5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8" hidden="1" thickBot="1" x14ac:dyDescent="0.35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8" hidden="1" thickBot="1" x14ac:dyDescent="0.35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6" x14ac:dyDescent="0.3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8" thickBot="1" x14ac:dyDescent="0.35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5">
      <c r="B73" s="156" t="s">
        <v>102</v>
      </c>
      <c r="C73" s="157"/>
      <c r="D73" s="157"/>
      <c r="E73" s="157"/>
      <c r="F73" s="229">
        <f>SUM(I12:I70)</f>
        <v>1315032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163404</v>
      </c>
      <c r="P73" s="229"/>
      <c r="Q73" s="230"/>
      <c r="R73" s="152"/>
      <c r="S73" s="159" t="s">
        <v>104</v>
      </c>
      <c r="T73" s="233">
        <f>SUM(Y12:Y68)</f>
        <v>48450.12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5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5">
      <c r="B75" s="156" t="s">
        <v>102</v>
      </c>
      <c r="C75" s="157"/>
      <c r="D75" s="157"/>
      <c r="E75" s="157"/>
      <c r="F75" s="229">
        <f>SUM(I14:I72)</f>
        <v>1315032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151416</v>
      </c>
      <c r="P75" s="229"/>
      <c r="Q75" s="230"/>
      <c r="R75" s="152"/>
      <c r="S75" s="159" t="s">
        <v>129</v>
      </c>
      <c r="T75" s="233">
        <f>SUM(Z12:Z70)</f>
        <v>5628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5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5">
      <c r="B77" s="167" t="s">
        <v>105</v>
      </c>
      <c r="C77" s="157"/>
      <c r="D77" s="157"/>
      <c r="E77" s="157"/>
      <c r="F77" s="229">
        <f>IF(U7&gt;0,"",(F73-O73-T79-P79))</f>
        <v>878596.32000000007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>
        <f>1036.48+23193.08</f>
        <v>24229.56</v>
      </c>
      <c r="Q77" s="247"/>
      <c r="R77" s="152"/>
      <c r="S77" s="159" t="s">
        <v>108</v>
      </c>
      <c r="T77" s="233">
        <f>IF(SUM(X12:X68)*0.15&gt;P77,P77,SUM(X12:X68)*0.15)</f>
        <v>24229.56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5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5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>
        <f>194724</f>
        <v>194724</v>
      </c>
      <c r="Q79" s="247"/>
      <c r="R79" s="152"/>
      <c r="S79" s="159" t="s">
        <v>112</v>
      </c>
      <c r="T79" s="233">
        <f>T77+T73+T75</f>
        <v>78307.680000000008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5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3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3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5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8" thickBot="1" x14ac:dyDescent="0.35"/>
    <row r="85" spans="2:21" s="178" customFormat="1" ht="17.399999999999999" x14ac:dyDescent="0.3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3.2" x14ac:dyDescent="0.3">
      <c r="B86" s="179"/>
      <c r="I86" s="180"/>
      <c r="M86" s="179"/>
      <c r="Q86" s="180"/>
      <c r="R86" s="179"/>
      <c r="U86" s="181"/>
    </row>
    <row r="87" spans="2:21" s="183" customFormat="1" ht="22.8" x14ac:dyDescent="0.3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2.8" x14ac:dyDescent="0.3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7.399999999999999" x14ac:dyDescent="0.3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3.2" x14ac:dyDescent="0.3">
      <c r="B90" s="179"/>
      <c r="I90" s="180"/>
      <c r="M90" s="179"/>
      <c r="Q90" s="180"/>
      <c r="R90" s="179"/>
      <c r="U90" s="181"/>
    </row>
    <row r="91" spans="2:21" s="183" customFormat="1" ht="22.8" x14ac:dyDescent="0.3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3.2" x14ac:dyDescent="0.3">
      <c r="B92" s="179"/>
      <c r="I92" s="180"/>
      <c r="M92" s="179"/>
      <c r="Q92" s="180"/>
      <c r="R92" s="179"/>
      <c r="U92" s="181"/>
    </row>
    <row r="93" spans="2:21" s="183" customFormat="1" ht="22.8" x14ac:dyDescent="0.3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7.399999999999999" x14ac:dyDescent="0.3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3.2" x14ac:dyDescent="0.3">
      <c r="B95" s="179"/>
      <c r="I95" s="180"/>
      <c r="M95" s="179"/>
      <c r="Q95" s="180"/>
      <c r="R95" s="179"/>
      <c r="U95" s="181"/>
    </row>
    <row r="96" spans="2:21" ht="13.8" thickBot="1" x14ac:dyDescent="0.35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3.2" x14ac:dyDescent="0.3"/>
    <row r="98" ht="13.2" x14ac:dyDescent="0.3"/>
    <row r="99" ht="13.2" x14ac:dyDescent="0.3"/>
    <row r="100" ht="13.2" x14ac:dyDescent="0.3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Brian Geoffrey</cp:lastModifiedBy>
  <cp:lastPrinted>2025-09-25T07:06:23Z</cp:lastPrinted>
  <dcterms:created xsi:type="dcterms:W3CDTF">2025-03-06T18:27:26Z</dcterms:created>
  <dcterms:modified xsi:type="dcterms:W3CDTF">2026-06-16T09:15:51Z</dcterms:modified>
</cp:coreProperties>
</file>