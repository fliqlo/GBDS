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JUNE FILES 2026\"/>
    </mc:Choice>
  </mc:AlternateContent>
  <xr:revisionPtr revIDLastSave="0" documentId="13_ncr:1_{C2B9CB86-22C6-46EE-8181-902ACBC98F08}" xr6:coauthVersionLast="45" xr6:coauthVersionMax="47" xr10:uidLastSave="{00000000-0000-0000-0000-000000000000}"/>
  <bookViews>
    <workbookView xWindow="-120" yWindow="-120" windowWidth="29040" windowHeight="15840" firstSheet="9" activeTab="14" xr2:uid="{EAA847CC-C244-4239-B005-CBB8C204AC80}"/>
  </bookViews>
  <sheets>
    <sheet name="06-01-2026" sheetId="200" r:id="rId1"/>
    <sheet name="06-01-2026 (2)" sheetId="203" r:id="rId2"/>
    <sheet name="06-08-2026" sheetId="202" r:id="rId3"/>
    <sheet name="06-09-2026" sheetId="204" r:id="rId4"/>
    <sheet name="06-09-2026 (2)" sheetId="205" r:id="rId5"/>
    <sheet name="06-10-2026" sheetId="206" r:id="rId6"/>
    <sheet name="06-11-2026" sheetId="207" r:id="rId7"/>
    <sheet name="06-11-2026 (2)" sheetId="208" r:id="rId8"/>
    <sheet name="06-11-2026 (3)" sheetId="209" r:id="rId9"/>
    <sheet name="06-11-2026 (4)" sheetId="210" r:id="rId10"/>
    <sheet name="06-12-2026" sheetId="211" r:id="rId11"/>
    <sheet name="06-13-2026" sheetId="212" r:id="rId12"/>
    <sheet name="06-15-2026" sheetId="213" r:id="rId13"/>
    <sheet name="06-15-2026 (2)" sheetId="214" r:id="rId14"/>
    <sheet name="06-16-2026" sheetId="217" r:id="rId15"/>
  </sheets>
  <definedNames>
    <definedName name="_xlnm.Print_Area" localSheetId="0">'06-01-2026'!$A$1:$V$97</definedName>
    <definedName name="_xlnm.Print_Area" localSheetId="1">'06-01-2026 (2)'!$A$1:$V$97</definedName>
    <definedName name="_xlnm.Print_Area" localSheetId="2">'06-08-2026'!$A$1:$V$97</definedName>
    <definedName name="_xlnm.Print_Area" localSheetId="3">'06-09-2026'!$A$1:$V$97</definedName>
    <definedName name="_xlnm.Print_Area" localSheetId="4">'06-09-2026 (2)'!$A$1:$V$97</definedName>
    <definedName name="_xlnm.Print_Area" localSheetId="5">'06-10-2026'!$A$1:$V$97</definedName>
    <definedName name="_xlnm.Print_Area" localSheetId="6">'06-11-2026'!$A$1:$V$97</definedName>
    <definedName name="_xlnm.Print_Area" localSheetId="7">'06-11-2026 (2)'!$A$1:$V$97</definedName>
    <definedName name="_xlnm.Print_Area" localSheetId="8">'06-11-2026 (3)'!$A$1:$V$97</definedName>
    <definedName name="_xlnm.Print_Area" localSheetId="9">'06-11-2026 (4)'!$A$1:$V$97</definedName>
    <definedName name="_xlnm.Print_Area" localSheetId="10">'06-12-2026'!$A$1:$V$97</definedName>
    <definedName name="_xlnm.Print_Area" localSheetId="11">'06-13-2026'!$A$1:$V$97</definedName>
    <definedName name="_xlnm.Print_Area" localSheetId="12">'06-15-2026'!$A$1:$V$97</definedName>
    <definedName name="_xlnm.Print_Area" localSheetId="13">'06-15-2026 (2)'!$A$1:$V$97</definedName>
    <definedName name="_xlnm.Print_Area" localSheetId="14">'06-16-2026'!$A$1:$V$97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P77" i="217" l="1"/>
  <c r="P79" i="217"/>
  <c r="M79" i="217" l="1"/>
  <c r="P71" i="217"/>
  <c r="H71" i="217"/>
  <c r="Q70" i="217"/>
  <c r="P70" i="217"/>
  <c r="H70" i="217"/>
  <c r="E70" i="217"/>
  <c r="Q69" i="217"/>
  <c r="P69" i="217"/>
  <c r="H69" i="217"/>
  <c r="E69" i="217"/>
  <c r="AD68" i="217"/>
  <c r="AC68" i="217"/>
  <c r="AB68" i="217"/>
  <c r="Z68" i="217"/>
  <c r="X68" i="217"/>
  <c r="Q68" i="217"/>
  <c r="P68" i="217"/>
  <c r="H68" i="217"/>
  <c r="E68" i="217"/>
  <c r="AD67" i="217"/>
  <c r="AC67" i="217"/>
  <c r="AB67" i="217"/>
  <c r="Z67" i="217"/>
  <c r="X67" i="217"/>
  <c r="Q67" i="217"/>
  <c r="P67" i="217"/>
  <c r="H67" i="217"/>
  <c r="E67" i="217"/>
  <c r="AD66" i="217"/>
  <c r="AC66" i="217"/>
  <c r="AB66" i="217"/>
  <c r="Z66" i="217"/>
  <c r="X66" i="217"/>
  <c r="Q66" i="217"/>
  <c r="P66" i="217"/>
  <c r="H66" i="217"/>
  <c r="E66" i="217"/>
  <c r="AD65" i="217"/>
  <c r="AC65" i="217"/>
  <c r="AB65" i="217"/>
  <c r="Z65" i="217"/>
  <c r="X65" i="217"/>
  <c r="Q65" i="217"/>
  <c r="P65" i="217"/>
  <c r="H65" i="217"/>
  <c r="E65" i="217"/>
  <c r="AD64" i="217"/>
  <c r="AC64" i="217"/>
  <c r="AB64" i="217"/>
  <c r="Z64" i="217"/>
  <c r="X64" i="217"/>
  <c r="Q64" i="217"/>
  <c r="P64" i="217"/>
  <c r="H64" i="217"/>
  <c r="E64" i="217"/>
  <c r="AD63" i="217"/>
  <c r="AC63" i="217"/>
  <c r="AB63" i="217"/>
  <c r="Z63" i="217"/>
  <c r="X63" i="217"/>
  <c r="Q63" i="217"/>
  <c r="P63" i="217"/>
  <c r="H63" i="217"/>
  <c r="E63" i="217"/>
  <c r="AE62" i="217"/>
  <c r="AD62" i="217"/>
  <c r="AC62" i="217"/>
  <c r="AB62" i="217"/>
  <c r="Z62" i="217"/>
  <c r="X62" i="217"/>
  <c r="Q62" i="217"/>
  <c r="P62" i="217"/>
  <c r="H62" i="217"/>
  <c r="E62" i="217"/>
  <c r="AC61" i="217"/>
  <c r="AB61" i="217"/>
  <c r="X61" i="217"/>
  <c r="Q61" i="217"/>
  <c r="P61" i="217"/>
  <c r="H61" i="217"/>
  <c r="E61" i="217"/>
  <c r="AE60" i="217"/>
  <c r="X60" i="217"/>
  <c r="Q60" i="217"/>
  <c r="P60" i="217"/>
  <c r="H60" i="217"/>
  <c r="E60" i="217"/>
  <c r="AC59" i="217"/>
  <c r="AB59" i="217"/>
  <c r="X59" i="217"/>
  <c r="Q59" i="217"/>
  <c r="P59" i="217"/>
  <c r="H59" i="217"/>
  <c r="E59" i="217"/>
  <c r="AC58" i="217"/>
  <c r="AB58" i="217"/>
  <c r="X58" i="217"/>
  <c r="Q58" i="217"/>
  <c r="P58" i="217"/>
  <c r="E58" i="217"/>
  <c r="AC57" i="217"/>
  <c r="AB57" i="217"/>
  <c r="X57" i="217"/>
  <c r="Q57" i="217"/>
  <c r="P57" i="217"/>
  <c r="H57" i="217"/>
  <c r="E57" i="217"/>
  <c r="AD56" i="217"/>
  <c r="AC56" i="217"/>
  <c r="AB56" i="217"/>
  <c r="Z56" i="217"/>
  <c r="X56" i="217"/>
  <c r="Q56" i="217"/>
  <c r="P56" i="217"/>
  <c r="H56" i="217"/>
  <c r="E56" i="217"/>
  <c r="AE55" i="217"/>
  <c r="AD55" i="217"/>
  <c r="AC55" i="217"/>
  <c r="AB55" i="217"/>
  <c r="Z55" i="217"/>
  <c r="X55" i="217"/>
  <c r="Q55" i="217"/>
  <c r="P55" i="217"/>
  <c r="H55" i="217"/>
  <c r="E55" i="217"/>
  <c r="AD54" i="217"/>
  <c r="AC54" i="217"/>
  <c r="AB54" i="217"/>
  <c r="Z54" i="217"/>
  <c r="X54" i="217"/>
  <c r="Q54" i="217"/>
  <c r="P54" i="217"/>
  <c r="H54" i="217"/>
  <c r="E54" i="217"/>
  <c r="AD53" i="217"/>
  <c r="AC53" i="217"/>
  <c r="AB53" i="217"/>
  <c r="Z53" i="217"/>
  <c r="X53" i="217"/>
  <c r="Q53" i="217"/>
  <c r="P53" i="217"/>
  <c r="H53" i="217"/>
  <c r="E53" i="217"/>
  <c r="AE52" i="217"/>
  <c r="Z52" i="217"/>
  <c r="X52" i="217"/>
  <c r="Q52" i="217"/>
  <c r="P52" i="217"/>
  <c r="H52" i="217"/>
  <c r="E52" i="217"/>
  <c r="AD51" i="217"/>
  <c r="AC51" i="217"/>
  <c r="AB51" i="217"/>
  <c r="Z51" i="217"/>
  <c r="X51" i="217"/>
  <c r="Q51" i="217"/>
  <c r="P51" i="217"/>
  <c r="I51" i="217"/>
  <c r="H51" i="217"/>
  <c r="E51" i="217"/>
  <c r="AD50" i="217"/>
  <c r="AC50" i="217"/>
  <c r="AB50" i="217"/>
  <c r="Z50" i="217"/>
  <c r="X50" i="217"/>
  <c r="Q50" i="217"/>
  <c r="P50" i="217"/>
  <c r="H50" i="217"/>
  <c r="E50" i="217"/>
  <c r="AE49" i="217"/>
  <c r="Z49" i="217"/>
  <c r="X49" i="217"/>
  <c r="Q49" i="217"/>
  <c r="P49" i="217"/>
  <c r="H49" i="217"/>
  <c r="E49" i="217"/>
  <c r="AE48" i="217"/>
  <c r="Z48" i="217"/>
  <c r="X48" i="217"/>
  <c r="Q48" i="217"/>
  <c r="P48" i="217"/>
  <c r="H48" i="217"/>
  <c r="E48" i="217"/>
  <c r="AE47" i="217"/>
  <c r="Z47" i="217"/>
  <c r="X47" i="217"/>
  <c r="Q47" i="217"/>
  <c r="P47" i="217"/>
  <c r="H47" i="217"/>
  <c r="E47" i="217"/>
  <c r="AD46" i="217"/>
  <c r="AC46" i="217"/>
  <c r="AB46" i="217"/>
  <c r="Z46" i="217"/>
  <c r="X46" i="217"/>
  <c r="Q46" i="217"/>
  <c r="P46" i="217"/>
  <c r="H46" i="217"/>
  <c r="E46" i="217"/>
  <c r="AD45" i="217"/>
  <c r="AC45" i="217"/>
  <c r="AB45" i="217"/>
  <c r="Z45" i="217"/>
  <c r="X45" i="217"/>
  <c r="Q45" i="217"/>
  <c r="P45" i="217"/>
  <c r="H45" i="217"/>
  <c r="E45" i="217"/>
  <c r="AE44" i="217"/>
  <c r="AD44" i="217"/>
  <c r="AC44" i="217"/>
  <c r="AB44" i="217"/>
  <c r="Z44" i="217"/>
  <c r="X44" i="217"/>
  <c r="Q44" i="217"/>
  <c r="P44" i="217"/>
  <c r="H44" i="217"/>
  <c r="E44" i="217"/>
  <c r="AD43" i="217"/>
  <c r="AC43" i="217"/>
  <c r="AB43" i="217"/>
  <c r="Z43" i="217"/>
  <c r="X43" i="217"/>
  <c r="Q43" i="217"/>
  <c r="P43" i="217"/>
  <c r="H43" i="217"/>
  <c r="E43" i="217"/>
  <c r="AE42" i="217"/>
  <c r="AD42" i="217"/>
  <c r="AC42" i="217"/>
  <c r="AB42" i="217"/>
  <c r="Z42" i="217"/>
  <c r="X42" i="217"/>
  <c r="Q42" i="217"/>
  <c r="P42" i="217"/>
  <c r="H42" i="217"/>
  <c r="E42" i="217"/>
  <c r="AE41" i="217"/>
  <c r="AD41" i="217"/>
  <c r="AC41" i="217"/>
  <c r="AB41" i="217"/>
  <c r="Z41" i="217"/>
  <c r="X41" i="217"/>
  <c r="Q41" i="217"/>
  <c r="P41" i="217"/>
  <c r="H41" i="217"/>
  <c r="E41" i="217"/>
  <c r="AE40" i="217"/>
  <c r="AD40" i="217"/>
  <c r="AC40" i="217"/>
  <c r="AB40" i="217"/>
  <c r="Z40" i="217"/>
  <c r="X40" i="217"/>
  <c r="Q40" i="217"/>
  <c r="P40" i="217"/>
  <c r="H40" i="217"/>
  <c r="E40" i="217"/>
  <c r="AD39" i="217"/>
  <c r="AC39" i="217"/>
  <c r="AB39" i="217"/>
  <c r="Z39" i="217"/>
  <c r="X39" i="217"/>
  <c r="Q39" i="217"/>
  <c r="P39" i="217"/>
  <c r="H39" i="217"/>
  <c r="E39" i="217"/>
  <c r="AD38" i="217"/>
  <c r="AC38" i="217"/>
  <c r="AB38" i="217"/>
  <c r="Z38" i="217"/>
  <c r="X38" i="217"/>
  <c r="Q38" i="217"/>
  <c r="P38" i="217"/>
  <c r="H38" i="217"/>
  <c r="E38" i="217"/>
  <c r="AD37" i="217"/>
  <c r="AC37" i="217"/>
  <c r="AB37" i="217"/>
  <c r="Z37" i="217"/>
  <c r="X37" i="217"/>
  <c r="Q37" i="217"/>
  <c r="P37" i="217"/>
  <c r="H37" i="217"/>
  <c r="E37" i="217"/>
  <c r="AD36" i="217"/>
  <c r="AC36" i="217"/>
  <c r="AB36" i="217"/>
  <c r="Z36" i="217"/>
  <c r="X36" i="217"/>
  <c r="Q36" i="217"/>
  <c r="P36" i="217"/>
  <c r="H36" i="217"/>
  <c r="E36" i="217"/>
  <c r="AE35" i="217"/>
  <c r="AD35" i="217"/>
  <c r="AC35" i="217"/>
  <c r="AB35" i="217"/>
  <c r="Z35" i="217"/>
  <c r="X35" i="217"/>
  <c r="Q35" i="217"/>
  <c r="P35" i="217"/>
  <c r="H35" i="217"/>
  <c r="E35" i="217"/>
  <c r="AE34" i="217"/>
  <c r="AD34" i="217"/>
  <c r="AC34" i="217"/>
  <c r="AB34" i="217"/>
  <c r="Z34" i="217"/>
  <c r="X34" i="217"/>
  <c r="Q34" i="217"/>
  <c r="P34" i="217"/>
  <c r="H34" i="217"/>
  <c r="E34" i="217"/>
  <c r="AE33" i="217"/>
  <c r="AD33" i="217"/>
  <c r="AC33" i="217"/>
  <c r="AB33" i="217"/>
  <c r="Z33" i="217"/>
  <c r="X33" i="217"/>
  <c r="Q33" i="217"/>
  <c r="P33" i="217"/>
  <c r="H33" i="217"/>
  <c r="E33" i="217"/>
  <c r="AD32" i="217"/>
  <c r="AC32" i="217"/>
  <c r="AB32" i="217"/>
  <c r="Z32" i="217"/>
  <c r="X32" i="217"/>
  <c r="Q32" i="217"/>
  <c r="P32" i="217"/>
  <c r="H32" i="217"/>
  <c r="E32" i="217"/>
  <c r="AI31" i="217"/>
  <c r="AE31" i="217"/>
  <c r="Z31" i="217"/>
  <c r="X31" i="217"/>
  <c r="Q31" i="217"/>
  <c r="P31" i="217"/>
  <c r="I31" i="217"/>
  <c r="H31" i="217"/>
  <c r="E31" i="217"/>
  <c r="AD30" i="217"/>
  <c r="AC30" i="217"/>
  <c r="AB30" i="217"/>
  <c r="Z30" i="217"/>
  <c r="X30" i="217"/>
  <c r="Q30" i="217"/>
  <c r="P30" i="217"/>
  <c r="H30" i="217"/>
  <c r="E30" i="217"/>
  <c r="AD29" i="217"/>
  <c r="AC29" i="217"/>
  <c r="AB29" i="217"/>
  <c r="Z29" i="217"/>
  <c r="X29" i="217"/>
  <c r="Q29" i="217"/>
  <c r="P29" i="217"/>
  <c r="H29" i="217"/>
  <c r="E29" i="217"/>
  <c r="AD28" i="217"/>
  <c r="AC28" i="217"/>
  <c r="AB28" i="217"/>
  <c r="Z28" i="217"/>
  <c r="X28" i="217"/>
  <c r="Q28" i="217"/>
  <c r="P28" i="217"/>
  <c r="H28" i="217"/>
  <c r="E28" i="217"/>
  <c r="AD27" i="217"/>
  <c r="AC27" i="217"/>
  <c r="AB27" i="217"/>
  <c r="Z27" i="217"/>
  <c r="X27" i="217"/>
  <c r="Q27" i="217"/>
  <c r="P27" i="217"/>
  <c r="H27" i="217"/>
  <c r="E27" i="217"/>
  <c r="AD26" i="217"/>
  <c r="AC26" i="217"/>
  <c r="AB26" i="217"/>
  <c r="Z26" i="217"/>
  <c r="X26" i="217"/>
  <c r="Q26" i="217"/>
  <c r="P26" i="217"/>
  <c r="H26" i="217"/>
  <c r="E26" i="217"/>
  <c r="AD25" i="217"/>
  <c r="AC25" i="217"/>
  <c r="AB25" i="217"/>
  <c r="Z25" i="217"/>
  <c r="X25" i="217"/>
  <c r="Q25" i="217"/>
  <c r="P25" i="217"/>
  <c r="H25" i="217"/>
  <c r="E25" i="217"/>
  <c r="AD24" i="217"/>
  <c r="AC24" i="217"/>
  <c r="AB24" i="217"/>
  <c r="Z24" i="217"/>
  <c r="X24" i="217"/>
  <c r="Q24" i="217"/>
  <c r="P24" i="217"/>
  <c r="H24" i="217"/>
  <c r="E24" i="217"/>
  <c r="AD23" i="217"/>
  <c r="AC23" i="217"/>
  <c r="AB23" i="217"/>
  <c r="Z23" i="217"/>
  <c r="X23" i="217"/>
  <c r="Q23" i="217"/>
  <c r="P23" i="217"/>
  <c r="H23" i="217"/>
  <c r="E23" i="217"/>
  <c r="AE22" i="217"/>
  <c r="AD22" i="217"/>
  <c r="AC22" i="217"/>
  <c r="AB22" i="217"/>
  <c r="Z22" i="217"/>
  <c r="X22" i="217"/>
  <c r="Q22" i="217"/>
  <c r="P22" i="217"/>
  <c r="H22" i="217"/>
  <c r="E22" i="217"/>
  <c r="AD21" i="217"/>
  <c r="AC21" i="217"/>
  <c r="AB21" i="217"/>
  <c r="Z21" i="217"/>
  <c r="X21" i="217"/>
  <c r="Q21" i="217"/>
  <c r="P21" i="217"/>
  <c r="H21" i="217"/>
  <c r="E21" i="217"/>
  <c r="AD20" i="217"/>
  <c r="AC20" i="217"/>
  <c r="AB20" i="217"/>
  <c r="Z20" i="217"/>
  <c r="X20" i="217"/>
  <c r="Q20" i="217"/>
  <c r="P20" i="217"/>
  <c r="H20" i="217"/>
  <c r="E20" i="217"/>
  <c r="AD19" i="217"/>
  <c r="AC19" i="217"/>
  <c r="AB19" i="217"/>
  <c r="Z19" i="217"/>
  <c r="X19" i="217"/>
  <c r="Q19" i="217"/>
  <c r="P19" i="217"/>
  <c r="H19" i="217"/>
  <c r="E19" i="217"/>
  <c r="AE18" i="217"/>
  <c r="AD18" i="217"/>
  <c r="AC18" i="217"/>
  <c r="AB18" i="217"/>
  <c r="Z18" i="217"/>
  <c r="X18" i="217"/>
  <c r="Q18" i="217"/>
  <c r="P18" i="217"/>
  <c r="H18" i="217"/>
  <c r="E18" i="217"/>
  <c r="AD17" i="217"/>
  <c r="AC17" i="217"/>
  <c r="AB17" i="217"/>
  <c r="Z17" i="217"/>
  <c r="X17" i="217"/>
  <c r="Q17" i="217"/>
  <c r="P17" i="217"/>
  <c r="H17" i="217"/>
  <c r="E17" i="217"/>
  <c r="AD16" i="217"/>
  <c r="AC16" i="217"/>
  <c r="AB16" i="217"/>
  <c r="Z16" i="217"/>
  <c r="X16" i="217"/>
  <c r="Q16" i="217"/>
  <c r="P16" i="217"/>
  <c r="E16" i="217"/>
  <c r="AD15" i="217"/>
  <c r="AC15" i="217"/>
  <c r="AB15" i="217"/>
  <c r="Z15" i="217"/>
  <c r="X15" i="217"/>
  <c r="Q15" i="217"/>
  <c r="P15" i="217"/>
  <c r="E15" i="217"/>
  <c r="AD14" i="217"/>
  <c r="AC14" i="217"/>
  <c r="AB14" i="217"/>
  <c r="Z14" i="217"/>
  <c r="X14" i="217"/>
  <c r="Q14" i="217"/>
  <c r="P14" i="217"/>
  <c r="H14" i="217"/>
  <c r="E14" i="217"/>
  <c r="AD13" i="217"/>
  <c r="AC13" i="217"/>
  <c r="AB13" i="217"/>
  <c r="Z13" i="217"/>
  <c r="X13" i="217"/>
  <c r="Q13" i="217"/>
  <c r="P13" i="217"/>
  <c r="H13" i="217"/>
  <c r="E13" i="217"/>
  <c r="AD12" i="217"/>
  <c r="AC12" i="217"/>
  <c r="AB12" i="217"/>
  <c r="Z12" i="217"/>
  <c r="X12" i="217"/>
  <c r="Q12" i="217"/>
  <c r="P12" i="217"/>
  <c r="H12" i="217"/>
  <c r="E12" i="217"/>
  <c r="M79" i="214"/>
  <c r="P71" i="214"/>
  <c r="H71" i="214"/>
  <c r="Q70" i="214"/>
  <c r="P70" i="214"/>
  <c r="H70" i="214"/>
  <c r="E70" i="214"/>
  <c r="Q69" i="214"/>
  <c r="P69" i="214"/>
  <c r="H69" i="214"/>
  <c r="E69" i="214"/>
  <c r="AD68" i="214"/>
  <c r="AC68" i="214"/>
  <c r="AB68" i="214"/>
  <c r="Z68" i="214"/>
  <c r="X68" i="214"/>
  <c r="Q68" i="214"/>
  <c r="P68" i="214"/>
  <c r="H68" i="214"/>
  <c r="E68" i="214"/>
  <c r="AE67" i="214"/>
  <c r="AD67" i="214"/>
  <c r="AC67" i="214"/>
  <c r="AB67" i="214"/>
  <c r="Z67" i="214"/>
  <c r="X67" i="214"/>
  <c r="Q67" i="214"/>
  <c r="P67" i="214"/>
  <c r="H67" i="214"/>
  <c r="E67" i="214"/>
  <c r="AD66" i="214"/>
  <c r="AC66" i="214"/>
  <c r="AB66" i="214"/>
  <c r="Z66" i="214"/>
  <c r="X66" i="214"/>
  <c r="Q66" i="214"/>
  <c r="P66" i="214"/>
  <c r="H66" i="214"/>
  <c r="E66" i="214"/>
  <c r="AD65" i="214"/>
  <c r="AC65" i="214"/>
  <c r="AB65" i="214"/>
  <c r="Z65" i="214"/>
  <c r="X65" i="214"/>
  <c r="Q65" i="214"/>
  <c r="P65" i="214"/>
  <c r="I65" i="214"/>
  <c r="H65" i="214"/>
  <c r="E65" i="214"/>
  <c r="AD64" i="214"/>
  <c r="AC64" i="214"/>
  <c r="AB64" i="214"/>
  <c r="Z64" i="214"/>
  <c r="X64" i="214"/>
  <c r="Q64" i="214"/>
  <c r="P64" i="214"/>
  <c r="H64" i="214"/>
  <c r="E64" i="214"/>
  <c r="AE63" i="214"/>
  <c r="AD63" i="214"/>
  <c r="AC63" i="214"/>
  <c r="AB63" i="214"/>
  <c r="Z63" i="214"/>
  <c r="X63" i="214"/>
  <c r="Q63" i="214"/>
  <c r="P63" i="214"/>
  <c r="H63" i="214"/>
  <c r="E63" i="214"/>
  <c r="AE62" i="214"/>
  <c r="AD62" i="214"/>
  <c r="AC62" i="214"/>
  <c r="AB62" i="214"/>
  <c r="Z62" i="214"/>
  <c r="X62" i="214"/>
  <c r="Q62" i="214"/>
  <c r="P62" i="214"/>
  <c r="H62" i="214"/>
  <c r="E62" i="214"/>
  <c r="AC61" i="214"/>
  <c r="AB61" i="214"/>
  <c r="X61" i="214"/>
  <c r="Q61" i="214"/>
  <c r="P61" i="214"/>
  <c r="H61" i="214"/>
  <c r="E61" i="214"/>
  <c r="AE60" i="214"/>
  <c r="X60" i="214"/>
  <c r="Q60" i="214"/>
  <c r="P60" i="214"/>
  <c r="H60" i="214"/>
  <c r="E60" i="214"/>
  <c r="AC59" i="214"/>
  <c r="AB59" i="214"/>
  <c r="X59" i="214"/>
  <c r="Q59" i="214"/>
  <c r="P59" i="214"/>
  <c r="H59" i="214"/>
  <c r="E59" i="214"/>
  <c r="AE58" i="214"/>
  <c r="AC58" i="214"/>
  <c r="AB58" i="214"/>
  <c r="X58" i="214"/>
  <c r="Q58" i="214"/>
  <c r="P58" i="214"/>
  <c r="E58" i="214"/>
  <c r="AE57" i="214"/>
  <c r="AC57" i="214"/>
  <c r="AB57" i="214"/>
  <c r="X57" i="214"/>
  <c r="Q57" i="214"/>
  <c r="P57" i="214"/>
  <c r="H57" i="214"/>
  <c r="E57" i="214"/>
  <c r="AD56" i="214"/>
  <c r="AC56" i="214"/>
  <c r="AB56" i="214"/>
  <c r="Z56" i="214"/>
  <c r="X56" i="214"/>
  <c r="Q56" i="214"/>
  <c r="P56" i="214"/>
  <c r="H56" i="214"/>
  <c r="E56" i="214"/>
  <c r="AE55" i="214"/>
  <c r="AD55" i="214"/>
  <c r="AC55" i="214"/>
  <c r="AB55" i="214"/>
  <c r="Z55" i="214"/>
  <c r="X55" i="214"/>
  <c r="Q55" i="214"/>
  <c r="P55" i="214"/>
  <c r="H55" i="214"/>
  <c r="E55" i="214"/>
  <c r="AE54" i="214"/>
  <c r="AD54" i="214"/>
  <c r="AC54" i="214"/>
  <c r="AB54" i="214"/>
  <c r="Z54" i="214"/>
  <c r="X54" i="214"/>
  <c r="Q54" i="214"/>
  <c r="P54" i="214"/>
  <c r="H54" i="214"/>
  <c r="E54" i="214"/>
  <c r="AD53" i="214"/>
  <c r="AC53" i="214"/>
  <c r="AB53" i="214"/>
  <c r="Z53" i="214"/>
  <c r="X53" i="214"/>
  <c r="Q53" i="214"/>
  <c r="P53" i="214"/>
  <c r="H53" i="214"/>
  <c r="E53" i="214"/>
  <c r="AE52" i="214"/>
  <c r="Z52" i="214"/>
  <c r="X52" i="214"/>
  <c r="Q52" i="214"/>
  <c r="P52" i="214"/>
  <c r="I52" i="214"/>
  <c r="H52" i="214"/>
  <c r="E52" i="214"/>
  <c r="AD51" i="214"/>
  <c r="AC51" i="214"/>
  <c r="AB51" i="214"/>
  <c r="Z51" i="214"/>
  <c r="X51" i="214"/>
  <c r="Q51" i="214"/>
  <c r="P51" i="214"/>
  <c r="H51" i="214"/>
  <c r="E51" i="214"/>
  <c r="AE50" i="214"/>
  <c r="AD50" i="214"/>
  <c r="AC50" i="214"/>
  <c r="AB50" i="214"/>
  <c r="Z50" i="214"/>
  <c r="X50" i="214"/>
  <c r="Q50" i="214"/>
  <c r="P50" i="214"/>
  <c r="H50" i="214"/>
  <c r="E50" i="214"/>
  <c r="AI49" i="214"/>
  <c r="AE49" i="214"/>
  <c r="Z49" i="214"/>
  <c r="X49" i="214"/>
  <c r="Q49" i="214"/>
  <c r="P49" i="214"/>
  <c r="I49" i="214"/>
  <c r="H49" i="214"/>
  <c r="E49" i="214"/>
  <c r="AI48" i="214"/>
  <c r="AE48" i="214"/>
  <c r="Z48" i="214"/>
  <c r="X48" i="214"/>
  <c r="Q48" i="214"/>
  <c r="P48" i="214"/>
  <c r="H48" i="214"/>
  <c r="E48" i="214"/>
  <c r="AI47" i="214"/>
  <c r="AE47" i="214"/>
  <c r="Z47" i="214"/>
  <c r="X47" i="214"/>
  <c r="Q47" i="214"/>
  <c r="P47" i="214"/>
  <c r="H47" i="214"/>
  <c r="E47" i="214"/>
  <c r="AD46" i="214"/>
  <c r="AC46" i="214"/>
  <c r="AB46" i="214"/>
  <c r="Z46" i="214"/>
  <c r="X46" i="214"/>
  <c r="Q46" i="214"/>
  <c r="P46" i="214"/>
  <c r="H46" i="214"/>
  <c r="E46" i="214"/>
  <c r="AD45" i="214"/>
  <c r="AC45" i="214"/>
  <c r="AB45" i="214"/>
  <c r="Z45" i="214"/>
  <c r="X45" i="214"/>
  <c r="Q45" i="214"/>
  <c r="P45" i="214"/>
  <c r="H45" i="214"/>
  <c r="E45" i="214"/>
  <c r="AD44" i="214"/>
  <c r="AC44" i="214"/>
  <c r="AB44" i="214"/>
  <c r="Z44" i="214"/>
  <c r="X44" i="214"/>
  <c r="Q44" i="214"/>
  <c r="P44" i="214"/>
  <c r="H44" i="214"/>
  <c r="E44" i="214"/>
  <c r="AD43" i="214"/>
  <c r="AC43" i="214"/>
  <c r="AB43" i="214"/>
  <c r="Z43" i="214"/>
  <c r="X43" i="214"/>
  <c r="Q43" i="214"/>
  <c r="P43" i="214"/>
  <c r="I43" i="214"/>
  <c r="H43" i="214"/>
  <c r="E43" i="214"/>
  <c r="AE42" i="214"/>
  <c r="AD42" i="214"/>
  <c r="AC42" i="214"/>
  <c r="AB42" i="214"/>
  <c r="Z42" i="214"/>
  <c r="X42" i="214"/>
  <c r="Q42" i="214"/>
  <c r="P42" i="214"/>
  <c r="I42" i="214"/>
  <c r="H42" i="214"/>
  <c r="E42" i="214"/>
  <c r="AE41" i="214"/>
  <c r="AD41" i="214"/>
  <c r="AC41" i="214"/>
  <c r="AB41" i="214"/>
  <c r="Z41" i="214"/>
  <c r="X41" i="214"/>
  <c r="Q41" i="214"/>
  <c r="P41" i="214"/>
  <c r="H41" i="214"/>
  <c r="E41" i="214"/>
  <c r="AE40" i="214"/>
  <c r="AD40" i="214"/>
  <c r="AC40" i="214"/>
  <c r="AB40" i="214"/>
  <c r="Z40" i="214"/>
  <c r="X40" i="214"/>
  <c r="Q40" i="214"/>
  <c r="P40" i="214"/>
  <c r="H40" i="214"/>
  <c r="E40" i="214"/>
  <c r="AE39" i="214"/>
  <c r="AD39" i="214"/>
  <c r="AC39" i="214"/>
  <c r="AB39" i="214"/>
  <c r="Z39" i="214"/>
  <c r="X39" i="214"/>
  <c r="Q39" i="214"/>
  <c r="P39" i="214"/>
  <c r="H39" i="214"/>
  <c r="E39" i="214"/>
  <c r="AD38" i="214"/>
  <c r="AC38" i="214"/>
  <c r="AB38" i="214"/>
  <c r="Z38" i="214"/>
  <c r="X38" i="214"/>
  <c r="Q38" i="214"/>
  <c r="P38" i="214"/>
  <c r="H38" i="214"/>
  <c r="E38" i="214"/>
  <c r="AD37" i="214"/>
  <c r="AC37" i="214"/>
  <c r="AB37" i="214"/>
  <c r="Z37" i="214"/>
  <c r="X37" i="214"/>
  <c r="Q37" i="214"/>
  <c r="P37" i="214"/>
  <c r="H37" i="214"/>
  <c r="E37" i="214"/>
  <c r="AD36" i="214"/>
  <c r="AC36" i="214"/>
  <c r="AB36" i="214"/>
  <c r="Z36" i="214"/>
  <c r="X36" i="214"/>
  <c r="Q36" i="214"/>
  <c r="P36" i="214"/>
  <c r="H36" i="214"/>
  <c r="E36" i="214"/>
  <c r="AD35" i="214"/>
  <c r="AC35" i="214"/>
  <c r="AB35" i="214"/>
  <c r="Z35" i="214"/>
  <c r="X35" i="214"/>
  <c r="Q35" i="214"/>
  <c r="P35" i="214"/>
  <c r="H35" i="214"/>
  <c r="E35" i="214"/>
  <c r="AD34" i="214"/>
  <c r="AC34" i="214"/>
  <c r="AB34" i="214"/>
  <c r="Z34" i="214"/>
  <c r="X34" i="214"/>
  <c r="Q34" i="214"/>
  <c r="P34" i="214"/>
  <c r="H34" i="214"/>
  <c r="E34" i="214"/>
  <c r="AD33" i="214"/>
  <c r="AC33" i="214"/>
  <c r="AB33" i="214"/>
  <c r="Z33" i="214"/>
  <c r="X33" i="214"/>
  <c r="Q33" i="214"/>
  <c r="P33" i="214"/>
  <c r="H33" i="214"/>
  <c r="E33" i="214"/>
  <c r="AD32" i="214"/>
  <c r="AC32" i="214"/>
  <c r="AB32" i="214"/>
  <c r="Z32" i="214"/>
  <c r="X32" i="214"/>
  <c r="Q32" i="214"/>
  <c r="P32" i="214"/>
  <c r="H32" i="214"/>
  <c r="E32" i="214"/>
  <c r="AE31" i="214"/>
  <c r="Z31" i="214"/>
  <c r="X31" i="214"/>
  <c r="Q31" i="214"/>
  <c r="P31" i="214"/>
  <c r="H31" i="214"/>
  <c r="E31" i="214"/>
  <c r="AD30" i="214"/>
  <c r="AC30" i="214"/>
  <c r="AB30" i="214"/>
  <c r="Z30" i="214"/>
  <c r="X30" i="214"/>
  <c r="Q30" i="214"/>
  <c r="P30" i="214"/>
  <c r="H30" i="214"/>
  <c r="E30" i="214"/>
  <c r="AD29" i="214"/>
  <c r="AC29" i="214"/>
  <c r="AB29" i="214"/>
  <c r="Z29" i="214"/>
  <c r="X29" i="214"/>
  <c r="Q29" i="214"/>
  <c r="P29" i="214"/>
  <c r="H29" i="214"/>
  <c r="E29" i="214"/>
  <c r="AD28" i="214"/>
  <c r="AC28" i="214"/>
  <c r="AB28" i="214"/>
  <c r="Z28" i="214"/>
  <c r="X28" i="214"/>
  <c r="Q28" i="214"/>
  <c r="P28" i="214"/>
  <c r="H28" i="214"/>
  <c r="E28" i="214"/>
  <c r="AD27" i="214"/>
  <c r="AC27" i="214"/>
  <c r="AB27" i="214"/>
  <c r="Z27" i="214"/>
  <c r="X27" i="214"/>
  <c r="Q27" i="214"/>
  <c r="P27" i="214"/>
  <c r="H27" i="214"/>
  <c r="E27" i="214"/>
  <c r="AD26" i="214"/>
  <c r="AC26" i="214"/>
  <c r="AB26" i="214"/>
  <c r="Z26" i="214"/>
  <c r="X26" i="214"/>
  <c r="Q26" i="214"/>
  <c r="P26" i="214"/>
  <c r="H26" i="214"/>
  <c r="E26" i="214"/>
  <c r="AE25" i="214"/>
  <c r="AD25" i="214"/>
  <c r="AC25" i="214"/>
  <c r="AB25" i="214"/>
  <c r="Z25" i="214"/>
  <c r="X25" i="214"/>
  <c r="Q25" i="214"/>
  <c r="P25" i="214"/>
  <c r="H25" i="214"/>
  <c r="E25" i="214"/>
  <c r="AE24" i="214"/>
  <c r="AD24" i="214"/>
  <c r="AC24" i="214"/>
  <c r="AB24" i="214"/>
  <c r="Z24" i="214"/>
  <c r="X24" i="214"/>
  <c r="Q24" i="214"/>
  <c r="P24" i="214"/>
  <c r="H24" i="214"/>
  <c r="E24" i="214"/>
  <c r="AE23" i="214"/>
  <c r="AD23" i="214"/>
  <c r="AC23" i="214"/>
  <c r="AB23" i="214"/>
  <c r="Z23" i="214"/>
  <c r="X23" i="214"/>
  <c r="Q23" i="214"/>
  <c r="P23" i="214"/>
  <c r="H23" i="214"/>
  <c r="E23" i="214"/>
  <c r="AD22" i="214"/>
  <c r="AC22" i="214"/>
  <c r="AB22" i="214"/>
  <c r="Z22" i="214"/>
  <c r="X22" i="214"/>
  <c r="Q22" i="214"/>
  <c r="P22" i="214"/>
  <c r="I22" i="214"/>
  <c r="H22" i="214"/>
  <c r="E22" i="214"/>
  <c r="AD21" i="214"/>
  <c r="AC21" i="214"/>
  <c r="AB21" i="214"/>
  <c r="Z21" i="214"/>
  <c r="X21" i="214"/>
  <c r="Q21" i="214"/>
  <c r="P21" i="214"/>
  <c r="I21" i="214"/>
  <c r="H21" i="214"/>
  <c r="E21" i="214"/>
  <c r="AD20" i="214"/>
  <c r="AC20" i="214"/>
  <c r="AB20" i="214"/>
  <c r="Z20" i="214"/>
  <c r="X20" i="214"/>
  <c r="Q20" i="214"/>
  <c r="P20" i="214"/>
  <c r="H20" i="214"/>
  <c r="E20" i="214"/>
  <c r="AD19" i="214"/>
  <c r="AC19" i="214"/>
  <c r="AB19" i="214"/>
  <c r="Z19" i="214"/>
  <c r="X19" i="214"/>
  <c r="Q19" i="214"/>
  <c r="P19" i="214"/>
  <c r="H19" i="214"/>
  <c r="E19" i="214"/>
  <c r="AD18" i="214"/>
  <c r="AC18" i="214"/>
  <c r="AB18" i="214"/>
  <c r="Z18" i="214"/>
  <c r="X18" i="214"/>
  <c r="Q18" i="214"/>
  <c r="P18" i="214"/>
  <c r="H18" i="214"/>
  <c r="E18" i="214"/>
  <c r="AD17" i="214"/>
  <c r="AC17" i="214"/>
  <c r="AB17" i="214"/>
  <c r="Z17" i="214"/>
  <c r="X17" i="214"/>
  <c r="Q17" i="214"/>
  <c r="P17" i="214"/>
  <c r="H17" i="214"/>
  <c r="E17" i="214"/>
  <c r="AD16" i="214"/>
  <c r="AC16" i="214"/>
  <c r="AB16" i="214"/>
  <c r="Z16" i="214"/>
  <c r="X16" i="214"/>
  <c r="Q16" i="214"/>
  <c r="P16" i="214"/>
  <c r="E16" i="214"/>
  <c r="AD15" i="214"/>
  <c r="AC15" i="214"/>
  <c r="AB15" i="214"/>
  <c r="Z15" i="214"/>
  <c r="X15" i="214"/>
  <c r="Q15" i="214"/>
  <c r="P15" i="214"/>
  <c r="E15" i="214"/>
  <c r="AD14" i="214"/>
  <c r="AC14" i="214"/>
  <c r="AB14" i="214"/>
  <c r="Z14" i="214"/>
  <c r="X14" i="214"/>
  <c r="Q14" i="214"/>
  <c r="P14" i="214"/>
  <c r="H14" i="214"/>
  <c r="E14" i="214"/>
  <c r="AD13" i="214"/>
  <c r="AC13" i="214"/>
  <c r="AB13" i="214"/>
  <c r="Z13" i="214"/>
  <c r="X13" i="214"/>
  <c r="Q13" i="214"/>
  <c r="P13" i="214"/>
  <c r="H13" i="214"/>
  <c r="E13" i="214"/>
  <c r="AD12" i="214"/>
  <c r="AC12" i="214"/>
  <c r="AB12" i="214"/>
  <c r="Z12" i="214"/>
  <c r="X12" i="214"/>
  <c r="Q12" i="214"/>
  <c r="P12" i="214"/>
  <c r="H12" i="214"/>
  <c r="E12" i="214"/>
  <c r="M79" i="213"/>
  <c r="P71" i="213"/>
  <c r="H71" i="213"/>
  <c r="Q70" i="213"/>
  <c r="P70" i="213"/>
  <c r="H70" i="213"/>
  <c r="E70" i="213"/>
  <c r="Q69" i="213"/>
  <c r="P69" i="213"/>
  <c r="H69" i="213"/>
  <c r="E69" i="213"/>
  <c r="AD68" i="213"/>
  <c r="AC68" i="213"/>
  <c r="AB68" i="213"/>
  <c r="Z68" i="213"/>
  <c r="X68" i="213"/>
  <c r="Q68" i="213"/>
  <c r="P68" i="213"/>
  <c r="H68" i="213"/>
  <c r="E68" i="213"/>
  <c r="AD67" i="213"/>
  <c r="AC67" i="213"/>
  <c r="AB67" i="213"/>
  <c r="Z67" i="213"/>
  <c r="X67" i="213"/>
  <c r="Q67" i="213"/>
  <c r="P67" i="213"/>
  <c r="H67" i="213"/>
  <c r="E67" i="213"/>
  <c r="AD66" i="213"/>
  <c r="AC66" i="213"/>
  <c r="AB66" i="213"/>
  <c r="Z66" i="213"/>
  <c r="X66" i="213"/>
  <c r="Q66" i="213"/>
  <c r="P66" i="213"/>
  <c r="H66" i="213"/>
  <c r="E66" i="213"/>
  <c r="AD65" i="213"/>
  <c r="AC65" i="213"/>
  <c r="AB65" i="213"/>
  <c r="Z65" i="213"/>
  <c r="X65" i="213"/>
  <c r="Q65" i="213"/>
  <c r="P65" i="213"/>
  <c r="H65" i="213"/>
  <c r="E65" i="213"/>
  <c r="AD64" i="213"/>
  <c r="AC64" i="213"/>
  <c r="AB64" i="213"/>
  <c r="Z64" i="213"/>
  <c r="X64" i="213"/>
  <c r="Q64" i="213"/>
  <c r="P64" i="213"/>
  <c r="H64" i="213"/>
  <c r="E64" i="213"/>
  <c r="AD63" i="213"/>
  <c r="AC63" i="213"/>
  <c r="AB63" i="213"/>
  <c r="Z63" i="213"/>
  <c r="X63" i="213"/>
  <c r="Q63" i="213"/>
  <c r="P63" i="213"/>
  <c r="H63" i="213"/>
  <c r="E63" i="213"/>
  <c r="AD62" i="213"/>
  <c r="AC62" i="213"/>
  <c r="AB62" i="213"/>
  <c r="Z62" i="213"/>
  <c r="X62" i="213"/>
  <c r="Q62" i="213"/>
  <c r="P62" i="213"/>
  <c r="H62" i="213"/>
  <c r="E62" i="213"/>
  <c r="AC61" i="213"/>
  <c r="AB61" i="213"/>
  <c r="X61" i="213"/>
  <c r="Q61" i="213"/>
  <c r="P61" i="213"/>
  <c r="H61" i="213"/>
  <c r="E61" i="213"/>
  <c r="AE60" i="213"/>
  <c r="X60" i="213"/>
  <c r="Q60" i="213"/>
  <c r="P60" i="213"/>
  <c r="H60" i="213"/>
  <c r="E60" i="213"/>
  <c r="AC59" i="213"/>
  <c r="AB59" i="213"/>
  <c r="X59" i="213"/>
  <c r="Q59" i="213"/>
  <c r="P59" i="213"/>
  <c r="H59" i="213"/>
  <c r="E59" i="213"/>
  <c r="AC58" i="213"/>
  <c r="AB58" i="213"/>
  <c r="X58" i="213"/>
  <c r="Q58" i="213"/>
  <c r="P58" i="213"/>
  <c r="E58" i="213"/>
  <c r="AC57" i="213"/>
  <c r="AB57" i="213"/>
  <c r="X57" i="213"/>
  <c r="Q57" i="213"/>
  <c r="P57" i="213"/>
  <c r="H57" i="213"/>
  <c r="E57" i="213"/>
  <c r="AD56" i="213"/>
  <c r="AC56" i="213"/>
  <c r="AB56" i="213"/>
  <c r="Z56" i="213"/>
  <c r="X56" i="213"/>
  <c r="Q56" i="213"/>
  <c r="P56" i="213"/>
  <c r="H56" i="213"/>
  <c r="E56" i="213"/>
  <c r="AD55" i="213"/>
  <c r="AC55" i="213"/>
  <c r="AB55" i="213"/>
  <c r="Z55" i="213"/>
  <c r="X55" i="213"/>
  <c r="Q55" i="213"/>
  <c r="P55" i="213"/>
  <c r="H55" i="213"/>
  <c r="E55" i="213"/>
  <c r="AD54" i="213"/>
  <c r="AC54" i="213"/>
  <c r="AB54" i="213"/>
  <c r="Z54" i="213"/>
  <c r="X54" i="213"/>
  <c r="Q54" i="213"/>
  <c r="P54" i="213"/>
  <c r="H54" i="213"/>
  <c r="E54" i="213"/>
  <c r="AD53" i="213"/>
  <c r="AC53" i="213"/>
  <c r="AB53" i="213"/>
  <c r="Z53" i="213"/>
  <c r="X53" i="213"/>
  <c r="Q53" i="213"/>
  <c r="P53" i="213"/>
  <c r="H53" i="213"/>
  <c r="E53" i="213"/>
  <c r="AE52" i="213"/>
  <c r="Z52" i="213"/>
  <c r="X52" i="213"/>
  <c r="Q52" i="213"/>
  <c r="P52" i="213"/>
  <c r="H52" i="213"/>
  <c r="E52" i="213"/>
  <c r="AD51" i="213"/>
  <c r="AC51" i="213"/>
  <c r="AB51" i="213"/>
  <c r="Z51" i="213"/>
  <c r="X51" i="213"/>
  <c r="Q51" i="213"/>
  <c r="P51" i="213"/>
  <c r="H51" i="213"/>
  <c r="E51" i="213"/>
  <c r="AD50" i="213"/>
  <c r="AC50" i="213"/>
  <c r="AB50" i="213"/>
  <c r="Z50" i="213"/>
  <c r="X50" i="213"/>
  <c r="Q50" i="213"/>
  <c r="P50" i="213"/>
  <c r="H50" i="213"/>
  <c r="E50" i="213"/>
  <c r="AE49" i="213"/>
  <c r="Z49" i="213"/>
  <c r="X49" i="213"/>
  <c r="Q49" i="213"/>
  <c r="P49" i="213"/>
  <c r="H49" i="213"/>
  <c r="E49" i="213"/>
  <c r="AE48" i="213"/>
  <c r="Z48" i="213"/>
  <c r="X48" i="213"/>
  <c r="Q48" i="213"/>
  <c r="P48" i="213"/>
  <c r="H48" i="213"/>
  <c r="E48" i="213"/>
  <c r="AE47" i="213"/>
  <c r="Z47" i="213"/>
  <c r="X47" i="213"/>
  <c r="Q47" i="213"/>
  <c r="P47" i="213"/>
  <c r="H47" i="213"/>
  <c r="E47" i="213"/>
  <c r="AD46" i="213"/>
  <c r="AC46" i="213"/>
  <c r="AB46" i="213"/>
  <c r="Z46" i="213"/>
  <c r="X46" i="213"/>
  <c r="Q46" i="213"/>
  <c r="P46" i="213"/>
  <c r="H46" i="213"/>
  <c r="E46" i="213"/>
  <c r="AD45" i="213"/>
  <c r="AC45" i="213"/>
  <c r="AB45" i="213"/>
  <c r="Z45" i="213"/>
  <c r="X45" i="213"/>
  <c r="Q45" i="213"/>
  <c r="P45" i="213"/>
  <c r="H45" i="213"/>
  <c r="E45" i="213"/>
  <c r="AD44" i="213"/>
  <c r="AC44" i="213"/>
  <c r="AB44" i="213"/>
  <c r="Z44" i="213"/>
  <c r="X44" i="213"/>
  <c r="Q44" i="213"/>
  <c r="P44" i="213"/>
  <c r="H44" i="213"/>
  <c r="E44" i="213"/>
  <c r="AD43" i="213"/>
  <c r="AC43" i="213"/>
  <c r="AB43" i="213"/>
  <c r="Z43" i="213"/>
  <c r="X43" i="213"/>
  <c r="Q43" i="213"/>
  <c r="P43" i="213"/>
  <c r="H43" i="213"/>
  <c r="E43" i="213"/>
  <c r="AD42" i="213"/>
  <c r="AC42" i="213"/>
  <c r="AB42" i="213"/>
  <c r="Z42" i="213"/>
  <c r="X42" i="213"/>
  <c r="Q42" i="213"/>
  <c r="P42" i="213"/>
  <c r="H42" i="213"/>
  <c r="E42" i="213"/>
  <c r="AD41" i="213"/>
  <c r="AC41" i="213"/>
  <c r="AB41" i="213"/>
  <c r="Z41" i="213"/>
  <c r="X41" i="213"/>
  <c r="Q41" i="213"/>
  <c r="P41" i="213"/>
  <c r="H41" i="213"/>
  <c r="E41" i="213"/>
  <c r="AD40" i="213"/>
  <c r="AC40" i="213"/>
  <c r="AB40" i="213"/>
  <c r="Z40" i="213"/>
  <c r="X40" i="213"/>
  <c r="Q40" i="213"/>
  <c r="P40" i="213"/>
  <c r="H40" i="213"/>
  <c r="E40" i="213"/>
  <c r="AD39" i="213"/>
  <c r="AC39" i="213"/>
  <c r="AB39" i="213"/>
  <c r="Z39" i="213"/>
  <c r="X39" i="213"/>
  <c r="Q39" i="213"/>
  <c r="P39" i="213"/>
  <c r="H39" i="213"/>
  <c r="E39" i="213"/>
  <c r="AD38" i="213"/>
  <c r="AC38" i="213"/>
  <c r="AB38" i="213"/>
  <c r="Z38" i="213"/>
  <c r="X38" i="213"/>
  <c r="Q38" i="213"/>
  <c r="P38" i="213"/>
  <c r="H38" i="213"/>
  <c r="E38" i="213"/>
  <c r="AD37" i="213"/>
  <c r="AC37" i="213"/>
  <c r="AB37" i="213"/>
  <c r="Z37" i="213"/>
  <c r="X37" i="213"/>
  <c r="Q37" i="213"/>
  <c r="P37" i="213"/>
  <c r="I37" i="213"/>
  <c r="H37" i="213"/>
  <c r="E37" i="213"/>
  <c r="AD36" i="213"/>
  <c r="AC36" i="213"/>
  <c r="AB36" i="213"/>
  <c r="Z36" i="213"/>
  <c r="X36" i="213"/>
  <c r="Q36" i="213"/>
  <c r="P36" i="213"/>
  <c r="H36" i="213"/>
  <c r="E36" i="213"/>
  <c r="AD35" i="213"/>
  <c r="AC35" i="213"/>
  <c r="AB35" i="213"/>
  <c r="Z35" i="213"/>
  <c r="X35" i="213"/>
  <c r="Q35" i="213"/>
  <c r="P35" i="213"/>
  <c r="H35" i="213"/>
  <c r="E35" i="213"/>
  <c r="AD34" i="213"/>
  <c r="AC34" i="213"/>
  <c r="AB34" i="213"/>
  <c r="Z34" i="213"/>
  <c r="X34" i="213"/>
  <c r="Q34" i="213"/>
  <c r="P34" i="213"/>
  <c r="H34" i="213"/>
  <c r="E34" i="213"/>
  <c r="AD33" i="213"/>
  <c r="AC33" i="213"/>
  <c r="AB33" i="213"/>
  <c r="Z33" i="213"/>
  <c r="X33" i="213"/>
  <c r="Q33" i="213"/>
  <c r="P33" i="213"/>
  <c r="H33" i="213"/>
  <c r="E33" i="213"/>
  <c r="AD32" i="213"/>
  <c r="AC32" i="213"/>
  <c r="AB32" i="213"/>
  <c r="Z32" i="213"/>
  <c r="X32" i="213"/>
  <c r="Q32" i="213"/>
  <c r="P32" i="213"/>
  <c r="H32" i="213"/>
  <c r="E32" i="213"/>
  <c r="AE31" i="213"/>
  <c r="Z31" i="213"/>
  <c r="X31" i="213"/>
  <c r="Q31" i="213"/>
  <c r="P31" i="213"/>
  <c r="H31" i="213"/>
  <c r="E31" i="213"/>
  <c r="AD30" i="213"/>
  <c r="AC30" i="213"/>
  <c r="AB30" i="213"/>
  <c r="Z30" i="213"/>
  <c r="X30" i="213"/>
  <c r="Q30" i="213"/>
  <c r="P30" i="213"/>
  <c r="H30" i="213"/>
  <c r="E30" i="213"/>
  <c r="AD29" i="213"/>
  <c r="AC29" i="213"/>
  <c r="AB29" i="213"/>
  <c r="Z29" i="213"/>
  <c r="X29" i="213"/>
  <c r="Q29" i="213"/>
  <c r="P29" i="213"/>
  <c r="H29" i="213"/>
  <c r="E29" i="213"/>
  <c r="AD28" i="213"/>
  <c r="AC28" i="213"/>
  <c r="AB28" i="213"/>
  <c r="Z28" i="213"/>
  <c r="X28" i="213"/>
  <c r="Q28" i="213"/>
  <c r="P28" i="213"/>
  <c r="H28" i="213"/>
  <c r="E28" i="213"/>
  <c r="AD27" i="213"/>
  <c r="AC27" i="213"/>
  <c r="AB27" i="213"/>
  <c r="Z27" i="213"/>
  <c r="X27" i="213"/>
  <c r="Q27" i="213"/>
  <c r="P27" i="213"/>
  <c r="H27" i="213"/>
  <c r="E27" i="213"/>
  <c r="AD26" i="213"/>
  <c r="AC26" i="213"/>
  <c r="AB26" i="213"/>
  <c r="Z26" i="213"/>
  <c r="X26" i="213"/>
  <c r="Q26" i="213"/>
  <c r="P26" i="213"/>
  <c r="H26" i="213"/>
  <c r="E26" i="213"/>
  <c r="AD25" i="213"/>
  <c r="AC25" i="213"/>
  <c r="AB25" i="213"/>
  <c r="Z25" i="213"/>
  <c r="X25" i="213"/>
  <c r="Q25" i="213"/>
  <c r="P25" i="213"/>
  <c r="H25" i="213"/>
  <c r="E25" i="213"/>
  <c r="AD24" i="213"/>
  <c r="AC24" i="213"/>
  <c r="AB24" i="213"/>
  <c r="Z24" i="213"/>
  <c r="X24" i="213"/>
  <c r="Q24" i="213"/>
  <c r="P24" i="213"/>
  <c r="H24" i="213"/>
  <c r="E24" i="213"/>
  <c r="AD23" i="213"/>
  <c r="AC23" i="213"/>
  <c r="AB23" i="213"/>
  <c r="Z23" i="213"/>
  <c r="X23" i="213"/>
  <c r="Q23" i="213"/>
  <c r="P23" i="213"/>
  <c r="H23" i="213"/>
  <c r="E23" i="213"/>
  <c r="AD22" i="213"/>
  <c r="AC22" i="213"/>
  <c r="AB22" i="213"/>
  <c r="Z22" i="213"/>
  <c r="X22" i="213"/>
  <c r="Q22" i="213"/>
  <c r="P22" i="213"/>
  <c r="H22" i="213"/>
  <c r="E22" i="213"/>
  <c r="AD21" i="213"/>
  <c r="AC21" i="213"/>
  <c r="AB21" i="213"/>
  <c r="Z21" i="213"/>
  <c r="X21" i="213"/>
  <c r="Q21" i="213"/>
  <c r="P21" i="213"/>
  <c r="H21" i="213"/>
  <c r="E21" i="213"/>
  <c r="AD20" i="213"/>
  <c r="AC20" i="213"/>
  <c r="AB20" i="213"/>
  <c r="Z20" i="213"/>
  <c r="X20" i="213"/>
  <c r="Q20" i="213"/>
  <c r="P20" i="213"/>
  <c r="H20" i="213"/>
  <c r="E20" i="213"/>
  <c r="AD19" i="213"/>
  <c r="AC19" i="213"/>
  <c r="AB19" i="213"/>
  <c r="Z19" i="213"/>
  <c r="X19" i="213"/>
  <c r="Q19" i="213"/>
  <c r="P19" i="213"/>
  <c r="H19" i="213"/>
  <c r="E19" i="213"/>
  <c r="AD18" i="213"/>
  <c r="AC18" i="213"/>
  <c r="AB18" i="213"/>
  <c r="Z18" i="213"/>
  <c r="X18" i="213"/>
  <c r="Q18" i="213"/>
  <c r="P18" i="213"/>
  <c r="H18" i="213"/>
  <c r="E18" i="213"/>
  <c r="AD17" i="213"/>
  <c r="AC17" i="213"/>
  <c r="AB17" i="213"/>
  <c r="Z17" i="213"/>
  <c r="X17" i="213"/>
  <c r="Q17" i="213"/>
  <c r="P17" i="213"/>
  <c r="H17" i="213"/>
  <c r="E17" i="213"/>
  <c r="AD16" i="213"/>
  <c r="AC16" i="213"/>
  <c r="AB16" i="213"/>
  <c r="Z16" i="213"/>
  <c r="X16" i="213"/>
  <c r="Q16" i="213"/>
  <c r="P16" i="213"/>
  <c r="E16" i="213"/>
  <c r="AD15" i="213"/>
  <c r="AC15" i="213"/>
  <c r="AB15" i="213"/>
  <c r="Z15" i="213"/>
  <c r="X15" i="213"/>
  <c r="Q15" i="213"/>
  <c r="P15" i="213"/>
  <c r="E15" i="213"/>
  <c r="AD14" i="213"/>
  <c r="AC14" i="213"/>
  <c r="AB14" i="213"/>
  <c r="Z14" i="213"/>
  <c r="X14" i="213"/>
  <c r="Q14" i="213"/>
  <c r="P14" i="213"/>
  <c r="H14" i="213"/>
  <c r="E14" i="213"/>
  <c r="AD13" i="213"/>
  <c r="AC13" i="213"/>
  <c r="AB13" i="213"/>
  <c r="Z13" i="213"/>
  <c r="X13" i="213"/>
  <c r="Q13" i="213"/>
  <c r="P13" i="213"/>
  <c r="H13" i="213"/>
  <c r="E13" i="213"/>
  <c r="AD12" i="213"/>
  <c r="AC12" i="213"/>
  <c r="AB12" i="213"/>
  <c r="Z12" i="213"/>
  <c r="X12" i="213"/>
  <c r="Q12" i="213"/>
  <c r="P12" i="213"/>
  <c r="H12" i="213"/>
  <c r="E12" i="213"/>
  <c r="M79" i="212"/>
  <c r="P71" i="212"/>
  <c r="H71" i="212"/>
  <c r="Q70" i="212"/>
  <c r="P70" i="212"/>
  <c r="H70" i="212"/>
  <c r="E70" i="212"/>
  <c r="Q69" i="212"/>
  <c r="P69" i="212"/>
  <c r="H69" i="212"/>
  <c r="E69" i="212"/>
  <c r="AD68" i="212"/>
  <c r="AC68" i="212"/>
  <c r="AB68" i="212"/>
  <c r="Z68" i="212"/>
  <c r="X68" i="212"/>
  <c r="Q68" i="212"/>
  <c r="P68" i="212"/>
  <c r="H68" i="212"/>
  <c r="E68" i="212"/>
  <c r="AD67" i="212"/>
  <c r="AC67" i="212"/>
  <c r="AB67" i="212"/>
  <c r="Z67" i="212"/>
  <c r="X67" i="212"/>
  <c r="Q67" i="212"/>
  <c r="P67" i="212"/>
  <c r="H67" i="212"/>
  <c r="E67" i="212"/>
  <c r="AD66" i="212"/>
  <c r="AC66" i="212"/>
  <c r="AB66" i="212"/>
  <c r="Z66" i="212"/>
  <c r="X66" i="212"/>
  <c r="Q66" i="212"/>
  <c r="P66" i="212"/>
  <c r="H66" i="212"/>
  <c r="E66" i="212"/>
  <c r="AD65" i="212"/>
  <c r="AC65" i="212"/>
  <c r="AB65" i="212"/>
  <c r="Z65" i="212"/>
  <c r="X65" i="212"/>
  <c r="Q65" i="212"/>
  <c r="P65" i="212"/>
  <c r="H65" i="212"/>
  <c r="E65" i="212"/>
  <c r="AD64" i="212"/>
  <c r="AC64" i="212"/>
  <c r="AB64" i="212"/>
  <c r="Z64" i="212"/>
  <c r="X64" i="212"/>
  <c r="Q64" i="212"/>
  <c r="P64" i="212"/>
  <c r="H64" i="212"/>
  <c r="E64" i="212"/>
  <c r="AD63" i="212"/>
  <c r="AC63" i="212"/>
  <c r="AB63" i="212"/>
  <c r="Z63" i="212"/>
  <c r="X63" i="212"/>
  <c r="Q63" i="212"/>
  <c r="P63" i="212"/>
  <c r="H63" i="212"/>
  <c r="E63" i="212"/>
  <c r="AD62" i="212"/>
  <c r="AC62" i="212"/>
  <c r="AB62" i="212"/>
  <c r="Z62" i="212"/>
  <c r="X62" i="212"/>
  <c r="Q62" i="212"/>
  <c r="P62" i="212"/>
  <c r="H62" i="212"/>
  <c r="E62" i="212"/>
  <c r="AC61" i="212"/>
  <c r="AB61" i="212"/>
  <c r="X61" i="212"/>
  <c r="Q61" i="212"/>
  <c r="P61" i="212"/>
  <c r="H61" i="212"/>
  <c r="E61" i="212"/>
  <c r="AE60" i="212"/>
  <c r="X60" i="212"/>
  <c r="Q60" i="212"/>
  <c r="P60" i="212"/>
  <c r="H60" i="212"/>
  <c r="E60" i="212"/>
  <c r="AC59" i="212"/>
  <c r="AB59" i="212"/>
  <c r="X59" i="212"/>
  <c r="Q59" i="212"/>
  <c r="P59" i="212"/>
  <c r="H59" i="212"/>
  <c r="E59" i="212"/>
  <c r="AC58" i="212"/>
  <c r="AB58" i="212"/>
  <c r="X58" i="212"/>
  <c r="Q58" i="212"/>
  <c r="P58" i="212"/>
  <c r="E58" i="212"/>
  <c r="AC57" i="212"/>
  <c r="AB57" i="212"/>
  <c r="X57" i="212"/>
  <c r="Q57" i="212"/>
  <c r="P57" i="212"/>
  <c r="H57" i="212"/>
  <c r="E57" i="212"/>
  <c r="AD56" i="212"/>
  <c r="AC56" i="212"/>
  <c r="AB56" i="212"/>
  <c r="Z56" i="212"/>
  <c r="X56" i="212"/>
  <c r="Q56" i="212"/>
  <c r="P56" i="212"/>
  <c r="H56" i="212"/>
  <c r="E56" i="212"/>
  <c r="AD55" i="212"/>
  <c r="AC55" i="212"/>
  <c r="AB55" i="212"/>
  <c r="Z55" i="212"/>
  <c r="X55" i="212"/>
  <c r="Q55" i="212"/>
  <c r="P55" i="212"/>
  <c r="H55" i="212"/>
  <c r="E55" i="212"/>
  <c r="AD54" i="212"/>
  <c r="AC54" i="212"/>
  <c r="AB54" i="212"/>
  <c r="Z54" i="212"/>
  <c r="X54" i="212"/>
  <c r="Q54" i="212"/>
  <c r="P54" i="212"/>
  <c r="H54" i="212"/>
  <c r="E54" i="212"/>
  <c r="AD53" i="212"/>
  <c r="AC53" i="212"/>
  <c r="AB53" i="212"/>
  <c r="Z53" i="212"/>
  <c r="X53" i="212"/>
  <c r="Q53" i="212"/>
  <c r="P53" i="212"/>
  <c r="H53" i="212"/>
  <c r="E53" i="212"/>
  <c r="AE52" i="212"/>
  <c r="Z52" i="212"/>
  <c r="X52" i="212"/>
  <c r="Q52" i="212"/>
  <c r="P52" i="212"/>
  <c r="H52" i="212"/>
  <c r="E52" i="212"/>
  <c r="AD51" i="212"/>
  <c r="AC51" i="212"/>
  <c r="AB51" i="212"/>
  <c r="Z51" i="212"/>
  <c r="X51" i="212"/>
  <c r="Q51" i="212"/>
  <c r="P51" i="212"/>
  <c r="H51" i="212"/>
  <c r="E51" i="212"/>
  <c r="AD50" i="212"/>
  <c r="AC50" i="212"/>
  <c r="AB50" i="212"/>
  <c r="Z50" i="212"/>
  <c r="X50" i="212"/>
  <c r="Q50" i="212"/>
  <c r="P50" i="212"/>
  <c r="H50" i="212"/>
  <c r="E50" i="212"/>
  <c r="AE49" i="212"/>
  <c r="Z49" i="212"/>
  <c r="X49" i="212"/>
  <c r="Q49" i="212"/>
  <c r="P49" i="212"/>
  <c r="H49" i="212"/>
  <c r="E49" i="212"/>
  <c r="AE48" i="212"/>
  <c r="Z48" i="212"/>
  <c r="X48" i="212"/>
  <c r="Q48" i="212"/>
  <c r="P48" i="212"/>
  <c r="H48" i="212"/>
  <c r="E48" i="212"/>
  <c r="AE47" i="212"/>
  <c r="Z47" i="212"/>
  <c r="X47" i="212"/>
  <c r="Q47" i="212"/>
  <c r="P47" i="212"/>
  <c r="H47" i="212"/>
  <c r="E47" i="212"/>
  <c r="AD46" i="212"/>
  <c r="AC46" i="212"/>
  <c r="AB46" i="212"/>
  <c r="Z46" i="212"/>
  <c r="X46" i="212"/>
  <c r="Q46" i="212"/>
  <c r="P46" i="212"/>
  <c r="H46" i="212"/>
  <c r="E46" i="212"/>
  <c r="AD45" i="212"/>
  <c r="AC45" i="212"/>
  <c r="AB45" i="212"/>
  <c r="Z45" i="212"/>
  <c r="X45" i="212"/>
  <c r="Q45" i="212"/>
  <c r="P45" i="212"/>
  <c r="H45" i="212"/>
  <c r="E45" i="212"/>
  <c r="AD44" i="212"/>
  <c r="AC44" i="212"/>
  <c r="AB44" i="212"/>
  <c r="Z44" i="212"/>
  <c r="X44" i="212"/>
  <c r="Q44" i="212"/>
  <c r="P44" i="212"/>
  <c r="H44" i="212"/>
  <c r="E44" i="212"/>
  <c r="AD43" i="212"/>
  <c r="AC43" i="212"/>
  <c r="AB43" i="212"/>
  <c r="Z43" i="212"/>
  <c r="X43" i="212"/>
  <c r="Q43" i="212"/>
  <c r="P43" i="212"/>
  <c r="H43" i="212"/>
  <c r="E43" i="212"/>
  <c r="AD42" i="212"/>
  <c r="AC42" i="212"/>
  <c r="AB42" i="212"/>
  <c r="Z42" i="212"/>
  <c r="X42" i="212"/>
  <c r="Q42" i="212"/>
  <c r="P42" i="212"/>
  <c r="H42" i="212"/>
  <c r="E42" i="212"/>
  <c r="AD41" i="212"/>
  <c r="AC41" i="212"/>
  <c r="AB41" i="212"/>
  <c r="Z41" i="212"/>
  <c r="X41" i="212"/>
  <c r="Q41" i="212"/>
  <c r="P41" i="212"/>
  <c r="H41" i="212"/>
  <c r="E41" i="212"/>
  <c r="AD40" i="212"/>
  <c r="AC40" i="212"/>
  <c r="AB40" i="212"/>
  <c r="Z40" i="212"/>
  <c r="X40" i="212"/>
  <c r="Q40" i="212"/>
  <c r="P40" i="212"/>
  <c r="H40" i="212"/>
  <c r="E40" i="212"/>
  <c r="AD39" i="212"/>
  <c r="AC39" i="212"/>
  <c r="AB39" i="212"/>
  <c r="Z39" i="212"/>
  <c r="X39" i="212"/>
  <c r="Q39" i="212"/>
  <c r="P39" i="212"/>
  <c r="H39" i="212"/>
  <c r="E39" i="212"/>
  <c r="AD38" i="212"/>
  <c r="AC38" i="212"/>
  <c r="AB38" i="212"/>
  <c r="Z38" i="212"/>
  <c r="X38" i="212"/>
  <c r="Q38" i="212"/>
  <c r="P38" i="212"/>
  <c r="H38" i="212"/>
  <c r="E38" i="212"/>
  <c r="AD37" i="212"/>
  <c r="AC37" i="212"/>
  <c r="AB37" i="212"/>
  <c r="Z37" i="212"/>
  <c r="X37" i="212"/>
  <c r="Q37" i="212"/>
  <c r="P37" i="212"/>
  <c r="H37" i="212"/>
  <c r="E37" i="212"/>
  <c r="AD36" i="212"/>
  <c r="AC36" i="212"/>
  <c r="AB36" i="212"/>
  <c r="Z36" i="212"/>
  <c r="X36" i="212"/>
  <c r="Q36" i="212"/>
  <c r="P36" i="212"/>
  <c r="H36" i="212"/>
  <c r="E36" i="212"/>
  <c r="AD35" i="212"/>
  <c r="AC35" i="212"/>
  <c r="AB35" i="212"/>
  <c r="Z35" i="212"/>
  <c r="X35" i="212"/>
  <c r="Q35" i="212"/>
  <c r="P35" i="212"/>
  <c r="H35" i="212"/>
  <c r="E35" i="212"/>
  <c r="AD34" i="212"/>
  <c r="AC34" i="212"/>
  <c r="AB34" i="212"/>
  <c r="Z34" i="212"/>
  <c r="X34" i="212"/>
  <c r="Q34" i="212"/>
  <c r="P34" i="212"/>
  <c r="H34" i="212"/>
  <c r="E34" i="212"/>
  <c r="AD33" i="212"/>
  <c r="AC33" i="212"/>
  <c r="AB33" i="212"/>
  <c r="Z33" i="212"/>
  <c r="X33" i="212"/>
  <c r="Q33" i="212"/>
  <c r="P33" i="212"/>
  <c r="H33" i="212"/>
  <c r="E33" i="212"/>
  <c r="AD32" i="212"/>
  <c r="AC32" i="212"/>
  <c r="AB32" i="212"/>
  <c r="Z32" i="212"/>
  <c r="X32" i="212"/>
  <c r="Q32" i="212"/>
  <c r="P32" i="212"/>
  <c r="H32" i="212"/>
  <c r="E32" i="212"/>
  <c r="AE31" i="212"/>
  <c r="Z31" i="212"/>
  <c r="X31" i="212"/>
  <c r="Q31" i="212"/>
  <c r="P31" i="212"/>
  <c r="H31" i="212"/>
  <c r="E31" i="212"/>
  <c r="AD30" i="212"/>
  <c r="AC30" i="212"/>
  <c r="AB30" i="212"/>
  <c r="Z30" i="212"/>
  <c r="X30" i="212"/>
  <c r="Q30" i="212"/>
  <c r="P30" i="212"/>
  <c r="H30" i="212"/>
  <c r="E30" i="212"/>
  <c r="AD29" i="212"/>
  <c r="AC29" i="212"/>
  <c r="AB29" i="212"/>
  <c r="Z29" i="212"/>
  <c r="X29" i="212"/>
  <c r="Q29" i="212"/>
  <c r="P29" i="212"/>
  <c r="H29" i="212"/>
  <c r="E29" i="212"/>
  <c r="AD28" i="212"/>
  <c r="AC28" i="212"/>
  <c r="AB28" i="212"/>
  <c r="Z28" i="212"/>
  <c r="X28" i="212"/>
  <c r="Q28" i="212"/>
  <c r="P28" i="212"/>
  <c r="H28" i="212"/>
  <c r="E28" i="212"/>
  <c r="AD27" i="212"/>
  <c r="AC27" i="212"/>
  <c r="AB27" i="212"/>
  <c r="Z27" i="212"/>
  <c r="X27" i="212"/>
  <c r="Q27" i="212"/>
  <c r="P27" i="212"/>
  <c r="H27" i="212"/>
  <c r="E27" i="212"/>
  <c r="AD26" i="212"/>
  <c r="AC26" i="212"/>
  <c r="AB26" i="212"/>
  <c r="Z26" i="212"/>
  <c r="X26" i="212"/>
  <c r="Q26" i="212"/>
  <c r="P26" i="212"/>
  <c r="H26" i="212"/>
  <c r="E26" i="212"/>
  <c r="AD25" i="212"/>
  <c r="AC25" i="212"/>
  <c r="AB25" i="212"/>
  <c r="Z25" i="212"/>
  <c r="X25" i="212"/>
  <c r="Q25" i="212"/>
  <c r="P25" i="212"/>
  <c r="H25" i="212"/>
  <c r="E25" i="212"/>
  <c r="AD24" i="212"/>
  <c r="AC24" i="212"/>
  <c r="AB24" i="212"/>
  <c r="Z24" i="212"/>
  <c r="X24" i="212"/>
  <c r="Q24" i="212"/>
  <c r="P24" i="212"/>
  <c r="H24" i="212"/>
  <c r="E24" i="212"/>
  <c r="AD23" i="212"/>
  <c r="AC23" i="212"/>
  <c r="AB23" i="212"/>
  <c r="Z23" i="212"/>
  <c r="X23" i="212"/>
  <c r="Q23" i="212"/>
  <c r="P23" i="212"/>
  <c r="H23" i="212"/>
  <c r="E23" i="212"/>
  <c r="AD22" i="212"/>
  <c r="AC22" i="212"/>
  <c r="AB22" i="212"/>
  <c r="Z22" i="212"/>
  <c r="X22" i="212"/>
  <c r="Q22" i="212"/>
  <c r="P22" i="212"/>
  <c r="H22" i="212"/>
  <c r="E22" i="212"/>
  <c r="AD21" i="212"/>
  <c r="AC21" i="212"/>
  <c r="AB21" i="212"/>
  <c r="Z21" i="212"/>
  <c r="X21" i="212"/>
  <c r="Q21" i="212"/>
  <c r="P21" i="212"/>
  <c r="H21" i="212"/>
  <c r="E21" i="212"/>
  <c r="AD20" i="212"/>
  <c r="AC20" i="212"/>
  <c r="AB20" i="212"/>
  <c r="Z20" i="212"/>
  <c r="X20" i="212"/>
  <c r="Q20" i="212"/>
  <c r="P20" i="212"/>
  <c r="H20" i="212"/>
  <c r="E20" i="212"/>
  <c r="AD19" i="212"/>
  <c r="AC19" i="212"/>
  <c r="AB19" i="212"/>
  <c r="Z19" i="212"/>
  <c r="X19" i="212"/>
  <c r="Q19" i="212"/>
  <c r="P19" i="212"/>
  <c r="H19" i="212"/>
  <c r="E19" i="212"/>
  <c r="AD18" i="212"/>
  <c r="AC18" i="212"/>
  <c r="AB18" i="212"/>
  <c r="Z18" i="212"/>
  <c r="X18" i="212"/>
  <c r="Q18" i="212"/>
  <c r="P18" i="212"/>
  <c r="H18" i="212"/>
  <c r="E18" i="212"/>
  <c r="AD17" i="212"/>
  <c r="AC17" i="212"/>
  <c r="AB17" i="212"/>
  <c r="Z17" i="212"/>
  <c r="X17" i="212"/>
  <c r="Q17" i="212"/>
  <c r="P17" i="212"/>
  <c r="H17" i="212"/>
  <c r="E17" i="212"/>
  <c r="AD16" i="212"/>
  <c r="AC16" i="212"/>
  <c r="AB16" i="212"/>
  <c r="Z16" i="212"/>
  <c r="X16" i="212"/>
  <c r="Q16" i="212"/>
  <c r="P16" i="212"/>
  <c r="E16" i="212"/>
  <c r="AD15" i="212"/>
  <c r="AC15" i="212"/>
  <c r="AB15" i="212"/>
  <c r="Z15" i="212"/>
  <c r="X15" i="212"/>
  <c r="Q15" i="212"/>
  <c r="P15" i="212"/>
  <c r="E15" i="212"/>
  <c r="AD14" i="212"/>
  <c r="AC14" i="212"/>
  <c r="AB14" i="212"/>
  <c r="Z14" i="212"/>
  <c r="X14" i="212"/>
  <c r="Q14" i="212"/>
  <c r="P14" i="212"/>
  <c r="H14" i="212"/>
  <c r="E14" i="212"/>
  <c r="AD13" i="212"/>
  <c r="AC13" i="212"/>
  <c r="AB13" i="212"/>
  <c r="Z13" i="212"/>
  <c r="X13" i="212"/>
  <c r="Q13" i="212"/>
  <c r="P13" i="212"/>
  <c r="H13" i="212"/>
  <c r="E13" i="212"/>
  <c r="AD12" i="212"/>
  <c r="AC12" i="212"/>
  <c r="AB12" i="212"/>
  <c r="Z12" i="212"/>
  <c r="X12" i="212"/>
  <c r="Q12" i="212"/>
  <c r="P12" i="212"/>
  <c r="H12" i="212"/>
  <c r="E12" i="212"/>
  <c r="M79" i="211"/>
  <c r="P71" i="211"/>
  <c r="H71" i="211"/>
  <c r="Q70" i="211"/>
  <c r="P70" i="211"/>
  <c r="H70" i="211"/>
  <c r="E70" i="211"/>
  <c r="Q69" i="211"/>
  <c r="P69" i="211"/>
  <c r="I69" i="211"/>
  <c r="H69" i="211"/>
  <c r="E69" i="211"/>
  <c r="AD68" i="211"/>
  <c r="AC68" i="211"/>
  <c r="AB68" i="211"/>
  <c r="Z68" i="211"/>
  <c r="X68" i="211"/>
  <c r="Q68" i="211"/>
  <c r="P68" i="211"/>
  <c r="H68" i="211"/>
  <c r="E68" i="211"/>
  <c r="AD67" i="211"/>
  <c r="AC67" i="211"/>
  <c r="AB67" i="211"/>
  <c r="Z67" i="211"/>
  <c r="X67" i="211"/>
  <c r="Q67" i="211"/>
  <c r="P67" i="211"/>
  <c r="H67" i="211"/>
  <c r="E67" i="211"/>
  <c r="AE66" i="211"/>
  <c r="AD66" i="211"/>
  <c r="AC66" i="211"/>
  <c r="AB66" i="211"/>
  <c r="Z66" i="211"/>
  <c r="X66" i="211"/>
  <c r="Q66" i="211"/>
  <c r="P66" i="211"/>
  <c r="H66" i="211"/>
  <c r="E66" i="211"/>
  <c r="AE65" i="211"/>
  <c r="AD65" i="211"/>
  <c r="AC65" i="211"/>
  <c r="AB65" i="211"/>
  <c r="Z65" i="211"/>
  <c r="X65" i="211"/>
  <c r="Q65" i="211"/>
  <c r="P65" i="211"/>
  <c r="H65" i="211"/>
  <c r="E65" i="211"/>
  <c r="AD64" i="211"/>
  <c r="AC64" i="211"/>
  <c r="AB64" i="211"/>
  <c r="Z64" i="211"/>
  <c r="X64" i="211"/>
  <c r="Q64" i="211"/>
  <c r="P64" i="211"/>
  <c r="H64" i="211"/>
  <c r="E64" i="211"/>
  <c r="AD63" i="211"/>
  <c r="AC63" i="211"/>
  <c r="AB63" i="211"/>
  <c r="Z63" i="211"/>
  <c r="X63" i="211"/>
  <c r="Q63" i="211"/>
  <c r="P63" i="211"/>
  <c r="H63" i="211"/>
  <c r="E63" i="211"/>
  <c r="AD62" i="211"/>
  <c r="AC62" i="211"/>
  <c r="AB62" i="211"/>
  <c r="Z62" i="211"/>
  <c r="X62" i="211"/>
  <c r="Q62" i="211"/>
  <c r="P62" i="211"/>
  <c r="H62" i="211"/>
  <c r="E62" i="211"/>
  <c r="AC61" i="211"/>
  <c r="AB61" i="211"/>
  <c r="X61" i="211"/>
  <c r="Q61" i="211"/>
  <c r="P61" i="211"/>
  <c r="H61" i="211"/>
  <c r="E61" i="211"/>
  <c r="AE60" i="211"/>
  <c r="X60" i="211"/>
  <c r="Q60" i="211"/>
  <c r="P60" i="211"/>
  <c r="H60" i="211"/>
  <c r="E60" i="211"/>
  <c r="AE59" i="211"/>
  <c r="AC59" i="211"/>
  <c r="AB59" i="211"/>
  <c r="X59" i="211"/>
  <c r="Q59" i="211"/>
  <c r="P59" i="211"/>
  <c r="H59" i="211"/>
  <c r="E59" i="211"/>
  <c r="AC58" i="211"/>
  <c r="AB58" i="211"/>
  <c r="X58" i="211"/>
  <c r="Q58" i="211"/>
  <c r="P58" i="211"/>
  <c r="E58" i="211"/>
  <c r="AC57" i="211"/>
  <c r="AB57" i="211"/>
  <c r="X57" i="211"/>
  <c r="Q57" i="211"/>
  <c r="P57" i="211"/>
  <c r="H57" i="211"/>
  <c r="E57" i="211"/>
  <c r="AD56" i="211"/>
  <c r="AC56" i="211"/>
  <c r="AB56" i="211"/>
  <c r="Z56" i="211"/>
  <c r="X56" i="211"/>
  <c r="Q56" i="211"/>
  <c r="P56" i="211"/>
  <c r="H56" i="211"/>
  <c r="E56" i="211"/>
  <c r="AD55" i="211"/>
  <c r="AC55" i="211"/>
  <c r="AB55" i="211"/>
  <c r="Z55" i="211"/>
  <c r="X55" i="211"/>
  <c r="Q55" i="211"/>
  <c r="P55" i="211"/>
  <c r="H55" i="211"/>
  <c r="E55" i="211"/>
  <c r="AD54" i="211"/>
  <c r="AC54" i="211"/>
  <c r="AB54" i="211"/>
  <c r="Z54" i="211"/>
  <c r="X54" i="211"/>
  <c r="Q54" i="211"/>
  <c r="P54" i="211"/>
  <c r="H54" i="211"/>
  <c r="E54" i="211"/>
  <c r="AD53" i="211"/>
  <c r="AC53" i="211"/>
  <c r="AB53" i="211"/>
  <c r="Z53" i="211"/>
  <c r="X53" i="211"/>
  <c r="Q53" i="211"/>
  <c r="P53" i="211"/>
  <c r="H53" i="211"/>
  <c r="E53" i="211"/>
  <c r="AE52" i="211"/>
  <c r="Z52" i="211"/>
  <c r="X52" i="211"/>
  <c r="Q52" i="211"/>
  <c r="P52" i="211"/>
  <c r="H52" i="211"/>
  <c r="E52" i="211"/>
  <c r="AD51" i="211"/>
  <c r="AC51" i="211"/>
  <c r="AB51" i="211"/>
  <c r="Z51" i="211"/>
  <c r="X51" i="211"/>
  <c r="Q51" i="211"/>
  <c r="P51" i="211"/>
  <c r="H51" i="211"/>
  <c r="E51" i="211"/>
  <c r="AD50" i="211"/>
  <c r="AC50" i="211"/>
  <c r="AB50" i="211"/>
  <c r="Z50" i="211"/>
  <c r="X50" i="211"/>
  <c r="Q50" i="211"/>
  <c r="P50" i="211"/>
  <c r="H50" i="211"/>
  <c r="E50" i="211"/>
  <c r="AE49" i="211"/>
  <c r="Z49" i="211"/>
  <c r="X49" i="211"/>
  <c r="Q49" i="211"/>
  <c r="P49" i="211"/>
  <c r="H49" i="211"/>
  <c r="E49" i="211"/>
  <c r="AE48" i="211"/>
  <c r="Z48" i="211"/>
  <c r="X48" i="211"/>
  <c r="Q48" i="211"/>
  <c r="P48" i="211"/>
  <c r="H48" i="211"/>
  <c r="E48" i="211"/>
  <c r="AE47" i="211"/>
  <c r="Z47" i="211"/>
  <c r="X47" i="211"/>
  <c r="Q47" i="211"/>
  <c r="P47" i="211"/>
  <c r="H47" i="211"/>
  <c r="E47" i="211"/>
  <c r="AD46" i="211"/>
  <c r="AC46" i="211"/>
  <c r="AB46" i="211"/>
  <c r="Z46" i="211"/>
  <c r="X46" i="211"/>
  <c r="Q46" i="211"/>
  <c r="P46" i="211"/>
  <c r="H46" i="211"/>
  <c r="E46" i="211"/>
  <c r="AD45" i="211"/>
  <c r="AC45" i="211"/>
  <c r="AB45" i="211"/>
  <c r="Z45" i="211"/>
  <c r="X45" i="211"/>
  <c r="Q45" i="211"/>
  <c r="P45" i="211"/>
  <c r="H45" i="211"/>
  <c r="E45" i="211"/>
  <c r="AD44" i="211"/>
  <c r="AC44" i="211"/>
  <c r="AB44" i="211"/>
  <c r="Z44" i="211"/>
  <c r="X44" i="211"/>
  <c r="Q44" i="211"/>
  <c r="P44" i="211"/>
  <c r="H44" i="211"/>
  <c r="E44" i="211"/>
  <c r="AD43" i="211"/>
  <c r="AC43" i="211"/>
  <c r="AB43" i="211"/>
  <c r="Z43" i="211"/>
  <c r="X43" i="211"/>
  <c r="Q43" i="211"/>
  <c r="P43" i="211"/>
  <c r="H43" i="211"/>
  <c r="E43" i="211"/>
  <c r="AD42" i="211"/>
  <c r="AC42" i="211"/>
  <c r="AB42" i="211"/>
  <c r="Z42" i="211"/>
  <c r="X42" i="211"/>
  <c r="Q42" i="211"/>
  <c r="P42" i="211"/>
  <c r="H42" i="211"/>
  <c r="E42" i="211"/>
  <c r="AD41" i="211"/>
  <c r="AC41" i="211"/>
  <c r="AB41" i="211"/>
  <c r="Z41" i="211"/>
  <c r="X41" i="211"/>
  <c r="Q41" i="211"/>
  <c r="P41" i="211"/>
  <c r="H41" i="211"/>
  <c r="E41" i="211"/>
  <c r="AD40" i="211"/>
  <c r="AC40" i="211"/>
  <c r="AB40" i="211"/>
  <c r="Z40" i="211"/>
  <c r="X40" i="211"/>
  <c r="Q40" i="211"/>
  <c r="P40" i="211"/>
  <c r="H40" i="211"/>
  <c r="E40" i="211"/>
  <c r="AD39" i="211"/>
  <c r="AC39" i="211"/>
  <c r="AB39" i="211"/>
  <c r="Z39" i="211"/>
  <c r="X39" i="211"/>
  <c r="Q39" i="211"/>
  <c r="P39" i="211"/>
  <c r="H39" i="211"/>
  <c r="E39" i="211"/>
  <c r="AD38" i="211"/>
  <c r="AC38" i="211"/>
  <c r="AB38" i="211"/>
  <c r="Z38" i="211"/>
  <c r="X38" i="211"/>
  <c r="Q38" i="211"/>
  <c r="P38" i="211"/>
  <c r="H38" i="211"/>
  <c r="E38" i="211"/>
  <c r="AD37" i="211"/>
  <c r="AC37" i="211"/>
  <c r="AB37" i="211"/>
  <c r="Z37" i="211"/>
  <c r="X37" i="211"/>
  <c r="Q37" i="211"/>
  <c r="P37" i="211"/>
  <c r="H37" i="211"/>
  <c r="E37" i="211"/>
  <c r="AD36" i="211"/>
  <c r="AC36" i="211"/>
  <c r="AB36" i="211"/>
  <c r="Z36" i="211"/>
  <c r="X36" i="211"/>
  <c r="Q36" i="211"/>
  <c r="P36" i="211"/>
  <c r="H36" i="211"/>
  <c r="E36" i="211"/>
  <c r="AD35" i="211"/>
  <c r="AC35" i="211"/>
  <c r="AB35" i="211"/>
  <c r="Z35" i="211"/>
  <c r="X35" i="211"/>
  <c r="Q35" i="211"/>
  <c r="P35" i="211"/>
  <c r="H35" i="211"/>
  <c r="E35" i="211"/>
  <c r="AD34" i="211"/>
  <c r="AC34" i="211"/>
  <c r="AB34" i="211"/>
  <c r="Z34" i="211"/>
  <c r="X34" i="211"/>
  <c r="Q34" i="211"/>
  <c r="P34" i="211"/>
  <c r="H34" i="211"/>
  <c r="E34" i="211"/>
  <c r="AD33" i="211"/>
  <c r="AC33" i="211"/>
  <c r="AB33" i="211"/>
  <c r="Z33" i="211"/>
  <c r="X33" i="211"/>
  <c r="Q33" i="211"/>
  <c r="P33" i="211"/>
  <c r="H33" i="211"/>
  <c r="E33" i="211"/>
  <c r="AD32" i="211"/>
  <c r="AC32" i="211"/>
  <c r="AB32" i="211"/>
  <c r="Z32" i="211"/>
  <c r="X32" i="211"/>
  <c r="Q32" i="211"/>
  <c r="P32" i="211"/>
  <c r="H32" i="211"/>
  <c r="E32" i="211"/>
  <c r="AE31" i="211"/>
  <c r="Z31" i="211"/>
  <c r="X31" i="211"/>
  <c r="Q31" i="211"/>
  <c r="P31" i="211"/>
  <c r="H31" i="211"/>
  <c r="E31" i="211"/>
  <c r="AE30" i="211"/>
  <c r="AD30" i="211"/>
  <c r="AC30" i="211"/>
  <c r="AB30" i="211"/>
  <c r="Z30" i="211"/>
  <c r="X30" i="211"/>
  <c r="Q30" i="211"/>
  <c r="P30" i="211"/>
  <c r="H30" i="211"/>
  <c r="E30" i="211"/>
  <c r="AD29" i="211"/>
  <c r="AC29" i="211"/>
  <c r="AB29" i="211"/>
  <c r="Z29" i="211"/>
  <c r="X29" i="211"/>
  <c r="Q29" i="211"/>
  <c r="P29" i="211"/>
  <c r="H29" i="211"/>
  <c r="E29" i="211"/>
  <c r="AD28" i="211"/>
  <c r="AC28" i="211"/>
  <c r="AB28" i="211"/>
  <c r="Z28" i="211"/>
  <c r="X28" i="211"/>
  <c r="Q28" i="211"/>
  <c r="P28" i="211"/>
  <c r="H28" i="211"/>
  <c r="E28" i="211"/>
  <c r="AD27" i="211"/>
  <c r="AC27" i="211"/>
  <c r="AB27" i="211"/>
  <c r="Z27" i="211"/>
  <c r="X27" i="211"/>
  <c r="Q27" i="211"/>
  <c r="P27" i="211"/>
  <c r="H27" i="211"/>
  <c r="E27" i="211"/>
  <c r="AD26" i="211"/>
  <c r="AC26" i="211"/>
  <c r="AB26" i="211"/>
  <c r="Z26" i="211"/>
  <c r="X26" i="211"/>
  <c r="Q26" i="211"/>
  <c r="P26" i="211"/>
  <c r="H26" i="211"/>
  <c r="E26" i="211"/>
  <c r="AD25" i="211"/>
  <c r="AC25" i="211"/>
  <c r="AB25" i="211"/>
  <c r="Z25" i="211"/>
  <c r="X25" i="211"/>
  <c r="Q25" i="211"/>
  <c r="P25" i="211"/>
  <c r="H25" i="211"/>
  <c r="E25" i="211"/>
  <c r="AD24" i="211"/>
  <c r="AC24" i="211"/>
  <c r="AB24" i="211"/>
  <c r="Z24" i="211"/>
  <c r="X24" i="211"/>
  <c r="Q24" i="211"/>
  <c r="P24" i="211"/>
  <c r="H24" i="211"/>
  <c r="E24" i="211"/>
  <c r="AD23" i="211"/>
  <c r="AC23" i="211"/>
  <c r="AB23" i="211"/>
  <c r="Z23" i="211"/>
  <c r="X23" i="211"/>
  <c r="Q23" i="211"/>
  <c r="P23" i="211"/>
  <c r="H23" i="211"/>
  <c r="E23" i="211"/>
  <c r="AD22" i="211"/>
  <c r="AC22" i="211"/>
  <c r="AB22" i="211"/>
  <c r="Z22" i="211"/>
  <c r="X22" i="211"/>
  <c r="Q22" i="211"/>
  <c r="P22" i="211"/>
  <c r="H22" i="211"/>
  <c r="E22" i="211"/>
  <c r="AD21" i="211"/>
  <c r="AC21" i="211"/>
  <c r="AB21" i="211"/>
  <c r="Z21" i="211"/>
  <c r="X21" i="211"/>
  <c r="Q21" i="211"/>
  <c r="P21" i="211"/>
  <c r="H21" i="211"/>
  <c r="E21" i="211"/>
  <c r="AD20" i="211"/>
  <c r="AC20" i="211"/>
  <c r="AB20" i="211"/>
  <c r="Z20" i="211"/>
  <c r="X20" i="211"/>
  <c r="Q20" i="211"/>
  <c r="P20" i="211"/>
  <c r="H20" i="211"/>
  <c r="E20" i="211"/>
  <c r="AD19" i="211"/>
  <c r="AC19" i="211"/>
  <c r="AB19" i="211"/>
  <c r="Z19" i="211"/>
  <c r="X19" i="211"/>
  <c r="Q19" i="211"/>
  <c r="P19" i="211"/>
  <c r="H19" i="211"/>
  <c r="E19" i="211"/>
  <c r="AD18" i="211"/>
  <c r="AC18" i="211"/>
  <c r="AB18" i="211"/>
  <c r="Z18" i="211"/>
  <c r="X18" i="211"/>
  <c r="Q18" i="211"/>
  <c r="P18" i="211"/>
  <c r="H18" i="211"/>
  <c r="E18" i="211"/>
  <c r="AD17" i="211"/>
  <c r="AC17" i="211"/>
  <c r="AB17" i="211"/>
  <c r="Z17" i="211"/>
  <c r="X17" i="211"/>
  <c r="Q17" i="211"/>
  <c r="P17" i="211"/>
  <c r="H17" i="211"/>
  <c r="E17" i="211"/>
  <c r="AD16" i="211"/>
  <c r="AC16" i="211"/>
  <c r="AB16" i="211"/>
  <c r="Z16" i="211"/>
  <c r="X16" i="211"/>
  <c r="Q16" i="211"/>
  <c r="P16" i="211"/>
  <c r="E16" i="211"/>
  <c r="AD15" i="211"/>
  <c r="AC15" i="211"/>
  <c r="AB15" i="211"/>
  <c r="Z15" i="211"/>
  <c r="X15" i="211"/>
  <c r="Q15" i="211"/>
  <c r="P15" i="211"/>
  <c r="E15" i="211"/>
  <c r="AD14" i="211"/>
  <c r="AC14" i="211"/>
  <c r="AB14" i="211"/>
  <c r="Z14" i="211"/>
  <c r="X14" i="211"/>
  <c r="Q14" i="211"/>
  <c r="P14" i="211"/>
  <c r="H14" i="211"/>
  <c r="E14" i="211"/>
  <c r="AD13" i="211"/>
  <c r="AC13" i="211"/>
  <c r="AB13" i="211"/>
  <c r="Z13" i="211"/>
  <c r="X13" i="211"/>
  <c r="Q13" i="211"/>
  <c r="P13" i="211"/>
  <c r="H13" i="211"/>
  <c r="E13" i="211"/>
  <c r="AD12" i="211"/>
  <c r="AC12" i="211"/>
  <c r="AB12" i="211"/>
  <c r="Z12" i="211"/>
  <c r="X12" i="211"/>
  <c r="Q12" i="211"/>
  <c r="P12" i="211"/>
  <c r="H12" i="211"/>
  <c r="E12" i="211"/>
  <c r="M79" i="210"/>
  <c r="P71" i="210"/>
  <c r="H71" i="210"/>
  <c r="Q70" i="210"/>
  <c r="P70" i="210"/>
  <c r="H70" i="210"/>
  <c r="E70" i="210"/>
  <c r="Q69" i="210"/>
  <c r="P69" i="210"/>
  <c r="H69" i="210"/>
  <c r="E69" i="210"/>
  <c r="AD68" i="210"/>
  <c r="AC68" i="210"/>
  <c r="AB68" i="210"/>
  <c r="Z68" i="210"/>
  <c r="X68" i="210"/>
  <c r="Q68" i="210"/>
  <c r="P68" i="210"/>
  <c r="H68" i="210"/>
  <c r="E68" i="210"/>
  <c r="AD67" i="210"/>
  <c r="AC67" i="210"/>
  <c r="AB67" i="210"/>
  <c r="Z67" i="210"/>
  <c r="X67" i="210"/>
  <c r="Q67" i="210"/>
  <c r="P67" i="210"/>
  <c r="H67" i="210"/>
  <c r="E67" i="210"/>
  <c r="AD66" i="210"/>
  <c r="AC66" i="210"/>
  <c r="AB66" i="210"/>
  <c r="Z66" i="210"/>
  <c r="X66" i="210"/>
  <c r="Q66" i="210"/>
  <c r="P66" i="210"/>
  <c r="H66" i="210"/>
  <c r="E66" i="210"/>
  <c r="AD65" i="210"/>
  <c r="AC65" i="210"/>
  <c r="AB65" i="210"/>
  <c r="Z65" i="210"/>
  <c r="X65" i="210"/>
  <c r="Q65" i="210"/>
  <c r="P65" i="210"/>
  <c r="H65" i="210"/>
  <c r="E65" i="210"/>
  <c r="AE64" i="210"/>
  <c r="AD64" i="210"/>
  <c r="AC64" i="210"/>
  <c r="AB64" i="210"/>
  <c r="Z64" i="210"/>
  <c r="X64" i="210"/>
  <c r="Q64" i="210"/>
  <c r="P64" i="210"/>
  <c r="H64" i="210"/>
  <c r="E64" i="210"/>
  <c r="AD63" i="210"/>
  <c r="AC63" i="210"/>
  <c r="AB63" i="210"/>
  <c r="Z63" i="210"/>
  <c r="X63" i="210"/>
  <c r="Q63" i="210"/>
  <c r="P63" i="210"/>
  <c r="H63" i="210"/>
  <c r="E63" i="210"/>
  <c r="AD62" i="210"/>
  <c r="AC62" i="210"/>
  <c r="AB62" i="210"/>
  <c r="Z62" i="210"/>
  <c r="X62" i="210"/>
  <c r="Q62" i="210"/>
  <c r="P62" i="210"/>
  <c r="H62" i="210"/>
  <c r="E62" i="210"/>
  <c r="AC61" i="210"/>
  <c r="AB61" i="210"/>
  <c r="X61" i="210"/>
  <c r="Q61" i="210"/>
  <c r="P61" i="210"/>
  <c r="H61" i="210"/>
  <c r="E61" i="210"/>
  <c r="AE60" i="210"/>
  <c r="X60" i="210"/>
  <c r="Q60" i="210"/>
  <c r="P60" i="210"/>
  <c r="H60" i="210"/>
  <c r="E60" i="210"/>
  <c r="AC59" i="210"/>
  <c r="AB59" i="210"/>
  <c r="X59" i="210"/>
  <c r="Q59" i="210"/>
  <c r="P59" i="210"/>
  <c r="H59" i="210"/>
  <c r="E59" i="210"/>
  <c r="AC58" i="210"/>
  <c r="AB58" i="210"/>
  <c r="X58" i="210"/>
  <c r="Q58" i="210"/>
  <c r="P58" i="210"/>
  <c r="E58" i="210"/>
  <c r="AE57" i="210"/>
  <c r="AC57" i="210"/>
  <c r="AB57" i="210"/>
  <c r="X57" i="210"/>
  <c r="Q57" i="210"/>
  <c r="P57" i="210"/>
  <c r="H57" i="210"/>
  <c r="E57" i="210"/>
  <c r="AD56" i="210"/>
  <c r="AC56" i="210"/>
  <c r="AB56" i="210"/>
  <c r="Z56" i="210"/>
  <c r="X56" i="210"/>
  <c r="Q56" i="210"/>
  <c r="P56" i="210"/>
  <c r="H56" i="210"/>
  <c r="E56" i="210"/>
  <c r="AE55" i="210"/>
  <c r="AD55" i="210"/>
  <c r="AC55" i="210"/>
  <c r="AB55" i="210"/>
  <c r="Z55" i="210"/>
  <c r="X55" i="210"/>
  <c r="Q55" i="210"/>
  <c r="P55" i="210"/>
  <c r="H55" i="210"/>
  <c r="E55" i="210"/>
  <c r="AD54" i="210"/>
  <c r="AC54" i="210"/>
  <c r="AB54" i="210"/>
  <c r="Z54" i="210"/>
  <c r="X54" i="210"/>
  <c r="Q54" i="210"/>
  <c r="P54" i="210"/>
  <c r="H54" i="210"/>
  <c r="E54" i="210"/>
  <c r="AE53" i="210"/>
  <c r="AD53" i="210"/>
  <c r="AC53" i="210"/>
  <c r="AB53" i="210"/>
  <c r="Z53" i="210"/>
  <c r="X53" i="210"/>
  <c r="Q53" i="210"/>
  <c r="P53" i="210"/>
  <c r="H53" i="210"/>
  <c r="E53" i="210"/>
  <c r="AE52" i="210"/>
  <c r="Z52" i="210"/>
  <c r="X52" i="210"/>
  <c r="Q52" i="210"/>
  <c r="P52" i="210"/>
  <c r="H52" i="210"/>
  <c r="E52" i="210"/>
  <c r="AD51" i="210"/>
  <c r="AC51" i="210"/>
  <c r="AB51" i="210"/>
  <c r="Z51" i="210"/>
  <c r="X51" i="210"/>
  <c r="Q51" i="210"/>
  <c r="P51" i="210"/>
  <c r="H51" i="210"/>
  <c r="E51" i="210"/>
  <c r="AD50" i="210"/>
  <c r="AC50" i="210"/>
  <c r="AB50" i="210"/>
  <c r="Z50" i="210"/>
  <c r="X50" i="210"/>
  <c r="Q50" i="210"/>
  <c r="P50" i="210"/>
  <c r="H50" i="210"/>
  <c r="E50" i="210"/>
  <c r="AE49" i="210"/>
  <c r="Z49" i="210"/>
  <c r="X49" i="210"/>
  <c r="Q49" i="210"/>
  <c r="P49" i="210"/>
  <c r="H49" i="210"/>
  <c r="E49" i="210"/>
  <c r="AI48" i="210"/>
  <c r="AE48" i="210"/>
  <c r="Z48" i="210"/>
  <c r="X48" i="210"/>
  <c r="Q48" i="210"/>
  <c r="P48" i="210"/>
  <c r="H48" i="210"/>
  <c r="E48" i="210"/>
  <c r="AE47" i="210"/>
  <c r="Z47" i="210"/>
  <c r="X47" i="210"/>
  <c r="Q47" i="210"/>
  <c r="P47" i="210"/>
  <c r="H47" i="210"/>
  <c r="E47" i="210"/>
  <c r="AD46" i="210"/>
  <c r="AC46" i="210"/>
  <c r="AB46" i="210"/>
  <c r="Z46" i="210"/>
  <c r="X46" i="210"/>
  <c r="Q46" i="210"/>
  <c r="P46" i="210"/>
  <c r="I46" i="210"/>
  <c r="H46" i="210"/>
  <c r="E46" i="210"/>
  <c r="AD45" i="210"/>
  <c r="AC45" i="210"/>
  <c r="AB45" i="210"/>
  <c r="Z45" i="210"/>
  <c r="X45" i="210"/>
  <c r="Q45" i="210"/>
  <c r="P45" i="210"/>
  <c r="H45" i="210"/>
  <c r="E45" i="210"/>
  <c r="AE44" i="210"/>
  <c r="AD44" i="210"/>
  <c r="AC44" i="210"/>
  <c r="AB44" i="210"/>
  <c r="Z44" i="210"/>
  <c r="X44" i="210"/>
  <c r="Q44" i="210"/>
  <c r="P44" i="210"/>
  <c r="H44" i="210"/>
  <c r="E44" i="210"/>
  <c r="AD43" i="210"/>
  <c r="AC43" i="210"/>
  <c r="AB43" i="210"/>
  <c r="Z43" i="210"/>
  <c r="X43" i="210"/>
  <c r="Q43" i="210"/>
  <c r="P43" i="210"/>
  <c r="H43" i="210"/>
  <c r="E43" i="210"/>
  <c r="AD42" i="210"/>
  <c r="AC42" i="210"/>
  <c r="AB42" i="210"/>
  <c r="Z42" i="210"/>
  <c r="X42" i="210"/>
  <c r="Q42" i="210"/>
  <c r="P42" i="210"/>
  <c r="H42" i="210"/>
  <c r="E42" i="210"/>
  <c r="AE41" i="210"/>
  <c r="AD41" i="210"/>
  <c r="AC41" i="210"/>
  <c r="AB41" i="210"/>
  <c r="Z41" i="210"/>
  <c r="X41" i="210"/>
  <c r="Q41" i="210"/>
  <c r="P41" i="210"/>
  <c r="H41" i="210"/>
  <c r="E41" i="210"/>
  <c r="AD40" i="210"/>
  <c r="AC40" i="210"/>
  <c r="AB40" i="210"/>
  <c r="Z40" i="210"/>
  <c r="X40" i="210"/>
  <c r="Q40" i="210"/>
  <c r="P40" i="210"/>
  <c r="I40" i="210"/>
  <c r="H40" i="210"/>
  <c r="E40" i="210"/>
  <c r="AD39" i="210"/>
  <c r="AC39" i="210"/>
  <c r="AB39" i="210"/>
  <c r="Z39" i="210"/>
  <c r="X39" i="210"/>
  <c r="Q39" i="210"/>
  <c r="P39" i="210"/>
  <c r="H39" i="210"/>
  <c r="E39" i="210"/>
  <c r="AD38" i="210"/>
  <c r="AC38" i="210"/>
  <c r="AB38" i="210"/>
  <c r="Z38" i="210"/>
  <c r="X38" i="210"/>
  <c r="Q38" i="210"/>
  <c r="P38" i="210"/>
  <c r="H38" i="210"/>
  <c r="E38" i="210"/>
  <c r="AE37" i="210"/>
  <c r="AD37" i="210"/>
  <c r="AC37" i="210"/>
  <c r="AB37" i="210"/>
  <c r="Z37" i="210"/>
  <c r="X37" i="210"/>
  <c r="Q37" i="210"/>
  <c r="P37" i="210"/>
  <c r="H37" i="210"/>
  <c r="E37" i="210"/>
  <c r="AD36" i="210"/>
  <c r="AC36" i="210"/>
  <c r="AB36" i="210"/>
  <c r="Z36" i="210"/>
  <c r="X36" i="210"/>
  <c r="Q36" i="210"/>
  <c r="P36" i="210"/>
  <c r="H36" i="210"/>
  <c r="E36" i="210"/>
  <c r="AD35" i="210"/>
  <c r="AC35" i="210"/>
  <c r="AB35" i="210"/>
  <c r="Z35" i="210"/>
  <c r="X35" i="210"/>
  <c r="Q35" i="210"/>
  <c r="P35" i="210"/>
  <c r="H35" i="210"/>
  <c r="E35" i="210"/>
  <c r="AD34" i="210"/>
  <c r="AC34" i="210"/>
  <c r="AB34" i="210"/>
  <c r="Z34" i="210"/>
  <c r="X34" i="210"/>
  <c r="Q34" i="210"/>
  <c r="P34" i="210"/>
  <c r="H34" i="210"/>
  <c r="E34" i="210"/>
  <c r="AD33" i="210"/>
  <c r="AC33" i="210"/>
  <c r="AB33" i="210"/>
  <c r="Z33" i="210"/>
  <c r="X33" i="210"/>
  <c r="Q33" i="210"/>
  <c r="P33" i="210"/>
  <c r="H33" i="210"/>
  <c r="E33" i="210"/>
  <c r="AD32" i="210"/>
  <c r="AC32" i="210"/>
  <c r="AB32" i="210"/>
  <c r="Z32" i="210"/>
  <c r="X32" i="210"/>
  <c r="Q32" i="210"/>
  <c r="P32" i="210"/>
  <c r="H32" i="210"/>
  <c r="E32" i="210"/>
  <c r="AE31" i="210"/>
  <c r="Z31" i="210"/>
  <c r="X31" i="210"/>
  <c r="Q31" i="210"/>
  <c r="P31" i="210"/>
  <c r="H31" i="210"/>
  <c r="E31" i="210"/>
  <c r="AD30" i="210"/>
  <c r="AC30" i="210"/>
  <c r="AB30" i="210"/>
  <c r="Z30" i="210"/>
  <c r="X30" i="210"/>
  <c r="Q30" i="210"/>
  <c r="P30" i="210"/>
  <c r="H30" i="210"/>
  <c r="E30" i="210"/>
  <c r="AD29" i="210"/>
  <c r="AC29" i="210"/>
  <c r="AB29" i="210"/>
  <c r="Z29" i="210"/>
  <c r="X29" i="210"/>
  <c r="Q29" i="210"/>
  <c r="P29" i="210"/>
  <c r="H29" i="210"/>
  <c r="E29" i="210"/>
  <c r="AD28" i="210"/>
  <c r="AC28" i="210"/>
  <c r="AB28" i="210"/>
  <c r="Z28" i="210"/>
  <c r="X28" i="210"/>
  <c r="Q28" i="210"/>
  <c r="P28" i="210"/>
  <c r="H28" i="210"/>
  <c r="E28" i="210"/>
  <c r="AD27" i="210"/>
  <c r="AC27" i="210"/>
  <c r="AB27" i="210"/>
  <c r="Z27" i="210"/>
  <c r="X27" i="210"/>
  <c r="Q27" i="210"/>
  <c r="P27" i="210"/>
  <c r="H27" i="210"/>
  <c r="E27" i="210"/>
  <c r="AD26" i="210"/>
  <c r="AC26" i="210"/>
  <c r="AB26" i="210"/>
  <c r="Z26" i="210"/>
  <c r="X26" i="210"/>
  <c r="Q26" i="210"/>
  <c r="P26" i="210"/>
  <c r="H26" i="210"/>
  <c r="E26" i="210"/>
  <c r="AD25" i="210"/>
  <c r="AC25" i="210"/>
  <c r="AB25" i="210"/>
  <c r="Z25" i="210"/>
  <c r="X25" i="210"/>
  <c r="Q25" i="210"/>
  <c r="P25" i="210"/>
  <c r="H25" i="210"/>
  <c r="E25" i="210"/>
  <c r="AD24" i="210"/>
  <c r="AC24" i="210"/>
  <c r="AB24" i="210"/>
  <c r="Z24" i="210"/>
  <c r="X24" i="210"/>
  <c r="Q24" i="210"/>
  <c r="P24" i="210"/>
  <c r="H24" i="210"/>
  <c r="E24" i="210"/>
  <c r="AD23" i="210"/>
  <c r="AC23" i="210"/>
  <c r="AB23" i="210"/>
  <c r="Z23" i="210"/>
  <c r="X23" i="210"/>
  <c r="Q23" i="210"/>
  <c r="P23" i="210"/>
  <c r="H23" i="210"/>
  <c r="E23" i="210"/>
  <c r="AE22" i="210"/>
  <c r="AD22" i="210"/>
  <c r="AC22" i="210"/>
  <c r="AB22" i="210"/>
  <c r="Z22" i="210"/>
  <c r="X22" i="210"/>
  <c r="Q22" i="210"/>
  <c r="P22" i="210"/>
  <c r="H22" i="210"/>
  <c r="E22" i="210"/>
  <c r="AD21" i="210"/>
  <c r="AC21" i="210"/>
  <c r="AB21" i="210"/>
  <c r="Z21" i="210"/>
  <c r="X21" i="210"/>
  <c r="Q21" i="210"/>
  <c r="P21" i="210"/>
  <c r="H21" i="210"/>
  <c r="E21" i="210"/>
  <c r="AD20" i="210"/>
  <c r="AC20" i="210"/>
  <c r="AB20" i="210"/>
  <c r="Z20" i="210"/>
  <c r="X20" i="210"/>
  <c r="Q20" i="210"/>
  <c r="P20" i="210"/>
  <c r="I20" i="210"/>
  <c r="H20" i="210"/>
  <c r="E20" i="210"/>
  <c r="AD19" i="210"/>
  <c r="AC19" i="210"/>
  <c r="AB19" i="210"/>
  <c r="Z19" i="210"/>
  <c r="X19" i="210"/>
  <c r="Q19" i="210"/>
  <c r="P19" i="210"/>
  <c r="H19" i="210"/>
  <c r="E19" i="210"/>
  <c r="AD18" i="210"/>
  <c r="AC18" i="210"/>
  <c r="AB18" i="210"/>
  <c r="Z18" i="210"/>
  <c r="X18" i="210"/>
  <c r="Q18" i="210"/>
  <c r="P18" i="210"/>
  <c r="H18" i="210"/>
  <c r="E18" i="210"/>
  <c r="AD17" i="210"/>
  <c r="AC17" i="210"/>
  <c r="AB17" i="210"/>
  <c r="Z17" i="210"/>
  <c r="X17" i="210"/>
  <c r="Q17" i="210"/>
  <c r="P17" i="210"/>
  <c r="H17" i="210"/>
  <c r="E17" i="210"/>
  <c r="AE16" i="210"/>
  <c r="AD16" i="210"/>
  <c r="AC16" i="210"/>
  <c r="AB16" i="210"/>
  <c r="Z16" i="210"/>
  <c r="X16" i="210"/>
  <c r="Q16" i="210"/>
  <c r="P16" i="210"/>
  <c r="E16" i="210"/>
  <c r="AD15" i="210"/>
  <c r="AC15" i="210"/>
  <c r="AB15" i="210"/>
  <c r="Z15" i="210"/>
  <c r="X15" i="210"/>
  <c r="Q15" i="210"/>
  <c r="P15" i="210"/>
  <c r="E15" i="210"/>
  <c r="AD14" i="210"/>
  <c r="AC14" i="210"/>
  <c r="AB14" i="210"/>
  <c r="Z14" i="210"/>
  <c r="X14" i="210"/>
  <c r="Q14" i="210"/>
  <c r="P14" i="210"/>
  <c r="H14" i="210"/>
  <c r="E14" i="210"/>
  <c r="AD13" i="210"/>
  <c r="AC13" i="210"/>
  <c r="AB13" i="210"/>
  <c r="Z13" i="210"/>
  <c r="X13" i="210"/>
  <c r="Q13" i="210"/>
  <c r="P13" i="210"/>
  <c r="H13" i="210"/>
  <c r="E13" i="210"/>
  <c r="AE12" i="210"/>
  <c r="AD12" i="210"/>
  <c r="AC12" i="210"/>
  <c r="AB12" i="210"/>
  <c r="Z12" i="210"/>
  <c r="X12" i="210"/>
  <c r="Q12" i="210"/>
  <c r="P12" i="210"/>
  <c r="H12" i="210"/>
  <c r="E12" i="210"/>
  <c r="M79" i="209"/>
  <c r="P71" i="209"/>
  <c r="H71" i="209"/>
  <c r="Q70" i="209"/>
  <c r="P70" i="209"/>
  <c r="H70" i="209"/>
  <c r="E70" i="209"/>
  <c r="Q69" i="209"/>
  <c r="P69" i="209"/>
  <c r="H69" i="209"/>
  <c r="E69" i="209"/>
  <c r="AE68" i="209"/>
  <c r="AD68" i="209"/>
  <c r="AC68" i="209"/>
  <c r="AB68" i="209"/>
  <c r="Z68" i="209"/>
  <c r="X68" i="209"/>
  <c r="Q68" i="209"/>
  <c r="P68" i="209"/>
  <c r="H68" i="209"/>
  <c r="E68" i="209"/>
  <c r="AD67" i="209"/>
  <c r="AC67" i="209"/>
  <c r="AB67" i="209"/>
  <c r="Z67" i="209"/>
  <c r="X67" i="209"/>
  <c r="Q67" i="209"/>
  <c r="P67" i="209"/>
  <c r="H67" i="209"/>
  <c r="E67" i="209"/>
  <c r="AD66" i="209"/>
  <c r="AC66" i="209"/>
  <c r="AB66" i="209"/>
  <c r="Z66" i="209"/>
  <c r="X66" i="209"/>
  <c r="Q66" i="209"/>
  <c r="P66" i="209"/>
  <c r="H66" i="209"/>
  <c r="E66" i="209"/>
  <c r="AD65" i="209"/>
  <c r="AC65" i="209"/>
  <c r="AB65" i="209"/>
  <c r="Z65" i="209"/>
  <c r="X65" i="209"/>
  <c r="Q65" i="209"/>
  <c r="P65" i="209"/>
  <c r="H65" i="209"/>
  <c r="E65" i="209"/>
  <c r="AE64" i="209"/>
  <c r="AD64" i="209"/>
  <c r="AC64" i="209"/>
  <c r="AB64" i="209"/>
  <c r="Z64" i="209"/>
  <c r="X64" i="209"/>
  <c r="Q64" i="209"/>
  <c r="P64" i="209"/>
  <c r="H64" i="209"/>
  <c r="E64" i="209"/>
  <c r="AD63" i="209"/>
  <c r="AC63" i="209"/>
  <c r="AB63" i="209"/>
  <c r="Z63" i="209"/>
  <c r="X63" i="209"/>
  <c r="Q63" i="209"/>
  <c r="P63" i="209"/>
  <c r="H63" i="209"/>
  <c r="E63" i="209"/>
  <c r="AD62" i="209"/>
  <c r="AC62" i="209"/>
  <c r="AB62" i="209"/>
  <c r="Z62" i="209"/>
  <c r="X62" i="209"/>
  <c r="Q62" i="209"/>
  <c r="P62" i="209"/>
  <c r="H62" i="209"/>
  <c r="E62" i="209"/>
  <c r="AE61" i="209"/>
  <c r="AC61" i="209"/>
  <c r="AB61" i="209"/>
  <c r="X61" i="209"/>
  <c r="Q61" i="209"/>
  <c r="P61" i="209"/>
  <c r="H61" i="209"/>
  <c r="E61" i="209"/>
  <c r="AE60" i="209"/>
  <c r="X60" i="209"/>
  <c r="Q60" i="209"/>
  <c r="P60" i="209"/>
  <c r="H60" i="209"/>
  <c r="E60" i="209"/>
  <c r="AE59" i="209"/>
  <c r="AC59" i="209"/>
  <c r="AB59" i="209"/>
  <c r="X59" i="209"/>
  <c r="Q59" i="209"/>
  <c r="P59" i="209"/>
  <c r="H59" i="209"/>
  <c r="E59" i="209"/>
  <c r="AC58" i="209"/>
  <c r="AB58" i="209"/>
  <c r="X58" i="209"/>
  <c r="Q58" i="209"/>
  <c r="P58" i="209"/>
  <c r="E58" i="209"/>
  <c r="AE57" i="209"/>
  <c r="AC57" i="209"/>
  <c r="AB57" i="209"/>
  <c r="X57" i="209"/>
  <c r="Q57" i="209"/>
  <c r="P57" i="209"/>
  <c r="H57" i="209"/>
  <c r="E57" i="209"/>
  <c r="AD56" i="209"/>
  <c r="AC56" i="209"/>
  <c r="AB56" i="209"/>
  <c r="Z56" i="209"/>
  <c r="X56" i="209"/>
  <c r="Q56" i="209"/>
  <c r="P56" i="209"/>
  <c r="H56" i="209"/>
  <c r="E56" i="209"/>
  <c r="AD55" i="209"/>
  <c r="AC55" i="209"/>
  <c r="AB55" i="209"/>
  <c r="Z55" i="209"/>
  <c r="X55" i="209"/>
  <c r="Q55" i="209"/>
  <c r="P55" i="209"/>
  <c r="I55" i="209"/>
  <c r="H55" i="209"/>
  <c r="E55" i="209"/>
  <c r="AD54" i="209"/>
  <c r="AC54" i="209"/>
  <c r="AB54" i="209"/>
  <c r="Z54" i="209"/>
  <c r="X54" i="209"/>
  <c r="Q54" i="209"/>
  <c r="P54" i="209"/>
  <c r="H54" i="209"/>
  <c r="E54" i="209"/>
  <c r="AD53" i="209"/>
  <c r="AC53" i="209"/>
  <c r="AB53" i="209"/>
  <c r="Z53" i="209"/>
  <c r="X53" i="209"/>
  <c r="Q53" i="209"/>
  <c r="P53" i="209"/>
  <c r="H53" i="209"/>
  <c r="E53" i="209"/>
  <c r="AE52" i="209"/>
  <c r="Z52" i="209"/>
  <c r="X52" i="209"/>
  <c r="Q52" i="209"/>
  <c r="P52" i="209"/>
  <c r="H52" i="209"/>
  <c r="E52" i="209"/>
  <c r="AE51" i="209"/>
  <c r="AD51" i="209"/>
  <c r="AC51" i="209"/>
  <c r="AB51" i="209"/>
  <c r="Z51" i="209"/>
  <c r="X51" i="209"/>
  <c r="Q51" i="209"/>
  <c r="P51" i="209"/>
  <c r="H51" i="209"/>
  <c r="E51" i="209"/>
  <c r="AD50" i="209"/>
  <c r="AC50" i="209"/>
  <c r="AB50" i="209"/>
  <c r="Z50" i="209"/>
  <c r="X50" i="209"/>
  <c r="Q50" i="209"/>
  <c r="P50" i="209"/>
  <c r="H50" i="209"/>
  <c r="E50" i="209"/>
  <c r="AE49" i="209"/>
  <c r="Z49" i="209"/>
  <c r="X49" i="209"/>
  <c r="Q49" i="209"/>
  <c r="P49" i="209"/>
  <c r="H49" i="209"/>
  <c r="E49" i="209"/>
  <c r="AE48" i="209"/>
  <c r="Z48" i="209"/>
  <c r="X48" i="209"/>
  <c r="Q48" i="209"/>
  <c r="P48" i="209"/>
  <c r="H48" i="209"/>
  <c r="E48" i="209"/>
  <c r="AE47" i="209"/>
  <c r="Z47" i="209"/>
  <c r="X47" i="209"/>
  <c r="Q47" i="209"/>
  <c r="P47" i="209"/>
  <c r="I47" i="209"/>
  <c r="H47" i="209"/>
  <c r="E47" i="209"/>
  <c r="AD46" i="209"/>
  <c r="AC46" i="209"/>
  <c r="AB46" i="209"/>
  <c r="Z46" i="209"/>
  <c r="X46" i="209"/>
  <c r="Q46" i="209"/>
  <c r="P46" i="209"/>
  <c r="H46" i="209"/>
  <c r="E46" i="209"/>
  <c r="AD45" i="209"/>
  <c r="AC45" i="209"/>
  <c r="AB45" i="209"/>
  <c r="Z45" i="209"/>
  <c r="X45" i="209"/>
  <c r="Q45" i="209"/>
  <c r="P45" i="209"/>
  <c r="H45" i="209"/>
  <c r="E45" i="209"/>
  <c r="AD44" i="209"/>
  <c r="AC44" i="209"/>
  <c r="AB44" i="209"/>
  <c r="Z44" i="209"/>
  <c r="X44" i="209"/>
  <c r="Q44" i="209"/>
  <c r="P44" i="209"/>
  <c r="H44" i="209"/>
  <c r="E44" i="209"/>
  <c r="AE43" i="209"/>
  <c r="AD43" i="209"/>
  <c r="AC43" i="209"/>
  <c r="AB43" i="209"/>
  <c r="Z43" i="209"/>
  <c r="X43" i="209"/>
  <c r="Q43" i="209"/>
  <c r="P43" i="209"/>
  <c r="H43" i="209"/>
  <c r="E43" i="209"/>
  <c r="AD42" i="209"/>
  <c r="AC42" i="209"/>
  <c r="AB42" i="209"/>
  <c r="Z42" i="209"/>
  <c r="X42" i="209"/>
  <c r="Q42" i="209"/>
  <c r="P42" i="209"/>
  <c r="I42" i="209"/>
  <c r="H42" i="209"/>
  <c r="E42" i="209"/>
  <c r="AE41" i="209"/>
  <c r="AD41" i="209"/>
  <c r="AC41" i="209"/>
  <c r="AB41" i="209"/>
  <c r="Z41" i="209"/>
  <c r="X41" i="209"/>
  <c r="Q41" i="209"/>
  <c r="P41" i="209"/>
  <c r="H41" i="209"/>
  <c r="E41" i="209"/>
  <c r="AD40" i="209"/>
  <c r="AC40" i="209"/>
  <c r="AB40" i="209"/>
  <c r="Z40" i="209"/>
  <c r="X40" i="209"/>
  <c r="Q40" i="209"/>
  <c r="P40" i="209"/>
  <c r="H40" i="209"/>
  <c r="E40" i="209"/>
  <c r="AD39" i="209"/>
  <c r="AC39" i="209"/>
  <c r="AB39" i="209"/>
  <c r="Z39" i="209"/>
  <c r="X39" i="209"/>
  <c r="Q39" i="209"/>
  <c r="P39" i="209"/>
  <c r="H39" i="209"/>
  <c r="E39" i="209"/>
  <c r="AE38" i="209"/>
  <c r="AD38" i="209"/>
  <c r="AC38" i="209"/>
  <c r="AB38" i="209"/>
  <c r="Z38" i="209"/>
  <c r="X38" i="209"/>
  <c r="Q38" i="209"/>
  <c r="P38" i="209"/>
  <c r="H38" i="209"/>
  <c r="E38" i="209"/>
  <c r="AD37" i="209"/>
  <c r="AC37" i="209"/>
  <c r="AB37" i="209"/>
  <c r="Z37" i="209"/>
  <c r="X37" i="209"/>
  <c r="Q37" i="209"/>
  <c r="P37" i="209"/>
  <c r="H37" i="209"/>
  <c r="E37" i="209"/>
  <c r="AD36" i="209"/>
  <c r="AC36" i="209"/>
  <c r="AB36" i="209"/>
  <c r="Z36" i="209"/>
  <c r="X36" i="209"/>
  <c r="Q36" i="209"/>
  <c r="P36" i="209"/>
  <c r="H36" i="209"/>
  <c r="E36" i="209"/>
  <c r="AD35" i="209"/>
  <c r="AC35" i="209"/>
  <c r="AB35" i="209"/>
  <c r="Z35" i="209"/>
  <c r="X35" i="209"/>
  <c r="Q35" i="209"/>
  <c r="P35" i="209"/>
  <c r="H35" i="209"/>
  <c r="E35" i="209"/>
  <c r="AD34" i="209"/>
  <c r="AC34" i="209"/>
  <c r="AB34" i="209"/>
  <c r="Z34" i="209"/>
  <c r="X34" i="209"/>
  <c r="Q34" i="209"/>
  <c r="P34" i="209"/>
  <c r="H34" i="209"/>
  <c r="E34" i="209"/>
  <c r="AD33" i="209"/>
  <c r="AC33" i="209"/>
  <c r="AB33" i="209"/>
  <c r="Z33" i="209"/>
  <c r="X33" i="209"/>
  <c r="Q33" i="209"/>
  <c r="P33" i="209"/>
  <c r="H33" i="209"/>
  <c r="E33" i="209"/>
  <c r="AD32" i="209"/>
  <c r="AC32" i="209"/>
  <c r="AB32" i="209"/>
  <c r="Z32" i="209"/>
  <c r="X32" i="209"/>
  <c r="Q32" i="209"/>
  <c r="P32" i="209"/>
  <c r="H32" i="209"/>
  <c r="E32" i="209"/>
  <c r="AE31" i="209"/>
  <c r="Z31" i="209"/>
  <c r="X31" i="209"/>
  <c r="Q31" i="209"/>
  <c r="P31" i="209"/>
  <c r="H31" i="209"/>
  <c r="E31" i="209"/>
  <c r="AD30" i="209"/>
  <c r="AC30" i="209"/>
  <c r="AB30" i="209"/>
  <c r="Z30" i="209"/>
  <c r="X30" i="209"/>
  <c r="Q30" i="209"/>
  <c r="P30" i="209"/>
  <c r="H30" i="209"/>
  <c r="E30" i="209"/>
  <c r="AD29" i="209"/>
  <c r="AC29" i="209"/>
  <c r="AB29" i="209"/>
  <c r="Z29" i="209"/>
  <c r="X29" i="209"/>
  <c r="Q29" i="209"/>
  <c r="P29" i="209"/>
  <c r="H29" i="209"/>
  <c r="E29" i="209"/>
  <c r="AD28" i="209"/>
  <c r="AC28" i="209"/>
  <c r="AB28" i="209"/>
  <c r="Z28" i="209"/>
  <c r="X28" i="209"/>
  <c r="Q28" i="209"/>
  <c r="P28" i="209"/>
  <c r="H28" i="209"/>
  <c r="E28" i="209"/>
  <c r="AD27" i="209"/>
  <c r="AC27" i="209"/>
  <c r="AB27" i="209"/>
  <c r="Z27" i="209"/>
  <c r="X27" i="209"/>
  <c r="Q27" i="209"/>
  <c r="P27" i="209"/>
  <c r="H27" i="209"/>
  <c r="E27" i="209"/>
  <c r="AE26" i="209"/>
  <c r="AD26" i="209"/>
  <c r="AC26" i="209"/>
  <c r="AB26" i="209"/>
  <c r="Z26" i="209"/>
  <c r="X26" i="209"/>
  <c r="Q26" i="209"/>
  <c r="P26" i="209"/>
  <c r="H26" i="209"/>
  <c r="E26" i="209"/>
  <c r="AE25" i="209"/>
  <c r="AD25" i="209"/>
  <c r="AC25" i="209"/>
  <c r="AB25" i="209"/>
  <c r="Z25" i="209"/>
  <c r="X25" i="209"/>
  <c r="Q25" i="209"/>
  <c r="P25" i="209"/>
  <c r="H25" i="209"/>
  <c r="E25" i="209"/>
  <c r="AE24" i="209"/>
  <c r="AD24" i="209"/>
  <c r="AC24" i="209"/>
  <c r="AB24" i="209"/>
  <c r="Z24" i="209"/>
  <c r="X24" i="209"/>
  <c r="Q24" i="209"/>
  <c r="P24" i="209"/>
  <c r="H24" i="209"/>
  <c r="E24" i="209"/>
  <c r="AE23" i="209"/>
  <c r="AD23" i="209"/>
  <c r="AC23" i="209"/>
  <c r="AB23" i="209"/>
  <c r="Z23" i="209"/>
  <c r="X23" i="209"/>
  <c r="Q23" i="209"/>
  <c r="P23" i="209"/>
  <c r="H23" i="209"/>
  <c r="E23" i="209"/>
  <c r="AD22" i="209"/>
  <c r="AC22" i="209"/>
  <c r="AB22" i="209"/>
  <c r="Z22" i="209"/>
  <c r="X22" i="209"/>
  <c r="Q22" i="209"/>
  <c r="P22" i="209"/>
  <c r="I22" i="209"/>
  <c r="H22" i="209"/>
  <c r="E22" i="209"/>
  <c r="AE21" i="209"/>
  <c r="AD21" i="209"/>
  <c r="AC21" i="209"/>
  <c r="AB21" i="209"/>
  <c r="Z21" i="209"/>
  <c r="X21" i="209"/>
  <c r="Q21" i="209"/>
  <c r="P21" i="209"/>
  <c r="H21" i="209"/>
  <c r="E21" i="209"/>
  <c r="AD20" i="209"/>
  <c r="AC20" i="209"/>
  <c r="AB20" i="209"/>
  <c r="Z20" i="209"/>
  <c r="X20" i="209"/>
  <c r="Q20" i="209"/>
  <c r="P20" i="209"/>
  <c r="H20" i="209"/>
  <c r="E20" i="209"/>
  <c r="AE19" i="209"/>
  <c r="AD19" i="209"/>
  <c r="AC19" i="209"/>
  <c r="AB19" i="209"/>
  <c r="Z19" i="209"/>
  <c r="X19" i="209"/>
  <c r="Q19" i="209"/>
  <c r="P19" i="209"/>
  <c r="I19" i="209"/>
  <c r="H19" i="209"/>
  <c r="E19" i="209"/>
  <c r="AD18" i="209"/>
  <c r="AC18" i="209"/>
  <c r="AB18" i="209"/>
  <c r="Z18" i="209"/>
  <c r="X18" i="209"/>
  <c r="Q18" i="209"/>
  <c r="P18" i="209"/>
  <c r="H18" i="209"/>
  <c r="E18" i="209"/>
  <c r="AD17" i="209"/>
  <c r="AC17" i="209"/>
  <c r="AB17" i="209"/>
  <c r="Z17" i="209"/>
  <c r="X17" i="209"/>
  <c r="Q17" i="209"/>
  <c r="P17" i="209"/>
  <c r="H17" i="209"/>
  <c r="E17" i="209"/>
  <c r="AE16" i="209"/>
  <c r="AD16" i="209"/>
  <c r="AC16" i="209"/>
  <c r="AB16" i="209"/>
  <c r="Z16" i="209"/>
  <c r="X16" i="209"/>
  <c r="Q16" i="209"/>
  <c r="P16" i="209"/>
  <c r="E16" i="209"/>
  <c r="AD15" i="209"/>
  <c r="AC15" i="209"/>
  <c r="AB15" i="209"/>
  <c r="Z15" i="209"/>
  <c r="X15" i="209"/>
  <c r="Q15" i="209"/>
  <c r="P15" i="209"/>
  <c r="E15" i="209"/>
  <c r="AD14" i="209"/>
  <c r="AC14" i="209"/>
  <c r="AB14" i="209"/>
  <c r="Z14" i="209"/>
  <c r="X14" i="209"/>
  <c r="Q14" i="209"/>
  <c r="P14" i="209"/>
  <c r="H14" i="209"/>
  <c r="E14" i="209"/>
  <c r="AD13" i="209"/>
  <c r="AC13" i="209"/>
  <c r="AB13" i="209"/>
  <c r="Z13" i="209"/>
  <c r="X13" i="209"/>
  <c r="Q13" i="209"/>
  <c r="P13" i="209"/>
  <c r="H13" i="209"/>
  <c r="E13" i="209"/>
  <c r="AD12" i="209"/>
  <c r="AC12" i="209"/>
  <c r="AB12" i="209"/>
  <c r="Z12" i="209"/>
  <c r="X12" i="209"/>
  <c r="Q12" i="209"/>
  <c r="P12" i="209"/>
  <c r="H12" i="209"/>
  <c r="E12" i="209"/>
  <c r="M79" i="208"/>
  <c r="P71" i="208"/>
  <c r="H71" i="208"/>
  <c r="Q70" i="208"/>
  <c r="P70" i="208"/>
  <c r="H70" i="208"/>
  <c r="E70" i="208"/>
  <c r="Q69" i="208"/>
  <c r="P69" i="208"/>
  <c r="H69" i="208"/>
  <c r="E69" i="208"/>
  <c r="AD68" i="208"/>
  <c r="AC68" i="208"/>
  <c r="AB68" i="208"/>
  <c r="Z68" i="208"/>
  <c r="X68" i="208"/>
  <c r="Q68" i="208"/>
  <c r="P68" i="208"/>
  <c r="H68" i="208"/>
  <c r="E68" i="208"/>
  <c r="AD67" i="208"/>
  <c r="AC67" i="208"/>
  <c r="AB67" i="208"/>
  <c r="Z67" i="208"/>
  <c r="X67" i="208"/>
  <c r="Q67" i="208"/>
  <c r="P67" i="208"/>
  <c r="H67" i="208"/>
  <c r="E67" i="208"/>
  <c r="AD66" i="208"/>
  <c r="AC66" i="208"/>
  <c r="AB66" i="208"/>
  <c r="Z66" i="208"/>
  <c r="X66" i="208"/>
  <c r="Q66" i="208"/>
  <c r="P66" i="208"/>
  <c r="H66" i="208"/>
  <c r="E66" i="208"/>
  <c r="AD65" i="208"/>
  <c r="AC65" i="208"/>
  <c r="AB65" i="208"/>
  <c r="Z65" i="208"/>
  <c r="X65" i="208"/>
  <c r="Q65" i="208"/>
  <c r="P65" i="208"/>
  <c r="H65" i="208"/>
  <c r="E65" i="208"/>
  <c r="AD64" i="208"/>
  <c r="AC64" i="208"/>
  <c r="AB64" i="208"/>
  <c r="Z64" i="208"/>
  <c r="X64" i="208"/>
  <c r="Q64" i="208"/>
  <c r="P64" i="208"/>
  <c r="H64" i="208"/>
  <c r="E64" i="208"/>
  <c r="AD63" i="208"/>
  <c r="AC63" i="208"/>
  <c r="AB63" i="208"/>
  <c r="Z63" i="208"/>
  <c r="X63" i="208"/>
  <c r="Q63" i="208"/>
  <c r="P63" i="208"/>
  <c r="H63" i="208"/>
  <c r="E63" i="208"/>
  <c r="AD62" i="208"/>
  <c r="AC62" i="208"/>
  <c r="AB62" i="208"/>
  <c r="Z62" i="208"/>
  <c r="X62" i="208"/>
  <c r="Q62" i="208"/>
  <c r="P62" i="208"/>
  <c r="H62" i="208"/>
  <c r="E62" i="208"/>
  <c r="AC61" i="208"/>
  <c r="AB61" i="208"/>
  <c r="X61" i="208"/>
  <c r="Q61" i="208"/>
  <c r="P61" i="208"/>
  <c r="H61" i="208"/>
  <c r="E61" i="208"/>
  <c r="AE60" i="208"/>
  <c r="X60" i="208"/>
  <c r="Q60" i="208"/>
  <c r="P60" i="208"/>
  <c r="H60" i="208"/>
  <c r="E60" i="208"/>
  <c r="AC59" i="208"/>
  <c r="AB59" i="208"/>
  <c r="X59" i="208"/>
  <c r="Q59" i="208"/>
  <c r="P59" i="208"/>
  <c r="H59" i="208"/>
  <c r="E59" i="208"/>
  <c r="AC58" i="208"/>
  <c r="AB58" i="208"/>
  <c r="X58" i="208"/>
  <c r="Q58" i="208"/>
  <c r="P58" i="208"/>
  <c r="E58" i="208"/>
  <c r="AC57" i="208"/>
  <c r="AB57" i="208"/>
  <c r="X57" i="208"/>
  <c r="Q57" i="208"/>
  <c r="P57" i="208"/>
  <c r="H57" i="208"/>
  <c r="E57" i="208"/>
  <c r="AD56" i="208"/>
  <c r="AC56" i="208"/>
  <c r="AB56" i="208"/>
  <c r="Z56" i="208"/>
  <c r="X56" i="208"/>
  <c r="Q56" i="208"/>
  <c r="P56" i="208"/>
  <c r="H56" i="208"/>
  <c r="E56" i="208"/>
  <c r="AD55" i="208"/>
  <c r="AC55" i="208"/>
  <c r="AB55" i="208"/>
  <c r="Z55" i="208"/>
  <c r="X55" i="208"/>
  <c r="Q55" i="208"/>
  <c r="P55" i="208"/>
  <c r="H55" i="208"/>
  <c r="E55" i="208"/>
  <c r="AD54" i="208"/>
  <c r="AC54" i="208"/>
  <c r="AB54" i="208"/>
  <c r="Z54" i="208"/>
  <c r="X54" i="208"/>
  <c r="Q54" i="208"/>
  <c r="P54" i="208"/>
  <c r="H54" i="208"/>
  <c r="E54" i="208"/>
  <c r="AD53" i="208"/>
  <c r="AC53" i="208"/>
  <c r="AB53" i="208"/>
  <c r="Z53" i="208"/>
  <c r="X53" i="208"/>
  <c r="Q53" i="208"/>
  <c r="P53" i="208"/>
  <c r="H53" i="208"/>
  <c r="E53" i="208"/>
  <c r="AE52" i="208"/>
  <c r="Z52" i="208"/>
  <c r="X52" i="208"/>
  <c r="Q52" i="208"/>
  <c r="P52" i="208"/>
  <c r="H52" i="208"/>
  <c r="E52" i="208"/>
  <c r="AD51" i="208"/>
  <c r="AC51" i="208"/>
  <c r="AB51" i="208"/>
  <c r="Z51" i="208"/>
  <c r="X51" i="208"/>
  <c r="Q51" i="208"/>
  <c r="P51" i="208"/>
  <c r="H51" i="208"/>
  <c r="E51" i="208"/>
  <c r="AD50" i="208"/>
  <c r="AC50" i="208"/>
  <c r="AB50" i="208"/>
  <c r="Z50" i="208"/>
  <c r="X50" i="208"/>
  <c r="Q50" i="208"/>
  <c r="P50" i="208"/>
  <c r="H50" i="208"/>
  <c r="E50" i="208"/>
  <c r="AE49" i="208"/>
  <c r="Z49" i="208"/>
  <c r="X49" i="208"/>
  <c r="Q49" i="208"/>
  <c r="P49" i="208"/>
  <c r="H49" i="208"/>
  <c r="E49" i="208"/>
  <c r="AE48" i="208"/>
  <c r="Z48" i="208"/>
  <c r="X48" i="208"/>
  <c r="Q48" i="208"/>
  <c r="P48" i="208"/>
  <c r="H48" i="208"/>
  <c r="E48" i="208"/>
  <c r="AE47" i="208"/>
  <c r="Z47" i="208"/>
  <c r="X47" i="208"/>
  <c r="Q47" i="208"/>
  <c r="P47" i="208"/>
  <c r="H47" i="208"/>
  <c r="E47" i="208"/>
  <c r="AD46" i="208"/>
  <c r="AC46" i="208"/>
  <c r="AB46" i="208"/>
  <c r="Z46" i="208"/>
  <c r="X46" i="208"/>
  <c r="Q46" i="208"/>
  <c r="P46" i="208"/>
  <c r="H46" i="208"/>
  <c r="E46" i="208"/>
  <c r="AD45" i="208"/>
  <c r="AC45" i="208"/>
  <c r="AB45" i="208"/>
  <c r="Z45" i="208"/>
  <c r="X45" i="208"/>
  <c r="Q45" i="208"/>
  <c r="P45" i="208"/>
  <c r="H45" i="208"/>
  <c r="E45" i="208"/>
  <c r="AD44" i="208"/>
  <c r="AC44" i="208"/>
  <c r="AB44" i="208"/>
  <c r="Z44" i="208"/>
  <c r="X44" i="208"/>
  <c r="Q44" i="208"/>
  <c r="P44" i="208"/>
  <c r="H44" i="208"/>
  <c r="E44" i="208"/>
  <c r="AD43" i="208"/>
  <c r="AC43" i="208"/>
  <c r="AB43" i="208"/>
  <c r="Z43" i="208"/>
  <c r="X43" i="208"/>
  <c r="Q43" i="208"/>
  <c r="P43" i="208"/>
  <c r="H43" i="208"/>
  <c r="E43" i="208"/>
  <c r="AD42" i="208"/>
  <c r="AC42" i="208"/>
  <c r="AB42" i="208"/>
  <c r="Z42" i="208"/>
  <c r="X42" i="208"/>
  <c r="Q42" i="208"/>
  <c r="P42" i="208"/>
  <c r="H42" i="208"/>
  <c r="E42" i="208"/>
  <c r="AD41" i="208"/>
  <c r="AC41" i="208"/>
  <c r="AB41" i="208"/>
  <c r="Z41" i="208"/>
  <c r="X41" i="208"/>
  <c r="Q41" i="208"/>
  <c r="P41" i="208"/>
  <c r="H41" i="208"/>
  <c r="E41" i="208"/>
  <c r="AD40" i="208"/>
  <c r="AC40" i="208"/>
  <c r="AB40" i="208"/>
  <c r="Z40" i="208"/>
  <c r="X40" i="208"/>
  <c r="Q40" i="208"/>
  <c r="P40" i="208"/>
  <c r="H40" i="208"/>
  <c r="E40" i="208"/>
  <c r="AD39" i="208"/>
  <c r="AC39" i="208"/>
  <c r="AB39" i="208"/>
  <c r="Z39" i="208"/>
  <c r="X39" i="208"/>
  <c r="Q39" i="208"/>
  <c r="P39" i="208"/>
  <c r="H39" i="208"/>
  <c r="E39" i="208"/>
  <c r="AD38" i="208"/>
  <c r="AC38" i="208"/>
  <c r="AB38" i="208"/>
  <c r="Z38" i="208"/>
  <c r="X38" i="208"/>
  <c r="Q38" i="208"/>
  <c r="P38" i="208"/>
  <c r="H38" i="208"/>
  <c r="E38" i="208"/>
  <c r="AD37" i="208"/>
  <c r="AC37" i="208"/>
  <c r="AB37" i="208"/>
  <c r="Z37" i="208"/>
  <c r="X37" i="208"/>
  <c r="Q37" i="208"/>
  <c r="P37" i="208"/>
  <c r="H37" i="208"/>
  <c r="E37" i="208"/>
  <c r="AD36" i="208"/>
  <c r="AC36" i="208"/>
  <c r="AB36" i="208"/>
  <c r="Z36" i="208"/>
  <c r="X36" i="208"/>
  <c r="Q36" i="208"/>
  <c r="P36" i="208"/>
  <c r="H36" i="208"/>
  <c r="E36" i="208"/>
  <c r="AD35" i="208"/>
  <c r="AC35" i="208"/>
  <c r="AB35" i="208"/>
  <c r="Z35" i="208"/>
  <c r="X35" i="208"/>
  <c r="Q35" i="208"/>
  <c r="P35" i="208"/>
  <c r="H35" i="208"/>
  <c r="E35" i="208"/>
  <c r="AD34" i="208"/>
  <c r="AC34" i="208"/>
  <c r="AB34" i="208"/>
  <c r="Z34" i="208"/>
  <c r="X34" i="208"/>
  <c r="Q34" i="208"/>
  <c r="P34" i="208"/>
  <c r="H34" i="208"/>
  <c r="E34" i="208"/>
  <c r="AD33" i="208"/>
  <c r="AC33" i="208"/>
  <c r="AB33" i="208"/>
  <c r="Z33" i="208"/>
  <c r="X33" i="208"/>
  <c r="Q33" i="208"/>
  <c r="P33" i="208"/>
  <c r="H33" i="208"/>
  <c r="E33" i="208"/>
  <c r="AD32" i="208"/>
  <c r="AC32" i="208"/>
  <c r="AB32" i="208"/>
  <c r="Z32" i="208"/>
  <c r="X32" i="208"/>
  <c r="Q32" i="208"/>
  <c r="P32" i="208"/>
  <c r="H32" i="208"/>
  <c r="E32" i="208"/>
  <c r="AE31" i="208"/>
  <c r="Z31" i="208"/>
  <c r="X31" i="208"/>
  <c r="Q31" i="208"/>
  <c r="P31" i="208"/>
  <c r="H31" i="208"/>
  <c r="E31" i="208"/>
  <c r="AD30" i="208"/>
  <c r="AC30" i="208"/>
  <c r="AB30" i="208"/>
  <c r="Z30" i="208"/>
  <c r="X30" i="208"/>
  <c r="Q30" i="208"/>
  <c r="P30" i="208"/>
  <c r="H30" i="208"/>
  <c r="E30" i="208"/>
  <c r="AD29" i="208"/>
  <c r="AC29" i="208"/>
  <c r="AB29" i="208"/>
  <c r="Z29" i="208"/>
  <c r="X29" i="208"/>
  <c r="Q29" i="208"/>
  <c r="P29" i="208"/>
  <c r="H29" i="208"/>
  <c r="E29" i="208"/>
  <c r="AD28" i="208"/>
  <c r="AC28" i="208"/>
  <c r="AB28" i="208"/>
  <c r="Z28" i="208"/>
  <c r="X28" i="208"/>
  <c r="Q28" i="208"/>
  <c r="P28" i="208"/>
  <c r="H28" i="208"/>
  <c r="E28" i="208"/>
  <c r="AD27" i="208"/>
  <c r="AC27" i="208"/>
  <c r="AB27" i="208"/>
  <c r="Z27" i="208"/>
  <c r="X27" i="208"/>
  <c r="Q27" i="208"/>
  <c r="P27" i="208"/>
  <c r="H27" i="208"/>
  <c r="E27" i="208"/>
  <c r="AD26" i="208"/>
  <c r="AC26" i="208"/>
  <c r="AB26" i="208"/>
  <c r="Z26" i="208"/>
  <c r="X26" i="208"/>
  <c r="Q26" i="208"/>
  <c r="P26" i="208"/>
  <c r="H26" i="208"/>
  <c r="E26" i="208"/>
  <c r="AD25" i="208"/>
  <c r="AC25" i="208"/>
  <c r="AB25" i="208"/>
  <c r="Z25" i="208"/>
  <c r="X25" i="208"/>
  <c r="Q25" i="208"/>
  <c r="P25" i="208"/>
  <c r="H25" i="208"/>
  <c r="E25" i="208"/>
  <c r="AD24" i="208"/>
  <c r="AC24" i="208"/>
  <c r="AB24" i="208"/>
  <c r="Z24" i="208"/>
  <c r="X24" i="208"/>
  <c r="Q24" i="208"/>
  <c r="P24" i="208"/>
  <c r="H24" i="208"/>
  <c r="E24" i="208"/>
  <c r="AD23" i="208"/>
  <c r="AC23" i="208"/>
  <c r="AB23" i="208"/>
  <c r="Z23" i="208"/>
  <c r="X23" i="208"/>
  <c r="Q23" i="208"/>
  <c r="P23" i="208"/>
  <c r="I23" i="208"/>
  <c r="H23" i="208"/>
  <c r="E23" i="208"/>
  <c r="AD22" i="208"/>
  <c r="AC22" i="208"/>
  <c r="AB22" i="208"/>
  <c r="Z22" i="208"/>
  <c r="X22" i="208"/>
  <c r="Q22" i="208"/>
  <c r="P22" i="208"/>
  <c r="H22" i="208"/>
  <c r="E22" i="208"/>
  <c r="AD21" i="208"/>
  <c r="AC21" i="208"/>
  <c r="AB21" i="208"/>
  <c r="Z21" i="208"/>
  <c r="X21" i="208"/>
  <c r="Q21" i="208"/>
  <c r="P21" i="208"/>
  <c r="H21" i="208"/>
  <c r="E21" i="208"/>
  <c r="AD20" i="208"/>
  <c r="AC20" i="208"/>
  <c r="AB20" i="208"/>
  <c r="Z20" i="208"/>
  <c r="X20" i="208"/>
  <c r="Q20" i="208"/>
  <c r="P20" i="208"/>
  <c r="H20" i="208"/>
  <c r="E20" i="208"/>
  <c r="AD19" i="208"/>
  <c r="AC19" i="208"/>
  <c r="AB19" i="208"/>
  <c r="Z19" i="208"/>
  <c r="X19" i="208"/>
  <c r="Q19" i="208"/>
  <c r="P19" i="208"/>
  <c r="H19" i="208"/>
  <c r="E19" i="208"/>
  <c r="AD18" i="208"/>
  <c r="AC18" i="208"/>
  <c r="AB18" i="208"/>
  <c r="Z18" i="208"/>
  <c r="X18" i="208"/>
  <c r="Q18" i="208"/>
  <c r="P18" i="208"/>
  <c r="H18" i="208"/>
  <c r="E18" i="208"/>
  <c r="AD17" i="208"/>
  <c r="AC17" i="208"/>
  <c r="AB17" i="208"/>
  <c r="Z17" i="208"/>
  <c r="X17" i="208"/>
  <c r="Q17" i="208"/>
  <c r="P17" i="208"/>
  <c r="H17" i="208"/>
  <c r="E17" i="208"/>
  <c r="AD16" i="208"/>
  <c r="AC16" i="208"/>
  <c r="AB16" i="208"/>
  <c r="Z16" i="208"/>
  <c r="X16" i="208"/>
  <c r="Q16" i="208"/>
  <c r="P16" i="208"/>
  <c r="E16" i="208"/>
  <c r="AD15" i="208"/>
  <c r="AC15" i="208"/>
  <c r="AB15" i="208"/>
  <c r="Z15" i="208"/>
  <c r="X15" i="208"/>
  <c r="Q15" i="208"/>
  <c r="P15" i="208"/>
  <c r="E15" i="208"/>
  <c r="AD14" i="208"/>
  <c r="AC14" i="208"/>
  <c r="AB14" i="208"/>
  <c r="Z14" i="208"/>
  <c r="X14" i="208"/>
  <c r="Q14" i="208"/>
  <c r="P14" i="208"/>
  <c r="H14" i="208"/>
  <c r="E14" i="208"/>
  <c r="AD13" i="208"/>
  <c r="AC13" i="208"/>
  <c r="AB13" i="208"/>
  <c r="Z13" i="208"/>
  <c r="X13" i="208"/>
  <c r="Q13" i="208"/>
  <c r="P13" i="208"/>
  <c r="H13" i="208"/>
  <c r="E13" i="208"/>
  <c r="AD12" i="208"/>
  <c r="AC12" i="208"/>
  <c r="AB12" i="208"/>
  <c r="Z12" i="208"/>
  <c r="X12" i="208"/>
  <c r="Q12" i="208"/>
  <c r="P12" i="208"/>
  <c r="H12" i="208"/>
  <c r="E12" i="208"/>
  <c r="M79" i="207"/>
  <c r="P71" i="207"/>
  <c r="H71" i="207"/>
  <c r="Q70" i="207"/>
  <c r="P70" i="207"/>
  <c r="H70" i="207"/>
  <c r="E70" i="207"/>
  <c r="Q69" i="207"/>
  <c r="P69" i="207"/>
  <c r="H69" i="207"/>
  <c r="E69" i="207"/>
  <c r="AD68" i="207"/>
  <c r="AC68" i="207"/>
  <c r="AB68" i="207"/>
  <c r="Z68" i="207"/>
  <c r="X68" i="207"/>
  <c r="Q68" i="207"/>
  <c r="P68" i="207"/>
  <c r="H68" i="207"/>
  <c r="E68" i="207"/>
  <c r="AD67" i="207"/>
  <c r="AC67" i="207"/>
  <c r="AB67" i="207"/>
  <c r="Z67" i="207"/>
  <c r="X67" i="207"/>
  <c r="Q67" i="207"/>
  <c r="P67" i="207"/>
  <c r="H67" i="207"/>
  <c r="E67" i="207"/>
  <c r="AD66" i="207"/>
  <c r="AC66" i="207"/>
  <c r="AB66" i="207"/>
  <c r="Z66" i="207"/>
  <c r="X66" i="207"/>
  <c r="Q66" i="207"/>
  <c r="P66" i="207"/>
  <c r="H66" i="207"/>
  <c r="E66" i="207"/>
  <c r="AD65" i="207"/>
  <c r="AC65" i="207"/>
  <c r="AB65" i="207"/>
  <c r="Z65" i="207"/>
  <c r="X65" i="207"/>
  <c r="Q65" i="207"/>
  <c r="P65" i="207"/>
  <c r="H65" i="207"/>
  <c r="E65" i="207"/>
  <c r="AD64" i="207"/>
  <c r="AC64" i="207"/>
  <c r="AB64" i="207"/>
  <c r="Z64" i="207"/>
  <c r="X64" i="207"/>
  <c r="Q64" i="207"/>
  <c r="P64" i="207"/>
  <c r="H64" i="207"/>
  <c r="E64" i="207"/>
  <c r="AD63" i="207"/>
  <c r="AC63" i="207"/>
  <c r="AB63" i="207"/>
  <c r="Z63" i="207"/>
  <c r="X63" i="207"/>
  <c r="Q63" i="207"/>
  <c r="P63" i="207"/>
  <c r="H63" i="207"/>
  <c r="E63" i="207"/>
  <c r="AD62" i="207"/>
  <c r="AC62" i="207"/>
  <c r="AB62" i="207"/>
  <c r="Z62" i="207"/>
  <c r="X62" i="207"/>
  <c r="Q62" i="207"/>
  <c r="P62" i="207"/>
  <c r="H62" i="207"/>
  <c r="E62" i="207"/>
  <c r="AC61" i="207"/>
  <c r="AB61" i="207"/>
  <c r="X61" i="207"/>
  <c r="Q61" i="207"/>
  <c r="P61" i="207"/>
  <c r="H61" i="207"/>
  <c r="E61" i="207"/>
  <c r="AE60" i="207"/>
  <c r="X60" i="207"/>
  <c r="Q60" i="207"/>
  <c r="P60" i="207"/>
  <c r="H60" i="207"/>
  <c r="E60" i="207"/>
  <c r="AC59" i="207"/>
  <c r="AB59" i="207"/>
  <c r="X59" i="207"/>
  <c r="Q59" i="207"/>
  <c r="P59" i="207"/>
  <c r="H59" i="207"/>
  <c r="E59" i="207"/>
  <c r="AC58" i="207"/>
  <c r="AB58" i="207"/>
  <c r="X58" i="207"/>
  <c r="Q58" i="207"/>
  <c r="P58" i="207"/>
  <c r="E58" i="207"/>
  <c r="AC57" i="207"/>
  <c r="AB57" i="207"/>
  <c r="X57" i="207"/>
  <c r="Q57" i="207"/>
  <c r="P57" i="207"/>
  <c r="H57" i="207"/>
  <c r="E57" i="207"/>
  <c r="AD56" i="207"/>
  <c r="AC56" i="207"/>
  <c r="AB56" i="207"/>
  <c r="Z56" i="207"/>
  <c r="X56" i="207"/>
  <c r="Q56" i="207"/>
  <c r="P56" i="207"/>
  <c r="H56" i="207"/>
  <c r="E56" i="207"/>
  <c r="AD55" i="207"/>
  <c r="AC55" i="207"/>
  <c r="AB55" i="207"/>
  <c r="Z55" i="207"/>
  <c r="X55" i="207"/>
  <c r="Q55" i="207"/>
  <c r="P55" i="207"/>
  <c r="H55" i="207"/>
  <c r="E55" i="207"/>
  <c r="AD54" i="207"/>
  <c r="AC54" i="207"/>
  <c r="AB54" i="207"/>
  <c r="Z54" i="207"/>
  <c r="X54" i="207"/>
  <c r="Q54" i="207"/>
  <c r="P54" i="207"/>
  <c r="H54" i="207"/>
  <c r="E54" i="207"/>
  <c r="AD53" i="207"/>
  <c r="AC53" i="207"/>
  <c r="AB53" i="207"/>
  <c r="Z53" i="207"/>
  <c r="X53" i="207"/>
  <c r="Q53" i="207"/>
  <c r="P53" i="207"/>
  <c r="H53" i="207"/>
  <c r="E53" i="207"/>
  <c r="AE52" i="207"/>
  <c r="Z52" i="207"/>
  <c r="X52" i="207"/>
  <c r="Q52" i="207"/>
  <c r="P52" i="207"/>
  <c r="H52" i="207"/>
  <c r="E52" i="207"/>
  <c r="AD51" i="207"/>
  <c r="AC51" i="207"/>
  <c r="AB51" i="207"/>
  <c r="Z51" i="207"/>
  <c r="X51" i="207"/>
  <c r="Q51" i="207"/>
  <c r="P51" i="207"/>
  <c r="H51" i="207"/>
  <c r="E51" i="207"/>
  <c r="AD50" i="207"/>
  <c r="AC50" i="207"/>
  <c r="AB50" i="207"/>
  <c r="Z50" i="207"/>
  <c r="X50" i="207"/>
  <c r="Q50" i="207"/>
  <c r="P50" i="207"/>
  <c r="H50" i="207"/>
  <c r="E50" i="207"/>
  <c r="AE49" i="207"/>
  <c r="Z49" i="207"/>
  <c r="X49" i="207"/>
  <c r="Q49" i="207"/>
  <c r="P49" i="207"/>
  <c r="H49" i="207"/>
  <c r="E49" i="207"/>
  <c r="AE48" i="207"/>
  <c r="Z48" i="207"/>
  <c r="X48" i="207"/>
  <c r="Q48" i="207"/>
  <c r="P48" i="207"/>
  <c r="H48" i="207"/>
  <c r="E48" i="207"/>
  <c r="AE47" i="207"/>
  <c r="Z47" i="207"/>
  <c r="X47" i="207"/>
  <c r="Q47" i="207"/>
  <c r="P47" i="207"/>
  <c r="H47" i="207"/>
  <c r="E47" i="207"/>
  <c r="AD46" i="207"/>
  <c r="AC46" i="207"/>
  <c r="AB46" i="207"/>
  <c r="Z46" i="207"/>
  <c r="X46" i="207"/>
  <c r="Q46" i="207"/>
  <c r="P46" i="207"/>
  <c r="H46" i="207"/>
  <c r="E46" i="207"/>
  <c r="AD45" i="207"/>
  <c r="AC45" i="207"/>
  <c r="AB45" i="207"/>
  <c r="Z45" i="207"/>
  <c r="X45" i="207"/>
  <c r="Q45" i="207"/>
  <c r="P45" i="207"/>
  <c r="H45" i="207"/>
  <c r="E45" i="207"/>
  <c r="AD44" i="207"/>
  <c r="AC44" i="207"/>
  <c r="AB44" i="207"/>
  <c r="Z44" i="207"/>
  <c r="X44" i="207"/>
  <c r="Q44" i="207"/>
  <c r="P44" i="207"/>
  <c r="I44" i="207"/>
  <c r="H44" i="207"/>
  <c r="E44" i="207"/>
  <c r="AD43" i="207"/>
  <c r="AC43" i="207"/>
  <c r="AB43" i="207"/>
  <c r="Z43" i="207"/>
  <c r="X43" i="207"/>
  <c r="Q43" i="207"/>
  <c r="P43" i="207"/>
  <c r="H43" i="207"/>
  <c r="E43" i="207"/>
  <c r="AD42" i="207"/>
  <c r="AC42" i="207"/>
  <c r="AB42" i="207"/>
  <c r="Z42" i="207"/>
  <c r="X42" i="207"/>
  <c r="Q42" i="207"/>
  <c r="P42" i="207"/>
  <c r="H42" i="207"/>
  <c r="E42" i="207"/>
  <c r="AD41" i="207"/>
  <c r="AC41" i="207"/>
  <c r="AB41" i="207"/>
  <c r="Z41" i="207"/>
  <c r="X41" i="207"/>
  <c r="Q41" i="207"/>
  <c r="P41" i="207"/>
  <c r="H41" i="207"/>
  <c r="E41" i="207"/>
  <c r="AD40" i="207"/>
  <c r="AC40" i="207"/>
  <c r="AB40" i="207"/>
  <c r="Z40" i="207"/>
  <c r="X40" i="207"/>
  <c r="Q40" i="207"/>
  <c r="P40" i="207"/>
  <c r="H40" i="207"/>
  <c r="E40" i="207"/>
  <c r="AD39" i="207"/>
  <c r="AC39" i="207"/>
  <c r="AB39" i="207"/>
  <c r="Z39" i="207"/>
  <c r="X39" i="207"/>
  <c r="Q39" i="207"/>
  <c r="P39" i="207"/>
  <c r="H39" i="207"/>
  <c r="E39" i="207"/>
  <c r="AD38" i="207"/>
  <c r="AC38" i="207"/>
  <c r="AB38" i="207"/>
  <c r="Z38" i="207"/>
  <c r="X38" i="207"/>
  <c r="Q38" i="207"/>
  <c r="P38" i="207"/>
  <c r="H38" i="207"/>
  <c r="E38" i="207"/>
  <c r="AD37" i="207"/>
  <c r="AC37" i="207"/>
  <c r="AB37" i="207"/>
  <c r="Z37" i="207"/>
  <c r="X37" i="207"/>
  <c r="Q37" i="207"/>
  <c r="P37" i="207"/>
  <c r="H37" i="207"/>
  <c r="E37" i="207"/>
  <c r="AD36" i="207"/>
  <c r="AC36" i="207"/>
  <c r="AB36" i="207"/>
  <c r="Z36" i="207"/>
  <c r="X36" i="207"/>
  <c r="Q36" i="207"/>
  <c r="P36" i="207"/>
  <c r="H36" i="207"/>
  <c r="E36" i="207"/>
  <c r="AD35" i="207"/>
  <c r="AC35" i="207"/>
  <c r="AB35" i="207"/>
  <c r="Z35" i="207"/>
  <c r="X35" i="207"/>
  <c r="Q35" i="207"/>
  <c r="P35" i="207"/>
  <c r="H35" i="207"/>
  <c r="E35" i="207"/>
  <c r="AD34" i="207"/>
  <c r="AC34" i="207"/>
  <c r="AB34" i="207"/>
  <c r="Z34" i="207"/>
  <c r="X34" i="207"/>
  <c r="Q34" i="207"/>
  <c r="P34" i="207"/>
  <c r="H34" i="207"/>
  <c r="E34" i="207"/>
  <c r="AD33" i="207"/>
  <c r="AC33" i="207"/>
  <c r="AB33" i="207"/>
  <c r="Z33" i="207"/>
  <c r="X33" i="207"/>
  <c r="Q33" i="207"/>
  <c r="P33" i="207"/>
  <c r="H33" i="207"/>
  <c r="E33" i="207"/>
  <c r="AD32" i="207"/>
  <c r="AC32" i="207"/>
  <c r="AB32" i="207"/>
  <c r="Z32" i="207"/>
  <c r="X32" i="207"/>
  <c r="Q32" i="207"/>
  <c r="P32" i="207"/>
  <c r="H32" i="207"/>
  <c r="E32" i="207"/>
  <c r="AE31" i="207"/>
  <c r="Z31" i="207"/>
  <c r="X31" i="207"/>
  <c r="Q31" i="207"/>
  <c r="P31" i="207"/>
  <c r="H31" i="207"/>
  <c r="E31" i="207"/>
  <c r="AD30" i="207"/>
  <c r="AC30" i="207"/>
  <c r="AB30" i="207"/>
  <c r="Z30" i="207"/>
  <c r="X30" i="207"/>
  <c r="Q30" i="207"/>
  <c r="P30" i="207"/>
  <c r="H30" i="207"/>
  <c r="E30" i="207"/>
  <c r="AD29" i="207"/>
  <c r="AC29" i="207"/>
  <c r="AB29" i="207"/>
  <c r="Z29" i="207"/>
  <c r="X29" i="207"/>
  <c r="Q29" i="207"/>
  <c r="P29" i="207"/>
  <c r="H29" i="207"/>
  <c r="E29" i="207"/>
  <c r="AD28" i="207"/>
  <c r="AC28" i="207"/>
  <c r="AB28" i="207"/>
  <c r="Z28" i="207"/>
  <c r="X28" i="207"/>
  <c r="Q28" i="207"/>
  <c r="P28" i="207"/>
  <c r="H28" i="207"/>
  <c r="E28" i="207"/>
  <c r="AD27" i="207"/>
  <c r="AC27" i="207"/>
  <c r="AB27" i="207"/>
  <c r="Z27" i="207"/>
  <c r="X27" i="207"/>
  <c r="Q27" i="207"/>
  <c r="P27" i="207"/>
  <c r="H27" i="207"/>
  <c r="E27" i="207"/>
  <c r="AD26" i="207"/>
  <c r="AC26" i="207"/>
  <c r="AB26" i="207"/>
  <c r="Z26" i="207"/>
  <c r="X26" i="207"/>
  <c r="Q26" i="207"/>
  <c r="P26" i="207"/>
  <c r="H26" i="207"/>
  <c r="E26" i="207"/>
  <c r="AD25" i="207"/>
  <c r="AC25" i="207"/>
  <c r="AB25" i="207"/>
  <c r="Z25" i="207"/>
  <c r="X25" i="207"/>
  <c r="Q25" i="207"/>
  <c r="P25" i="207"/>
  <c r="H25" i="207"/>
  <c r="E25" i="207"/>
  <c r="AD24" i="207"/>
  <c r="AC24" i="207"/>
  <c r="AB24" i="207"/>
  <c r="Z24" i="207"/>
  <c r="X24" i="207"/>
  <c r="Q24" i="207"/>
  <c r="P24" i="207"/>
  <c r="H24" i="207"/>
  <c r="E24" i="207"/>
  <c r="AD23" i="207"/>
  <c r="AC23" i="207"/>
  <c r="AB23" i="207"/>
  <c r="Z23" i="207"/>
  <c r="X23" i="207"/>
  <c r="Q23" i="207"/>
  <c r="P23" i="207"/>
  <c r="H23" i="207"/>
  <c r="E23" i="207"/>
  <c r="AD22" i="207"/>
  <c r="AC22" i="207"/>
  <c r="AB22" i="207"/>
  <c r="Z22" i="207"/>
  <c r="X22" i="207"/>
  <c r="Q22" i="207"/>
  <c r="P22" i="207"/>
  <c r="H22" i="207"/>
  <c r="E22" i="207"/>
  <c r="AD21" i="207"/>
  <c r="AC21" i="207"/>
  <c r="AB21" i="207"/>
  <c r="Z21" i="207"/>
  <c r="X21" i="207"/>
  <c r="Q21" i="207"/>
  <c r="P21" i="207"/>
  <c r="H21" i="207"/>
  <c r="E21" i="207"/>
  <c r="AD20" i="207"/>
  <c r="AC20" i="207"/>
  <c r="AB20" i="207"/>
  <c r="Z20" i="207"/>
  <c r="X20" i="207"/>
  <c r="Q20" i="207"/>
  <c r="P20" i="207"/>
  <c r="H20" i="207"/>
  <c r="E20" i="207"/>
  <c r="AD19" i="207"/>
  <c r="AC19" i="207"/>
  <c r="AB19" i="207"/>
  <c r="Z19" i="207"/>
  <c r="X19" i="207"/>
  <c r="Q19" i="207"/>
  <c r="P19" i="207"/>
  <c r="I19" i="207"/>
  <c r="H19" i="207"/>
  <c r="E19" i="207"/>
  <c r="AD18" i="207"/>
  <c r="AC18" i="207"/>
  <c r="AB18" i="207"/>
  <c r="Z18" i="207"/>
  <c r="X18" i="207"/>
  <c r="Q18" i="207"/>
  <c r="P18" i="207"/>
  <c r="H18" i="207"/>
  <c r="E18" i="207"/>
  <c r="AD17" i="207"/>
  <c r="AC17" i="207"/>
  <c r="AB17" i="207"/>
  <c r="Z17" i="207"/>
  <c r="X17" i="207"/>
  <c r="Q17" i="207"/>
  <c r="P17" i="207"/>
  <c r="H17" i="207"/>
  <c r="E17" i="207"/>
  <c r="AD16" i="207"/>
  <c r="AC16" i="207"/>
  <c r="AB16" i="207"/>
  <c r="Z16" i="207"/>
  <c r="X16" i="207"/>
  <c r="Q16" i="207"/>
  <c r="P16" i="207"/>
  <c r="E16" i="207"/>
  <c r="AD15" i="207"/>
  <c r="AC15" i="207"/>
  <c r="AB15" i="207"/>
  <c r="Z15" i="207"/>
  <c r="X15" i="207"/>
  <c r="Q15" i="207"/>
  <c r="P15" i="207"/>
  <c r="E15" i="207"/>
  <c r="AD14" i="207"/>
  <c r="AC14" i="207"/>
  <c r="AB14" i="207"/>
  <c r="Z14" i="207"/>
  <c r="X14" i="207"/>
  <c r="Q14" i="207"/>
  <c r="P14" i="207"/>
  <c r="H14" i="207"/>
  <c r="E14" i="207"/>
  <c r="AD13" i="207"/>
  <c r="AC13" i="207"/>
  <c r="AB13" i="207"/>
  <c r="Z13" i="207"/>
  <c r="X13" i="207"/>
  <c r="Q13" i="207"/>
  <c r="P13" i="207"/>
  <c r="H13" i="207"/>
  <c r="E13" i="207"/>
  <c r="AD12" i="207"/>
  <c r="AC12" i="207"/>
  <c r="AB12" i="207"/>
  <c r="Z12" i="207"/>
  <c r="X12" i="207"/>
  <c r="Q12" i="207"/>
  <c r="P12" i="207"/>
  <c r="H12" i="207"/>
  <c r="E12" i="207"/>
  <c r="M79" i="206"/>
  <c r="P71" i="206"/>
  <c r="H71" i="206"/>
  <c r="Q70" i="206"/>
  <c r="P70" i="206"/>
  <c r="H70" i="206"/>
  <c r="E70" i="206"/>
  <c r="Q69" i="206"/>
  <c r="P69" i="206"/>
  <c r="H69" i="206"/>
  <c r="E69" i="206"/>
  <c r="AD68" i="206"/>
  <c r="AC68" i="206"/>
  <c r="AB68" i="206"/>
  <c r="Z68" i="206"/>
  <c r="X68" i="206"/>
  <c r="Q68" i="206"/>
  <c r="P68" i="206"/>
  <c r="H68" i="206"/>
  <c r="E68" i="206"/>
  <c r="AD67" i="206"/>
  <c r="AC67" i="206"/>
  <c r="AB67" i="206"/>
  <c r="Z67" i="206"/>
  <c r="X67" i="206"/>
  <c r="Q67" i="206"/>
  <c r="P67" i="206"/>
  <c r="H67" i="206"/>
  <c r="E67" i="206"/>
  <c r="AD66" i="206"/>
  <c r="AC66" i="206"/>
  <c r="AB66" i="206"/>
  <c r="Z66" i="206"/>
  <c r="X66" i="206"/>
  <c r="Q66" i="206"/>
  <c r="P66" i="206"/>
  <c r="H66" i="206"/>
  <c r="E66" i="206"/>
  <c r="AD65" i="206"/>
  <c r="AC65" i="206"/>
  <c r="AB65" i="206"/>
  <c r="Z65" i="206"/>
  <c r="X65" i="206"/>
  <c r="Q65" i="206"/>
  <c r="P65" i="206"/>
  <c r="H65" i="206"/>
  <c r="E65" i="206"/>
  <c r="AD64" i="206"/>
  <c r="AC64" i="206"/>
  <c r="AB64" i="206"/>
  <c r="Z64" i="206"/>
  <c r="X64" i="206"/>
  <c r="Q64" i="206"/>
  <c r="P64" i="206"/>
  <c r="H64" i="206"/>
  <c r="E64" i="206"/>
  <c r="AD63" i="206"/>
  <c r="AC63" i="206"/>
  <c r="AB63" i="206"/>
  <c r="Z63" i="206"/>
  <c r="X63" i="206"/>
  <c r="Q63" i="206"/>
  <c r="P63" i="206"/>
  <c r="H63" i="206"/>
  <c r="E63" i="206"/>
  <c r="AE62" i="206"/>
  <c r="AD62" i="206"/>
  <c r="AC62" i="206"/>
  <c r="AB62" i="206"/>
  <c r="Z62" i="206"/>
  <c r="X62" i="206"/>
  <c r="Q62" i="206"/>
  <c r="P62" i="206"/>
  <c r="H62" i="206"/>
  <c r="E62" i="206"/>
  <c r="AC61" i="206"/>
  <c r="AB61" i="206"/>
  <c r="X61" i="206"/>
  <c r="Q61" i="206"/>
  <c r="P61" i="206"/>
  <c r="H61" i="206"/>
  <c r="E61" i="206"/>
  <c r="AE60" i="206"/>
  <c r="X60" i="206"/>
  <c r="Q60" i="206"/>
  <c r="P60" i="206"/>
  <c r="H60" i="206"/>
  <c r="E60" i="206"/>
  <c r="AC59" i="206"/>
  <c r="AB59" i="206"/>
  <c r="X59" i="206"/>
  <c r="Q59" i="206"/>
  <c r="P59" i="206"/>
  <c r="H59" i="206"/>
  <c r="E59" i="206"/>
  <c r="AC58" i="206"/>
  <c r="AB58" i="206"/>
  <c r="X58" i="206"/>
  <c r="Q58" i="206"/>
  <c r="P58" i="206"/>
  <c r="E58" i="206"/>
  <c r="AC57" i="206"/>
  <c r="AB57" i="206"/>
  <c r="X57" i="206"/>
  <c r="Q57" i="206"/>
  <c r="P57" i="206"/>
  <c r="H57" i="206"/>
  <c r="E57" i="206"/>
  <c r="AD56" i="206"/>
  <c r="AC56" i="206"/>
  <c r="AB56" i="206"/>
  <c r="Z56" i="206"/>
  <c r="X56" i="206"/>
  <c r="Q56" i="206"/>
  <c r="P56" i="206"/>
  <c r="H56" i="206"/>
  <c r="E56" i="206"/>
  <c r="AD55" i="206"/>
  <c r="AC55" i="206"/>
  <c r="AB55" i="206"/>
  <c r="Z55" i="206"/>
  <c r="X55" i="206"/>
  <c r="Q55" i="206"/>
  <c r="P55" i="206"/>
  <c r="H55" i="206"/>
  <c r="E55" i="206"/>
  <c r="AD54" i="206"/>
  <c r="AC54" i="206"/>
  <c r="AB54" i="206"/>
  <c r="Z54" i="206"/>
  <c r="X54" i="206"/>
  <c r="Q54" i="206"/>
  <c r="P54" i="206"/>
  <c r="H54" i="206"/>
  <c r="E54" i="206"/>
  <c r="AD53" i="206"/>
  <c r="AC53" i="206"/>
  <c r="AB53" i="206"/>
  <c r="Z53" i="206"/>
  <c r="X53" i="206"/>
  <c r="Q53" i="206"/>
  <c r="P53" i="206"/>
  <c r="H53" i="206"/>
  <c r="E53" i="206"/>
  <c r="AE52" i="206"/>
  <c r="Z52" i="206"/>
  <c r="X52" i="206"/>
  <c r="Q52" i="206"/>
  <c r="P52" i="206"/>
  <c r="H52" i="206"/>
  <c r="E52" i="206"/>
  <c r="AD51" i="206"/>
  <c r="AC51" i="206"/>
  <c r="AB51" i="206"/>
  <c r="Z51" i="206"/>
  <c r="X51" i="206"/>
  <c r="Q51" i="206"/>
  <c r="P51" i="206"/>
  <c r="H51" i="206"/>
  <c r="E51" i="206"/>
  <c r="AD50" i="206"/>
  <c r="AC50" i="206"/>
  <c r="AB50" i="206"/>
  <c r="Z50" i="206"/>
  <c r="X50" i="206"/>
  <c r="Q50" i="206"/>
  <c r="P50" i="206"/>
  <c r="H50" i="206"/>
  <c r="E50" i="206"/>
  <c r="AE49" i="206"/>
  <c r="Z49" i="206"/>
  <c r="X49" i="206"/>
  <c r="Q49" i="206"/>
  <c r="P49" i="206"/>
  <c r="H49" i="206"/>
  <c r="E49" i="206"/>
  <c r="AE48" i="206"/>
  <c r="Z48" i="206"/>
  <c r="X48" i="206"/>
  <c r="Q48" i="206"/>
  <c r="P48" i="206"/>
  <c r="H48" i="206"/>
  <c r="E48" i="206"/>
  <c r="AE47" i="206"/>
  <c r="Z47" i="206"/>
  <c r="X47" i="206"/>
  <c r="Q47" i="206"/>
  <c r="P47" i="206"/>
  <c r="H47" i="206"/>
  <c r="E47" i="206"/>
  <c r="AD46" i="206"/>
  <c r="AC46" i="206"/>
  <c r="AB46" i="206"/>
  <c r="Z46" i="206"/>
  <c r="X46" i="206"/>
  <c r="Q46" i="206"/>
  <c r="P46" i="206"/>
  <c r="H46" i="206"/>
  <c r="E46" i="206"/>
  <c r="AD45" i="206"/>
  <c r="AC45" i="206"/>
  <c r="AB45" i="206"/>
  <c r="Z45" i="206"/>
  <c r="X45" i="206"/>
  <c r="Q45" i="206"/>
  <c r="P45" i="206"/>
  <c r="H45" i="206"/>
  <c r="E45" i="206"/>
  <c r="AD44" i="206"/>
  <c r="AC44" i="206"/>
  <c r="AB44" i="206"/>
  <c r="Z44" i="206"/>
  <c r="X44" i="206"/>
  <c r="Q44" i="206"/>
  <c r="P44" i="206"/>
  <c r="H44" i="206"/>
  <c r="E44" i="206"/>
  <c r="AD43" i="206"/>
  <c r="AC43" i="206"/>
  <c r="AB43" i="206"/>
  <c r="Z43" i="206"/>
  <c r="X43" i="206"/>
  <c r="Q43" i="206"/>
  <c r="P43" i="206"/>
  <c r="H43" i="206"/>
  <c r="E43" i="206"/>
  <c r="AD42" i="206"/>
  <c r="AC42" i="206"/>
  <c r="AB42" i="206"/>
  <c r="Z42" i="206"/>
  <c r="X42" i="206"/>
  <c r="Q42" i="206"/>
  <c r="P42" i="206"/>
  <c r="H42" i="206"/>
  <c r="E42" i="206"/>
  <c r="AD41" i="206"/>
  <c r="AC41" i="206"/>
  <c r="AB41" i="206"/>
  <c r="Z41" i="206"/>
  <c r="X41" i="206"/>
  <c r="Q41" i="206"/>
  <c r="P41" i="206"/>
  <c r="H41" i="206"/>
  <c r="E41" i="206"/>
  <c r="AD40" i="206"/>
  <c r="AC40" i="206"/>
  <c r="AB40" i="206"/>
  <c r="Z40" i="206"/>
  <c r="X40" i="206"/>
  <c r="Q40" i="206"/>
  <c r="P40" i="206"/>
  <c r="H40" i="206"/>
  <c r="E40" i="206"/>
  <c r="AD39" i="206"/>
  <c r="AC39" i="206"/>
  <c r="AB39" i="206"/>
  <c r="Z39" i="206"/>
  <c r="X39" i="206"/>
  <c r="Q39" i="206"/>
  <c r="P39" i="206"/>
  <c r="H39" i="206"/>
  <c r="E39" i="206"/>
  <c r="AD38" i="206"/>
  <c r="AC38" i="206"/>
  <c r="AB38" i="206"/>
  <c r="Z38" i="206"/>
  <c r="X38" i="206"/>
  <c r="Q38" i="206"/>
  <c r="P38" i="206"/>
  <c r="H38" i="206"/>
  <c r="E38" i="206"/>
  <c r="AD37" i="206"/>
  <c r="AC37" i="206"/>
  <c r="AB37" i="206"/>
  <c r="Z37" i="206"/>
  <c r="X37" i="206"/>
  <c r="Q37" i="206"/>
  <c r="P37" i="206"/>
  <c r="H37" i="206"/>
  <c r="E37" i="206"/>
  <c r="AD36" i="206"/>
  <c r="AC36" i="206"/>
  <c r="AB36" i="206"/>
  <c r="Z36" i="206"/>
  <c r="X36" i="206"/>
  <c r="Q36" i="206"/>
  <c r="P36" i="206"/>
  <c r="H36" i="206"/>
  <c r="E36" i="206"/>
  <c r="AD35" i="206"/>
  <c r="AC35" i="206"/>
  <c r="AB35" i="206"/>
  <c r="Z35" i="206"/>
  <c r="X35" i="206"/>
  <c r="Q35" i="206"/>
  <c r="P35" i="206"/>
  <c r="H35" i="206"/>
  <c r="E35" i="206"/>
  <c r="AD34" i="206"/>
  <c r="AC34" i="206"/>
  <c r="AB34" i="206"/>
  <c r="Z34" i="206"/>
  <c r="X34" i="206"/>
  <c r="Q34" i="206"/>
  <c r="P34" i="206"/>
  <c r="H34" i="206"/>
  <c r="E34" i="206"/>
  <c r="AD33" i="206"/>
  <c r="AC33" i="206"/>
  <c r="AB33" i="206"/>
  <c r="Z33" i="206"/>
  <c r="X33" i="206"/>
  <c r="Q33" i="206"/>
  <c r="P33" i="206"/>
  <c r="H33" i="206"/>
  <c r="E33" i="206"/>
  <c r="AD32" i="206"/>
  <c r="AC32" i="206"/>
  <c r="AB32" i="206"/>
  <c r="Z32" i="206"/>
  <c r="X32" i="206"/>
  <c r="Q32" i="206"/>
  <c r="P32" i="206"/>
  <c r="H32" i="206"/>
  <c r="E32" i="206"/>
  <c r="AE31" i="206"/>
  <c r="Z31" i="206"/>
  <c r="X31" i="206"/>
  <c r="Q31" i="206"/>
  <c r="P31" i="206"/>
  <c r="H31" i="206"/>
  <c r="E31" i="206"/>
  <c r="AD30" i="206"/>
  <c r="AC30" i="206"/>
  <c r="AB30" i="206"/>
  <c r="Z30" i="206"/>
  <c r="X30" i="206"/>
  <c r="Q30" i="206"/>
  <c r="P30" i="206"/>
  <c r="H30" i="206"/>
  <c r="E30" i="206"/>
  <c r="AD29" i="206"/>
  <c r="AC29" i="206"/>
  <c r="AB29" i="206"/>
  <c r="Z29" i="206"/>
  <c r="X29" i="206"/>
  <c r="Q29" i="206"/>
  <c r="P29" i="206"/>
  <c r="H29" i="206"/>
  <c r="E29" i="206"/>
  <c r="AD28" i="206"/>
  <c r="AC28" i="206"/>
  <c r="AB28" i="206"/>
  <c r="Z28" i="206"/>
  <c r="X28" i="206"/>
  <c r="Q28" i="206"/>
  <c r="P28" i="206"/>
  <c r="H28" i="206"/>
  <c r="E28" i="206"/>
  <c r="AD27" i="206"/>
  <c r="AC27" i="206"/>
  <c r="AB27" i="206"/>
  <c r="Z27" i="206"/>
  <c r="X27" i="206"/>
  <c r="Q27" i="206"/>
  <c r="P27" i="206"/>
  <c r="H27" i="206"/>
  <c r="E27" i="206"/>
  <c r="AD26" i="206"/>
  <c r="AC26" i="206"/>
  <c r="AB26" i="206"/>
  <c r="Z26" i="206"/>
  <c r="X26" i="206"/>
  <c r="Q26" i="206"/>
  <c r="P26" i="206"/>
  <c r="H26" i="206"/>
  <c r="E26" i="206"/>
  <c r="AD25" i="206"/>
  <c r="AC25" i="206"/>
  <c r="AB25" i="206"/>
  <c r="Z25" i="206"/>
  <c r="X25" i="206"/>
  <c r="Q25" i="206"/>
  <c r="P25" i="206"/>
  <c r="H25" i="206"/>
  <c r="E25" i="206"/>
  <c r="AD24" i="206"/>
  <c r="AC24" i="206"/>
  <c r="AB24" i="206"/>
  <c r="Z24" i="206"/>
  <c r="X24" i="206"/>
  <c r="Q24" i="206"/>
  <c r="P24" i="206"/>
  <c r="H24" i="206"/>
  <c r="E24" i="206"/>
  <c r="AD23" i="206"/>
  <c r="AC23" i="206"/>
  <c r="AB23" i="206"/>
  <c r="Z23" i="206"/>
  <c r="X23" i="206"/>
  <c r="Q23" i="206"/>
  <c r="P23" i="206"/>
  <c r="H23" i="206"/>
  <c r="E23" i="206"/>
  <c r="AD22" i="206"/>
  <c r="AC22" i="206"/>
  <c r="AB22" i="206"/>
  <c r="Z22" i="206"/>
  <c r="X22" i="206"/>
  <c r="Q22" i="206"/>
  <c r="P22" i="206"/>
  <c r="H22" i="206"/>
  <c r="E22" i="206"/>
  <c r="AD21" i="206"/>
  <c r="AC21" i="206"/>
  <c r="AB21" i="206"/>
  <c r="Z21" i="206"/>
  <c r="X21" i="206"/>
  <c r="Q21" i="206"/>
  <c r="P21" i="206"/>
  <c r="H21" i="206"/>
  <c r="E21" i="206"/>
  <c r="AD20" i="206"/>
  <c r="AC20" i="206"/>
  <c r="AB20" i="206"/>
  <c r="Z20" i="206"/>
  <c r="X20" i="206"/>
  <c r="Q20" i="206"/>
  <c r="P20" i="206"/>
  <c r="H20" i="206"/>
  <c r="E20" i="206"/>
  <c r="AD19" i="206"/>
  <c r="AC19" i="206"/>
  <c r="AB19" i="206"/>
  <c r="Z19" i="206"/>
  <c r="X19" i="206"/>
  <c r="Q19" i="206"/>
  <c r="P19" i="206"/>
  <c r="H19" i="206"/>
  <c r="E19" i="206"/>
  <c r="AD18" i="206"/>
  <c r="AC18" i="206"/>
  <c r="AB18" i="206"/>
  <c r="Z18" i="206"/>
  <c r="X18" i="206"/>
  <c r="Q18" i="206"/>
  <c r="P18" i="206"/>
  <c r="H18" i="206"/>
  <c r="E18" i="206"/>
  <c r="AD17" i="206"/>
  <c r="AC17" i="206"/>
  <c r="AB17" i="206"/>
  <c r="Z17" i="206"/>
  <c r="X17" i="206"/>
  <c r="Q17" i="206"/>
  <c r="P17" i="206"/>
  <c r="H17" i="206"/>
  <c r="E17" i="206"/>
  <c r="AD16" i="206"/>
  <c r="AC16" i="206"/>
  <c r="AB16" i="206"/>
  <c r="Z16" i="206"/>
  <c r="X16" i="206"/>
  <c r="Q16" i="206"/>
  <c r="P16" i="206"/>
  <c r="E16" i="206"/>
  <c r="AD15" i="206"/>
  <c r="AC15" i="206"/>
  <c r="AB15" i="206"/>
  <c r="Z15" i="206"/>
  <c r="X15" i="206"/>
  <c r="Q15" i="206"/>
  <c r="P15" i="206"/>
  <c r="E15" i="206"/>
  <c r="AD14" i="206"/>
  <c r="AC14" i="206"/>
  <c r="AB14" i="206"/>
  <c r="Z14" i="206"/>
  <c r="X14" i="206"/>
  <c r="Q14" i="206"/>
  <c r="P14" i="206"/>
  <c r="H14" i="206"/>
  <c r="E14" i="206"/>
  <c r="AD13" i="206"/>
  <c r="AC13" i="206"/>
  <c r="AB13" i="206"/>
  <c r="Z13" i="206"/>
  <c r="X13" i="206"/>
  <c r="Q13" i="206"/>
  <c r="P13" i="206"/>
  <c r="H13" i="206"/>
  <c r="E13" i="206"/>
  <c r="AD12" i="206"/>
  <c r="AC12" i="206"/>
  <c r="AB12" i="206"/>
  <c r="Z12" i="206"/>
  <c r="X12" i="206"/>
  <c r="Q12" i="206"/>
  <c r="P12" i="206"/>
  <c r="H12" i="206"/>
  <c r="E12" i="206"/>
  <c r="M79" i="205"/>
  <c r="P71" i="205"/>
  <c r="H71" i="205"/>
  <c r="Q70" i="205"/>
  <c r="P70" i="205"/>
  <c r="H70" i="205"/>
  <c r="E70" i="205"/>
  <c r="Q69" i="205"/>
  <c r="P69" i="205"/>
  <c r="H69" i="205"/>
  <c r="E69" i="205"/>
  <c r="AD68" i="205"/>
  <c r="AC68" i="205"/>
  <c r="AB68" i="205"/>
  <c r="Z68" i="205"/>
  <c r="X68" i="205"/>
  <c r="Q68" i="205"/>
  <c r="P68" i="205"/>
  <c r="H68" i="205"/>
  <c r="E68" i="205"/>
  <c r="AD67" i="205"/>
  <c r="AC67" i="205"/>
  <c r="AB67" i="205"/>
  <c r="Z67" i="205"/>
  <c r="X67" i="205"/>
  <c r="Q67" i="205"/>
  <c r="P67" i="205"/>
  <c r="H67" i="205"/>
  <c r="E67" i="205"/>
  <c r="AD66" i="205"/>
  <c r="AC66" i="205"/>
  <c r="AB66" i="205"/>
  <c r="Z66" i="205"/>
  <c r="X66" i="205"/>
  <c r="Q66" i="205"/>
  <c r="P66" i="205"/>
  <c r="H66" i="205"/>
  <c r="E66" i="205"/>
  <c r="AD65" i="205"/>
  <c r="AC65" i="205"/>
  <c r="AB65" i="205"/>
  <c r="Z65" i="205"/>
  <c r="X65" i="205"/>
  <c r="Q65" i="205"/>
  <c r="P65" i="205"/>
  <c r="H65" i="205"/>
  <c r="E65" i="205"/>
  <c r="AD64" i="205"/>
  <c r="AC64" i="205"/>
  <c r="AB64" i="205"/>
  <c r="Z64" i="205"/>
  <c r="X64" i="205"/>
  <c r="Q64" i="205"/>
  <c r="P64" i="205"/>
  <c r="H64" i="205"/>
  <c r="E64" i="205"/>
  <c r="AD63" i="205"/>
  <c r="AC63" i="205"/>
  <c r="AB63" i="205"/>
  <c r="Z63" i="205"/>
  <c r="X63" i="205"/>
  <c r="Q63" i="205"/>
  <c r="P63" i="205"/>
  <c r="H63" i="205"/>
  <c r="E63" i="205"/>
  <c r="AD62" i="205"/>
  <c r="AC62" i="205"/>
  <c r="AB62" i="205"/>
  <c r="Z62" i="205"/>
  <c r="X62" i="205"/>
  <c r="Q62" i="205"/>
  <c r="P62" i="205"/>
  <c r="H62" i="205"/>
  <c r="E62" i="205"/>
  <c r="AC61" i="205"/>
  <c r="AB61" i="205"/>
  <c r="X61" i="205"/>
  <c r="Q61" i="205"/>
  <c r="P61" i="205"/>
  <c r="H61" i="205"/>
  <c r="E61" i="205"/>
  <c r="AE60" i="205"/>
  <c r="X60" i="205"/>
  <c r="Q60" i="205"/>
  <c r="P60" i="205"/>
  <c r="H60" i="205"/>
  <c r="E60" i="205"/>
  <c r="AC59" i="205"/>
  <c r="AB59" i="205"/>
  <c r="X59" i="205"/>
  <c r="Q59" i="205"/>
  <c r="P59" i="205"/>
  <c r="H59" i="205"/>
  <c r="E59" i="205"/>
  <c r="AC58" i="205"/>
  <c r="AB58" i="205"/>
  <c r="X58" i="205"/>
  <c r="Q58" i="205"/>
  <c r="P58" i="205"/>
  <c r="E58" i="205"/>
  <c r="AE57" i="205"/>
  <c r="AC57" i="205"/>
  <c r="AB57" i="205"/>
  <c r="X57" i="205"/>
  <c r="Q57" i="205"/>
  <c r="P57" i="205"/>
  <c r="H57" i="205"/>
  <c r="E57" i="205"/>
  <c r="AD56" i="205"/>
  <c r="AC56" i="205"/>
  <c r="AB56" i="205"/>
  <c r="Z56" i="205"/>
  <c r="X56" i="205"/>
  <c r="Q56" i="205"/>
  <c r="P56" i="205"/>
  <c r="H56" i="205"/>
  <c r="E56" i="205"/>
  <c r="AD55" i="205"/>
  <c r="AC55" i="205"/>
  <c r="AB55" i="205"/>
  <c r="Z55" i="205"/>
  <c r="X55" i="205"/>
  <c r="Q55" i="205"/>
  <c r="P55" i="205"/>
  <c r="H55" i="205"/>
  <c r="E55" i="205"/>
  <c r="AD54" i="205"/>
  <c r="AC54" i="205"/>
  <c r="AB54" i="205"/>
  <c r="Z54" i="205"/>
  <c r="X54" i="205"/>
  <c r="Q54" i="205"/>
  <c r="P54" i="205"/>
  <c r="H54" i="205"/>
  <c r="E54" i="205"/>
  <c r="AE53" i="205"/>
  <c r="AD53" i="205"/>
  <c r="AC53" i="205"/>
  <c r="AB53" i="205"/>
  <c r="Z53" i="205"/>
  <c r="X53" i="205"/>
  <c r="Q53" i="205"/>
  <c r="P53" i="205"/>
  <c r="H53" i="205"/>
  <c r="E53" i="205"/>
  <c r="AE52" i="205"/>
  <c r="Z52" i="205"/>
  <c r="X52" i="205"/>
  <c r="Q52" i="205"/>
  <c r="P52" i="205"/>
  <c r="H52" i="205"/>
  <c r="E52" i="205"/>
  <c r="AD51" i="205"/>
  <c r="AC51" i="205"/>
  <c r="AB51" i="205"/>
  <c r="Z51" i="205"/>
  <c r="X51" i="205"/>
  <c r="Q51" i="205"/>
  <c r="P51" i="205"/>
  <c r="H51" i="205"/>
  <c r="E51" i="205"/>
  <c r="AD50" i="205"/>
  <c r="AC50" i="205"/>
  <c r="AB50" i="205"/>
  <c r="Z50" i="205"/>
  <c r="X50" i="205"/>
  <c r="Q50" i="205"/>
  <c r="P50" i="205"/>
  <c r="H50" i="205"/>
  <c r="E50" i="205"/>
  <c r="AE49" i="205"/>
  <c r="Z49" i="205"/>
  <c r="X49" i="205"/>
  <c r="Q49" i="205"/>
  <c r="P49" i="205"/>
  <c r="H49" i="205"/>
  <c r="E49" i="205"/>
  <c r="AE48" i="205"/>
  <c r="Z48" i="205"/>
  <c r="X48" i="205"/>
  <c r="Q48" i="205"/>
  <c r="P48" i="205"/>
  <c r="H48" i="205"/>
  <c r="E48" i="205"/>
  <c r="AE47" i="205"/>
  <c r="Z47" i="205"/>
  <c r="X47" i="205"/>
  <c r="Q47" i="205"/>
  <c r="P47" i="205"/>
  <c r="H47" i="205"/>
  <c r="E47" i="205"/>
  <c r="AD46" i="205"/>
  <c r="AC46" i="205"/>
  <c r="AB46" i="205"/>
  <c r="Z46" i="205"/>
  <c r="X46" i="205"/>
  <c r="Q46" i="205"/>
  <c r="P46" i="205"/>
  <c r="H46" i="205"/>
  <c r="E46" i="205"/>
  <c r="AD45" i="205"/>
  <c r="AC45" i="205"/>
  <c r="AB45" i="205"/>
  <c r="Z45" i="205"/>
  <c r="X45" i="205"/>
  <c r="Q45" i="205"/>
  <c r="P45" i="205"/>
  <c r="H45" i="205"/>
  <c r="E45" i="205"/>
  <c r="AD44" i="205"/>
  <c r="AC44" i="205"/>
  <c r="AB44" i="205"/>
  <c r="Z44" i="205"/>
  <c r="X44" i="205"/>
  <c r="Q44" i="205"/>
  <c r="P44" i="205"/>
  <c r="H44" i="205"/>
  <c r="E44" i="205"/>
  <c r="AE43" i="205"/>
  <c r="AD43" i="205"/>
  <c r="AC43" i="205"/>
  <c r="AB43" i="205"/>
  <c r="Z43" i="205"/>
  <c r="X43" i="205"/>
  <c r="Q43" i="205"/>
  <c r="P43" i="205"/>
  <c r="H43" i="205"/>
  <c r="E43" i="205"/>
  <c r="AD42" i="205"/>
  <c r="AC42" i="205"/>
  <c r="AB42" i="205"/>
  <c r="Z42" i="205"/>
  <c r="X42" i="205"/>
  <c r="Q42" i="205"/>
  <c r="P42" i="205"/>
  <c r="H42" i="205"/>
  <c r="E42" i="205"/>
  <c r="AD41" i="205"/>
  <c r="AC41" i="205"/>
  <c r="AB41" i="205"/>
  <c r="Z41" i="205"/>
  <c r="X41" i="205"/>
  <c r="Q41" i="205"/>
  <c r="P41" i="205"/>
  <c r="H41" i="205"/>
  <c r="E41" i="205"/>
  <c r="AD40" i="205"/>
  <c r="AC40" i="205"/>
  <c r="AB40" i="205"/>
  <c r="Z40" i="205"/>
  <c r="X40" i="205"/>
  <c r="Q40" i="205"/>
  <c r="P40" i="205"/>
  <c r="H40" i="205"/>
  <c r="E40" i="205"/>
  <c r="AD39" i="205"/>
  <c r="AC39" i="205"/>
  <c r="AB39" i="205"/>
  <c r="Z39" i="205"/>
  <c r="X39" i="205"/>
  <c r="Q39" i="205"/>
  <c r="P39" i="205"/>
  <c r="H39" i="205"/>
  <c r="E39" i="205"/>
  <c r="AD38" i="205"/>
  <c r="AC38" i="205"/>
  <c r="AB38" i="205"/>
  <c r="Z38" i="205"/>
  <c r="X38" i="205"/>
  <c r="Q38" i="205"/>
  <c r="P38" i="205"/>
  <c r="H38" i="205"/>
  <c r="E38" i="205"/>
  <c r="AD37" i="205"/>
  <c r="AC37" i="205"/>
  <c r="AB37" i="205"/>
  <c r="Z37" i="205"/>
  <c r="X37" i="205"/>
  <c r="Q37" i="205"/>
  <c r="P37" i="205"/>
  <c r="H37" i="205"/>
  <c r="E37" i="205"/>
  <c r="AD36" i="205"/>
  <c r="AC36" i="205"/>
  <c r="AB36" i="205"/>
  <c r="Z36" i="205"/>
  <c r="X36" i="205"/>
  <c r="Q36" i="205"/>
  <c r="P36" i="205"/>
  <c r="H36" i="205"/>
  <c r="E36" i="205"/>
  <c r="AD35" i="205"/>
  <c r="AC35" i="205"/>
  <c r="AB35" i="205"/>
  <c r="Z35" i="205"/>
  <c r="X35" i="205"/>
  <c r="Q35" i="205"/>
  <c r="P35" i="205"/>
  <c r="H35" i="205"/>
  <c r="E35" i="205"/>
  <c r="AD34" i="205"/>
  <c r="AC34" i="205"/>
  <c r="AB34" i="205"/>
  <c r="Z34" i="205"/>
  <c r="X34" i="205"/>
  <c r="Q34" i="205"/>
  <c r="P34" i="205"/>
  <c r="H34" i="205"/>
  <c r="E34" i="205"/>
  <c r="AD33" i="205"/>
  <c r="AC33" i="205"/>
  <c r="AB33" i="205"/>
  <c r="Z33" i="205"/>
  <c r="X33" i="205"/>
  <c r="Q33" i="205"/>
  <c r="P33" i="205"/>
  <c r="H33" i="205"/>
  <c r="E33" i="205"/>
  <c r="AD32" i="205"/>
  <c r="AC32" i="205"/>
  <c r="AB32" i="205"/>
  <c r="Z32" i="205"/>
  <c r="X32" i="205"/>
  <c r="Q32" i="205"/>
  <c r="P32" i="205"/>
  <c r="H32" i="205"/>
  <c r="E32" i="205"/>
  <c r="AE31" i="205"/>
  <c r="Z31" i="205"/>
  <c r="X31" i="205"/>
  <c r="Q31" i="205"/>
  <c r="P31" i="205"/>
  <c r="H31" i="205"/>
  <c r="E31" i="205"/>
  <c r="AD30" i="205"/>
  <c r="AC30" i="205"/>
  <c r="AB30" i="205"/>
  <c r="Z30" i="205"/>
  <c r="X30" i="205"/>
  <c r="Q30" i="205"/>
  <c r="P30" i="205"/>
  <c r="H30" i="205"/>
  <c r="E30" i="205"/>
  <c r="AD29" i="205"/>
  <c r="AC29" i="205"/>
  <c r="AB29" i="205"/>
  <c r="Z29" i="205"/>
  <c r="X29" i="205"/>
  <c r="Q29" i="205"/>
  <c r="P29" i="205"/>
  <c r="H29" i="205"/>
  <c r="E29" i="205"/>
  <c r="AD28" i="205"/>
  <c r="AC28" i="205"/>
  <c r="AB28" i="205"/>
  <c r="Z28" i="205"/>
  <c r="X28" i="205"/>
  <c r="Q28" i="205"/>
  <c r="P28" i="205"/>
  <c r="H28" i="205"/>
  <c r="E28" i="205"/>
  <c r="AD27" i="205"/>
  <c r="AC27" i="205"/>
  <c r="AB27" i="205"/>
  <c r="Z27" i="205"/>
  <c r="X27" i="205"/>
  <c r="Q27" i="205"/>
  <c r="P27" i="205"/>
  <c r="H27" i="205"/>
  <c r="E27" i="205"/>
  <c r="AD26" i="205"/>
  <c r="AC26" i="205"/>
  <c r="AB26" i="205"/>
  <c r="Z26" i="205"/>
  <c r="X26" i="205"/>
  <c r="Q26" i="205"/>
  <c r="P26" i="205"/>
  <c r="H26" i="205"/>
  <c r="E26" i="205"/>
  <c r="AD25" i="205"/>
  <c r="AC25" i="205"/>
  <c r="AB25" i="205"/>
  <c r="Z25" i="205"/>
  <c r="X25" i="205"/>
  <c r="Q25" i="205"/>
  <c r="P25" i="205"/>
  <c r="H25" i="205"/>
  <c r="E25" i="205"/>
  <c r="AD24" i="205"/>
  <c r="AC24" i="205"/>
  <c r="AB24" i="205"/>
  <c r="Z24" i="205"/>
  <c r="X24" i="205"/>
  <c r="Q24" i="205"/>
  <c r="P24" i="205"/>
  <c r="H24" i="205"/>
  <c r="E24" i="205"/>
  <c r="AD23" i="205"/>
  <c r="AC23" i="205"/>
  <c r="AB23" i="205"/>
  <c r="Z23" i="205"/>
  <c r="X23" i="205"/>
  <c r="Q23" i="205"/>
  <c r="P23" i="205"/>
  <c r="H23" i="205"/>
  <c r="E23" i="205"/>
  <c r="AD22" i="205"/>
  <c r="AC22" i="205"/>
  <c r="AB22" i="205"/>
  <c r="Z22" i="205"/>
  <c r="X22" i="205"/>
  <c r="Q22" i="205"/>
  <c r="P22" i="205"/>
  <c r="H22" i="205"/>
  <c r="E22" i="205"/>
  <c r="AD21" i="205"/>
  <c r="AC21" i="205"/>
  <c r="AB21" i="205"/>
  <c r="Z21" i="205"/>
  <c r="X21" i="205"/>
  <c r="Q21" i="205"/>
  <c r="P21" i="205"/>
  <c r="H21" i="205"/>
  <c r="E21" i="205"/>
  <c r="AD20" i="205"/>
  <c r="AC20" i="205"/>
  <c r="AB20" i="205"/>
  <c r="Z20" i="205"/>
  <c r="X20" i="205"/>
  <c r="Q20" i="205"/>
  <c r="P20" i="205"/>
  <c r="H20" i="205"/>
  <c r="E20" i="205"/>
  <c r="AD19" i="205"/>
  <c r="AC19" i="205"/>
  <c r="AB19" i="205"/>
  <c r="Z19" i="205"/>
  <c r="X19" i="205"/>
  <c r="Q19" i="205"/>
  <c r="P19" i="205"/>
  <c r="H19" i="205"/>
  <c r="E19" i="205"/>
  <c r="AD18" i="205"/>
  <c r="AC18" i="205"/>
  <c r="AB18" i="205"/>
  <c r="Z18" i="205"/>
  <c r="X18" i="205"/>
  <c r="Q18" i="205"/>
  <c r="P18" i="205"/>
  <c r="H18" i="205"/>
  <c r="E18" i="205"/>
  <c r="AD17" i="205"/>
  <c r="AC17" i="205"/>
  <c r="AB17" i="205"/>
  <c r="Z17" i="205"/>
  <c r="X17" i="205"/>
  <c r="Q17" i="205"/>
  <c r="P17" i="205"/>
  <c r="H17" i="205"/>
  <c r="E17" i="205"/>
  <c r="AD16" i="205"/>
  <c r="AC16" i="205"/>
  <c r="AB16" i="205"/>
  <c r="Z16" i="205"/>
  <c r="X16" i="205"/>
  <c r="Q16" i="205"/>
  <c r="P16" i="205"/>
  <c r="E16" i="205"/>
  <c r="AD15" i="205"/>
  <c r="AC15" i="205"/>
  <c r="AB15" i="205"/>
  <c r="Z15" i="205"/>
  <c r="X15" i="205"/>
  <c r="Q15" i="205"/>
  <c r="P15" i="205"/>
  <c r="I15" i="205"/>
  <c r="E15" i="205"/>
  <c r="AD14" i="205"/>
  <c r="AC14" i="205"/>
  <c r="AB14" i="205"/>
  <c r="Z14" i="205"/>
  <c r="X14" i="205"/>
  <c r="Q14" i="205"/>
  <c r="P14" i="205"/>
  <c r="H14" i="205"/>
  <c r="E14" i="205"/>
  <c r="AD13" i="205"/>
  <c r="AC13" i="205"/>
  <c r="AB13" i="205"/>
  <c r="Z13" i="205"/>
  <c r="X13" i="205"/>
  <c r="Q13" i="205"/>
  <c r="P13" i="205"/>
  <c r="H13" i="205"/>
  <c r="E13" i="205"/>
  <c r="AD12" i="205"/>
  <c r="AC12" i="205"/>
  <c r="AB12" i="205"/>
  <c r="Z12" i="205"/>
  <c r="X12" i="205"/>
  <c r="Q12" i="205"/>
  <c r="P12" i="205"/>
  <c r="H12" i="205"/>
  <c r="E12" i="205"/>
  <c r="M79" i="204"/>
  <c r="P71" i="204"/>
  <c r="H71" i="204"/>
  <c r="Q70" i="204"/>
  <c r="P70" i="204"/>
  <c r="H70" i="204"/>
  <c r="E70" i="204"/>
  <c r="Q69" i="204"/>
  <c r="P69" i="204"/>
  <c r="H69" i="204"/>
  <c r="E69" i="204"/>
  <c r="AD68" i="204"/>
  <c r="AC68" i="204"/>
  <c r="AB68" i="204"/>
  <c r="Z68" i="204"/>
  <c r="X68" i="204"/>
  <c r="Q68" i="204"/>
  <c r="P68" i="204"/>
  <c r="H68" i="204"/>
  <c r="E68" i="204"/>
  <c r="AD67" i="204"/>
  <c r="AC67" i="204"/>
  <c r="AB67" i="204"/>
  <c r="Z67" i="204"/>
  <c r="X67" i="204"/>
  <c r="Q67" i="204"/>
  <c r="P67" i="204"/>
  <c r="H67" i="204"/>
  <c r="E67" i="204"/>
  <c r="AD66" i="204"/>
  <c r="AC66" i="204"/>
  <c r="AB66" i="204"/>
  <c r="Z66" i="204"/>
  <c r="X66" i="204"/>
  <c r="Q66" i="204"/>
  <c r="P66" i="204"/>
  <c r="H66" i="204"/>
  <c r="E66" i="204"/>
  <c r="AD65" i="204"/>
  <c r="AC65" i="204"/>
  <c r="AB65" i="204"/>
  <c r="Z65" i="204"/>
  <c r="X65" i="204"/>
  <c r="Q65" i="204"/>
  <c r="P65" i="204"/>
  <c r="H65" i="204"/>
  <c r="E65" i="204"/>
  <c r="AD64" i="204"/>
  <c r="AC64" i="204"/>
  <c r="AB64" i="204"/>
  <c r="Z64" i="204"/>
  <c r="X64" i="204"/>
  <c r="Q64" i="204"/>
  <c r="P64" i="204"/>
  <c r="H64" i="204"/>
  <c r="E64" i="204"/>
  <c r="AD63" i="204"/>
  <c r="AC63" i="204"/>
  <c r="AB63" i="204"/>
  <c r="Z63" i="204"/>
  <c r="X63" i="204"/>
  <c r="Q63" i="204"/>
  <c r="P63" i="204"/>
  <c r="H63" i="204"/>
  <c r="E63" i="204"/>
  <c r="AD62" i="204"/>
  <c r="AC62" i="204"/>
  <c r="AB62" i="204"/>
  <c r="Z62" i="204"/>
  <c r="X62" i="204"/>
  <c r="Q62" i="204"/>
  <c r="P62" i="204"/>
  <c r="H62" i="204"/>
  <c r="E62" i="204"/>
  <c r="AC61" i="204"/>
  <c r="AB61" i="204"/>
  <c r="X61" i="204"/>
  <c r="Q61" i="204"/>
  <c r="P61" i="204"/>
  <c r="H61" i="204"/>
  <c r="E61" i="204"/>
  <c r="AE60" i="204"/>
  <c r="X60" i="204"/>
  <c r="Q60" i="204"/>
  <c r="P60" i="204"/>
  <c r="H60" i="204"/>
  <c r="E60" i="204"/>
  <c r="AC59" i="204"/>
  <c r="AB59" i="204"/>
  <c r="X59" i="204"/>
  <c r="Q59" i="204"/>
  <c r="P59" i="204"/>
  <c r="H59" i="204"/>
  <c r="E59" i="204"/>
  <c r="AC58" i="204"/>
  <c r="AB58" i="204"/>
  <c r="X58" i="204"/>
  <c r="Q58" i="204"/>
  <c r="P58" i="204"/>
  <c r="E58" i="204"/>
  <c r="AC57" i="204"/>
  <c r="AB57" i="204"/>
  <c r="X57" i="204"/>
  <c r="Q57" i="204"/>
  <c r="P57" i="204"/>
  <c r="H57" i="204"/>
  <c r="E57" i="204"/>
  <c r="AD56" i="204"/>
  <c r="AC56" i="204"/>
  <c r="AB56" i="204"/>
  <c r="Z56" i="204"/>
  <c r="X56" i="204"/>
  <c r="Q56" i="204"/>
  <c r="P56" i="204"/>
  <c r="H56" i="204"/>
  <c r="E56" i="204"/>
  <c r="AD55" i="204"/>
  <c r="AC55" i="204"/>
  <c r="AB55" i="204"/>
  <c r="Z55" i="204"/>
  <c r="X55" i="204"/>
  <c r="Q55" i="204"/>
  <c r="P55" i="204"/>
  <c r="H55" i="204"/>
  <c r="E55" i="204"/>
  <c r="AD54" i="204"/>
  <c r="AC54" i="204"/>
  <c r="AB54" i="204"/>
  <c r="Z54" i="204"/>
  <c r="X54" i="204"/>
  <c r="Q54" i="204"/>
  <c r="P54" i="204"/>
  <c r="H54" i="204"/>
  <c r="E54" i="204"/>
  <c r="AD53" i="204"/>
  <c r="AC53" i="204"/>
  <c r="AB53" i="204"/>
  <c r="Z53" i="204"/>
  <c r="X53" i="204"/>
  <c r="Q53" i="204"/>
  <c r="P53" i="204"/>
  <c r="H53" i="204"/>
  <c r="E53" i="204"/>
  <c r="AE52" i="204"/>
  <c r="Z52" i="204"/>
  <c r="X52" i="204"/>
  <c r="Q52" i="204"/>
  <c r="P52" i="204"/>
  <c r="H52" i="204"/>
  <c r="E52" i="204"/>
  <c r="AD51" i="204"/>
  <c r="AC51" i="204"/>
  <c r="AB51" i="204"/>
  <c r="Z51" i="204"/>
  <c r="X51" i="204"/>
  <c r="Q51" i="204"/>
  <c r="P51" i="204"/>
  <c r="H51" i="204"/>
  <c r="E51" i="204"/>
  <c r="AD50" i="204"/>
  <c r="AC50" i="204"/>
  <c r="AB50" i="204"/>
  <c r="Z50" i="204"/>
  <c r="X50" i="204"/>
  <c r="Q50" i="204"/>
  <c r="P50" i="204"/>
  <c r="H50" i="204"/>
  <c r="E50" i="204"/>
  <c r="AE49" i="204"/>
  <c r="Z49" i="204"/>
  <c r="X49" i="204"/>
  <c r="Q49" i="204"/>
  <c r="P49" i="204"/>
  <c r="H49" i="204"/>
  <c r="E49" i="204"/>
  <c r="AE48" i="204"/>
  <c r="Z48" i="204"/>
  <c r="X48" i="204"/>
  <c r="Q48" i="204"/>
  <c r="P48" i="204"/>
  <c r="H48" i="204"/>
  <c r="E48" i="204"/>
  <c r="AE47" i="204"/>
  <c r="Z47" i="204"/>
  <c r="X47" i="204"/>
  <c r="Q47" i="204"/>
  <c r="P47" i="204"/>
  <c r="H47" i="204"/>
  <c r="E47" i="204"/>
  <c r="AD46" i="204"/>
  <c r="AC46" i="204"/>
  <c r="AB46" i="204"/>
  <c r="Z46" i="204"/>
  <c r="X46" i="204"/>
  <c r="Q46" i="204"/>
  <c r="P46" i="204"/>
  <c r="H46" i="204"/>
  <c r="E46" i="204"/>
  <c r="AD45" i="204"/>
  <c r="AC45" i="204"/>
  <c r="AB45" i="204"/>
  <c r="Z45" i="204"/>
  <c r="X45" i="204"/>
  <c r="Q45" i="204"/>
  <c r="P45" i="204"/>
  <c r="H45" i="204"/>
  <c r="E45" i="204"/>
  <c r="AD44" i="204"/>
  <c r="AC44" i="204"/>
  <c r="AB44" i="204"/>
  <c r="Z44" i="204"/>
  <c r="X44" i="204"/>
  <c r="Q44" i="204"/>
  <c r="P44" i="204"/>
  <c r="H44" i="204"/>
  <c r="E44" i="204"/>
  <c r="AD43" i="204"/>
  <c r="AC43" i="204"/>
  <c r="AB43" i="204"/>
  <c r="Z43" i="204"/>
  <c r="X43" i="204"/>
  <c r="Q43" i="204"/>
  <c r="P43" i="204"/>
  <c r="H43" i="204"/>
  <c r="E43" i="204"/>
  <c r="AD42" i="204"/>
  <c r="AC42" i="204"/>
  <c r="AB42" i="204"/>
  <c r="Z42" i="204"/>
  <c r="X42" i="204"/>
  <c r="Q42" i="204"/>
  <c r="P42" i="204"/>
  <c r="H42" i="204"/>
  <c r="E42" i="204"/>
  <c r="AD41" i="204"/>
  <c r="AC41" i="204"/>
  <c r="AB41" i="204"/>
  <c r="Z41" i="204"/>
  <c r="X41" i="204"/>
  <c r="Q41" i="204"/>
  <c r="P41" i="204"/>
  <c r="H41" i="204"/>
  <c r="E41" i="204"/>
  <c r="AD40" i="204"/>
  <c r="AC40" i="204"/>
  <c r="AB40" i="204"/>
  <c r="Z40" i="204"/>
  <c r="X40" i="204"/>
  <c r="Q40" i="204"/>
  <c r="P40" i="204"/>
  <c r="H40" i="204"/>
  <c r="E40" i="204"/>
  <c r="AD39" i="204"/>
  <c r="AC39" i="204"/>
  <c r="AB39" i="204"/>
  <c r="Z39" i="204"/>
  <c r="X39" i="204"/>
  <c r="Q39" i="204"/>
  <c r="P39" i="204"/>
  <c r="H39" i="204"/>
  <c r="E39" i="204"/>
  <c r="AD38" i="204"/>
  <c r="AC38" i="204"/>
  <c r="AB38" i="204"/>
  <c r="Z38" i="204"/>
  <c r="X38" i="204"/>
  <c r="Q38" i="204"/>
  <c r="P38" i="204"/>
  <c r="H38" i="204"/>
  <c r="E38" i="204"/>
  <c r="AD37" i="204"/>
  <c r="AC37" i="204"/>
  <c r="AB37" i="204"/>
  <c r="Z37" i="204"/>
  <c r="X37" i="204"/>
  <c r="Q37" i="204"/>
  <c r="P37" i="204"/>
  <c r="H37" i="204"/>
  <c r="E37" i="204"/>
  <c r="AD36" i="204"/>
  <c r="AC36" i="204"/>
  <c r="AB36" i="204"/>
  <c r="Z36" i="204"/>
  <c r="X36" i="204"/>
  <c r="Q36" i="204"/>
  <c r="P36" i="204"/>
  <c r="H36" i="204"/>
  <c r="E36" i="204"/>
  <c r="AD35" i="204"/>
  <c r="AC35" i="204"/>
  <c r="AB35" i="204"/>
  <c r="Z35" i="204"/>
  <c r="X35" i="204"/>
  <c r="Q35" i="204"/>
  <c r="P35" i="204"/>
  <c r="H35" i="204"/>
  <c r="E35" i="204"/>
  <c r="AD34" i="204"/>
  <c r="AC34" i="204"/>
  <c r="AB34" i="204"/>
  <c r="Z34" i="204"/>
  <c r="X34" i="204"/>
  <c r="Q34" i="204"/>
  <c r="P34" i="204"/>
  <c r="H34" i="204"/>
  <c r="E34" i="204"/>
  <c r="AD33" i="204"/>
  <c r="AC33" i="204"/>
  <c r="AB33" i="204"/>
  <c r="Z33" i="204"/>
  <c r="X33" i="204"/>
  <c r="Q33" i="204"/>
  <c r="P33" i="204"/>
  <c r="H33" i="204"/>
  <c r="E33" i="204"/>
  <c r="AD32" i="204"/>
  <c r="AC32" i="204"/>
  <c r="AB32" i="204"/>
  <c r="Z32" i="204"/>
  <c r="X32" i="204"/>
  <c r="Q32" i="204"/>
  <c r="P32" i="204"/>
  <c r="H32" i="204"/>
  <c r="E32" i="204"/>
  <c r="AE31" i="204"/>
  <c r="Z31" i="204"/>
  <c r="X31" i="204"/>
  <c r="Q31" i="204"/>
  <c r="P31" i="204"/>
  <c r="H31" i="204"/>
  <c r="E31" i="204"/>
  <c r="AD30" i="204"/>
  <c r="AC30" i="204"/>
  <c r="AB30" i="204"/>
  <c r="Z30" i="204"/>
  <c r="X30" i="204"/>
  <c r="Q30" i="204"/>
  <c r="P30" i="204"/>
  <c r="H30" i="204"/>
  <c r="E30" i="204"/>
  <c r="AD29" i="204"/>
  <c r="AC29" i="204"/>
  <c r="AB29" i="204"/>
  <c r="Z29" i="204"/>
  <c r="X29" i="204"/>
  <c r="Q29" i="204"/>
  <c r="P29" i="204"/>
  <c r="H29" i="204"/>
  <c r="E29" i="204"/>
  <c r="AD28" i="204"/>
  <c r="AC28" i="204"/>
  <c r="AB28" i="204"/>
  <c r="Z28" i="204"/>
  <c r="X28" i="204"/>
  <c r="Q28" i="204"/>
  <c r="P28" i="204"/>
  <c r="H28" i="204"/>
  <c r="E28" i="204"/>
  <c r="AD27" i="204"/>
  <c r="AC27" i="204"/>
  <c r="AB27" i="204"/>
  <c r="Z27" i="204"/>
  <c r="X27" i="204"/>
  <c r="Q27" i="204"/>
  <c r="P27" i="204"/>
  <c r="H27" i="204"/>
  <c r="E27" i="204"/>
  <c r="AD26" i="204"/>
  <c r="AC26" i="204"/>
  <c r="AB26" i="204"/>
  <c r="Z26" i="204"/>
  <c r="X26" i="204"/>
  <c r="Q26" i="204"/>
  <c r="P26" i="204"/>
  <c r="H26" i="204"/>
  <c r="E26" i="204"/>
  <c r="AD25" i="204"/>
  <c r="AC25" i="204"/>
  <c r="AB25" i="204"/>
  <c r="Z25" i="204"/>
  <c r="X25" i="204"/>
  <c r="Q25" i="204"/>
  <c r="P25" i="204"/>
  <c r="H25" i="204"/>
  <c r="E25" i="204"/>
  <c r="AD24" i="204"/>
  <c r="AC24" i="204"/>
  <c r="AB24" i="204"/>
  <c r="Z24" i="204"/>
  <c r="X24" i="204"/>
  <c r="Q24" i="204"/>
  <c r="P24" i="204"/>
  <c r="H24" i="204"/>
  <c r="E24" i="204"/>
  <c r="AD23" i="204"/>
  <c r="AC23" i="204"/>
  <c r="AB23" i="204"/>
  <c r="Z23" i="204"/>
  <c r="X23" i="204"/>
  <c r="Q23" i="204"/>
  <c r="P23" i="204"/>
  <c r="H23" i="204"/>
  <c r="E23" i="204"/>
  <c r="AD22" i="204"/>
  <c r="AC22" i="204"/>
  <c r="AB22" i="204"/>
  <c r="Z22" i="204"/>
  <c r="X22" i="204"/>
  <c r="Q22" i="204"/>
  <c r="P22" i="204"/>
  <c r="H22" i="204"/>
  <c r="E22" i="204"/>
  <c r="AD21" i="204"/>
  <c r="AC21" i="204"/>
  <c r="AB21" i="204"/>
  <c r="Z21" i="204"/>
  <c r="X21" i="204"/>
  <c r="Q21" i="204"/>
  <c r="P21" i="204"/>
  <c r="H21" i="204"/>
  <c r="E21" i="204"/>
  <c r="AD20" i="204"/>
  <c r="AC20" i="204"/>
  <c r="AB20" i="204"/>
  <c r="Z20" i="204"/>
  <c r="X20" i="204"/>
  <c r="Q20" i="204"/>
  <c r="P20" i="204"/>
  <c r="H20" i="204"/>
  <c r="E20" i="204"/>
  <c r="AD19" i="204"/>
  <c r="AC19" i="204"/>
  <c r="AB19" i="204"/>
  <c r="Z19" i="204"/>
  <c r="X19" i="204"/>
  <c r="Q19" i="204"/>
  <c r="P19" i="204"/>
  <c r="H19" i="204"/>
  <c r="E19" i="204"/>
  <c r="AD18" i="204"/>
  <c r="AC18" i="204"/>
  <c r="AB18" i="204"/>
  <c r="Z18" i="204"/>
  <c r="X18" i="204"/>
  <c r="Q18" i="204"/>
  <c r="P18" i="204"/>
  <c r="H18" i="204"/>
  <c r="E18" i="204"/>
  <c r="AD17" i="204"/>
  <c r="AC17" i="204"/>
  <c r="AB17" i="204"/>
  <c r="Z17" i="204"/>
  <c r="X17" i="204"/>
  <c r="Q17" i="204"/>
  <c r="P17" i="204"/>
  <c r="H17" i="204"/>
  <c r="E17" i="204"/>
  <c r="AD16" i="204"/>
  <c r="AC16" i="204"/>
  <c r="AB16" i="204"/>
  <c r="Z16" i="204"/>
  <c r="X16" i="204"/>
  <c r="Q16" i="204"/>
  <c r="P16" i="204"/>
  <c r="E16" i="204"/>
  <c r="AD15" i="204"/>
  <c r="AC15" i="204"/>
  <c r="AB15" i="204"/>
  <c r="Z15" i="204"/>
  <c r="X15" i="204"/>
  <c r="Q15" i="204"/>
  <c r="P15" i="204"/>
  <c r="E15" i="204"/>
  <c r="AD14" i="204"/>
  <c r="AC14" i="204"/>
  <c r="AB14" i="204"/>
  <c r="Z14" i="204"/>
  <c r="X14" i="204"/>
  <c r="Q14" i="204"/>
  <c r="P14" i="204"/>
  <c r="H14" i="204"/>
  <c r="E14" i="204"/>
  <c r="AD13" i="204"/>
  <c r="AC13" i="204"/>
  <c r="AB13" i="204"/>
  <c r="Z13" i="204"/>
  <c r="X13" i="204"/>
  <c r="Q13" i="204"/>
  <c r="P13" i="204"/>
  <c r="H13" i="204"/>
  <c r="E13" i="204"/>
  <c r="AD12" i="204"/>
  <c r="AC12" i="204"/>
  <c r="AB12" i="204"/>
  <c r="Z12" i="204"/>
  <c r="X12" i="204"/>
  <c r="Q12" i="204"/>
  <c r="P12" i="204"/>
  <c r="H12" i="204"/>
  <c r="E12" i="204"/>
  <c r="M79" i="203"/>
  <c r="P71" i="203"/>
  <c r="H71" i="203"/>
  <c r="Q70" i="203"/>
  <c r="P70" i="203"/>
  <c r="H70" i="203"/>
  <c r="E70" i="203"/>
  <c r="Q69" i="203"/>
  <c r="P69" i="203"/>
  <c r="H69" i="203"/>
  <c r="E69" i="203"/>
  <c r="AD68" i="203"/>
  <c r="AC68" i="203"/>
  <c r="AB68" i="203"/>
  <c r="Z68" i="203"/>
  <c r="X68" i="203"/>
  <c r="Q68" i="203"/>
  <c r="P68" i="203"/>
  <c r="H68" i="203"/>
  <c r="E68" i="203"/>
  <c r="AD67" i="203"/>
  <c r="AC67" i="203"/>
  <c r="AB67" i="203"/>
  <c r="Z67" i="203"/>
  <c r="X67" i="203"/>
  <c r="Q67" i="203"/>
  <c r="P67" i="203"/>
  <c r="H67" i="203"/>
  <c r="E67" i="203"/>
  <c r="AD66" i="203"/>
  <c r="AC66" i="203"/>
  <c r="AB66" i="203"/>
  <c r="Z66" i="203"/>
  <c r="X66" i="203"/>
  <c r="Q66" i="203"/>
  <c r="P66" i="203"/>
  <c r="H66" i="203"/>
  <c r="E66" i="203"/>
  <c r="AD65" i="203"/>
  <c r="AC65" i="203"/>
  <c r="AB65" i="203"/>
  <c r="Z65" i="203"/>
  <c r="X65" i="203"/>
  <c r="Q65" i="203"/>
  <c r="P65" i="203"/>
  <c r="H65" i="203"/>
  <c r="E65" i="203"/>
  <c r="AD64" i="203"/>
  <c r="AC64" i="203"/>
  <c r="AB64" i="203"/>
  <c r="Z64" i="203"/>
  <c r="X64" i="203"/>
  <c r="Q64" i="203"/>
  <c r="P64" i="203"/>
  <c r="H64" i="203"/>
  <c r="E64" i="203"/>
  <c r="AD63" i="203"/>
  <c r="AC63" i="203"/>
  <c r="AB63" i="203"/>
  <c r="Z63" i="203"/>
  <c r="X63" i="203"/>
  <c r="Q63" i="203"/>
  <c r="P63" i="203"/>
  <c r="H63" i="203"/>
  <c r="E63" i="203"/>
  <c r="AE62" i="203"/>
  <c r="AD62" i="203"/>
  <c r="AC62" i="203"/>
  <c r="AB62" i="203"/>
  <c r="Z62" i="203"/>
  <c r="X62" i="203"/>
  <c r="Q62" i="203"/>
  <c r="P62" i="203"/>
  <c r="I62" i="203"/>
  <c r="H62" i="203"/>
  <c r="E62" i="203"/>
  <c r="AC61" i="203"/>
  <c r="AB61" i="203"/>
  <c r="X61" i="203"/>
  <c r="Q61" i="203"/>
  <c r="P61" i="203"/>
  <c r="H61" i="203"/>
  <c r="E61" i="203"/>
  <c r="AE60" i="203"/>
  <c r="X60" i="203"/>
  <c r="Q60" i="203"/>
  <c r="P60" i="203"/>
  <c r="H60" i="203"/>
  <c r="E60" i="203"/>
  <c r="AC59" i="203"/>
  <c r="AB59" i="203"/>
  <c r="X59" i="203"/>
  <c r="Q59" i="203"/>
  <c r="P59" i="203"/>
  <c r="H59" i="203"/>
  <c r="E59" i="203"/>
  <c r="AC58" i="203"/>
  <c r="AB58" i="203"/>
  <c r="X58" i="203"/>
  <c r="Q58" i="203"/>
  <c r="P58" i="203"/>
  <c r="E58" i="203"/>
  <c r="AC57" i="203"/>
  <c r="AB57" i="203"/>
  <c r="X57" i="203"/>
  <c r="Q57" i="203"/>
  <c r="P57" i="203"/>
  <c r="H57" i="203"/>
  <c r="E57" i="203"/>
  <c r="AD56" i="203"/>
  <c r="AC56" i="203"/>
  <c r="AB56" i="203"/>
  <c r="Z56" i="203"/>
  <c r="X56" i="203"/>
  <c r="Q56" i="203"/>
  <c r="P56" i="203"/>
  <c r="H56" i="203"/>
  <c r="E56" i="203"/>
  <c r="AD55" i="203"/>
  <c r="AC55" i="203"/>
  <c r="AB55" i="203"/>
  <c r="Z55" i="203"/>
  <c r="X55" i="203"/>
  <c r="Q55" i="203"/>
  <c r="P55" i="203"/>
  <c r="H55" i="203"/>
  <c r="E55" i="203"/>
  <c r="AD54" i="203"/>
  <c r="AC54" i="203"/>
  <c r="AB54" i="203"/>
  <c r="Z54" i="203"/>
  <c r="X54" i="203"/>
  <c r="Q54" i="203"/>
  <c r="P54" i="203"/>
  <c r="H54" i="203"/>
  <c r="E54" i="203"/>
  <c r="AD53" i="203"/>
  <c r="AC53" i="203"/>
  <c r="AB53" i="203"/>
  <c r="Z53" i="203"/>
  <c r="X53" i="203"/>
  <c r="Q53" i="203"/>
  <c r="P53" i="203"/>
  <c r="H53" i="203"/>
  <c r="E53" i="203"/>
  <c r="AE52" i="203"/>
  <c r="Z52" i="203"/>
  <c r="X52" i="203"/>
  <c r="Q52" i="203"/>
  <c r="P52" i="203"/>
  <c r="H52" i="203"/>
  <c r="E52" i="203"/>
  <c r="AD51" i="203"/>
  <c r="AC51" i="203"/>
  <c r="AB51" i="203"/>
  <c r="Z51" i="203"/>
  <c r="X51" i="203"/>
  <c r="Q51" i="203"/>
  <c r="P51" i="203"/>
  <c r="H51" i="203"/>
  <c r="E51" i="203"/>
  <c r="AD50" i="203"/>
  <c r="AC50" i="203"/>
  <c r="AB50" i="203"/>
  <c r="Z50" i="203"/>
  <c r="X50" i="203"/>
  <c r="Q50" i="203"/>
  <c r="P50" i="203"/>
  <c r="H50" i="203"/>
  <c r="E50" i="203"/>
  <c r="AE49" i="203"/>
  <c r="Z49" i="203"/>
  <c r="X49" i="203"/>
  <c r="Q49" i="203"/>
  <c r="P49" i="203"/>
  <c r="H49" i="203"/>
  <c r="E49" i="203"/>
  <c r="AE48" i="203"/>
  <c r="Z48" i="203"/>
  <c r="X48" i="203"/>
  <c r="Q48" i="203"/>
  <c r="P48" i="203"/>
  <c r="H48" i="203"/>
  <c r="E48" i="203"/>
  <c r="AE47" i="203"/>
  <c r="Z47" i="203"/>
  <c r="X47" i="203"/>
  <c r="Q47" i="203"/>
  <c r="P47" i="203"/>
  <c r="H47" i="203"/>
  <c r="E47" i="203"/>
  <c r="AD46" i="203"/>
  <c r="AC46" i="203"/>
  <c r="AB46" i="203"/>
  <c r="Z46" i="203"/>
  <c r="X46" i="203"/>
  <c r="Q46" i="203"/>
  <c r="P46" i="203"/>
  <c r="H46" i="203"/>
  <c r="E46" i="203"/>
  <c r="AD45" i="203"/>
  <c r="AC45" i="203"/>
  <c r="AB45" i="203"/>
  <c r="Z45" i="203"/>
  <c r="X45" i="203"/>
  <c r="Q45" i="203"/>
  <c r="P45" i="203"/>
  <c r="I45" i="203"/>
  <c r="H45" i="203"/>
  <c r="E45" i="203"/>
  <c r="AD44" i="203"/>
  <c r="AC44" i="203"/>
  <c r="AB44" i="203"/>
  <c r="Z44" i="203"/>
  <c r="X44" i="203"/>
  <c r="Q44" i="203"/>
  <c r="P44" i="203"/>
  <c r="H44" i="203"/>
  <c r="E44" i="203"/>
  <c r="AD43" i="203"/>
  <c r="AC43" i="203"/>
  <c r="AB43" i="203"/>
  <c r="Z43" i="203"/>
  <c r="X43" i="203"/>
  <c r="Q43" i="203"/>
  <c r="P43" i="203"/>
  <c r="H43" i="203"/>
  <c r="E43" i="203"/>
  <c r="AD42" i="203"/>
  <c r="AC42" i="203"/>
  <c r="AB42" i="203"/>
  <c r="Z42" i="203"/>
  <c r="X42" i="203"/>
  <c r="Q42" i="203"/>
  <c r="P42" i="203"/>
  <c r="H42" i="203"/>
  <c r="E42" i="203"/>
  <c r="AD41" i="203"/>
  <c r="AC41" i="203"/>
  <c r="AB41" i="203"/>
  <c r="Z41" i="203"/>
  <c r="X41" i="203"/>
  <c r="Q41" i="203"/>
  <c r="P41" i="203"/>
  <c r="H41" i="203"/>
  <c r="E41" i="203"/>
  <c r="AD40" i="203"/>
  <c r="AC40" i="203"/>
  <c r="AB40" i="203"/>
  <c r="Z40" i="203"/>
  <c r="X40" i="203"/>
  <c r="Q40" i="203"/>
  <c r="P40" i="203"/>
  <c r="H40" i="203"/>
  <c r="E40" i="203"/>
  <c r="AD39" i="203"/>
  <c r="AC39" i="203"/>
  <c r="AB39" i="203"/>
  <c r="Z39" i="203"/>
  <c r="X39" i="203"/>
  <c r="Q39" i="203"/>
  <c r="P39" i="203"/>
  <c r="H39" i="203"/>
  <c r="E39" i="203"/>
  <c r="AD38" i="203"/>
  <c r="AC38" i="203"/>
  <c r="AB38" i="203"/>
  <c r="Z38" i="203"/>
  <c r="X38" i="203"/>
  <c r="Q38" i="203"/>
  <c r="P38" i="203"/>
  <c r="H38" i="203"/>
  <c r="E38" i="203"/>
  <c r="AD37" i="203"/>
  <c r="AC37" i="203"/>
  <c r="AB37" i="203"/>
  <c r="Z37" i="203"/>
  <c r="X37" i="203"/>
  <c r="Q37" i="203"/>
  <c r="P37" i="203"/>
  <c r="H37" i="203"/>
  <c r="E37" i="203"/>
  <c r="AD36" i="203"/>
  <c r="AC36" i="203"/>
  <c r="AB36" i="203"/>
  <c r="Z36" i="203"/>
  <c r="X36" i="203"/>
  <c r="Q36" i="203"/>
  <c r="P36" i="203"/>
  <c r="H36" i="203"/>
  <c r="E36" i="203"/>
  <c r="AD35" i="203"/>
  <c r="AC35" i="203"/>
  <c r="AB35" i="203"/>
  <c r="Z35" i="203"/>
  <c r="X35" i="203"/>
  <c r="Q35" i="203"/>
  <c r="P35" i="203"/>
  <c r="H35" i="203"/>
  <c r="E35" i="203"/>
  <c r="AD34" i="203"/>
  <c r="AC34" i="203"/>
  <c r="AB34" i="203"/>
  <c r="Z34" i="203"/>
  <c r="X34" i="203"/>
  <c r="Q34" i="203"/>
  <c r="P34" i="203"/>
  <c r="H34" i="203"/>
  <c r="E34" i="203"/>
  <c r="AD33" i="203"/>
  <c r="AC33" i="203"/>
  <c r="AB33" i="203"/>
  <c r="Z33" i="203"/>
  <c r="X33" i="203"/>
  <c r="Q33" i="203"/>
  <c r="P33" i="203"/>
  <c r="H33" i="203"/>
  <c r="E33" i="203"/>
  <c r="AD32" i="203"/>
  <c r="AC32" i="203"/>
  <c r="AB32" i="203"/>
  <c r="Z32" i="203"/>
  <c r="X32" i="203"/>
  <c r="Q32" i="203"/>
  <c r="P32" i="203"/>
  <c r="H32" i="203"/>
  <c r="E32" i="203"/>
  <c r="AE31" i="203"/>
  <c r="Z31" i="203"/>
  <c r="X31" i="203"/>
  <c r="Q31" i="203"/>
  <c r="P31" i="203"/>
  <c r="H31" i="203"/>
  <c r="E31" i="203"/>
  <c r="AD30" i="203"/>
  <c r="AC30" i="203"/>
  <c r="AB30" i="203"/>
  <c r="Z30" i="203"/>
  <c r="X30" i="203"/>
  <c r="Q30" i="203"/>
  <c r="P30" i="203"/>
  <c r="H30" i="203"/>
  <c r="E30" i="203"/>
  <c r="AD29" i="203"/>
  <c r="AC29" i="203"/>
  <c r="AB29" i="203"/>
  <c r="Z29" i="203"/>
  <c r="X29" i="203"/>
  <c r="Q29" i="203"/>
  <c r="P29" i="203"/>
  <c r="H29" i="203"/>
  <c r="E29" i="203"/>
  <c r="AD28" i="203"/>
  <c r="AC28" i="203"/>
  <c r="AB28" i="203"/>
  <c r="Z28" i="203"/>
  <c r="X28" i="203"/>
  <c r="Q28" i="203"/>
  <c r="P28" i="203"/>
  <c r="H28" i="203"/>
  <c r="E28" i="203"/>
  <c r="AD27" i="203"/>
  <c r="AC27" i="203"/>
  <c r="AB27" i="203"/>
  <c r="Z27" i="203"/>
  <c r="X27" i="203"/>
  <c r="Q27" i="203"/>
  <c r="P27" i="203"/>
  <c r="H27" i="203"/>
  <c r="E27" i="203"/>
  <c r="AD26" i="203"/>
  <c r="AC26" i="203"/>
  <c r="AB26" i="203"/>
  <c r="Z26" i="203"/>
  <c r="X26" i="203"/>
  <c r="Q26" i="203"/>
  <c r="P26" i="203"/>
  <c r="H26" i="203"/>
  <c r="E26" i="203"/>
  <c r="AD25" i="203"/>
  <c r="AC25" i="203"/>
  <c r="AB25" i="203"/>
  <c r="Z25" i="203"/>
  <c r="X25" i="203"/>
  <c r="Q25" i="203"/>
  <c r="P25" i="203"/>
  <c r="H25" i="203"/>
  <c r="E25" i="203"/>
  <c r="AD24" i="203"/>
  <c r="AC24" i="203"/>
  <c r="AB24" i="203"/>
  <c r="Z24" i="203"/>
  <c r="X24" i="203"/>
  <c r="Q24" i="203"/>
  <c r="P24" i="203"/>
  <c r="H24" i="203"/>
  <c r="E24" i="203"/>
  <c r="AD23" i="203"/>
  <c r="AC23" i="203"/>
  <c r="AB23" i="203"/>
  <c r="Z23" i="203"/>
  <c r="X23" i="203"/>
  <c r="Q23" i="203"/>
  <c r="P23" i="203"/>
  <c r="H23" i="203"/>
  <c r="E23" i="203"/>
  <c r="AD22" i="203"/>
  <c r="AC22" i="203"/>
  <c r="AB22" i="203"/>
  <c r="Z22" i="203"/>
  <c r="X22" i="203"/>
  <c r="Q22" i="203"/>
  <c r="P22" i="203"/>
  <c r="H22" i="203"/>
  <c r="E22" i="203"/>
  <c r="AD21" i="203"/>
  <c r="AC21" i="203"/>
  <c r="AB21" i="203"/>
  <c r="Z21" i="203"/>
  <c r="X21" i="203"/>
  <c r="Q21" i="203"/>
  <c r="P21" i="203"/>
  <c r="I21" i="203"/>
  <c r="H21" i="203"/>
  <c r="E21" i="203"/>
  <c r="AD20" i="203"/>
  <c r="AC20" i="203"/>
  <c r="AB20" i="203"/>
  <c r="Z20" i="203"/>
  <c r="X20" i="203"/>
  <c r="Q20" i="203"/>
  <c r="P20" i="203"/>
  <c r="H20" i="203"/>
  <c r="E20" i="203"/>
  <c r="AD19" i="203"/>
  <c r="AC19" i="203"/>
  <c r="AB19" i="203"/>
  <c r="Z19" i="203"/>
  <c r="X19" i="203"/>
  <c r="Q19" i="203"/>
  <c r="P19" i="203"/>
  <c r="H19" i="203"/>
  <c r="E19" i="203"/>
  <c r="AD18" i="203"/>
  <c r="AC18" i="203"/>
  <c r="AB18" i="203"/>
  <c r="Z18" i="203"/>
  <c r="X18" i="203"/>
  <c r="Q18" i="203"/>
  <c r="P18" i="203"/>
  <c r="H18" i="203"/>
  <c r="E18" i="203"/>
  <c r="AD17" i="203"/>
  <c r="AC17" i="203"/>
  <c r="AB17" i="203"/>
  <c r="Z17" i="203"/>
  <c r="X17" i="203"/>
  <c r="Q17" i="203"/>
  <c r="P17" i="203"/>
  <c r="H17" i="203"/>
  <c r="E17" i="203"/>
  <c r="AD16" i="203"/>
  <c r="AC16" i="203"/>
  <c r="AB16" i="203"/>
  <c r="Z16" i="203"/>
  <c r="X16" i="203"/>
  <c r="Q16" i="203"/>
  <c r="P16" i="203"/>
  <c r="E16" i="203"/>
  <c r="AD15" i="203"/>
  <c r="AC15" i="203"/>
  <c r="AB15" i="203"/>
  <c r="Z15" i="203"/>
  <c r="X15" i="203"/>
  <c r="Q15" i="203"/>
  <c r="P15" i="203"/>
  <c r="E15" i="203"/>
  <c r="AD14" i="203"/>
  <c r="AC14" i="203"/>
  <c r="AB14" i="203"/>
  <c r="Z14" i="203"/>
  <c r="X14" i="203"/>
  <c r="Q14" i="203"/>
  <c r="P14" i="203"/>
  <c r="H14" i="203"/>
  <c r="E14" i="203"/>
  <c r="AD13" i="203"/>
  <c r="AC13" i="203"/>
  <c r="AB13" i="203"/>
  <c r="Z13" i="203"/>
  <c r="X13" i="203"/>
  <c r="Q13" i="203"/>
  <c r="P13" i="203"/>
  <c r="H13" i="203"/>
  <c r="E13" i="203"/>
  <c r="AD12" i="203"/>
  <c r="AC12" i="203"/>
  <c r="AB12" i="203"/>
  <c r="Z12" i="203"/>
  <c r="X12" i="203"/>
  <c r="Q12" i="203"/>
  <c r="P12" i="203"/>
  <c r="H12" i="203"/>
  <c r="E12" i="203"/>
  <c r="M79" i="202"/>
  <c r="P71" i="202"/>
  <c r="H71" i="202"/>
  <c r="Q70" i="202"/>
  <c r="P70" i="202"/>
  <c r="H70" i="202"/>
  <c r="E70" i="202"/>
  <c r="Q69" i="202"/>
  <c r="P69" i="202"/>
  <c r="H69" i="202"/>
  <c r="E69" i="202"/>
  <c r="AD68" i="202"/>
  <c r="AC68" i="202"/>
  <c r="AB68" i="202"/>
  <c r="Z68" i="202"/>
  <c r="X68" i="202"/>
  <c r="Q68" i="202"/>
  <c r="P68" i="202"/>
  <c r="H68" i="202"/>
  <c r="E68" i="202"/>
  <c r="AD67" i="202"/>
  <c r="AC67" i="202"/>
  <c r="AB67" i="202"/>
  <c r="Z67" i="202"/>
  <c r="X67" i="202"/>
  <c r="Q67" i="202"/>
  <c r="P67" i="202"/>
  <c r="H67" i="202"/>
  <c r="E67" i="202"/>
  <c r="AD66" i="202"/>
  <c r="AC66" i="202"/>
  <c r="AB66" i="202"/>
  <c r="Z66" i="202"/>
  <c r="X66" i="202"/>
  <c r="Q66" i="202"/>
  <c r="P66" i="202"/>
  <c r="H66" i="202"/>
  <c r="E66" i="202"/>
  <c r="AD65" i="202"/>
  <c r="AC65" i="202"/>
  <c r="AB65" i="202"/>
  <c r="Z65" i="202"/>
  <c r="X65" i="202"/>
  <c r="Q65" i="202"/>
  <c r="P65" i="202"/>
  <c r="H65" i="202"/>
  <c r="E65" i="202"/>
  <c r="AD64" i="202"/>
  <c r="AC64" i="202"/>
  <c r="AB64" i="202"/>
  <c r="Z64" i="202"/>
  <c r="X64" i="202"/>
  <c r="Q64" i="202"/>
  <c r="P64" i="202"/>
  <c r="H64" i="202"/>
  <c r="E64" i="202"/>
  <c r="AD63" i="202"/>
  <c r="AC63" i="202"/>
  <c r="AB63" i="202"/>
  <c r="Z63" i="202"/>
  <c r="X63" i="202"/>
  <c r="Q63" i="202"/>
  <c r="P63" i="202"/>
  <c r="H63" i="202"/>
  <c r="E63" i="202"/>
  <c r="AD62" i="202"/>
  <c r="AC62" i="202"/>
  <c r="AB62" i="202"/>
  <c r="Z62" i="202"/>
  <c r="X62" i="202"/>
  <c r="Q62" i="202"/>
  <c r="P62" i="202"/>
  <c r="I62" i="202"/>
  <c r="H62" i="202"/>
  <c r="E62" i="202"/>
  <c r="AC61" i="202"/>
  <c r="AB61" i="202"/>
  <c r="X61" i="202"/>
  <c r="Q61" i="202"/>
  <c r="P61" i="202"/>
  <c r="H61" i="202"/>
  <c r="E61" i="202"/>
  <c r="AE60" i="202"/>
  <c r="X60" i="202"/>
  <c r="Q60" i="202"/>
  <c r="P60" i="202"/>
  <c r="H60" i="202"/>
  <c r="E60" i="202"/>
  <c r="AC59" i="202"/>
  <c r="AB59" i="202"/>
  <c r="X59" i="202"/>
  <c r="Q59" i="202"/>
  <c r="P59" i="202"/>
  <c r="H59" i="202"/>
  <c r="E59" i="202"/>
  <c r="AC58" i="202"/>
  <c r="AB58" i="202"/>
  <c r="X58" i="202"/>
  <c r="Q58" i="202"/>
  <c r="P58" i="202"/>
  <c r="E58" i="202"/>
  <c r="AC57" i="202"/>
  <c r="AB57" i="202"/>
  <c r="X57" i="202"/>
  <c r="Q57" i="202"/>
  <c r="P57" i="202"/>
  <c r="H57" i="202"/>
  <c r="E57" i="202"/>
  <c r="AD56" i="202"/>
  <c r="AC56" i="202"/>
  <c r="AB56" i="202"/>
  <c r="Z56" i="202"/>
  <c r="X56" i="202"/>
  <c r="Q56" i="202"/>
  <c r="P56" i="202"/>
  <c r="H56" i="202"/>
  <c r="E56" i="202"/>
  <c r="AD55" i="202"/>
  <c r="AC55" i="202"/>
  <c r="AB55" i="202"/>
  <c r="Z55" i="202"/>
  <c r="X55" i="202"/>
  <c r="Q55" i="202"/>
  <c r="P55" i="202"/>
  <c r="H55" i="202"/>
  <c r="E55" i="202"/>
  <c r="AD54" i="202"/>
  <c r="AC54" i="202"/>
  <c r="AB54" i="202"/>
  <c r="Z54" i="202"/>
  <c r="X54" i="202"/>
  <c r="Q54" i="202"/>
  <c r="P54" i="202"/>
  <c r="H54" i="202"/>
  <c r="E54" i="202"/>
  <c r="AD53" i="202"/>
  <c r="AC53" i="202"/>
  <c r="AB53" i="202"/>
  <c r="Z53" i="202"/>
  <c r="X53" i="202"/>
  <c r="Q53" i="202"/>
  <c r="P53" i="202"/>
  <c r="H53" i="202"/>
  <c r="E53" i="202"/>
  <c r="AE52" i="202"/>
  <c r="Z52" i="202"/>
  <c r="X52" i="202"/>
  <c r="Q52" i="202"/>
  <c r="P52" i="202"/>
  <c r="H52" i="202"/>
  <c r="E52" i="202"/>
  <c r="AD51" i="202"/>
  <c r="AC51" i="202"/>
  <c r="AB51" i="202"/>
  <c r="Z51" i="202"/>
  <c r="X51" i="202"/>
  <c r="Q51" i="202"/>
  <c r="P51" i="202"/>
  <c r="H51" i="202"/>
  <c r="E51" i="202"/>
  <c r="AD50" i="202"/>
  <c r="AC50" i="202"/>
  <c r="AB50" i="202"/>
  <c r="Z50" i="202"/>
  <c r="X50" i="202"/>
  <c r="Q50" i="202"/>
  <c r="P50" i="202"/>
  <c r="H50" i="202"/>
  <c r="E50" i="202"/>
  <c r="AE49" i="202"/>
  <c r="Z49" i="202"/>
  <c r="X49" i="202"/>
  <c r="Q49" i="202"/>
  <c r="P49" i="202"/>
  <c r="H49" i="202"/>
  <c r="E49" i="202"/>
  <c r="AE48" i="202"/>
  <c r="Z48" i="202"/>
  <c r="X48" i="202"/>
  <c r="Q48" i="202"/>
  <c r="P48" i="202"/>
  <c r="H48" i="202"/>
  <c r="E48" i="202"/>
  <c r="AE47" i="202"/>
  <c r="Z47" i="202"/>
  <c r="X47" i="202"/>
  <c r="Q47" i="202"/>
  <c r="P47" i="202"/>
  <c r="H47" i="202"/>
  <c r="E47" i="202"/>
  <c r="AD46" i="202"/>
  <c r="AC46" i="202"/>
  <c r="AB46" i="202"/>
  <c r="Z46" i="202"/>
  <c r="X46" i="202"/>
  <c r="Q46" i="202"/>
  <c r="P46" i="202"/>
  <c r="H46" i="202"/>
  <c r="E46" i="202"/>
  <c r="AD45" i="202"/>
  <c r="AC45" i="202"/>
  <c r="AB45" i="202"/>
  <c r="Z45" i="202"/>
  <c r="X45" i="202"/>
  <c r="Q45" i="202"/>
  <c r="P45" i="202"/>
  <c r="H45" i="202"/>
  <c r="E45" i="202"/>
  <c r="AD44" i="202"/>
  <c r="AC44" i="202"/>
  <c r="AB44" i="202"/>
  <c r="Z44" i="202"/>
  <c r="X44" i="202"/>
  <c r="Q44" i="202"/>
  <c r="P44" i="202"/>
  <c r="H44" i="202"/>
  <c r="E44" i="202"/>
  <c r="AD43" i="202"/>
  <c r="AC43" i="202"/>
  <c r="AB43" i="202"/>
  <c r="Z43" i="202"/>
  <c r="X43" i="202"/>
  <c r="Q43" i="202"/>
  <c r="P43" i="202"/>
  <c r="H43" i="202"/>
  <c r="E43" i="202"/>
  <c r="AD42" i="202"/>
  <c r="AC42" i="202"/>
  <c r="AB42" i="202"/>
  <c r="Z42" i="202"/>
  <c r="X42" i="202"/>
  <c r="Q42" i="202"/>
  <c r="P42" i="202"/>
  <c r="H42" i="202"/>
  <c r="E42" i="202"/>
  <c r="AD41" i="202"/>
  <c r="AC41" i="202"/>
  <c r="AB41" i="202"/>
  <c r="Z41" i="202"/>
  <c r="X41" i="202"/>
  <c r="Q41" i="202"/>
  <c r="P41" i="202"/>
  <c r="H41" i="202"/>
  <c r="E41" i="202"/>
  <c r="AD40" i="202"/>
  <c r="AC40" i="202"/>
  <c r="AB40" i="202"/>
  <c r="Z40" i="202"/>
  <c r="X40" i="202"/>
  <c r="Q40" i="202"/>
  <c r="P40" i="202"/>
  <c r="H40" i="202"/>
  <c r="E40" i="202"/>
  <c r="AD39" i="202"/>
  <c r="AC39" i="202"/>
  <c r="AB39" i="202"/>
  <c r="Z39" i="202"/>
  <c r="X39" i="202"/>
  <c r="Q39" i="202"/>
  <c r="P39" i="202"/>
  <c r="H39" i="202"/>
  <c r="E39" i="202"/>
  <c r="AD38" i="202"/>
  <c r="AC38" i="202"/>
  <c r="AB38" i="202"/>
  <c r="Z38" i="202"/>
  <c r="X38" i="202"/>
  <c r="Q38" i="202"/>
  <c r="P38" i="202"/>
  <c r="H38" i="202"/>
  <c r="E38" i="202"/>
  <c r="AD37" i="202"/>
  <c r="AC37" i="202"/>
  <c r="AB37" i="202"/>
  <c r="Z37" i="202"/>
  <c r="X37" i="202"/>
  <c r="Q37" i="202"/>
  <c r="P37" i="202"/>
  <c r="H37" i="202"/>
  <c r="E37" i="202"/>
  <c r="AD36" i="202"/>
  <c r="AC36" i="202"/>
  <c r="AB36" i="202"/>
  <c r="Z36" i="202"/>
  <c r="X36" i="202"/>
  <c r="Q36" i="202"/>
  <c r="P36" i="202"/>
  <c r="H36" i="202"/>
  <c r="E36" i="202"/>
  <c r="AD35" i="202"/>
  <c r="AC35" i="202"/>
  <c r="AB35" i="202"/>
  <c r="Z35" i="202"/>
  <c r="X35" i="202"/>
  <c r="Q35" i="202"/>
  <c r="P35" i="202"/>
  <c r="H35" i="202"/>
  <c r="E35" i="202"/>
  <c r="AD34" i="202"/>
  <c r="AC34" i="202"/>
  <c r="AB34" i="202"/>
  <c r="Z34" i="202"/>
  <c r="X34" i="202"/>
  <c r="Q34" i="202"/>
  <c r="P34" i="202"/>
  <c r="H34" i="202"/>
  <c r="E34" i="202"/>
  <c r="AD33" i="202"/>
  <c r="AC33" i="202"/>
  <c r="AB33" i="202"/>
  <c r="Z33" i="202"/>
  <c r="X33" i="202"/>
  <c r="Q33" i="202"/>
  <c r="P33" i="202"/>
  <c r="H33" i="202"/>
  <c r="E33" i="202"/>
  <c r="AD32" i="202"/>
  <c r="AC32" i="202"/>
  <c r="AB32" i="202"/>
  <c r="Z32" i="202"/>
  <c r="X32" i="202"/>
  <c r="Q32" i="202"/>
  <c r="P32" i="202"/>
  <c r="H32" i="202"/>
  <c r="E32" i="202"/>
  <c r="AE31" i="202"/>
  <c r="Z31" i="202"/>
  <c r="X31" i="202"/>
  <c r="Q31" i="202"/>
  <c r="P31" i="202"/>
  <c r="H31" i="202"/>
  <c r="E31" i="202"/>
  <c r="AD30" i="202"/>
  <c r="AC30" i="202"/>
  <c r="AB30" i="202"/>
  <c r="Z30" i="202"/>
  <c r="X30" i="202"/>
  <c r="Q30" i="202"/>
  <c r="P30" i="202"/>
  <c r="H30" i="202"/>
  <c r="E30" i="202"/>
  <c r="AD29" i="202"/>
  <c r="AC29" i="202"/>
  <c r="AB29" i="202"/>
  <c r="Z29" i="202"/>
  <c r="X29" i="202"/>
  <c r="Q29" i="202"/>
  <c r="P29" i="202"/>
  <c r="H29" i="202"/>
  <c r="E29" i="202"/>
  <c r="AD28" i="202"/>
  <c r="AC28" i="202"/>
  <c r="AB28" i="202"/>
  <c r="Z28" i="202"/>
  <c r="X28" i="202"/>
  <c r="Q28" i="202"/>
  <c r="P28" i="202"/>
  <c r="H28" i="202"/>
  <c r="E28" i="202"/>
  <c r="AD27" i="202"/>
  <c r="AC27" i="202"/>
  <c r="AB27" i="202"/>
  <c r="Z27" i="202"/>
  <c r="X27" i="202"/>
  <c r="Q27" i="202"/>
  <c r="P27" i="202"/>
  <c r="H27" i="202"/>
  <c r="E27" i="202"/>
  <c r="AD26" i="202"/>
  <c r="AC26" i="202"/>
  <c r="AB26" i="202"/>
  <c r="Z26" i="202"/>
  <c r="X26" i="202"/>
  <c r="Q26" i="202"/>
  <c r="P26" i="202"/>
  <c r="H26" i="202"/>
  <c r="E26" i="202"/>
  <c r="AD25" i="202"/>
  <c r="AC25" i="202"/>
  <c r="AB25" i="202"/>
  <c r="Z25" i="202"/>
  <c r="X25" i="202"/>
  <c r="Q25" i="202"/>
  <c r="P25" i="202"/>
  <c r="H25" i="202"/>
  <c r="E25" i="202"/>
  <c r="AD24" i="202"/>
  <c r="AC24" i="202"/>
  <c r="AB24" i="202"/>
  <c r="Z24" i="202"/>
  <c r="X24" i="202"/>
  <c r="Q24" i="202"/>
  <c r="P24" i="202"/>
  <c r="H24" i="202"/>
  <c r="E24" i="202"/>
  <c r="AD23" i="202"/>
  <c r="AC23" i="202"/>
  <c r="AB23" i="202"/>
  <c r="Z23" i="202"/>
  <c r="X23" i="202"/>
  <c r="Q23" i="202"/>
  <c r="P23" i="202"/>
  <c r="H23" i="202"/>
  <c r="E23" i="202"/>
  <c r="AD22" i="202"/>
  <c r="AC22" i="202"/>
  <c r="AB22" i="202"/>
  <c r="Z22" i="202"/>
  <c r="X22" i="202"/>
  <c r="Q22" i="202"/>
  <c r="P22" i="202"/>
  <c r="H22" i="202"/>
  <c r="E22" i="202"/>
  <c r="AD21" i="202"/>
  <c r="AC21" i="202"/>
  <c r="AB21" i="202"/>
  <c r="Z21" i="202"/>
  <c r="X21" i="202"/>
  <c r="Q21" i="202"/>
  <c r="P21" i="202"/>
  <c r="H21" i="202"/>
  <c r="E21" i="202"/>
  <c r="AD20" i="202"/>
  <c r="AC20" i="202"/>
  <c r="AB20" i="202"/>
  <c r="Z20" i="202"/>
  <c r="X20" i="202"/>
  <c r="Q20" i="202"/>
  <c r="P20" i="202"/>
  <c r="H20" i="202"/>
  <c r="E20" i="202"/>
  <c r="AD19" i="202"/>
  <c r="AC19" i="202"/>
  <c r="AB19" i="202"/>
  <c r="Z19" i="202"/>
  <c r="X19" i="202"/>
  <c r="Q19" i="202"/>
  <c r="P19" i="202"/>
  <c r="H19" i="202"/>
  <c r="E19" i="202"/>
  <c r="AD18" i="202"/>
  <c r="AC18" i="202"/>
  <c r="AB18" i="202"/>
  <c r="Z18" i="202"/>
  <c r="X18" i="202"/>
  <c r="Q18" i="202"/>
  <c r="P18" i="202"/>
  <c r="H18" i="202"/>
  <c r="E18" i="202"/>
  <c r="AD17" i="202"/>
  <c r="AC17" i="202"/>
  <c r="AB17" i="202"/>
  <c r="Z17" i="202"/>
  <c r="X17" i="202"/>
  <c r="Q17" i="202"/>
  <c r="P17" i="202"/>
  <c r="H17" i="202"/>
  <c r="E17" i="202"/>
  <c r="AE16" i="202"/>
  <c r="AD16" i="202"/>
  <c r="AC16" i="202"/>
  <c r="AB16" i="202"/>
  <c r="Z16" i="202"/>
  <c r="X16" i="202"/>
  <c r="Q16" i="202"/>
  <c r="P16" i="202"/>
  <c r="E16" i="202"/>
  <c r="AD15" i="202"/>
  <c r="AC15" i="202"/>
  <c r="AB15" i="202"/>
  <c r="Z15" i="202"/>
  <c r="X15" i="202"/>
  <c r="Q15" i="202"/>
  <c r="P15" i="202"/>
  <c r="E15" i="202"/>
  <c r="AD14" i="202"/>
  <c r="AC14" i="202"/>
  <c r="AB14" i="202"/>
  <c r="Z14" i="202"/>
  <c r="X14" i="202"/>
  <c r="Q14" i="202"/>
  <c r="P14" i="202"/>
  <c r="H14" i="202"/>
  <c r="E14" i="202"/>
  <c r="AD13" i="202"/>
  <c r="AC13" i="202"/>
  <c r="AB13" i="202"/>
  <c r="Z13" i="202"/>
  <c r="X13" i="202"/>
  <c r="Q13" i="202"/>
  <c r="P13" i="202"/>
  <c r="H13" i="202"/>
  <c r="E13" i="202"/>
  <c r="AD12" i="202"/>
  <c r="AC12" i="202"/>
  <c r="AB12" i="202"/>
  <c r="Z12" i="202"/>
  <c r="X12" i="202"/>
  <c r="Q12" i="202"/>
  <c r="P12" i="202"/>
  <c r="H12" i="202"/>
  <c r="E12" i="202"/>
  <c r="I70" i="217" l="1"/>
  <c r="I59" i="217"/>
  <c r="AE51" i="217"/>
  <c r="AI51" i="217" s="1"/>
  <c r="Y51" i="217" s="1"/>
  <c r="AE46" i="217"/>
  <c r="AI46" i="217" s="1"/>
  <c r="I34" i="217"/>
  <c r="AE27" i="217"/>
  <c r="AI27" i="217" s="1"/>
  <c r="Y27" i="217" s="1"/>
  <c r="AE20" i="217"/>
  <c r="AI20" i="217" s="1"/>
  <c r="Y20" i="217" s="1"/>
  <c r="I18" i="217"/>
  <c r="AE17" i="217"/>
  <c r="AI17" i="217" s="1"/>
  <c r="Y17" i="217" s="1"/>
  <c r="I17" i="217"/>
  <c r="AE16" i="217"/>
  <c r="AI16" i="217" s="1"/>
  <c r="Y16" i="217" s="1"/>
  <c r="I16" i="217"/>
  <c r="AE15" i="217"/>
  <c r="AI15" i="217" s="1"/>
  <c r="Y15" i="217" s="1"/>
  <c r="I15" i="217"/>
  <c r="AE14" i="217"/>
  <c r="AI14" i="217" s="1"/>
  <c r="Y14" i="217" s="1"/>
  <c r="I14" i="217"/>
  <c r="AE13" i="217"/>
  <c r="AI13" i="217" s="1"/>
  <c r="Y13" i="217" s="1"/>
  <c r="I13" i="217"/>
  <c r="AE12" i="217"/>
  <c r="AI12" i="217" s="1"/>
  <c r="Y12" i="217" s="1"/>
  <c r="I12" i="217"/>
  <c r="I66" i="217"/>
  <c r="I63" i="217"/>
  <c r="AE59" i="217"/>
  <c r="AI59" i="217" s="1"/>
  <c r="Y59" i="217" s="1"/>
  <c r="I53" i="217"/>
  <c r="AE45" i="217"/>
  <c r="AI45" i="217" s="1"/>
  <c r="AE39" i="217"/>
  <c r="AI39" i="217" s="1"/>
  <c r="AI34" i="217"/>
  <c r="Y34" i="217" s="1"/>
  <c r="AI33" i="217"/>
  <c r="Y33" i="217" s="1"/>
  <c r="AE32" i="217"/>
  <c r="AI32" i="217" s="1"/>
  <c r="Y31" i="217"/>
  <c r="AE30" i="217"/>
  <c r="AI30" i="217" s="1"/>
  <c r="AI22" i="217"/>
  <c r="Y22" i="217" s="1"/>
  <c r="I22" i="217"/>
  <c r="O75" i="217"/>
  <c r="I69" i="217"/>
  <c r="I65" i="217"/>
  <c r="AE64" i="217"/>
  <c r="AI64" i="217" s="1"/>
  <c r="I64" i="217"/>
  <c r="AE61" i="217"/>
  <c r="AI61" i="217" s="1"/>
  <c r="Y61" i="217" s="1"/>
  <c r="AE54" i="217"/>
  <c r="AI54" i="217" s="1"/>
  <c r="Y54" i="217"/>
  <c r="AE53" i="217"/>
  <c r="AI53" i="217" s="1"/>
  <c r="Y53" i="217" s="1"/>
  <c r="AI41" i="217"/>
  <c r="Y41" i="217" s="1"/>
  <c r="Y39" i="217"/>
  <c r="AE24" i="217"/>
  <c r="AI24" i="217" s="1"/>
  <c r="Y24" i="217" s="1"/>
  <c r="I24" i="217"/>
  <c r="I19" i="217"/>
  <c r="AE58" i="217"/>
  <c r="AI58" i="217" s="1"/>
  <c r="I49" i="217"/>
  <c r="AI47" i="217"/>
  <c r="Y47" i="217" s="1"/>
  <c r="Y46" i="217"/>
  <c r="AE25" i="217"/>
  <c r="AI25" i="217" s="1"/>
  <c r="Y25" i="217" s="1"/>
  <c r="AE23" i="217"/>
  <c r="AI23" i="217" s="1"/>
  <c r="Y23" i="217" s="1"/>
  <c r="AI18" i="217"/>
  <c r="Y18" i="217" s="1"/>
  <c r="O73" i="217"/>
  <c r="AE68" i="217"/>
  <c r="AI68" i="217" s="1"/>
  <c r="Y68" i="217" s="1"/>
  <c r="I20" i="217"/>
  <c r="AE66" i="217"/>
  <c r="AI66" i="217" s="1"/>
  <c r="Y66" i="217" s="1"/>
  <c r="AI62" i="217"/>
  <c r="Y62" i="217" s="1"/>
  <c r="I62" i="217"/>
  <c r="I60" i="217"/>
  <c r="Y58" i="217"/>
  <c r="I58" i="217"/>
  <c r="AI55" i="217"/>
  <c r="Y55" i="217" s="1"/>
  <c r="I50" i="217"/>
  <c r="I45" i="217"/>
  <c r="AI42" i="217"/>
  <c r="Y42" i="217" s="1"/>
  <c r="I39" i="217"/>
  <c r="AE38" i="217"/>
  <c r="AI38" i="217" s="1"/>
  <c r="Y38" i="217" s="1"/>
  <c r="I38" i="217"/>
  <c r="I35" i="217"/>
  <c r="I32" i="217"/>
  <c r="AE28" i="217"/>
  <c r="AI28" i="217" s="1"/>
  <c r="Y28" i="217" s="1"/>
  <c r="AE26" i="217"/>
  <c r="AI26" i="217" s="1"/>
  <c r="Y26" i="217" s="1"/>
  <c r="I26" i="217"/>
  <c r="AE19" i="217"/>
  <c r="AI19" i="217" s="1"/>
  <c r="Y19" i="217" s="1"/>
  <c r="AE57" i="217"/>
  <c r="AI57" i="217" s="1"/>
  <c r="Y57" i="217" s="1"/>
  <c r="I57" i="217"/>
  <c r="AI49" i="217"/>
  <c r="Y49" i="217" s="1"/>
  <c r="AI48" i="217"/>
  <c r="Y48" i="217" s="1"/>
  <c r="I44" i="217"/>
  <c r="AI40" i="217"/>
  <c r="Y40" i="217" s="1"/>
  <c r="I37" i="217"/>
  <c r="AE36" i="217"/>
  <c r="AI36" i="217" s="1"/>
  <c r="Y36" i="217" s="1"/>
  <c r="AI35" i="217"/>
  <c r="Y35" i="217" s="1"/>
  <c r="Y32" i="217"/>
  <c r="T75" i="217"/>
  <c r="Y64" i="217"/>
  <c r="AI60" i="217"/>
  <c r="Y60" i="217" s="1"/>
  <c r="I47" i="217"/>
  <c r="I42" i="217"/>
  <c r="AE37" i="217"/>
  <c r="AI37" i="217" s="1"/>
  <c r="Y37" i="217" s="1"/>
  <c r="AE29" i="217"/>
  <c r="AI29" i="217" s="1"/>
  <c r="Y29" i="217" s="1"/>
  <c r="I28" i="217"/>
  <c r="AE21" i="217"/>
  <c r="AI21" i="217" s="1"/>
  <c r="Y21" i="217" s="1"/>
  <c r="I68" i="217"/>
  <c r="AE67" i="217"/>
  <c r="AI67" i="217" s="1"/>
  <c r="Y67" i="217" s="1"/>
  <c r="AE65" i="217"/>
  <c r="AI65" i="217" s="1"/>
  <c r="Y65" i="217" s="1"/>
  <c r="AE63" i="217"/>
  <c r="AI63" i="217" s="1"/>
  <c r="Y63" i="217" s="1"/>
  <c r="I56" i="217"/>
  <c r="I54" i="217"/>
  <c r="AI52" i="217"/>
  <c r="Y52" i="217" s="1"/>
  <c r="I52" i="217"/>
  <c r="AE50" i="217"/>
  <c r="AI50" i="217" s="1"/>
  <c r="Y50" i="217" s="1"/>
  <c r="I48" i="217"/>
  <c r="I46" i="217"/>
  <c r="Y45" i="217"/>
  <c r="AI44" i="217"/>
  <c r="Y44" i="217" s="1"/>
  <c r="I43" i="217"/>
  <c r="I33" i="217"/>
  <c r="Y30" i="217"/>
  <c r="I29" i="217"/>
  <c r="I27" i="217"/>
  <c r="T77" i="217"/>
  <c r="I67" i="217"/>
  <c r="I61" i="217"/>
  <c r="AE56" i="217"/>
  <c r="AI56" i="217" s="1"/>
  <c r="Y56" i="217" s="1"/>
  <c r="I55" i="217"/>
  <c r="AE43" i="217"/>
  <c r="AI43" i="217" s="1"/>
  <c r="Y43" i="217" s="1"/>
  <c r="I41" i="217"/>
  <c r="I40" i="217"/>
  <c r="I36" i="217"/>
  <c r="I30" i="217"/>
  <c r="I25" i="217"/>
  <c r="I23" i="217"/>
  <c r="I21" i="217"/>
  <c r="I61" i="214"/>
  <c r="AI54" i="214"/>
  <c r="Y54" i="214" s="1"/>
  <c r="Y49" i="214"/>
  <c r="Y48" i="214"/>
  <c r="AE43" i="214"/>
  <c r="AI43" i="214" s="1"/>
  <c r="Y43" i="214" s="1"/>
  <c r="I41" i="214"/>
  <c r="I40" i="214"/>
  <c r="AE36" i="214"/>
  <c r="AI36" i="214" s="1"/>
  <c r="Y36" i="214" s="1"/>
  <c r="I29" i="214"/>
  <c r="AE22" i="214"/>
  <c r="AI22" i="214" s="1"/>
  <c r="AE21" i="214"/>
  <c r="AI21" i="214" s="1"/>
  <c r="Y21" i="214" s="1"/>
  <c r="AE20" i="214"/>
  <c r="AI20" i="214" s="1"/>
  <c r="Y20" i="214" s="1"/>
  <c r="I20" i="214"/>
  <c r="AE19" i="214"/>
  <c r="AI19" i="214" s="1"/>
  <c r="Y19" i="214" s="1"/>
  <c r="I19" i="214"/>
  <c r="AE18" i="214"/>
  <c r="AI18" i="214" s="1"/>
  <c r="Y18" i="214" s="1"/>
  <c r="I18" i="214"/>
  <c r="AE17" i="214"/>
  <c r="AI17" i="214" s="1"/>
  <c r="Y17" i="214" s="1"/>
  <c r="I17" i="214"/>
  <c r="AE16" i="214"/>
  <c r="AI16" i="214" s="1"/>
  <c r="Y16" i="214" s="1"/>
  <c r="I16" i="214"/>
  <c r="AE15" i="214"/>
  <c r="AI15" i="214" s="1"/>
  <c r="Y15" i="214" s="1"/>
  <c r="I15" i="214"/>
  <c r="AE14" i="214"/>
  <c r="AI14" i="214" s="1"/>
  <c r="Y14" i="214" s="1"/>
  <c r="I14" i="214"/>
  <c r="AE13" i="214"/>
  <c r="AI13" i="214" s="1"/>
  <c r="Y13" i="214" s="1"/>
  <c r="I13" i="214"/>
  <c r="AE12" i="214"/>
  <c r="AI12" i="214" s="1"/>
  <c r="Y12" i="214" s="1"/>
  <c r="I12" i="214"/>
  <c r="O75" i="214"/>
  <c r="I69" i="214"/>
  <c r="AE68" i="214"/>
  <c r="AI68" i="214" s="1"/>
  <c r="Y68" i="214" s="1"/>
  <c r="AI67" i="214"/>
  <c r="Y67" i="214" s="1"/>
  <c r="I66" i="214"/>
  <c r="AI63" i="214"/>
  <c r="Y63" i="214" s="1"/>
  <c r="I63" i="214"/>
  <c r="AE51" i="214"/>
  <c r="AI51" i="214" s="1"/>
  <c r="AI50" i="214"/>
  <c r="Y50" i="214" s="1"/>
  <c r="I45" i="214"/>
  <c r="AI39" i="214"/>
  <c r="Y39" i="214" s="1"/>
  <c r="I38" i="214"/>
  <c r="AE30" i="214"/>
  <c r="AI30" i="214" s="1"/>
  <c r="AE27" i="214"/>
  <c r="AI27" i="214" s="1"/>
  <c r="Y27" i="214" s="1"/>
  <c r="AE26" i="214"/>
  <c r="AI26" i="214" s="1"/>
  <c r="Y26" i="214" s="1"/>
  <c r="AI25" i="214"/>
  <c r="Y25" i="214" s="1"/>
  <c r="I25" i="214"/>
  <c r="Y22" i="214"/>
  <c r="I70" i="214"/>
  <c r="I68" i="214"/>
  <c r="I64" i="214"/>
  <c r="AI60" i="214"/>
  <c r="Y60" i="214" s="1"/>
  <c r="AI55" i="214"/>
  <c r="Y55" i="214" s="1"/>
  <c r="AE53" i="214"/>
  <c r="AI53" i="214" s="1"/>
  <c r="I53" i="214"/>
  <c r="Y51" i="214"/>
  <c r="Y47" i="214"/>
  <c r="AE44" i="214"/>
  <c r="AI44" i="214" s="1"/>
  <c r="Y44" i="214" s="1"/>
  <c r="AI42" i="214"/>
  <c r="Y42" i="214" s="1"/>
  <c r="AI41" i="214"/>
  <c r="Y41" i="214" s="1"/>
  <c r="AE35" i="214"/>
  <c r="AI35" i="214" s="1"/>
  <c r="I35" i="214"/>
  <c r="I32" i="214"/>
  <c r="O73" i="214"/>
  <c r="Y53" i="214"/>
  <c r="I50" i="214"/>
  <c r="I47" i="214"/>
  <c r="AE46" i="214"/>
  <c r="AI46" i="214" s="1"/>
  <c r="Y46" i="214" s="1"/>
  <c r="AI40" i="214"/>
  <c r="Y40" i="214" s="1"/>
  <c r="I27" i="214"/>
  <c r="I37" i="214"/>
  <c r="AE66" i="214"/>
  <c r="AI66" i="214" s="1"/>
  <c r="I57" i="214"/>
  <c r="AE45" i="214"/>
  <c r="AI45" i="214" s="1"/>
  <c r="Y45" i="214" s="1"/>
  <c r="I44" i="214"/>
  <c r="Y35" i="214"/>
  <c r="I30" i="214"/>
  <c r="AE28" i="214"/>
  <c r="AI28" i="214" s="1"/>
  <c r="Y28" i="214" s="1"/>
  <c r="I26" i="214"/>
  <c r="AI62" i="214"/>
  <c r="Y62" i="214" s="1"/>
  <c r="I59" i="214"/>
  <c r="I56" i="214"/>
  <c r="AI52" i="214"/>
  <c r="Y52" i="214" s="1"/>
  <c r="I39" i="214"/>
  <c r="I28" i="214"/>
  <c r="AI23" i="214"/>
  <c r="Y23" i="214" s="1"/>
  <c r="T75" i="214"/>
  <c r="I67" i="214"/>
  <c r="AE65" i="214"/>
  <c r="AI65" i="214" s="1"/>
  <c r="Y65" i="214" s="1"/>
  <c r="I54" i="214"/>
  <c r="AE32" i="214"/>
  <c r="AI32" i="214" s="1"/>
  <c r="Y32" i="214" s="1"/>
  <c r="I24" i="214"/>
  <c r="I60" i="214"/>
  <c r="AE59" i="214"/>
  <c r="AI59" i="214" s="1"/>
  <c r="Y59" i="214" s="1"/>
  <c r="I58" i="214"/>
  <c r="AE56" i="214"/>
  <c r="AI56" i="214" s="1"/>
  <c r="Y56" i="214" s="1"/>
  <c r="I48" i="214"/>
  <c r="I46" i="214"/>
  <c r="AE38" i="214"/>
  <c r="AI38" i="214" s="1"/>
  <c r="Y38" i="214" s="1"/>
  <c r="AE37" i="214"/>
  <c r="AI37" i="214" s="1"/>
  <c r="Y37" i="214" s="1"/>
  <c r="I36" i="214"/>
  <c r="I34" i="214"/>
  <c r="AE33" i="214"/>
  <c r="AI33" i="214" s="1"/>
  <c r="Y33" i="214" s="1"/>
  <c r="I33" i="214"/>
  <c r="I31" i="214"/>
  <c r="AE29" i="214"/>
  <c r="AI29" i="214" s="1"/>
  <c r="Y29" i="214" s="1"/>
  <c r="T77" i="214"/>
  <c r="AE64" i="214"/>
  <c r="AI64" i="214" s="1"/>
  <c r="Y64" i="214" s="1"/>
  <c r="I62" i="214"/>
  <c r="AE61" i="214"/>
  <c r="AI61" i="214" s="1"/>
  <c r="Y61" i="214" s="1"/>
  <c r="AI58" i="214"/>
  <c r="Y58" i="214" s="1"/>
  <c r="AI57" i="214"/>
  <c r="Y57" i="214" s="1"/>
  <c r="I55" i="214"/>
  <c r="I51" i="214"/>
  <c r="AE34" i="214"/>
  <c r="AI34" i="214" s="1"/>
  <c r="Y34" i="214" s="1"/>
  <c r="AI31" i="214"/>
  <c r="Y31" i="214" s="1"/>
  <c r="AI24" i="214"/>
  <c r="Y24" i="214" s="1"/>
  <c r="I23" i="214"/>
  <c r="AI49" i="213"/>
  <c r="Y49" i="213" s="1"/>
  <c r="AI48" i="213"/>
  <c r="Y48" i="213" s="1"/>
  <c r="AE45" i="213"/>
  <c r="AI45" i="213" s="1"/>
  <c r="I43" i="213"/>
  <c r="I42" i="213"/>
  <c r="AE40" i="213"/>
  <c r="AI40" i="213" s="1"/>
  <c r="Y40" i="213"/>
  <c r="AE39" i="213"/>
  <c r="AI39" i="213" s="1"/>
  <c r="I38" i="213"/>
  <c r="AE36" i="213"/>
  <c r="AI36" i="213" s="1"/>
  <c r="Y36" i="213" s="1"/>
  <c r="AE32" i="213"/>
  <c r="AI32" i="213" s="1"/>
  <c r="Y32" i="213"/>
  <c r="I24" i="213"/>
  <c r="AE23" i="213"/>
  <c r="AI23" i="213" s="1"/>
  <c r="Y23" i="213" s="1"/>
  <c r="I23" i="213"/>
  <c r="AE22" i="213"/>
  <c r="AI22" i="213" s="1"/>
  <c r="Y22" i="213" s="1"/>
  <c r="I22" i="213"/>
  <c r="AE21" i="213"/>
  <c r="AI21" i="213" s="1"/>
  <c r="Y21" i="213" s="1"/>
  <c r="I21" i="213"/>
  <c r="AE20" i="213"/>
  <c r="AI20" i="213" s="1"/>
  <c r="Y20" i="213" s="1"/>
  <c r="I20" i="213"/>
  <c r="AE19" i="213"/>
  <c r="AI19" i="213" s="1"/>
  <c r="Y19" i="213" s="1"/>
  <c r="I19" i="213"/>
  <c r="AE18" i="213"/>
  <c r="AI18" i="213" s="1"/>
  <c r="Y18" i="213" s="1"/>
  <c r="I18" i="213"/>
  <c r="AE17" i="213"/>
  <c r="AI17" i="213" s="1"/>
  <c r="Y17" i="213" s="1"/>
  <c r="I17" i="213"/>
  <c r="AE16" i="213"/>
  <c r="AI16" i="213" s="1"/>
  <c r="Y16" i="213" s="1"/>
  <c r="I16" i="213"/>
  <c r="AE15" i="213"/>
  <c r="AI15" i="213" s="1"/>
  <c r="Y15" i="213" s="1"/>
  <c r="I15" i="213"/>
  <c r="AE14" i="213"/>
  <c r="AI14" i="213" s="1"/>
  <c r="Y14" i="213" s="1"/>
  <c r="I14" i="213"/>
  <c r="AE13" i="213"/>
  <c r="AI13" i="213" s="1"/>
  <c r="Y13" i="213" s="1"/>
  <c r="I13" i="213"/>
  <c r="AE12" i="213"/>
  <c r="AI12" i="213" s="1"/>
  <c r="Y12" i="213" s="1"/>
  <c r="O75" i="213"/>
  <c r="AE63" i="213"/>
  <c r="AI63" i="213" s="1"/>
  <c r="Y63" i="213" s="1"/>
  <c r="AE54" i="213"/>
  <c r="AI54" i="213" s="1"/>
  <c r="Y54" i="213" s="1"/>
  <c r="AI52" i="213"/>
  <c r="Y52" i="213" s="1"/>
  <c r="I52" i="213"/>
  <c r="AE51" i="213"/>
  <c r="AI51" i="213" s="1"/>
  <c r="Y51" i="213"/>
  <c r="I51" i="213"/>
  <c r="I39" i="213"/>
  <c r="I36" i="213"/>
  <c r="I30" i="213"/>
  <c r="I26" i="213"/>
  <c r="I25" i="213"/>
  <c r="I12" i="213"/>
  <c r="O73" i="213"/>
  <c r="AE67" i="213"/>
  <c r="AI67" i="213" s="1"/>
  <c r="Y67" i="213" s="1"/>
  <c r="AE65" i="213"/>
  <c r="AI65" i="213" s="1"/>
  <c r="Y65" i="213" s="1"/>
  <c r="I65" i="213"/>
  <c r="AE64" i="213"/>
  <c r="AI64" i="213" s="1"/>
  <c r="I63" i="213"/>
  <c r="AE62" i="213"/>
  <c r="AI62" i="213" s="1"/>
  <c r="AE59" i="213"/>
  <c r="AI59" i="213" s="1"/>
  <c r="Y59" i="213" s="1"/>
  <c r="AE46" i="213"/>
  <c r="AI46" i="213" s="1"/>
  <c r="I44" i="213"/>
  <c r="AE37" i="213"/>
  <c r="AI37" i="213" s="1"/>
  <c r="Y37" i="213" s="1"/>
  <c r="AE33" i="213"/>
  <c r="AI33" i="213" s="1"/>
  <c r="Y33" i="213" s="1"/>
  <c r="AE28" i="213"/>
  <c r="AI28" i="213" s="1"/>
  <c r="Y28" i="213" s="1"/>
  <c r="T75" i="213"/>
  <c r="AE66" i="213"/>
  <c r="AI66" i="213" s="1"/>
  <c r="Y66" i="213" s="1"/>
  <c r="I58" i="213"/>
  <c r="AE50" i="213"/>
  <c r="AI50" i="213" s="1"/>
  <c r="I48" i="213"/>
  <c r="I45" i="213"/>
  <c r="Y39" i="213"/>
  <c r="I35" i="213"/>
  <c r="I31" i="213"/>
  <c r="I27" i="213"/>
  <c r="AE25" i="213"/>
  <c r="AI25" i="213" s="1"/>
  <c r="Y25" i="213" s="1"/>
  <c r="T77" i="213"/>
  <c r="I70" i="213"/>
  <c r="AE58" i="213"/>
  <c r="AI58" i="213" s="1"/>
  <c r="Y58" i="213" s="1"/>
  <c r="AE55" i="213"/>
  <c r="AI55" i="213" s="1"/>
  <c r="I50" i="213"/>
  <c r="I49" i="213"/>
  <c r="I47" i="213"/>
  <c r="Y45" i="213"/>
  <c r="AE35" i="213"/>
  <c r="AI35" i="213" s="1"/>
  <c r="Y35" i="213" s="1"/>
  <c r="AE34" i="213"/>
  <c r="AI34" i="213" s="1"/>
  <c r="Y34" i="213" s="1"/>
  <c r="I34" i="213"/>
  <c r="I33" i="213"/>
  <c r="I32" i="213"/>
  <c r="I29" i="213"/>
  <c r="AE68" i="213"/>
  <c r="AI68" i="213" s="1"/>
  <c r="Y68" i="213" s="1"/>
  <c r="I68" i="213"/>
  <c r="I67" i="213"/>
  <c r="I66" i="213"/>
  <c r="Y64" i="213"/>
  <c r="AE56" i="213"/>
  <c r="AI56" i="213" s="1"/>
  <c r="Y56" i="213" s="1"/>
  <c r="I55" i="213"/>
  <c r="I53" i="213"/>
  <c r="AE44" i="213"/>
  <c r="AI44" i="213" s="1"/>
  <c r="Y44" i="213" s="1"/>
  <c r="AE42" i="213"/>
  <c r="AI42" i="213" s="1"/>
  <c r="Y42" i="213" s="1"/>
  <c r="AE24" i="213"/>
  <c r="AI24" i="213" s="1"/>
  <c r="Y24" i="213" s="1"/>
  <c r="I59" i="213"/>
  <c r="I57" i="213"/>
  <c r="AI47" i="213"/>
  <c r="Y47" i="213" s="1"/>
  <c r="I46" i="213"/>
  <c r="I40" i="213"/>
  <c r="AE38" i="213"/>
  <c r="AI38" i="213" s="1"/>
  <c r="AI31" i="213"/>
  <c r="Y31" i="213" s="1"/>
  <c r="I64" i="213"/>
  <c r="I62" i="213"/>
  <c r="AE61" i="213"/>
  <c r="AI61" i="213" s="1"/>
  <c r="Y61" i="213" s="1"/>
  <c r="AI60" i="213"/>
  <c r="Y60" i="213" s="1"/>
  <c r="I56" i="213"/>
  <c r="Y38" i="213"/>
  <c r="AE26" i="213"/>
  <c r="AI26" i="213" s="1"/>
  <c r="Y26" i="213" s="1"/>
  <c r="AE29" i="213"/>
  <c r="AI29" i="213" s="1"/>
  <c r="Y29" i="213" s="1"/>
  <c r="I28" i="213"/>
  <c r="I69" i="213"/>
  <c r="I61" i="213"/>
  <c r="I60" i="213"/>
  <c r="AE57" i="213"/>
  <c r="AI57" i="213" s="1"/>
  <c r="Y57" i="213" s="1"/>
  <c r="I54" i="213"/>
  <c r="AE53" i="213"/>
  <c r="AI53" i="213" s="1"/>
  <c r="Y53" i="213" s="1"/>
  <c r="AE43" i="213"/>
  <c r="AI43" i="213" s="1"/>
  <c r="Y43" i="213" s="1"/>
  <c r="AE41" i="213"/>
  <c r="AI41" i="213" s="1"/>
  <c r="Y41" i="213" s="1"/>
  <c r="I41" i="213"/>
  <c r="AE30" i="213"/>
  <c r="AI30" i="213" s="1"/>
  <c r="Y30" i="213" s="1"/>
  <c r="AE27" i="213"/>
  <c r="AI27" i="213" s="1"/>
  <c r="Y27" i="213" s="1"/>
  <c r="AE68" i="212"/>
  <c r="AI68" i="212" s="1"/>
  <c r="AE66" i="212"/>
  <c r="AI66" i="212" s="1"/>
  <c r="I61" i="212"/>
  <c r="AE57" i="212"/>
  <c r="AI57" i="212" s="1"/>
  <c r="Y57" i="212" s="1"/>
  <c r="AE53" i="212"/>
  <c r="AI53" i="212" s="1"/>
  <c r="Y53" i="212" s="1"/>
  <c r="I49" i="212"/>
  <c r="AE15" i="212"/>
  <c r="AI15" i="212" s="1"/>
  <c r="Y15" i="212" s="1"/>
  <c r="I12" i="212"/>
  <c r="I27" i="212"/>
  <c r="AE26" i="212"/>
  <c r="AI26" i="212" s="1"/>
  <c r="Y26" i="212" s="1"/>
  <c r="I26" i="212"/>
  <c r="AE25" i="212"/>
  <c r="AI25" i="212" s="1"/>
  <c r="Y25" i="212" s="1"/>
  <c r="I25" i="212"/>
  <c r="AE24" i="212"/>
  <c r="AI24" i="212" s="1"/>
  <c r="Y24" i="212" s="1"/>
  <c r="I24" i="212"/>
  <c r="AE23" i="212"/>
  <c r="AI23" i="212" s="1"/>
  <c r="Y23" i="212" s="1"/>
  <c r="I23" i="212"/>
  <c r="AE22" i="212"/>
  <c r="AI22" i="212" s="1"/>
  <c r="Y22" i="212" s="1"/>
  <c r="I22" i="212"/>
  <c r="AE21" i="212"/>
  <c r="AI21" i="212" s="1"/>
  <c r="Y21" i="212" s="1"/>
  <c r="I21" i="212"/>
  <c r="AE20" i="212"/>
  <c r="AI20" i="212" s="1"/>
  <c r="Y20" i="212" s="1"/>
  <c r="I20" i="212"/>
  <c r="AE19" i="212"/>
  <c r="AI19" i="212" s="1"/>
  <c r="Y19" i="212" s="1"/>
  <c r="I19" i="212"/>
  <c r="AE18" i="212"/>
  <c r="AI18" i="212" s="1"/>
  <c r="Y18" i="212" s="1"/>
  <c r="I18" i="212"/>
  <c r="AE17" i="212"/>
  <c r="AI17" i="212" s="1"/>
  <c r="Y17" i="212" s="1"/>
  <c r="I17" i="212"/>
  <c r="AE16" i="212"/>
  <c r="AI16" i="212" s="1"/>
  <c r="Y16" i="212" s="1"/>
  <c r="I16" i="212"/>
  <c r="I59" i="212"/>
  <c r="I58" i="212"/>
  <c r="I56" i="212"/>
  <c r="I45" i="212"/>
  <c r="I40" i="212"/>
  <c r="AE34" i="212"/>
  <c r="AI34" i="212" s="1"/>
  <c r="Y34" i="212" s="1"/>
  <c r="AE33" i="212"/>
  <c r="AI33" i="212" s="1"/>
  <c r="I66" i="212"/>
  <c r="I65" i="212"/>
  <c r="AE64" i="212"/>
  <c r="AI64" i="212" s="1"/>
  <c r="Y64" i="212" s="1"/>
  <c r="I55" i="212"/>
  <c r="AI48" i="212"/>
  <c r="Y48" i="212" s="1"/>
  <c r="AE44" i="212"/>
  <c r="AI44" i="212" s="1"/>
  <c r="Y44" i="212" s="1"/>
  <c r="I44" i="212"/>
  <c r="AE43" i="212"/>
  <c r="AI43" i="212" s="1"/>
  <c r="Y43" i="212" s="1"/>
  <c r="I43" i="212"/>
  <c r="I39" i="212"/>
  <c r="AE32" i="212"/>
  <c r="AI32" i="212" s="1"/>
  <c r="AI31" i="212"/>
  <c r="Y31" i="212" s="1"/>
  <c r="AE28" i="212"/>
  <c r="AI28" i="212" s="1"/>
  <c r="Y28" i="212"/>
  <c r="I13" i="212"/>
  <c r="O73" i="212"/>
  <c r="AE61" i="212"/>
  <c r="AI61" i="212" s="1"/>
  <c r="AE55" i="212"/>
  <c r="AI55" i="212" s="1"/>
  <c r="Y55" i="212" s="1"/>
  <c r="AE54" i="212"/>
  <c r="AI54" i="212" s="1"/>
  <c r="Y54" i="212" s="1"/>
  <c r="AE46" i="212"/>
  <c r="AI46" i="212" s="1"/>
  <c r="Y46" i="212" s="1"/>
  <c r="AE39" i="212"/>
  <c r="AI39" i="212" s="1"/>
  <c r="Y39" i="212" s="1"/>
  <c r="AE37" i="212"/>
  <c r="AI37" i="212" s="1"/>
  <c r="AE35" i="212"/>
  <c r="AI35" i="212" s="1"/>
  <c r="AE30" i="212"/>
  <c r="AI30" i="212" s="1"/>
  <c r="Y30" i="212" s="1"/>
  <c r="AE14" i="212"/>
  <c r="AI14" i="212" s="1"/>
  <c r="Y14" i="212" s="1"/>
  <c r="T75" i="212"/>
  <c r="Y68" i="212"/>
  <c r="I68" i="212"/>
  <c r="I57" i="212"/>
  <c r="AE56" i="212"/>
  <c r="AI56" i="212" s="1"/>
  <c r="Y56" i="212"/>
  <c r="I46" i="212"/>
  <c r="AE36" i="212"/>
  <c r="AI36" i="212" s="1"/>
  <c r="Y36" i="212" s="1"/>
  <c r="Y35" i="212"/>
  <c r="I35" i="212"/>
  <c r="T77" i="212"/>
  <c r="I70" i="212"/>
  <c r="AE65" i="212"/>
  <c r="AI65" i="212" s="1"/>
  <c r="Y65" i="212" s="1"/>
  <c r="I63" i="212"/>
  <c r="Y61" i="212"/>
  <c r="AE42" i="212"/>
  <c r="AI42" i="212" s="1"/>
  <c r="Y42" i="212"/>
  <c r="I42" i="212"/>
  <c r="AE40" i="212"/>
  <c r="AI40" i="212" s="1"/>
  <c r="I34" i="212"/>
  <c r="I33" i="212"/>
  <c r="Y32" i="212"/>
  <c r="AE27" i="212"/>
  <c r="AI27" i="212" s="1"/>
  <c r="Y27" i="212" s="1"/>
  <c r="AE12" i="212"/>
  <c r="AI12" i="212" s="1"/>
  <c r="Y12" i="212" s="1"/>
  <c r="I53" i="212"/>
  <c r="AE45" i="212"/>
  <c r="AI45" i="212" s="1"/>
  <c r="Y45" i="212" s="1"/>
  <c r="AE41" i="212"/>
  <c r="AI41" i="212" s="1"/>
  <c r="Y41" i="212" s="1"/>
  <c r="AE38" i="212"/>
  <c r="AI38" i="212" s="1"/>
  <c r="Y38" i="212" s="1"/>
  <c r="I38" i="212"/>
  <c r="I36" i="212"/>
  <c r="I31" i="212"/>
  <c r="Y66" i="212"/>
  <c r="I64" i="212"/>
  <c r="AE63" i="212"/>
  <c r="AI63" i="212" s="1"/>
  <c r="Y63" i="212" s="1"/>
  <c r="I62" i="212"/>
  <c r="AI60" i="212"/>
  <c r="Y60" i="212" s="1"/>
  <c r="I60" i="212"/>
  <c r="I52" i="212"/>
  <c r="AE51" i="212"/>
  <c r="AI51" i="212" s="1"/>
  <c r="Y51" i="212" s="1"/>
  <c r="I37" i="212"/>
  <c r="Y33" i="212"/>
  <c r="AE29" i="212"/>
  <c r="AI29" i="212" s="1"/>
  <c r="Y29" i="212" s="1"/>
  <c r="I15" i="212"/>
  <c r="I14" i="212"/>
  <c r="O75" i="212"/>
  <c r="AE67" i="212"/>
  <c r="AI67" i="212" s="1"/>
  <c r="Y67" i="212" s="1"/>
  <c r="AE62" i="212"/>
  <c r="AI62" i="212" s="1"/>
  <c r="Y62" i="212" s="1"/>
  <c r="AE59" i="212"/>
  <c r="AI59" i="212" s="1"/>
  <c r="Y59" i="212" s="1"/>
  <c r="I54" i="212"/>
  <c r="AI52" i="212"/>
  <c r="Y52" i="212" s="1"/>
  <c r="I51" i="212"/>
  <c r="AE50" i="212"/>
  <c r="AI50" i="212" s="1"/>
  <c r="Y50" i="212" s="1"/>
  <c r="AI49" i="212"/>
  <c r="Y49" i="212" s="1"/>
  <c r="I48" i="212"/>
  <c r="I41" i="212"/>
  <c r="AE13" i="212"/>
  <c r="AI13" i="212" s="1"/>
  <c r="Y13" i="212" s="1"/>
  <c r="I69" i="212"/>
  <c r="I67" i="212"/>
  <c r="AE58" i="212"/>
  <c r="AI58" i="212" s="1"/>
  <c r="Y58" i="212" s="1"/>
  <c r="I50" i="212"/>
  <c r="AI47" i="212"/>
  <c r="Y47" i="212" s="1"/>
  <c r="I47" i="212"/>
  <c r="I32" i="212"/>
  <c r="I30" i="212"/>
  <c r="I29" i="212"/>
  <c r="I28" i="212"/>
  <c r="AE61" i="211"/>
  <c r="AI61" i="211" s="1"/>
  <c r="Y61" i="211" s="1"/>
  <c r="I54" i="211"/>
  <c r="AE53" i="211"/>
  <c r="AI53" i="211" s="1"/>
  <c r="Y53" i="211" s="1"/>
  <c r="AE44" i="211"/>
  <c r="AI44" i="211" s="1"/>
  <c r="AE41" i="211"/>
  <c r="AI41" i="211" s="1"/>
  <c r="I40" i="211"/>
  <c r="AE39" i="211"/>
  <c r="AI39" i="211" s="1"/>
  <c r="I34" i="211"/>
  <c r="AE13" i="211"/>
  <c r="AI13" i="211" s="1"/>
  <c r="Y13" i="211" s="1"/>
  <c r="I30" i="211"/>
  <c r="AE29" i="211"/>
  <c r="AI29" i="211" s="1"/>
  <c r="Y29" i="211" s="1"/>
  <c r="I29" i="211"/>
  <c r="AE28" i="211"/>
  <c r="AI28" i="211" s="1"/>
  <c r="Y28" i="211" s="1"/>
  <c r="I28" i="211"/>
  <c r="AE27" i="211"/>
  <c r="AI27" i="211" s="1"/>
  <c r="Y27" i="211" s="1"/>
  <c r="I27" i="211"/>
  <c r="AE26" i="211"/>
  <c r="AI26" i="211" s="1"/>
  <c r="Y26" i="211" s="1"/>
  <c r="I26" i="211"/>
  <c r="AE25" i="211"/>
  <c r="AI25" i="211" s="1"/>
  <c r="Y25" i="211" s="1"/>
  <c r="I25" i="211"/>
  <c r="AE24" i="211"/>
  <c r="AI24" i="211" s="1"/>
  <c r="Y24" i="211" s="1"/>
  <c r="I24" i="211"/>
  <c r="AE23" i="211"/>
  <c r="AI23" i="211" s="1"/>
  <c r="Y23" i="211" s="1"/>
  <c r="I23" i="211"/>
  <c r="AE22" i="211"/>
  <c r="AI22" i="211" s="1"/>
  <c r="Y22" i="211" s="1"/>
  <c r="I22" i="211"/>
  <c r="AE21" i="211"/>
  <c r="AI21" i="211" s="1"/>
  <c r="Y21" i="211" s="1"/>
  <c r="I21" i="211"/>
  <c r="AE20" i="211"/>
  <c r="AI20" i="211" s="1"/>
  <c r="Y20" i="211" s="1"/>
  <c r="I20" i="211"/>
  <c r="AE19" i="211"/>
  <c r="AI19" i="211" s="1"/>
  <c r="Y19" i="211" s="1"/>
  <c r="AE16" i="211"/>
  <c r="AI16" i="211" s="1"/>
  <c r="Y16" i="211" s="1"/>
  <c r="AE15" i="211"/>
  <c r="AI15" i="211" s="1"/>
  <c r="I65" i="211"/>
  <c r="AE56" i="211"/>
  <c r="AI56" i="211" s="1"/>
  <c r="I45" i="211"/>
  <c r="Y41" i="211"/>
  <c r="I33" i="211"/>
  <c r="AE32" i="211"/>
  <c r="AI32" i="211" s="1"/>
  <c r="Y32" i="211" s="1"/>
  <c r="AI31" i="211"/>
  <c r="Y31" i="211" s="1"/>
  <c r="AE67" i="211"/>
  <c r="AI67" i="211" s="1"/>
  <c r="Y67" i="211" s="1"/>
  <c r="I66" i="211"/>
  <c r="AI65" i="211"/>
  <c r="Y65" i="211" s="1"/>
  <c r="I63" i="211"/>
  <c r="AE57" i="211"/>
  <c r="AI57" i="211" s="1"/>
  <c r="Y57" i="211" s="1"/>
  <c r="AE55" i="211"/>
  <c r="AI55" i="211" s="1"/>
  <c r="Y55" i="211" s="1"/>
  <c r="AE50" i="211"/>
  <c r="AI50" i="211" s="1"/>
  <c r="Y50" i="211" s="1"/>
  <c r="AI48" i="211"/>
  <c r="Y48" i="211" s="1"/>
  <c r="I48" i="211"/>
  <c r="AI47" i="211"/>
  <c r="Y47" i="211" s="1"/>
  <c r="I41" i="211"/>
  <c r="Y39" i="211"/>
  <c r="I35" i="211"/>
  <c r="I18" i="211"/>
  <c r="I64" i="211"/>
  <c r="I62" i="211"/>
  <c r="Y56" i="211"/>
  <c r="I51" i="211"/>
  <c r="I43" i="211"/>
  <c r="AE40" i="211"/>
  <c r="AI40" i="211" s="1"/>
  <c r="Y40" i="211" s="1"/>
  <c r="Y15" i="211"/>
  <c r="I13" i="211"/>
  <c r="O75" i="211"/>
  <c r="I56" i="211"/>
  <c r="I52" i="211"/>
  <c r="I44" i="211"/>
  <c r="AE43" i="211"/>
  <c r="AI43" i="211" s="1"/>
  <c r="I39" i="211"/>
  <c r="I17" i="211"/>
  <c r="I14" i="211"/>
  <c r="I12" i="211"/>
  <c r="T77" i="211"/>
  <c r="I70" i="211"/>
  <c r="AE68" i="211"/>
  <c r="AI68" i="211" s="1"/>
  <c r="Y68" i="211" s="1"/>
  <c r="I68" i="211"/>
  <c r="AE64" i="211"/>
  <c r="AI64" i="211" s="1"/>
  <c r="Y64" i="211" s="1"/>
  <c r="AE63" i="211"/>
  <c r="AI63" i="211" s="1"/>
  <c r="Y63" i="211" s="1"/>
  <c r="AE62" i="211"/>
  <c r="AI62" i="211" s="1"/>
  <c r="Y62" i="211" s="1"/>
  <c r="I50" i="211"/>
  <c r="I47" i="211"/>
  <c r="I36" i="211"/>
  <c r="AE35" i="211"/>
  <c r="AI35" i="211" s="1"/>
  <c r="AE17" i="211"/>
  <c r="AI17" i="211" s="1"/>
  <c r="Y17" i="211" s="1"/>
  <c r="I15" i="211"/>
  <c r="T75" i="211"/>
  <c r="I61" i="211"/>
  <c r="AI60" i="211"/>
  <c r="Y60" i="211" s="1"/>
  <c r="I60" i="211"/>
  <c r="I58" i="211"/>
  <c r="AI49" i="211"/>
  <c r="Y49" i="211" s="1"/>
  <c r="AE46" i="211"/>
  <c r="AI46" i="211" s="1"/>
  <c r="Y46" i="211" s="1"/>
  <c r="I32" i="211"/>
  <c r="I59" i="211"/>
  <c r="AE54" i="211"/>
  <c r="AI54" i="211" s="1"/>
  <c r="Y54" i="211" s="1"/>
  <c r="I53" i="211"/>
  <c r="AE51" i="211"/>
  <c r="AI51" i="211" s="1"/>
  <c r="Y51" i="211" s="1"/>
  <c r="I49" i="211"/>
  <c r="I46" i="211"/>
  <c r="Y44" i="211"/>
  <c r="AE42" i="211"/>
  <c r="AI42" i="211" s="1"/>
  <c r="Y42" i="211" s="1"/>
  <c r="I38" i="211"/>
  <c r="AE36" i="211"/>
  <c r="AI36" i="211" s="1"/>
  <c r="Y36" i="211" s="1"/>
  <c r="AE34" i="211"/>
  <c r="AI34" i="211" s="1"/>
  <c r="Y34" i="211" s="1"/>
  <c r="I31" i="211"/>
  <c r="AE12" i="211"/>
  <c r="AI12" i="211" s="1"/>
  <c r="Y12" i="211" s="1"/>
  <c r="AE58" i="211"/>
  <c r="AI58" i="211" s="1"/>
  <c r="Y58" i="211" s="1"/>
  <c r="AI52" i="211"/>
  <c r="Y52" i="211" s="1"/>
  <c r="I42" i="211"/>
  <c r="AE37" i="211"/>
  <c r="AI37" i="211" s="1"/>
  <c r="Y37" i="211" s="1"/>
  <c r="I19" i="211"/>
  <c r="AE18" i="211"/>
  <c r="AI18" i="211" s="1"/>
  <c r="Y18" i="211" s="1"/>
  <c r="AE14" i="211"/>
  <c r="AI14" i="211" s="1"/>
  <c r="Y14" i="211" s="1"/>
  <c r="O73" i="211"/>
  <c r="I67" i="211"/>
  <c r="AI66" i="211"/>
  <c r="Y66" i="211" s="1"/>
  <c r="AI59" i="211"/>
  <c r="Y59" i="211" s="1"/>
  <c r="I57" i="211"/>
  <c r="I55" i="211"/>
  <c r="AE45" i="211"/>
  <c r="AI45" i="211" s="1"/>
  <c r="Y45" i="211" s="1"/>
  <c r="AE38" i="211"/>
  <c r="AI38" i="211" s="1"/>
  <c r="Y38" i="211" s="1"/>
  <c r="I37" i="211"/>
  <c r="AE33" i="211"/>
  <c r="AI33" i="211" s="1"/>
  <c r="Y33" i="211" s="1"/>
  <c r="AI30" i="211"/>
  <c r="Y30" i="211" s="1"/>
  <c r="I16" i="211"/>
  <c r="I44" i="210"/>
  <c r="I14" i="210"/>
  <c r="I13" i="210"/>
  <c r="I12" i="210"/>
  <c r="I34" i="210"/>
  <c r="AE33" i="210"/>
  <c r="AI33" i="210" s="1"/>
  <c r="Y33" i="210" s="1"/>
  <c r="I33" i="210"/>
  <c r="AE32" i="210"/>
  <c r="AI32" i="210" s="1"/>
  <c r="Y32" i="210" s="1"/>
  <c r="I32" i="210"/>
  <c r="AI31" i="210"/>
  <c r="Y31" i="210" s="1"/>
  <c r="I31" i="210"/>
  <c r="AE30" i="210"/>
  <c r="AI30" i="210" s="1"/>
  <c r="Y30" i="210" s="1"/>
  <c r="I30" i="210"/>
  <c r="AE29" i="210"/>
  <c r="AI29" i="210" s="1"/>
  <c r="Y29" i="210" s="1"/>
  <c r="I29" i="210"/>
  <c r="AE28" i="210"/>
  <c r="AI28" i="210" s="1"/>
  <c r="Y28" i="210" s="1"/>
  <c r="I28" i="210"/>
  <c r="AE27" i="210"/>
  <c r="AI27" i="210" s="1"/>
  <c r="Y27" i="210" s="1"/>
  <c r="I27" i="210"/>
  <c r="AE26" i="210"/>
  <c r="AI26" i="210" s="1"/>
  <c r="Y26" i="210" s="1"/>
  <c r="I26" i="210"/>
  <c r="AE25" i="210"/>
  <c r="AI25" i="210" s="1"/>
  <c r="Y25" i="210" s="1"/>
  <c r="I25" i="210"/>
  <c r="AE24" i="210"/>
  <c r="AI24" i="210" s="1"/>
  <c r="Y24" i="210" s="1"/>
  <c r="I24" i="210"/>
  <c r="AE23" i="210"/>
  <c r="AI23" i="210" s="1"/>
  <c r="Y23" i="210" s="1"/>
  <c r="AI22" i="210"/>
  <c r="Y22" i="210" s="1"/>
  <c r="I22" i="210"/>
  <c r="I18" i="210"/>
  <c r="I47" i="210"/>
  <c r="AE20" i="210"/>
  <c r="AI20" i="210" s="1"/>
  <c r="Y20" i="210" s="1"/>
  <c r="AE19" i="210"/>
  <c r="AI19" i="210" s="1"/>
  <c r="Y19" i="210" s="1"/>
  <c r="AE58" i="210"/>
  <c r="AI58" i="210" s="1"/>
  <c r="Y58" i="210" s="1"/>
  <c r="I58" i="210"/>
  <c r="I42" i="210"/>
  <c r="AE35" i="210"/>
  <c r="AI35" i="210" s="1"/>
  <c r="Y35" i="210" s="1"/>
  <c r="T77" i="210"/>
  <c r="I69" i="210"/>
  <c r="AE68" i="210"/>
  <c r="AI68" i="210" s="1"/>
  <c r="Y68" i="210"/>
  <c r="I64" i="210"/>
  <c r="AE63" i="210"/>
  <c r="AI63" i="210" s="1"/>
  <c r="Y63" i="210" s="1"/>
  <c r="AI53" i="210"/>
  <c r="Y53" i="210" s="1"/>
  <c r="I43" i="210"/>
  <c r="AE38" i="210"/>
  <c r="AI38" i="210" s="1"/>
  <c r="Y38" i="210" s="1"/>
  <c r="I16" i="210"/>
  <c r="AI12" i="210"/>
  <c r="Y12" i="210" s="1"/>
  <c r="T75" i="210"/>
  <c r="I62" i="210"/>
  <c r="AE59" i="210"/>
  <c r="AI59" i="210" s="1"/>
  <c r="I59" i="210"/>
  <c r="AI57" i="210"/>
  <c r="Y57" i="210" s="1"/>
  <c r="I53" i="210"/>
  <c r="AI49" i="210"/>
  <c r="Y49" i="210" s="1"/>
  <c r="I39" i="210"/>
  <c r="I36" i="210"/>
  <c r="I19" i="210"/>
  <c r="I68" i="210"/>
  <c r="AE67" i="210"/>
  <c r="AI67" i="210" s="1"/>
  <c r="Y67" i="210" s="1"/>
  <c r="I66" i="210"/>
  <c r="I60" i="210"/>
  <c r="Y59" i="210"/>
  <c r="AE54" i="210"/>
  <c r="AI54" i="210" s="1"/>
  <c r="Y54" i="210" s="1"/>
  <c r="AE51" i="210"/>
  <c r="AI51" i="210" s="1"/>
  <c r="Y51" i="210" s="1"/>
  <c r="I51" i="210"/>
  <c r="AE46" i="210"/>
  <c r="AI46" i="210" s="1"/>
  <c r="Y46" i="210" s="1"/>
  <c r="AI41" i="210"/>
  <c r="Y41" i="210" s="1"/>
  <c r="AE39" i="210"/>
  <c r="AI39" i="210" s="1"/>
  <c r="Y39" i="210" s="1"/>
  <c r="I35" i="210"/>
  <c r="AE21" i="210"/>
  <c r="AI21" i="210" s="1"/>
  <c r="Y21" i="210" s="1"/>
  <c r="I21" i="210"/>
  <c r="AE13" i="210"/>
  <c r="AI13" i="210" s="1"/>
  <c r="Y13" i="210" s="1"/>
  <c r="O73" i="210"/>
  <c r="I70" i="210"/>
  <c r="AE65" i="210"/>
  <c r="AI65" i="210" s="1"/>
  <c r="Y65" i="210" s="1"/>
  <c r="I65" i="210"/>
  <c r="AI64" i="210"/>
  <c r="Y64" i="210" s="1"/>
  <c r="I63" i="210"/>
  <c r="AE62" i="210"/>
  <c r="AI62" i="210" s="1"/>
  <c r="Y62" i="210" s="1"/>
  <c r="I61" i="210"/>
  <c r="AI52" i="210"/>
  <c r="Y52" i="210" s="1"/>
  <c r="I49" i="210"/>
  <c r="Y48" i="210"/>
  <c r="AE45" i="210"/>
  <c r="AI45" i="210" s="1"/>
  <c r="Y45" i="210" s="1"/>
  <c r="AI44" i="210"/>
  <c r="Y44" i="210" s="1"/>
  <c r="AE42" i="210"/>
  <c r="AI42" i="210" s="1"/>
  <c r="Y42" i="210" s="1"/>
  <c r="AE40" i="210"/>
  <c r="AI40" i="210" s="1"/>
  <c r="Y40" i="210" s="1"/>
  <c r="I38" i="210"/>
  <c r="I37" i="210"/>
  <c r="AE34" i="210"/>
  <c r="AI34" i="210" s="1"/>
  <c r="Y34" i="210" s="1"/>
  <c r="AE18" i="210"/>
  <c r="AI18" i="210" s="1"/>
  <c r="Y18" i="210" s="1"/>
  <c r="I67" i="210"/>
  <c r="AE66" i="210"/>
  <c r="AI66" i="210" s="1"/>
  <c r="Y66" i="210" s="1"/>
  <c r="I57" i="210"/>
  <c r="AI55" i="210"/>
  <c r="Y55" i="210" s="1"/>
  <c r="AE50" i="210"/>
  <c r="AI50" i="210" s="1"/>
  <c r="Y50" i="210" s="1"/>
  <c r="I50" i="210"/>
  <c r="I48" i="210"/>
  <c r="AI37" i="210"/>
  <c r="Y37" i="210" s="1"/>
  <c r="AE36" i="210"/>
  <c r="AI36" i="210" s="1"/>
  <c r="Y36" i="210" s="1"/>
  <c r="I23" i="210"/>
  <c r="I15" i="210"/>
  <c r="AE61" i="210"/>
  <c r="AI61" i="210" s="1"/>
  <c r="Y61" i="210" s="1"/>
  <c r="AE56" i="210"/>
  <c r="AI56" i="210" s="1"/>
  <c r="Y56" i="210" s="1"/>
  <c r="I56" i="210"/>
  <c r="I55" i="210"/>
  <c r="I54" i="210"/>
  <c r="AI47" i="210"/>
  <c r="Y47" i="210" s="1"/>
  <c r="I41" i="210"/>
  <c r="AE17" i="210"/>
  <c r="AI17" i="210" s="1"/>
  <c r="Y17" i="210" s="1"/>
  <c r="AI16" i="210"/>
  <c r="Y16" i="210" s="1"/>
  <c r="O75" i="210"/>
  <c r="AI60" i="210"/>
  <c r="Y60" i="210" s="1"/>
  <c r="I52" i="210"/>
  <c r="I45" i="210"/>
  <c r="AE43" i="210"/>
  <c r="AI43" i="210" s="1"/>
  <c r="Y43" i="210" s="1"/>
  <c r="I17" i="210"/>
  <c r="AE15" i="210"/>
  <c r="AI15" i="210" s="1"/>
  <c r="Y15" i="210" s="1"/>
  <c r="AE14" i="210"/>
  <c r="AI14" i="210" s="1"/>
  <c r="Y14" i="210" s="1"/>
  <c r="I60" i="209"/>
  <c r="AI51" i="209"/>
  <c r="Y51" i="209" s="1"/>
  <c r="AE46" i="209"/>
  <c r="AI46" i="209" s="1"/>
  <c r="AE29" i="209"/>
  <c r="AI29" i="209" s="1"/>
  <c r="AI19" i="209"/>
  <c r="Y19" i="209" s="1"/>
  <c r="AE17" i="209"/>
  <c r="AI17" i="209" s="1"/>
  <c r="Y17" i="209" s="1"/>
  <c r="AE14" i="209"/>
  <c r="AI14" i="209" s="1"/>
  <c r="Y14" i="209" s="1"/>
  <c r="I37" i="209"/>
  <c r="AE36" i="209"/>
  <c r="AI36" i="209" s="1"/>
  <c r="Y36" i="209" s="1"/>
  <c r="I36" i="209"/>
  <c r="AE35" i="209"/>
  <c r="AI35" i="209" s="1"/>
  <c r="Y35" i="209" s="1"/>
  <c r="I35" i="209"/>
  <c r="AE34" i="209"/>
  <c r="AI34" i="209" s="1"/>
  <c r="Y34" i="209" s="1"/>
  <c r="I34" i="209"/>
  <c r="AE33" i="209"/>
  <c r="AI33" i="209" s="1"/>
  <c r="Y33" i="209" s="1"/>
  <c r="I33" i="209"/>
  <c r="AE32" i="209"/>
  <c r="AI32" i="209" s="1"/>
  <c r="Y32" i="209" s="1"/>
  <c r="I32" i="209"/>
  <c r="AI31" i="209"/>
  <c r="Y31" i="209" s="1"/>
  <c r="I31" i="209"/>
  <c r="AE30" i="209"/>
  <c r="AI30" i="209" s="1"/>
  <c r="Y30" i="209" s="1"/>
  <c r="Y29" i="209"/>
  <c r="I18" i="209"/>
  <c r="AE12" i="209"/>
  <c r="AI12" i="209" s="1"/>
  <c r="Y12" i="209" s="1"/>
  <c r="I12" i="209"/>
  <c r="AE58" i="209"/>
  <c r="AI58" i="209" s="1"/>
  <c r="Y58" i="209" s="1"/>
  <c r="AE56" i="209"/>
  <c r="AI56" i="209" s="1"/>
  <c r="Y56" i="209" s="1"/>
  <c r="I53" i="209"/>
  <c r="AE50" i="209"/>
  <c r="AI50" i="209" s="1"/>
  <c r="Y50" i="209" s="1"/>
  <c r="I50" i="209"/>
  <c r="AI47" i="209"/>
  <c r="Y47" i="209" s="1"/>
  <c r="Y46" i="209"/>
  <c r="AE45" i="209"/>
  <c r="AI45" i="209" s="1"/>
  <c r="Y45" i="209" s="1"/>
  <c r="AI43" i="209"/>
  <c r="Y43" i="209" s="1"/>
  <c r="AE39" i="209"/>
  <c r="AI39" i="209" s="1"/>
  <c r="AE15" i="209"/>
  <c r="AI15" i="209" s="1"/>
  <c r="I15" i="209"/>
  <c r="AE63" i="209"/>
  <c r="AI63" i="209" s="1"/>
  <c r="AE62" i="209"/>
  <c r="AI62" i="209" s="1"/>
  <c r="Y62" i="209" s="1"/>
  <c r="AI52" i="209"/>
  <c r="Y52" i="209" s="1"/>
  <c r="I41" i="209"/>
  <c r="AE37" i="209"/>
  <c r="AI37" i="209" s="1"/>
  <c r="Y37" i="209" s="1"/>
  <c r="I30" i="209"/>
  <c r="I25" i="209"/>
  <c r="AI23" i="209"/>
  <c r="Y23" i="209" s="1"/>
  <c r="AE18" i="209"/>
  <c r="AI18" i="209" s="1"/>
  <c r="I14" i="209"/>
  <c r="T75" i="209"/>
  <c r="I67" i="209"/>
  <c r="Y63" i="209"/>
  <c r="I51" i="209"/>
  <c r="AE40" i="209"/>
  <c r="AI40" i="209" s="1"/>
  <c r="Y40" i="209" s="1"/>
  <c r="I39" i="209"/>
  <c r="AI25" i="209"/>
  <c r="Y25" i="209" s="1"/>
  <c r="AI24" i="209"/>
  <c r="Y24" i="209" s="1"/>
  <c r="I24" i="209"/>
  <c r="I20" i="209"/>
  <c r="Y18" i="209"/>
  <c r="I16" i="209"/>
  <c r="Y15" i="209"/>
  <c r="AE13" i="209"/>
  <c r="AI13" i="209" s="1"/>
  <c r="Y13" i="209" s="1"/>
  <c r="I13" i="209"/>
  <c r="O73" i="209"/>
  <c r="I65" i="209"/>
  <c r="I59" i="209"/>
  <c r="AI57" i="209"/>
  <c r="Y57" i="209" s="1"/>
  <c r="AE55" i="209"/>
  <c r="AI55" i="209" s="1"/>
  <c r="Y55" i="209" s="1"/>
  <c r="I44" i="209"/>
  <c r="AE42" i="209"/>
  <c r="AI42" i="209" s="1"/>
  <c r="Y42" i="209" s="1"/>
  <c r="I40" i="209"/>
  <c r="Y39" i="209"/>
  <c r="I38" i="209"/>
  <c r="I27" i="209"/>
  <c r="AE20" i="209"/>
  <c r="AI20" i="209" s="1"/>
  <c r="Y20" i="209" s="1"/>
  <c r="I17" i="209"/>
  <c r="T77" i="209"/>
  <c r="I69" i="209"/>
  <c r="AI68" i="209"/>
  <c r="Y68" i="209" s="1"/>
  <c r="I68" i="209"/>
  <c r="AE67" i="209"/>
  <c r="AI67" i="209" s="1"/>
  <c r="Y67" i="209" s="1"/>
  <c r="AI61" i="209"/>
  <c r="Y61" i="209" s="1"/>
  <c r="AI59" i="209"/>
  <c r="Y59" i="209" s="1"/>
  <c r="I58" i="209"/>
  <c r="AE53" i="209"/>
  <c r="AI53" i="209" s="1"/>
  <c r="Y53" i="209" s="1"/>
  <c r="AI49" i="209"/>
  <c r="Y49" i="209" s="1"/>
  <c r="I49" i="209"/>
  <c r="AI26" i="209"/>
  <c r="Y26" i="209" s="1"/>
  <c r="I70" i="209"/>
  <c r="I57" i="209"/>
  <c r="I46" i="209"/>
  <c r="I26" i="209"/>
  <c r="I23" i="209"/>
  <c r="T73" i="209"/>
  <c r="AE66" i="209"/>
  <c r="AI66" i="209" s="1"/>
  <c r="Y66" i="209" s="1"/>
  <c r="I66" i="209"/>
  <c r="AE65" i="209"/>
  <c r="AI65" i="209" s="1"/>
  <c r="Y65" i="209" s="1"/>
  <c r="AI64" i="209"/>
  <c r="Y64" i="209" s="1"/>
  <c r="I64" i="209"/>
  <c r="I62" i="209"/>
  <c r="AI60" i="209"/>
  <c r="Y60" i="209" s="1"/>
  <c r="I56" i="209"/>
  <c r="I54" i="209"/>
  <c r="I52" i="209"/>
  <c r="AI48" i="209"/>
  <c r="Y48" i="209" s="1"/>
  <c r="I45" i="209"/>
  <c r="AE44" i="209"/>
  <c r="AI44" i="209" s="1"/>
  <c r="Y44" i="209" s="1"/>
  <c r="AI38" i="209"/>
  <c r="Y38" i="209" s="1"/>
  <c r="AE28" i="209"/>
  <c r="AI28" i="209" s="1"/>
  <c r="Y28" i="209" s="1"/>
  <c r="I28" i="209"/>
  <c r="AE22" i="209"/>
  <c r="AI22" i="209" s="1"/>
  <c r="Y22" i="209" s="1"/>
  <c r="I21" i="209"/>
  <c r="AI16" i="209"/>
  <c r="Y16" i="209" s="1"/>
  <c r="O75" i="209"/>
  <c r="I63" i="209"/>
  <c r="I61" i="209"/>
  <c r="AE54" i="209"/>
  <c r="AI54" i="209" s="1"/>
  <c r="Y54" i="209" s="1"/>
  <c r="I48" i="209"/>
  <c r="I43" i="209"/>
  <c r="AI41" i="209"/>
  <c r="Y41" i="209" s="1"/>
  <c r="I29" i="209"/>
  <c r="AE27" i="209"/>
  <c r="AI27" i="209" s="1"/>
  <c r="Y27" i="209" s="1"/>
  <c r="AI21" i="209"/>
  <c r="Y21" i="209" s="1"/>
  <c r="AE63" i="208"/>
  <c r="AI63" i="208" s="1"/>
  <c r="I54" i="208"/>
  <c r="I45" i="208"/>
  <c r="AE39" i="208"/>
  <c r="AI39" i="208" s="1"/>
  <c r="Y39" i="208"/>
  <c r="AE27" i="208"/>
  <c r="AI27" i="208" s="1"/>
  <c r="Y27" i="208" s="1"/>
  <c r="I15" i="208"/>
  <c r="I13" i="208"/>
  <c r="I12" i="208"/>
  <c r="I61" i="208"/>
  <c r="I56" i="208"/>
  <c r="AE53" i="208"/>
  <c r="AI53" i="208" s="1"/>
  <c r="Y53" i="208" s="1"/>
  <c r="I53" i="208"/>
  <c r="I51" i="208"/>
  <c r="I22" i="208"/>
  <c r="AE21" i="208"/>
  <c r="AI21" i="208" s="1"/>
  <c r="Y21" i="208" s="1"/>
  <c r="AE20" i="208"/>
  <c r="AI20" i="208" s="1"/>
  <c r="Y20" i="208" s="1"/>
  <c r="AE15" i="208"/>
  <c r="AI15" i="208" s="1"/>
  <c r="O73" i="208"/>
  <c r="AE64" i="208"/>
  <c r="AI64" i="208" s="1"/>
  <c r="I59" i="208"/>
  <c r="I58" i="208"/>
  <c r="AE57" i="208"/>
  <c r="AI57" i="208" s="1"/>
  <c r="Y57" i="208"/>
  <c r="AE51" i="208"/>
  <c r="AI51" i="208" s="1"/>
  <c r="Y51" i="208" s="1"/>
  <c r="AI47" i="208"/>
  <c r="Y47" i="208" s="1"/>
  <c r="AE46" i="208"/>
  <c r="AI46" i="208" s="1"/>
  <c r="Y46" i="208" s="1"/>
  <c r="AE38" i="208"/>
  <c r="AI38" i="208" s="1"/>
  <c r="Y38" i="208" s="1"/>
  <c r="I34" i="208"/>
  <c r="AE29" i="208"/>
  <c r="AI29" i="208" s="1"/>
  <c r="Y29" i="208" s="1"/>
  <c r="I26" i="208"/>
  <c r="I24" i="208"/>
  <c r="AE17" i="208"/>
  <c r="AI17" i="208" s="1"/>
  <c r="I69" i="208"/>
  <c r="I66" i="208"/>
  <c r="I65" i="208"/>
  <c r="I62" i="208"/>
  <c r="AE61" i="208"/>
  <c r="AI61" i="208" s="1"/>
  <c r="Y61" i="208" s="1"/>
  <c r="I60" i="208"/>
  <c r="AE59" i="208"/>
  <c r="AI59" i="208" s="1"/>
  <c r="Y59" i="208" s="1"/>
  <c r="I55" i="208"/>
  <c r="AI52" i="208"/>
  <c r="Y52" i="208" s="1"/>
  <c r="I44" i="208"/>
  <c r="AE42" i="208"/>
  <c r="AI42" i="208" s="1"/>
  <c r="I38" i="208"/>
  <c r="I37" i="208"/>
  <c r="I35" i="208"/>
  <c r="AE34" i="208"/>
  <c r="AI34" i="208" s="1"/>
  <c r="Y34" i="208" s="1"/>
  <c r="AE33" i="208"/>
  <c r="AI33" i="208" s="1"/>
  <c r="AE26" i="208"/>
  <c r="AI26" i="208" s="1"/>
  <c r="AE23" i="208"/>
  <c r="AI23" i="208" s="1"/>
  <c r="AE22" i="208"/>
  <c r="AI22" i="208" s="1"/>
  <c r="Y22" i="208" s="1"/>
  <c r="I21" i="208"/>
  <c r="I20" i="208"/>
  <c r="Y17" i="208"/>
  <c r="T75" i="208"/>
  <c r="Y63" i="208"/>
  <c r="AE50" i="208"/>
  <c r="AI50" i="208" s="1"/>
  <c r="Y50" i="208" s="1"/>
  <c r="I48" i="208"/>
  <c r="I46" i="208"/>
  <c r="AE41" i="208"/>
  <c r="AI41" i="208" s="1"/>
  <c r="I36" i="208"/>
  <c r="Y33" i="208"/>
  <c r="I33" i="208"/>
  <c r="I28" i="208"/>
  <c r="Y23" i="208"/>
  <c r="AE18" i="208"/>
  <c r="AI18" i="208" s="1"/>
  <c r="Y18" i="208" s="1"/>
  <c r="I49" i="208"/>
  <c r="AE43" i="208"/>
  <c r="AI43" i="208" s="1"/>
  <c r="Y43" i="208" s="1"/>
  <c r="I41" i="208"/>
  <c r="AE40" i="208"/>
  <c r="AI40" i="208" s="1"/>
  <c r="Y40" i="208" s="1"/>
  <c r="I39" i="208"/>
  <c r="I30" i="208"/>
  <c r="I29" i="208"/>
  <c r="AE28" i="208"/>
  <c r="AI28" i="208" s="1"/>
  <c r="Y28" i="208" s="1"/>
  <c r="I25" i="208"/>
  <c r="AE19" i="208"/>
  <c r="AI19" i="208" s="1"/>
  <c r="Y19" i="208" s="1"/>
  <c r="I19" i="208"/>
  <c r="I18" i="208"/>
  <c r="I17" i="208"/>
  <c r="AE14" i="208"/>
  <c r="AI14" i="208" s="1"/>
  <c r="Y14" i="208" s="1"/>
  <c r="I14" i="208"/>
  <c r="T77" i="208"/>
  <c r="AE66" i="208"/>
  <c r="AI66" i="208" s="1"/>
  <c r="Y66" i="208" s="1"/>
  <c r="Y64" i="208"/>
  <c r="AI60" i="208"/>
  <c r="Y60" i="208" s="1"/>
  <c r="I57" i="208"/>
  <c r="AI49" i="208"/>
  <c r="Y49" i="208" s="1"/>
  <c r="AI48" i="208"/>
  <c r="Y48" i="208" s="1"/>
  <c r="I43" i="208"/>
  <c r="I42" i="208"/>
  <c r="AE36" i="208"/>
  <c r="AI36" i="208" s="1"/>
  <c r="Y36" i="208" s="1"/>
  <c r="I32" i="208"/>
  <c r="AE24" i="208"/>
  <c r="AI24" i="208" s="1"/>
  <c r="Y24" i="208" s="1"/>
  <c r="I16" i="208"/>
  <c r="AE12" i="208"/>
  <c r="AI12" i="208" s="1"/>
  <c r="Y12" i="208" s="1"/>
  <c r="O75" i="208"/>
  <c r="AE67" i="208"/>
  <c r="AI67" i="208" s="1"/>
  <c r="Y67" i="208" s="1"/>
  <c r="I67" i="208"/>
  <c r="AE62" i="208"/>
  <c r="AI62" i="208" s="1"/>
  <c r="Y62" i="208"/>
  <c r="AE58" i="208"/>
  <c r="AI58" i="208" s="1"/>
  <c r="Y58" i="208" s="1"/>
  <c r="AE56" i="208"/>
  <c r="AI56" i="208" s="1"/>
  <c r="Y56" i="208" s="1"/>
  <c r="I50" i="208"/>
  <c r="I47" i="208"/>
  <c r="I40" i="208"/>
  <c r="AE37" i="208"/>
  <c r="AI37" i="208" s="1"/>
  <c r="Y37" i="208" s="1"/>
  <c r="AE35" i="208"/>
  <c r="AI35" i="208" s="1"/>
  <c r="Y35" i="208" s="1"/>
  <c r="AE32" i="208"/>
  <c r="AI32" i="208" s="1"/>
  <c r="Y32" i="208" s="1"/>
  <c r="AE30" i="208"/>
  <c r="AI30" i="208" s="1"/>
  <c r="Y30" i="208" s="1"/>
  <c r="I52" i="208"/>
  <c r="AE45" i="208"/>
  <c r="AI45" i="208" s="1"/>
  <c r="Y45" i="208" s="1"/>
  <c r="AE44" i="208"/>
  <c r="AI44" i="208" s="1"/>
  <c r="Y44" i="208" s="1"/>
  <c r="I27" i="208"/>
  <c r="AE25" i="208"/>
  <c r="AI25" i="208" s="1"/>
  <c r="Y25" i="208" s="1"/>
  <c r="AE13" i="208"/>
  <c r="AI13" i="208" s="1"/>
  <c r="Y13" i="208" s="1"/>
  <c r="I70" i="208"/>
  <c r="AE68" i="208"/>
  <c r="AI68" i="208" s="1"/>
  <c r="Y68" i="208" s="1"/>
  <c r="I68" i="208"/>
  <c r="AE65" i="208"/>
  <c r="AI65" i="208" s="1"/>
  <c r="Y65" i="208" s="1"/>
  <c r="I64" i="208"/>
  <c r="I63" i="208"/>
  <c r="AE55" i="208"/>
  <c r="AI55" i="208" s="1"/>
  <c r="Y55" i="208" s="1"/>
  <c r="AE54" i="208"/>
  <c r="AI54" i="208" s="1"/>
  <c r="Y54" i="208" s="1"/>
  <c r="AI31" i="208"/>
  <c r="Y31" i="208" s="1"/>
  <c r="I31" i="208"/>
  <c r="AE16" i="208"/>
  <c r="AI16" i="208" s="1"/>
  <c r="Y16" i="208" s="1"/>
  <c r="T77" i="207"/>
  <c r="AE62" i="207"/>
  <c r="AI62" i="207" s="1"/>
  <c r="Y62" i="207" s="1"/>
  <c r="AE61" i="207"/>
  <c r="AI61" i="207" s="1"/>
  <c r="I58" i="207"/>
  <c r="I56" i="207"/>
  <c r="AI52" i="207"/>
  <c r="Y52" i="207" s="1"/>
  <c r="AI48" i="207"/>
  <c r="Y48" i="207" s="1"/>
  <c r="AE46" i="207"/>
  <c r="AI46" i="207" s="1"/>
  <c r="AE44" i="207"/>
  <c r="AI44" i="207" s="1"/>
  <c r="Y44" i="207" s="1"/>
  <c r="AE33" i="207"/>
  <c r="AI33" i="207" s="1"/>
  <c r="Y33" i="207" s="1"/>
  <c r="AE26" i="207"/>
  <c r="AI26" i="207" s="1"/>
  <c r="Y26" i="207" s="1"/>
  <c r="AE20" i="207"/>
  <c r="AI20" i="207" s="1"/>
  <c r="AE43" i="207"/>
  <c r="AI43" i="207" s="1"/>
  <c r="Y43" i="207" s="1"/>
  <c r="I43" i="207"/>
  <c r="AE42" i="207"/>
  <c r="AI42" i="207" s="1"/>
  <c r="Y42" i="207" s="1"/>
  <c r="I42" i="207"/>
  <c r="AE41" i="207"/>
  <c r="AI41" i="207" s="1"/>
  <c r="Y41" i="207" s="1"/>
  <c r="I41" i="207"/>
  <c r="AE40" i="207"/>
  <c r="AI40" i="207" s="1"/>
  <c r="Y40" i="207" s="1"/>
  <c r="I40" i="207"/>
  <c r="AE39" i="207"/>
  <c r="AI39" i="207" s="1"/>
  <c r="Y39" i="207" s="1"/>
  <c r="I39" i="207"/>
  <c r="AE38" i="207"/>
  <c r="AI38" i="207" s="1"/>
  <c r="Y38" i="207" s="1"/>
  <c r="I38" i="207"/>
  <c r="AE37" i="207"/>
  <c r="AI37" i="207" s="1"/>
  <c r="Y37" i="207" s="1"/>
  <c r="I37" i="207"/>
  <c r="AE36" i="207"/>
  <c r="AI36" i="207" s="1"/>
  <c r="Y36" i="207" s="1"/>
  <c r="I36" i="207"/>
  <c r="AE35" i="207"/>
  <c r="AI35" i="207" s="1"/>
  <c r="Y35" i="207" s="1"/>
  <c r="I35" i="207"/>
  <c r="AE28" i="207"/>
  <c r="AI28" i="207" s="1"/>
  <c r="Y28" i="207" s="1"/>
  <c r="AE25" i="207"/>
  <c r="AI25" i="207" s="1"/>
  <c r="Y25" i="207" s="1"/>
  <c r="I24" i="207"/>
  <c r="AE22" i="207"/>
  <c r="AI22" i="207" s="1"/>
  <c r="Y22" i="207" s="1"/>
  <c r="AE18" i="207"/>
  <c r="AI18" i="207" s="1"/>
  <c r="Y18" i="207" s="1"/>
  <c r="I18" i="207"/>
  <c r="AE17" i="207"/>
  <c r="AI17" i="207" s="1"/>
  <c r="Y17" i="207" s="1"/>
  <c r="I17" i="207"/>
  <c r="AE16" i="207"/>
  <c r="AI16" i="207" s="1"/>
  <c r="Y16" i="207" s="1"/>
  <c r="I16" i="207"/>
  <c r="AE15" i="207"/>
  <c r="AI15" i="207" s="1"/>
  <c r="Y15" i="207" s="1"/>
  <c r="I15" i="207"/>
  <c r="AE14" i="207"/>
  <c r="AI14" i="207" s="1"/>
  <c r="Y14" i="207" s="1"/>
  <c r="I14" i="207"/>
  <c r="AE13" i="207"/>
  <c r="AI13" i="207" s="1"/>
  <c r="Y13" i="207" s="1"/>
  <c r="I13" i="207"/>
  <c r="AE12" i="207"/>
  <c r="AI12" i="207" s="1"/>
  <c r="Y12" i="207" s="1"/>
  <c r="I12" i="207"/>
  <c r="I29" i="207"/>
  <c r="AE21" i="207"/>
  <c r="AI21" i="207" s="1"/>
  <c r="Y21" i="207" s="1"/>
  <c r="O75" i="207"/>
  <c r="I68" i="207"/>
  <c r="AE67" i="207"/>
  <c r="AI67" i="207" s="1"/>
  <c r="Y67" i="207" s="1"/>
  <c r="I67" i="207"/>
  <c r="I61" i="207"/>
  <c r="I51" i="207"/>
  <c r="AE34" i="207"/>
  <c r="AI34" i="207" s="1"/>
  <c r="AE23" i="207"/>
  <c r="AI23" i="207" s="1"/>
  <c r="AE64" i="207"/>
  <c r="AI64" i="207" s="1"/>
  <c r="Y64" i="207" s="1"/>
  <c r="I60" i="207"/>
  <c r="AE59" i="207"/>
  <c r="AI59" i="207" s="1"/>
  <c r="Y59" i="207" s="1"/>
  <c r="AE45" i="207"/>
  <c r="AI45" i="207" s="1"/>
  <c r="Y45" i="207" s="1"/>
  <c r="I27" i="207"/>
  <c r="AE24" i="207"/>
  <c r="AI24" i="207" s="1"/>
  <c r="Y24" i="207" s="1"/>
  <c r="I23" i="207"/>
  <c r="I20" i="207"/>
  <c r="AE19" i="207"/>
  <c r="AI19" i="207" s="1"/>
  <c r="Y19" i="207" s="1"/>
  <c r="AE57" i="207"/>
  <c r="AI57" i="207" s="1"/>
  <c r="AE53" i="207"/>
  <c r="AI53" i="207" s="1"/>
  <c r="Y53" i="207" s="1"/>
  <c r="AI47" i="207"/>
  <c r="Y47" i="207" s="1"/>
  <c r="I46" i="207"/>
  <c r="I45" i="207"/>
  <c r="Y34" i="207"/>
  <c r="I30" i="207"/>
  <c r="Y23" i="207"/>
  <c r="AE56" i="207"/>
  <c r="AI56" i="207" s="1"/>
  <c r="I52" i="207"/>
  <c r="AE51" i="207"/>
  <c r="AI51" i="207" s="1"/>
  <c r="Y51" i="207" s="1"/>
  <c r="Y46" i="207"/>
  <c r="I32" i="207"/>
  <c r="I31" i="207"/>
  <c r="AE30" i="207"/>
  <c r="AI30" i="207" s="1"/>
  <c r="Y30" i="207" s="1"/>
  <c r="I26" i="207"/>
  <c r="I25" i="207"/>
  <c r="I21" i="207"/>
  <c r="Y20" i="207"/>
  <c r="I69" i="207"/>
  <c r="AE68" i="207"/>
  <c r="AI68" i="207" s="1"/>
  <c r="AE66" i="207"/>
  <c r="AI66" i="207" s="1"/>
  <c r="Y66" i="207" s="1"/>
  <c r="I66" i="207"/>
  <c r="AE63" i="207"/>
  <c r="AI63" i="207" s="1"/>
  <c r="Y63" i="207" s="1"/>
  <c r="Y61" i="207"/>
  <c r="I54" i="207"/>
  <c r="AI49" i="207"/>
  <c r="Y49" i="207" s="1"/>
  <c r="I34" i="207"/>
  <c r="I33" i="207"/>
  <c r="AI31" i="207"/>
  <c r="Y31" i="207" s="1"/>
  <c r="AE29" i="207"/>
  <c r="AI29" i="207" s="1"/>
  <c r="Y29" i="207" s="1"/>
  <c r="T75" i="207"/>
  <c r="I70" i="207"/>
  <c r="AE65" i="207"/>
  <c r="AI65" i="207" s="1"/>
  <c r="Y65" i="207" s="1"/>
  <c r="I65" i="207"/>
  <c r="I62" i="207"/>
  <c r="AI60" i="207"/>
  <c r="Y60" i="207" s="1"/>
  <c r="Y56" i="207"/>
  <c r="I55" i="207"/>
  <c r="AE54" i="207"/>
  <c r="AI54" i="207" s="1"/>
  <c r="Y54" i="207" s="1"/>
  <c r="I53" i="207"/>
  <c r="AE50" i="207"/>
  <c r="AI50" i="207" s="1"/>
  <c r="Y50" i="207" s="1"/>
  <c r="I50" i="207"/>
  <c r="I48" i="207"/>
  <c r="I47" i="207"/>
  <c r="AE32" i="207"/>
  <c r="AI32" i="207" s="1"/>
  <c r="Y32" i="207" s="1"/>
  <c r="I28" i="207"/>
  <c r="O73" i="207"/>
  <c r="I64" i="207"/>
  <c r="I63" i="207"/>
  <c r="I59" i="207"/>
  <c r="AE58" i="207"/>
  <c r="AI58" i="207" s="1"/>
  <c r="Y58" i="207" s="1"/>
  <c r="I57" i="207"/>
  <c r="AE55" i="207"/>
  <c r="AI55" i="207" s="1"/>
  <c r="Y55" i="207" s="1"/>
  <c r="I49" i="207"/>
  <c r="AE27" i="207"/>
  <c r="AI27" i="207" s="1"/>
  <c r="Y27" i="207" s="1"/>
  <c r="I22" i="207"/>
  <c r="I70" i="206"/>
  <c r="I67" i="206"/>
  <c r="AE66" i="206"/>
  <c r="AI66" i="206" s="1"/>
  <c r="Y66" i="206"/>
  <c r="AE63" i="206"/>
  <c r="AI63" i="206" s="1"/>
  <c r="Y63" i="206" s="1"/>
  <c r="AE57" i="206"/>
  <c r="AI57" i="206" s="1"/>
  <c r="Y57" i="206" s="1"/>
  <c r="I57" i="206"/>
  <c r="I55" i="206"/>
  <c r="AE53" i="206"/>
  <c r="AI53" i="206" s="1"/>
  <c r="Y53" i="206" s="1"/>
  <c r="I50" i="206"/>
  <c r="AI48" i="206"/>
  <c r="Y48" i="206" s="1"/>
  <c r="AE35" i="206"/>
  <c r="AI35" i="206" s="1"/>
  <c r="Y35" i="206" s="1"/>
  <c r="AE27" i="206"/>
  <c r="AI27" i="206" s="1"/>
  <c r="Y27" i="206"/>
  <c r="AE15" i="206"/>
  <c r="AI15" i="206" s="1"/>
  <c r="Y15" i="206" s="1"/>
  <c r="I47" i="206"/>
  <c r="AE46" i="206"/>
  <c r="AI46" i="206" s="1"/>
  <c r="Y46" i="206" s="1"/>
  <c r="I46" i="206"/>
  <c r="AE45" i="206"/>
  <c r="AI45" i="206" s="1"/>
  <c r="Y45" i="206" s="1"/>
  <c r="I45" i="206"/>
  <c r="AE44" i="206"/>
  <c r="AI44" i="206" s="1"/>
  <c r="Y44" i="206" s="1"/>
  <c r="I44" i="206"/>
  <c r="AE43" i="206"/>
  <c r="AI43" i="206" s="1"/>
  <c r="Y43" i="206" s="1"/>
  <c r="I43" i="206"/>
  <c r="AE42" i="206"/>
  <c r="AI42" i="206" s="1"/>
  <c r="Y42" i="206" s="1"/>
  <c r="I42" i="206"/>
  <c r="I41" i="206"/>
  <c r="AE33" i="206"/>
  <c r="AI33" i="206" s="1"/>
  <c r="Y33" i="206" s="1"/>
  <c r="AE30" i="206"/>
  <c r="AI30" i="206" s="1"/>
  <c r="Y30" i="206" s="1"/>
  <c r="I25" i="206"/>
  <c r="AE24" i="206"/>
  <c r="AI24" i="206" s="1"/>
  <c r="Y24" i="206" s="1"/>
  <c r="I24" i="206"/>
  <c r="AE23" i="206"/>
  <c r="AI23" i="206" s="1"/>
  <c r="Y23" i="206" s="1"/>
  <c r="I23" i="206"/>
  <c r="AE22" i="206"/>
  <c r="AI22" i="206" s="1"/>
  <c r="Y22" i="206" s="1"/>
  <c r="I22" i="206"/>
  <c r="AE21" i="206"/>
  <c r="AI21" i="206" s="1"/>
  <c r="Y21" i="206" s="1"/>
  <c r="I21" i="206"/>
  <c r="AE20" i="206"/>
  <c r="AI20" i="206" s="1"/>
  <c r="Y20" i="206" s="1"/>
  <c r="I20" i="206"/>
  <c r="AE19" i="206"/>
  <c r="AI19" i="206" s="1"/>
  <c r="Y19" i="206" s="1"/>
  <c r="I19" i="206"/>
  <c r="AE18" i="206"/>
  <c r="AI18" i="206" s="1"/>
  <c r="Y18" i="206" s="1"/>
  <c r="I18" i="206"/>
  <c r="AE17" i="206"/>
  <c r="AI17" i="206" s="1"/>
  <c r="Y17" i="206" s="1"/>
  <c r="I17" i="206"/>
  <c r="AE16" i="206"/>
  <c r="AI16" i="206" s="1"/>
  <c r="Y16" i="206" s="1"/>
  <c r="AE12" i="206"/>
  <c r="AI12" i="206" s="1"/>
  <c r="Y12" i="206" s="1"/>
  <c r="O73" i="206"/>
  <c r="I69" i="206"/>
  <c r="I66" i="206"/>
  <c r="I65" i="206"/>
  <c r="I56" i="206"/>
  <c r="AI52" i="206"/>
  <c r="Y52" i="206" s="1"/>
  <c r="AE51" i="206"/>
  <c r="AI51" i="206" s="1"/>
  <c r="I51" i="206"/>
  <c r="AE50" i="206"/>
  <c r="AI50" i="206" s="1"/>
  <c r="I37" i="206"/>
  <c r="AE32" i="206"/>
  <c r="AI32" i="206" s="1"/>
  <c r="AE29" i="206"/>
  <c r="AI29" i="206" s="1"/>
  <c r="Y29" i="206" s="1"/>
  <c r="I27" i="206"/>
  <c r="I26" i="206"/>
  <c r="AE25" i="206"/>
  <c r="AI25" i="206" s="1"/>
  <c r="Y25" i="206" s="1"/>
  <c r="AE14" i="206"/>
  <c r="AI14" i="206" s="1"/>
  <c r="I40" i="206"/>
  <c r="I33" i="206"/>
  <c r="I30" i="206"/>
  <c r="Y14" i="206"/>
  <c r="O75" i="206"/>
  <c r="AE68" i="206"/>
  <c r="AI68" i="206" s="1"/>
  <c r="Y68" i="206" s="1"/>
  <c r="AE64" i="206"/>
  <c r="AI64" i="206" s="1"/>
  <c r="AE61" i="206"/>
  <c r="AI61" i="206" s="1"/>
  <c r="Y61" i="206" s="1"/>
  <c r="I61" i="206"/>
  <c r="AE59" i="206"/>
  <c r="AI59" i="206" s="1"/>
  <c r="AE56" i="206"/>
  <c r="AI56" i="206" s="1"/>
  <c r="Y56" i="206" s="1"/>
  <c r="I54" i="206"/>
  <c r="AI49" i="206"/>
  <c r="Y49" i="206" s="1"/>
  <c r="AE38" i="206"/>
  <c r="AI38" i="206" s="1"/>
  <c r="Y38" i="206" s="1"/>
  <c r="I36" i="206"/>
  <c r="I35" i="206"/>
  <c r="I34" i="206"/>
  <c r="Y32" i="206"/>
  <c r="AE28" i="206"/>
  <c r="AI28" i="206" s="1"/>
  <c r="Y28" i="206" s="1"/>
  <c r="I68" i="206"/>
  <c r="AE67" i="206"/>
  <c r="AI67" i="206" s="1"/>
  <c r="Y67" i="206" s="1"/>
  <c r="AE65" i="206"/>
  <c r="AI65" i="206" s="1"/>
  <c r="Y65" i="206" s="1"/>
  <c r="I64" i="206"/>
  <c r="AI60" i="206"/>
  <c r="Y60" i="206" s="1"/>
  <c r="AE58" i="206"/>
  <c r="AI58" i="206" s="1"/>
  <c r="Y58" i="206" s="1"/>
  <c r="I52" i="206"/>
  <c r="AE41" i="206"/>
  <c r="AI41" i="206" s="1"/>
  <c r="Y41" i="206" s="1"/>
  <c r="AI31" i="206"/>
  <c r="Y31" i="206" s="1"/>
  <c r="I31" i="206"/>
  <c r="I28" i="206"/>
  <c r="I16" i="206"/>
  <c r="T75" i="206"/>
  <c r="I63" i="206"/>
  <c r="I62" i="206"/>
  <c r="I58" i="206"/>
  <c r="AE39" i="206"/>
  <c r="AI39" i="206" s="1"/>
  <c r="Y39" i="206" s="1"/>
  <c r="I39" i="206"/>
  <c r="AE36" i="206"/>
  <c r="AI36" i="206" s="1"/>
  <c r="I32" i="206"/>
  <c r="AE26" i="206"/>
  <c r="AI26" i="206" s="1"/>
  <c r="Y26" i="206" s="1"/>
  <c r="I14" i="206"/>
  <c r="AE13" i="206"/>
  <c r="AI13" i="206" s="1"/>
  <c r="Y13" i="206" s="1"/>
  <c r="AE55" i="206"/>
  <c r="AI55" i="206" s="1"/>
  <c r="Y55" i="206" s="1"/>
  <c r="AE54" i="206"/>
  <c r="AI54" i="206" s="1"/>
  <c r="Y54" i="206" s="1"/>
  <c r="I49" i="206"/>
  <c r="I48" i="206"/>
  <c r="AI47" i="206"/>
  <c r="Y47" i="206" s="1"/>
  <c r="Y36" i="206"/>
  <c r="I29" i="206"/>
  <c r="I13" i="206"/>
  <c r="I12" i="206"/>
  <c r="T77" i="206"/>
  <c r="AI62" i="206"/>
  <c r="Y62" i="206" s="1"/>
  <c r="I60" i="206"/>
  <c r="I59" i="206"/>
  <c r="I53" i="206"/>
  <c r="AE40" i="206"/>
  <c r="AI40" i="206" s="1"/>
  <c r="Y40" i="206" s="1"/>
  <c r="I38" i="206"/>
  <c r="AE37" i="206"/>
  <c r="AI37" i="206" s="1"/>
  <c r="Y37" i="206" s="1"/>
  <c r="AE34" i="206"/>
  <c r="AI34" i="206" s="1"/>
  <c r="Y34" i="206" s="1"/>
  <c r="I15" i="206"/>
  <c r="O75" i="205"/>
  <c r="O73" i="205"/>
  <c r="I41" i="205"/>
  <c r="AE40" i="205"/>
  <c r="AI40" i="205" s="1"/>
  <c r="Y40" i="205" s="1"/>
  <c r="AE38" i="205"/>
  <c r="AI38" i="205" s="1"/>
  <c r="AE37" i="205"/>
  <c r="AI37" i="205" s="1"/>
  <c r="Y37" i="205" s="1"/>
  <c r="AE15" i="205"/>
  <c r="AI15" i="205" s="1"/>
  <c r="I51" i="205"/>
  <c r="AE50" i="205"/>
  <c r="AI50" i="205" s="1"/>
  <c r="Y50" i="205" s="1"/>
  <c r="I50" i="205"/>
  <c r="AI49" i="205"/>
  <c r="Y49" i="205" s="1"/>
  <c r="I49" i="205"/>
  <c r="AI48" i="205"/>
  <c r="Y48" i="205" s="1"/>
  <c r="I48" i="205"/>
  <c r="AI47" i="205"/>
  <c r="Y47" i="205" s="1"/>
  <c r="I47" i="205"/>
  <c r="AE46" i="205"/>
  <c r="AI46" i="205" s="1"/>
  <c r="Y46" i="205" s="1"/>
  <c r="I46" i="205"/>
  <c r="AE45" i="205"/>
  <c r="AI45" i="205" s="1"/>
  <c r="Y45" i="205" s="1"/>
  <c r="I44" i="205"/>
  <c r="I35" i="205"/>
  <c r="AE34" i="205"/>
  <c r="AI34" i="205" s="1"/>
  <c r="AE32" i="205"/>
  <c r="AI32" i="205" s="1"/>
  <c r="I23" i="205"/>
  <c r="I32" i="205"/>
  <c r="AI31" i="205"/>
  <c r="Y31" i="205" s="1"/>
  <c r="I31" i="205"/>
  <c r="AE30" i="205"/>
  <c r="AI30" i="205" s="1"/>
  <c r="Y30" i="205" s="1"/>
  <c r="I30" i="205"/>
  <c r="AE29" i="205"/>
  <c r="AI29" i="205" s="1"/>
  <c r="Y29" i="205" s="1"/>
  <c r="I29" i="205"/>
  <c r="AE28" i="205"/>
  <c r="AI28" i="205" s="1"/>
  <c r="Y28" i="205" s="1"/>
  <c r="I28" i="205"/>
  <c r="AE27" i="205"/>
  <c r="AI27" i="205" s="1"/>
  <c r="Y27" i="205" s="1"/>
  <c r="I27" i="205"/>
  <c r="AE26" i="205"/>
  <c r="AI26" i="205" s="1"/>
  <c r="Y26" i="205" s="1"/>
  <c r="I26" i="205"/>
  <c r="AE25" i="205"/>
  <c r="AI25" i="205" s="1"/>
  <c r="Y25" i="205" s="1"/>
  <c r="I25" i="205"/>
  <c r="AE24" i="205"/>
  <c r="AI24" i="205" s="1"/>
  <c r="Y24" i="205" s="1"/>
  <c r="I24" i="205"/>
  <c r="AE23" i="205"/>
  <c r="AI23" i="205" s="1"/>
  <c r="Y23" i="205" s="1"/>
  <c r="I21" i="205"/>
  <c r="AE18" i="205"/>
  <c r="AI18" i="205" s="1"/>
  <c r="Y18" i="205" s="1"/>
  <c r="I13" i="205"/>
  <c r="AE12" i="205"/>
  <c r="AI12" i="205" s="1"/>
  <c r="Y12" i="205" s="1"/>
  <c r="I12" i="205"/>
  <c r="AI60" i="205"/>
  <c r="Y60" i="205" s="1"/>
  <c r="I57" i="205"/>
  <c r="AE56" i="205"/>
  <c r="AI56" i="205" s="1"/>
  <c r="Y56" i="205" s="1"/>
  <c r="I52" i="205"/>
  <c r="AE51" i="205"/>
  <c r="AI51" i="205" s="1"/>
  <c r="AE39" i="205"/>
  <c r="AI39" i="205" s="1"/>
  <c r="Y39" i="205" s="1"/>
  <c r="AE36" i="205"/>
  <c r="AI36" i="205" s="1"/>
  <c r="Y36" i="205" s="1"/>
  <c r="I18" i="205"/>
  <c r="AE16" i="205"/>
  <c r="AI16" i="205" s="1"/>
  <c r="AE14" i="205"/>
  <c r="AI14" i="205" s="1"/>
  <c r="Y14" i="205"/>
  <c r="AE66" i="205"/>
  <c r="AI66" i="205" s="1"/>
  <c r="Y66" i="205" s="1"/>
  <c r="AE65" i="205"/>
  <c r="AI65" i="205" s="1"/>
  <c r="Y65" i="205" s="1"/>
  <c r="AE64" i="205"/>
  <c r="AI64" i="205" s="1"/>
  <c r="Y64" i="205" s="1"/>
  <c r="I61" i="205"/>
  <c r="I60" i="205"/>
  <c r="AE58" i="205"/>
  <c r="AI58" i="205" s="1"/>
  <c r="Y58" i="205" s="1"/>
  <c r="I58" i="205"/>
  <c r="Y38" i="205"/>
  <c r="I33" i="205"/>
  <c r="AE22" i="205"/>
  <c r="AI22" i="205" s="1"/>
  <c r="Y22" i="205" s="1"/>
  <c r="Y16" i="205"/>
  <c r="Y32" i="205"/>
  <c r="I20" i="205"/>
  <c r="I19" i="205"/>
  <c r="T77" i="205"/>
  <c r="AE63" i="205"/>
  <c r="AI63" i="205" s="1"/>
  <c r="Y63" i="205" s="1"/>
  <c r="AE62" i="205"/>
  <c r="AI62" i="205" s="1"/>
  <c r="Y62" i="205" s="1"/>
  <c r="AE59" i="205"/>
  <c r="AI59" i="205" s="1"/>
  <c r="Y59" i="205"/>
  <c r="I54" i="205"/>
  <c r="AI43" i="205"/>
  <c r="Y43" i="205" s="1"/>
  <c r="I40" i="205"/>
  <c r="AE35" i="205"/>
  <c r="AI35" i="205" s="1"/>
  <c r="Y35" i="205" s="1"/>
  <c r="I34" i="205"/>
  <c r="AE19" i="205"/>
  <c r="AI19" i="205" s="1"/>
  <c r="Y19" i="205" s="1"/>
  <c r="AE17" i="205"/>
  <c r="AI17" i="205" s="1"/>
  <c r="Y17" i="205"/>
  <c r="Y15" i="205"/>
  <c r="I45" i="205"/>
  <c r="AE44" i="205"/>
  <c r="AI44" i="205" s="1"/>
  <c r="Y44" i="205" s="1"/>
  <c r="AE42" i="205"/>
  <c r="AI42" i="205" s="1"/>
  <c r="Y42" i="205" s="1"/>
  <c r="AE20" i="205"/>
  <c r="AI20" i="205" s="1"/>
  <c r="Y20" i="205" s="1"/>
  <c r="I17" i="205"/>
  <c r="I16" i="205"/>
  <c r="I70" i="205"/>
  <c r="AE68" i="205"/>
  <c r="AI68" i="205" s="1"/>
  <c r="Y68" i="205" s="1"/>
  <c r="I65" i="205"/>
  <c r="I59" i="205"/>
  <c r="AE54" i="205"/>
  <c r="AI54" i="205" s="1"/>
  <c r="Y54" i="205" s="1"/>
  <c r="I53" i="205"/>
  <c r="I43" i="205"/>
  <c r="AE41" i="205"/>
  <c r="AI41" i="205" s="1"/>
  <c r="Y41" i="205" s="1"/>
  <c r="I39" i="205"/>
  <c r="I37" i="205"/>
  <c r="I36" i="205"/>
  <c r="T75" i="205"/>
  <c r="I68" i="205"/>
  <c r="AE67" i="205"/>
  <c r="AI67" i="205" s="1"/>
  <c r="Y67" i="205" s="1"/>
  <c r="I64" i="205"/>
  <c r="I63" i="205"/>
  <c r="AE61" i="205"/>
  <c r="AI61" i="205" s="1"/>
  <c r="Y61" i="205" s="1"/>
  <c r="AI57" i="205"/>
  <c r="Y57" i="205" s="1"/>
  <c r="I55" i="205"/>
  <c r="AI53" i="205"/>
  <c r="Y53" i="205" s="1"/>
  <c r="AI52" i="205"/>
  <c r="Y52" i="205" s="1"/>
  <c r="I42" i="205"/>
  <c r="I38" i="205"/>
  <c r="AE33" i="205"/>
  <c r="AI33" i="205" s="1"/>
  <c r="Y33" i="205" s="1"/>
  <c r="I22" i="205"/>
  <c r="AE21" i="205"/>
  <c r="AI21" i="205" s="1"/>
  <c r="Y21" i="205" s="1"/>
  <c r="I14" i="205"/>
  <c r="F75" i="205" s="1"/>
  <c r="AE13" i="205"/>
  <c r="AI13" i="205" s="1"/>
  <c r="Y13" i="205" s="1"/>
  <c r="I69" i="205"/>
  <c r="I67" i="205"/>
  <c r="I66" i="205"/>
  <c r="I62" i="205"/>
  <c r="I56" i="205"/>
  <c r="AE55" i="205"/>
  <c r="AI55" i="205" s="1"/>
  <c r="Y55" i="205" s="1"/>
  <c r="AI60" i="204"/>
  <c r="Y60" i="204" s="1"/>
  <c r="AE59" i="204"/>
  <c r="AI59" i="204" s="1"/>
  <c r="AE50" i="204"/>
  <c r="AI50" i="204" s="1"/>
  <c r="Y50" i="204" s="1"/>
  <c r="AE39" i="204"/>
  <c r="AI39" i="204" s="1"/>
  <c r="Y39" i="204"/>
  <c r="I30" i="204"/>
  <c r="I54" i="204"/>
  <c r="AE53" i="204"/>
  <c r="AI53" i="204" s="1"/>
  <c r="Y53" i="204" s="1"/>
  <c r="I53" i="204"/>
  <c r="AI52" i="204"/>
  <c r="Y52" i="204" s="1"/>
  <c r="I52" i="204"/>
  <c r="AE51" i="204"/>
  <c r="AI51" i="204" s="1"/>
  <c r="Y51" i="204" s="1"/>
  <c r="AE38" i="204"/>
  <c r="AI38" i="204" s="1"/>
  <c r="AE27" i="204"/>
  <c r="AI27" i="204" s="1"/>
  <c r="AE12" i="204"/>
  <c r="AI12" i="204" s="1"/>
  <c r="Y12" i="204" s="1"/>
  <c r="Y38" i="204"/>
  <c r="I38" i="204"/>
  <c r="AE37" i="204"/>
  <c r="AI37" i="204" s="1"/>
  <c r="Y37" i="204" s="1"/>
  <c r="I37" i="204"/>
  <c r="AE36" i="204"/>
  <c r="AI36" i="204" s="1"/>
  <c r="Y36" i="204" s="1"/>
  <c r="I36" i="204"/>
  <c r="AE35" i="204"/>
  <c r="AI35" i="204" s="1"/>
  <c r="Y35" i="204" s="1"/>
  <c r="I35" i="204"/>
  <c r="AE34" i="204"/>
  <c r="AI34" i="204" s="1"/>
  <c r="Y34" i="204" s="1"/>
  <c r="I34" i="204"/>
  <c r="AE33" i="204"/>
  <c r="AI33" i="204" s="1"/>
  <c r="Y33" i="204" s="1"/>
  <c r="I33" i="204"/>
  <c r="AE32" i="204"/>
  <c r="AI32" i="204" s="1"/>
  <c r="Y32" i="204" s="1"/>
  <c r="I32" i="204"/>
  <c r="AI31" i="204"/>
  <c r="Y31" i="204" s="1"/>
  <c r="AE29" i="204"/>
  <c r="AI29" i="204" s="1"/>
  <c r="Y29" i="204" s="1"/>
  <c r="I27" i="204"/>
  <c r="I15" i="204"/>
  <c r="I23" i="204"/>
  <c r="AE22" i="204"/>
  <c r="AI22" i="204" s="1"/>
  <c r="Y22" i="204" s="1"/>
  <c r="I22" i="204"/>
  <c r="AE21" i="204"/>
  <c r="AI21" i="204" s="1"/>
  <c r="Y21" i="204" s="1"/>
  <c r="I21" i="204"/>
  <c r="AE20" i="204"/>
  <c r="AI20" i="204" s="1"/>
  <c r="Y20" i="204" s="1"/>
  <c r="I20" i="204"/>
  <c r="AE19" i="204"/>
  <c r="AI19" i="204" s="1"/>
  <c r="Y19" i="204" s="1"/>
  <c r="I19" i="204"/>
  <c r="AE18" i="204"/>
  <c r="AI18" i="204" s="1"/>
  <c r="Y18" i="204" s="1"/>
  <c r="I18" i="204"/>
  <c r="AE17" i="204"/>
  <c r="AI17" i="204" s="1"/>
  <c r="Y17" i="204" s="1"/>
  <c r="I17" i="204"/>
  <c r="AE16" i="204"/>
  <c r="AI16" i="204" s="1"/>
  <c r="Y16" i="204" s="1"/>
  <c r="I16" i="204"/>
  <c r="AE15" i="204"/>
  <c r="AI15" i="204" s="1"/>
  <c r="Y15" i="204" s="1"/>
  <c r="Y59" i="204"/>
  <c r="I56" i="204"/>
  <c r="I40" i="204"/>
  <c r="I31" i="204"/>
  <c r="I28" i="204"/>
  <c r="I25" i="204"/>
  <c r="I24" i="204"/>
  <c r="O75" i="204"/>
  <c r="AE56" i="204"/>
  <c r="AI56" i="204" s="1"/>
  <c r="Y56" i="204" s="1"/>
  <c r="I44" i="204"/>
  <c r="AE30" i="204"/>
  <c r="AI30" i="204" s="1"/>
  <c r="Y30" i="204" s="1"/>
  <c r="Y27" i="204"/>
  <c r="AE25" i="204"/>
  <c r="AI25" i="204" s="1"/>
  <c r="AE24" i="204"/>
  <c r="AI24" i="204" s="1"/>
  <c r="Y24" i="204" s="1"/>
  <c r="AE23" i="204"/>
  <c r="AI23" i="204" s="1"/>
  <c r="Y23" i="204" s="1"/>
  <c r="I67" i="204"/>
  <c r="I66" i="204"/>
  <c r="AE58" i="204"/>
  <c r="AI58" i="204" s="1"/>
  <c r="Y58" i="204" s="1"/>
  <c r="I58" i="204"/>
  <c r="AI47" i="204"/>
  <c r="Y47" i="204" s="1"/>
  <c r="I47" i="204"/>
  <c r="I45" i="204"/>
  <c r="I39" i="204"/>
  <c r="AE26" i="204"/>
  <c r="AI26" i="204" s="1"/>
  <c r="Y26" i="204" s="1"/>
  <c r="AE14" i="204"/>
  <c r="AI14" i="204" s="1"/>
  <c r="Y14" i="204" s="1"/>
  <c r="T75" i="204"/>
  <c r="O73" i="204"/>
  <c r="I65" i="204"/>
  <c r="I63" i="204"/>
  <c r="I62" i="204"/>
  <c r="AE61" i="204"/>
  <c r="AI61" i="204" s="1"/>
  <c r="Y61" i="204" s="1"/>
  <c r="I50" i="204"/>
  <c r="I49" i="204"/>
  <c r="I48" i="204"/>
  <c r="I46" i="204"/>
  <c r="AE45" i="204"/>
  <c r="AI45" i="204" s="1"/>
  <c r="Y45" i="204" s="1"/>
  <c r="I43" i="204"/>
  <c r="AE42" i="204"/>
  <c r="AI42" i="204" s="1"/>
  <c r="Y42" i="204" s="1"/>
  <c r="I26" i="204"/>
  <c r="I12" i="204"/>
  <c r="I59" i="204"/>
  <c r="AE57" i="204"/>
  <c r="AI57" i="204" s="1"/>
  <c r="Y57" i="204" s="1"/>
  <c r="I57" i="204"/>
  <c r="AE55" i="204"/>
  <c r="AI55" i="204" s="1"/>
  <c r="Y55" i="204" s="1"/>
  <c r="I55" i="204"/>
  <c r="AE54" i="204"/>
  <c r="AI54" i="204" s="1"/>
  <c r="Y54" i="204" s="1"/>
  <c r="AI48" i="204"/>
  <c r="Y48" i="204" s="1"/>
  <c r="AE44" i="204"/>
  <c r="AI44" i="204" s="1"/>
  <c r="Y44" i="204" s="1"/>
  <c r="I42" i="204"/>
  <c r="I13" i="204"/>
  <c r="I70" i="204"/>
  <c r="I69" i="204"/>
  <c r="AE68" i="204"/>
  <c r="AI68" i="204" s="1"/>
  <c r="Y68" i="204" s="1"/>
  <c r="AE67" i="204"/>
  <c r="AI67" i="204" s="1"/>
  <c r="Y67" i="204" s="1"/>
  <c r="AE65" i="204"/>
  <c r="AI65" i="204" s="1"/>
  <c r="Y65" i="204" s="1"/>
  <c r="AE62" i="204"/>
  <c r="AI62" i="204" s="1"/>
  <c r="Y62" i="204" s="1"/>
  <c r="I61" i="204"/>
  <c r="I60" i="204"/>
  <c r="I51" i="204"/>
  <c r="AI49" i="204"/>
  <c r="Y49" i="204" s="1"/>
  <c r="AE46" i="204"/>
  <c r="AI46" i="204" s="1"/>
  <c r="Y46" i="204" s="1"/>
  <c r="AE41" i="204"/>
  <c r="AI41" i="204" s="1"/>
  <c r="Y41" i="204" s="1"/>
  <c r="I41" i="204"/>
  <c r="AE40" i="204"/>
  <c r="AI40" i="204" s="1"/>
  <c r="Y40" i="204" s="1"/>
  <c r="I29" i="204"/>
  <c r="AE28" i="204"/>
  <c r="AI28" i="204" s="1"/>
  <c r="Y28" i="204" s="1"/>
  <c r="I14" i="204"/>
  <c r="F75" i="204" s="1"/>
  <c r="AE13" i="204"/>
  <c r="AI13" i="204" s="1"/>
  <c r="Y13" i="204" s="1"/>
  <c r="T77" i="204"/>
  <c r="I68" i="204"/>
  <c r="AE66" i="204"/>
  <c r="AI66" i="204" s="1"/>
  <c r="Y66" i="204" s="1"/>
  <c r="AE64" i="204"/>
  <c r="AI64" i="204" s="1"/>
  <c r="Y64" i="204" s="1"/>
  <c r="I64" i="204"/>
  <c r="AE63" i="204"/>
  <c r="AI63" i="204" s="1"/>
  <c r="Y63" i="204" s="1"/>
  <c r="AE43" i="204"/>
  <c r="AI43" i="204" s="1"/>
  <c r="Y43" i="204" s="1"/>
  <c r="T75" i="203"/>
  <c r="I68" i="203"/>
  <c r="I60" i="203"/>
  <c r="I59" i="203"/>
  <c r="AE58" i="203"/>
  <c r="AI58" i="203" s="1"/>
  <c r="AI48" i="203"/>
  <c r="Y48" i="203" s="1"/>
  <c r="I27" i="203"/>
  <c r="AE26" i="203"/>
  <c r="AI26" i="203" s="1"/>
  <c r="AE57" i="203"/>
  <c r="AI57" i="203" s="1"/>
  <c r="Y57" i="203" s="1"/>
  <c r="I57" i="203"/>
  <c r="AE56" i="203"/>
  <c r="AI56" i="203" s="1"/>
  <c r="Y56" i="203" s="1"/>
  <c r="I56" i="203"/>
  <c r="AE55" i="203"/>
  <c r="AI55" i="203" s="1"/>
  <c r="Y55" i="203" s="1"/>
  <c r="AE44" i="203"/>
  <c r="AI44" i="203" s="1"/>
  <c r="Y44" i="203" s="1"/>
  <c r="I44" i="203"/>
  <c r="AE43" i="203"/>
  <c r="AI43" i="203" s="1"/>
  <c r="Y43" i="203" s="1"/>
  <c r="I43" i="203"/>
  <c r="AE42" i="203"/>
  <c r="AI42" i="203" s="1"/>
  <c r="Y42" i="203" s="1"/>
  <c r="I42" i="203"/>
  <c r="AE41" i="203"/>
  <c r="AI41" i="203" s="1"/>
  <c r="Y41" i="203" s="1"/>
  <c r="I41" i="203"/>
  <c r="AE40" i="203"/>
  <c r="AI40" i="203" s="1"/>
  <c r="Y40" i="203" s="1"/>
  <c r="I40" i="203"/>
  <c r="AE39" i="203"/>
  <c r="AI39" i="203" s="1"/>
  <c r="Y39" i="203" s="1"/>
  <c r="I39" i="203"/>
  <c r="AE38" i="203"/>
  <c r="AI38" i="203" s="1"/>
  <c r="Y38" i="203" s="1"/>
  <c r="I38" i="203"/>
  <c r="AE37" i="203"/>
  <c r="AI37" i="203" s="1"/>
  <c r="Y37" i="203"/>
  <c r="I24" i="203"/>
  <c r="AE21" i="203"/>
  <c r="AI21" i="203" s="1"/>
  <c r="Y21" i="203" s="1"/>
  <c r="I33" i="203"/>
  <c r="AE32" i="203"/>
  <c r="AI32" i="203" s="1"/>
  <c r="Y32" i="203" s="1"/>
  <c r="I32" i="203"/>
  <c r="AI31" i="203"/>
  <c r="Y31" i="203" s="1"/>
  <c r="I31" i="203"/>
  <c r="AE30" i="203"/>
  <c r="AI30" i="203" s="1"/>
  <c r="Y30" i="203" s="1"/>
  <c r="I30" i="203"/>
  <c r="AE29" i="203"/>
  <c r="AI29" i="203" s="1"/>
  <c r="Y29" i="203" s="1"/>
  <c r="I29" i="203"/>
  <c r="AE28" i="203"/>
  <c r="AI28" i="203" s="1"/>
  <c r="Y28" i="203" s="1"/>
  <c r="I28" i="203"/>
  <c r="AE27" i="203"/>
  <c r="AI27" i="203" s="1"/>
  <c r="Y27" i="203" s="1"/>
  <c r="Y26" i="203"/>
  <c r="I26" i="203"/>
  <c r="I25" i="203"/>
  <c r="AE24" i="203"/>
  <c r="AI24" i="203" s="1"/>
  <c r="Y24" i="203" s="1"/>
  <c r="AE22" i="203"/>
  <c r="AI22" i="203" s="1"/>
  <c r="Y22" i="203" s="1"/>
  <c r="AE20" i="203"/>
  <c r="AI20" i="203" s="1"/>
  <c r="Y20" i="203" s="1"/>
  <c r="I20" i="203"/>
  <c r="AE19" i="203"/>
  <c r="AI19" i="203" s="1"/>
  <c r="Y19" i="203" s="1"/>
  <c r="I19" i="203"/>
  <c r="AE18" i="203"/>
  <c r="AI18" i="203" s="1"/>
  <c r="Y18" i="203" s="1"/>
  <c r="I18" i="203"/>
  <c r="AE17" i="203"/>
  <c r="AI17" i="203" s="1"/>
  <c r="Y17" i="203" s="1"/>
  <c r="I17" i="203"/>
  <c r="AE16" i="203"/>
  <c r="AI16" i="203" s="1"/>
  <c r="Y16" i="203" s="1"/>
  <c r="I16" i="203"/>
  <c r="AE15" i="203"/>
  <c r="AI15" i="203" s="1"/>
  <c r="Y15" i="203" s="1"/>
  <c r="I15" i="203"/>
  <c r="AE14" i="203"/>
  <c r="AI14" i="203" s="1"/>
  <c r="Y14" i="203" s="1"/>
  <c r="I14" i="203"/>
  <c r="AE13" i="203"/>
  <c r="AI13" i="203" s="1"/>
  <c r="Y13" i="203" s="1"/>
  <c r="I13" i="203"/>
  <c r="AE12" i="203"/>
  <c r="AI12" i="203" s="1"/>
  <c r="Y12" i="203" s="1"/>
  <c r="I12" i="203"/>
  <c r="Y58" i="203"/>
  <c r="I34" i="203"/>
  <c r="AE25" i="203"/>
  <c r="AI25" i="203" s="1"/>
  <c r="Y25" i="203" s="1"/>
  <c r="AE68" i="203"/>
  <c r="AI68" i="203" s="1"/>
  <c r="Y68" i="203" s="1"/>
  <c r="AE67" i="203"/>
  <c r="AI67" i="203" s="1"/>
  <c r="Y67" i="203" s="1"/>
  <c r="I67" i="203"/>
  <c r="AE66" i="203"/>
  <c r="AI66" i="203" s="1"/>
  <c r="Y66" i="203" s="1"/>
  <c r="AE64" i="203"/>
  <c r="AI64" i="203" s="1"/>
  <c r="Y64" i="203"/>
  <c r="I58" i="203"/>
  <c r="I55" i="203"/>
  <c r="AE54" i="203"/>
  <c r="AI54" i="203" s="1"/>
  <c r="Y54" i="203" s="1"/>
  <c r="I46" i="203"/>
  <c r="I37" i="203"/>
  <c r="AE36" i="203"/>
  <c r="AI36" i="203" s="1"/>
  <c r="Y36" i="203" s="1"/>
  <c r="AE35" i="203"/>
  <c r="AI35" i="203" s="1"/>
  <c r="AE33" i="203"/>
  <c r="AI33" i="203" s="1"/>
  <c r="Y33" i="203" s="1"/>
  <c r="T77" i="203"/>
  <c r="AE63" i="203"/>
  <c r="AI63" i="203" s="1"/>
  <c r="Y63" i="203" s="1"/>
  <c r="AE51" i="203"/>
  <c r="AI51" i="203" s="1"/>
  <c r="Y51" i="203" s="1"/>
  <c r="I51" i="203"/>
  <c r="I50" i="203"/>
  <c r="I49" i="203"/>
  <c r="AI47" i="203"/>
  <c r="Y47" i="203" s="1"/>
  <c r="O75" i="203"/>
  <c r="I65" i="203"/>
  <c r="I64" i="203"/>
  <c r="AI62" i="203"/>
  <c r="Y62" i="203" s="1"/>
  <c r="AE61" i="203"/>
  <c r="AI61" i="203" s="1"/>
  <c r="Y61" i="203" s="1"/>
  <c r="AI60" i="203"/>
  <c r="Y60" i="203" s="1"/>
  <c r="AE59" i="203"/>
  <c r="AI59" i="203" s="1"/>
  <c r="Y59" i="203" s="1"/>
  <c r="I54" i="203"/>
  <c r="I52" i="203"/>
  <c r="AI49" i="203"/>
  <c r="Y49" i="203" s="1"/>
  <c r="AE46" i="203"/>
  <c r="AI46" i="203" s="1"/>
  <c r="Y46" i="203" s="1"/>
  <c r="AE45" i="203"/>
  <c r="AI45" i="203" s="1"/>
  <c r="Y45" i="203" s="1"/>
  <c r="AE23" i="203"/>
  <c r="AI23" i="203" s="1"/>
  <c r="Y23" i="203" s="1"/>
  <c r="I23" i="203"/>
  <c r="I22" i="203"/>
  <c r="O73" i="203"/>
  <c r="I70" i="203"/>
  <c r="I69" i="203"/>
  <c r="I66" i="203"/>
  <c r="AE65" i="203"/>
  <c r="AI65" i="203" s="1"/>
  <c r="Y65" i="203" s="1"/>
  <c r="I63" i="203"/>
  <c r="I61" i="203"/>
  <c r="AE53" i="203"/>
  <c r="AI53" i="203" s="1"/>
  <c r="Y53" i="203" s="1"/>
  <c r="I53" i="203"/>
  <c r="AI52" i="203"/>
  <c r="Y52" i="203" s="1"/>
  <c r="AE50" i="203"/>
  <c r="AI50" i="203" s="1"/>
  <c r="Y50" i="203" s="1"/>
  <c r="I48" i="203"/>
  <c r="I47" i="203"/>
  <c r="I36" i="203"/>
  <c r="I35" i="203"/>
  <c r="AE34" i="203"/>
  <c r="AI34" i="203" s="1"/>
  <c r="Y34" i="203" s="1"/>
  <c r="AE67" i="202"/>
  <c r="AI67" i="202" s="1"/>
  <c r="Y67" i="202" s="1"/>
  <c r="AE62" i="202"/>
  <c r="AI62" i="202" s="1"/>
  <c r="Y62" i="202" s="1"/>
  <c r="I56" i="202"/>
  <c r="AE44" i="202"/>
  <c r="AI44" i="202" s="1"/>
  <c r="Y44" i="202" s="1"/>
  <c r="I26" i="202"/>
  <c r="AE61" i="202"/>
  <c r="AI61" i="202" s="1"/>
  <c r="Y61" i="202" s="1"/>
  <c r="I61" i="202"/>
  <c r="AI60" i="202"/>
  <c r="Y60" i="202" s="1"/>
  <c r="I60" i="202"/>
  <c r="AE59" i="202"/>
  <c r="AI59" i="202" s="1"/>
  <c r="Y59" i="202" s="1"/>
  <c r="I59" i="202"/>
  <c r="AE58" i="202"/>
  <c r="AI58" i="202" s="1"/>
  <c r="Y58" i="202" s="1"/>
  <c r="I58" i="202"/>
  <c r="AE57" i="202"/>
  <c r="AI57" i="202" s="1"/>
  <c r="Y57" i="202" s="1"/>
  <c r="I55" i="202"/>
  <c r="I44" i="202"/>
  <c r="I52" i="202"/>
  <c r="AE51" i="202"/>
  <c r="AI51" i="202" s="1"/>
  <c r="Y51" i="202" s="1"/>
  <c r="I51" i="202"/>
  <c r="AE50" i="202"/>
  <c r="AI50" i="202" s="1"/>
  <c r="Y50" i="202" s="1"/>
  <c r="I50" i="202"/>
  <c r="AI49" i="202"/>
  <c r="Y49" i="202" s="1"/>
  <c r="I49" i="202"/>
  <c r="AI48" i="202"/>
  <c r="Y48" i="202" s="1"/>
  <c r="I48" i="202"/>
  <c r="AI47" i="202"/>
  <c r="Y47" i="202" s="1"/>
  <c r="I47" i="202"/>
  <c r="AE46" i="202"/>
  <c r="AI46" i="202" s="1"/>
  <c r="Y46" i="202" s="1"/>
  <c r="I46" i="202"/>
  <c r="AE26" i="202"/>
  <c r="AI26" i="202" s="1"/>
  <c r="Y26" i="202" s="1"/>
  <c r="AE42" i="202"/>
  <c r="AI42" i="202" s="1"/>
  <c r="Y42" i="202" s="1"/>
  <c r="I42" i="202"/>
  <c r="AE41" i="202"/>
  <c r="AI41" i="202" s="1"/>
  <c r="Y41" i="202" s="1"/>
  <c r="I41" i="202"/>
  <c r="AE40" i="202"/>
  <c r="AI40" i="202" s="1"/>
  <c r="Y40" i="202" s="1"/>
  <c r="I40" i="202"/>
  <c r="AE39" i="202"/>
  <c r="AI39" i="202" s="1"/>
  <c r="Y39" i="202" s="1"/>
  <c r="I39" i="202"/>
  <c r="AE38" i="202"/>
  <c r="AI38" i="202" s="1"/>
  <c r="Y38" i="202" s="1"/>
  <c r="I38" i="202"/>
  <c r="AE37" i="202"/>
  <c r="AI37" i="202" s="1"/>
  <c r="Y37" i="202" s="1"/>
  <c r="I37" i="202"/>
  <c r="AE36" i="202"/>
  <c r="AI36" i="202" s="1"/>
  <c r="Y36" i="202" s="1"/>
  <c r="I36" i="202"/>
  <c r="AE35" i="202"/>
  <c r="AI35" i="202" s="1"/>
  <c r="Y35" i="202" s="1"/>
  <c r="I35" i="202"/>
  <c r="I34" i="202"/>
  <c r="AE33" i="202"/>
  <c r="AI33" i="202" s="1"/>
  <c r="Y33" i="202" s="1"/>
  <c r="I33" i="202"/>
  <c r="AE32" i="202"/>
  <c r="AI32" i="202" s="1"/>
  <c r="Y32" i="202" s="1"/>
  <c r="I32" i="202"/>
  <c r="AI31" i="202"/>
  <c r="Y31" i="202" s="1"/>
  <c r="I31" i="202"/>
  <c r="AE30" i="202"/>
  <c r="AI30" i="202" s="1"/>
  <c r="Y30" i="202" s="1"/>
  <c r="I30" i="202"/>
  <c r="AE29" i="202"/>
  <c r="AI29" i="202" s="1"/>
  <c r="Y29" i="202" s="1"/>
  <c r="I29" i="202"/>
  <c r="AE28" i="202"/>
  <c r="AI28" i="202" s="1"/>
  <c r="Y28" i="202" s="1"/>
  <c r="I25" i="202"/>
  <c r="AE24" i="202"/>
  <c r="AI24" i="202" s="1"/>
  <c r="Y24" i="202" s="1"/>
  <c r="I24" i="202"/>
  <c r="AE23" i="202"/>
  <c r="AI23" i="202" s="1"/>
  <c r="Y23" i="202" s="1"/>
  <c r="I23" i="202"/>
  <c r="AE22" i="202"/>
  <c r="AI22" i="202" s="1"/>
  <c r="Y22" i="202" s="1"/>
  <c r="I22" i="202"/>
  <c r="AE21" i="202"/>
  <c r="AI21" i="202" s="1"/>
  <c r="Y21" i="202" s="1"/>
  <c r="I21" i="202"/>
  <c r="AE20" i="202"/>
  <c r="AI20" i="202" s="1"/>
  <c r="Y20" i="202" s="1"/>
  <c r="I20" i="202"/>
  <c r="AE19" i="202"/>
  <c r="AI19" i="202" s="1"/>
  <c r="Y19" i="202" s="1"/>
  <c r="I19" i="202"/>
  <c r="AE18" i="202"/>
  <c r="AI18" i="202" s="1"/>
  <c r="Y18" i="202" s="1"/>
  <c r="I18" i="202"/>
  <c r="AE17" i="202"/>
  <c r="AI17" i="202" s="1"/>
  <c r="Y17" i="202" s="1"/>
  <c r="AI16" i="202"/>
  <c r="Y16" i="202" s="1"/>
  <c r="I16" i="202"/>
  <c r="AE15" i="202"/>
  <c r="AI15" i="202" s="1"/>
  <c r="Y15" i="202" s="1"/>
  <c r="I15" i="202"/>
  <c r="AE14" i="202"/>
  <c r="AI14" i="202" s="1"/>
  <c r="Y14" i="202" s="1"/>
  <c r="I14" i="202"/>
  <c r="AE13" i="202"/>
  <c r="AI13" i="202" s="1"/>
  <c r="Y13" i="202" s="1"/>
  <c r="I13" i="202"/>
  <c r="AE12" i="202"/>
  <c r="AI12" i="202" s="1"/>
  <c r="Y12" i="202" s="1"/>
  <c r="I12" i="202"/>
  <c r="AI52" i="202"/>
  <c r="Y52" i="202" s="1"/>
  <c r="AE45" i="202"/>
  <c r="AI45" i="202" s="1"/>
  <c r="Y45" i="202" s="1"/>
  <c r="I45" i="202"/>
  <c r="I43" i="202"/>
  <c r="I27" i="202"/>
  <c r="I17" i="202"/>
  <c r="T77" i="202"/>
  <c r="AE53" i="202"/>
  <c r="AI53" i="202" s="1"/>
  <c r="Y53" i="202" s="1"/>
  <c r="AE43" i="202"/>
  <c r="AI43" i="202" s="1"/>
  <c r="Y43" i="202" s="1"/>
  <c r="AE27" i="202"/>
  <c r="AI27" i="202" s="1"/>
  <c r="Y27" i="202" s="1"/>
  <c r="T75" i="202"/>
  <c r="I68" i="202"/>
  <c r="I67" i="202"/>
  <c r="AE66" i="202"/>
  <c r="AI66" i="202" s="1"/>
  <c r="Y66" i="202" s="1"/>
  <c r="I66" i="202"/>
  <c r="AE65" i="202"/>
  <c r="AI65" i="202" s="1"/>
  <c r="Y65" i="202" s="1"/>
  <c r="AE63" i="202"/>
  <c r="AI63" i="202" s="1"/>
  <c r="Y63" i="202" s="1"/>
  <c r="O73" i="202"/>
  <c r="I63" i="202"/>
  <c r="I57" i="202"/>
  <c r="AE54" i="202"/>
  <c r="AI54" i="202" s="1"/>
  <c r="Y54" i="202" s="1"/>
  <c r="AE34" i="202"/>
  <c r="AI34" i="202" s="1"/>
  <c r="Y34" i="202" s="1"/>
  <c r="O75" i="202"/>
  <c r="I70" i="202"/>
  <c r="I69" i="202"/>
  <c r="AE68" i="202"/>
  <c r="AI68" i="202" s="1"/>
  <c r="Y68" i="202" s="1"/>
  <c r="I65" i="202"/>
  <c r="AE64" i="202"/>
  <c r="AI64" i="202" s="1"/>
  <c r="Y64" i="202" s="1"/>
  <c r="I64" i="202"/>
  <c r="AE56" i="202"/>
  <c r="AI56" i="202" s="1"/>
  <c r="Y56" i="202" s="1"/>
  <c r="AE55" i="202"/>
  <c r="AI55" i="202" s="1"/>
  <c r="Y55" i="202" s="1"/>
  <c r="I54" i="202"/>
  <c r="I53" i="202"/>
  <c r="I28" i="202"/>
  <c r="AE25" i="202"/>
  <c r="AI25" i="202" s="1"/>
  <c r="Y25" i="202" s="1"/>
  <c r="Z36" i="200"/>
  <c r="X20" i="200"/>
  <c r="I39" i="200"/>
  <c r="M79" i="200"/>
  <c r="P71" i="200"/>
  <c r="Q70" i="200"/>
  <c r="P70" i="200"/>
  <c r="H70" i="200"/>
  <c r="E70" i="200"/>
  <c r="I70" i="200" s="1"/>
  <c r="Q69" i="200"/>
  <c r="P69" i="200"/>
  <c r="H69" i="200"/>
  <c r="E69" i="200"/>
  <c r="AD68" i="200"/>
  <c r="AC68" i="200"/>
  <c r="AB68" i="200"/>
  <c r="AE68" i="200" s="1"/>
  <c r="AI68" i="200" s="1"/>
  <c r="Y68" i="200" s="1"/>
  <c r="Z68" i="200"/>
  <c r="X68" i="200"/>
  <c r="Q68" i="200"/>
  <c r="P68" i="200"/>
  <c r="H68" i="200"/>
  <c r="E68" i="200"/>
  <c r="I68" i="200" s="1"/>
  <c r="AD67" i="200"/>
  <c r="AC67" i="200"/>
  <c r="AB67" i="200"/>
  <c r="Z67" i="200"/>
  <c r="X67" i="200"/>
  <c r="Q67" i="200"/>
  <c r="P67" i="200"/>
  <c r="H67" i="200"/>
  <c r="E67" i="200"/>
  <c r="I67" i="200" s="1"/>
  <c r="AD66" i="200"/>
  <c r="AC66" i="200"/>
  <c r="AB66" i="200"/>
  <c r="Z66" i="200"/>
  <c r="X66" i="200"/>
  <c r="Q66" i="200"/>
  <c r="P66" i="200"/>
  <c r="H66" i="200"/>
  <c r="E66" i="200"/>
  <c r="I66" i="200" s="1"/>
  <c r="AD65" i="200"/>
  <c r="AC65" i="200"/>
  <c r="AB65" i="200"/>
  <c r="Z65" i="200"/>
  <c r="X65" i="200"/>
  <c r="Q65" i="200"/>
  <c r="P65" i="200"/>
  <c r="H65" i="200"/>
  <c r="E65" i="200"/>
  <c r="I65" i="200" s="1"/>
  <c r="AD64" i="200"/>
  <c r="AC64" i="200"/>
  <c r="AB64" i="200"/>
  <c r="AE64" i="200" s="1"/>
  <c r="AI64" i="200" s="1"/>
  <c r="Y64" i="200" s="1"/>
  <c r="Z64" i="200"/>
  <c r="X64" i="200"/>
  <c r="Q64" i="200"/>
  <c r="P64" i="200"/>
  <c r="H64" i="200"/>
  <c r="E64" i="200"/>
  <c r="I64" i="200" s="1"/>
  <c r="AD63" i="200"/>
  <c r="AC63" i="200"/>
  <c r="AB63" i="200"/>
  <c r="Z63" i="200"/>
  <c r="X63" i="200"/>
  <c r="Q63" i="200"/>
  <c r="P63" i="200"/>
  <c r="H63" i="200"/>
  <c r="E63" i="200"/>
  <c r="I63" i="200" s="1"/>
  <c r="AD62" i="200"/>
  <c r="AC62" i="200"/>
  <c r="AB62" i="200"/>
  <c r="AE62" i="200" s="1"/>
  <c r="AI62" i="200" s="1"/>
  <c r="Y62" i="200" s="1"/>
  <c r="Z62" i="200"/>
  <c r="X62" i="200"/>
  <c r="Q62" i="200"/>
  <c r="P62" i="200"/>
  <c r="H62" i="200"/>
  <c r="E62" i="200"/>
  <c r="I62" i="200" s="1"/>
  <c r="AC61" i="200"/>
  <c r="AB61" i="200"/>
  <c r="X61" i="200"/>
  <c r="Q61" i="200"/>
  <c r="P61" i="200"/>
  <c r="H61" i="200"/>
  <c r="E61" i="200"/>
  <c r="I61" i="200" s="1"/>
  <c r="AE60" i="200"/>
  <c r="X60" i="200"/>
  <c r="Q60" i="200"/>
  <c r="P60" i="200"/>
  <c r="H60" i="200"/>
  <c r="E60" i="200"/>
  <c r="AC59" i="200"/>
  <c r="AB59" i="200"/>
  <c r="AE59" i="200" s="1"/>
  <c r="AI59" i="200" s="1"/>
  <c r="Y59" i="200" s="1"/>
  <c r="X59" i="200"/>
  <c r="Q59" i="200"/>
  <c r="P59" i="200"/>
  <c r="H59" i="200"/>
  <c r="E59" i="200"/>
  <c r="I59" i="200" s="1"/>
  <c r="AC58" i="200"/>
  <c r="AB58" i="200"/>
  <c r="AE58" i="200" s="1"/>
  <c r="AI58" i="200" s="1"/>
  <c r="Y58" i="200" s="1"/>
  <c r="X58" i="200"/>
  <c r="Q58" i="200"/>
  <c r="P58" i="200"/>
  <c r="E58" i="200"/>
  <c r="AC57" i="200"/>
  <c r="AB57" i="200"/>
  <c r="X57" i="200"/>
  <c r="Q57" i="200"/>
  <c r="P57" i="200"/>
  <c r="H57" i="200"/>
  <c r="E57" i="200"/>
  <c r="AD56" i="200"/>
  <c r="AC56" i="200"/>
  <c r="AE56" i="200" s="1"/>
  <c r="AI56" i="200" s="1"/>
  <c r="Y56" i="200" s="1"/>
  <c r="AB56" i="200"/>
  <c r="Z56" i="200"/>
  <c r="X56" i="200"/>
  <c r="Q56" i="200"/>
  <c r="P56" i="200"/>
  <c r="H56" i="200"/>
  <c r="E56" i="200"/>
  <c r="I56" i="200" s="1"/>
  <c r="AD55" i="200"/>
  <c r="AC55" i="200"/>
  <c r="AB55" i="200"/>
  <c r="Z55" i="200"/>
  <c r="X55" i="200"/>
  <c r="Q55" i="200"/>
  <c r="P55" i="200"/>
  <c r="H55" i="200"/>
  <c r="E55" i="200"/>
  <c r="AD54" i="200"/>
  <c r="AC54" i="200"/>
  <c r="AB54" i="200"/>
  <c r="AE54" i="200" s="1"/>
  <c r="AI54" i="200" s="1"/>
  <c r="Y54" i="200" s="1"/>
  <c r="Z54" i="200"/>
  <c r="X54" i="200"/>
  <c r="Q54" i="200"/>
  <c r="P54" i="200"/>
  <c r="H54" i="200"/>
  <c r="E54" i="200"/>
  <c r="I54" i="200" s="1"/>
  <c r="AD53" i="200"/>
  <c r="AC53" i="200"/>
  <c r="AB53" i="200"/>
  <c r="AE53" i="200" s="1"/>
  <c r="AI53" i="200" s="1"/>
  <c r="Y53" i="200" s="1"/>
  <c r="Z53" i="200"/>
  <c r="X53" i="200"/>
  <c r="Q53" i="200"/>
  <c r="P53" i="200"/>
  <c r="H53" i="200"/>
  <c r="E53" i="200"/>
  <c r="I53" i="200" s="1"/>
  <c r="AE52" i="200"/>
  <c r="AI52" i="200" s="1"/>
  <c r="Y52" i="200" s="1"/>
  <c r="Z52" i="200"/>
  <c r="X52" i="200"/>
  <c r="Q52" i="200"/>
  <c r="P52" i="200"/>
  <c r="H52" i="200"/>
  <c r="E52" i="200"/>
  <c r="AD51" i="200"/>
  <c r="AC51" i="200"/>
  <c r="AB51" i="200"/>
  <c r="AE51" i="200" s="1"/>
  <c r="AI51" i="200" s="1"/>
  <c r="Y51" i="200" s="1"/>
  <c r="Z51" i="200"/>
  <c r="X51" i="200"/>
  <c r="Q51" i="200"/>
  <c r="P51" i="200"/>
  <c r="H51" i="200"/>
  <c r="E51" i="200"/>
  <c r="I51" i="200" s="1"/>
  <c r="AD50" i="200"/>
  <c r="AC50" i="200"/>
  <c r="AE50" i="200" s="1"/>
  <c r="AI50" i="200" s="1"/>
  <c r="Y50" i="200" s="1"/>
  <c r="AB50" i="200"/>
  <c r="Z50" i="200"/>
  <c r="X50" i="200"/>
  <c r="Q50" i="200"/>
  <c r="P50" i="200"/>
  <c r="H50" i="200"/>
  <c r="E50" i="200"/>
  <c r="AE49" i="200"/>
  <c r="AI49" i="200" s="1"/>
  <c r="Y49" i="200" s="1"/>
  <c r="Z49" i="200"/>
  <c r="X49" i="200"/>
  <c r="Q49" i="200"/>
  <c r="P49" i="200"/>
  <c r="H49" i="200"/>
  <c r="E49" i="200"/>
  <c r="I49" i="200" s="1"/>
  <c r="AE48" i="200"/>
  <c r="AI48" i="200" s="1"/>
  <c r="Y48" i="200" s="1"/>
  <c r="Z48" i="200"/>
  <c r="X48" i="200"/>
  <c r="Q48" i="200"/>
  <c r="P48" i="200"/>
  <c r="H48" i="200"/>
  <c r="E48" i="200"/>
  <c r="AE47" i="200"/>
  <c r="Z47" i="200"/>
  <c r="X47" i="200"/>
  <c r="Q47" i="200"/>
  <c r="P47" i="200"/>
  <c r="H47" i="200"/>
  <c r="E47" i="200"/>
  <c r="AD46" i="200"/>
  <c r="AC46" i="200"/>
  <c r="AB46" i="200"/>
  <c r="Z46" i="200"/>
  <c r="X46" i="200"/>
  <c r="Q46" i="200"/>
  <c r="P46" i="200"/>
  <c r="H46" i="200"/>
  <c r="E46" i="200"/>
  <c r="I46" i="200" s="1"/>
  <c r="AD45" i="200"/>
  <c r="AC45" i="200"/>
  <c r="AB45" i="200"/>
  <c r="AE45" i="200" s="1"/>
  <c r="AI45" i="200" s="1"/>
  <c r="Y45" i="200" s="1"/>
  <c r="Z45" i="200"/>
  <c r="X45" i="200"/>
  <c r="Q45" i="200"/>
  <c r="P45" i="200"/>
  <c r="H45" i="200"/>
  <c r="E45" i="200"/>
  <c r="I45" i="200" s="1"/>
  <c r="AD44" i="200"/>
  <c r="AC44" i="200"/>
  <c r="AB44" i="200"/>
  <c r="AE44" i="200" s="1"/>
  <c r="AI44" i="200" s="1"/>
  <c r="Y44" i="200" s="1"/>
  <c r="Z44" i="200"/>
  <c r="X44" i="200"/>
  <c r="Q44" i="200"/>
  <c r="P44" i="200"/>
  <c r="H44" i="200"/>
  <c r="E44" i="200"/>
  <c r="I44" i="200" s="1"/>
  <c r="AD43" i="200"/>
  <c r="AC43" i="200"/>
  <c r="AB43" i="200"/>
  <c r="Z43" i="200"/>
  <c r="X43" i="200"/>
  <c r="Q43" i="200"/>
  <c r="P43" i="200"/>
  <c r="H43" i="200"/>
  <c r="E43" i="200"/>
  <c r="AD42" i="200"/>
  <c r="AC42" i="200"/>
  <c r="AB42" i="200"/>
  <c r="AE42" i="200" s="1"/>
  <c r="AI42" i="200" s="1"/>
  <c r="Y42" i="200" s="1"/>
  <c r="Z42" i="200"/>
  <c r="X42" i="200"/>
  <c r="Q42" i="200"/>
  <c r="P42" i="200"/>
  <c r="H42" i="200"/>
  <c r="E42" i="200"/>
  <c r="AD41" i="200"/>
  <c r="AC41" i="200"/>
  <c r="AB41" i="200"/>
  <c r="AE41" i="200" s="1"/>
  <c r="AI41" i="200" s="1"/>
  <c r="Y41" i="200" s="1"/>
  <c r="Z41" i="200"/>
  <c r="X41" i="200"/>
  <c r="Q41" i="200"/>
  <c r="P41" i="200"/>
  <c r="H41" i="200"/>
  <c r="E41" i="200"/>
  <c r="I41" i="200" s="1"/>
  <c r="AD40" i="200"/>
  <c r="AC40" i="200"/>
  <c r="AB40" i="200"/>
  <c r="Z40" i="200"/>
  <c r="X40" i="200"/>
  <c r="Q40" i="200"/>
  <c r="P40" i="200"/>
  <c r="H40" i="200"/>
  <c r="E40" i="200"/>
  <c r="AD39" i="200"/>
  <c r="AC39" i="200"/>
  <c r="AB39" i="200"/>
  <c r="Z39" i="200"/>
  <c r="X39" i="200"/>
  <c r="Q39" i="200"/>
  <c r="P39" i="200"/>
  <c r="H39" i="200"/>
  <c r="E39" i="200"/>
  <c r="AD38" i="200"/>
  <c r="AC38" i="200"/>
  <c r="AB38" i="200"/>
  <c r="AE38" i="200" s="1"/>
  <c r="AI38" i="200" s="1"/>
  <c r="Y38" i="200" s="1"/>
  <c r="Z38" i="200"/>
  <c r="X38" i="200"/>
  <c r="Q38" i="200"/>
  <c r="P38" i="200"/>
  <c r="H38" i="200"/>
  <c r="E38" i="200"/>
  <c r="AD37" i="200"/>
  <c r="AC37" i="200"/>
  <c r="AB37" i="200"/>
  <c r="Z37" i="200"/>
  <c r="X37" i="200"/>
  <c r="Q37" i="200"/>
  <c r="P37" i="200"/>
  <c r="H37" i="200"/>
  <c r="E37" i="200"/>
  <c r="AD36" i="200"/>
  <c r="AC36" i="200"/>
  <c r="AB36" i="200"/>
  <c r="Q36" i="200"/>
  <c r="P36" i="200"/>
  <c r="E36" i="200"/>
  <c r="AD35" i="200"/>
  <c r="AC35" i="200"/>
  <c r="AB35" i="200"/>
  <c r="AE35" i="200" s="1"/>
  <c r="AI35" i="200" s="1"/>
  <c r="Y35" i="200" s="1"/>
  <c r="Z35" i="200"/>
  <c r="X35" i="200"/>
  <c r="Q35" i="200"/>
  <c r="P35" i="200"/>
  <c r="H35" i="200"/>
  <c r="E35" i="200"/>
  <c r="AD34" i="200"/>
  <c r="AC34" i="200"/>
  <c r="AE34" i="200" s="1"/>
  <c r="AI34" i="200" s="1"/>
  <c r="Y34" i="200" s="1"/>
  <c r="AB34" i="200"/>
  <c r="Z34" i="200"/>
  <c r="X34" i="200"/>
  <c r="Q34" i="200"/>
  <c r="P34" i="200"/>
  <c r="H34" i="200"/>
  <c r="E34" i="200"/>
  <c r="I34" i="200" s="1"/>
  <c r="AD33" i="200"/>
  <c r="AC33" i="200"/>
  <c r="AB33" i="200"/>
  <c r="AE33" i="200" s="1"/>
  <c r="AI33" i="200" s="1"/>
  <c r="Y33" i="200" s="1"/>
  <c r="Z33" i="200"/>
  <c r="X33" i="200"/>
  <c r="Q33" i="200"/>
  <c r="P33" i="200"/>
  <c r="H33" i="200"/>
  <c r="E33" i="200"/>
  <c r="AD32" i="200"/>
  <c r="AC32" i="200"/>
  <c r="AB32" i="200"/>
  <c r="AE32" i="200" s="1"/>
  <c r="AI32" i="200" s="1"/>
  <c r="Y32" i="200" s="1"/>
  <c r="Z32" i="200"/>
  <c r="X32" i="200"/>
  <c r="Q32" i="200"/>
  <c r="P32" i="200"/>
  <c r="H32" i="200"/>
  <c r="E32" i="200"/>
  <c r="I32" i="200" s="1"/>
  <c r="AE31" i="200"/>
  <c r="Z31" i="200"/>
  <c r="X31" i="200"/>
  <c r="Q31" i="200"/>
  <c r="P31" i="200"/>
  <c r="H31" i="200"/>
  <c r="E31" i="200"/>
  <c r="AD30" i="200"/>
  <c r="AC30" i="200"/>
  <c r="AB30" i="200"/>
  <c r="AE30" i="200" s="1"/>
  <c r="AI30" i="200" s="1"/>
  <c r="Y30" i="200" s="1"/>
  <c r="Z30" i="200"/>
  <c r="X30" i="200"/>
  <c r="Q30" i="200"/>
  <c r="P30" i="200"/>
  <c r="H30" i="200"/>
  <c r="E30" i="200"/>
  <c r="I30" i="200" s="1"/>
  <c r="AD29" i="200"/>
  <c r="AC29" i="200"/>
  <c r="AB29" i="200"/>
  <c r="AE29" i="200" s="1"/>
  <c r="AI29" i="200" s="1"/>
  <c r="Y29" i="200" s="1"/>
  <c r="Z29" i="200"/>
  <c r="X29" i="200"/>
  <c r="Q29" i="200"/>
  <c r="P29" i="200"/>
  <c r="H29" i="200"/>
  <c r="E29" i="200"/>
  <c r="I29" i="200" s="1"/>
  <c r="AD28" i="200"/>
  <c r="AC28" i="200"/>
  <c r="AB28" i="200"/>
  <c r="Z28" i="200"/>
  <c r="X28" i="200"/>
  <c r="Q28" i="200"/>
  <c r="P28" i="200"/>
  <c r="H28" i="200"/>
  <c r="E28" i="200"/>
  <c r="AD27" i="200"/>
  <c r="AC27" i="200"/>
  <c r="AB27" i="200"/>
  <c r="AE27" i="200" s="1"/>
  <c r="AI27" i="200" s="1"/>
  <c r="Y27" i="200" s="1"/>
  <c r="Z27" i="200"/>
  <c r="X27" i="200"/>
  <c r="Q27" i="200"/>
  <c r="P27" i="200"/>
  <c r="H27" i="200"/>
  <c r="E27" i="200"/>
  <c r="AD26" i="200"/>
  <c r="AC26" i="200"/>
  <c r="AB26" i="200"/>
  <c r="AE26" i="200" s="1"/>
  <c r="AI26" i="200" s="1"/>
  <c r="Y26" i="200" s="1"/>
  <c r="Z26" i="200"/>
  <c r="X26" i="200"/>
  <c r="Q26" i="200"/>
  <c r="P26" i="200"/>
  <c r="H26" i="200"/>
  <c r="E26" i="200"/>
  <c r="I26" i="200" s="1"/>
  <c r="AD25" i="200"/>
  <c r="AC25" i="200"/>
  <c r="AB25" i="200"/>
  <c r="Z25" i="200"/>
  <c r="X25" i="200"/>
  <c r="Q25" i="200"/>
  <c r="P25" i="200"/>
  <c r="H25" i="200"/>
  <c r="E25" i="200"/>
  <c r="AD24" i="200"/>
  <c r="AC24" i="200"/>
  <c r="AB24" i="200"/>
  <c r="AE24" i="200" s="1"/>
  <c r="AI24" i="200" s="1"/>
  <c r="Y24" i="200" s="1"/>
  <c r="Z24" i="200"/>
  <c r="X24" i="200"/>
  <c r="Q24" i="200"/>
  <c r="P24" i="200"/>
  <c r="H24" i="200"/>
  <c r="E24" i="200"/>
  <c r="AD23" i="200"/>
  <c r="AC23" i="200"/>
  <c r="AB23" i="200"/>
  <c r="Z23" i="200"/>
  <c r="X23" i="200"/>
  <c r="Q23" i="200"/>
  <c r="P23" i="200"/>
  <c r="I23" i="200"/>
  <c r="H23" i="200"/>
  <c r="E23" i="200"/>
  <c r="AD22" i="200"/>
  <c r="AC22" i="200"/>
  <c r="AB22" i="200"/>
  <c r="Z22" i="200"/>
  <c r="X22" i="200"/>
  <c r="Q22" i="200"/>
  <c r="P22" i="200"/>
  <c r="H22" i="200"/>
  <c r="E22" i="200"/>
  <c r="AD21" i="200"/>
  <c r="AC21" i="200"/>
  <c r="AB21" i="200"/>
  <c r="AE21" i="200" s="1"/>
  <c r="AI21" i="200" s="1"/>
  <c r="Y21" i="200" s="1"/>
  <c r="Z21" i="200"/>
  <c r="X21" i="200"/>
  <c r="Q21" i="200"/>
  <c r="P21" i="200"/>
  <c r="H21" i="200"/>
  <c r="E21" i="200"/>
  <c r="I21" i="200" s="1"/>
  <c r="AD20" i="200"/>
  <c r="AC20" i="200"/>
  <c r="AB20" i="200"/>
  <c r="AE20" i="200" s="1"/>
  <c r="AI20" i="200" s="1"/>
  <c r="Y20" i="200" s="1"/>
  <c r="Z20" i="200"/>
  <c r="Q20" i="200"/>
  <c r="P20" i="200"/>
  <c r="E20" i="200"/>
  <c r="AD19" i="200"/>
  <c r="AC19" i="200"/>
  <c r="AB19" i="200"/>
  <c r="Z19" i="200"/>
  <c r="X19" i="200"/>
  <c r="Q19" i="200"/>
  <c r="P19" i="200"/>
  <c r="H19" i="200"/>
  <c r="E19" i="200"/>
  <c r="I19" i="200" s="1"/>
  <c r="AD18" i="200"/>
  <c r="AC18" i="200"/>
  <c r="AB18" i="200"/>
  <c r="AE18" i="200" s="1"/>
  <c r="AI18" i="200" s="1"/>
  <c r="Y18" i="200" s="1"/>
  <c r="Z18" i="200"/>
  <c r="X18" i="200"/>
  <c r="Q18" i="200"/>
  <c r="P18" i="200"/>
  <c r="H18" i="200"/>
  <c r="E18" i="200"/>
  <c r="I18" i="200" s="1"/>
  <c r="AD17" i="200"/>
  <c r="AC17" i="200"/>
  <c r="AB17" i="200"/>
  <c r="AE17" i="200" s="1"/>
  <c r="AI17" i="200" s="1"/>
  <c r="Y17" i="200" s="1"/>
  <c r="Z17" i="200"/>
  <c r="X17" i="200"/>
  <c r="Q17" i="200"/>
  <c r="P17" i="200"/>
  <c r="H17" i="200"/>
  <c r="E17" i="200"/>
  <c r="I17" i="200" s="1"/>
  <c r="AD16" i="200"/>
  <c r="AC16" i="200"/>
  <c r="AB16" i="200"/>
  <c r="Z16" i="200"/>
  <c r="X16" i="200"/>
  <c r="Q16" i="200"/>
  <c r="P16" i="200"/>
  <c r="E16" i="200"/>
  <c r="AD15" i="200"/>
  <c r="AC15" i="200"/>
  <c r="AB15" i="200"/>
  <c r="AE15" i="200" s="1"/>
  <c r="AI15" i="200" s="1"/>
  <c r="Y15" i="200" s="1"/>
  <c r="Z15" i="200"/>
  <c r="X15" i="200"/>
  <c r="Q15" i="200"/>
  <c r="P15" i="200"/>
  <c r="E15" i="200"/>
  <c r="AD14" i="200"/>
  <c r="AC14" i="200"/>
  <c r="AB14" i="200"/>
  <c r="AE14" i="200" s="1"/>
  <c r="AI14" i="200" s="1"/>
  <c r="Y14" i="200" s="1"/>
  <c r="Z14" i="200"/>
  <c r="X14" i="200"/>
  <c r="Q14" i="200"/>
  <c r="P14" i="200"/>
  <c r="H14" i="200"/>
  <c r="E14" i="200"/>
  <c r="AD13" i="200"/>
  <c r="AC13" i="200"/>
  <c r="AB13" i="200"/>
  <c r="AE13" i="200" s="1"/>
  <c r="AI13" i="200" s="1"/>
  <c r="Y13" i="200" s="1"/>
  <c r="Z13" i="200"/>
  <c r="X13" i="200"/>
  <c r="Q13" i="200"/>
  <c r="P13" i="200"/>
  <c r="H13" i="200"/>
  <c r="E13" i="200"/>
  <c r="I13" i="200" s="1"/>
  <c r="AD12" i="200"/>
  <c r="AC12" i="200"/>
  <c r="AB12" i="200"/>
  <c r="Z12" i="200"/>
  <c r="X12" i="200"/>
  <c r="Q12" i="200"/>
  <c r="P12" i="200"/>
  <c r="H12" i="200"/>
  <c r="E12" i="200"/>
  <c r="F73" i="217" l="1"/>
  <c r="F75" i="217"/>
  <c r="T73" i="217"/>
  <c r="T79" i="217" s="1"/>
  <c r="Y66" i="214"/>
  <c r="F73" i="214"/>
  <c r="Y30" i="214"/>
  <c r="F75" i="214"/>
  <c r="Y50" i="213"/>
  <c r="Y62" i="213"/>
  <c r="F75" i="213"/>
  <c r="F73" i="213"/>
  <c r="Y46" i="213"/>
  <c r="Y55" i="213"/>
  <c r="F73" i="212"/>
  <c r="Y37" i="212"/>
  <c r="F75" i="212"/>
  <c r="Y40" i="212"/>
  <c r="Y43" i="211"/>
  <c r="F73" i="211"/>
  <c r="F75" i="211"/>
  <c r="Y35" i="211"/>
  <c r="F75" i="210"/>
  <c r="F73" i="210"/>
  <c r="T73" i="210"/>
  <c r="T79" i="210" s="1"/>
  <c r="F73" i="209"/>
  <c r="F77" i="209" s="1"/>
  <c r="F75" i="209"/>
  <c r="T79" i="209"/>
  <c r="F73" i="208"/>
  <c r="Y26" i="208"/>
  <c r="Y15" i="208"/>
  <c r="T73" i="208" s="1"/>
  <c r="T79" i="208" s="1"/>
  <c r="Y41" i="208"/>
  <c r="Y42" i="208"/>
  <c r="F75" i="208"/>
  <c r="F73" i="207"/>
  <c r="F75" i="207"/>
  <c r="Y68" i="207"/>
  <c r="T73" i="207"/>
  <c r="T79" i="207" s="1"/>
  <c r="Y57" i="207"/>
  <c r="Y64" i="206"/>
  <c r="F75" i="206"/>
  <c r="Y59" i="206"/>
  <c r="F73" i="206"/>
  <c r="Y51" i="206"/>
  <c r="T73" i="206"/>
  <c r="T79" i="206" s="1"/>
  <c r="Y50" i="206"/>
  <c r="Y34" i="205"/>
  <c r="F73" i="205"/>
  <c r="Y51" i="205"/>
  <c r="Y25" i="204"/>
  <c r="F73" i="204"/>
  <c r="T73" i="204"/>
  <c r="T79" i="204" s="1"/>
  <c r="F75" i="203"/>
  <c r="F73" i="203"/>
  <c r="Y35" i="203"/>
  <c r="F73" i="202"/>
  <c r="F75" i="202"/>
  <c r="T73" i="202"/>
  <c r="T79" i="202" s="1"/>
  <c r="I69" i="200"/>
  <c r="AE67" i="200"/>
  <c r="AI67" i="200" s="1"/>
  <c r="Y67" i="200" s="1"/>
  <c r="AE66" i="200"/>
  <c r="AI66" i="200" s="1"/>
  <c r="Y66" i="200" s="1"/>
  <c r="AE65" i="200"/>
  <c r="AI65" i="200" s="1"/>
  <c r="Y65" i="200" s="1"/>
  <c r="AE63" i="200"/>
  <c r="AI63" i="200" s="1"/>
  <c r="Y63" i="200" s="1"/>
  <c r="I50" i="200"/>
  <c r="AE61" i="200"/>
  <c r="AI61" i="200" s="1"/>
  <c r="Y61" i="200" s="1"/>
  <c r="AI60" i="200"/>
  <c r="Y60" i="200" s="1"/>
  <c r="I60" i="200"/>
  <c r="I58" i="200"/>
  <c r="AE57" i="200"/>
  <c r="AI57" i="200" s="1"/>
  <c r="Y57" i="200" s="1"/>
  <c r="I57" i="200"/>
  <c r="I52" i="200"/>
  <c r="I48" i="200"/>
  <c r="AE55" i="200"/>
  <c r="AI55" i="200" s="1"/>
  <c r="Y55" i="200" s="1"/>
  <c r="I55" i="200"/>
  <c r="I47" i="200"/>
  <c r="AE43" i="200"/>
  <c r="AI43" i="200" s="1"/>
  <c r="Y43" i="200" s="1"/>
  <c r="I43" i="200"/>
  <c r="I42" i="200"/>
  <c r="AE40" i="200"/>
  <c r="AI40" i="200" s="1"/>
  <c r="Y40" i="200" s="1"/>
  <c r="I40" i="200"/>
  <c r="I35" i="200"/>
  <c r="AE28" i="200"/>
  <c r="AI28" i="200" s="1"/>
  <c r="Y28" i="200" s="1"/>
  <c r="AE39" i="200"/>
  <c r="AI39" i="200" s="1"/>
  <c r="Y39" i="200" s="1"/>
  <c r="I38" i="200"/>
  <c r="AE37" i="200"/>
  <c r="AI37" i="200" s="1"/>
  <c r="Y37" i="200" s="1"/>
  <c r="I37" i="200"/>
  <c r="AE36" i="200"/>
  <c r="AI36" i="200" s="1"/>
  <c r="Y36" i="200" s="1"/>
  <c r="AE46" i="200"/>
  <c r="AI46" i="200" s="1"/>
  <c r="Y46" i="200" s="1"/>
  <c r="I33" i="200"/>
  <c r="AI31" i="200"/>
  <c r="Y31" i="200" s="1"/>
  <c r="I31" i="200"/>
  <c r="I28" i="200"/>
  <c r="I27" i="200"/>
  <c r="AE25" i="200"/>
  <c r="AI25" i="200" s="1"/>
  <c r="Y25" i="200" s="1"/>
  <c r="I25" i="200"/>
  <c r="I24" i="200"/>
  <c r="AE23" i="200"/>
  <c r="AI23" i="200" s="1"/>
  <c r="Y23" i="200" s="1"/>
  <c r="AE22" i="200"/>
  <c r="AI22" i="200" s="1"/>
  <c r="Y22" i="200" s="1"/>
  <c r="I22" i="200"/>
  <c r="AE19" i="200"/>
  <c r="AI19" i="200" s="1"/>
  <c r="Y19" i="200" s="1"/>
  <c r="AI47" i="200"/>
  <c r="Y47" i="200" s="1"/>
  <c r="AE16" i="200"/>
  <c r="AI16" i="200" s="1"/>
  <c r="Y16" i="200" s="1"/>
  <c r="I16" i="200"/>
  <c r="I15" i="200"/>
  <c r="I14" i="200"/>
  <c r="AE12" i="200"/>
  <c r="AI12" i="200" s="1"/>
  <c r="Y12" i="200" s="1"/>
  <c r="I12" i="200"/>
  <c r="O73" i="200"/>
  <c r="O75" i="200"/>
  <c r="I36" i="200"/>
  <c r="H36" i="200"/>
  <c r="X36" i="200"/>
  <c r="T77" i="200" s="1"/>
  <c r="H20" i="200"/>
  <c r="I20" i="200"/>
  <c r="H71" i="200"/>
  <c r="T75" i="200"/>
  <c r="F77" i="217" l="1"/>
  <c r="T73" i="214"/>
  <c r="T79" i="214" s="1"/>
  <c r="F77" i="214" s="1"/>
  <c r="T73" i="213"/>
  <c r="T79" i="213" s="1"/>
  <c r="F77" i="213" s="1"/>
  <c r="T73" i="212"/>
  <c r="T79" i="212" s="1"/>
  <c r="F77" i="212" s="1"/>
  <c r="T73" i="211"/>
  <c r="T79" i="211" s="1"/>
  <c r="F77" i="211" s="1"/>
  <c r="F77" i="210"/>
  <c r="F77" i="208"/>
  <c r="F77" i="207"/>
  <c r="F77" i="206"/>
  <c r="T73" i="205"/>
  <c r="T79" i="205" s="1"/>
  <c r="F77" i="205" s="1"/>
  <c r="F77" i="204"/>
  <c r="T73" i="203"/>
  <c r="T79" i="203" s="1"/>
  <c r="F77" i="203" s="1"/>
  <c r="F77" i="202"/>
  <c r="T73" i="200"/>
  <c r="F73" i="200"/>
  <c r="T79" i="200"/>
  <c r="F77" i="200" s="1"/>
  <c r="F75" i="200"/>
</calcChain>
</file>

<file path=xl/sharedStrings.xml><?xml version="1.0" encoding="utf-8"?>
<sst xmlns="http://schemas.openxmlformats.org/spreadsheetml/2006/main" count="2115" uniqueCount="134">
  <si>
    <t>DEALER NAME:</t>
  </si>
  <si>
    <t>DOS No.</t>
  </si>
  <si>
    <t>Please Fill up all needed details</t>
  </si>
  <si>
    <t>DRIVER'S NAME:</t>
  </si>
  <si>
    <t>DATE:</t>
  </si>
  <si>
    <t>PLATE NO.;</t>
  </si>
  <si>
    <t>TYPE TRANSACTION</t>
  </si>
  <si>
    <t>CASH</t>
  </si>
  <si>
    <r>
      <t>Always place an "</t>
    </r>
    <r>
      <rPr>
        <b/>
        <sz val="16"/>
        <rFont val="Arial"/>
        <family val="2"/>
      </rPr>
      <t>X</t>
    </r>
    <r>
      <rPr>
        <sz val="16"/>
        <rFont val="Arial"/>
        <family val="2"/>
      </rPr>
      <t>" for Cash or Credit Transaction</t>
    </r>
  </si>
  <si>
    <t>CAN</t>
  </si>
  <si>
    <t>TRIP NUMBER:</t>
  </si>
  <si>
    <t>CREDIT</t>
  </si>
  <si>
    <t>KIRIN</t>
  </si>
  <si>
    <t>500 can</t>
  </si>
  <si>
    <t>SKU</t>
  </si>
  <si>
    <t>Contents Only</t>
  </si>
  <si>
    <t>MTS</t>
  </si>
  <si>
    <t>GROSS AMOUNT</t>
  </si>
  <si>
    <t>FOR DEALER USE</t>
  </si>
  <si>
    <t>FOR WAREHOUSE USE</t>
  </si>
  <si>
    <t>Contents Amt</t>
  </si>
  <si>
    <t>FTH - FD</t>
  </si>
  <si>
    <t>Orignal FTH</t>
  </si>
  <si>
    <t>Subsidy FTH</t>
  </si>
  <si>
    <t>DL PRM</t>
  </si>
  <si>
    <t>Total FTH</t>
  </si>
  <si>
    <t>Func Disc.</t>
  </si>
  <si>
    <t>FTH -FD</t>
  </si>
  <si>
    <t>Order FGs QTY</t>
  </si>
  <si>
    <t>No. of Cases in pallets</t>
  </si>
  <si>
    <t>Order FGs in pallets</t>
  </si>
  <si>
    <t>Order FGs Amount</t>
  </si>
  <si>
    <t>CMT Amount</t>
  </si>
  <si>
    <t>Shell Amount</t>
  </si>
  <si>
    <t>Bottle</t>
  </si>
  <si>
    <t>ACTUAL RETURNS</t>
  </si>
  <si>
    <t>SUBJECT FOR SEGREGATION</t>
  </si>
  <si>
    <t>CMT</t>
  </si>
  <si>
    <t>SHELL</t>
  </si>
  <si>
    <t>BOTTLES</t>
  </si>
  <si>
    <t>Total in  Pallets</t>
  </si>
  <si>
    <t>TOTAL MTs Amount</t>
  </si>
  <si>
    <t>PP 320</t>
  </si>
  <si>
    <t>PP 1000</t>
  </si>
  <si>
    <t>RH 330</t>
  </si>
  <si>
    <t>RH 500</t>
  </si>
  <si>
    <t>RH 1000</t>
  </si>
  <si>
    <t>RH SUPER</t>
  </si>
  <si>
    <t>GE 1000</t>
  </si>
  <si>
    <t>SML 330</t>
  </si>
  <si>
    <t xml:space="preserve">FB APPLE </t>
  </si>
  <si>
    <t>FB LEMON</t>
  </si>
  <si>
    <t>FB LYCHEE</t>
  </si>
  <si>
    <t>PAM 330</t>
  </si>
  <si>
    <t>SD 330</t>
  </si>
  <si>
    <t>PP 330</t>
  </si>
  <si>
    <t>CN 330</t>
  </si>
  <si>
    <t>CERVESA BLANCA</t>
  </si>
  <si>
    <t>CALI 330</t>
  </si>
  <si>
    <t>CICE 330</t>
  </si>
  <si>
    <t>GE 320</t>
  </si>
  <si>
    <t>OKTO 330</t>
  </si>
  <si>
    <t>SMZero</t>
  </si>
  <si>
    <t>RH KING CAN 500</t>
  </si>
  <si>
    <t>PP Can</t>
  </si>
  <si>
    <t>RH Can</t>
  </si>
  <si>
    <t>SML Can</t>
  </si>
  <si>
    <t>PAM Can</t>
  </si>
  <si>
    <t>SD Can</t>
  </si>
  <si>
    <t>CALI Can</t>
  </si>
  <si>
    <t>CICE Can</t>
  </si>
  <si>
    <t>CALI 10</t>
  </si>
  <si>
    <t>FB App Can</t>
  </si>
  <si>
    <t>FB Lem Can</t>
  </si>
  <si>
    <t>FB Lyc Can</t>
  </si>
  <si>
    <t>KIRIN 330</t>
  </si>
  <si>
    <t>KIRIN Can</t>
  </si>
  <si>
    <t>DB30L PP</t>
  </si>
  <si>
    <t>PP DB 15L</t>
  </si>
  <si>
    <t>DB30L SML</t>
  </si>
  <si>
    <t>San Mig Free 330</t>
  </si>
  <si>
    <t>San Mig Free Can 330</t>
  </si>
  <si>
    <t>SMigCol250</t>
  </si>
  <si>
    <t>HS CITRUS MIX CAN</t>
  </si>
  <si>
    <t>CHOCO LAGER CAN</t>
  </si>
  <si>
    <t>CERVESA NEGRA CAN</t>
  </si>
  <si>
    <t>CERVESA BLANCA CAN</t>
  </si>
  <si>
    <t>HT Lemon</t>
  </si>
  <si>
    <t>HT Apple</t>
  </si>
  <si>
    <t>HT Strawberry</t>
  </si>
  <si>
    <t>Provision 1 NAB</t>
  </si>
  <si>
    <t>FD Grapes</t>
  </si>
  <si>
    <t>PAM Can 6's</t>
  </si>
  <si>
    <t>SD Can 330 6's</t>
  </si>
  <si>
    <t>FB Apple Can 330 6's</t>
  </si>
  <si>
    <t>FB Lemon Can 330 6's</t>
  </si>
  <si>
    <t>PP Can 330 6's</t>
  </si>
  <si>
    <t>RH Can 330 6's</t>
  </si>
  <si>
    <t>SML Can 330 6's</t>
  </si>
  <si>
    <t>Provision 2 NAB</t>
  </si>
  <si>
    <t>Provision 3 NAB</t>
  </si>
  <si>
    <t>TOTAL IN PALLETS</t>
  </si>
  <si>
    <t>FGs Amount</t>
  </si>
  <si>
    <t>MTs Amount</t>
  </si>
  <si>
    <t>DISC (FTH-FD)</t>
  </si>
  <si>
    <t>Net Amount (CASH Dealer)</t>
  </si>
  <si>
    <t>PDC DATE</t>
  </si>
  <si>
    <t>Relayed Discount</t>
  </si>
  <si>
    <t>Special Discounts</t>
  </si>
  <si>
    <t>Monitor Relayed discount based on maximum discount per transaction (15% of Contents Amount)</t>
  </si>
  <si>
    <t>PDC Amount (CREDIT Dealer)</t>
  </si>
  <si>
    <t>TWAS &amp; UNAPPLIED</t>
  </si>
  <si>
    <t>TOTAL DISCOUNT</t>
  </si>
  <si>
    <t>PALLETS ON-LOAN</t>
  </si>
  <si>
    <t>AT DEALER</t>
  </si>
  <si>
    <t>LESS; RETURN</t>
  </si>
  <si>
    <t>ADD: ISSUES</t>
  </si>
  <si>
    <t>TOTAL</t>
  </si>
  <si>
    <t>FGS ORDERED:</t>
  </si>
  <si>
    <t>MTS RETURNED:</t>
  </si>
  <si>
    <t>MTS CHECKED BY:</t>
  </si>
  <si>
    <t>BY</t>
  </si>
  <si>
    <t>DEALER (PRINTED NAME &amp; SIGNATURE)</t>
  </si>
  <si>
    <t>CHECKER</t>
  </si>
  <si>
    <t>APPROVED BY:</t>
  </si>
  <si>
    <t>ACKNOWLEDGED BY</t>
  </si>
  <si>
    <t>SALES SUPERVISOR (PRINTED NAME &amp; SIGNATURE)</t>
  </si>
  <si>
    <t>DEALER REPRESENTATIVE</t>
  </si>
  <si>
    <t>CASH Discount</t>
  </si>
  <si>
    <t>CASH DISCOUNT</t>
  </si>
  <si>
    <t>GUILLERMO BEVERAGES DISTRIBUTION SERVICES</t>
  </si>
  <si>
    <t>x</t>
  </si>
  <si>
    <t>ROBERTO CHIONG</t>
  </si>
  <si>
    <t>NEILVIN BAGUIO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</si>
</sst>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43" formatCode="_-* #,##0.00_-;\-* #,##0.00_-;_-* &quot;-&quot;??_-;_-@_-"/>
    <numFmt numFmtId="164" formatCode="_(* #,##0.00_);_(* \(#,##0.00\);_(* &quot;-&quot;??_);_(@_)"/>
    <numFmt numFmtId="165" formatCode="[$-409]mmmm\ d\,\ yyyy;@"/>
    <numFmt numFmtId="166" formatCode="_(* #,##0_);_(* \(#,##0\);_(* &quot;-&quot;??_);_(@_)"/>
    <numFmt numFmtId="167" formatCode="_(* #,##0_);[Red]_(* \(#,##0\);_(* &quot;-&quot;??_);_(@_)"/>
    <numFmt numFmtId="168" formatCode="_(* #,##0.0_);_(* \(#,##0.0\);_(* &quot;-&quot;??_);_(@_)"/>
    <numFmt numFmtId="169" formatCode="_([$PHP]\ * #,##0.00_);_([$PHP]\ * \(#,##0.00\);_([$PHP]\ * &quot;-&quot;??_);_(@_)"/>
    <numFmt numFmtId="170" formatCode="[$PHP]\ #,##0.00_);\([$PHP]\ #,##0.00\)"/>
  </numFmts>
  <fonts count="2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b/>
      <sz val="14"/>
      <name val="Arial Rounded MT Bold"/>
      <family val="2"/>
    </font>
    <font>
      <sz val="10"/>
      <name val="Arial"/>
      <family val="2"/>
    </font>
    <font>
      <sz val="11"/>
      <name val="Arial"/>
      <family val="2"/>
    </font>
    <font>
      <sz val="12"/>
      <name val="Arial Narrow"/>
      <family val="2"/>
    </font>
    <font>
      <b/>
      <sz val="24"/>
      <name val="Arial"/>
      <family val="2"/>
    </font>
    <font>
      <b/>
      <sz val="16"/>
      <name val="Arial"/>
      <family val="2"/>
    </font>
    <font>
      <sz val="16"/>
      <name val="Arial"/>
      <family val="2"/>
    </font>
    <font>
      <b/>
      <sz val="10"/>
      <name val="Arial"/>
      <family val="2"/>
    </font>
    <font>
      <sz val="8"/>
      <name val="Arial"/>
      <family val="2"/>
    </font>
    <font>
      <b/>
      <sz val="12"/>
      <name val="Arial"/>
      <family val="2"/>
    </font>
    <font>
      <b/>
      <sz val="18"/>
      <name val="Arial"/>
      <family val="2"/>
    </font>
    <font>
      <b/>
      <sz val="18"/>
      <color indexed="12"/>
      <name val="Arial Rounded MT Bold"/>
      <family val="2"/>
    </font>
    <font>
      <sz val="18"/>
      <name val="Arial"/>
      <family val="2"/>
    </font>
    <font>
      <b/>
      <sz val="8"/>
      <name val="Arial"/>
      <family val="2"/>
    </font>
    <font>
      <sz val="10"/>
      <color indexed="12"/>
      <name val="Arial"/>
      <family val="2"/>
    </font>
    <font>
      <sz val="9"/>
      <name val="Arial"/>
      <family val="2"/>
    </font>
    <font>
      <sz val="18"/>
      <color theme="1"/>
      <name val="Arial"/>
      <family val="2"/>
    </font>
    <font>
      <sz val="10"/>
      <color theme="1"/>
      <name val="Arial"/>
      <family val="2"/>
    </font>
    <font>
      <sz val="12"/>
      <color theme="1"/>
      <name val="Arial"/>
      <family val="2"/>
    </font>
    <font>
      <b/>
      <sz val="12"/>
      <color theme="1"/>
      <name val="Arial"/>
      <family val="2"/>
    </font>
    <font>
      <sz val="7.5"/>
      <name val="Arial"/>
      <family val="2"/>
    </font>
    <font>
      <sz val="8"/>
      <color indexed="48"/>
      <name val="Arial"/>
      <family val="2"/>
    </font>
    <font>
      <b/>
      <sz val="22"/>
      <name val="Arial"/>
      <family val="2"/>
    </font>
    <font>
      <b/>
      <sz val="14"/>
      <name val="Arial"/>
      <family val="2"/>
    </font>
    <font>
      <b/>
      <u/>
      <sz val="14"/>
      <name val="Arial"/>
      <family val="2"/>
    </font>
    <font>
      <b/>
      <sz val="32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theme="8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indexed="9"/>
        <bgColor indexed="64"/>
      </patternFill>
    </fill>
  </fills>
  <borders count="6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dotted">
        <color indexed="64"/>
      </bottom>
      <diagonal/>
    </border>
    <border>
      <left/>
      <right/>
      <top style="medium">
        <color indexed="64"/>
      </top>
      <bottom style="dotted">
        <color indexed="64"/>
      </bottom>
      <diagonal/>
    </border>
    <border>
      <left/>
      <right style="medium">
        <color indexed="64"/>
      </right>
      <top style="medium">
        <color indexed="64"/>
      </top>
      <bottom style="dotted">
        <color indexed="64"/>
      </bottom>
      <diagonal/>
    </border>
    <border>
      <left style="medium">
        <color indexed="64"/>
      </left>
      <right style="hair">
        <color indexed="64"/>
      </right>
      <top style="medium">
        <color indexed="64"/>
      </top>
      <bottom style="hair">
        <color indexed="64"/>
      </bottom>
      <diagonal/>
    </border>
    <border>
      <left style="hair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/>
      <right/>
      <top style="medium">
        <color indexed="64"/>
      </top>
      <bottom style="hair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dotted">
        <color indexed="64"/>
      </top>
      <bottom/>
      <diagonal/>
    </border>
    <border>
      <left style="medium">
        <color indexed="64"/>
      </left>
      <right/>
      <top style="dotted">
        <color indexed="64"/>
      </top>
      <bottom style="dotted">
        <color indexed="64"/>
      </bottom>
      <diagonal/>
    </border>
    <border>
      <left/>
      <right/>
      <top style="dotted">
        <color indexed="64"/>
      </top>
      <bottom style="dotted">
        <color indexed="64"/>
      </bottom>
      <diagonal/>
    </border>
    <border>
      <left/>
      <right style="medium">
        <color indexed="64"/>
      </right>
      <top style="dotted">
        <color indexed="64"/>
      </top>
      <bottom style="dotted">
        <color indexed="64"/>
      </bottom>
      <diagonal/>
    </border>
    <border>
      <left style="medium">
        <color indexed="64"/>
      </left>
      <right/>
      <top/>
      <bottom style="dotted">
        <color indexed="64"/>
      </bottom>
      <diagonal/>
    </border>
    <border>
      <left/>
      <right/>
      <top/>
      <bottom style="dotted">
        <color indexed="64"/>
      </bottom>
      <diagonal/>
    </border>
    <border>
      <left/>
      <right style="medium">
        <color indexed="64"/>
      </right>
      <top/>
      <bottom style="dotted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dotted">
        <color indexed="64"/>
      </top>
      <bottom style="medium">
        <color indexed="64"/>
      </bottom>
      <diagonal/>
    </border>
    <border>
      <left style="medium">
        <color indexed="64"/>
      </left>
      <right/>
      <top style="dotted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dotted">
        <color indexed="64"/>
      </top>
      <bottom style="medium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medium">
        <color indexed="64"/>
      </bottom>
      <diagonal/>
    </border>
    <border>
      <left style="hair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/>
      <right/>
      <top style="hair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/>
      <diagonal/>
    </border>
    <border>
      <left style="medium">
        <color indexed="64"/>
      </left>
      <right/>
      <top/>
      <bottom style="hair">
        <color indexed="64"/>
      </bottom>
      <diagonal/>
    </border>
    <border>
      <left style="medium">
        <color indexed="64"/>
      </left>
      <right/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 style="medium">
        <color indexed="64"/>
      </right>
      <top/>
      <bottom style="hair">
        <color indexed="64"/>
      </bottom>
      <diagonal/>
    </border>
    <border>
      <left style="medium">
        <color indexed="64"/>
      </left>
      <right style="medium">
        <color indexed="64"/>
      </right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 style="medium">
        <color indexed="64"/>
      </left>
      <right/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/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hair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 style="hair">
        <color indexed="64"/>
      </top>
      <bottom/>
      <diagonal/>
    </border>
    <border>
      <left style="medium">
        <color indexed="64"/>
      </left>
      <right/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</borders>
  <cellStyleXfs count="4">
    <xf numFmtId="0" fontId="0" fillId="0" borderId="0"/>
    <xf numFmtId="164" fontId="1" fillId="0" borderId="0" applyFont="0" applyFill="0" applyBorder="0" applyAlignment="0" applyProtection="0"/>
    <xf numFmtId="0" fontId="2" fillId="0" borderId="0"/>
    <xf numFmtId="164" fontId="2" fillId="0" borderId="0" applyFont="0" applyFill="0" applyBorder="0" applyAlignment="0" applyProtection="0"/>
  </cellStyleXfs>
  <cellXfs count="290">
    <xf numFmtId="0" fontId="0" fillId="0" borderId="0" xfId="0"/>
    <xf numFmtId="0" fontId="3" fillId="0" borderId="0" xfId="2" applyFont="1" applyAlignment="1">
      <alignment vertical="center"/>
    </xf>
    <xf numFmtId="0" fontId="4" fillId="0" borderId="0" xfId="2" applyFont="1" applyAlignment="1">
      <alignment vertical="center"/>
    </xf>
    <xf numFmtId="164" fontId="4" fillId="0" borderId="0" xfId="1" applyFont="1" applyFill="1" applyAlignment="1" applyProtection="1">
      <alignment vertical="center"/>
    </xf>
    <xf numFmtId="0" fontId="5" fillId="0" borderId="0" xfId="2" applyFont="1" applyAlignment="1">
      <alignment vertical="center"/>
    </xf>
    <xf numFmtId="0" fontId="6" fillId="0" borderId="0" xfId="2" applyFont="1" applyAlignment="1">
      <alignment vertical="center"/>
    </xf>
    <xf numFmtId="0" fontId="7" fillId="0" borderId="0" xfId="2" applyFont="1" applyAlignment="1">
      <alignment vertical="center"/>
    </xf>
    <xf numFmtId="0" fontId="8" fillId="2" borderId="1" xfId="2" applyFont="1" applyFill="1" applyBorder="1" applyAlignment="1" applyProtection="1">
      <alignment horizontal="center" vertical="center"/>
      <protection locked="0"/>
    </xf>
    <xf numFmtId="0" fontId="11" fillId="0" borderId="0" xfId="2" applyFont="1" applyAlignment="1">
      <alignment vertical="center"/>
    </xf>
    <xf numFmtId="164" fontId="11" fillId="0" borderId="0" xfId="1" applyFont="1" applyFill="1" applyAlignment="1" applyProtection="1">
      <alignment vertical="center"/>
    </xf>
    <xf numFmtId="0" fontId="9" fillId="0" borderId="0" xfId="2" applyFont="1" applyAlignment="1">
      <alignment vertical="center" wrapText="1"/>
    </xf>
    <xf numFmtId="0" fontId="4" fillId="0" borderId="0" xfId="2" applyFont="1" applyAlignment="1">
      <alignment horizontal="right" vertical="center"/>
    </xf>
    <xf numFmtId="0" fontId="13" fillId="2" borderId="1" xfId="2" applyFont="1" applyFill="1" applyBorder="1" applyAlignment="1" applyProtection="1">
      <alignment horizontal="center" vertical="center"/>
      <protection locked="0"/>
    </xf>
    <xf numFmtId="0" fontId="14" fillId="0" borderId="0" xfId="2" applyFont="1" applyAlignment="1">
      <alignment horizontal="left" vertical="center"/>
    </xf>
    <xf numFmtId="0" fontId="15" fillId="0" borderId="0" xfId="2" applyFont="1" applyAlignment="1">
      <alignment horizontal="left" vertical="center"/>
    </xf>
    <xf numFmtId="164" fontId="15" fillId="0" borderId="0" xfId="1" applyFont="1" applyFill="1" applyAlignment="1" applyProtection="1">
      <alignment horizontal="left" vertical="center"/>
    </xf>
    <xf numFmtId="0" fontId="16" fillId="0" borderId="0" xfId="2" applyFont="1" applyAlignment="1">
      <alignment vertical="center" wrapText="1"/>
    </xf>
    <xf numFmtId="0" fontId="8" fillId="0" borderId="0" xfId="2" applyFont="1" applyAlignment="1">
      <alignment horizontal="center" vertical="center" wrapText="1"/>
    </xf>
    <xf numFmtId="166" fontId="17" fillId="0" borderId="27" xfId="3" applyNumberFormat="1" applyFont="1" applyFill="1" applyBorder="1" applyAlignment="1" applyProtection="1">
      <alignment horizontal="center" vertical="center"/>
    </xf>
    <xf numFmtId="166" fontId="17" fillId="0" borderId="28" xfId="3" applyNumberFormat="1" applyFont="1" applyFill="1" applyBorder="1" applyAlignment="1" applyProtection="1">
      <alignment horizontal="center" vertical="center"/>
    </xf>
    <xf numFmtId="164" fontId="17" fillId="0" borderId="29" xfId="1" applyFont="1" applyFill="1" applyBorder="1" applyAlignment="1" applyProtection="1">
      <alignment horizontal="center" vertical="center"/>
    </xf>
    <xf numFmtId="0" fontId="18" fillId="0" borderId="0" xfId="2" applyFont="1" applyAlignment="1">
      <alignment vertical="center"/>
    </xf>
    <xf numFmtId="166" fontId="17" fillId="0" borderId="29" xfId="3" applyNumberFormat="1" applyFont="1" applyFill="1" applyBorder="1" applyAlignment="1" applyProtection="1">
      <alignment horizontal="center" vertical="center"/>
    </xf>
    <xf numFmtId="0" fontId="12" fillId="0" borderId="36" xfId="2" applyFont="1" applyBorder="1" applyAlignment="1">
      <alignment vertical="center" wrapText="1"/>
    </xf>
    <xf numFmtId="164" fontId="11" fillId="0" borderId="36" xfId="1" applyFont="1" applyFill="1" applyBorder="1" applyAlignment="1" applyProtection="1">
      <alignment vertical="center"/>
    </xf>
    <xf numFmtId="167" fontId="19" fillId="2" borderId="10" xfId="1" applyNumberFormat="1" applyFont="1" applyFill="1" applyBorder="1" applyAlignment="1" applyProtection="1">
      <alignment horizontal="center" vertical="center"/>
      <protection locked="0"/>
    </xf>
    <xf numFmtId="167" fontId="20" fillId="0" borderId="37" xfId="1" applyNumberFormat="1" applyFont="1" applyFill="1" applyBorder="1" applyAlignment="1" applyProtection="1">
      <alignment horizontal="center" vertical="center"/>
    </xf>
    <xf numFmtId="164" fontId="21" fillId="0" borderId="37" xfId="1" applyFont="1" applyFill="1" applyBorder="1" applyAlignment="1" applyProtection="1">
      <alignment horizontal="center" vertical="center"/>
    </xf>
    <xf numFmtId="164" fontId="22" fillId="0" borderId="37" xfId="1" applyFont="1" applyFill="1" applyBorder="1" applyAlignment="1" applyProtection="1">
      <alignment horizontal="center" vertical="center"/>
    </xf>
    <xf numFmtId="164" fontId="20" fillId="0" borderId="37" xfId="1" applyFont="1" applyFill="1" applyBorder="1" applyAlignment="1" applyProtection="1">
      <alignment horizontal="center" vertical="center"/>
    </xf>
    <xf numFmtId="167" fontId="19" fillId="2" borderId="38" xfId="1" applyNumberFormat="1" applyFont="1" applyFill="1" applyBorder="1" applyAlignment="1" applyProtection="1">
      <alignment horizontal="center" vertical="center"/>
      <protection locked="0"/>
    </xf>
    <xf numFmtId="168" fontId="21" fillId="0" borderId="37" xfId="1" applyNumberFormat="1" applyFont="1" applyFill="1" applyBorder="1" applyAlignment="1" applyProtection="1">
      <alignment horizontal="center" vertical="center"/>
    </xf>
    <xf numFmtId="164" fontId="22" fillId="0" borderId="12" xfId="1" applyFont="1" applyFill="1" applyBorder="1" applyAlignment="1" applyProtection="1">
      <alignment horizontal="center" vertical="center"/>
    </xf>
    <xf numFmtId="167" fontId="19" fillId="0" borderId="38" xfId="1" applyNumberFormat="1" applyFont="1" applyFill="1" applyBorder="1" applyAlignment="1" applyProtection="1">
      <alignment horizontal="center" vertical="center"/>
      <protection locked="0"/>
    </xf>
    <xf numFmtId="167" fontId="19" fillId="0" borderId="12" xfId="1" applyNumberFormat="1" applyFont="1" applyFill="1" applyBorder="1" applyAlignment="1" applyProtection="1">
      <alignment horizontal="center" vertical="center"/>
      <protection locked="0"/>
    </xf>
    <xf numFmtId="164" fontId="9" fillId="0" borderId="39" xfId="1" applyFont="1" applyBorder="1" applyAlignment="1">
      <alignment vertical="center"/>
    </xf>
    <xf numFmtId="164" fontId="9" fillId="0" borderId="40" xfId="1" applyFont="1" applyBorder="1" applyAlignment="1">
      <alignment vertical="center"/>
    </xf>
    <xf numFmtId="0" fontId="9" fillId="0" borderId="0" xfId="2" applyFont="1" applyAlignment="1">
      <alignment vertical="center"/>
    </xf>
    <xf numFmtId="0" fontId="9" fillId="0" borderId="41" xfId="2" applyFont="1" applyBorder="1" applyAlignment="1">
      <alignment vertical="center"/>
    </xf>
    <xf numFmtId="0" fontId="9" fillId="3" borderId="42" xfId="2" applyFont="1" applyFill="1" applyBorder="1" applyAlignment="1" applyProtection="1">
      <alignment vertical="center"/>
      <protection locked="0"/>
    </xf>
    <xf numFmtId="43" fontId="9" fillId="0" borderId="41" xfId="2" applyNumberFormat="1" applyFont="1" applyBorder="1" applyAlignment="1">
      <alignment vertical="center"/>
    </xf>
    <xf numFmtId="43" fontId="9" fillId="0" borderId="0" xfId="2" applyNumberFormat="1" applyFont="1" applyAlignment="1">
      <alignment vertical="center"/>
    </xf>
    <xf numFmtId="164" fontId="9" fillId="0" borderId="12" xfId="1" applyFont="1" applyBorder="1" applyAlignment="1">
      <alignment vertical="center"/>
    </xf>
    <xf numFmtId="164" fontId="9" fillId="0" borderId="41" xfId="1" applyFont="1" applyFill="1" applyBorder="1" applyAlignment="1" applyProtection="1">
      <alignment vertical="center"/>
    </xf>
    <xf numFmtId="0" fontId="12" fillId="0" borderId="43" xfId="2" applyFont="1" applyBorder="1" applyAlignment="1">
      <alignment vertical="center" wrapText="1"/>
    </xf>
    <xf numFmtId="164" fontId="11" fillId="0" borderId="43" xfId="1" applyFont="1" applyFill="1" applyBorder="1" applyAlignment="1" applyProtection="1">
      <alignment vertical="center"/>
    </xf>
    <xf numFmtId="167" fontId="19" fillId="2" borderId="22" xfId="1" applyNumberFormat="1" applyFont="1" applyFill="1" applyBorder="1" applyAlignment="1" applyProtection="1">
      <alignment horizontal="center" vertical="center"/>
      <protection locked="0"/>
    </xf>
    <xf numFmtId="167" fontId="20" fillId="0" borderId="43" xfId="1" applyNumberFormat="1" applyFont="1" applyFill="1" applyBorder="1" applyAlignment="1" applyProtection="1">
      <alignment horizontal="center" vertical="center"/>
    </xf>
    <xf numFmtId="39" fontId="21" fillId="0" borderId="43" xfId="1" applyNumberFormat="1" applyFont="1" applyFill="1" applyBorder="1" applyAlignment="1" applyProtection="1">
      <alignment horizontal="center" vertical="center"/>
    </xf>
    <xf numFmtId="164" fontId="22" fillId="0" borderId="43" xfId="1" applyFont="1" applyFill="1" applyBorder="1" applyAlignment="1" applyProtection="1">
      <alignment horizontal="center" vertical="center"/>
    </xf>
    <xf numFmtId="164" fontId="20" fillId="0" borderId="43" xfId="1" applyFont="1" applyFill="1" applyBorder="1" applyAlignment="1" applyProtection="1">
      <alignment horizontal="center" vertical="center"/>
    </xf>
    <xf numFmtId="167" fontId="19" fillId="2" borderId="44" xfId="1" applyNumberFormat="1" applyFont="1" applyFill="1" applyBorder="1" applyAlignment="1" applyProtection="1">
      <alignment horizontal="center" vertical="center"/>
      <protection locked="0"/>
    </xf>
    <xf numFmtId="168" fontId="21" fillId="0" borderId="43" xfId="1" applyNumberFormat="1" applyFont="1" applyFill="1" applyBorder="1" applyAlignment="1" applyProtection="1">
      <alignment horizontal="center" vertical="center"/>
    </xf>
    <xf numFmtId="164" fontId="22" fillId="0" borderId="24" xfId="1" applyFont="1" applyFill="1" applyBorder="1" applyAlignment="1" applyProtection="1">
      <alignment horizontal="center" vertical="center"/>
    </xf>
    <xf numFmtId="167" fontId="19" fillId="0" borderId="44" xfId="1" applyNumberFormat="1" applyFont="1" applyFill="1" applyBorder="1" applyAlignment="1" applyProtection="1">
      <alignment horizontal="center" vertical="center"/>
      <protection locked="0"/>
    </xf>
    <xf numFmtId="167" fontId="19" fillId="0" borderId="24" xfId="1" applyNumberFormat="1" applyFont="1" applyFill="1" applyBorder="1" applyAlignment="1" applyProtection="1">
      <alignment horizontal="center" vertical="center"/>
      <protection locked="0"/>
    </xf>
    <xf numFmtId="164" fontId="9" fillId="0" borderId="22" xfId="1" applyFont="1" applyBorder="1" applyAlignment="1">
      <alignment vertical="center"/>
    </xf>
    <xf numFmtId="164" fontId="9" fillId="0" borderId="23" xfId="1" applyFont="1" applyBorder="1" applyAlignment="1">
      <alignment vertical="center"/>
    </xf>
    <xf numFmtId="0" fontId="9" fillId="0" borderId="24" xfId="2" applyFont="1" applyBorder="1" applyAlignment="1">
      <alignment vertical="center"/>
    </xf>
    <xf numFmtId="0" fontId="9" fillId="3" borderId="25" xfId="2" applyFont="1" applyFill="1" applyBorder="1" applyAlignment="1" applyProtection="1">
      <alignment vertical="center"/>
      <protection locked="0"/>
    </xf>
    <xf numFmtId="43" fontId="9" fillId="0" borderId="24" xfId="2" applyNumberFormat="1" applyFont="1" applyBorder="1" applyAlignment="1">
      <alignment vertical="center"/>
    </xf>
    <xf numFmtId="166" fontId="9" fillId="0" borderId="0" xfId="1" applyNumberFormat="1" applyFont="1" applyAlignment="1">
      <alignment vertical="center"/>
    </xf>
    <xf numFmtId="164" fontId="9" fillId="0" borderId="24" xfId="1" applyFont="1" applyBorder="1" applyAlignment="1">
      <alignment vertical="center"/>
    </xf>
    <xf numFmtId="164" fontId="9" fillId="0" borderId="24" xfId="1" applyFont="1" applyFill="1" applyBorder="1" applyAlignment="1" applyProtection="1">
      <alignment vertical="center"/>
    </xf>
    <xf numFmtId="164" fontId="21" fillId="0" borderId="43" xfId="1" applyFont="1" applyFill="1" applyBorder="1" applyAlignment="1" applyProtection="1">
      <alignment horizontal="center" vertical="center"/>
    </xf>
    <xf numFmtId="167" fontId="20" fillId="4" borderId="44" xfId="1" applyNumberFormat="1" applyFont="1" applyFill="1" applyBorder="1" applyAlignment="1" applyProtection="1">
      <alignment horizontal="center" vertical="center"/>
    </xf>
    <xf numFmtId="167" fontId="19" fillId="4" borderId="44" xfId="1" applyNumberFormat="1" applyFont="1" applyFill="1" applyBorder="1" applyAlignment="1" applyProtection="1">
      <alignment horizontal="center" vertical="center"/>
    </xf>
    <xf numFmtId="167" fontId="19" fillId="0" borderId="44" xfId="1" applyNumberFormat="1" applyFont="1" applyFill="1" applyBorder="1" applyAlignment="1" applyProtection="1">
      <alignment horizontal="center" vertical="center"/>
    </xf>
    <xf numFmtId="0" fontId="12" fillId="0" borderId="45" xfId="2" applyFont="1" applyBorder="1" applyAlignment="1">
      <alignment vertical="center" wrapText="1"/>
    </xf>
    <xf numFmtId="164" fontId="11" fillId="0" borderId="45" xfId="1" applyFont="1" applyFill="1" applyBorder="1" applyAlignment="1" applyProtection="1">
      <alignment vertical="center"/>
    </xf>
    <xf numFmtId="167" fontId="19" fillId="2" borderId="46" xfId="1" applyNumberFormat="1" applyFont="1" applyFill="1" applyBorder="1" applyAlignment="1" applyProtection="1">
      <alignment horizontal="center" vertical="center"/>
      <protection locked="0"/>
    </xf>
    <xf numFmtId="167" fontId="20" fillId="0" borderId="45" xfId="1" applyNumberFormat="1" applyFont="1" applyFill="1" applyBorder="1" applyAlignment="1" applyProtection="1">
      <alignment horizontal="center" vertical="center"/>
    </xf>
    <xf numFmtId="164" fontId="21" fillId="0" borderId="45" xfId="1" applyFont="1" applyFill="1" applyBorder="1" applyAlignment="1" applyProtection="1">
      <alignment horizontal="center" vertical="center"/>
    </xf>
    <xf numFmtId="164" fontId="22" fillId="0" borderId="45" xfId="1" applyFont="1" applyFill="1" applyBorder="1" applyAlignment="1" applyProtection="1">
      <alignment horizontal="center" vertical="center"/>
    </xf>
    <xf numFmtId="164" fontId="20" fillId="0" borderId="45" xfId="1" applyFont="1" applyFill="1" applyBorder="1" applyAlignment="1" applyProtection="1">
      <alignment horizontal="center" vertical="center"/>
    </xf>
    <xf numFmtId="167" fontId="20" fillId="4" borderId="47" xfId="1" applyNumberFormat="1" applyFont="1" applyFill="1" applyBorder="1" applyAlignment="1" applyProtection="1">
      <alignment horizontal="center" vertical="center"/>
    </xf>
    <xf numFmtId="167" fontId="19" fillId="2" borderId="47" xfId="1" applyNumberFormat="1" applyFont="1" applyFill="1" applyBorder="1" applyAlignment="1" applyProtection="1">
      <alignment horizontal="center" vertical="center"/>
      <protection locked="0"/>
    </xf>
    <xf numFmtId="167" fontId="19" fillId="4" borderId="47" xfId="1" applyNumberFormat="1" applyFont="1" applyFill="1" applyBorder="1" applyAlignment="1" applyProtection="1">
      <alignment horizontal="center" vertical="center"/>
    </xf>
    <xf numFmtId="168" fontId="21" fillId="0" borderId="45" xfId="1" applyNumberFormat="1" applyFont="1" applyFill="1" applyBorder="1" applyAlignment="1" applyProtection="1">
      <alignment horizontal="center" vertical="center"/>
    </xf>
    <xf numFmtId="164" fontId="22" fillId="0" borderId="48" xfId="1" applyFont="1" applyFill="1" applyBorder="1" applyAlignment="1" applyProtection="1">
      <alignment horizontal="center" vertical="center"/>
    </xf>
    <xf numFmtId="167" fontId="19" fillId="0" borderId="47" xfId="1" applyNumberFormat="1" applyFont="1" applyFill="1" applyBorder="1" applyAlignment="1" applyProtection="1">
      <alignment horizontal="center" vertical="center"/>
      <protection locked="0"/>
    </xf>
    <xf numFmtId="167" fontId="19" fillId="0" borderId="47" xfId="1" applyNumberFormat="1" applyFont="1" applyFill="1" applyBorder="1" applyAlignment="1" applyProtection="1">
      <alignment horizontal="center" vertical="center"/>
    </xf>
    <xf numFmtId="167" fontId="19" fillId="0" borderId="48" xfId="1" applyNumberFormat="1" applyFont="1" applyFill="1" applyBorder="1" applyAlignment="1" applyProtection="1">
      <alignment horizontal="center" vertical="center"/>
      <protection locked="0"/>
    </xf>
    <xf numFmtId="164" fontId="9" fillId="0" borderId="48" xfId="1" applyFont="1" applyFill="1" applyBorder="1" applyAlignment="1" applyProtection="1">
      <alignment vertical="center"/>
    </xf>
    <xf numFmtId="164" fontId="20" fillId="4" borderId="43" xfId="1" applyFont="1" applyFill="1" applyBorder="1" applyAlignment="1" applyProtection="1">
      <alignment horizontal="center" vertical="center"/>
    </xf>
    <xf numFmtId="167" fontId="19" fillId="0" borderId="24" xfId="1" applyNumberFormat="1" applyFont="1" applyFill="1" applyBorder="1" applyAlignment="1" applyProtection="1">
      <alignment horizontal="center" vertical="center"/>
    </xf>
    <xf numFmtId="167" fontId="19" fillId="2" borderId="39" xfId="1" applyNumberFormat="1" applyFont="1" applyFill="1" applyBorder="1" applyAlignment="1" applyProtection="1">
      <alignment horizontal="center" vertical="center"/>
      <protection locked="0"/>
    </xf>
    <xf numFmtId="167" fontId="20" fillId="0" borderId="36" xfId="1" applyNumberFormat="1" applyFont="1" applyFill="1" applyBorder="1" applyAlignment="1" applyProtection="1">
      <alignment horizontal="center" vertical="center"/>
    </xf>
    <xf numFmtId="164" fontId="21" fillId="0" borderId="36" xfId="1" applyFont="1" applyFill="1" applyBorder="1" applyAlignment="1" applyProtection="1">
      <alignment horizontal="center" vertical="center"/>
    </xf>
    <xf numFmtId="164" fontId="22" fillId="0" borderId="36" xfId="1" applyFont="1" applyFill="1" applyBorder="1" applyAlignment="1" applyProtection="1">
      <alignment horizontal="center" vertical="center"/>
    </xf>
    <xf numFmtId="164" fontId="20" fillId="0" borderId="36" xfId="1" applyFont="1" applyFill="1" applyBorder="1" applyAlignment="1" applyProtection="1">
      <alignment horizontal="center" vertical="center"/>
    </xf>
    <xf numFmtId="167" fontId="20" fillId="4" borderId="49" xfId="1" applyNumberFormat="1" applyFont="1" applyFill="1" applyBorder="1" applyAlignment="1" applyProtection="1">
      <alignment horizontal="center" vertical="center"/>
    </xf>
    <xf numFmtId="167" fontId="19" fillId="2" borderId="49" xfId="1" applyNumberFormat="1" applyFont="1" applyFill="1" applyBorder="1" applyAlignment="1" applyProtection="1">
      <alignment horizontal="center" vertical="center"/>
      <protection locked="0"/>
    </xf>
    <xf numFmtId="167" fontId="19" fillId="4" borderId="49" xfId="1" applyNumberFormat="1" applyFont="1" applyFill="1" applyBorder="1" applyAlignment="1" applyProtection="1">
      <alignment horizontal="center" vertical="center"/>
    </xf>
    <xf numFmtId="168" fontId="21" fillId="0" borderId="36" xfId="1" applyNumberFormat="1" applyFont="1" applyFill="1" applyBorder="1" applyAlignment="1" applyProtection="1">
      <alignment horizontal="center" vertical="center"/>
    </xf>
    <xf numFmtId="164" fontId="22" fillId="0" borderId="41" xfId="1" applyFont="1" applyFill="1" applyBorder="1" applyAlignment="1" applyProtection="1">
      <alignment horizontal="center" vertical="center"/>
    </xf>
    <xf numFmtId="167" fontId="19" fillId="0" borderId="49" xfId="1" applyNumberFormat="1" applyFont="1" applyFill="1" applyBorder="1" applyAlignment="1" applyProtection="1">
      <alignment horizontal="center" vertical="center"/>
      <protection locked="0"/>
    </xf>
    <xf numFmtId="167" fontId="19" fillId="0" borderId="49" xfId="1" applyNumberFormat="1" applyFont="1" applyFill="1" applyBorder="1" applyAlignment="1" applyProtection="1">
      <alignment horizontal="center" vertical="center"/>
    </xf>
    <xf numFmtId="167" fontId="19" fillId="0" borderId="41" xfId="1" applyNumberFormat="1" applyFont="1" applyFill="1" applyBorder="1" applyAlignment="1" applyProtection="1">
      <alignment horizontal="center" vertical="center"/>
      <protection locked="0"/>
    </xf>
    <xf numFmtId="164" fontId="23" fillId="0" borderId="45" xfId="1" applyFont="1" applyFill="1" applyBorder="1" applyAlignment="1" applyProtection="1">
      <alignment vertical="center"/>
    </xf>
    <xf numFmtId="164" fontId="20" fillId="4" borderId="45" xfId="1" applyFont="1" applyFill="1" applyBorder="1" applyAlignment="1" applyProtection="1">
      <alignment horizontal="center" vertical="center"/>
    </xf>
    <xf numFmtId="167" fontId="19" fillId="0" borderId="48" xfId="1" applyNumberFormat="1" applyFont="1" applyFill="1" applyBorder="1" applyAlignment="1" applyProtection="1">
      <alignment horizontal="center" vertical="center"/>
    </xf>
    <xf numFmtId="164" fontId="20" fillId="4" borderId="36" xfId="1" applyFont="1" applyFill="1" applyBorder="1" applyAlignment="1" applyProtection="1">
      <alignment horizontal="center" vertical="center"/>
    </xf>
    <xf numFmtId="167" fontId="19" fillId="0" borderId="41" xfId="1" applyNumberFormat="1" applyFont="1" applyFill="1" applyBorder="1" applyAlignment="1" applyProtection="1">
      <alignment horizontal="center" vertical="center"/>
    </xf>
    <xf numFmtId="164" fontId="23" fillId="0" borderId="43" xfId="1" applyFont="1" applyFill="1" applyBorder="1" applyAlignment="1" applyProtection="1">
      <alignment vertical="center"/>
    </xf>
    <xf numFmtId="0" fontId="12" fillId="0" borderId="50" xfId="2" applyFont="1" applyBorder="1" applyAlignment="1">
      <alignment vertical="center" wrapText="1"/>
    </xf>
    <xf numFmtId="164" fontId="11" fillId="0" borderId="50" xfId="1" applyFont="1" applyFill="1" applyBorder="1" applyAlignment="1" applyProtection="1">
      <alignment vertical="center"/>
    </xf>
    <xf numFmtId="164" fontId="9" fillId="0" borderId="3" xfId="1" applyFont="1" applyFill="1" applyBorder="1" applyAlignment="1" applyProtection="1">
      <alignment vertical="center"/>
    </xf>
    <xf numFmtId="0" fontId="12" fillId="0" borderId="51" xfId="2" applyFont="1" applyBorder="1" applyAlignment="1">
      <alignment vertical="center" wrapText="1"/>
    </xf>
    <xf numFmtId="164" fontId="11" fillId="0" borderId="51" xfId="1" applyFont="1" applyFill="1" applyBorder="1" applyAlignment="1" applyProtection="1">
      <alignment vertical="center"/>
    </xf>
    <xf numFmtId="164" fontId="9" fillId="0" borderId="35" xfId="1" applyFont="1" applyFill="1" applyBorder="1" applyAlignment="1" applyProtection="1">
      <alignment vertical="center"/>
    </xf>
    <xf numFmtId="164" fontId="23" fillId="0" borderId="51" xfId="1" applyFont="1" applyFill="1" applyBorder="1" applyAlignment="1" applyProtection="1">
      <alignment vertical="center"/>
    </xf>
    <xf numFmtId="0" fontId="12" fillId="0" borderId="52" xfId="2" applyFont="1" applyBorder="1" applyAlignment="1">
      <alignment vertical="center" wrapText="1"/>
    </xf>
    <xf numFmtId="164" fontId="11" fillId="0" borderId="52" xfId="1" applyFont="1" applyFill="1" applyBorder="1" applyAlignment="1" applyProtection="1">
      <alignment vertical="center"/>
    </xf>
    <xf numFmtId="167" fontId="19" fillId="2" borderId="30" xfId="1" applyNumberFormat="1" applyFont="1" applyFill="1" applyBorder="1" applyAlignment="1" applyProtection="1">
      <alignment horizontal="center" vertical="center"/>
      <protection locked="0"/>
    </xf>
    <xf numFmtId="167" fontId="20" fillId="0" borderId="52" xfId="1" applyNumberFormat="1" applyFont="1" applyFill="1" applyBorder="1" applyAlignment="1" applyProtection="1">
      <alignment horizontal="center" vertical="center"/>
    </xf>
    <xf numFmtId="164" fontId="21" fillId="0" borderId="52" xfId="1" applyFont="1" applyFill="1" applyBorder="1" applyAlignment="1" applyProtection="1">
      <alignment horizontal="center" vertical="center"/>
    </xf>
    <xf numFmtId="164" fontId="22" fillId="0" borderId="52" xfId="1" applyFont="1" applyFill="1" applyBorder="1" applyAlignment="1" applyProtection="1">
      <alignment horizontal="center" vertical="center"/>
    </xf>
    <xf numFmtId="164" fontId="20" fillId="4" borderId="52" xfId="1" applyFont="1" applyFill="1" applyBorder="1" applyAlignment="1" applyProtection="1">
      <alignment horizontal="center" vertical="center"/>
    </xf>
    <xf numFmtId="167" fontId="20" fillId="4" borderId="53" xfId="1" applyNumberFormat="1" applyFont="1" applyFill="1" applyBorder="1" applyAlignment="1" applyProtection="1">
      <alignment horizontal="center" vertical="center"/>
    </xf>
    <xf numFmtId="167" fontId="19" fillId="4" borderId="53" xfId="1" applyNumberFormat="1" applyFont="1" applyFill="1" applyBorder="1" applyAlignment="1" applyProtection="1">
      <alignment horizontal="center" vertical="center"/>
    </xf>
    <xf numFmtId="168" fontId="21" fillId="0" borderId="52" xfId="1" applyNumberFormat="1" applyFont="1" applyFill="1" applyBorder="1" applyAlignment="1" applyProtection="1">
      <alignment horizontal="center" vertical="center"/>
    </xf>
    <xf numFmtId="164" fontId="22" fillId="0" borderId="32" xfId="1" applyFont="1" applyFill="1" applyBorder="1" applyAlignment="1" applyProtection="1">
      <alignment horizontal="center" vertical="center"/>
    </xf>
    <xf numFmtId="167" fontId="19" fillId="0" borderId="53" xfId="1" applyNumberFormat="1" applyFont="1" applyFill="1" applyBorder="1" applyAlignment="1" applyProtection="1">
      <alignment horizontal="center" vertical="center"/>
    </xf>
    <xf numFmtId="167" fontId="19" fillId="0" borderId="32" xfId="1" applyNumberFormat="1" applyFont="1" applyFill="1" applyBorder="1" applyAlignment="1" applyProtection="1">
      <alignment horizontal="center" vertical="center"/>
    </xf>
    <xf numFmtId="164" fontId="9" fillId="0" borderId="32" xfId="1" applyFont="1" applyFill="1" applyBorder="1" applyAlignment="1" applyProtection="1">
      <alignment vertical="center"/>
    </xf>
    <xf numFmtId="167" fontId="20" fillId="0" borderId="44" xfId="1" applyNumberFormat="1" applyFont="1" applyFill="1" applyBorder="1" applyAlignment="1" applyProtection="1">
      <alignment horizontal="center" vertical="center"/>
    </xf>
    <xf numFmtId="167" fontId="19" fillId="4" borderId="54" xfId="1" applyNumberFormat="1" applyFont="1" applyFill="1" applyBorder="1" applyAlignment="1" applyProtection="1">
      <alignment horizontal="center" vertical="center"/>
    </xf>
    <xf numFmtId="167" fontId="19" fillId="0" borderId="5" xfId="1" applyNumberFormat="1" applyFont="1" applyFill="1" applyBorder="1" applyAlignment="1" applyProtection="1">
      <alignment horizontal="center" vertical="center"/>
    </xf>
    <xf numFmtId="164" fontId="9" fillId="0" borderId="30" xfId="1" applyFont="1" applyBorder="1" applyAlignment="1">
      <alignment vertical="center"/>
    </xf>
    <xf numFmtId="164" fontId="9" fillId="0" borderId="31" xfId="1" applyFont="1" applyBorder="1" applyAlignment="1">
      <alignment vertical="center"/>
    </xf>
    <xf numFmtId="0" fontId="9" fillId="0" borderId="32" xfId="2" applyFont="1" applyBorder="1" applyAlignment="1">
      <alignment vertical="center"/>
    </xf>
    <xf numFmtId="0" fontId="9" fillId="3" borderId="33" xfId="2" applyFont="1" applyFill="1" applyBorder="1" applyAlignment="1" applyProtection="1">
      <alignment vertical="center"/>
      <protection locked="0"/>
    </xf>
    <xf numFmtId="43" fontId="9" fillId="0" borderId="32" xfId="2" applyNumberFormat="1" applyFont="1" applyBorder="1" applyAlignment="1">
      <alignment vertical="center"/>
    </xf>
    <xf numFmtId="164" fontId="9" fillId="0" borderId="32" xfId="1" applyFont="1" applyBorder="1" applyAlignment="1">
      <alignment vertical="center"/>
    </xf>
    <xf numFmtId="0" fontId="11" fillId="0" borderId="36" xfId="2" applyFont="1" applyBorder="1" applyAlignment="1">
      <alignment vertical="center"/>
    </xf>
    <xf numFmtId="167" fontId="20" fillId="0" borderId="39" xfId="1" applyNumberFormat="1" applyFont="1" applyFill="1" applyBorder="1" applyAlignment="1" applyProtection="1">
      <alignment horizontal="center" vertical="center"/>
    </xf>
    <xf numFmtId="168" fontId="20" fillId="0" borderId="36" xfId="1" applyNumberFormat="1" applyFont="1" applyFill="1" applyBorder="1" applyAlignment="1" applyProtection="1">
      <alignment horizontal="center" vertical="center"/>
    </xf>
    <xf numFmtId="167" fontId="20" fillId="0" borderId="49" xfId="1" applyNumberFormat="1" applyFont="1" applyFill="1" applyBorder="1" applyAlignment="1" applyProtection="1">
      <alignment horizontal="center" vertical="center"/>
    </xf>
    <xf numFmtId="164" fontId="20" fillId="0" borderId="41" xfId="1" applyFont="1" applyFill="1" applyBorder="1" applyAlignment="1" applyProtection="1">
      <alignment horizontal="center" vertical="center"/>
    </xf>
    <xf numFmtId="0" fontId="24" fillId="0" borderId="52" xfId="2" applyFont="1" applyBorder="1" applyAlignment="1">
      <alignment vertical="center"/>
    </xf>
    <xf numFmtId="164" fontId="24" fillId="0" borderId="52" xfId="1" applyFont="1" applyFill="1" applyBorder="1" applyAlignment="1" applyProtection="1">
      <alignment vertical="center"/>
    </xf>
    <xf numFmtId="167" fontId="20" fillId="0" borderId="30" xfId="1" applyNumberFormat="1" applyFont="1" applyFill="1" applyBorder="1" applyAlignment="1" applyProtection="1">
      <alignment horizontal="center" vertical="center"/>
    </xf>
    <xf numFmtId="168" fontId="20" fillId="0" borderId="52" xfId="1" applyNumberFormat="1" applyFont="1" applyFill="1" applyBorder="1" applyAlignment="1" applyProtection="1">
      <alignment horizontal="center" vertical="center"/>
    </xf>
    <xf numFmtId="164" fontId="20" fillId="0" borderId="52" xfId="1" applyFont="1" applyFill="1" applyBorder="1" applyAlignment="1" applyProtection="1">
      <alignment horizontal="center" vertical="center"/>
    </xf>
    <xf numFmtId="167" fontId="20" fillId="0" borderId="53" xfId="1" applyNumberFormat="1" applyFont="1" applyFill="1" applyBorder="1" applyAlignment="1" applyProtection="1">
      <alignment horizontal="center" vertical="center"/>
    </xf>
    <xf numFmtId="164" fontId="20" fillId="0" borderId="32" xfId="1" applyFont="1" applyFill="1" applyBorder="1" applyAlignment="1" applyProtection="1">
      <alignment horizontal="center" vertical="center"/>
    </xf>
    <xf numFmtId="164" fontId="22" fillId="0" borderId="0" xfId="1" applyFont="1" applyFill="1" applyBorder="1" applyAlignment="1" applyProtection="1">
      <alignment horizontal="center" vertical="center"/>
    </xf>
    <xf numFmtId="164" fontId="20" fillId="0" borderId="0" xfId="1" applyFont="1" applyFill="1" applyBorder="1" applyAlignment="1" applyProtection="1">
      <alignment horizontal="center" vertical="center"/>
    </xf>
    <xf numFmtId="164" fontId="20" fillId="4" borderId="0" xfId="1" applyFont="1" applyFill="1" applyBorder="1" applyAlignment="1" applyProtection="1">
      <alignment horizontal="center" vertical="center"/>
    </xf>
    <xf numFmtId="167" fontId="20" fillId="4" borderId="0" xfId="1" applyNumberFormat="1" applyFont="1" applyFill="1" applyBorder="1" applyAlignment="1" applyProtection="1">
      <alignment horizontal="center" vertical="center"/>
    </xf>
    <xf numFmtId="167" fontId="20" fillId="0" borderId="0" xfId="1" applyNumberFormat="1" applyFont="1" applyFill="1" applyBorder="1" applyAlignment="1" applyProtection="1">
      <alignment horizontal="center" vertical="center"/>
    </xf>
    <xf numFmtId="0" fontId="10" fillId="0" borderId="0" xfId="2" applyFont="1" applyAlignment="1">
      <alignment vertical="center"/>
    </xf>
    <xf numFmtId="164" fontId="10" fillId="0" borderId="0" xfId="1" applyFont="1" applyFill="1" applyAlignment="1" applyProtection="1">
      <alignment vertical="center"/>
    </xf>
    <xf numFmtId="0" fontId="24" fillId="0" borderId="0" xfId="2" applyFont="1" applyAlignment="1">
      <alignment vertical="center"/>
    </xf>
    <xf numFmtId="164" fontId="24" fillId="0" borderId="0" xfId="1" applyFont="1" applyFill="1" applyBorder="1" applyAlignment="1" applyProtection="1">
      <alignment vertical="center"/>
    </xf>
    <xf numFmtId="0" fontId="8" fillId="0" borderId="56" xfId="2" applyFont="1" applyBorder="1" applyAlignment="1">
      <alignment vertical="center"/>
    </xf>
    <xf numFmtId="0" fontId="25" fillId="0" borderId="57" xfId="2" applyFont="1" applyBorder="1" applyAlignment="1">
      <alignment vertical="center"/>
    </xf>
    <xf numFmtId="164" fontId="25" fillId="0" borderId="57" xfId="1" applyFont="1" applyFill="1" applyBorder="1" applyAlignment="1" applyProtection="1">
      <alignment vertical="center"/>
    </xf>
    <xf numFmtId="0" fontId="10" fillId="0" borderId="56" xfId="2" applyFont="1" applyBorder="1" applyAlignment="1">
      <alignment vertical="center"/>
    </xf>
    <xf numFmtId="169" fontId="25" fillId="0" borderId="0" xfId="1" applyNumberFormat="1" applyFont="1" applyFill="1" applyAlignment="1" applyProtection="1">
      <alignment vertical="center"/>
    </xf>
    <xf numFmtId="0" fontId="25" fillId="0" borderId="0" xfId="2" applyFont="1" applyAlignment="1">
      <alignment vertical="center"/>
    </xf>
    <xf numFmtId="0" fontId="8" fillId="0" borderId="0" xfId="2" applyFont="1" applyAlignment="1">
      <alignment vertical="center"/>
    </xf>
    <xf numFmtId="169" fontId="25" fillId="0" borderId="0" xfId="1" applyNumberFormat="1" applyFont="1" applyFill="1" applyBorder="1" applyAlignment="1" applyProtection="1">
      <alignment horizontal="center" vertical="center"/>
    </xf>
    <xf numFmtId="164" fontId="25" fillId="0" borderId="0" xfId="1" applyFont="1" applyFill="1" applyBorder="1" applyAlignment="1" applyProtection="1">
      <alignment vertical="center"/>
    </xf>
    <xf numFmtId="0" fontId="13" fillId="0" borderId="0" xfId="2" applyFont="1" applyAlignment="1">
      <alignment horizontal="center" vertical="center"/>
    </xf>
    <xf numFmtId="170" fontId="25" fillId="0" borderId="0" xfId="1" applyNumberFormat="1" applyFont="1" applyFill="1" applyBorder="1" applyAlignment="1" applyProtection="1">
      <alignment horizontal="center" vertical="center"/>
    </xf>
    <xf numFmtId="0" fontId="26" fillId="0" borderId="56" xfId="2" applyFont="1" applyBorder="1" applyAlignment="1">
      <alignment vertical="center" wrapText="1"/>
    </xf>
    <xf numFmtId="169" fontId="12" fillId="0" borderId="0" xfId="1" applyNumberFormat="1" applyFont="1" applyFill="1" applyBorder="1" applyAlignment="1" applyProtection="1">
      <alignment horizontal="right" vertical="center"/>
    </xf>
    <xf numFmtId="169" fontId="25" fillId="0" borderId="0" xfId="1" applyNumberFormat="1" applyFont="1" applyFill="1" applyBorder="1" applyAlignment="1" applyProtection="1">
      <alignment vertical="center"/>
    </xf>
    <xf numFmtId="0" fontId="9" fillId="0" borderId="0" xfId="2" applyFont="1" applyAlignment="1">
      <alignment horizontal="center" vertical="center" wrapText="1"/>
    </xf>
    <xf numFmtId="0" fontId="4" fillId="0" borderId="55" xfId="2" applyFont="1" applyBorder="1" applyAlignment="1">
      <alignment vertical="center"/>
    </xf>
    <xf numFmtId="0" fontId="4" fillId="0" borderId="61" xfId="2" applyFont="1" applyBorder="1" applyAlignment="1">
      <alignment vertical="center"/>
    </xf>
    <xf numFmtId="0" fontId="26" fillId="0" borderId="59" xfId="2" applyFont="1" applyBorder="1" applyAlignment="1">
      <alignment vertical="center"/>
    </xf>
    <xf numFmtId="0" fontId="26" fillId="0" borderId="55" xfId="2" applyFont="1" applyBorder="1" applyAlignment="1">
      <alignment vertical="center"/>
    </xf>
    <xf numFmtId="164" fontId="26" fillId="0" borderId="14" xfId="1" applyFont="1" applyFill="1" applyBorder="1" applyAlignment="1" applyProtection="1">
      <alignment vertical="center"/>
    </xf>
    <xf numFmtId="164" fontId="26" fillId="0" borderId="0" xfId="1" applyFont="1" applyFill="1" applyAlignment="1" applyProtection="1">
      <alignment vertical="center"/>
    </xf>
    <xf numFmtId="0" fontId="26" fillId="0" borderId="14" xfId="2" applyFont="1" applyBorder="1" applyAlignment="1">
      <alignment vertical="center"/>
    </xf>
    <xf numFmtId="0" fontId="26" fillId="0" borderId="0" xfId="2" applyFont="1" applyAlignment="1">
      <alignment vertical="center"/>
    </xf>
    <xf numFmtId="0" fontId="4" fillId="0" borderId="50" xfId="2" applyFont="1" applyBorder="1" applyAlignment="1">
      <alignment vertical="center"/>
    </xf>
    <xf numFmtId="164" fontId="4" fillId="0" borderId="26" xfId="1" applyFont="1" applyFill="1" applyBorder="1" applyAlignment="1" applyProtection="1">
      <alignment vertical="center"/>
    </xf>
    <xf numFmtId="0" fontId="4" fillId="0" borderId="26" xfId="2" applyFont="1" applyBorder="1" applyAlignment="1">
      <alignment vertical="center"/>
    </xf>
    <xf numFmtId="0" fontId="13" fillId="0" borderId="50" xfId="2" applyFont="1" applyBorder="1" applyAlignment="1">
      <alignment vertical="center"/>
    </xf>
    <xf numFmtId="0" fontId="13" fillId="0" borderId="0" xfId="2" applyFont="1" applyAlignment="1">
      <alignment vertical="center"/>
    </xf>
    <xf numFmtId="164" fontId="13" fillId="0" borderId="26" xfId="1" applyFont="1" applyFill="1" applyBorder="1" applyAlignment="1" applyProtection="1">
      <alignment vertical="center"/>
    </xf>
    <xf numFmtId="164" fontId="13" fillId="0" borderId="0" xfId="1" applyFont="1" applyFill="1" applyAlignment="1" applyProtection="1">
      <alignment vertical="center"/>
    </xf>
    <xf numFmtId="0" fontId="13" fillId="0" borderId="26" xfId="2" applyFont="1" applyBorder="1" applyAlignment="1">
      <alignment vertical="center"/>
    </xf>
    <xf numFmtId="0" fontId="13" fillId="0" borderId="62" xfId="2" applyFont="1" applyBorder="1" applyAlignment="1">
      <alignment vertical="center"/>
    </xf>
    <xf numFmtId="0" fontId="13" fillId="0" borderId="4" xfId="2" applyFont="1" applyBorder="1" applyAlignment="1">
      <alignment vertical="center"/>
    </xf>
    <xf numFmtId="0" fontId="13" fillId="0" borderId="63" xfId="2" applyFont="1" applyBorder="1" applyAlignment="1">
      <alignment vertical="center"/>
    </xf>
    <xf numFmtId="0" fontId="4" fillId="0" borderId="60" xfId="2" applyFont="1" applyBorder="1" applyAlignment="1">
      <alignment vertical="center"/>
    </xf>
    <xf numFmtId="164" fontId="4" fillId="0" borderId="34" xfId="1" applyFont="1" applyFill="1" applyBorder="1" applyAlignment="1" applyProtection="1">
      <alignment vertical="center"/>
    </xf>
    <xf numFmtId="0" fontId="4" fillId="0" borderId="34" xfId="2" applyFont="1" applyBorder="1" applyAlignment="1">
      <alignment vertical="center"/>
    </xf>
    <xf numFmtId="167" fontId="19" fillId="2" borderId="44" xfId="1" applyNumberFormat="1" applyFont="1" applyFill="1" applyBorder="1" applyAlignment="1" applyProtection="1">
      <alignment horizontal="center" vertical="center"/>
    </xf>
    <xf numFmtId="167" fontId="19" fillId="2" borderId="47" xfId="1" applyNumberFormat="1" applyFont="1" applyFill="1" applyBorder="1" applyAlignment="1" applyProtection="1">
      <alignment horizontal="center" vertical="center"/>
    </xf>
    <xf numFmtId="0" fontId="12" fillId="0" borderId="0" xfId="2" applyFont="1" applyAlignment="1">
      <alignment horizontal="center" vertical="center"/>
    </xf>
    <xf numFmtId="0" fontId="13" fillId="2" borderId="62" xfId="2" applyFont="1" applyFill="1" applyBorder="1" applyAlignment="1" applyProtection="1">
      <alignment horizontal="center" vertical="center"/>
      <protection locked="0"/>
    </xf>
    <xf numFmtId="0" fontId="13" fillId="2" borderId="4" xfId="2" applyFont="1" applyFill="1" applyBorder="1" applyAlignment="1" applyProtection="1">
      <alignment horizontal="center" vertical="center"/>
      <protection locked="0"/>
    </xf>
    <xf numFmtId="0" fontId="13" fillId="2" borderId="63" xfId="2" applyFont="1" applyFill="1" applyBorder="1" applyAlignment="1" applyProtection="1">
      <alignment horizontal="center" vertical="center"/>
      <protection locked="0"/>
    </xf>
    <xf numFmtId="0" fontId="26" fillId="0" borderId="50" xfId="2" applyFont="1" applyBorder="1" applyAlignment="1">
      <alignment horizontal="center" vertical="center"/>
    </xf>
    <xf numFmtId="0" fontId="26" fillId="0" borderId="0" xfId="2" applyFont="1" applyAlignment="1">
      <alignment horizontal="center" vertical="center"/>
    </xf>
    <xf numFmtId="0" fontId="26" fillId="0" borderId="26" xfId="2" applyFont="1" applyBorder="1" applyAlignment="1">
      <alignment horizontal="center" vertical="center"/>
    </xf>
    <xf numFmtId="0" fontId="12" fillId="0" borderId="50" xfId="2" applyFont="1" applyBorder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26" xfId="2" applyFont="1" applyBorder="1" applyAlignment="1">
      <alignment horizontal="center" vertical="center"/>
    </xf>
    <xf numFmtId="0" fontId="13" fillId="2" borderId="2" xfId="2" applyFont="1" applyFill="1" applyBorder="1" applyAlignment="1" applyProtection="1">
      <alignment horizontal="center" vertical="center"/>
      <protection locked="0"/>
    </xf>
    <xf numFmtId="0" fontId="13" fillId="2" borderId="3" xfId="2" applyFont="1" applyFill="1" applyBorder="1" applyAlignment="1" applyProtection="1">
      <alignment horizontal="center" vertical="center"/>
      <protection locked="0"/>
    </xf>
    <xf numFmtId="0" fontId="13" fillId="2" borderId="5" xfId="2" applyFont="1" applyFill="1" applyBorder="1" applyAlignment="1" applyProtection="1">
      <alignment horizontal="center" vertical="center"/>
      <protection locked="0"/>
    </xf>
    <xf numFmtId="0" fontId="12" fillId="0" borderId="59" xfId="2" applyFont="1" applyBorder="1" applyAlignment="1">
      <alignment horizontal="center" vertical="center" wrapText="1"/>
    </xf>
    <xf numFmtId="0" fontId="12" fillId="0" borderId="50" xfId="2" applyFont="1" applyBorder="1" applyAlignment="1">
      <alignment horizontal="center" vertical="center" wrapText="1"/>
    </xf>
    <xf numFmtId="0" fontId="12" fillId="0" borderId="60" xfId="2" applyFont="1" applyBorder="1" applyAlignment="1">
      <alignment horizontal="center" vertical="center" wrapText="1"/>
    </xf>
    <xf numFmtId="0" fontId="8" fillId="2" borderId="2" xfId="2" applyFont="1" applyFill="1" applyBorder="1" applyAlignment="1" applyProtection="1">
      <alignment horizontal="center" vertical="center"/>
      <protection locked="0"/>
    </xf>
    <xf numFmtId="0" fontId="8" fillId="2" borderId="3" xfId="2" applyFont="1" applyFill="1" applyBorder="1" applyAlignment="1" applyProtection="1">
      <alignment horizontal="center" vertical="center"/>
      <protection locked="0"/>
    </xf>
    <xf numFmtId="0" fontId="8" fillId="2" borderId="5" xfId="2" applyFont="1" applyFill="1" applyBorder="1" applyAlignment="1" applyProtection="1">
      <alignment horizontal="center" vertical="center"/>
      <protection locked="0"/>
    </xf>
    <xf numFmtId="0" fontId="8" fillId="0" borderId="59" xfId="2" applyFont="1" applyBorder="1" applyAlignment="1">
      <alignment horizontal="center" vertical="center"/>
    </xf>
    <xf numFmtId="0" fontId="8" fillId="0" borderId="55" xfId="2" applyFont="1" applyBorder="1" applyAlignment="1">
      <alignment horizontal="center" vertical="center"/>
    </xf>
    <xf numFmtId="0" fontId="8" fillId="0" borderId="14" xfId="2" applyFont="1" applyBorder="1" applyAlignment="1">
      <alignment horizontal="center" vertical="center"/>
    </xf>
    <xf numFmtId="0" fontId="8" fillId="0" borderId="50" xfId="2" applyFont="1" applyBorder="1" applyAlignment="1">
      <alignment horizontal="center" vertical="center"/>
    </xf>
    <xf numFmtId="0" fontId="8" fillId="0" borderId="0" xfId="2" applyFont="1" applyAlignment="1">
      <alignment horizontal="center" vertical="center"/>
    </xf>
    <xf numFmtId="0" fontId="8" fillId="0" borderId="26" xfId="2" applyFont="1" applyBorder="1" applyAlignment="1">
      <alignment horizontal="center" vertical="center"/>
    </xf>
    <xf numFmtId="0" fontId="8" fillId="0" borderId="60" xfId="2" applyFont="1" applyBorder="1" applyAlignment="1">
      <alignment horizontal="center" vertical="center"/>
    </xf>
    <xf numFmtId="0" fontId="8" fillId="0" borderId="61" xfId="2" applyFont="1" applyBorder="1" applyAlignment="1">
      <alignment horizontal="center" vertical="center"/>
    </xf>
    <xf numFmtId="0" fontId="8" fillId="0" borderId="34" xfId="2" applyFont="1" applyBorder="1" applyAlignment="1">
      <alignment horizontal="center" vertical="center"/>
    </xf>
    <xf numFmtId="0" fontId="12" fillId="0" borderId="59" xfId="2" applyFont="1" applyBorder="1" applyAlignment="1">
      <alignment horizontal="center" vertical="center"/>
    </xf>
    <xf numFmtId="0" fontId="12" fillId="0" borderId="60" xfId="2" applyFont="1" applyBorder="1" applyAlignment="1">
      <alignment horizontal="center" vertical="center"/>
    </xf>
    <xf numFmtId="0" fontId="8" fillId="2" borderId="14" xfId="2" applyFont="1" applyFill="1" applyBorder="1" applyAlignment="1" applyProtection="1">
      <alignment horizontal="center" vertical="center"/>
      <protection locked="0"/>
    </xf>
    <xf numFmtId="0" fontId="8" fillId="2" borderId="26" xfId="2" applyFont="1" applyFill="1" applyBorder="1" applyAlignment="1" applyProtection="1">
      <alignment horizontal="center" vertical="center"/>
      <protection locked="0"/>
    </xf>
    <xf numFmtId="0" fontId="8" fillId="2" borderId="34" xfId="2" applyFont="1" applyFill="1" applyBorder="1" applyAlignment="1" applyProtection="1">
      <alignment horizontal="center" vertical="center"/>
      <protection locked="0"/>
    </xf>
    <xf numFmtId="0" fontId="8" fillId="0" borderId="59" xfId="2" applyFont="1" applyBorder="1" applyAlignment="1">
      <alignment horizontal="center" vertical="center" wrapText="1"/>
    </xf>
    <xf numFmtId="0" fontId="8" fillId="0" borderId="50" xfId="2" applyFont="1" applyBorder="1" applyAlignment="1">
      <alignment horizontal="center" vertical="center" wrapText="1"/>
    </xf>
    <xf numFmtId="0" fontId="8" fillId="0" borderId="60" xfId="2" applyFont="1" applyBorder="1" applyAlignment="1">
      <alignment horizontal="center" vertical="center" wrapText="1"/>
    </xf>
    <xf numFmtId="0" fontId="8" fillId="2" borderId="59" xfId="2" applyFont="1" applyFill="1" applyBorder="1" applyAlignment="1" applyProtection="1">
      <alignment horizontal="center" vertical="center"/>
      <protection locked="0"/>
    </xf>
    <xf numFmtId="0" fontId="8" fillId="2" borderId="50" xfId="2" applyFont="1" applyFill="1" applyBorder="1" applyAlignment="1" applyProtection="1">
      <alignment horizontal="center" vertical="center"/>
      <protection locked="0"/>
    </xf>
    <xf numFmtId="0" fontId="8" fillId="2" borderId="60" xfId="2" applyFont="1" applyFill="1" applyBorder="1" applyAlignment="1" applyProtection="1">
      <alignment horizontal="center" vertical="center"/>
      <protection locked="0"/>
    </xf>
    <xf numFmtId="0" fontId="12" fillId="0" borderId="14" xfId="2" applyFont="1" applyBorder="1" applyAlignment="1">
      <alignment horizontal="center" vertical="center" wrapText="1"/>
    </xf>
    <xf numFmtId="0" fontId="12" fillId="0" borderId="26" xfId="2" applyFont="1" applyBorder="1" applyAlignment="1">
      <alignment horizontal="center" vertical="center" wrapText="1"/>
    </xf>
    <xf numFmtId="0" fontId="12" fillId="0" borderId="34" xfId="2" applyFont="1" applyBorder="1" applyAlignment="1">
      <alignment horizontal="center" vertical="center" wrapText="1"/>
    </xf>
    <xf numFmtId="169" fontId="25" fillId="0" borderId="57" xfId="1" applyNumberFormat="1" applyFont="1" applyFill="1" applyBorder="1" applyAlignment="1" applyProtection="1">
      <alignment horizontal="center" vertical="center"/>
    </xf>
    <xf numFmtId="169" fontId="25" fillId="0" borderId="58" xfId="1" applyNumberFormat="1" applyFont="1" applyFill="1" applyBorder="1" applyAlignment="1" applyProtection="1">
      <alignment horizontal="center" vertical="center"/>
    </xf>
    <xf numFmtId="0" fontId="27" fillId="0" borderId="0" xfId="2" applyFont="1" applyAlignment="1">
      <alignment horizontal="center" vertical="center"/>
    </xf>
    <xf numFmtId="169" fontId="25" fillId="3" borderId="56" xfId="1" applyNumberFormat="1" applyFont="1" applyFill="1" applyBorder="1" applyAlignment="1" applyProtection="1">
      <alignment horizontal="center" vertical="center"/>
    </xf>
    <xf numFmtId="169" fontId="25" fillId="3" borderId="58" xfId="1" applyNumberFormat="1" applyFont="1" applyFill="1" applyBorder="1" applyAlignment="1" applyProtection="1">
      <alignment horizontal="center" vertical="center"/>
    </xf>
    <xf numFmtId="170" fontId="25" fillId="0" borderId="57" xfId="1" applyNumberFormat="1" applyFont="1" applyBorder="1" applyAlignment="1">
      <alignment horizontal="center" vertical="center"/>
    </xf>
    <xf numFmtId="170" fontId="25" fillId="0" borderId="58" xfId="1" applyNumberFormat="1" applyFont="1" applyBorder="1" applyAlignment="1">
      <alignment horizontal="center" vertical="center"/>
    </xf>
    <xf numFmtId="0" fontId="9" fillId="0" borderId="2" xfId="2" applyFont="1" applyBorder="1" applyAlignment="1">
      <alignment horizontal="center" vertical="center" wrapText="1"/>
    </xf>
    <xf numFmtId="0" fontId="9" fillId="0" borderId="3" xfId="2" applyFont="1" applyBorder="1" applyAlignment="1">
      <alignment horizontal="center" vertical="center" wrapText="1"/>
    </xf>
    <xf numFmtId="0" fontId="9" fillId="0" borderId="5" xfId="2" applyFont="1" applyBorder="1" applyAlignment="1">
      <alignment horizontal="center" vertical="center" wrapText="1"/>
    </xf>
    <xf numFmtId="165" fontId="26" fillId="0" borderId="56" xfId="2" applyNumberFormat="1" applyFont="1" applyBorder="1" applyAlignment="1">
      <alignment horizontal="center" vertical="center"/>
    </xf>
    <xf numFmtId="0" fontId="26" fillId="0" borderId="58" xfId="2" applyFont="1" applyBorder="1" applyAlignment="1">
      <alignment horizontal="center" vertical="center"/>
    </xf>
    <xf numFmtId="0" fontId="13" fillId="0" borderId="56" xfId="2" applyFont="1" applyBorder="1" applyAlignment="1">
      <alignment horizontal="center" vertical="center"/>
    </xf>
    <xf numFmtId="0" fontId="13" fillId="0" borderId="57" xfId="2" applyFont="1" applyBorder="1" applyAlignment="1">
      <alignment horizontal="center" vertical="center"/>
    </xf>
    <xf numFmtId="0" fontId="8" fillId="0" borderId="12" xfId="2" applyFont="1" applyBorder="1" applyAlignment="1">
      <alignment horizontal="center" vertical="center" wrapText="1"/>
    </xf>
    <xf numFmtId="0" fontId="8" fillId="0" borderId="24" xfId="2" applyFont="1" applyBorder="1" applyAlignment="1">
      <alignment horizontal="center" vertical="center" wrapText="1"/>
    </xf>
    <xf numFmtId="0" fontId="8" fillId="0" borderId="32" xfId="2" applyFont="1" applyBorder="1" applyAlignment="1">
      <alignment horizontal="center" vertical="center" wrapText="1"/>
    </xf>
    <xf numFmtId="0" fontId="12" fillId="0" borderId="19" xfId="2" applyFont="1" applyBorder="1" applyAlignment="1">
      <alignment horizontal="center" vertical="center" wrapText="1"/>
    </xf>
    <xf numFmtId="0" fontId="12" fillId="0" borderId="20" xfId="2" applyFont="1" applyBorder="1" applyAlignment="1">
      <alignment horizontal="center" vertical="center" wrapText="1"/>
    </xf>
    <xf numFmtId="0" fontId="12" fillId="0" borderId="21" xfId="2" applyFont="1" applyBorder="1" applyAlignment="1">
      <alignment horizontal="center" vertical="center" wrapText="1"/>
    </xf>
    <xf numFmtId="0" fontId="12" fillId="5" borderId="55" xfId="2" applyFont="1" applyFill="1" applyBorder="1" applyAlignment="1">
      <alignment horizontal="center" vertical="center"/>
    </xf>
    <xf numFmtId="0" fontId="12" fillId="0" borderId="2" xfId="2" applyFont="1" applyBorder="1" applyAlignment="1">
      <alignment horizontal="center" vertical="center"/>
    </xf>
    <xf numFmtId="0" fontId="12" fillId="0" borderId="3" xfId="2" applyFont="1" applyBorder="1" applyAlignment="1">
      <alignment horizontal="center" vertical="center"/>
    </xf>
    <xf numFmtId="0" fontId="12" fillId="0" borderId="5" xfId="2" applyFont="1" applyBorder="1" applyAlignment="1">
      <alignment horizontal="center" vertical="center"/>
    </xf>
    <xf numFmtId="0" fontId="12" fillId="0" borderId="2" xfId="2" applyFont="1" applyBorder="1" applyAlignment="1">
      <alignment horizontal="center" vertical="center" wrapText="1"/>
    </xf>
    <xf numFmtId="0" fontId="12" fillId="0" borderId="3" xfId="2" applyFont="1" applyBorder="1" applyAlignment="1">
      <alignment horizontal="center" vertical="center" wrapText="1"/>
    </xf>
    <xf numFmtId="0" fontId="12" fillId="0" borderId="5" xfId="2" applyFont="1" applyBorder="1" applyAlignment="1">
      <alignment horizontal="center" vertical="center" wrapText="1"/>
    </xf>
    <xf numFmtId="0" fontId="12" fillId="0" borderId="7" xfId="2" applyFont="1" applyBorder="1" applyAlignment="1">
      <alignment horizontal="center" vertical="center" wrapText="1"/>
    </xf>
    <xf numFmtId="0" fontId="12" fillId="0" borderId="8" xfId="2" applyFont="1" applyBorder="1" applyAlignment="1">
      <alignment horizontal="center" vertical="center" wrapText="1"/>
    </xf>
    <xf numFmtId="0" fontId="12" fillId="0" borderId="9" xfId="2" applyFont="1" applyBorder="1" applyAlignment="1">
      <alignment horizontal="center" vertical="center" wrapText="1"/>
    </xf>
    <xf numFmtId="0" fontId="8" fillId="0" borderId="35" xfId="2" applyFont="1" applyBorder="1" applyAlignment="1">
      <alignment horizontal="center" vertical="center" wrapText="1"/>
    </xf>
    <xf numFmtId="0" fontId="12" fillId="0" borderId="15" xfId="2" applyFont="1" applyBorder="1" applyAlignment="1">
      <alignment horizontal="center" vertical="center" wrapText="1"/>
    </xf>
    <xf numFmtId="164" fontId="12" fillId="0" borderId="15" xfId="1" applyFont="1" applyFill="1" applyBorder="1" applyAlignment="1" applyProtection="1">
      <alignment horizontal="center" vertical="center" wrapText="1"/>
    </xf>
    <xf numFmtId="164" fontId="12" fillId="0" borderId="5" xfId="1" applyFont="1" applyFill="1" applyBorder="1" applyAlignment="1" applyProtection="1">
      <alignment horizontal="center" vertical="center" wrapText="1"/>
    </xf>
    <xf numFmtId="0" fontId="8" fillId="0" borderId="10" xfId="2" applyFont="1" applyBorder="1" applyAlignment="1">
      <alignment horizontal="center" vertical="center" wrapText="1"/>
    </xf>
    <xf numFmtId="0" fontId="8" fillId="0" borderId="22" xfId="2" applyFont="1" applyBorder="1" applyAlignment="1">
      <alignment horizontal="center" vertical="center" wrapText="1"/>
    </xf>
    <xf numFmtId="0" fontId="8" fillId="0" borderId="30" xfId="2" applyFont="1" applyBorder="1" applyAlignment="1">
      <alignment horizontal="center" vertical="center" wrapText="1"/>
    </xf>
    <xf numFmtId="0" fontId="8" fillId="0" borderId="11" xfId="2" applyFont="1" applyBorder="1" applyAlignment="1">
      <alignment horizontal="center" vertical="center" wrapText="1"/>
    </xf>
    <xf numFmtId="0" fontId="8" fillId="0" borderId="23" xfId="2" applyFont="1" applyBorder="1" applyAlignment="1">
      <alignment horizontal="center" vertical="center" wrapText="1"/>
    </xf>
    <xf numFmtId="0" fontId="8" fillId="0" borderId="31" xfId="2" applyFont="1" applyBorder="1" applyAlignment="1">
      <alignment horizontal="center" vertical="center" wrapText="1"/>
    </xf>
    <xf numFmtId="0" fontId="8" fillId="0" borderId="13" xfId="2" applyFont="1" applyBorder="1" applyAlignment="1">
      <alignment horizontal="center" vertical="center" wrapText="1"/>
    </xf>
    <xf numFmtId="0" fontId="8" fillId="0" borderId="25" xfId="2" applyFont="1" applyBorder="1" applyAlignment="1">
      <alignment horizontal="center" vertical="center" wrapText="1"/>
    </xf>
    <xf numFmtId="0" fontId="8" fillId="0" borderId="33" xfId="2" applyFont="1" applyBorder="1" applyAlignment="1">
      <alignment horizontal="center" vertical="center" wrapText="1"/>
    </xf>
    <xf numFmtId="0" fontId="8" fillId="0" borderId="14" xfId="2" applyFont="1" applyBorder="1" applyAlignment="1">
      <alignment horizontal="center" vertical="center" wrapText="1"/>
    </xf>
    <xf numFmtId="0" fontId="8" fillId="0" borderId="26" xfId="2" applyFont="1" applyBorder="1" applyAlignment="1">
      <alignment horizontal="center" vertical="center" wrapText="1"/>
    </xf>
    <xf numFmtId="0" fontId="8" fillId="0" borderId="34" xfId="2" applyFont="1" applyBorder="1" applyAlignment="1">
      <alignment horizontal="center" vertical="center" wrapText="1"/>
    </xf>
    <xf numFmtId="0" fontId="12" fillId="0" borderId="16" xfId="2" applyFont="1" applyBorder="1" applyAlignment="1">
      <alignment horizontal="center" vertical="center" wrapText="1"/>
    </xf>
    <xf numFmtId="0" fontId="12" fillId="0" borderId="17" xfId="2" applyFont="1" applyBorder="1" applyAlignment="1">
      <alignment horizontal="center" vertical="center" wrapText="1"/>
    </xf>
    <xf numFmtId="0" fontId="12" fillId="0" borderId="18" xfId="2" applyFont="1" applyBorder="1" applyAlignment="1">
      <alignment horizontal="center" vertical="center" wrapText="1"/>
    </xf>
    <xf numFmtId="0" fontId="28" fillId="0" borderId="0" xfId="2" applyFont="1" applyAlignment="1">
      <alignment horizontal="center" vertical="center"/>
    </xf>
    <xf numFmtId="0" fontId="10" fillId="2" borderId="4" xfId="2" applyFont="1" applyFill="1" applyBorder="1" applyAlignment="1" applyProtection="1">
      <alignment horizontal="center" vertical="center"/>
      <protection locked="0"/>
    </xf>
    <xf numFmtId="165" fontId="8" fillId="2" borderId="4" xfId="2" applyNumberFormat="1" applyFont="1" applyFill="1" applyBorder="1" applyAlignment="1" applyProtection="1">
      <alignment horizontal="center" vertical="center"/>
      <protection locked="0"/>
    </xf>
    <xf numFmtId="0" fontId="10" fillId="2" borderId="6" xfId="2" applyFont="1" applyFill="1" applyBorder="1" applyAlignment="1" applyProtection="1">
      <alignment horizontal="center" vertical="center"/>
      <protection locked="0"/>
    </xf>
  </cellXfs>
  <cellStyles count="4">
    <cellStyle name="Comma" xfId="1" builtinId="3"/>
    <cellStyle name="Comma 2" xfId="3" xr:uid="{DA9FC9C0-E097-4EB2-A3A5-8E7516ECA6E7}"/>
    <cellStyle name="Normal" xfId="0" builtinId="0"/>
    <cellStyle name="Normal 2" xfId="2" xr:uid="{87C0751E-310A-4E7A-A08F-FC5D2CB48288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FB6637-F6B8-4380-9BBF-8CF05746FE7C}">
  <sheetPr>
    <tabColor rgb="FF00B050"/>
    <pageSetUpPr fitToPage="1"/>
  </sheetPr>
  <dimension ref="A1:AJ100"/>
  <sheetViews>
    <sheetView showGridLines="0" topLeftCell="A62" zoomScale="85" zoomScaleNormal="85" workbookViewId="0">
      <pane xSplit="2" topLeftCell="C1" activePane="topRight" state="frozen"/>
      <selection activeCell="P79" sqref="P79:Q79"/>
      <selection pane="topRight" activeCell="M17" sqref="M17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86" t="s">
        <v>130</v>
      </c>
      <c r="G2" s="286"/>
      <c r="H2" s="286"/>
      <c r="I2" s="286"/>
      <c r="J2" s="286"/>
      <c r="K2" s="286"/>
      <c r="L2" s="286"/>
      <c r="M2" s="286"/>
      <c r="N2" s="286"/>
      <c r="O2" s="286"/>
      <c r="P2" s="286"/>
      <c r="Q2" s="286"/>
      <c r="R2" s="286"/>
      <c r="S2" s="286"/>
      <c r="T2" s="6" t="s">
        <v>1</v>
      </c>
      <c r="U2" s="7"/>
      <c r="W2" s="244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45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87"/>
      <c r="G4" s="287"/>
      <c r="H4" s="287"/>
      <c r="I4" s="287"/>
      <c r="J4" s="287"/>
      <c r="K4" s="287"/>
      <c r="L4" s="287"/>
      <c r="M4" s="287"/>
      <c r="S4" s="2" t="s">
        <v>4</v>
      </c>
      <c r="T4" s="288"/>
      <c r="U4" s="288"/>
      <c r="W4" s="246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89"/>
      <c r="G6" s="289"/>
      <c r="H6" s="289"/>
      <c r="I6" s="289"/>
      <c r="J6" s="289"/>
      <c r="K6" s="289"/>
      <c r="L6" s="289"/>
      <c r="M6" s="289"/>
      <c r="S6" s="11" t="s">
        <v>6</v>
      </c>
      <c r="T6" s="195" t="s">
        <v>7</v>
      </c>
      <c r="U6" s="12" t="s">
        <v>131</v>
      </c>
      <c r="W6" s="244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89"/>
      <c r="G7" s="289"/>
      <c r="H7" s="289"/>
      <c r="I7" s="289"/>
      <c r="J7" s="289"/>
      <c r="K7" s="289"/>
      <c r="L7" s="289"/>
      <c r="M7" s="289"/>
      <c r="N7" s="14"/>
      <c r="O7" s="14"/>
      <c r="P7" s="14"/>
      <c r="Q7" s="15"/>
      <c r="S7" s="14"/>
      <c r="T7" s="195" t="s">
        <v>11</v>
      </c>
      <c r="U7" s="12"/>
      <c r="W7" s="246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2.67</v>
      </c>
      <c r="AD8" s="2">
        <v>0.31</v>
      </c>
      <c r="AE8" s="11" t="s">
        <v>13</v>
      </c>
    </row>
    <row r="9" spans="2:35" s="16" customFormat="1" ht="20.25" x14ac:dyDescent="0.25">
      <c r="B9" s="258" t="s">
        <v>14</v>
      </c>
      <c r="C9" s="261" t="s">
        <v>15</v>
      </c>
      <c r="D9" s="261" t="s">
        <v>16</v>
      </c>
      <c r="E9" s="261" t="s">
        <v>17</v>
      </c>
      <c r="F9" s="264" t="s">
        <v>18</v>
      </c>
      <c r="G9" s="265"/>
      <c r="H9" s="265"/>
      <c r="I9" s="265"/>
      <c r="J9" s="265"/>
      <c r="K9" s="265"/>
      <c r="L9" s="265"/>
      <c r="M9" s="265"/>
      <c r="N9" s="265"/>
      <c r="O9" s="265"/>
      <c r="P9" s="265"/>
      <c r="Q9" s="266"/>
      <c r="S9" s="264" t="s">
        <v>19</v>
      </c>
      <c r="T9" s="265"/>
      <c r="U9" s="266"/>
      <c r="X9" s="271" t="s">
        <v>20</v>
      </c>
      <c r="Y9" s="274" t="s">
        <v>21</v>
      </c>
      <c r="Z9" s="274" t="s">
        <v>128</v>
      </c>
      <c r="AA9" s="17"/>
      <c r="AB9" s="251" t="s">
        <v>22</v>
      </c>
      <c r="AC9" s="277" t="s">
        <v>23</v>
      </c>
      <c r="AD9" s="280" t="s">
        <v>24</v>
      </c>
      <c r="AE9" s="251" t="s">
        <v>25</v>
      </c>
      <c r="AG9" s="251" t="s">
        <v>26</v>
      </c>
      <c r="AH9" s="17"/>
      <c r="AI9" s="251" t="s">
        <v>27</v>
      </c>
    </row>
    <row r="10" spans="2:35" s="16" customFormat="1" ht="20.25" customHeight="1" x14ac:dyDescent="0.25">
      <c r="B10" s="259"/>
      <c r="C10" s="262"/>
      <c r="D10" s="262"/>
      <c r="E10" s="262"/>
      <c r="F10" s="268" t="s">
        <v>28</v>
      </c>
      <c r="G10" s="268" t="s">
        <v>29</v>
      </c>
      <c r="H10" s="268" t="s">
        <v>30</v>
      </c>
      <c r="I10" s="269" t="s">
        <v>31</v>
      </c>
      <c r="J10" s="269" t="s">
        <v>32</v>
      </c>
      <c r="K10" s="269" t="s">
        <v>33</v>
      </c>
      <c r="L10" s="269" t="s">
        <v>34</v>
      </c>
      <c r="M10" s="283" t="s">
        <v>35</v>
      </c>
      <c r="N10" s="284"/>
      <c r="O10" s="284"/>
      <c r="P10" s="284"/>
      <c r="Q10" s="285"/>
      <c r="S10" s="254" t="s">
        <v>36</v>
      </c>
      <c r="T10" s="255"/>
      <c r="U10" s="256"/>
      <c r="X10" s="272"/>
      <c r="Y10" s="275"/>
      <c r="Z10" s="275"/>
      <c r="AA10" s="17"/>
      <c r="AB10" s="252"/>
      <c r="AC10" s="278"/>
      <c r="AD10" s="281"/>
      <c r="AE10" s="252"/>
      <c r="AG10" s="252"/>
      <c r="AH10" s="17"/>
      <c r="AI10" s="252"/>
    </row>
    <row r="11" spans="2:35" s="21" customFormat="1" ht="12.75" customHeight="1" thickBot="1" x14ac:dyDescent="0.3">
      <c r="B11" s="260"/>
      <c r="C11" s="263"/>
      <c r="D11" s="263"/>
      <c r="E11" s="263"/>
      <c r="F11" s="263"/>
      <c r="G11" s="263"/>
      <c r="H11" s="263"/>
      <c r="I11" s="270"/>
      <c r="J11" s="270"/>
      <c r="K11" s="270"/>
      <c r="L11" s="270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73"/>
      <c r="Y11" s="276"/>
      <c r="Z11" s="276"/>
      <c r="AA11" s="17"/>
      <c r="AB11" s="253"/>
      <c r="AC11" s="279"/>
      <c r="AD11" s="282"/>
      <c r="AE11" s="253"/>
      <c r="AG11" s="267"/>
      <c r="AH11" s="17"/>
      <c r="AI11" s="253"/>
    </row>
    <row r="12" spans="2:35" s="21" customFormat="1" ht="32.1" customHeight="1" thickBot="1" x14ac:dyDescent="0.3">
      <c r="B12" s="23" t="s">
        <v>42</v>
      </c>
      <c r="C12" s="24">
        <v>912</v>
      </c>
      <c r="D12" s="24">
        <v>120</v>
      </c>
      <c r="E12" s="24">
        <f>C12+D12</f>
        <v>1032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IF($U$6="x",(F12*3.5),"")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26</v>
      </c>
      <c r="AH12" s="37"/>
      <c r="AI12" s="43">
        <f t="shared" ref="AI12:AI68" si="1">AG12+AE12</f>
        <v>31.369999999999997</v>
      </c>
    </row>
    <row r="13" spans="2:35" s="21" customFormat="1" ht="32.1" customHeight="1" thickBot="1" x14ac:dyDescent="0.3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>
        <v>108</v>
      </c>
      <c r="N13" s="51">
        <v>432</v>
      </c>
      <c r="O13" s="51"/>
      <c r="P13" s="52" t="str">
        <f t="shared" ref="P13:P68" si="5">IF(M13&amp;N13="","",ROUND(((M13+N13)/G13),1)&amp;" pallets")</f>
        <v>5 pallets</v>
      </c>
      <c r="Q13" s="53">
        <f t="shared" ref="Q13:Q70" si="6">(J13*M13)+(K13*N13)+(O13*L13)</f>
        <v>48276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36">
        <f t="shared" ref="Z13:Z56" si="8">IF($U$6="x",(F13*3.5),"")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42">
        <v>26</v>
      </c>
      <c r="AH13" s="37"/>
      <c r="AI13" s="63">
        <f t="shared" si="1"/>
        <v>29.64</v>
      </c>
    </row>
    <row r="14" spans="2:35" s="21" customFormat="1" ht="32.1" customHeight="1" thickBot="1" x14ac:dyDescent="0.3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>
        <v>126</v>
      </c>
      <c r="O14" s="51"/>
      <c r="P14" s="52" t="str">
        <f t="shared" si="5"/>
        <v>2 pallets</v>
      </c>
      <c r="Q14" s="53">
        <f t="shared" si="6"/>
        <v>10584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36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42">
        <v>26</v>
      </c>
      <c r="AH14" s="37"/>
      <c r="AI14" s="63">
        <f t="shared" si="1"/>
        <v>32.07</v>
      </c>
    </row>
    <row r="15" spans="2:35" s="21" customFormat="1" ht="32.1" customHeight="1" thickBot="1" x14ac:dyDescent="0.3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>
        <v>96</v>
      </c>
      <c r="N15" s="51"/>
      <c r="O15" s="51"/>
      <c r="P15" s="52" t="str">
        <f t="shared" si="5"/>
        <v>1 pallets</v>
      </c>
      <c r="Q15" s="53">
        <f t="shared" si="6"/>
        <v>10656</v>
      </c>
      <c r="S15" s="54"/>
      <c r="T15" s="54"/>
      <c r="U15" s="55"/>
      <c r="X15" s="56">
        <f t="shared" si="7"/>
        <v>0</v>
      </c>
      <c r="Y15" s="57">
        <f>F15*AI15</f>
        <v>0</v>
      </c>
      <c r="Z15" s="36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42">
        <v>26</v>
      </c>
      <c r="AH15" s="37"/>
      <c r="AI15" s="63">
        <f t="shared" si="1"/>
        <v>30.1</v>
      </c>
    </row>
    <row r="16" spans="2:35" s="21" customFormat="1" ht="32.1" customHeight="1" thickBot="1" x14ac:dyDescent="0.3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/>
      <c r="G16" s="47">
        <v>108</v>
      </c>
      <c r="H16" s="64"/>
      <c r="I16" s="49">
        <f t="shared" si="4"/>
        <v>0</v>
      </c>
      <c r="J16" s="50">
        <v>111</v>
      </c>
      <c r="K16" s="65"/>
      <c r="L16" s="50">
        <v>4.5</v>
      </c>
      <c r="M16" s="51">
        <v>324</v>
      </c>
      <c r="N16" s="193"/>
      <c r="O16" s="51"/>
      <c r="P16" s="52" t="str">
        <f t="shared" si="5"/>
        <v>3 pallets</v>
      </c>
      <c r="Q16" s="53">
        <f t="shared" si="6"/>
        <v>35964</v>
      </c>
      <c r="S16" s="54"/>
      <c r="T16" s="67"/>
      <c r="U16" s="55"/>
      <c r="X16" s="56">
        <f t="shared" si="7"/>
        <v>0</v>
      </c>
      <c r="Y16" s="57">
        <f>F16*AI16</f>
        <v>0</v>
      </c>
      <c r="Z16" s="36">
        <f t="shared" si="8"/>
        <v>0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42">
        <v>26</v>
      </c>
      <c r="AH16" s="37"/>
      <c r="AI16" s="63">
        <f t="shared" si="1"/>
        <v>29.64</v>
      </c>
    </row>
    <row r="17" spans="2:35" s="21" customFormat="1" ht="32.1" customHeight="1" thickBot="1" x14ac:dyDescent="0.3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36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42">
        <v>26</v>
      </c>
      <c r="AH17" s="37"/>
      <c r="AI17" s="63">
        <f t="shared" si="1"/>
        <v>29.64</v>
      </c>
    </row>
    <row r="18" spans="2:35" s="21" customFormat="1" ht="32.1" customHeight="1" thickBot="1" x14ac:dyDescent="0.3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36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42">
        <v>26</v>
      </c>
      <c r="AH18" s="37"/>
      <c r="AI18" s="63">
        <f t="shared" si="1"/>
        <v>29.64</v>
      </c>
    </row>
    <row r="19" spans="2:35" s="21" customFormat="1" ht="32.1" customHeight="1" thickBot="1" x14ac:dyDescent="0.3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36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42">
        <v>26</v>
      </c>
      <c r="AH19" s="37"/>
      <c r="AI19" s="83">
        <f t="shared" si="1"/>
        <v>32.07</v>
      </c>
    </row>
    <row r="20" spans="2:35" s="21" customFormat="1" ht="32.1" customHeight="1" thickBot="1" x14ac:dyDescent="0.3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36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42">
        <v>26</v>
      </c>
      <c r="AH20" s="37"/>
      <c r="AI20" s="63">
        <f t="shared" si="1"/>
        <v>32.07</v>
      </c>
    </row>
    <row r="21" spans="2:35" s="21" customFormat="1" ht="32.1" customHeight="1" thickBot="1" x14ac:dyDescent="0.3">
      <c r="B21" s="68" t="s">
        <v>51</v>
      </c>
      <c r="C21" s="45">
        <v>872</v>
      </c>
      <c r="D21" s="69">
        <v>120</v>
      </c>
      <c r="E21" s="69">
        <f t="shared" si="2"/>
        <v>992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36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42">
        <v>26</v>
      </c>
      <c r="AH21" s="37"/>
      <c r="AI21" s="83">
        <f t="shared" si="1"/>
        <v>32.07</v>
      </c>
    </row>
    <row r="22" spans="2:35" s="21" customFormat="1" ht="32.1" customHeight="1" thickBot="1" x14ac:dyDescent="0.3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36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42">
        <v>26</v>
      </c>
      <c r="AH22" s="37"/>
      <c r="AI22" s="43">
        <f>AG22+AE22</f>
        <v>32.07</v>
      </c>
    </row>
    <row r="23" spans="2:35" s="21" customFormat="1" ht="32.1" customHeight="1" thickBot="1" x14ac:dyDescent="0.3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36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42">
        <v>26</v>
      </c>
      <c r="AH23" s="37"/>
      <c r="AI23" s="43">
        <f t="shared" si="1"/>
        <v>32.07</v>
      </c>
    </row>
    <row r="24" spans="2:35" s="21" customFormat="1" ht="32.1" customHeight="1" thickBot="1" x14ac:dyDescent="0.3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36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42">
        <v>26</v>
      </c>
      <c r="AH24" s="37"/>
      <c r="AI24" s="63">
        <f t="shared" si="1"/>
        <v>32.07</v>
      </c>
    </row>
    <row r="25" spans="2:35" s="21" customFormat="1" ht="32.1" customHeight="1" thickBot="1" x14ac:dyDescent="0.3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36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42">
        <v>26</v>
      </c>
      <c r="AH25" s="37"/>
      <c r="AI25" s="63">
        <f t="shared" si="1"/>
        <v>32.07</v>
      </c>
    </row>
    <row r="26" spans="2:35" s="21" customFormat="1" ht="32.1" customHeight="1" thickBot="1" x14ac:dyDescent="0.3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36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42">
        <v>26</v>
      </c>
      <c r="AH26" s="37"/>
      <c r="AI26" s="63">
        <f t="shared" si="1"/>
        <v>32.07</v>
      </c>
    </row>
    <row r="27" spans="2:35" s="21" customFormat="1" ht="32.1" customHeight="1" thickBot="1" x14ac:dyDescent="0.3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36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42">
        <v>26</v>
      </c>
      <c r="AH27" s="37"/>
      <c r="AI27" s="83">
        <f t="shared" si="1"/>
        <v>32.07</v>
      </c>
    </row>
    <row r="28" spans="2:35" s="21" customFormat="1" ht="32.1" customHeight="1" thickBot="1" x14ac:dyDescent="0.3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36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42">
        <v>26</v>
      </c>
      <c r="AH28" s="37"/>
      <c r="AI28" s="43">
        <f t="shared" si="1"/>
        <v>32.07</v>
      </c>
    </row>
    <row r="29" spans="2:35" s="21" customFormat="1" ht="32.1" customHeight="1" thickBot="1" x14ac:dyDescent="0.3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36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42">
        <v>26</v>
      </c>
      <c r="AH29" s="37"/>
      <c r="AI29" s="83">
        <f t="shared" si="1"/>
        <v>32.07</v>
      </c>
    </row>
    <row r="30" spans="2:35" s="21" customFormat="1" ht="32.1" customHeight="1" thickBot="1" x14ac:dyDescent="0.3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36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42">
        <v>26</v>
      </c>
      <c r="AH30" s="37"/>
      <c r="AI30" s="43">
        <f t="shared" si="1"/>
        <v>31.369999999999997</v>
      </c>
    </row>
    <row r="31" spans="2:35" s="21" customFormat="1" ht="32.1" customHeight="1" thickBot="1" x14ac:dyDescent="0.3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36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42">
        <v>26</v>
      </c>
      <c r="AH31" s="37"/>
      <c r="AI31" s="63">
        <f t="shared" si="1"/>
        <v>31.759999999999998</v>
      </c>
    </row>
    <row r="32" spans="2:35" s="21" customFormat="1" ht="32.1" customHeight="1" thickBot="1" x14ac:dyDescent="0.3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36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42">
        <v>26</v>
      </c>
      <c r="AH32" s="37"/>
      <c r="AI32" s="63">
        <f t="shared" si="1"/>
        <v>32.07</v>
      </c>
    </row>
    <row r="33" spans="2:35" s="21" customFormat="1" ht="32.1" customHeight="1" thickBot="1" x14ac:dyDescent="0.3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36">
        <f t="shared" si="8"/>
        <v>0</v>
      </c>
      <c r="AA33" s="37"/>
      <c r="AB33" s="58">
        <f>AB8</f>
        <v>2.67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2.98</v>
      </c>
      <c r="AF33" s="61"/>
      <c r="AG33" s="42">
        <v>26</v>
      </c>
      <c r="AH33" s="37"/>
      <c r="AI33" s="43">
        <f t="shared" si="1"/>
        <v>28.98</v>
      </c>
    </row>
    <row r="34" spans="2:35" s="21" customFormat="1" ht="32.1" customHeight="1" thickBot="1" x14ac:dyDescent="0.3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36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42">
        <v>26</v>
      </c>
      <c r="AH34" s="37"/>
      <c r="AI34" s="43">
        <f t="shared" si="1"/>
        <v>28.16</v>
      </c>
    </row>
    <row r="35" spans="2:35" s="21" customFormat="1" ht="32.1" customHeight="1" thickBot="1" x14ac:dyDescent="0.3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36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42">
        <v>26</v>
      </c>
      <c r="AH35" s="37"/>
      <c r="AI35" s="63">
        <f t="shared" si="1"/>
        <v>28.16</v>
      </c>
    </row>
    <row r="36" spans="2:35" s="21" customFormat="1" ht="32.1" customHeight="1" thickBot="1" x14ac:dyDescent="0.3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36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42">
        <v>26</v>
      </c>
      <c r="AH36" s="37"/>
      <c r="AI36" s="63">
        <f t="shared" si="1"/>
        <v>28.16</v>
      </c>
    </row>
    <row r="37" spans="2:35" s="21" customFormat="1" ht="32.1" customHeight="1" thickBot="1" x14ac:dyDescent="0.3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36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42">
        <v>26</v>
      </c>
      <c r="AH37" s="37"/>
      <c r="AI37" s="63">
        <f t="shared" si="1"/>
        <v>28.16</v>
      </c>
    </row>
    <row r="38" spans="2:35" s="21" customFormat="1" ht="32.1" customHeight="1" thickBot="1" x14ac:dyDescent="0.3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36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42">
        <v>26</v>
      </c>
      <c r="AH38" s="37"/>
      <c r="AI38" s="83">
        <f t="shared" si="1"/>
        <v>28.16</v>
      </c>
    </row>
    <row r="39" spans="2:35" s="21" customFormat="1" ht="32.1" customHeight="1" thickBot="1" x14ac:dyDescent="0.3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36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42">
        <v>26</v>
      </c>
      <c r="AH39" s="37"/>
      <c r="AI39" s="43">
        <f t="shared" si="1"/>
        <v>28.16</v>
      </c>
    </row>
    <row r="40" spans="2:35" s="21" customFormat="1" ht="32.1" customHeight="1" thickBot="1" x14ac:dyDescent="0.3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36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42">
        <v>26</v>
      </c>
      <c r="AH40" s="37"/>
      <c r="AI40" s="63">
        <f t="shared" si="1"/>
        <v>28.16</v>
      </c>
    </row>
    <row r="41" spans="2:35" s="21" customFormat="1" ht="32.1" customHeight="1" thickBot="1" x14ac:dyDescent="0.3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36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42">
        <v>26</v>
      </c>
      <c r="AH41" s="37"/>
      <c r="AI41" s="83">
        <f t="shared" si="1"/>
        <v>28.16</v>
      </c>
    </row>
    <row r="42" spans="2:35" s="21" customFormat="1" ht="32.1" customHeight="1" thickBot="1" x14ac:dyDescent="0.3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36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42">
        <v>26</v>
      </c>
      <c r="AH42" s="37"/>
      <c r="AI42" s="107">
        <f t="shared" si="1"/>
        <v>28.16</v>
      </c>
    </row>
    <row r="43" spans="2:35" s="21" customFormat="1" ht="32.1" customHeight="1" thickBot="1" x14ac:dyDescent="0.3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36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42">
        <v>26</v>
      </c>
      <c r="AH43" s="37"/>
      <c r="AI43" s="110">
        <f t="shared" si="1"/>
        <v>28.16</v>
      </c>
    </row>
    <row r="44" spans="2:35" s="21" customFormat="1" ht="32.1" customHeight="1" thickBot="1" x14ac:dyDescent="0.3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36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42">
        <v>26</v>
      </c>
      <c r="AH44" s="37"/>
      <c r="AI44" s="63">
        <f>AG44+AE44</f>
        <v>28.16</v>
      </c>
    </row>
    <row r="45" spans="2:35" s="21" customFormat="1" ht="32.1" customHeight="1" thickBot="1" x14ac:dyDescent="0.3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36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42">
        <v>26</v>
      </c>
      <c r="AH45" s="37"/>
      <c r="AI45" s="110">
        <f t="shared" si="1"/>
        <v>29.77</v>
      </c>
    </row>
    <row r="46" spans="2:35" s="21" customFormat="1" ht="32.1" customHeight="1" thickBot="1" x14ac:dyDescent="0.3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36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42">
        <v>26</v>
      </c>
      <c r="AH46" s="37"/>
      <c r="AI46" s="83">
        <f t="shared" si="1"/>
        <v>28.16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36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42">
        <v>26</v>
      </c>
      <c r="AH47" s="37"/>
      <c r="AI47" s="107">
        <f t="shared" si="1"/>
        <v>26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36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42">
        <v>26</v>
      </c>
      <c r="AH48" s="37"/>
      <c r="AI48" s="110">
        <f t="shared" si="1"/>
        <v>26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36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42">
        <v>26</v>
      </c>
      <c r="AH49" s="37"/>
      <c r="AI49" s="83">
        <f t="shared" si="1"/>
        <v>26</v>
      </c>
    </row>
    <row r="50" spans="2:35" s="21" customFormat="1" ht="32.1" customHeight="1" thickBot="1" x14ac:dyDescent="0.3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36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42">
        <v>26</v>
      </c>
      <c r="AH50" s="37"/>
      <c r="AI50" s="63">
        <f t="shared" si="1"/>
        <v>32.07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36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42">
        <v>26</v>
      </c>
      <c r="AH51" s="37"/>
      <c r="AI51" s="125">
        <f t="shared" si="1"/>
        <v>28.16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36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42">
        <v>26</v>
      </c>
      <c r="AH52" s="37"/>
      <c r="AI52" s="43">
        <f t="shared" si="1"/>
        <v>31.07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36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42">
        <v>26</v>
      </c>
      <c r="AH53" s="37"/>
      <c r="AI53" s="125">
        <f t="shared" si="1"/>
        <v>28.16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36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42">
        <v>26</v>
      </c>
      <c r="AH54" s="37"/>
      <c r="AI54" s="125">
        <f t="shared" si="1"/>
        <v>28.16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36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42">
        <v>26</v>
      </c>
      <c r="AH55" s="37"/>
      <c r="AI55" s="125">
        <f t="shared" si="1"/>
        <v>28.16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36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42">
        <v>26</v>
      </c>
      <c r="AH56" s="37"/>
      <c r="AI56" s="125">
        <f t="shared" si="1"/>
        <v>28.16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>IF($U$6="x",(F62*3.5),"")</f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26</v>
      </c>
      <c r="AH62" s="37"/>
      <c r="AI62" s="43">
        <f t="shared" si="1"/>
        <v>28.16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ref="Z63:Z68" si="17">IF($U$6="x",(F63*3.5),"")</f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26</v>
      </c>
      <c r="AH63" s="37"/>
      <c r="AI63" s="63">
        <f t="shared" si="1"/>
        <v>28.16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17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26</v>
      </c>
      <c r="AH64" s="37"/>
      <c r="AI64" s="63">
        <f t="shared" si="1"/>
        <v>28.16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17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26</v>
      </c>
      <c r="AH65" s="37"/>
      <c r="AI65" s="63">
        <f t="shared" si="1"/>
        <v>28.16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17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26</v>
      </c>
      <c r="AH66" s="37"/>
      <c r="AI66" s="63">
        <f t="shared" si="1"/>
        <v>28.16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17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26</v>
      </c>
      <c r="AH67" s="37"/>
      <c r="AI67" s="63">
        <f t="shared" si="1"/>
        <v>28.16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57">
        <f t="shared" si="17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26</v>
      </c>
      <c r="AH68" s="37"/>
      <c r="AI68" s="125">
        <f t="shared" si="1"/>
        <v>28.16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8">+D69-C69</f>
        <v>262.5</v>
      </c>
      <c r="F69" s="136"/>
      <c r="G69" s="87">
        <v>72</v>
      </c>
      <c r="H69" s="137" t="str">
        <f t="shared" ref="H69:H70" si="19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20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8"/>
        <v>262.5</v>
      </c>
      <c r="F70" s="142"/>
      <c r="G70" s="115">
        <v>72</v>
      </c>
      <c r="H70" s="143" t="str">
        <f t="shared" si="19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20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57" t="s">
        <v>101</v>
      </c>
      <c r="C71" s="257"/>
      <c r="D71" s="257"/>
      <c r="E71" s="257"/>
      <c r="F71" s="257"/>
      <c r="G71" s="257"/>
      <c r="H71" s="147" t="str">
        <f>ROUND(((F12+F30+F52+F57+F58+F59+F60+F61)/72+(F13+F16+F18)/108+(F14+SUM(F19:F29)+F31+F32+F22+F50+F45)/63+F15/96+SUM(F34:F43)/100+SUM(F47:F49)/24+SUM(F62:F68)/100+(F51+F46+F44)/100),1)&amp;" pallets"</f>
        <v>0 pallets</v>
      </c>
      <c r="I71" s="148"/>
      <c r="J71" s="149"/>
      <c r="K71" s="150"/>
      <c r="L71" s="149"/>
      <c r="M71" s="151"/>
      <c r="N71" s="152"/>
      <c r="O71" s="152"/>
      <c r="P71" s="195" t="str">
        <f>ROUND((((M12+N12+M30+M57+M58+M59+M60+M61+N57)/72+(M13+N13+M16+M18)/108+(M15+N15)/96+SUM(M14,M19:M29,M31:M32,M50,N14)/63)),1)&amp;" pallets"</f>
        <v>11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37">
        <f>SUM(I12:I70)</f>
        <v>0</v>
      </c>
      <c r="G73" s="237"/>
      <c r="H73" s="237"/>
      <c r="I73" s="238"/>
      <c r="J73" s="158"/>
      <c r="K73" s="158"/>
      <c r="L73" s="158"/>
      <c r="M73" s="249" t="s">
        <v>103</v>
      </c>
      <c r="N73" s="250"/>
      <c r="O73" s="237">
        <f>SUM(Q12:Q70)</f>
        <v>105480</v>
      </c>
      <c r="P73" s="237"/>
      <c r="Q73" s="238"/>
      <c r="R73" s="152"/>
      <c r="S73" s="159" t="s">
        <v>104</v>
      </c>
      <c r="T73" s="242">
        <f>SUM(Y12:Y68)</f>
        <v>0</v>
      </c>
      <c r="U73" s="243"/>
      <c r="V73" s="160"/>
      <c r="W73" s="160"/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37">
        <f>SUM(I14:I72)</f>
        <v>0</v>
      </c>
      <c r="G75" s="237"/>
      <c r="H75" s="237"/>
      <c r="I75" s="238"/>
      <c r="J75" s="158"/>
      <c r="K75" s="158"/>
      <c r="L75" s="158"/>
      <c r="M75" s="249" t="s">
        <v>103</v>
      </c>
      <c r="N75" s="250"/>
      <c r="O75" s="237">
        <f>SUM(Q14:Q72)</f>
        <v>57204</v>
      </c>
      <c r="P75" s="237"/>
      <c r="Q75" s="238"/>
      <c r="R75" s="152"/>
      <c r="S75" s="159" t="s">
        <v>129</v>
      </c>
      <c r="T75" s="242">
        <f>SUM(Z12:Z70)</f>
        <v>0</v>
      </c>
      <c r="U75" s="243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37">
        <f>IF(U7&gt;0,"",(F73-O73-T79-P79))</f>
        <v>-105480</v>
      </c>
      <c r="G77" s="237"/>
      <c r="H77" s="237"/>
      <c r="I77" s="238"/>
      <c r="J77" s="164"/>
      <c r="K77" s="164"/>
      <c r="L77" s="164"/>
      <c r="M77" s="239" t="s">
        <v>106</v>
      </c>
      <c r="N77" s="239"/>
      <c r="O77" s="168" t="s">
        <v>107</v>
      </c>
      <c r="P77" s="240"/>
      <c r="Q77" s="241"/>
      <c r="R77" s="152"/>
      <c r="S77" s="159" t="s">
        <v>108</v>
      </c>
      <c r="T77" s="242">
        <f>IF(SUM(X12:X68)*0.15&gt;P77,P77,SUM(X12:X68)*0.15)</f>
        <v>0</v>
      </c>
      <c r="U77" s="243"/>
      <c r="V77" s="160"/>
      <c r="W77" s="244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45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37"/>
      <c r="G79" s="237"/>
      <c r="H79" s="237"/>
      <c r="I79" s="238"/>
      <c r="J79" s="164"/>
      <c r="K79" s="164"/>
      <c r="L79" s="164"/>
      <c r="M79" s="247" t="str">
        <f>IF(U6&gt;0,"",T4+30)</f>
        <v/>
      </c>
      <c r="N79" s="248"/>
      <c r="O79" s="168" t="s">
        <v>111</v>
      </c>
      <c r="P79" s="240"/>
      <c r="Q79" s="241"/>
      <c r="R79" s="152"/>
      <c r="S79" s="159" t="s">
        <v>112</v>
      </c>
      <c r="T79" s="242">
        <f>T77+T73+T75</f>
        <v>0</v>
      </c>
      <c r="U79" s="243"/>
      <c r="V79" s="160"/>
      <c r="W79" s="246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14" t="s">
        <v>113</v>
      </c>
      <c r="C81" s="215"/>
      <c r="D81" s="215"/>
      <c r="E81" s="215"/>
      <c r="F81" s="215"/>
      <c r="G81" s="215"/>
      <c r="H81" s="216"/>
      <c r="I81" s="223" t="s">
        <v>114</v>
      </c>
      <c r="J81" s="171"/>
      <c r="K81" s="171"/>
      <c r="L81" s="171"/>
      <c r="M81" s="225"/>
      <c r="N81" s="228" t="s">
        <v>115</v>
      </c>
      <c r="O81" s="231"/>
      <c r="P81" s="225"/>
      <c r="Q81" s="208" t="s">
        <v>116</v>
      </c>
      <c r="R81" s="234"/>
      <c r="S81" s="205"/>
      <c r="T81" s="208" t="s">
        <v>117</v>
      </c>
      <c r="U81" s="211"/>
    </row>
    <row r="82" spans="2:21" ht="15" customHeight="1" x14ac:dyDescent="0.25">
      <c r="B82" s="217"/>
      <c r="C82" s="218"/>
      <c r="D82" s="218"/>
      <c r="E82" s="218"/>
      <c r="F82" s="218"/>
      <c r="G82" s="218"/>
      <c r="H82" s="219"/>
      <c r="I82" s="202"/>
      <c r="J82" s="2"/>
      <c r="K82" s="2"/>
      <c r="L82" s="2"/>
      <c r="M82" s="226"/>
      <c r="N82" s="229"/>
      <c r="O82" s="232"/>
      <c r="P82" s="226"/>
      <c r="Q82" s="209"/>
      <c r="R82" s="235"/>
      <c r="S82" s="206"/>
      <c r="T82" s="209"/>
      <c r="U82" s="212"/>
    </row>
    <row r="83" spans="2:21" ht="15.75" customHeight="1" thickBot="1" x14ac:dyDescent="0.3">
      <c r="B83" s="220"/>
      <c r="C83" s="221"/>
      <c r="D83" s="221"/>
      <c r="E83" s="221"/>
      <c r="F83" s="221"/>
      <c r="G83" s="221"/>
      <c r="H83" s="222"/>
      <c r="I83" s="224"/>
      <c r="J83" s="172"/>
      <c r="K83" s="172"/>
      <c r="L83" s="172"/>
      <c r="M83" s="227"/>
      <c r="N83" s="230"/>
      <c r="O83" s="233"/>
      <c r="P83" s="227"/>
      <c r="Q83" s="210"/>
      <c r="R83" s="236"/>
      <c r="S83" s="207"/>
      <c r="T83" s="210"/>
      <c r="U83" s="213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196" t="s">
        <v>132</v>
      </c>
      <c r="C88" s="197"/>
      <c r="D88" s="197"/>
      <c r="E88" s="197"/>
      <c r="F88" s="197"/>
      <c r="G88" s="197"/>
      <c r="H88" s="197"/>
      <c r="I88" s="198"/>
      <c r="J88" s="185"/>
      <c r="K88" s="185"/>
      <c r="L88" s="185"/>
      <c r="M88" s="196"/>
      <c r="N88" s="197"/>
      <c r="O88" s="197"/>
      <c r="P88" s="197"/>
      <c r="Q88" s="198"/>
      <c r="R88" s="187"/>
      <c r="S88" s="188"/>
      <c r="T88" s="188"/>
      <c r="U88" s="189"/>
    </row>
    <row r="89" spans="2:21" ht="18" x14ac:dyDescent="0.25">
      <c r="B89" s="199" t="s">
        <v>122</v>
      </c>
      <c r="C89" s="200"/>
      <c r="D89" s="200"/>
      <c r="E89" s="200"/>
      <c r="F89" s="200"/>
      <c r="G89" s="200"/>
      <c r="H89" s="200"/>
      <c r="I89" s="201"/>
      <c r="M89" s="199" t="s">
        <v>122</v>
      </c>
      <c r="N89" s="200"/>
      <c r="O89" s="200"/>
      <c r="P89" s="200"/>
      <c r="Q89" s="201"/>
      <c r="R89" s="202" t="s">
        <v>123</v>
      </c>
      <c r="S89" s="203"/>
      <c r="T89" s="203"/>
      <c r="U89" s="204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196" t="s">
        <v>133</v>
      </c>
      <c r="C93" s="197"/>
      <c r="D93" s="197"/>
      <c r="E93" s="197"/>
      <c r="F93" s="197"/>
      <c r="G93" s="197"/>
      <c r="H93" s="197"/>
      <c r="I93" s="198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199" t="s">
        <v>126</v>
      </c>
      <c r="C94" s="200"/>
      <c r="D94" s="200"/>
      <c r="E94" s="200"/>
      <c r="F94" s="200"/>
      <c r="G94" s="200"/>
      <c r="H94" s="200"/>
      <c r="I94" s="201"/>
      <c r="M94" s="179"/>
      <c r="Q94" s="180"/>
      <c r="R94" s="202" t="s">
        <v>127</v>
      </c>
      <c r="S94" s="203"/>
      <c r="T94" s="203"/>
      <c r="U94" s="204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W77:W79"/>
    <mergeCell ref="F79:I79"/>
    <mergeCell ref="M79:N79"/>
    <mergeCell ref="P79:Q79"/>
    <mergeCell ref="T79:U79"/>
    <mergeCell ref="Q81:R83"/>
    <mergeCell ref="F77:I77"/>
    <mergeCell ref="M77:N77"/>
    <mergeCell ref="P77:Q77"/>
    <mergeCell ref="T77:U77"/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600E06-92EE-404A-AB6E-A7B891C74412}">
  <sheetPr>
    <tabColor rgb="FF00B050"/>
    <pageSetUpPr fitToPage="1"/>
  </sheetPr>
  <dimension ref="A1:AJ100"/>
  <sheetViews>
    <sheetView showGridLines="0" topLeftCell="A58" zoomScale="85" zoomScaleNormal="85" workbookViewId="0">
      <pane xSplit="2" topLeftCell="C1" activePane="topRight" state="frozen"/>
      <selection activeCell="P79" sqref="P79:Q79"/>
      <selection pane="topRight" activeCell="M57" sqref="M57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86" t="s">
        <v>130</v>
      </c>
      <c r="G2" s="286"/>
      <c r="H2" s="286"/>
      <c r="I2" s="286"/>
      <c r="J2" s="286"/>
      <c r="K2" s="286"/>
      <c r="L2" s="286"/>
      <c r="M2" s="286"/>
      <c r="N2" s="286"/>
      <c r="O2" s="286"/>
      <c r="P2" s="286"/>
      <c r="Q2" s="286"/>
      <c r="R2" s="286"/>
      <c r="S2" s="286"/>
      <c r="T2" s="6" t="s">
        <v>1</v>
      </c>
      <c r="U2" s="7"/>
      <c r="W2" s="244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45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87"/>
      <c r="G4" s="287"/>
      <c r="H4" s="287"/>
      <c r="I4" s="287"/>
      <c r="J4" s="287"/>
      <c r="K4" s="287"/>
      <c r="L4" s="287"/>
      <c r="M4" s="287"/>
      <c r="S4" s="2" t="s">
        <v>4</v>
      </c>
      <c r="T4" s="288"/>
      <c r="U4" s="288"/>
      <c r="W4" s="246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89"/>
      <c r="G6" s="289"/>
      <c r="H6" s="289"/>
      <c r="I6" s="289"/>
      <c r="J6" s="289"/>
      <c r="K6" s="289"/>
      <c r="L6" s="289"/>
      <c r="M6" s="289"/>
      <c r="S6" s="11" t="s">
        <v>6</v>
      </c>
      <c r="T6" s="195" t="s">
        <v>7</v>
      </c>
      <c r="U6" s="12" t="s">
        <v>131</v>
      </c>
      <c r="W6" s="244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89"/>
      <c r="G7" s="289"/>
      <c r="H7" s="289"/>
      <c r="I7" s="289"/>
      <c r="J7" s="289"/>
      <c r="K7" s="289"/>
      <c r="L7" s="289"/>
      <c r="M7" s="289"/>
      <c r="N7" s="14"/>
      <c r="O7" s="14"/>
      <c r="P7" s="14"/>
      <c r="Q7" s="15"/>
      <c r="S7" s="14"/>
      <c r="T7" s="195" t="s">
        <v>11</v>
      </c>
      <c r="U7" s="12"/>
      <c r="W7" s="246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2.67</v>
      </c>
      <c r="AD8" s="2">
        <v>0.31</v>
      </c>
      <c r="AE8" s="11" t="s">
        <v>13</v>
      </c>
    </row>
    <row r="9" spans="2:35" s="16" customFormat="1" ht="20.25" x14ac:dyDescent="0.25">
      <c r="B9" s="258" t="s">
        <v>14</v>
      </c>
      <c r="C9" s="261" t="s">
        <v>15</v>
      </c>
      <c r="D9" s="261" t="s">
        <v>16</v>
      </c>
      <c r="E9" s="261" t="s">
        <v>17</v>
      </c>
      <c r="F9" s="264" t="s">
        <v>18</v>
      </c>
      <c r="G9" s="265"/>
      <c r="H9" s="265"/>
      <c r="I9" s="265"/>
      <c r="J9" s="265"/>
      <c r="K9" s="265"/>
      <c r="L9" s="265"/>
      <c r="M9" s="265"/>
      <c r="N9" s="265"/>
      <c r="O9" s="265"/>
      <c r="P9" s="265"/>
      <c r="Q9" s="266"/>
      <c r="S9" s="264" t="s">
        <v>19</v>
      </c>
      <c r="T9" s="265"/>
      <c r="U9" s="266"/>
      <c r="X9" s="271" t="s">
        <v>20</v>
      </c>
      <c r="Y9" s="274" t="s">
        <v>21</v>
      </c>
      <c r="Z9" s="274" t="s">
        <v>128</v>
      </c>
      <c r="AA9" s="17"/>
      <c r="AB9" s="251" t="s">
        <v>22</v>
      </c>
      <c r="AC9" s="277" t="s">
        <v>23</v>
      </c>
      <c r="AD9" s="280" t="s">
        <v>24</v>
      </c>
      <c r="AE9" s="251" t="s">
        <v>25</v>
      </c>
      <c r="AG9" s="251" t="s">
        <v>26</v>
      </c>
      <c r="AH9" s="17"/>
      <c r="AI9" s="251" t="s">
        <v>27</v>
      </c>
    </row>
    <row r="10" spans="2:35" s="16" customFormat="1" ht="20.25" customHeight="1" x14ac:dyDescent="0.25">
      <c r="B10" s="259"/>
      <c r="C10" s="262"/>
      <c r="D10" s="262"/>
      <c r="E10" s="262"/>
      <c r="F10" s="268" t="s">
        <v>28</v>
      </c>
      <c r="G10" s="268" t="s">
        <v>29</v>
      </c>
      <c r="H10" s="268" t="s">
        <v>30</v>
      </c>
      <c r="I10" s="269" t="s">
        <v>31</v>
      </c>
      <c r="J10" s="269" t="s">
        <v>32</v>
      </c>
      <c r="K10" s="269" t="s">
        <v>33</v>
      </c>
      <c r="L10" s="269" t="s">
        <v>34</v>
      </c>
      <c r="M10" s="283" t="s">
        <v>35</v>
      </c>
      <c r="N10" s="284"/>
      <c r="O10" s="284"/>
      <c r="P10" s="284"/>
      <c r="Q10" s="285"/>
      <c r="S10" s="254" t="s">
        <v>36</v>
      </c>
      <c r="T10" s="255"/>
      <c r="U10" s="256"/>
      <c r="X10" s="272"/>
      <c r="Y10" s="275"/>
      <c r="Z10" s="275"/>
      <c r="AA10" s="17"/>
      <c r="AB10" s="252"/>
      <c r="AC10" s="278"/>
      <c r="AD10" s="281"/>
      <c r="AE10" s="252"/>
      <c r="AG10" s="252"/>
      <c r="AH10" s="17"/>
      <c r="AI10" s="252"/>
    </row>
    <row r="11" spans="2:35" s="21" customFormat="1" ht="12.75" customHeight="1" thickBot="1" x14ac:dyDescent="0.3">
      <c r="B11" s="260"/>
      <c r="C11" s="263"/>
      <c r="D11" s="263"/>
      <c r="E11" s="263"/>
      <c r="F11" s="263"/>
      <c r="G11" s="263"/>
      <c r="H11" s="263"/>
      <c r="I11" s="270"/>
      <c r="J11" s="270"/>
      <c r="K11" s="270"/>
      <c r="L11" s="270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73"/>
      <c r="Y11" s="276"/>
      <c r="Z11" s="276"/>
      <c r="AA11" s="17"/>
      <c r="AB11" s="253"/>
      <c r="AC11" s="279"/>
      <c r="AD11" s="282"/>
      <c r="AE11" s="253"/>
      <c r="AG11" s="267"/>
      <c r="AH11" s="17"/>
      <c r="AI11" s="253"/>
    </row>
    <row r="12" spans="2:35" s="21" customFormat="1" ht="32.1" customHeight="1" thickBot="1" x14ac:dyDescent="0.3">
      <c r="B12" s="23" t="s">
        <v>42</v>
      </c>
      <c r="C12" s="24">
        <v>912</v>
      </c>
      <c r="D12" s="24">
        <v>120</v>
      </c>
      <c r="E12" s="24">
        <f>C12+D12</f>
        <v>1032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IF($U$6="x",(F12*3.5),"")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26</v>
      </c>
      <c r="AH12" s="37"/>
      <c r="AI12" s="43">
        <f t="shared" ref="AI12:AI68" si="1">AG12+AE12</f>
        <v>31.369999999999997</v>
      </c>
    </row>
    <row r="13" spans="2:35" s="21" customFormat="1" ht="32.1" customHeight="1" thickBot="1" x14ac:dyDescent="0.3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/>
      <c r="N13" s="51"/>
      <c r="O13" s="51"/>
      <c r="P13" s="52" t="str">
        <f t="shared" ref="P13:P68" si="5">IF(M13&amp;N13="","",ROUND(((M13+N13)/G13),1)&amp;" pallets")</f>
        <v/>
      </c>
      <c r="Q13" s="53">
        <f t="shared" ref="Q13:Q70" si="6">(J13*M13)+(K13*N13)+(O13*L13)</f>
        <v>0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36">
        <f t="shared" ref="Z13:Z56" si="8">IF($U$6="x",(F13*3.5),"")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42">
        <v>26</v>
      </c>
      <c r="AH13" s="37"/>
      <c r="AI13" s="63">
        <f t="shared" si="1"/>
        <v>29.64</v>
      </c>
    </row>
    <row r="14" spans="2:35" s="21" customFormat="1" ht="32.1" customHeight="1" thickBot="1" x14ac:dyDescent="0.3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36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42">
        <v>26</v>
      </c>
      <c r="AH14" s="37"/>
      <c r="AI14" s="63">
        <f t="shared" si="1"/>
        <v>32.07</v>
      </c>
    </row>
    <row r="15" spans="2:35" s="21" customFormat="1" ht="32.1" customHeight="1" thickBot="1" x14ac:dyDescent="0.3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36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42">
        <v>26</v>
      </c>
      <c r="AH15" s="37"/>
      <c r="AI15" s="63">
        <f t="shared" si="1"/>
        <v>30.1</v>
      </c>
    </row>
    <row r="16" spans="2:35" s="21" customFormat="1" ht="32.1" customHeight="1" thickBot="1" x14ac:dyDescent="0.3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/>
      <c r="G16" s="47">
        <v>108</v>
      </c>
      <c r="H16" s="64"/>
      <c r="I16" s="49">
        <f t="shared" si="4"/>
        <v>0</v>
      </c>
      <c r="J16" s="50">
        <v>111</v>
      </c>
      <c r="K16" s="65"/>
      <c r="L16" s="50">
        <v>4.5</v>
      </c>
      <c r="M16" s="51"/>
      <c r="N16" s="193"/>
      <c r="O16" s="51"/>
      <c r="P16" s="52" t="str">
        <f t="shared" si="5"/>
        <v/>
      </c>
      <c r="Q16" s="53">
        <f t="shared" si="6"/>
        <v>0</v>
      </c>
      <c r="S16" s="54"/>
      <c r="T16" s="67"/>
      <c r="U16" s="55"/>
      <c r="X16" s="56">
        <f t="shared" si="7"/>
        <v>0</v>
      </c>
      <c r="Y16" s="57">
        <f>F16*AI16</f>
        <v>0</v>
      </c>
      <c r="Z16" s="36">
        <f t="shared" si="8"/>
        <v>0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42">
        <v>26</v>
      </c>
      <c r="AH16" s="37"/>
      <c r="AI16" s="63">
        <f t="shared" si="1"/>
        <v>29.64</v>
      </c>
    </row>
    <row r="17" spans="2:35" s="21" customFormat="1" ht="32.1" customHeight="1" thickBot="1" x14ac:dyDescent="0.3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36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42">
        <v>26</v>
      </c>
      <c r="AH17" s="37"/>
      <c r="AI17" s="63">
        <f t="shared" si="1"/>
        <v>29.64</v>
      </c>
    </row>
    <row r="18" spans="2:35" s="21" customFormat="1" ht="32.1" customHeight="1" thickBot="1" x14ac:dyDescent="0.3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36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42">
        <v>26</v>
      </c>
      <c r="AH18" s="37"/>
      <c r="AI18" s="63">
        <f t="shared" si="1"/>
        <v>29.64</v>
      </c>
    </row>
    <row r="19" spans="2:35" s="21" customFormat="1" ht="32.1" customHeight="1" thickBot="1" x14ac:dyDescent="0.3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36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42">
        <v>26</v>
      </c>
      <c r="AH19" s="37"/>
      <c r="AI19" s="83">
        <f t="shared" si="1"/>
        <v>32.07</v>
      </c>
    </row>
    <row r="20" spans="2:35" s="21" customFormat="1" ht="32.1" customHeight="1" thickBot="1" x14ac:dyDescent="0.3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36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42">
        <v>26</v>
      </c>
      <c r="AH20" s="37"/>
      <c r="AI20" s="63">
        <f t="shared" si="1"/>
        <v>32.07</v>
      </c>
    </row>
    <row r="21" spans="2:35" s="21" customFormat="1" ht="32.1" customHeight="1" thickBot="1" x14ac:dyDescent="0.3">
      <c r="B21" s="68" t="s">
        <v>51</v>
      </c>
      <c r="C21" s="45">
        <v>872</v>
      </c>
      <c r="D21" s="69">
        <v>120</v>
      </c>
      <c r="E21" s="69">
        <f t="shared" si="2"/>
        <v>992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36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42">
        <v>26</v>
      </c>
      <c r="AH21" s="37"/>
      <c r="AI21" s="83">
        <f t="shared" si="1"/>
        <v>32.07</v>
      </c>
    </row>
    <row r="22" spans="2:35" s="21" customFormat="1" ht="32.1" customHeight="1" thickBot="1" x14ac:dyDescent="0.3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36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42">
        <v>26</v>
      </c>
      <c r="AH22" s="37"/>
      <c r="AI22" s="43">
        <f>AG22+AE22</f>
        <v>32.07</v>
      </c>
    </row>
    <row r="23" spans="2:35" s="21" customFormat="1" ht="32.1" customHeight="1" thickBot="1" x14ac:dyDescent="0.3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36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42">
        <v>26</v>
      </c>
      <c r="AH23" s="37"/>
      <c r="AI23" s="43">
        <f t="shared" si="1"/>
        <v>32.07</v>
      </c>
    </row>
    <row r="24" spans="2:35" s="21" customFormat="1" ht="32.1" customHeight="1" thickBot="1" x14ac:dyDescent="0.3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36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42">
        <v>26</v>
      </c>
      <c r="AH24" s="37"/>
      <c r="AI24" s="63">
        <f t="shared" si="1"/>
        <v>32.07</v>
      </c>
    </row>
    <row r="25" spans="2:35" s="21" customFormat="1" ht="32.1" customHeight="1" thickBot="1" x14ac:dyDescent="0.3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36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42">
        <v>26</v>
      </c>
      <c r="AH25" s="37"/>
      <c r="AI25" s="63">
        <f t="shared" si="1"/>
        <v>32.07</v>
      </c>
    </row>
    <row r="26" spans="2:35" s="21" customFormat="1" ht="32.1" customHeight="1" thickBot="1" x14ac:dyDescent="0.3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36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42">
        <v>26</v>
      </c>
      <c r="AH26" s="37"/>
      <c r="AI26" s="63">
        <f t="shared" si="1"/>
        <v>32.07</v>
      </c>
    </row>
    <row r="27" spans="2:35" s="21" customFormat="1" ht="32.1" customHeight="1" thickBot="1" x14ac:dyDescent="0.3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36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42">
        <v>26</v>
      </c>
      <c r="AH27" s="37"/>
      <c r="AI27" s="83">
        <f t="shared" si="1"/>
        <v>32.07</v>
      </c>
    </row>
    <row r="28" spans="2:35" s="21" customFormat="1" ht="32.1" customHeight="1" thickBot="1" x14ac:dyDescent="0.3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36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42">
        <v>26</v>
      </c>
      <c r="AH28" s="37"/>
      <c r="AI28" s="43">
        <f t="shared" si="1"/>
        <v>32.07</v>
      </c>
    </row>
    <row r="29" spans="2:35" s="21" customFormat="1" ht="32.1" customHeight="1" thickBot="1" x14ac:dyDescent="0.3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36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42">
        <v>26</v>
      </c>
      <c r="AH29" s="37"/>
      <c r="AI29" s="83">
        <f t="shared" si="1"/>
        <v>32.07</v>
      </c>
    </row>
    <row r="30" spans="2:35" s="21" customFormat="1" ht="32.1" customHeight="1" thickBot="1" x14ac:dyDescent="0.3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36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42">
        <v>26</v>
      </c>
      <c r="AH30" s="37"/>
      <c r="AI30" s="43">
        <f t="shared" si="1"/>
        <v>31.369999999999997</v>
      </c>
    </row>
    <row r="31" spans="2:35" s="21" customFormat="1" ht="32.1" customHeight="1" thickBot="1" x14ac:dyDescent="0.3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36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42">
        <v>26</v>
      </c>
      <c r="AH31" s="37"/>
      <c r="AI31" s="63">
        <f t="shared" si="1"/>
        <v>31.759999999999998</v>
      </c>
    </row>
    <row r="32" spans="2:35" s="21" customFormat="1" ht="32.1" customHeight="1" thickBot="1" x14ac:dyDescent="0.3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36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42">
        <v>26</v>
      </c>
      <c r="AH32" s="37"/>
      <c r="AI32" s="63">
        <f t="shared" si="1"/>
        <v>32.07</v>
      </c>
    </row>
    <row r="33" spans="2:35" s="21" customFormat="1" ht="32.1" customHeight="1" thickBot="1" x14ac:dyDescent="0.3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36">
        <f t="shared" si="8"/>
        <v>0</v>
      </c>
      <c r="AA33" s="37"/>
      <c r="AB33" s="58">
        <f>AB8</f>
        <v>2.67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2.98</v>
      </c>
      <c r="AF33" s="61"/>
      <c r="AG33" s="42">
        <v>26</v>
      </c>
      <c r="AH33" s="37"/>
      <c r="AI33" s="43">
        <f t="shared" si="1"/>
        <v>28.98</v>
      </c>
    </row>
    <row r="34" spans="2:35" s="21" customFormat="1" ht="32.1" customHeight="1" thickBot="1" x14ac:dyDescent="0.3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36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42">
        <v>26</v>
      </c>
      <c r="AH34" s="37"/>
      <c r="AI34" s="43">
        <f t="shared" si="1"/>
        <v>28.16</v>
      </c>
    </row>
    <row r="35" spans="2:35" s="21" customFormat="1" ht="32.1" customHeight="1" thickBot="1" x14ac:dyDescent="0.3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36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42">
        <v>26</v>
      </c>
      <c r="AH35" s="37"/>
      <c r="AI35" s="63">
        <f t="shared" si="1"/>
        <v>28.16</v>
      </c>
    </row>
    <row r="36" spans="2:35" s="21" customFormat="1" ht="32.1" customHeight="1" thickBot="1" x14ac:dyDescent="0.3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36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42">
        <v>26</v>
      </c>
      <c r="AH36" s="37"/>
      <c r="AI36" s="63">
        <f t="shared" si="1"/>
        <v>28.16</v>
      </c>
    </row>
    <row r="37" spans="2:35" s="21" customFormat="1" ht="32.1" customHeight="1" thickBot="1" x14ac:dyDescent="0.3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36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42">
        <v>26</v>
      </c>
      <c r="AH37" s="37"/>
      <c r="AI37" s="63">
        <f t="shared" si="1"/>
        <v>28.16</v>
      </c>
    </row>
    <row r="38" spans="2:35" s="21" customFormat="1" ht="32.1" customHeight="1" thickBot="1" x14ac:dyDescent="0.3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36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42">
        <v>26</v>
      </c>
      <c r="AH38" s="37"/>
      <c r="AI38" s="83">
        <f t="shared" si="1"/>
        <v>28.16</v>
      </c>
    </row>
    <row r="39" spans="2:35" s="21" customFormat="1" ht="32.1" customHeight="1" thickBot="1" x14ac:dyDescent="0.3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36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42">
        <v>26</v>
      </c>
      <c r="AH39" s="37"/>
      <c r="AI39" s="43">
        <f t="shared" si="1"/>
        <v>28.16</v>
      </c>
    </row>
    <row r="40" spans="2:35" s="21" customFormat="1" ht="32.1" customHeight="1" thickBot="1" x14ac:dyDescent="0.3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36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42">
        <v>26</v>
      </c>
      <c r="AH40" s="37"/>
      <c r="AI40" s="63">
        <f t="shared" si="1"/>
        <v>28.16</v>
      </c>
    </row>
    <row r="41" spans="2:35" s="21" customFormat="1" ht="32.1" customHeight="1" thickBot="1" x14ac:dyDescent="0.3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36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42">
        <v>26</v>
      </c>
      <c r="AH41" s="37"/>
      <c r="AI41" s="83">
        <f t="shared" si="1"/>
        <v>28.16</v>
      </c>
    </row>
    <row r="42" spans="2:35" s="21" customFormat="1" ht="32.1" customHeight="1" thickBot="1" x14ac:dyDescent="0.3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36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42">
        <v>26</v>
      </c>
      <c r="AH42" s="37"/>
      <c r="AI42" s="107">
        <f t="shared" si="1"/>
        <v>28.16</v>
      </c>
    </row>
    <row r="43" spans="2:35" s="21" customFormat="1" ht="32.1" customHeight="1" thickBot="1" x14ac:dyDescent="0.3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36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42">
        <v>26</v>
      </c>
      <c r="AH43" s="37"/>
      <c r="AI43" s="110">
        <f t="shared" si="1"/>
        <v>28.16</v>
      </c>
    </row>
    <row r="44" spans="2:35" s="21" customFormat="1" ht="32.1" customHeight="1" thickBot="1" x14ac:dyDescent="0.3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36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42">
        <v>26</v>
      </c>
      <c r="AH44" s="37"/>
      <c r="AI44" s="63">
        <f>AG44+AE44</f>
        <v>28.16</v>
      </c>
    </row>
    <row r="45" spans="2:35" s="21" customFormat="1" ht="32.1" customHeight="1" thickBot="1" x14ac:dyDescent="0.3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36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42">
        <v>26</v>
      </c>
      <c r="AH45" s="37"/>
      <c r="AI45" s="110">
        <f t="shared" si="1"/>
        <v>29.77</v>
      </c>
    </row>
    <row r="46" spans="2:35" s="21" customFormat="1" ht="32.1" customHeight="1" thickBot="1" x14ac:dyDescent="0.3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36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42">
        <v>26</v>
      </c>
      <c r="AH46" s="37"/>
      <c r="AI46" s="83">
        <f t="shared" si="1"/>
        <v>28.16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36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42">
        <v>26</v>
      </c>
      <c r="AH47" s="37"/>
      <c r="AI47" s="107">
        <f t="shared" si="1"/>
        <v>26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36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42">
        <v>26</v>
      </c>
      <c r="AH48" s="37"/>
      <c r="AI48" s="110">
        <f t="shared" si="1"/>
        <v>26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36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42">
        <v>26</v>
      </c>
      <c r="AH49" s="37"/>
      <c r="AI49" s="83">
        <f t="shared" si="1"/>
        <v>26</v>
      </c>
    </row>
    <row r="50" spans="2:35" s="21" customFormat="1" ht="32.1" customHeight="1" thickBot="1" x14ac:dyDescent="0.3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36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42">
        <v>26</v>
      </c>
      <c r="AH50" s="37"/>
      <c r="AI50" s="63">
        <f t="shared" si="1"/>
        <v>32.07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36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42">
        <v>26</v>
      </c>
      <c r="AH51" s="37"/>
      <c r="AI51" s="125">
        <f t="shared" si="1"/>
        <v>28.16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36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42">
        <v>26</v>
      </c>
      <c r="AH52" s="37"/>
      <c r="AI52" s="43">
        <f t="shared" si="1"/>
        <v>31.07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36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42">
        <v>26</v>
      </c>
      <c r="AH53" s="37"/>
      <c r="AI53" s="125">
        <f t="shared" si="1"/>
        <v>28.16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36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42">
        <v>26</v>
      </c>
      <c r="AH54" s="37"/>
      <c r="AI54" s="125">
        <f t="shared" si="1"/>
        <v>28.16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36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42">
        <v>26</v>
      </c>
      <c r="AH55" s="37"/>
      <c r="AI55" s="125">
        <f t="shared" si="1"/>
        <v>28.16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36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42">
        <v>26</v>
      </c>
      <c r="AH56" s="37"/>
      <c r="AI56" s="125">
        <f t="shared" si="1"/>
        <v>28.16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>
        <v>288</v>
      </c>
      <c r="N57" s="51">
        <v>270</v>
      </c>
      <c r="O57" s="51"/>
      <c r="P57" s="52" t="str">
        <f t="shared" si="5"/>
        <v>7.8 pallets</v>
      </c>
      <c r="Q57" s="53">
        <f>(J57*M57)+(K57*N57)+(O57*L57)</f>
        <v>33804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>IF($U$6="x",(F62*3.5),"")</f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26</v>
      </c>
      <c r="AH62" s="37"/>
      <c r="AI62" s="43">
        <f t="shared" si="1"/>
        <v>28.16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ref="Z63:Z68" si="17">IF($U$6="x",(F63*3.5),"")</f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26</v>
      </c>
      <c r="AH63" s="37"/>
      <c r="AI63" s="63">
        <f t="shared" si="1"/>
        <v>28.16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17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26</v>
      </c>
      <c r="AH64" s="37"/>
      <c r="AI64" s="63">
        <f t="shared" si="1"/>
        <v>28.16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17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26</v>
      </c>
      <c r="AH65" s="37"/>
      <c r="AI65" s="63">
        <f t="shared" si="1"/>
        <v>28.16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17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26</v>
      </c>
      <c r="AH66" s="37"/>
      <c r="AI66" s="63">
        <f t="shared" si="1"/>
        <v>28.16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17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26</v>
      </c>
      <c r="AH67" s="37"/>
      <c r="AI67" s="63">
        <f t="shared" si="1"/>
        <v>28.16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57">
        <f t="shared" si="17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26</v>
      </c>
      <c r="AH68" s="37"/>
      <c r="AI68" s="125">
        <f t="shared" si="1"/>
        <v>28.16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8">+D69-C69</f>
        <v>262.5</v>
      </c>
      <c r="F69" s="136"/>
      <c r="G69" s="87">
        <v>72</v>
      </c>
      <c r="H69" s="137" t="str">
        <f t="shared" ref="H69:H70" si="19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20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8"/>
        <v>262.5</v>
      </c>
      <c r="F70" s="142"/>
      <c r="G70" s="115">
        <v>72</v>
      </c>
      <c r="H70" s="143" t="str">
        <f t="shared" si="19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20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57" t="s">
        <v>101</v>
      </c>
      <c r="C71" s="257"/>
      <c r="D71" s="257"/>
      <c r="E71" s="257"/>
      <c r="F71" s="257"/>
      <c r="G71" s="257"/>
      <c r="H71" s="147" t="str">
        <f>ROUND(((F12+F30+F52+F57+F58+F59+F60+F61)/72+(F13+F16+F18)/108+(F14+SUM(F19:F29)+F31+F32+F22+F50+F45)/63+F15/96+SUM(F34:F43)/100+SUM(F47:F49)/24+SUM(F62:F68)/100+(F51+F46+F44)/100),1)&amp;" pallets"</f>
        <v>0 pallets</v>
      </c>
      <c r="I71" s="148"/>
      <c r="J71" s="149"/>
      <c r="K71" s="150"/>
      <c r="L71" s="149"/>
      <c r="M71" s="151"/>
      <c r="N71" s="152"/>
      <c r="O71" s="152"/>
      <c r="P71" s="195" t="str">
        <f>ROUND((((M12+N12+M30+M57+M58+M59+M60+M61+N57)/72+(M13+N13+M16+M18)/108+(M15+N15)/96+SUM(M14,M19:M29,M31:M32,M50,N14)/63)),1)&amp;" pallets"</f>
        <v>7.8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37">
        <f>SUM(I12:I70)</f>
        <v>0</v>
      </c>
      <c r="G73" s="237"/>
      <c r="H73" s="237"/>
      <c r="I73" s="238"/>
      <c r="J73" s="158"/>
      <c r="K73" s="158"/>
      <c r="L73" s="158"/>
      <c r="M73" s="249" t="s">
        <v>103</v>
      </c>
      <c r="N73" s="250"/>
      <c r="O73" s="237">
        <f>SUM(Q12:Q70)</f>
        <v>33804</v>
      </c>
      <c r="P73" s="237"/>
      <c r="Q73" s="238"/>
      <c r="R73" s="152"/>
      <c r="S73" s="159" t="s">
        <v>104</v>
      </c>
      <c r="T73" s="242">
        <f>SUM(Y12:Y68)</f>
        <v>0</v>
      </c>
      <c r="U73" s="243"/>
      <c r="V73" s="160"/>
      <c r="W73" s="160"/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37">
        <f>SUM(I14:I72)</f>
        <v>0</v>
      </c>
      <c r="G75" s="237"/>
      <c r="H75" s="237"/>
      <c r="I75" s="238"/>
      <c r="J75" s="158"/>
      <c r="K75" s="158"/>
      <c r="L75" s="158"/>
      <c r="M75" s="249" t="s">
        <v>103</v>
      </c>
      <c r="N75" s="250"/>
      <c r="O75" s="237">
        <f>SUM(Q14:Q72)</f>
        <v>33804</v>
      </c>
      <c r="P75" s="237"/>
      <c r="Q75" s="238"/>
      <c r="R75" s="152"/>
      <c r="S75" s="159" t="s">
        <v>129</v>
      </c>
      <c r="T75" s="242">
        <f>SUM(Z12:Z70)</f>
        <v>0</v>
      </c>
      <c r="U75" s="243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37">
        <f>IF(U7&gt;0,"",(F73-O73-T79-P79))</f>
        <v>-33804</v>
      </c>
      <c r="G77" s="237"/>
      <c r="H77" s="237"/>
      <c r="I77" s="238"/>
      <c r="J77" s="164"/>
      <c r="K77" s="164"/>
      <c r="L77" s="164"/>
      <c r="M77" s="239" t="s">
        <v>106</v>
      </c>
      <c r="N77" s="239"/>
      <c r="O77" s="168" t="s">
        <v>107</v>
      </c>
      <c r="P77" s="240"/>
      <c r="Q77" s="241"/>
      <c r="R77" s="152"/>
      <c r="S77" s="159" t="s">
        <v>108</v>
      </c>
      <c r="T77" s="242">
        <f>IF(SUM(X12:X68)*0.15&gt;P77,P77,SUM(X12:X68)*0.15)</f>
        <v>0</v>
      </c>
      <c r="U77" s="243"/>
      <c r="V77" s="160"/>
      <c r="W77" s="244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45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37"/>
      <c r="G79" s="237"/>
      <c r="H79" s="237"/>
      <c r="I79" s="238"/>
      <c r="J79" s="164"/>
      <c r="K79" s="164"/>
      <c r="L79" s="164"/>
      <c r="M79" s="247" t="str">
        <f>IF(U6&gt;0,"",T4+30)</f>
        <v/>
      </c>
      <c r="N79" s="248"/>
      <c r="O79" s="168" t="s">
        <v>111</v>
      </c>
      <c r="P79" s="240"/>
      <c r="Q79" s="241"/>
      <c r="R79" s="152"/>
      <c r="S79" s="159" t="s">
        <v>112</v>
      </c>
      <c r="T79" s="242">
        <f>T77+T73+T75</f>
        <v>0</v>
      </c>
      <c r="U79" s="243"/>
      <c r="V79" s="160"/>
      <c r="W79" s="246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14" t="s">
        <v>113</v>
      </c>
      <c r="C81" s="215"/>
      <c r="D81" s="215"/>
      <c r="E81" s="215"/>
      <c r="F81" s="215"/>
      <c r="G81" s="215"/>
      <c r="H81" s="216"/>
      <c r="I81" s="223" t="s">
        <v>114</v>
      </c>
      <c r="J81" s="171"/>
      <c r="K81" s="171"/>
      <c r="L81" s="171"/>
      <c r="M81" s="225"/>
      <c r="N81" s="228" t="s">
        <v>115</v>
      </c>
      <c r="O81" s="231"/>
      <c r="P81" s="225"/>
      <c r="Q81" s="208" t="s">
        <v>116</v>
      </c>
      <c r="R81" s="234"/>
      <c r="S81" s="205"/>
      <c r="T81" s="208" t="s">
        <v>117</v>
      </c>
      <c r="U81" s="211"/>
    </row>
    <row r="82" spans="2:21" ht="15" customHeight="1" x14ac:dyDescent="0.25">
      <c r="B82" s="217"/>
      <c r="C82" s="218"/>
      <c r="D82" s="218"/>
      <c r="E82" s="218"/>
      <c r="F82" s="218"/>
      <c r="G82" s="218"/>
      <c r="H82" s="219"/>
      <c r="I82" s="202"/>
      <c r="J82" s="2"/>
      <c r="K82" s="2"/>
      <c r="L82" s="2"/>
      <c r="M82" s="226"/>
      <c r="N82" s="229"/>
      <c r="O82" s="232"/>
      <c r="P82" s="226"/>
      <c r="Q82" s="209"/>
      <c r="R82" s="235"/>
      <c r="S82" s="206"/>
      <c r="T82" s="209"/>
      <c r="U82" s="212"/>
    </row>
    <row r="83" spans="2:21" ht="15.75" customHeight="1" thickBot="1" x14ac:dyDescent="0.3">
      <c r="B83" s="220"/>
      <c r="C83" s="221"/>
      <c r="D83" s="221"/>
      <c r="E83" s="221"/>
      <c r="F83" s="221"/>
      <c r="G83" s="221"/>
      <c r="H83" s="222"/>
      <c r="I83" s="224"/>
      <c r="J83" s="172"/>
      <c r="K83" s="172"/>
      <c r="L83" s="172"/>
      <c r="M83" s="227"/>
      <c r="N83" s="230"/>
      <c r="O83" s="233"/>
      <c r="P83" s="227"/>
      <c r="Q83" s="210"/>
      <c r="R83" s="236"/>
      <c r="S83" s="207"/>
      <c r="T83" s="210"/>
      <c r="U83" s="213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196" t="s">
        <v>132</v>
      </c>
      <c r="C88" s="197"/>
      <c r="D88" s="197"/>
      <c r="E88" s="197"/>
      <c r="F88" s="197"/>
      <c r="G88" s="197"/>
      <c r="H88" s="197"/>
      <c r="I88" s="198"/>
      <c r="J88" s="185"/>
      <c r="K88" s="185"/>
      <c r="L88" s="185"/>
      <c r="M88" s="196"/>
      <c r="N88" s="197"/>
      <c r="O88" s="197"/>
      <c r="P88" s="197"/>
      <c r="Q88" s="198"/>
      <c r="R88" s="187"/>
      <c r="S88" s="188"/>
      <c r="T88" s="188"/>
      <c r="U88" s="189"/>
    </row>
    <row r="89" spans="2:21" ht="18" x14ac:dyDescent="0.25">
      <c r="B89" s="199" t="s">
        <v>122</v>
      </c>
      <c r="C89" s="200"/>
      <c r="D89" s="200"/>
      <c r="E89" s="200"/>
      <c r="F89" s="200"/>
      <c r="G89" s="200"/>
      <c r="H89" s="200"/>
      <c r="I89" s="201"/>
      <c r="M89" s="199" t="s">
        <v>122</v>
      </c>
      <c r="N89" s="200"/>
      <c r="O89" s="200"/>
      <c r="P89" s="200"/>
      <c r="Q89" s="201"/>
      <c r="R89" s="202" t="s">
        <v>123</v>
      </c>
      <c r="S89" s="203"/>
      <c r="T89" s="203"/>
      <c r="U89" s="204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196" t="s">
        <v>133</v>
      </c>
      <c r="C93" s="197"/>
      <c r="D93" s="197"/>
      <c r="E93" s="197"/>
      <c r="F93" s="197"/>
      <c r="G93" s="197"/>
      <c r="H93" s="197"/>
      <c r="I93" s="198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199" t="s">
        <v>126</v>
      </c>
      <c r="C94" s="200"/>
      <c r="D94" s="200"/>
      <c r="E94" s="200"/>
      <c r="F94" s="200"/>
      <c r="G94" s="200"/>
      <c r="H94" s="200"/>
      <c r="I94" s="201"/>
      <c r="M94" s="179"/>
      <c r="Q94" s="180"/>
      <c r="R94" s="202" t="s">
        <v>127</v>
      </c>
      <c r="S94" s="203"/>
      <c r="T94" s="203"/>
      <c r="U94" s="204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B9:B11"/>
    <mergeCell ref="C9:C11"/>
    <mergeCell ref="D9:D11"/>
    <mergeCell ref="E9:E11"/>
    <mergeCell ref="F9:Q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302EAD-0BB3-43E1-9023-5B2546F8C315}">
  <sheetPr>
    <tabColor rgb="FF00B050"/>
    <pageSetUpPr fitToPage="1"/>
  </sheetPr>
  <dimension ref="A1:AJ100"/>
  <sheetViews>
    <sheetView showGridLines="0" topLeftCell="A61" zoomScale="85" zoomScaleNormal="85" workbookViewId="0">
      <pane xSplit="2" topLeftCell="C1" activePane="topRight" state="frozen"/>
      <selection activeCell="P79" sqref="P79:Q79"/>
      <selection pane="topRight" activeCell="F77" sqref="F77:I77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86" t="s">
        <v>130</v>
      </c>
      <c r="G2" s="286"/>
      <c r="H2" s="286"/>
      <c r="I2" s="286"/>
      <c r="J2" s="286"/>
      <c r="K2" s="286"/>
      <c r="L2" s="286"/>
      <c r="M2" s="286"/>
      <c r="N2" s="286"/>
      <c r="O2" s="286"/>
      <c r="P2" s="286"/>
      <c r="Q2" s="286"/>
      <c r="R2" s="286"/>
      <c r="S2" s="286"/>
      <c r="T2" s="6" t="s">
        <v>1</v>
      </c>
      <c r="U2" s="7"/>
      <c r="W2" s="244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45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87"/>
      <c r="G4" s="287"/>
      <c r="H4" s="287"/>
      <c r="I4" s="287"/>
      <c r="J4" s="287"/>
      <c r="K4" s="287"/>
      <c r="L4" s="287"/>
      <c r="M4" s="287"/>
      <c r="S4" s="2" t="s">
        <v>4</v>
      </c>
      <c r="T4" s="288"/>
      <c r="U4" s="288"/>
      <c r="W4" s="246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89"/>
      <c r="G6" s="289"/>
      <c r="H6" s="289"/>
      <c r="I6" s="289"/>
      <c r="J6" s="289"/>
      <c r="K6" s="289"/>
      <c r="L6" s="289"/>
      <c r="M6" s="289"/>
      <c r="S6" s="11" t="s">
        <v>6</v>
      </c>
      <c r="T6" s="195" t="s">
        <v>7</v>
      </c>
      <c r="U6" s="12" t="s">
        <v>131</v>
      </c>
      <c r="W6" s="244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89"/>
      <c r="G7" s="289"/>
      <c r="H7" s="289"/>
      <c r="I7" s="289"/>
      <c r="J7" s="289"/>
      <c r="K7" s="289"/>
      <c r="L7" s="289"/>
      <c r="M7" s="289"/>
      <c r="N7" s="14"/>
      <c r="O7" s="14"/>
      <c r="P7" s="14"/>
      <c r="Q7" s="15"/>
      <c r="S7" s="14"/>
      <c r="T7" s="195" t="s">
        <v>11</v>
      </c>
      <c r="U7" s="12"/>
      <c r="W7" s="246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2.67</v>
      </c>
      <c r="AD8" s="2">
        <v>0.31</v>
      </c>
      <c r="AE8" s="11" t="s">
        <v>13</v>
      </c>
    </row>
    <row r="9" spans="2:35" s="16" customFormat="1" ht="20.25" x14ac:dyDescent="0.25">
      <c r="B9" s="258" t="s">
        <v>14</v>
      </c>
      <c r="C9" s="261" t="s">
        <v>15</v>
      </c>
      <c r="D9" s="261" t="s">
        <v>16</v>
      </c>
      <c r="E9" s="261" t="s">
        <v>17</v>
      </c>
      <c r="F9" s="264" t="s">
        <v>18</v>
      </c>
      <c r="G9" s="265"/>
      <c r="H9" s="265"/>
      <c r="I9" s="265"/>
      <c r="J9" s="265"/>
      <c r="K9" s="265"/>
      <c r="L9" s="265"/>
      <c r="M9" s="265"/>
      <c r="N9" s="265"/>
      <c r="O9" s="265"/>
      <c r="P9" s="265"/>
      <c r="Q9" s="266"/>
      <c r="S9" s="264" t="s">
        <v>19</v>
      </c>
      <c r="T9" s="265"/>
      <c r="U9" s="266"/>
      <c r="X9" s="271" t="s">
        <v>20</v>
      </c>
      <c r="Y9" s="274" t="s">
        <v>21</v>
      </c>
      <c r="Z9" s="274" t="s">
        <v>128</v>
      </c>
      <c r="AA9" s="17"/>
      <c r="AB9" s="251" t="s">
        <v>22</v>
      </c>
      <c r="AC9" s="277" t="s">
        <v>23</v>
      </c>
      <c r="AD9" s="280" t="s">
        <v>24</v>
      </c>
      <c r="AE9" s="251" t="s">
        <v>25</v>
      </c>
      <c r="AG9" s="251" t="s">
        <v>26</v>
      </c>
      <c r="AH9" s="17"/>
      <c r="AI9" s="251" t="s">
        <v>27</v>
      </c>
    </row>
    <row r="10" spans="2:35" s="16" customFormat="1" ht="20.25" customHeight="1" x14ac:dyDescent="0.25">
      <c r="B10" s="259"/>
      <c r="C10" s="262"/>
      <c r="D10" s="262"/>
      <c r="E10" s="262"/>
      <c r="F10" s="268" t="s">
        <v>28</v>
      </c>
      <c r="G10" s="268" t="s">
        <v>29</v>
      </c>
      <c r="H10" s="268" t="s">
        <v>30</v>
      </c>
      <c r="I10" s="269" t="s">
        <v>31</v>
      </c>
      <c r="J10" s="269" t="s">
        <v>32</v>
      </c>
      <c r="K10" s="269" t="s">
        <v>33</v>
      </c>
      <c r="L10" s="269" t="s">
        <v>34</v>
      </c>
      <c r="M10" s="283" t="s">
        <v>35</v>
      </c>
      <c r="N10" s="284"/>
      <c r="O10" s="284"/>
      <c r="P10" s="284"/>
      <c r="Q10" s="285"/>
      <c r="S10" s="254" t="s">
        <v>36</v>
      </c>
      <c r="T10" s="255"/>
      <c r="U10" s="256"/>
      <c r="X10" s="272"/>
      <c r="Y10" s="275"/>
      <c r="Z10" s="275"/>
      <c r="AA10" s="17"/>
      <c r="AB10" s="252"/>
      <c r="AC10" s="278"/>
      <c r="AD10" s="281"/>
      <c r="AE10" s="252"/>
      <c r="AG10" s="252"/>
      <c r="AH10" s="17"/>
      <c r="AI10" s="252"/>
    </row>
    <row r="11" spans="2:35" s="21" customFormat="1" ht="12.75" customHeight="1" thickBot="1" x14ac:dyDescent="0.3">
      <c r="B11" s="260"/>
      <c r="C11" s="263"/>
      <c r="D11" s="263"/>
      <c r="E11" s="263"/>
      <c r="F11" s="263"/>
      <c r="G11" s="263"/>
      <c r="H11" s="263"/>
      <c r="I11" s="270"/>
      <c r="J11" s="270"/>
      <c r="K11" s="270"/>
      <c r="L11" s="270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73"/>
      <c r="Y11" s="276"/>
      <c r="Z11" s="276"/>
      <c r="AA11" s="17"/>
      <c r="AB11" s="253"/>
      <c r="AC11" s="279"/>
      <c r="AD11" s="282"/>
      <c r="AE11" s="253"/>
      <c r="AG11" s="267"/>
      <c r="AH11" s="17"/>
      <c r="AI11" s="253"/>
    </row>
    <row r="12" spans="2:35" s="21" customFormat="1" ht="32.1" customHeight="1" thickBot="1" x14ac:dyDescent="0.3">
      <c r="B12" s="23" t="s">
        <v>42</v>
      </c>
      <c r="C12" s="24">
        <v>912</v>
      </c>
      <c r="D12" s="24">
        <v>120</v>
      </c>
      <c r="E12" s="24">
        <f>C12+D12</f>
        <v>1032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IF($U$6="x",(F12*3.5),"")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26</v>
      </c>
      <c r="AH12" s="37"/>
      <c r="AI12" s="43">
        <f t="shared" ref="AI12:AI68" si="1">AG12+AE12</f>
        <v>31.369999999999997</v>
      </c>
    </row>
    <row r="13" spans="2:35" s="21" customFormat="1" ht="32.1" customHeight="1" thickBot="1" x14ac:dyDescent="0.3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>
        <v>216</v>
      </c>
      <c r="N13" s="51"/>
      <c r="O13" s="51"/>
      <c r="P13" s="52" t="str">
        <f t="shared" ref="P13:P68" si="5">IF(M13&amp;N13="","",ROUND(((M13+N13)/G13),1)&amp;" pallets")</f>
        <v>2 pallets</v>
      </c>
      <c r="Q13" s="53">
        <f t="shared" ref="Q13:Q70" si="6">(J13*M13)+(K13*N13)+(O13*L13)</f>
        <v>23976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36">
        <f t="shared" ref="Z13:Z56" si="8">IF($U$6="x",(F13*3.5),"")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42">
        <v>26</v>
      </c>
      <c r="AH13" s="37"/>
      <c r="AI13" s="63">
        <f t="shared" si="1"/>
        <v>29.64</v>
      </c>
    </row>
    <row r="14" spans="2:35" s="21" customFormat="1" ht="32.1" customHeight="1" thickBot="1" x14ac:dyDescent="0.3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36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42">
        <v>26</v>
      </c>
      <c r="AH14" s="37"/>
      <c r="AI14" s="63">
        <f t="shared" si="1"/>
        <v>32.07</v>
      </c>
    </row>
    <row r="15" spans="2:35" s="21" customFormat="1" ht="32.1" customHeight="1" thickBot="1" x14ac:dyDescent="0.3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36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42">
        <v>26</v>
      </c>
      <c r="AH15" s="37"/>
      <c r="AI15" s="63">
        <f t="shared" si="1"/>
        <v>30.1</v>
      </c>
    </row>
    <row r="16" spans="2:35" s="21" customFormat="1" ht="32.1" customHeight="1" thickBot="1" x14ac:dyDescent="0.3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/>
      <c r="G16" s="47">
        <v>108</v>
      </c>
      <c r="H16" s="64"/>
      <c r="I16" s="49">
        <f t="shared" si="4"/>
        <v>0</v>
      </c>
      <c r="J16" s="50">
        <v>111</v>
      </c>
      <c r="K16" s="65"/>
      <c r="L16" s="50">
        <v>4.5</v>
      </c>
      <c r="M16" s="51">
        <v>1512</v>
      </c>
      <c r="N16" s="193"/>
      <c r="O16" s="51"/>
      <c r="P16" s="52" t="str">
        <f t="shared" si="5"/>
        <v>14 pallets</v>
      </c>
      <c r="Q16" s="53">
        <f t="shared" si="6"/>
        <v>167832</v>
      </c>
      <c r="S16" s="54"/>
      <c r="T16" s="67"/>
      <c r="U16" s="55"/>
      <c r="X16" s="56">
        <f t="shared" si="7"/>
        <v>0</v>
      </c>
      <c r="Y16" s="57">
        <f>F16*AI16</f>
        <v>0</v>
      </c>
      <c r="Z16" s="36">
        <f t="shared" si="8"/>
        <v>0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42">
        <v>26</v>
      </c>
      <c r="AH16" s="37"/>
      <c r="AI16" s="63">
        <f t="shared" si="1"/>
        <v>29.64</v>
      </c>
    </row>
    <row r="17" spans="2:35" s="21" customFormat="1" ht="32.1" customHeight="1" thickBot="1" x14ac:dyDescent="0.3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36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42">
        <v>26</v>
      </c>
      <c r="AH17" s="37"/>
      <c r="AI17" s="63">
        <f t="shared" si="1"/>
        <v>29.64</v>
      </c>
    </row>
    <row r="18" spans="2:35" s="21" customFormat="1" ht="32.1" customHeight="1" thickBot="1" x14ac:dyDescent="0.3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36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42">
        <v>26</v>
      </c>
      <c r="AH18" s="37"/>
      <c r="AI18" s="63">
        <f t="shared" si="1"/>
        <v>29.64</v>
      </c>
    </row>
    <row r="19" spans="2:35" s="21" customFormat="1" ht="32.1" customHeight="1" thickBot="1" x14ac:dyDescent="0.3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36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42">
        <v>26</v>
      </c>
      <c r="AH19" s="37"/>
      <c r="AI19" s="83">
        <f t="shared" si="1"/>
        <v>32.07</v>
      </c>
    </row>
    <row r="20" spans="2:35" s="21" customFormat="1" ht="32.1" customHeight="1" thickBot="1" x14ac:dyDescent="0.3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>
        <v>63</v>
      </c>
      <c r="N20" s="66"/>
      <c r="O20" s="51"/>
      <c r="P20" s="52" t="str">
        <f t="shared" si="5"/>
        <v>1 pallets</v>
      </c>
      <c r="Q20" s="53">
        <f t="shared" si="6"/>
        <v>7560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36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42">
        <v>26</v>
      </c>
      <c r="AH20" s="37"/>
      <c r="AI20" s="63">
        <f t="shared" si="1"/>
        <v>32.07</v>
      </c>
    </row>
    <row r="21" spans="2:35" s="21" customFormat="1" ht="32.1" customHeight="1" thickBot="1" x14ac:dyDescent="0.3">
      <c r="B21" s="68" t="s">
        <v>51</v>
      </c>
      <c r="C21" s="45">
        <v>872</v>
      </c>
      <c r="D21" s="69">
        <v>120</v>
      </c>
      <c r="E21" s="69">
        <f t="shared" si="2"/>
        <v>992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36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42">
        <v>26</v>
      </c>
      <c r="AH21" s="37"/>
      <c r="AI21" s="83">
        <f t="shared" si="1"/>
        <v>32.07</v>
      </c>
    </row>
    <row r="22" spans="2:35" s="21" customFormat="1" ht="32.1" customHeight="1" thickBot="1" x14ac:dyDescent="0.3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36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42">
        <v>26</v>
      </c>
      <c r="AH22" s="37"/>
      <c r="AI22" s="43">
        <f>AG22+AE22</f>
        <v>32.07</v>
      </c>
    </row>
    <row r="23" spans="2:35" s="21" customFormat="1" ht="32.1" customHeight="1" thickBot="1" x14ac:dyDescent="0.3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36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42">
        <v>26</v>
      </c>
      <c r="AH23" s="37"/>
      <c r="AI23" s="43">
        <f t="shared" si="1"/>
        <v>32.07</v>
      </c>
    </row>
    <row r="24" spans="2:35" s="21" customFormat="1" ht="32.1" customHeight="1" thickBot="1" x14ac:dyDescent="0.3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36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42">
        <v>26</v>
      </c>
      <c r="AH24" s="37"/>
      <c r="AI24" s="63">
        <f t="shared" si="1"/>
        <v>32.07</v>
      </c>
    </row>
    <row r="25" spans="2:35" s="21" customFormat="1" ht="32.1" customHeight="1" thickBot="1" x14ac:dyDescent="0.3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36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42">
        <v>26</v>
      </c>
      <c r="AH25" s="37"/>
      <c r="AI25" s="63">
        <f t="shared" si="1"/>
        <v>32.07</v>
      </c>
    </row>
    <row r="26" spans="2:35" s="21" customFormat="1" ht="32.1" customHeight="1" thickBot="1" x14ac:dyDescent="0.3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36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42">
        <v>26</v>
      </c>
      <c r="AH26" s="37"/>
      <c r="AI26" s="63">
        <f t="shared" si="1"/>
        <v>32.07</v>
      </c>
    </row>
    <row r="27" spans="2:35" s="21" customFormat="1" ht="32.1" customHeight="1" thickBot="1" x14ac:dyDescent="0.3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36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42">
        <v>26</v>
      </c>
      <c r="AH27" s="37"/>
      <c r="AI27" s="83">
        <f t="shared" si="1"/>
        <v>32.07</v>
      </c>
    </row>
    <row r="28" spans="2:35" s="21" customFormat="1" ht="32.1" customHeight="1" thickBot="1" x14ac:dyDescent="0.3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36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42">
        <v>26</v>
      </c>
      <c r="AH28" s="37"/>
      <c r="AI28" s="43">
        <f t="shared" si="1"/>
        <v>32.07</v>
      </c>
    </row>
    <row r="29" spans="2:35" s="21" customFormat="1" ht="32.1" customHeight="1" thickBot="1" x14ac:dyDescent="0.3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36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42">
        <v>26</v>
      </c>
      <c r="AH29" s="37"/>
      <c r="AI29" s="83">
        <f t="shared" si="1"/>
        <v>32.07</v>
      </c>
    </row>
    <row r="30" spans="2:35" s="21" customFormat="1" ht="32.1" customHeight="1" thickBot="1" x14ac:dyDescent="0.3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36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42">
        <v>26</v>
      </c>
      <c r="AH30" s="37"/>
      <c r="AI30" s="43">
        <f t="shared" si="1"/>
        <v>31.369999999999997</v>
      </c>
    </row>
    <row r="31" spans="2:35" s="21" customFormat="1" ht="32.1" customHeight="1" thickBot="1" x14ac:dyDescent="0.3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36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42">
        <v>26</v>
      </c>
      <c r="AH31" s="37"/>
      <c r="AI31" s="63">
        <f t="shared" si="1"/>
        <v>31.759999999999998</v>
      </c>
    </row>
    <row r="32" spans="2:35" s="21" customFormat="1" ht="32.1" customHeight="1" thickBot="1" x14ac:dyDescent="0.3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36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42">
        <v>26</v>
      </c>
      <c r="AH32" s="37"/>
      <c r="AI32" s="63">
        <f t="shared" si="1"/>
        <v>32.07</v>
      </c>
    </row>
    <row r="33" spans="2:35" s="21" customFormat="1" ht="32.1" customHeight="1" thickBot="1" x14ac:dyDescent="0.3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36">
        <f t="shared" si="8"/>
        <v>0</v>
      </c>
      <c r="AA33" s="37"/>
      <c r="AB33" s="58">
        <f>AB8</f>
        <v>2.67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2.98</v>
      </c>
      <c r="AF33" s="61"/>
      <c r="AG33" s="42">
        <v>26</v>
      </c>
      <c r="AH33" s="37"/>
      <c r="AI33" s="43">
        <f t="shared" si="1"/>
        <v>28.98</v>
      </c>
    </row>
    <row r="34" spans="2:35" s="21" customFormat="1" ht="32.1" customHeight="1" thickBot="1" x14ac:dyDescent="0.3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36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42">
        <v>26</v>
      </c>
      <c r="AH34" s="37"/>
      <c r="AI34" s="43">
        <f t="shared" si="1"/>
        <v>28.16</v>
      </c>
    </row>
    <row r="35" spans="2:35" s="21" customFormat="1" ht="32.1" customHeight="1" thickBot="1" x14ac:dyDescent="0.3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36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42">
        <v>26</v>
      </c>
      <c r="AH35" s="37"/>
      <c r="AI35" s="63">
        <f t="shared" si="1"/>
        <v>28.16</v>
      </c>
    </row>
    <row r="36" spans="2:35" s="21" customFormat="1" ht="32.1" customHeight="1" thickBot="1" x14ac:dyDescent="0.3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36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42">
        <v>26</v>
      </c>
      <c r="AH36" s="37"/>
      <c r="AI36" s="63">
        <f t="shared" si="1"/>
        <v>28.16</v>
      </c>
    </row>
    <row r="37" spans="2:35" s="21" customFormat="1" ht="32.1" customHeight="1" thickBot="1" x14ac:dyDescent="0.3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36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42">
        <v>26</v>
      </c>
      <c r="AH37" s="37"/>
      <c r="AI37" s="63">
        <f t="shared" si="1"/>
        <v>28.16</v>
      </c>
    </row>
    <row r="38" spans="2:35" s="21" customFormat="1" ht="32.1" customHeight="1" thickBot="1" x14ac:dyDescent="0.3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36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42">
        <v>26</v>
      </c>
      <c r="AH38" s="37"/>
      <c r="AI38" s="83">
        <f t="shared" si="1"/>
        <v>28.16</v>
      </c>
    </row>
    <row r="39" spans="2:35" s="21" customFormat="1" ht="32.1" customHeight="1" thickBot="1" x14ac:dyDescent="0.3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36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42">
        <v>26</v>
      </c>
      <c r="AH39" s="37"/>
      <c r="AI39" s="43">
        <f t="shared" si="1"/>
        <v>28.16</v>
      </c>
    </row>
    <row r="40" spans="2:35" s="21" customFormat="1" ht="32.1" customHeight="1" thickBot="1" x14ac:dyDescent="0.3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36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42">
        <v>26</v>
      </c>
      <c r="AH40" s="37"/>
      <c r="AI40" s="63">
        <f t="shared" si="1"/>
        <v>28.16</v>
      </c>
    </row>
    <row r="41" spans="2:35" s="21" customFormat="1" ht="32.1" customHeight="1" thickBot="1" x14ac:dyDescent="0.3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36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42">
        <v>26</v>
      </c>
      <c r="AH41" s="37"/>
      <c r="AI41" s="83">
        <f t="shared" si="1"/>
        <v>28.16</v>
      </c>
    </row>
    <row r="42" spans="2:35" s="21" customFormat="1" ht="32.1" customHeight="1" thickBot="1" x14ac:dyDescent="0.3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36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42">
        <v>26</v>
      </c>
      <c r="AH42" s="37"/>
      <c r="AI42" s="107">
        <f t="shared" si="1"/>
        <v>28.16</v>
      </c>
    </row>
    <row r="43" spans="2:35" s="21" customFormat="1" ht="32.1" customHeight="1" thickBot="1" x14ac:dyDescent="0.3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36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42">
        <v>26</v>
      </c>
      <c r="AH43" s="37"/>
      <c r="AI43" s="110">
        <f t="shared" si="1"/>
        <v>28.16</v>
      </c>
    </row>
    <row r="44" spans="2:35" s="21" customFormat="1" ht="32.1" customHeight="1" thickBot="1" x14ac:dyDescent="0.3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36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42">
        <v>26</v>
      </c>
      <c r="AH44" s="37"/>
      <c r="AI44" s="63">
        <f>AG44+AE44</f>
        <v>28.16</v>
      </c>
    </row>
    <row r="45" spans="2:35" s="21" customFormat="1" ht="32.1" customHeight="1" thickBot="1" x14ac:dyDescent="0.3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36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42">
        <v>26</v>
      </c>
      <c r="AH45" s="37"/>
      <c r="AI45" s="110">
        <f t="shared" si="1"/>
        <v>29.77</v>
      </c>
    </row>
    <row r="46" spans="2:35" s="21" customFormat="1" ht="32.1" customHeight="1" thickBot="1" x14ac:dyDescent="0.3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36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42">
        <v>26</v>
      </c>
      <c r="AH46" s="37"/>
      <c r="AI46" s="83">
        <f t="shared" si="1"/>
        <v>28.16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36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42">
        <v>26</v>
      </c>
      <c r="AH47" s="37"/>
      <c r="AI47" s="107">
        <f t="shared" si="1"/>
        <v>26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36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42">
        <v>26</v>
      </c>
      <c r="AH48" s="37"/>
      <c r="AI48" s="110">
        <f t="shared" si="1"/>
        <v>26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36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42">
        <v>26</v>
      </c>
      <c r="AH49" s="37"/>
      <c r="AI49" s="83">
        <f t="shared" si="1"/>
        <v>26</v>
      </c>
    </row>
    <row r="50" spans="2:35" s="21" customFormat="1" ht="32.1" customHeight="1" thickBot="1" x14ac:dyDescent="0.3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36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42">
        <v>26</v>
      </c>
      <c r="AH50" s="37"/>
      <c r="AI50" s="63">
        <f t="shared" si="1"/>
        <v>32.07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36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42">
        <v>26</v>
      </c>
      <c r="AH51" s="37"/>
      <c r="AI51" s="125">
        <f t="shared" si="1"/>
        <v>28.16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36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42">
        <v>26</v>
      </c>
      <c r="AH52" s="37"/>
      <c r="AI52" s="43">
        <f t="shared" si="1"/>
        <v>31.07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36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42">
        <v>26</v>
      </c>
      <c r="AH53" s="37"/>
      <c r="AI53" s="125">
        <f t="shared" si="1"/>
        <v>28.16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36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42">
        <v>26</v>
      </c>
      <c r="AH54" s="37"/>
      <c r="AI54" s="125">
        <f t="shared" si="1"/>
        <v>28.16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36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42">
        <v>26</v>
      </c>
      <c r="AH55" s="37"/>
      <c r="AI55" s="125">
        <f t="shared" si="1"/>
        <v>28.16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36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42">
        <v>26</v>
      </c>
      <c r="AH56" s="37"/>
      <c r="AI56" s="125">
        <f t="shared" si="1"/>
        <v>28.16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>IF($U$6="x",(F62*3.5),"")</f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26</v>
      </c>
      <c r="AH62" s="37"/>
      <c r="AI62" s="43">
        <f t="shared" si="1"/>
        <v>28.16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ref="Z63:Z68" si="17">IF($U$6="x",(F63*3.5),"")</f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26</v>
      </c>
      <c r="AH63" s="37"/>
      <c r="AI63" s="63">
        <f t="shared" si="1"/>
        <v>28.16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17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26</v>
      </c>
      <c r="AH64" s="37"/>
      <c r="AI64" s="63">
        <f t="shared" si="1"/>
        <v>28.16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17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26</v>
      </c>
      <c r="AH65" s="37"/>
      <c r="AI65" s="63">
        <f t="shared" si="1"/>
        <v>28.16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17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26</v>
      </c>
      <c r="AH66" s="37"/>
      <c r="AI66" s="63">
        <f t="shared" si="1"/>
        <v>28.16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17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26</v>
      </c>
      <c r="AH67" s="37"/>
      <c r="AI67" s="63">
        <f t="shared" si="1"/>
        <v>28.16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57">
        <f t="shared" si="17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26</v>
      </c>
      <c r="AH68" s="37"/>
      <c r="AI68" s="125">
        <f t="shared" si="1"/>
        <v>28.16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8">+D69-C69</f>
        <v>262.5</v>
      </c>
      <c r="F69" s="136"/>
      <c r="G69" s="87">
        <v>72</v>
      </c>
      <c r="H69" s="137" t="str">
        <f t="shared" ref="H69:H70" si="19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20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8"/>
        <v>262.5</v>
      </c>
      <c r="F70" s="142"/>
      <c r="G70" s="115">
        <v>72</v>
      </c>
      <c r="H70" s="143" t="str">
        <f t="shared" si="19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20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57" t="s">
        <v>101</v>
      </c>
      <c r="C71" s="257"/>
      <c r="D71" s="257"/>
      <c r="E71" s="257"/>
      <c r="F71" s="257"/>
      <c r="G71" s="257"/>
      <c r="H71" s="147" t="str">
        <f>ROUND(((F12+F30+F52+F57+F58+F59+F60+F61)/72+(F13+F16+F18)/108+(F14+SUM(F19:F29)+F31+F32+F22+F50+F45)/63+F15/96+SUM(F34:F43)/100+SUM(F47:F49)/24+SUM(F62:F68)/100+(F51+F46+F44)/100),1)&amp;" pallets"</f>
        <v>0 pallets</v>
      </c>
      <c r="I71" s="148"/>
      <c r="J71" s="149"/>
      <c r="K71" s="150"/>
      <c r="L71" s="149"/>
      <c r="M71" s="151"/>
      <c r="N71" s="152"/>
      <c r="O71" s="152"/>
      <c r="P71" s="195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37">
        <f>SUM(I12:I70)</f>
        <v>0</v>
      </c>
      <c r="G73" s="237"/>
      <c r="H73" s="237"/>
      <c r="I73" s="238"/>
      <c r="J73" s="158"/>
      <c r="K73" s="158"/>
      <c r="L73" s="158"/>
      <c r="M73" s="249" t="s">
        <v>103</v>
      </c>
      <c r="N73" s="250"/>
      <c r="O73" s="237">
        <f>SUM(Q12:Q70)</f>
        <v>199368</v>
      </c>
      <c r="P73" s="237"/>
      <c r="Q73" s="238"/>
      <c r="R73" s="152"/>
      <c r="S73" s="159" t="s">
        <v>104</v>
      </c>
      <c r="T73" s="242">
        <f>SUM(Y12:Y68)</f>
        <v>0</v>
      </c>
      <c r="U73" s="243"/>
      <c r="V73" s="160"/>
      <c r="W73" s="160"/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37">
        <f>SUM(I14:I72)</f>
        <v>0</v>
      </c>
      <c r="G75" s="237"/>
      <c r="H75" s="237"/>
      <c r="I75" s="238"/>
      <c r="J75" s="158"/>
      <c r="K75" s="158"/>
      <c r="L75" s="158"/>
      <c r="M75" s="249" t="s">
        <v>103</v>
      </c>
      <c r="N75" s="250"/>
      <c r="O75" s="237">
        <f>SUM(Q14:Q72)</f>
        <v>175392</v>
      </c>
      <c r="P75" s="237"/>
      <c r="Q75" s="238"/>
      <c r="R75" s="152"/>
      <c r="S75" s="159" t="s">
        <v>129</v>
      </c>
      <c r="T75" s="242">
        <f>SUM(Z12:Z70)</f>
        <v>0</v>
      </c>
      <c r="U75" s="243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37">
        <f>IF(U7&gt;0,"",(F73-O73-T79-P79))</f>
        <v>-199368</v>
      </c>
      <c r="G77" s="237"/>
      <c r="H77" s="237"/>
      <c r="I77" s="238"/>
      <c r="J77" s="164"/>
      <c r="K77" s="164"/>
      <c r="L77" s="164"/>
      <c r="M77" s="239" t="s">
        <v>106</v>
      </c>
      <c r="N77" s="239"/>
      <c r="O77" s="168" t="s">
        <v>107</v>
      </c>
      <c r="P77" s="240"/>
      <c r="Q77" s="241"/>
      <c r="R77" s="152"/>
      <c r="S77" s="159" t="s">
        <v>108</v>
      </c>
      <c r="T77" s="242">
        <f>IF(SUM(X12:X68)*0.15&gt;P77,P77,SUM(X12:X68)*0.15)</f>
        <v>0</v>
      </c>
      <c r="U77" s="243"/>
      <c r="V77" s="160"/>
      <c r="W77" s="244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45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37"/>
      <c r="G79" s="237"/>
      <c r="H79" s="237"/>
      <c r="I79" s="238"/>
      <c r="J79" s="164"/>
      <c r="K79" s="164"/>
      <c r="L79" s="164"/>
      <c r="M79" s="247" t="str">
        <f>IF(U6&gt;0,"",T4+30)</f>
        <v/>
      </c>
      <c r="N79" s="248"/>
      <c r="O79" s="168" t="s">
        <v>111</v>
      </c>
      <c r="P79" s="240"/>
      <c r="Q79" s="241"/>
      <c r="R79" s="152"/>
      <c r="S79" s="159" t="s">
        <v>112</v>
      </c>
      <c r="T79" s="242">
        <f>T77+T73+T75</f>
        <v>0</v>
      </c>
      <c r="U79" s="243"/>
      <c r="V79" s="160"/>
      <c r="W79" s="246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14" t="s">
        <v>113</v>
      </c>
      <c r="C81" s="215"/>
      <c r="D81" s="215"/>
      <c r="E81" s="215"/>
      <c r="F81" s="215"/>
      <c r="G81" s="215"/>
      <c r="H81" s="216"/>
      <c r="I81" s="223" t="s">
        <v>114</v>
      </c>
      <c r="J81" s="171"/>
      <c r="K81" s="171"/>
      <c r="L81" s="171"/>
      <c r="M81" s="225"/>
      <c r="N81" s="228" t="s">
        <v>115</v>
      </c>
      <c r="O81" s="231"/>
      <c r="P81" s="225"/>
      <c r="Q81" s="208" t="s">
        <v>116</v>
      </c>
      <c r="R81" s="234"/>
      <c r="S81" s="205"/>
      <c r="T81" s="208" t="s">
        <v>117</v>
      </c>
      <c r="U81" s="211"/>
    </row>
    <row r="82" spans="2:21" ht="15" customHeight="1" x14ac:dyDescent="0.25">
      <c r="B82" s="217"/>
      <c r="C82" s="218"/>
      <c r="D82" s="218"/>
      <c r="E82" s="218"/>
      <c r="F82" s="218"/>
      <c r="G82" s="218"/>
      <c r="H82" s="219"/>
      <c r="I82" s="202"/>
      <c r="J82" s="2"/>
      <c r="K82" s="2"/>
      <c r="L82" s="2"/>
      <c r="M82" s="226"/>
      <c r="N82" s="229"/>
      <c r="O82" s="232"/>
      <c r="P82" s="226"/>
      <c r="Q82" s="209"/>
      <c r="R82" s="235"/>
      <c r="S82" s="206"/>
      <c r="T82" s="209"/>
      <c r="U82" s="212"/>
    </row>
    <row r="83" spans="2:21" ht="15.75" customHeight="1" thickBot="1" x14ac:dyDescent="0.3">
      <c r="B83" s="220"/>
      <c r="C83" s="221"/>
      <c r="D83" s="221"/>
      <c r="E83" s="221"/>
      <c r="F83" s="221"/>
      <c r="G83" s="221"/>
      <c r="H83" s="222"/>
      <c r="I83" s="224"/>
      <c r="J83" s="172"/>
      <c r="K83" s="172"/>
      <c r="L83" s="172"/>
      <c r="M83" s="227"/>
      <c r="N83" s="230"/>
      <c r="O83" s="233"/>
      <c r="P83" s="227"/>
      <c r="Q83" s="210"/>
      <c r="R83" s="236"/>
      <c r="S83" s="207"/>
      <c r="T83" s="210"/>
      <c r="U83" s="213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196" t="s">
        <v>132</v>
      </c>
      <c r="C88" s="197"/>
      <c r="D88" s="197"/>
      <c r="E88" s="197"/>
      <c r="F88" s="197"/>
      <c r="G88" s="197"/>
      <c r="H88" s="197"/>
      <c r="I88" s="198"/>
      <c r="J88" s="185"/>
      <c r="K88" s="185"/>
      <c r="L88" s="185"/>
      <c r="M88" s="196"/>
      <c r="N88" s="197"/>
      <c r="O88" s="197"/>
      <c r="P88" s="197"/>
      <c r="Q88" s="198"/>
      <c r="R88" s="187"/>
      <c r="S88" s="188"/>
      <c r="T88" s="188"/>
      <c r="U88" s="189"/>
    </row>
    <row r="89" spans="2:21" ht="18" x14ac:dyDescent="0.25">
      <c r="B89" s="199" t="s">
        <v>122</v>
      </c>
      <c r="C89" s="200"/>
      <c r="D89" s="200"/>
      <c r="E89" s="200"/>
      <c r="F89" s="200"/>
      <c r="G89" s="200"/>
      <c r="H89" s="200"/>
      <c r="I89" s="201"/>
      <c r="M89" s="199" t="s">
        <v>122</v>
      </c>
      <c r="N89" s="200"/>
      <c r="O89" s="200"/>
      <c r="P89" s="200"/>
      <c r="Q89" s="201"/>
      <c r="R89" s="202" t="s">
        <v>123</v>
      </c>
      <c r="S89" s="203"/>
      <c r="T89" s="203"/>
      <c r="U89" s="204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196" t="s">
        <v>133</v>
      </c>
      <c r="C93" s="197"/>
      <c r="D93" s="197"/>
      <c r="E93" s="197"/>
      <c r="F93" s="197"/>
      <c r="G93" s="197"/>
      <c r="H93" s="197"/>
      <c r="I93" s="198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199" t="s">
        <v>126</v>
      </c>
      <c r="C94" s="200"/>
      <c r="D94" s="200"/>
      <c r="E94" s="200"/>
      <c r="F94" s="200"/>
      <c r="G94" s="200"/>
      <c r="H94" s="200"/>
      <c r="I94" s="201"/>
      <c r="M94" s="179"/>
      <c r="Q94" s="180"/>
      <c r="R94" s="202" t="s">
        <v>127</v>
      </c>
      <c r="S94" s="203"/>
      <c r="T94" s="203"/>
      <c r="U94" s="204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B9:B11"/>
    <mergeCell ref="C9:C11"/>
    <mergeCell ref="D9:D11"/>
    <mergeCell ref="E9:E11"/>
    <mergeCell ref="F9:Q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872713-170E-4C74-B363-F5BDE29E46D8}">
  <sheetPr>
    <tabColor rgb="FF00B050"/>
    <pageSetUpPr fitToPage="1"/>
  </sheetPr>
  <dimension ref="A1:AJ100"/>
  <sheetViews>
    <sheetView showGridLines="0" topLeftCell="A61" zoomScale="85" zoomScaleNormal="85" workbookViewId="0">
      <pane xSplit="2" topLeftCell="C1" activePane="topRight" state="frozen"/>
      <selection activeCell="P79" sqref="P79:Q79"/>
      <selection pane="topRight" activeCell="M57" sqref="M57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86" t="s">
        <v>130</v>
      </c>
      <c r="G2" s="286"/>
      <c r="H2" s="286"/>
      <c r="I2" s="286"/>
      <c r="J2" s="286"/>
      <c r="K2" s="286"/>
      <c r="L2" s="286"/>
      <c r="M2" s="286"/>
      <c r="N2" s="286"/>
      <c r="O2" s="286"/>
      <c r="P2" s="286"/>
      <c r="Q2" s="286"/>
      <c r="R2" s="286"/>
      <c r="S2" s="286"/>
      <c r="T2" s="6" t="s">
        <v>1</v>
      </c>
      <c r="U2" s="7"/>
      <c r="W2" s="244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45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87"/>
      <c r="G4" s="287"/>
      <c r="H4" s="287"/>
      <c r="I4" s="287"/>
      <c r="J4" s="287"/>
      <c r="K4" s="287"/>
      <c r="L4" s="287"/>
      <c r="M4" s="287"/>
      <c r="S4" s="2" t="s">
        <v>4</v>
      </c>
      <c r="T4" s="288"/>
      <c r="U4" s="288"/>
      <c r="W4" s="246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89"/>
      <c r="G6" s="289"/>
      <c r="H6" s="289"/>
      <c r="I6" s="289"/>
      <c r="J6" s="289"/>
      <c r="K6" s="289"/>
      <c r="L6" s="289"/>
      <c r="M6" s="289"/>
      <c r="S6" s="11" t="s">
        <v>6</v>
      </c>
      <c r="T6" s="195" t="s">
        <v>7</v>
      </c>
      <c r="U6" s="12" t="s">
        <v>131</v>
      </c>
      <c r="W6" s="244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89"/>
      <c r="G7" s="289"/>
      <c r="H7" s="289"/>
      <c r="I7" s="289"/>
      <c r="J7" s="289"/>
      <c r="K7" s="289"/>
      <c r="L7" s="289"/>
      <c r="M7" s="289"/>
      <c r="N7" s="14"/>
      <c r="O7" s="14"/>
      <c r="P7" s="14"/>
      <c r="Q7" s="15"/>
      <c r="S7" s="14"/>
      <c r="T7" s="195" t="s">
        <v>11</v>
      </c>
      <c r="U7" s="12"/>
      <c r="W7" s="246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2.67</v>
      </c>
      <c r="AD8" s="2">
        <v>0.31</v>
      </c>
      <c r="AE8" s="11" t="s">
        <v>13</v>
      </c>
    </row>
    <row r="9" spans="2:35" s="16" customFormat="1" ht="20.25" x14ac:dyDescent="0.25">
      <c r="B9" s="258" t="s">
        <v>14</v>
      </c>
      <c r="C9" s="261" t="s">
        <v>15</v>
      </c>
      <c r="D9" s="261" t="s">
        <v>16</v>
      </c>
      <c r="E9" s="261" t="s">
        <v>17</v>
      </c>
      <c r="F9" s="264" t="s">
        <v>18</v>
      </c>
      <c r="G9" s="265"/>
      <c r="H9" s="265"/>
      <c r="I9" s="265"/>
      <c r="J9" s="265"/>
      <c r="K9" s="265"/>
      <c r="L9" s="265"/>
      <c r="M9" s="265"/>
      <c r="N9" s="265"/>
      <c r="O9" s="265"/>
      <c r="P9" s="265"/>
      <c r="Q9" s="266"/>
      <c r="S9" s="264" t="s">
        <v>19</v>
      </c>
      <c r="T9" s="265"/>
      <c r="U9" s="266"/>
      <c r="X9" s="271" t="s">
        <v>20</v>
      </c>
      <c r="Y9" s="274" t="s">
        <v>21</v>
      </c>
      <c r="Z9" s="274" t="s">
        <v>128</v>
      </c>
      <c r="AA9" s="17"/>
      <c r="AB9" s="251" t="s">
        <v>22</v>
      </c>
      <c r="AC9" s="277" t="s">
        <v>23</v>
      </c>
      <c r="AD9" s="280" t="s">
        <v>24</v>
      </c>
      <c r="AE9" s="251" t="s">
        <v>25</v>
      </c>
      <c r="AG9" s="251" t="s">
        <v>26</v>
      </c>
      <c r="AH9" s="17"/>
      <c r="AI9" s="251" t="s">
        <v>27</v>
      </c>
    </row>
    <row r="10" spans="2:35" s="16" customFormat="1" ht="20.25" customHeight="1" x14ac:dyDescent="0.25">
      <c r="B10" s="259"/>
      <c r="C10" s="262"/>
      <c r="D10" s="262"/>
      <c r="E10" s="262"/>
      <c r="F10" s="268" t="s">
        <v>28</v>
      </c>
      <c r="G10" s="268" t="s">
        <v>29</v>
      </c>
      <c r="H10" s="268" t="s">
        <v>30</v>
      </c>
      <c r="I10" s="269" t="s">
        <v>31</v>
      </c>
      <c r="J10" s="269" t="s">
        <v>32</v>
      </c>
      <c r="K10" s="269" t="s">
        <v>33</v>
      </c>
      <c r="L10" s="269" t="s">
        <v>34</v>
      </c>
      <c r="M10" s="283" t="s">
        <v>35</v>
      </c>
      <c r="N10" s="284"/>
      <c r="O10" s="284"/>
      <c r="P10" s="284"/>
      <c r="Q10" s="285"/>
      <c r="S10" s="254" t="s">
        <v>36</v>
      </c>
      <c r="T10" s="255"/>
      <c r="U10" s="256"/>
      <c r="X10" s="272"/>
      <c r="Y10" s="275"/>
      <c r="Z10" s="275"/>
      <c r="AA10" s="17"/>
      <c r="AB10" s="252"/>
      <c r="AC10" s="278"/>
      <c r="AD10" s="281"/>
      <c r="AE10" s="252"/>
      <c r="AG10" s="252"/>
      <c r="AH10" s="17"/>
      <c r="AI10" s="252"/>
    </row>
    <row r="11" spans="2:35" s="21" customFormat="1" ht="12.75" customHeight="1" thickBot="1" x14ac:dyDescent="0.3">
      <c r="B11" s="260"/>
      <c r="C11" s="263"/>
      <c r="D11" s="263"/>
      <c r="E11" s="263"/>
      <c r="F11" s="263"/>
      <c r="G11" s="263"/>
      <c r="H11" s="263"/>
      <c r="I11" s="270"/>
      <c r="J11" s="270"/>
      <c r="K11" s="270"/>
      <c r="L11" s="270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73"/>
      <c r="Y11" s="276"/>
      <c r="Z11" s="276"/>
      <c r="AA11" s="17"/>
      <c r="AB11" s="253"/>
      <c r="AC11" s="279"/>
      <c r="AD11" s="282"/>
      <c r="AE11" s="253"/>
      <c r="AG11" s="267"/>
      <c r="AH11" s="17"/>
      <c r="AI11" s="253"/>
    </row>
    <row r="12" spans="2:35" s="21" customFormat="1" ht="32.1" customHeight="1" thickBot="1" x14ac:dyDescent="0.3">
      <c r="B12" s="23" t="s">
        <v>42</v>
      </c>
      <c r="C12" s="24">
        <v>912</v>
      </c>
      <c r="D12" s="24">
        <v>120</v>
      </c>
      <c r="E12" s="24">
        <f>C12+D12</f>
        <v>1032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IF($U$6="x",(F12*3.5),"")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26</v>
      </c>
      <c r="AH12" s="37"/>
      <c r="AI12" s="43">
        <f t="shared" ref="AI12:AI68" si="1">AG12+AE12</f>
        <v>31.369999999999997</v>
      </c>
    </row>
    <row r="13" spans="2:35" s="21" customFormat="1" ht="32.1" customHeight="1" thickBot="1" x14ac:dyDescent="0.3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/>
      <c r="N13" s="51"/>
      <c r="O13" s="51"/>
      <c r="P13" s="52" t="str">
        <f t="shared" ref="P13:P68" si="5">IF(M13&amp;N13="","",ROUND(((M13+N13)/G13),1)&amp;" pallets")</f>
        <v/>
      </c>
      <c r="Q13" s="53">
        <f t="shared" ref="Q13:Q70" si="6">(J13*M13)+(K13*N13)+(O13*L13)</f>
        <v>0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36">
        <f t="shared" ref="Z13:Z56" si="8">IF($U$6="x",(F13*3.5),"")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42">
        <v>26</v>
      </c>
      <c r="AH13" s="37"/>
      <c r="AI13" s="63">
        <f t="shared" si="1"/>
        <v>29.64</v>
      </c>
    </row>
    <row r="14" spans="2:35" s="21" customFormat="1" ht="32.1" customHeight="1" thickBot="1" x14ac:dyDescent="0.3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36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42">
        <v>26</v>
      </c>
      <c r="AH14" s="37"/>
      <c r="AI14" s="63">
        <f t="shared" si="1"/>
        <v>32.07</v>
      </c>
    </row>
    <row r="15" spans="2:35" s="21" customFormat="1" ht="32.1" customHeight="1" thickBot="1" x14ac:dyDescent="0.3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36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42">
        <v>26</v>
      </c>
      <c r="AH15" s="37"/>
      <c r="AI15" s="63">
        <f t="shared" si="1"/>
        <v>30.1</v>
      </c>
    </row>
    <row r="16" spans="2:35" s="21" customFormat="1" ht="32.1" customHeight="1" thickBot="1" x14ac:dyDescent="0.3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/>
      <c r="G16" s="47">
        <v>108</v>
      </c>
      <c r="H16" s="64"/>
      <c r="I16" s="49">
        <f t="shared" si="4"/>
        <v>0</v>
      </c>
      <c r="J16" s="50">
        <v>111</v>
      </c>
      <c r="K16" s="65"/>
      <c r="L16" s="50">
        <v>4.5</v>
      </c>
      <c r="M16" s="51"/>
      <c r="N16" s="193"/>
      <c r="O16" s="51"/>
      <c r="P16" s="52" t="str">
        <f t="shared" si="5"/>
        <v/>
      </c>
      <c r="Q16" s="53">
        <f t="shared" si="6"/>
        <v>0</v>
      </c>
      <c r="S16" s="54"/>
      <c r="T16" s="67"/>
      <c r="U16" s="55"/>
      <c r="X16" s="56">
        <f t="shared" si="7"/>
        <v>0</v>
      </c>
      <c r="Y16" s="57">
        <f>F16*AI16</f>
        <v>0</v>
      </c>
      <c r="Z16" s="36">
        <f t="shared" si="8"/>
        <v>0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42">
        <v>26</v>
      </c>
      <c r="AH16" s="37"/>
      <c r="AI16" s="63">
        <f t="shared" si="1"/>
        <v>29.64</v>
      </c>
    </row>
    <row r="17" spans="2:35" s="21" customFormat="1" ht="32.1" customHeight="1" thickBot="1" x14ac:dyDescent="0.3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36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42">
        <v>26</v>
      </c>
      <c r="AH17" s="37"/>
      <c r="AI17" s="63">
        <f t="shared" si="1"/>
        <v>29.64</v>
      </c>
    </row>
    <row r="18" spans="2:35" s="21" customFormat="1" ht="32.1" customHeight="1" thickBot="1" x14ac:dyDescent="0.3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36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42">
        <v>26</v>
      </c>
      <c r="AH18" s="37"/>
      <c r="AI18" s="63">
        <f t="shared" si="1"/>
        <v>29.64</v>
      </c>
    </row>
    <row r="19" spans="2:35" s="21" customFormat="1" ht="32.1" customHeight="1" thickBot="1" x14ac:dyDescent="0.3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36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42">
        <v>26</v>
      </c>
      <c r="AH19" s="37"/>
      <c r="AI19" s="83">
        <f t="shared" si="1"/>
        <v>32.07</v>
      </c>
    </row>
    <row r="20" spans="2:35" s="21" customFormat="1" ht="32.1" customHeight="1" thickBot="1" x14ac:dyDescent="0.3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36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42">
        <v>26</v>
      </c>
      <c r="AH20" s="37"/>
      <c r="AI20" s="63">
        <f t="shared" si="1"/>
        <v>32.07</v>
      </c>
    </row>
    <row r="21" spans="2:35" s="21" customFormat="1" ht="32.1" customHeight="1" thickBot="1" x14ac:dyDescent="0.3">
      <c r="B21" s="68" t="s">
        <v>51</v>
      </c>
      <c r="C21" s="45">
        <v>872</v>
      </c>
      <c r="D21" s="69">
        <v>120</v>
      </c>
      <c r="E21" s="69">
        <f t="shared" si="2"/>
        <v>992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36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42">
        <v>26</v>
      </c>
      <c r="AH21" s="37"/>
      <c r="AI21" s="83">
        <f t="shared" si="1"/>
        <v>32.07</v>
      </c>
    </row>
    <row r="22" spans="2:35" s="21" customFormat="1" ht="32.1" customHeight="1" thickBot="1" x14ac:dyDescent="0.3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36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42">
        <v>26</v>
      </c>
      <c r="AH22" s="37"/>
      <c r="AI22" s="43">
        <f>AG22+AE22</f>
        <v>32.07</v>
      </c>
    </row>
    <row r="23" spans="2:35" s="21" customFormat="1" ht="32.1" customHeight="1" thickBot="1" x14ac:dyDescent="0.3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36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42">
        <v>26</v>
      </c>
      <c r="AH23" s="37"/>
      <c r="AI23" s="43">
        <f t="shared" si="1"/>
        <v>32.07</v>
      </c>
    </row>
    <row r="24" spans="2:35" s="21" customFormat="1" ht="32.1" customHeight="1" thickBot="1" x14ac:dyDescent="0.3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36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42">
        <v>26</v>
      </c>
      <c r="AH24" s="37"/>
      <c r="AI24" s="63">
        <f t="shared" si="1"/>
        <v>32.07</v>
      </c>
    </row>
    <row r="25" spans="2:35" s="21" customFormat="1" ht="32.1" customHeight="1" thickBot="1" x14ac:dyDescent="0.3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36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42">
        <v>26</v>
      </c>
      <c r="AH25" s="37"/>
      <c r="AI25" s="63">
        <f t="shared" si="1"/>
        <v>32.07</v>
      </c>
    </row>
    <row r="26" spans="2:35" s="21" customFormat="1" ht="32.1" customHeight="1" thickBot="1" x14ac:dyDescent="0.3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36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42">
        <v>26</v>
      </c>
      <c r="AH26" s="37"/>
      <c r="AI26" s="63">
        <f t="shared" si="1"/>
        <v>32.07</v>
      </c>
    </row>
    <row r="27" spans="2:35" s="21" customFormat="1" ht="32.1" customHeight="1" thickBot="1" x14ac:dyDescent="0.3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36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42">
        <v>26</v>
      </c>
      <c r="AH27" s="37"/>
      <c r="AI27" s="83">
        <f t="shared" si="1"/>
        <v>32.07</v>
      </c>
    </row>
    <row r="28" spans="2:35" s="21" customFormat="1" ht="32.1" customHeight="1" thickBot="1" x14ac:dyDescent="0.3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36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42">
        <v>26</v>
      </c>
      <c r="AH28" s="37"/>
      <c r="AI28" s="43">
        <f t="shared" si="1"/>
        <v>32.07</v>
      </c>
    </row>
    <row r="29" spans="2:35" s="21" customFormat="1" ht="32.1" customHeight="1" thickBot="1" x14ac:dyDescent="0.3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36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42">
        <v>26</v>
      </c>
      <c r="AH29" s="37"/>
      <c r="AI29" s="83">
        <f t="shared" si="1"/>
        <v>32.07</v>
      </c>
    </row>
    <row r="30" spans="2:35" s="21" customFormat="1" ht="32.1" customHeight="1" thickBot="1" x14ac:dyDescent="0.3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36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42">
        <v>26</v>
      </c>
      <c r="AH30" s="37"/>
      <c r="AI30" s="43">
        <f t="shared" si="1"/>
        <v>31.369999999999997</v>
      </c>
    </row>
    <row r="31" spans="2:35" s="21" customFormat="1" ht="32.1" customHeight="1" thickBot="1" x14ac:dyDescent="0.3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36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42">
        <v>26</v>
      </c>
      <c r="AH31" s="37"/>
      <c r="AI31" s="63">
        <f t="shared" si="1"/>
        <v>31.759999999999998</v>
      </c>
    </row>
    <row r="32" spans="2:35" s="21" customFormat="1" ht="32.1" customHeight="1" thickBot="1" x14ac:dyDescent="0.3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36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42">
        <v>26</v>
      </c>
      <c r="AH32" s="37"/>
      <c r="AI32" s="63">
        <f t="shared" si="1"/>
        <v>32.07</v>
      </c>
    </row>
    <row r="33" spans="2:35" s="21" customFormat="1" ht="32.1" customHeight="1" thickBot="1" x14ac:dyDescent="0.3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36">
        <f t="shared" si="8"/>
        <v>0</v>
      </c>
      <c r="AA33" s="37"/>
      <c r="AB33" s="58">
        <f>AB8</f>
        <v>2.67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2.98</v>
      </c>
      <c r="AF33" s="61"/>
      <c r="AG33" s="42">
        <v>26</v>
      </c>
      <c r="AH33" s="37"/>
      <c r="AI33" s="43">
        <f t="shared" si="1"/>
        <v>28.98</v>
      </c>
    </row>
    <row r="34" spans="2:35" s="21" customFormat="1" ht="32.1" customHeight="1" thickBot="1" x14ac:dyDescent="0.3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36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42">
        <v>26</v>
      </c>
      <c r="AH34" s="37"/>
      <c r="AI34" s="43">
        <f t="shared" si="1"/>
        <v>28.16</v>
      </c>
    </row>
    <row r="35" spans="2:35" s="21" customFormat="1" ht="32.1" customHeight="1" thickBot="1" x14ac:dyDescent="0.3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36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42">
        <v>26</v>
      </c>
      <c r="AH35" s="37"/>
      <c r="AI35" s="63">
        <f t="shared" si="1"/>
        <v>28.16</v>
      </c>
    </row>
    <row r="36" spans="2:35" s="21" customFormat="1" ht="32.1" customHeight="1" thickBot="1" x14ac:dyDescent="0.3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36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42">
        <v>26</v>
      </c>
      <c r="AH36" s="37"/>
      <c r="AI36" s="63">
        <f t="shared" si="1"/>
        <v>28.16</v>
      </c>
    </row>
    <row r="37" spans="2:35" s="21" customFormat="1" ht="32.1" customHeight="1" thickBot="1" x14ac:dyDescent="0.3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36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42">
        <v>26</v>
      </c>
      <c r="AH37" s="37"/>
      <c r="AI37" s="63">
        <f t="shared" si="1"/>
        <v>28.16</v>
      </c>
    </row>
    <row r="38" spans="2:35" s="21" customFormat="1" ht="32.1" customHeight="1" thickBot="1" x14ac:dyDescent="0.3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36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42">
        <v>26</v>
      </c>
      <c r="AH38" s="37"/>
      <c r="AI38" s="83">
        <f t="shared" si="1"/>
        <v>28.16</v>
      </c>
    </row>
    <row r="39" spans="2:35" s="21" customFormat="1" ht="32.1" customHeight="1" thickBot="1" x14ac:dyDescent="0.3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36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42">
        <v>26</v>
      </c>
      <c r="AH39" s="37"/>
      <c r="AI39" s="43">
        <f t="shared" si="1"/>
        <v>28.16</v>
      </c>
    </row>
    <row r="40" spans="2:35" s="21" customFormat="1" ht="32.1" customHeight="1" thickBot="1" x14ac:dyDescent="0.3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36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42">
        <v>26</v>
      </c>
      <c r="AH40" s="37"/>
      <c r="AI40" s="63">
        <f t="shared" si="1"/>
        <v>28.16</v>
      </c>
    </row>
    <row r="41" spans="2:35" s="21" customFormat="1" ht="32.1" customHeight="1" thickBot="1" x14ac:dyDescent="0.3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36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42">
        <v>26</v>
      </c>
      <c r="AH41" s="37"/>
      <c r="AI41" s="83">
        <f t="shared" si="1"/>
        <v>28.16</v>
      </c>
    </row>
    <row r="42" spans="2:35" s="21" customFormat="1" ht="32.1" customHeight="1" thickBot="1" x14ac:dyDescent="0.3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36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42">
        <v>26</v>
      </c>
      <c r="AH42" s="37"/>
      <c r="AI42" s="107">
        <f t="shared" si="1"/>
        <v>28.16</v>
      </c>
    </row>
    <row r="43" spans="2:35" s="21" customFormat="1" ht="32.1" customHeight="1" thickBot="1" x14ac:dyDescent="0.3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36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42">
        <v>26</v>
      </c>
      <c r="AH43" s="37"/>
      <c r="AI43" s="110">
        <f t="shared" si="1"/>
        <v>28.16</v>
      </c>
    </row>
    <row r="44" spans="2:35" s="21" customFormat="1" ht="32.1" customHeight="1" thickBot="1" x14ac:dyDescent="0.3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36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42">
        <v>26</v>
      </c>
      <c r="AH44" s="37"/>
      <c r="AI44" s="63">
        <f>AG44+AE44</f>
        <v>28.16</v>
      </c>
    </row>
    <row r="45" spans="2:35" s="21" customFormat="1" ht="32.1" customHeight="1" thickBot="1" x14ac:dyDescent="0.3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36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42">
        <v>26</v>
      </c>
      <c r="AH45" s="37"/>
      <c r="AI45" s="110">
        <f t="shared" si="1"/>
        <v>29.77</v>
      </c>
    </row>
    <row r="46" spans="2:35" s="21" customFormat="1" ht="32.1" customHeight="1" thickBot="1" x14ac:dyDescent="0.3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36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42">
        <v>26</v>
      </c>
      <c r="AH46" s="37"/>
      <c r="AI46" s="83">
        <f t="shared" si="1"/>
        <v>28.16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36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42">
        <v>26</v>
      </c>
      <c r="AH47" s="37"/>
      <c r="AI47" s="107">
        <f t="shared" si="1"/>
        <v>26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36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42">
        <v>26</v>
      </c>
      <c r="AH48" s="37"/>
      <c r="AI48" s="110">
        <f t="shared" si="1"/>
        <v>26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36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42">
        <v>26</v>
      </c>
      <c r="AH49" s="37"/>
      <c r="AI49" s="83">
        <f t="shared" si="1"/>
        <v>26</v>
      </c>
    </row>
    <row r="50" spans="2:35" s="21" customFormat="1" ht="32.1" customHeight="1" thickBot="1" x14ac:dyDescent="0.3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36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42">
        <v>26</v>
      </c>
      <c r="AH50" s="37"/>
      <c r="AI50" s="63">
        <f t="shared" si="1"/>
        <v>32.07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36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42">
        <v>26</v>
      </c>
      <c r="AH51" s="37"/>
      <c r="AI51" s="125">
        <f t="shared" si="1"/>
        <v>28.16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36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42">
        <v>26</v>
      </c>
      <c r="AH52" s="37"/>
      <c r="AI52" s="43">
        <f t="shared" si="1"/>
        <v>31.07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36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42">
        <v>26</v>
      </c>
      <c r="AH53" s="37"/>
      <c r="AI53" s="125">
        <f t="shared" si="1"/>
        <v>28.16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36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42">
        <v>26</v>
      </c>
      <c r="AH54" s="37"/>
      <c r="AI54" s="125">
        <f t="shared" si="1"/>
        <v>28.16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36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42">
        <v>26</v>
      </c>
      <c r="AH55" s="37"/>
      <c r="AI55" s="125">
        <f t="shared" si="1"/>
        <v>28.16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36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42">
        <v>26</v>
      </c>
      <c r="AH56" s="37"/>
      <c r="AI56" s="125">
        <f t="shared" si="1"/>
        <v>28.16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>
        <v>270</v>
      </c>
      <c r="O57" s="51"/>
      <c r="P57" s="52" t="str">
        <f t="shared" si="5"/>
        <v>3.8 pallets</v>
      </c>
      <c r="Q57" s="53">
        <f>(J57*M57)+(K57*N57)+(O57*L57)</f>
        <v>11340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>IF($U$6="x",(F62*3.5),"")</f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26</v>
      </c>
      <c r="AH62" s="37"/>
      <c r="AI62" s="43">
        <f t="shared" si="1"/>
        <v>28.16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ref="Z63:Z68" si="17">IF($U$6="x",(F63*3.5),"")</f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26</v>
      </c>
      <c r="AH63" s="37"/>
      <c r="AI63" s="63">
        <f t="shared" si="1"/>
        <v>28.16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17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26</v>
      </c>
      <c r="AH64" s="37"/>
      <c r="AI64" s="63">
        <f t="shared" si="1"/>
        <v>28.16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17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26</v>
      </c>
      <c r="AH65" s="37"/>
      <c r="AI65" s="63">
        <f t="shared" si="1"/>
        <v>28.16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17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26</v>
      </c>
      <c r="AH66" s="37"/>
      <c r="AI66" s="63">
        <f t="shared" si="1"/>
        <v>28.16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17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26</v>
      </c>
      <c r="AH67" s="37"/>
      <c r="AI67" s="63">
        <f t="shared" si="1"/>
        <v>28.16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57">
        <f t="shared" si="17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26</v>
      </c>
      <c r="AH68" s="37"/>
      <c r="AI68" s="125">
        <f t="shared" si="1"/>
        <v>28.16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8">+D69-C69</f>
        <v>262.5</v>
      </c>
      <c r="F69" s="136"/>
      <c r="G69" s="87">
        <v>72</v>
      </c>
      <c r="H69" s="137" t="str">
        <f t="shared" ref="H69:H70" si="19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20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8"/>
        <v>262.5</v>
      </c>
      <c r="F70" s="142"/>
      <c r="G70" s="115">
        <v>72</v>
      </c>
      <c r="H70" s="143" t="str">
        <f t="shared" si="19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20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57" t="s">
        <v>101</v>
      </c>
      <c r="C71" s="257"/>
      <c r="D71" s="257"/>
      <c r="E71" s="257"/>
      <c r="F71" s="257"/>
      <c r="G71" s="257"/>
      <c r="H71" s="147" t="str">
        <f>ROUND(((F12+F30+F52+F57+F58+F59+F60+F61)/72+(F13+F16+F18)/108+(F14+SUM(F19:F29)+F31+F32+F22+F50+F45)/63+F15/96+SUM(F34:F43)/100+SUM(F47:F49)/24+SUM(F62:F68)/100+(F51+F46+F44)/100),1)&amp;" pallets"</f>
        <v>0 pallets</v>
      </c>
      <c r="I71" s="148"/>
      <c r="J71" s="149"/>
      <c r="K71" s="150"/>
      <c r="L71" s="149"/>
      <c r="M71" s="151"/>
      <c r="N71" s="152"/>
      <c r="O71" s="152"/>
      <c r="P71" s="195" t="str">
        <f>ROUND((((M12+N12+M30+M57+M58+M59+M60+M61+N57)/72+(M13+N13+M16+M18)/108+(M15+N15)/96+SUM(M14,M19:M29,M31:M32,M50,N14)/63)),1)&amp;" pallets"</f>
        <v>3.8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37">
        <f>SUM(I12:I70)</f>
        <v>0</v>
      </c>
      <c r="G73" s="237"/>
      <c r="H73" s="237"/>
      <c r="I73" s="238"/>
      <c r="J73" s="158"/>
      <c r="K73" s="158"/>
      <c r="L73" s="158"/>
      <c r="M73" s="249" t="s">
        <v>103</v>
      </c>
      <c r="N73" s="250"/>
      <c r="O73" s="237">
        <f>SUM(Q12:Q70)</f>
        <v>11340</v>
      </c>
      <c r="P73" s="237"/>
      <c r="Q73" s="238"/>
      <c r="R73" s="152"/>
      <c r="S73" s="159" t="s">
        <v>104</v>
      </c>
      <c r="T73" s="242">
        <f>SUM(Y12:Y68)</f>
        <v>0</v>
      </c>
      <c r="U73" s="243"/>
      <c r="V73" s="160"/>
      <c r="W73" s="160"/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37">
        <f>SUM(I14:I72)</f>
        <v>0</v>
      </c>
      <c r="G75" s="237"/>
      <c r="H75" s="237"/>
      <c r="I75" s="238"/>
      <c r="J75" s="158"/>
      <c r="K75" s="158"/>
      <c r="L75" s="158"/>
      <c r="M75" s="249" t="s">
        <v>103</v>
      </c>
      <c r="N75" s="250"/>
      <c r="O75" s="237">
        <f>SUM(Q14:Q72)</f>
        <v>11340</v>
      </c>
      <c r="P75" s="237"/>
      <c r="Q75" s="238"/>
      <c r="R75" s="152"/>
      <c r="S75" s="159" t="s">
        <v>129</v>
      </c>
      <c r="T75" s="242">
        <f>SUM(Z12:Z70)</f>
        <v>0</v>
      </c>
      <c r="U75" s="243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37">
        <f>IF(U7&gt;0,"",(F73-O73-T79-P79))</f>
        <v>-11340</v>
      </c>
      <c r="G77" s="237"/>
      <c r="H77" s="237"/>
      <c r="I77" s="238"/>
      <c r="J77" s="164"/>
      <c r="K77" s="164"/>
      <c r="L77" s="164"/>
      <c r="M77" s="239" t="s">
        <v>106</v>
      </c>
      <c r="N77" s="239"/>
      <c r="O77" s="168" t="s">
        <v>107</v>
      </c>
      <c r="P77" s="240"/>
      <c r="Q77" s="241"/>
      <c r="R77" s="152"/>
      <c r="S77" s="159" t="s">
        <v>108</v>
      </c>
      <c r="T77" s="242">
        <f>IF(SUM(X12:X68)*0.15&gt;P77,P77,SUM(X12:X68)*0.15)</f>
        <v>0</v>
      </c>
      <c r="U77" s="243"/>
      <c r="V77" s="160"/>
      <c r="W77" s="244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45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37"/>
      <c r="G79" s="237"/>
      <c r="H79" s="237"/>
      <c r="I79" s="238"/>
      <c r="J79" s="164"/>
      <c r="K79" s="164"/>
      <c r="L79" s="164"/>
      <c r="M79" s="247" t="str">
        <f>IF(U6&gt;0,"",T4+30)</f>
        <v/>
      </c>
      <c r="N79" s="248"/>
      <c r="O79" s="168" t="s">
        <v>111</v>
      </c>
      <c r="P79" s="240"/>
      <c r="Q79" s="241"/>
      <c r="R79" s="152"/>
      <c r="S79" s="159" t="s">
        <v>112</v>
      </c>
      <c r="T79" s="242">
        <f>T77+T73+T75</f>
        <v>0</v>
      </c>
      <c r="U79" s="243"/>
      <c r="V79" s="160"/>
      <c r="W79" s="246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14" t="s">
        <v>113</v>
      </c>
      <c r="C81" s="215"/>
      <c r="D81" s="215"/>
      <c r="E81" s="215"/>
      <c r="F81" s="215"/>
      <c r="G81" s="215"/>
      <c r="H81" s="216"/>
      <c r="I81" s="223" t="s">
        <v>114</v>
      </c>
      <c r="J81" s="171"/>
      <c r="K81" s="171"/>
      <c r="L81" s="171"/>
      <c r="M81" s="225"/>
      <c r="N81" s="228" t="s">
        <v>115</v>
      </c>
      <c r="O81" s="231"/>
      <c r="P81" s="225"/>
      <c r="Q81" s="208" t="s">
        <v>116</v>
      </c>
      <c r="R81" s="234"/>
      <c r="S81" s="205"/>
      <c r="T81" s="208" t="s">
        <v>117</v>
      </c>
      <c r="U81" s="211"/>
    </row>
    <row r="82" spans="2:21" ht="15" customHeight="1" x14ac:dyDescent="0.25">
      <c r="B82" s="217"/>
      <c r="C82" s="218"/>
      <c r="D82" s="218"/>
      <c r="E82" s="218"/>
      <c r="F82" s="218"/>
      <c r="G82" s="218"/>
      <c r="H82" s="219"/>
      <c r="I82" s="202"/>
      <c r="J82" s="2"/>
      <c r="K82" s="2"/>
      <c r="L82" s="2"/>
      <c r="M82" s="226"/>
      <c r="N82" s="229"/>
      <c r="O82" s="232"/>
      <c r="P82" s="226"/>
      <c r="Q82" s="209"/>
      <c r="R82" s="235"/>
      <c r="S82" s="206"/>
      <c r="T82" s="209"/>
      <c r="U82" s="212"/>
    </row>
    <row r="83" spans="2:21" ht="15.75" customHeight="1" thickBot="1" x14ac:dyDescent="0.3">
      <c r="B83" s="220"/>
      <c r="C83" s="221"/>
      <c r="D83" s="221"/>
      <c r="E83" s="221"/>
      <c r="F83" s="221"/>
      <c r="G83" s="221"/>
      <c r="H83" s="222"/>
      <c r="I83" s="224"/>
      <c r="J83" s="172"/>
      <c r="K83" s="172"/>
      <c r="L83" s="172"/>
      <c r="M83" s="227"/>
      <c r="N83" s="230"/>
      <c r="O83" s="233"/>
      <c r="P83" s="227"/>
      <c r="Q83" s="210"/>
      <c r="R83" s="236"/>
      <c r="S83" s="207"/>
      <c r="T83" s="210"/>
      <c r="U83" s="213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196" t="s">
        <v>132</v>
      </c>
      <c r="C88" s="197"/>
      <c r="D88" s="197"/>
      <c r="E88" s="197"/>
      <c r="F88" s="197"/>
      <c r="G88" s="197"/>
      <c r="H88" s="197"/>
      <c r="I88" s="198"/>
      <c r="J88" s="185"/>
      <c r="K88" s="185"/>
      <c r="L88" s="185"/>
      <c r="M88" s="196"/>
      <c r="N88" s="197"/>
      <c r="O88" s="197"/>
      <c r="P88" s="197"/>
      <c r="Q88" s="198"/>
      <c r="R88" s="187"/>
      <c r="S88" s="188"/>
      <c r="T88" s="188"/>
      <c r="U88" s="189"/>
    </row>
    <row r="89" spans="2:21" ht="18" x14ac:dyDescent="0.25">
      <c r="B89" s="199" t="s">
        <v>122</v>
      </c>
      <c r="C89" s="200"/>
      <c r="D89" s="200"/>
      <c r="E89" s="200"/>
      <c r="F89" s="200"/>
      <c r="G89" s="200"/>
      <c r="H89" s="200"/>
      <c r="I89" s="201"/>
      <c r="M89" s="199" t="s">
        <v>122</v>
      </c>
      <c r="N89" s="200"/>
      <c r="O89" s="200"/>
      <c r="P89" s="200"/>
      <c r="Q89" s="201"/>
      <c r="R89" s="202" t="s">
        <v>123</v>
      </c>
      <c r="S89" s="203"/>
      <c r="T89" s="203"/>
      <c r="U89" s="204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196" t="s">
        <v>133</v>
      </c>
      <c r="C93" s="197"/>
      <c r="D93" s="197"/>
      <c r="E93" s="197"/>
      <c r="F93" s="197"/>
      <c r="G93" s="197"/>
      <c r="H93" s="197"/>
      <c r="I93" s="198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199" t="s">
        <v>126</v>
      </c>
      <c r="C94" s="200"/>
      <c r="D94" s="200"/>
      <c r="E94" s="200"/>
      <c r="F94" s="200"/>
      <c r="G94" s="200"/>
      <c r="H94" s="200"/>
      <c r="I94" s="201"/>
      <c r="M94" s="179"/>
      <c r="Q94" s="180"/>
      <c r="R94" s="202" t="s">
        <v>127</v>
      </c>
      <c r="S94" s="203"/>
      <c r="T94" s="203"/>
      <c r="U94" s="204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B9:B11"/>
    <mergeCell ref="C9:C11"/>
    <mergeCell ref="D9:D11"/>
    <mergeCell ref="E9:E11"/>
    <mergeCell ref="F9:Q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AAADA1-9BC9-40CA-8B2D-811A3CCFE2BF}">
  <sheetPr>
    <tabColor rgb="FF00B050"/>
    <pageSetUpPr fitToPage="1"/>
  </sheetPr>
  <dimension ref="A1:AJ100"/>
  <sheetViews>
    <sheetView showGridLines="0" topLeftCell="A63" zoomScale="85" zoomScaleNormal="85" workbookViewId="0">
      <pane xSplit="2" topLeftCell="C1" activePane="topRight" state="frozen"/>
      <selection activeCell="P79" sqref="P79:Q79"/>
      <selection pane="topRight" activeCell="M13" sqref="M13:M16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86" t="s">
        <v>130</v>
      </c>
      <c r="G2" s="286"/>
      <c r="H2" s="286"/>
      <c r="I2" s="286"/>
      <c r="J2" s="286"/>
      <c r="K2" s="286"/>
      <c r="L2" s="286"/>
      <c r="M2" s="286"/>
      <c r="N2" s="286"/>
      <c r="O2" s="286"/>
      <c r="P2" s="286"/>
      <c r="Q2" s="286"/>
      <c r="R2" s="286"/>
      <c r="S2" s="286"/>
      <c r="T2" s="6" t="s">
        <v>1</v>
      </c>
      <c r="U2" s="7"/>
      <c r="W2" s="244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45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87"/>
      <c r="G4" s="287"/>
      <c r="H4" s="287"/>
      <c r="I4" s="287"/>
      <c r="J4" s="287"/>
      <c r="K4" s="287"/>
      <c r="L4" s="287"/>
      <c r="M4" s="287"/>
      <c r="S4" s="2" t="s">
        <v>4</v>
      </c>
      <c r="T4" s="288"/>
      <c r="U4" s="288"/>
      <c r="W4" s="246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89"/>
      <c r="G6" s="289"/>
      <c r="H6" s="289"/>
      <c r="I6" s="289"/>
      <c r="J6" s="289"/>
      <c r="K6" s="289"/>
      <c r="L6" s="289"/>
      <c r="M6" s="289"/>
      <c r="S6" s="11" t="s">
        <v>6</v>
      </c>
      <c r="T6" s="195" t="s">
        <v>7</v>
      </c>
      <c r="U6" s="12" t="s">
        <v>131</v>
      </c>
      <c r="W6" s="244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89"/>
      <c r="G7" s="289"/>
      <c r="H7" s="289"/>
      <c r="I7" s="289"/>
      <c r="J7" s="289"/>
      <c r="K7" s="289"/>
      <c r="L7" s="289"/>
      <c r="M7" s="289"/>
      <c r="N7" s="14"/>
      <c r="O7" s="14"/>
      <c r="P7" s="14"/>
      <c r="Q7" s="15"/>
      <c r="S7" s="14"/>
      <c r="T7" s="195" t="s">
        <v>11</v>
      </c>
      <c r="U7" s="12"/>
      <c r="W7" s="246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2.67</v>
      </c>
      <c r="AD8" s="2">
        <v>0.31</v>
      </c>
      <c r="AE8" s="11" t="s">
        <v>13</v>
      </c>
    </row>
    <row r="9" spans="2:35" s="16" customFormat="1" ht="20.25" x14ac:dyDescent="0.25">
      <c r="B9" s="258" t="s">
        <v>14</v>
      </c>
      <c r="C9" s="261" t="s">
        <v>15</v>
      </c>
      <c r="D9" s="261" t="s">
        <v>16</v>
      </c>
      <c r="E9" s="261" t="s">
        <v>17</v>
      </c>
      <c r="F9" s="264" t="s">
        <v>18</v>
      </c>
      <c r="G9" s="265"/>
      <c r="H9" s="265"/>
      <c r="I9" s="265"/>
      <c r="J9" s="265"/>
      <c r="K9" s="265"/>
      <c r="L9" s="265"/>
      <c r="M9" s="265"/>
      <c r="N9" s="265"/>
      <c r="O9" s="265"/>
      <c r="P9" s="265"/>
      <c r="Q9" s="266"/>
      <c r="S9" s="264" t="s">
        <v>19</v>
      </c>
      <c r="T9" s="265"/>
      <c r="U9" s="266"/>
      <c r="X9" s="271" t="s">
        <v>20</v>
      </c>
      <c r="Y9" s="274" t="s">
        <v>21</v>
      </c>
      <c r="Z9" s="274" t="s">
        <v>128</v>
      </c>
      <c r="AA9" s="17"/>
      <c r="AB9" s="251" t="s">
        <v>22</v>
      </c>
      <c r="AC9" s="277" t="s">
        <v>23</v>
      </c>
      <c r="AD9" s="280" t="s">
        <v>24</v>
      </c>
      <c r="AE9" s="251" t="s">
        <v>25</v>
      </c>
      <c r="AG9" s="251" t="s">
        <v>26</v>
      </c>
      <c r="AH9" s="17"/>
      <c r="AI9" s="251" t="s">
        <v>27</v>
      </c>
    </row>
    <row r="10" spans="2:35" s="16" customFormat="1" ht="20.25" customHeight="1" x14ac:dyDescent="0.25">
      <c r="B10" s="259"/>
      <c r="C10" s="262"/>
      <c r="D10" s="262"/>
      <c r="E10" s="262"/>
      <c r="F10" s="268" t="s">
        <v>28</v>
      </c>
      <c r="G10" s="268" t="s">
        <v>29</v>
      </c>
      <c r="H10" s="268" t="s">
        <v>30</v>
      </c>
      <c r="I10" s="269" t="s">
        <v>31</v>
      </c>
      <c r="J10" s="269" t="s">
        <v>32</v>
      </c>
      <c r="K10" s="269" t="s">
        <v>33</v>
      </c>
      <c r="L10" s="269" t="s">
        <v>34</v>
      </c>
      <c r="M10" s="283" t="s">
        <v>35</v>
      </c>
      <c r="N10" s="284"/>
      <c r="O10" s="284"/>
      <c r="P10" s="284"/>
      <c r="Q10" s="285"/>
      <c r="S10" s="254" t="s">
        <v>36</v>
      </c>
      <c r="T10" s="255"/>
      <c r="U10" s="256"/>
      <c r="X10" s="272"/>
      <c r="Y10" s="275"/>
      <c r="Z10" s="275"/>
      <c r="AA10" s="17"/>
      <c r="AB10" s="252"/>
      <c r="AC10" s="278"/>
      <c r="AD10" s="281"/>
      <c r="AE10" s="252"/>
      <c r="AG10" s="252"/>
      <c r="AH10" s="17"/>
      <c r="AI10" s="252"/>
    </row>
    <row r="11" spans="2:35" s="21" customFormat="1" ht="12.75" customHeight="1" thickBot="1" x14ac:dyDescent="0.3">
      <c r="B11" s="260"/>
      <c r="C11" s="263"/>
      <c r="D11" s="263"/>
      <c r="E11" s="263"/>
      <c r="F11" s="263"/>
      <c r="G11" s="263"/>
      <c r="H11" s="263"/>
      <c r="I11" s="270"/>
      <c r="J11" s="270"/>
      <c r="K11" s="270"/>
      <c r="L11" s="270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73"/>
      <c r="Y11" s="276"/>
      <c r="Z11" s="276"/>
      <c r="AA11" s="17"/>
      <c r="AB11" s="253"/>
      <c r="AC11" s="279"/>
      <c r="AD11" s="282"/>
      <c r="AE11" s="253"/>
      <c r="AG11" s="267"/>
      <c r="AH11" s="17"/>
      <c r="AI11" s="253"/>
    </row>
    <row r="12" spans="2:35" s="21" customFormat="1" ht="32.1" customHeight="1" thickBot="1" x14ac:dyDescent="0.3">
      <c r="B12" s="23" t="s">
        <v>42</v>
      </c>
      <c r="C12" s="24">
        <v>912</v>
      </c>
      <c r="D12" s="24">
        <v>120</v>
      </c>
      <c r="E12" s="24">
        <f>C12+D12</f>
        <v>1032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IF($U$6="x",(F12*3.5),"")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26</v>
      </c>
      <c r="AH12" s="37"/>
      <c r="AI12" s="43">
        <f t="shared" ref="AI12:AI68" si="1">AG12+AE12</f>
        <v>31.369999999999997</v>
      </c>
    </row>
    <row r="13" spans="2:35" s="21" customFormat="1" ht="32.1" customHeight="1" thickBot="1" x14ac:dyDescent="0.3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>
        <v>216</v>
      </c>
      <c r="N13" s="51"/>
      <c r="O13" s="51"/>
      <c r="P13" s="52" t="str">
        <f t="shared" ref="P13:P68" si="5">IF(M13&amp;N13="","",ROUND(((M13+N13)/G13),1)&amp;" pallets")</f>
        <v>2 pallets</v>
      </c>
      <c r="Q13" s="53">
        <f t="shared" ref="Q13:Q70" si="6">(J13*M13)+(K13*N13)+(O13*L13)</f>
        <v>23976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36">
        <f t="shared" ref="Z13:Z56" si="8">IF($U$6="x",(F13*3.5),"")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42">
        <v>26</v>
      </c>
      <c r="AH13" s="37"/>
      <c r="AI13" s="63">
        <f t="shared" si="1"/>
        <v>29.64</v>
      </c>
    </row>
    <row r="14" spans="2:35" s="21" customFormat="1" ht="32.1" customHeight="1" thickBot="1" x14ac:dyDescent="0.3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36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42">
        <v>26</v>
      </c>
      <c r="AH14" s="37"/>
      <c r="AI14" s="63">
        <f t="shared" si="1"/>
        <v>32.07</v>
      </c>
    </row>
    <row r="15" spans="2:35" s="21" customFormat="1" ht="32.1" customHeight="1" thickBot="1" x14ac:dyDescent="0.3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>
        <v>192</v>
      </c>
      <c r="N15" s="51"/>
      <c r="O15" s="51"/>
      <c r="P15" s="52" t="str">
        <f t="shared" si="5"/>
        <v>2 pallets</v>
      </c>
      <c r="Q15" s="53">
        <f t="shared" si="6"/>
        <v>21312</v>
      </c>
      <c r="S15" s="54"/>
      <c r="T15" s="54"/>
      <c r="U15" s="55"/>
      <c r="X15" s="56">
        <f t="shared" si="7"/>
        <v>0</v>
      </c>
      <c r="Y15" s="57">
        <f>F15*AI15</f>
        <v>0</v>
      </c>
      <c r="Z15" s="36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42">
        <v>26</v>
      </c>
      <c r="AH15" s="37"/>
      <c r="AI15" s="63">
        <f t="shared" si="1"/>
        <v>30.1</v>
      </c>
    </row>
    <row r="16" spans="2:35" s="21" customFormat="1" ht="32.1" customHeight="1" thickBot="1" x14ac:dyDescent="0.3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/>
      <c r="G16" s="47">
        <v>108</v>
      </c>
      <c r="H16" s="64"/>
      <c r="I16" s="49">
        <f t="shared" si="4"/>
        <v>0</v>
      </c>
      <c r="J16" s="50">
        <v>111</v>
      </c>
      <c r="K16" s="65"/>
      <c r="L16" s="50">
        <v>4.5</v>
      </c>
      <c r="M16" s="51">
        <v>1188</v>
      </c>
      <c r="N16" s="193"/>
      <c r="O16" s="51"/>
      <c r="P16" s="52" t="str">
        <f t="shared" si="5"/>
        <v>11 pallets</v>
      </c>
      <c r="Q16" s="53">
        <f t="shared" si="6"/>
        <v>131868</v>
      </c>
      <c r="S16" s="54"/>
      <c r="T16" s="67"/>
      <c r="U16" s="55"/>
      <c r="X16" s="56">
        <f t="shared" si="7"/>
        <v>0</v>
      </c>
      <c r="Y16" s="57">
        <f>F16*AI16</f>
        <v>0</v>
      </c>
      <c r="Z16" s="36">
        <f t="shared" si="8"/>
        <v>0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42">
        <v>26</v>
      </c>
      <c r="AH16" s="37"/>
      <c r="AI16" s="63">
        <f t="shared" si="1"/>
        <v>29.64</v>
      </c>
    </row>
    <row r="17" spans="2:35" s="21" customFormat="1" ht="32.1" customHeight="1" thickBot="1" x14ac:dyDescent="0.3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36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42">
        <v>26</v>
      </c>
      <c r="AH17" s="37"/>
      <c r="AI17" s="63">
        <f t="shared" si="1"/>
        <v>29.64</v>
      </c>
    </row>
    <row r="18" spans="2:35" s="21" customFormat="1" ht="32.1" customHeight="1" thickBot="1" x14ac:dyDescent="0.3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36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42">
        <v>26</v>
      </c>
      <c r="AH18" s="37"/>
      <c r="AI18" s="63">
        <f t="shared" si="1"/>
        <v>29.64</v>
      </c>
    </row>
    <row r="19" spans="2:35" s="21" customFormat="1" ht="32.1" customHeight="1" thickBot="1" x14ac:dyDescent="0.3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36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42">
        <v>26</v>
      </c>
      <c r="AH19" s="37"/>
      <c r="AI19" s="83">
        <f t="shared" si="1"/>
        <v>32.07</v>
      </c>
    </row>
    <row r="20" spans="2:35" s="21" customFormat="1" ht="32.1" customHeight="1" thickBot="1" x14ac:dyDescent="0.3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36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42">
        <v>26</v>
      </c>
      <c r="AH20" s="37"/>
      <c r="AI20" s="63">
        <f t="shared" si="1"/>
        <v>32.07</v>
      </c>
    </row>
    <row r="21" spans="2:35" s="21" customFormat="1" ht="32.1" customHeight="1" thickBot="1" x14ac:dyDescent="0.3">
      <c r="B21" s="68" t="s">
        <v>51</v>
      </c>
      <c r="C21" s="45">
        <v>872</v>
      </c>
      <c r="D21" s="69">
        <v>120</v>
      </c>
      <c r="E21" s="69">
        <f t="shared" si="2"/>
        <v>992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36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42">
        <v>26</v>
      </c>
      <c r="AH21" s="37"/>
      <c r="AI21" s="83">
        <f t="shared" si="1"/>
        <v>32.07</v>
      </c>
    </row>
    <row r="22" spans="2:35" s="21" customFormat="1" ht="32.1" customHeight="1" thickBot="1" x14ac:dyDescent="0.3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36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42">
        <v>26</v>
      </c>
      <c r="AH22" s="37"/>
      <c r="AI22" s="43">
        <f>AG22+AE22</f>
        <v>32.07</v>
      </c>
    </row>
    <row r="23" spans="2:35" s="21" customFormat="1" ht="32.1" customHeight="1" thickBot="1" x14ac:dyDescent="0.3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36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42">
        <v>26</v>
      </c>
      <c r="AH23" s="37"/>
      <c r="AI23" s="43">
        <f t="shared" si="1"/>
        <v>32.07</v>
      </c>
    </row>
    <row r="24" spans="2:35" s="21" customFormat="1" ht="32.1" customHeight="1" thickBot="1" x14ac:dyDescent="0.3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36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42">
        <v>26</v>
      </c>
      <c r="AH24" s="37"/>
      <c r="AI24" s="63">
        <f t="shared" si="1"/>
        <v>32.07</v>
      </c>
    </row>
    <row r="25" spans="2:35" s="21" customFormat="1" ht="32.1" customHeight="1" thickBot="1" x14ac:dyDescent="0.3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36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42">
        <v>26</v>
      </c>
      <c r="AH25" s="37"/>
      <c r="AI25" s="63">
        <f t="shared" si="1"/>
        <v>32.07</v>
      </c>
    </row>
    <row r="26" spans="2:35" s="21" customFormat="1" ht="32.1" customHeight="1" thickBot="1" x14ac:dyDescent="0.3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36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42">
        <v>26</v>
      </c>
      <c r="AH26" s="37"/>
      <c r="AI26" s="63">
        <f t="shared" si="1"/>
        <v>32.07</v>
      </c>
    </row>
    <row r="27" spans="2:35" s="21" customFormat="1" ht="32.1" customHeight="1" thickBot="1" x14ac:dyDescent="0.3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36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42">
        <v>26</v>
      </c>
      <c r="AH27" s="37"/>
      <c r="AI27" s="83">
        <f t="shared" si="1"/>
        <v>32.07</v>
      </c>
    </row>
    <row r="28" spans="2:35" s="21" customFormat="1" ht="32.1" customHeight="1" thickBot="1" x14ac:dyDescent="0.3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36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42">
        <v>26</v>
      </c>
      <c r="AH28" s="37"/>
      <c r="AI28" s="43">
        <f t="shared" si="1"/>
        <v>32.07</v>
      </c>
    </row>
    <row r="29" spans="2:35" s="21" customFormat="1" ht="32.1" customHeight="1" thickBot="1" x14ac:dyDescent="0.3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36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42">
        <v>26</v>
      </c>
      <c r="AH29" s="37"/>
      <c r="AI29" s="83">
        <f t="shared" si="1"/>
        <v>32.07</v>
      </c>
    </row>
    <row r="30" spans="2:35" s="21" customFormat="1" ht="32.1" customHeight="1" thickBot="1" x14ac:dyDescent="0.3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36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42">
        <v>26</v>
      </c>
      <c r="AH30" s="37"/>
      <c r="AI30" s="43">
        <f t="shared" si="1"/>
        <v>31.369999999999997</v>
      </c>
    </row>
    <row r="31" spans="2:35" s="21" customFormat="1" ht="32.1" customHeight="1" thickBot="1" x14ac:dyDescent="0.3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36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42">
        <v>26</v>
      </c>
      <c r="AH31" s="37"/>
      <c r="AI31" s="63">
        <f t="shared" si="1"/>
        <v>31.759999999999998</v>
      </c>
    </row>
    <row r="32" spans="2:35" s="21" customFormat="1" ht="32.1" customHeight="1" thickBot="1" x14ac:dyDescent="0.3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36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42">
        <v>26</v>
      </c>
      <c r="AH32" s="37"/>
      <c r="AI32" s="63">
        <f t="shared" si="1"/>
        <v>32.07</v>
      </c>
    </row>
    <row r="33" spans="2:35" s="21" customFormat="1" ht="32.1" customHeight="1" thickBot="1" x14ac:dyDescent="0.3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36">
        <f t="shared" si="8"/>
        <v>0</v>
      </c>
      <c r="AA33" s="37"/>
      <c r="AB33" s="58">
        <f>AB8</f>
        <v>2.67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2.98</v>
      </c>
      <c r="AF33" s="61"/>
      <c r="AG33" s="42">
        <v>26</v>
      </c>
      <c r="AH33" s="37"/>
      <c r="AI33" s="43">
        <f t="shared" si="1"/>
        <v>28.98</v>
      </c>
    </row>
    <row r="34" spans="2:35" s="21" customFormat="1" ht="32.1" customHeight="1" thickBot="1" x14ac:dyDescent="0.3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36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42">
        <v>26</v>
      </c>
      <c r="AH34" s="37"/>
      <c r="AI34" s="43">
        <f t="shared" si="1"/>
        <v>28.16</v>
      </c>
    </row>
    <row r="35" spans="2:35" s="21" customFormat="1" ht="32.1" customHeight="1" thickBot="1" x14ac:dyDescent="0.3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36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42">
        <v>26</v>
      </c>
      <c r="AH35" s="37"/>
      <c r="AI35" s="63">
        <f t="shared" si="1"/>
        <v>28.16</v>
      </c>
    </row>
    <row r="36" spans="2:35" s="21" customFormat="1" ht="32.1" customHeight="1" thickBot="1" x14ac:dyDescent="0.3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36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42">
        <v>26</v>
      </c>
      <c r="AH36" s="37"/>
      <c r="AI36" s="63">
        <f t="shared" si="1"/>
        <v>28.16</v>
      </c>
    </row>
    <row r="37" spans="2:35" s="21" customFormat="1" ht="32.1" customHeight="1" thickBot="1" x14ac:dyDescent="0.3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36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42">
        <v>26</v>
      </c>
      <c r="AH37" s="37"/>
      <c r="AI37" s="63">
        <f t="shared" si="1"/>
        <v>28.16</v>
      </c>
    </row>
    <row r="38" spans="2:35" s="21" customFormat="1" ht="32.1" customHeight="1" thickBot="1" x14ac:dyDescent="0.3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36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42">
        <v>26</v>
      </c>
      <c r="AH38" s="37"/>
      <c r="AI38" s="83">
        <f t="shared" si="1"/>
        <v>28.16</v>
      </c>
    </row>
    <row r="39" spans="2:35" s="21" customFormat="1" ht="32.1" customHeight="1" thickBot="1" x14ac:dyDescent="0.3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36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42">
        <v>26</v>
      </c>
      <c r="AH39" s="37"/>
      <c r="AI39" s="43">
        <f t="shared" si="1"/>
        <v>28.16</v>
      </c>
    </row>
    <row r="40" spans="2:35" s="21" customFormat="1" ht="32.1" customHeight="1" thickBot="1" x14ac:dyDescent="0.3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36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42">
        <v>26</v>
      </c>
      <c r="AH40" s="37"/>
      <c r="AI40" s="63">
        <f t="shared" si="1"/>
        <v>28.16</v>
      </c>
    </row>
    <row r="41" spans="2:35" s="21" customFormat="1" ht="32.1" customHeight="1" thickBot="1" x14ac:dyDescent="0.3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36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42">
        <v>26</v>
      </c>
      <c r="AH41" s="37"/>
      <c r="AI41" s="83">
        <f t="shared" si="1"/>
        <v>28.16</v>
      </c>
    </row>
    <row r="42" spans="2:35" s="21" customFormat="1" ht="32.1" customHeight="1" thickBot="1" x14ac:dyDescent="0.3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36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42">
        <v>26</v>
      </c>
      <c r="AH42" s="37"/>
      <c r="AI42" s="107">
        <f t="shared" si="1"/>
        <v>28.16</v>
      </c>
    </row>
    <row r="43" spans="2:35" s="21" customFormat="1" ht="32.1" customHeight="1" thickBot="1" x14ac:dyDescent="0.3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36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42">
        <v>26</v>
      </c>
      <c r="AH43" s="37"/>
      <c r="AI43" s="110">
        <f t="shared" si="1"/>
        <v>28.16</v>
      </c>
    </row>
    <row r="44" spans="2:35" s="21" customFormat="1" ht="32.1" customHeight="1" thickBot="1" x14ac:dyDescent="0.3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36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42">
        <v>26</v>
      </c>
      <c r="AH44" s="37"/>
      <c r="AI44" s="63">
        <f>AG44+AE44</f>
        <v>28.16</v>
      </c>
    </row>
    <row r="45" spans="2:35" s="21" customFormat="1" ht="32.1" customHeight="1" thickBot="1" x14ac:dyDescent="0.3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36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42">
        <v>26</v>
      </c>
      <c r="AH45" s="37"/>
      <c r="AI45" s="110">
        <f t="shared" si="1"/>
        <v>29.77</v>
      </c>
    </row>
    <row r="46" spans="2:35" s="21" customFormat="1" ht="32.1" customHeight="1" thickBot="1" x14ac:dyDescent="0.3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36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42">
        <v>26</v>
      </c>
      <c r="AH46" s="37"/>
      <c r="AI46" s="83">
        <f t="shared" si="1"/>
        <v>28.16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36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42">
        <v>26</v>
      </c>
      <c r="AH47" s="37"/>
      <c r="AI47" s="107">
        <f t="shared" si="1"/>
        <v>26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36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42">
        <v>26</v>
      </c>
      <c r="AH48" s="37"/>
      <c r="AI48" s="110">
        <f t="shared" si="1"/>
        <v>26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36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42">
        <v>26</v>
      </c>
      <c r="AH49" s="37"/>
      <c r="AI49" s="83">
        <f t="shared" si="1"/>
        <v>26</v>
      </c>
    </row>
    <row r="50" spans="2:35" s="21" customFormat="1" ht="32.1" customHeight="1" thickBot="1" x14ac:dyDescent="0.3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36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42">
        <v>26</v>
      </c>
      <c r="AH50" s="37"/>
      <c r="AI50" s="63">
        <f t="shared" si="1"/>
        <v>32.07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36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42">
        <v>26</v>
      </c>
      <c r="AH51" s="37"/>
      <c r="AI51" s="125">
        <f t="shared" si="1"/>
        <v>28.16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36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42">
        <v>26</v>
      </c>
      <c r="AH52" s="37"/>
      <c r="AI52" s="43">
        <f t="shared" si="1"/>
        <v>31.07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36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42">
        <v>26</v>
      </c>
      <c r="AH53" s="37"/>
      <c r="AI53" s="125">
        <f t="shared" si="1"/>
        <v>28.16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36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42">
        <v>26</v>
      </c>
      <c r="AH54" s="37"/>
      <c r="AI54" s="125">
        <f t="shared" si="1"/>
        <v>28.16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36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42">
        <v>26</v>
      </c>
      <c r="AH55" s="37"/>
      <c r="AI55" s="125">
        <f t="shared" si="1"/>
        <v>28.16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36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42">
        <v>26</v>
      </c>
      <c r="AH56" s="37"/>
      <c r="AI56" s="125">
        <f t="shared" si="1"/>
        <v>28.16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>IF($U$6="x",(F62*3.5),"")</f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26</v>
      </c>
      <c r="AH62" s="37"/>
      <c r="AI62" s="43">
        <f t="shared" si="1"/>
        <v>28.16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ref="Z63:Z68" si="17">IF($U$6="x",(F63*3.5),"")</f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26</v>
      </c>
      <c r="AH63" s="37"/>
      <c r="AI63" s="63">
        <f t="shared" si="1"/>
        <v>28.16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17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26</v>
      </c>
      <c r="AH64" s="37"/>
      <c r="AI64" s="63">
        <f t="shared" si="1"/>
        <v>28.16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17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26</v>
      </c>
      <c r="AH65" s="37"/>
      <c r="AI65" s="63">
        <f t="shared" si="1"/>
        <v>28.16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17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26</v>
      </c>
      <c r="AH66" s="37"/>
      <c r="AI66" s="63">
        <f t="shared" si="1"/>
        <v>28.16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17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26</v>
      </c>
      <c r="AH67" s="37"/>
      <c r="AI67" s="63">
        <f t="shared" si="1"/>
        <v>28.16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57">
        <f t="shared" si="17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26</v>
      </c>
      <c r="AH68" s="37"/>
      <c r="AI68" s="125">
        <f t="shared" si="1"/>
        <v>28.16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8">+D69-C69</f>
        <v>262.5</v>
      </c>
      <c r="F69" s="136"/>
      <c r="G69" s="87">
        <v>72</v>
      </c>
      <c r="H69" s="137" t="str">
        <f t="shared" ref="H69:H70" si="19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20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8"/>
        <v>262.5</v>
      </c>
      <c r="F70" s="142"/>
      <c r="G70" s="115">
        <v>72</v>
      </c>
      <c r="H70" s="143" t="str">
        <f t="shared" si="19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20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57" t="s">
        <v>101</v>
      </c>
      <c r="C71" s="257"/>
      <c r="D71" s="257"/>
      <c r="E71" s="257"/>
      <c r="F71" s="257"/>
      <c r="G71" s="257"/>
      <c r="H71" s="147" t="str">
        <f>ROUND(((F12+F30+F52+F57+F58+F59+F60+F61)/72+(F13+F16+F18)/108+(F14+SUM(F19:F29)+F31+F32+F22+F50+F45)/63+F15/96+SUM(F34:F43)/100+SUM(F47:F49)/24+SUM(F62:F68)/100+(F51+F46+F44)/100),1)&amp;" pallets"</f>
        <v>0 pallets</v>
      </c>
      <c r="I71" s="148"/>
      <c r="J71" s="149"/>
      <c r="K71" s="150"/>
      <c r="L71" s="149"/>
      <c r="M71" s="151"/>
      <c r="N71" s="152"/>
      <c r="O71" s="152"/>
      <c r="P71" s="195" t="str">
        <f>ROUND((((M12+N12+M30+M57+M58+M59+M60+M61+N57)/72+(M13+N13+M16+M18)/108+(M15+N15)/96+SUM(M14,M19:M29,M31:M32,M50,N14)/63)),1)&amp;" pallets"</f>
        <v>15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37">
        <f>SUM(I12:I70)</f>
        <v>0</v>
      </c>
      <c r="G73" s="237"/>
      <c r="H73" s="237"/>
      <c r="I73" s="238"/>
      <c r="J73" s="158"/>
      <c r="K73" s="158"/>
      <c r="L73" s="158"/>
      <c r="M73" s="249" t="s">
        <v>103</v>
      </c>
      <c r="N73" s="250"/>
      <c r="O73" s="237">
        <f>SUM(Q12:Q70)</f>
        <v>177156</v>
      </c>
      <c r="P73" s="237"/>
      <c r="Q73" s="238"/>
      <c r="R73" s="152"/>
      <c r="S73" s="159" t="s">
        <v>104</v>
      </c>
      <c r="T73" s="242">
        <f>SUM(Y12:Y68)</f>
        <v>0</v>
      </c>
      <c r="U73" s="243"/>
      <c r="V73" s="160"/>
      <c r="W73" s="160"/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37">
        <f>SUM(I14:I72)</f>
        <v>0</v>
      </c>
      <c r="G75" s="237"/>
      <c r="H75" s="237"/>
      <c r="I75" s="238"/>
      <c r="J75" s="158"/>
      <c r="K75" s="158"/>
      <c r="L75" s="158"/>
      <c r="M75" s="249" t="s">
        <v>103</v>
      </c>
      <c r="N75" s="250"/>
      <c r="O75" s="237">
        <f>SUM(Q14:Q72)</f>
        <v>153180</v>
      </c>
      <c r="P75" s="237"/>
      <c r="Q75" s="238"/>
      <c r="R75" s="152"/>
      <c r="S75" s="159" t="s">
        <v>129</v>
      </c>
      <c r="T75" s="242">
        <f>SUM(Z12:Z70)</f>
        <v>0</v>
      </c>
      <c r="U75" s="243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37">
        <f>IF(U7&gt;0,"",(F73-O73-T79-P79))</f>
        <v>-177156</v>
      </c>
      <c r="G77" s="237"/>
      <c r="H77" s="237"/>
      <c r="I77" s="238"/>
      <c r="J77" s="164"/>
      <c r="K77" s="164"/>
      <c r="L77" s="164"/>
      <c r="M77" s="239" t="s">
        <v>106</v>
      </c>
      <c r="N77" s="239"/>
      <c r="O77" s="168" t="s">
        <v>107</v>
      </c>
      <c r="P77" s="240"/>
      <c r="Q77" s="241"/>
      <c r="R77" s="152"/>
      <c r="S77" s="159" t="s">
        <v>108</v>
      </c>
      <c r="T77" s="242">
        <f>IF(SUM(X12:X68)*0.15&gt;P77,P77,SUM(X12:X68)*0.15)</f>
        <v>0</v>
      </c>
      <c r="U77" s="243"/>
      <c r="V77" s="160"/>
      <c r="W77" s="244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45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37"/>
      <c r="G79" s="237"/>
      <c r="H79" s="237"/>
      <c r="I79" s="238"/>
      <c r="J79" s="164"/>
      <c r="K79" s="164"/>
      <c r="L79" s="164"/>
      <c r="M79" s="247" t="str">
        <f>IF(U6&gt;0,"",T4+30)</f>
        <v/>
      </c>
      <c r="N79" s="248"/>
      <c r="O79" s="168" t="s">
        <v>111</v>
      </c>
      <c r="P79" s="240"/>
      <c r="Q79" s="241"/>
      <c r="R79" s="152"/>
      <c r="S79" s="159" t="s">
        <v>112</v>
      </c>
      <c r="T79" s="242">
        <f>T77+T73+T75</f>
        <v>0</v>
      </c>
      <c r="U79" s="243"/>
      <c r="V79" s="160"/>
      <c r="W79" s="246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14" t="s">
        <v>113</v>
      </c>
      <c r="C81" s="215"/>
      <c r="D81" s="215"/>
      <c r="E81" s="215"/>
      <c r="F81" s="215"/>
      <c r="G81" s="215"/>
      <c r="H81" s="216"/>
      <c r="I81" s="223" t="s">
        <v>114</v>
      </c>
      <c r="J81" s="171"/>
      <c r="K81" s="171"/>
      <c r="L81" s="171"/>
      <c r="M81" s="225"/>
      <c r="N81" s="228" t="s">
        <v>115</v>
      </c>
      <c r="O81" s="231"/>
      <c r="P81" s="225"/>
      <c r="Q81" s="208" t="s">
        <v>116</v>
      </c>
      <c r="R81" s="234"/>
      <c r="S81" s="205"/>
      <c r="T81" s="208" t="s">
        <v>117</v>
      </c>
      <c r="U81" s="211"/>
    </row>
    <row r="82" spans="2:21" ht="15" customHeight="1" x14ac:dyDescent="0.25">
      <c r="B82" s="217"/>
      <c r="C82" s="218"/>
      <c r="D82" s="218"/>
      <c r="E82" s="218"/>
      <c r="F82" s="218"/>
      <c r="G82" s="218"/>
      <c r="H82" s="219"/>
      <c r="I82" s="202"/>
      <c r="J82" s="2"/>
      <c r="K82" s="2"/>
      <c r="L82" s="2"/>
      <c r="M82" s="226"/>
      <c r="N82" s="229"/>
      <c r="O82" s="232"/>
      <c r="P82" s="226"/>
      <c r="Q82" s="209"/>
      <c r="R82" s="235"/>
      <c r="S82" s="206"/>
      <c r="T82" s="209"/>
      <c r="U82" s="212"/>
    </row>
    <row r="83" spans="2:21" ht="15.75" customHeight="1" thickBot="1" x14ac:dyDescent="0.3">
      <c r="B83" s="220"/>
      <c r="C83" s="221"/>
      <c r="D83" s="221"/>
      <c r="E83" s="221"/>
      <c r="F83" s="221"/>
      <c r="G83" s="221"/>
      <c r="H83" s="222"/>
      <c r="I83" s="224"/>
      <c r="J83" s="172"/>
      <c r="K83" s="172"/>
      <c r="L83" s="172"/>
      <c r="M83" s="227"/>
      <c r="N83" s="230"/>
      <c r="O83" s="233"/>
      <c r="P83" s="227"/>
      <c r="Q83" s="210"/>
      <c r="R83" s="236"/>
      <c r="S83" s="207"/>
      <c r="T83" s="210"/>
      <c r="U83" s="213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196" t="s">
        <v>132</v>
      </c>
      <c r="C88" s="197"/>
      <c r="D88" s="197"/>
      <c r="E88" s="197"/>
      <c r="F88" s="197"/>
      <c r="G88" s="197"/>
      <c r="H88" s="197"/>
      <c r="I88" s="198"/>
      <c r="J88" s="185"/>
      <c r="K88" s="185"/>
      <c r="L88" s="185"/>
      <c r="M88" s="196"/>
      <c r="N88" s="197"/>
      <c r="O88" s="197"/>
      <c r="P88" s="197"/>
      <c r="Q88" s="198"/>
      <c r="R88" s="187"/>
      <c r="S88" s="188"/>
      <c r="T88" s="188"/>
      <c r="U88" s="189"/>
    </row>
    <row r="89" spans="2:21" ht="18" x14ac:dyDescent="0.25">
      <c r="B89" s="199" t="s">
        <v>122</v>
      </c>
      <c r="C89" s="200"/>
      <c r="D89" s="200"/>
      <c r="E89" s="200"/>
      <c r="F89" s="200"/>
      <c r="G89" s="200"/>
      <c r="H89" s="200"/>
      <c r="I89" s="201"/>
      <c r="M89" s="199" t="s">
        <v>122</v>
      </c>
      <c r="N89" s="200"/>
      <c r="O89" s="200"/>
      <c r="P89" s="200"/>
      <c r="Q89" s="201"/>
      <c r="R89" s="202" t="s">
        <v>123</v>
      </c>
      <c r="S89" s="203"/>
      <c r="T89" s="203"/>
      <c r="U89" s="204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196" t="s">
        <v>133</v>
      </c>
      <c r="C93" s="197"/>
      <c r="D93" s="197"/>
      <c r="E93" s="197"/>
      <c r="F93" s="197"/>
      <c r="G93" s="197"/>
      <c r="H93" s="197"/>
      <c r="I93" s="198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199" t="s">
        <v>126</v>
      </c>
      <c r="C94" s="200"/>
      <c r="D94" s="200"/>
      <c r="E94" s="200"/>
      <c r="F94" s="200"/>
      <c r="G94" s="200"/>
      <c r="H94" s="200"/>
      <c r="I94" s="201"/>
      <c r="M94" s="179"/>
      <c r="Q94" s="180"/>
      <c r="R94" s="202" t="s">
        <v>127</v>
      </c>
      <c r="S94" s="203"/>
      <c r="T94" s="203"/>
      <c r="U94" s="204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B9:B11"/>
    <mergeCell ref="C9:C11"/>
    <mergeCell ref="D9:D11"/>
    <mergeCell ref="E9:E11"/>
    <mergeCell ref="F9:Q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29BE9D-B8F5-45E0-A536-8431B0BA57B8}">
  <sheetPr>
    <tabColor rgb="FF00B050"/>
    <pageSetUpPr fitToPage="1"/>
  </sheetPr>
  <dimension ref="A1:AJ100"/>
  <sheetViews>
    <sheetView showGridLines="0" topLeftCell="A62" zoomScale="85" zoomScaleNormal="85" workbookViewId="0">
      <pane xSplit="2" topLeftCell="C1" activePane="topRight" state="frozen"/>
      <selection activeCell="P79" sqref="P79:Q79"/>
      <selection pane="topRight" activeCell="M17" sqref="M17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9.28515625" style="3" bestFit="1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86" t="s">
        <v>130</v>
      </c>
      <c r="G2" s="286"/>
      <c r="H2" s="286"/>
      <c r="I2" s="286"/>
      <c r="J2" s="286"/>
      <c r="K2" s="286"/>
      <c r="L2" s="286"/>
      <c r="M2" s="286"/>
      <c r="N2" s="286"/>
      <c r="O2" s="286"/>
      <c r="P2" s="286"/>
      <c r="Q2" s="286"/>
      <c r="R2" s="286"/>
      <c r="S2" s="286"/>
      <c r="T2" s="6" t="s">
        <v>1</v>
      </c>
      <c r="U2" s="7"/>
      <c r="W2" s="244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45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87"/>
      <c r="G4" s="287"/>
      <c r="H4" s="287"/>
      <c r="I4" s="287"/>
      <c r="J4" s="287"/>
      <c r="K4" s="287"/>
      <c r="L4" s="287"/>
      <c r="M4" s="287"/>
      <c r="S4" s="2" t="s">
        <v>4</v>
      </c>
      <c r="T4" s="288"/>
      <c r="U4" s="288"/>
      <c r="W4" s="246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89"/>
      <c r="G6" s="289"/>
      <c r="H6" s="289"/>
      <c r="I6" s="289"/>
      <c r="J6" s="289"/>
      <c r="K6" s="289"/>
      <c r="L6" s="289"/>
      <c r="M6" s="289"/>
      <c r="S6" s="11" t="s">
        <v>6</v>
      </c>
      <c r="T6" s="195" t="s">
        <v>7</v>
      </c>
      <c r="U6" s="12" t="s">
        <v>131</v>
      </c>
      <c r="W6" s="244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89"/>
      <c r="G7" s="289"/>
      <c r="H7" s="289"/>
      <c r="I7" s="289"/>
      <c r="J7" s="289"/>
      <c r="K7" s="289"/>
      <c r="L7" s="289"/>
      <c r="M7" s="289"/>
      <c r="N7" s="14"/>
      <c r="O7" s="14"/>
      <c r="P7" s="14"/>
      <c r="Q7" s="15"/>
      <c r="S7" s="14"/>
      <c r="T7" s="195" t="s">
        <v>11</v>
      </c>
      <c r="U7" s="12"/>
      <c r="W7" s="246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2.67</v>
      </c>
      <c r="AD8" s="2">
        <v>0.31</v>
      </c>
      <c r="AE8" s="11" t="s">
        <v>13</v>
      </c>
    </row>
    <row r="9" spans="2:35" s="16" customFormat="1" ht="20.25" x14ac:dyDescent="0.25">
      <c r="B9" s="258" t="s">
        <v>14</v>
      </c>
      <c r="C9" s="261" t="s">
        <v>15</v>
      </c>
      <c r="D9" s="261" t="s">
        <v>16</v>
      </c>
      <c r="E9" s="261" t="s">
        <v>17</v>
      </c>
      <c r="F9" s="264" t="s">
        <v>18</v>
      </c>
      <c r="G9" s="265"/>
      <c r="H9" s="265"/>
      <c r="I9" s="265"/>
      <c r="J9" s="265"/>
      <c r="K9" s="265"/>
      <c r="L9" s="265"/>
      <c r="M9" s="265"/>
      <c r="N9" s="265"/>
      <c r="O9" s="265"/>
      <c r="P9" s="265"/>
      <c r="Q9" s="266"/>
      <c r="S9" s="264" t="s">
        <v>19</v>
      </c>
      <c r="T9" s="265"/>
      <c r="U9" s="266"/>
      <c r="X9" s="271" t="s">
        <v>20</v>
      </c>
      <c r="Y9" s="274" t="s">
        <v>21</v>
      </c>
      <c r="Z9" s="274" t="s">
        <v>128</v>
      </c>
      <c r="AA9" s="17"/>
      <c r="AB9" s="251" t="s">
        <v>22</v>
      </c>
      <c r="AC9" s="277" t="s">
        <v>23</v>
      </c>
      <c r="AD9" s="280" t="s">
        <v>24</v>
      </c>
      <c r="AE9" s="251" t="s">
        <v>25</v>
      </c>
      <c r="AG9" s="251" t="s">
        <v>26</v>
      </c>
      <c r="AH9" s="17"/>
      <c r="AI9" s="251" t="s">
        <v>27</v>
      </c>
    </row>
    <row r="10" spans="2:35" s="16" customFormat="1" ht="20.25" customHeight="1" x14ac:dyDescent="0.25">
      <c r="B10" s="259"/>
      <c r="C10" s="262"/>
      <c r="D10" s="262"/>
      <c r="E10" s="262"/>
      <c r="F10" s="268" t="s">
        <v>28</v>
      </c>
      <c r="G10" s="268" t="s">
        <v>29</v>
      </c>
      <c r="H10" s="268" t="s">
        <v>30</v>
      </c>
      <c r="I10" s="269" t="s">
        <v>31</v>
      </c>
      <c r="J10" s="269" t="s">
        <v>32</v>
      </c>
      <c r="K10" s="269" t="s">
        <v>33</v>
      </c>
      <c r="L10" s="269" t="s">
        <v>34</v>
      </c>
      <c r="M10" s="283" t="s">
        <v>35</v>
      </c>
      <c r="N10" s="284"/>
      <c r="O10" s="284"/>
      <c r="P10" s="284"/>
      <c r="Q10" s="285"/>
      <c r="S10" s="254" t="s">
        <v>36</v>
      </c>
      <c r="T10" s="255"/>
      <c r="U10" s="256"/>
      <c r="X10" s="272"/>
      <c r="Y10" s="275"/>
      <c r="Z10" s="275"/>
      <c r="AA10" s="17"/>
      <c r="AB10" s="252"/>
      <c r="AC10" s="278"/>
      <c r="AD10" s="281"/>
      <c r="AE10" s="252"/>
      <c r="AG10" s="252"/>
      <c r="AH10" s="17"/>
      <c r="AI10" s="252"/>
    </row>
    <row r="11" spans="2:35" s="21" customFormat="1" ht="12.75" customHeight="1" thickBot="1" x14ac:dyDescent="0.3">
      <c r="B11" s="260"/>
      <c r="C11" s="263"/>
      <c r="D11" s="263"/>
      <c r="E11" s="263"/>
      <c r="F11" s="263"/>
      <c r="G11" s="263"/>
      <c r="H11" s="263"/>
      <c r="I11" s="270"/>
      <c r="J11" s="270"/>
      <c r="K11" s="270"/>
      <c r="L11" s="270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73"/>
      <c r="Y11" s="276"/>
      <c r="Z11" s="276"/>
      <c r="AA11" s="17"/>
      <c r="AB11" s="253"/>
      <c r="AC11" s="279"/>
      <c r="AD11" s="282"/>
      <c r="AE11" s="253"/>
      <c r="AG11" s="267"/>
      <c r="AH11" s="17"/>
      <c r="AI11" s="253"/>
    </row>
    <row r="12" spans="2:35" s="21" customFormat="1" ht="32.1" customHeight="1" thickBot="1" x14ac:dyDescent="0.3">
      <c r="B12" s="23" t="s">
        <v>42</v>
      </c>
      <c r="C12" s="24">
        <v>912</v>
      </c>
      <c r="D12" s="24">
        <v>120</v>
      </c>
      <c r="E12" s="24">
        <f>C12+D12</f>
        <v>1032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IF($U$6="x",(F12*3.5),"")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26</v>
      </c>
      <c r="AH12" s="37"/>
      <c r="AI12" s="43">
        <f t="shared" ref="AI12:AI68" si="1">AG12+AE12</f>
        <v>31.369999999999997</v>
      </c>
    </row>
    <row r="13" spans="2:35" s="21" customFormat="1" ht="32.1" customHeight="1" thickBot="1" x14ac:dyDescent="0.3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>
        <v>108</v>
      </c>
      <c r="N13" s="51"/>
      <c r="O13" s="51"/>
      <c r="P13" s="52" t="str">
        <f t="shared" ref="P13:P68" si="5">IF(M13&amp;N13="","",ROUND(((M13+N13)/G13),1)&amp;" pallets")</f>
        <v>1 pallets</v>
      </c>
      <c r="Q13" s="53">
        <f t="shared" ref="Q13:Q70" si="6">(J13*M13)+(K13*N13)+(O13*L13)</f>
        <v>11988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36">
        <f t="shared" ref="Z13:Z56" si="8">IF($U$6="x",(F13*3.5),"")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42">
        <v>26</v>
      </c>
      <c r="AH13" s="37"/>
      <c r="AI13" s="63">
        <f t="shared" si="1"/>
        <v>29.64</v>
      </c>
    </row>
    <row r="14" spans="2:35" s="21" customFormat="1" ht="32.1" customHeight="1" thickBot="1" x14ac:dyDescent="0.3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36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42">
        <v>26</v>
      </c>
      <c r="AH14" s="37"/>
      <c r="AI14" s="63">
        <f t="shared" si="1"/>
        <v>32.07</v>
      </c>
    </row>
    <row r="15" spans="2:35" s="21" customFormat="1" ht="32.1" customHeight="1" thickBot="1" x14ac:dyDescent="0.3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36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42">
        <v>26</v>
      </c>
      <c r="AH15" s="37"/>
      <c r="AI15" s="63">
        <f t="shared" si="1"/>
        <v>30.1</v>
      </c>
    </row>
    <row r="16" spans="2:35" s="21" customFormat="1" ht="32.1" customHeight="1" thickBot="1" x14ac:dyDescent="0.3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/>
      <c r="G16" s="47">
        <v>108</v>
      </c>
      <c r="H16" s="64"/>
      <c r="I16" s="49">
        <f t="shared" si="4"/>
        <v>0</v>
      </c>
      <c r="J16" s="50">
        <v>111</v>
      </c>
      <c r="K16" s="65"/>
      <c r="L16" s="50">
        <v>4.5</v>
      </c>
      <c r="M16" s="51">
        <v>1728</v>
      </c>
      <c r="N16" s="193"/>
      <c r="O16" s="51"/>
      <c r="P16" s="52" t="str">
        <f t="shared" si="5"/>
        <v>16 pallets</v>
      </c>
      <c r="Q16" s="53">
        <f t="shared" si="6"/>
        <v>191808</v>
      </c>
      <c r="S16" s="54"/>
      <c r="T16" s="67"/>
      <c r="U16" s="55"/>
      <c r="X16" s="56">
        <f t="shared" si="7"/>
        <v>0</v>
      </c>
      <c r="Y16" s="57">
        <f>F16*AI16</f>
        <v>0</v>
      </c>
      <c r="Z16" s="36">
        <f t="shared" si="8"/>
        <v>0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42">
        <v>26</v>
      </c>
      <c r="AH16" s="37"/>
      <c r="AI16" s="63">
        <f t="shared" si="1"/>
        <v>29.64</v>
      </c>
    </row>
    <row r="17" spans="2:35" s="21" customFormat="1" ht="32.1" customHeight="1" thickBot="1" x14ac:dyDescent="0.3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36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42">
        <v>26</v>
      </c>
      <c r="AH17" s="37"/>
      <c r="AI17" s="63">
        <f t="shared" si="1"/>
        <v>29.64</v>
      </c>
    </row>
    <row r="18" spans="2:35" s="21" customFormat="1" ht="32.1" customHeight="1" thickBot="1" x14ac:dyDescent="0.3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36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42">
        <v>26</v>
      </c>
      <c r="AH18" s="37"/>
      <c r="AI18" s="63">
        <f t="shared" si="1"/>
        <v>29.64</v>
      </c>
    </row>
    <row r="19" spans="2:35" s="21" customFormat="1" ht="32.1" customHeight="1" thickBot="1" x14ac:dyDescent="0.3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36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42">
        <v>26</v>
      </c>
      <c r="AH19" s="37"/>
      <c r="AI19" s="83">
        <f t="shared" si="1"/>
        <v>32.07</v>
      </c>
    </row>
    <row r="20" spans="2:35" s="21" customFormat="1" ht="32.1" customHeight="1" thickBot="1" x14ac:dyDescent="0.3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36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42">
        <v>26</v>
      </c>
      <c r="AH20" s="37"/>
      <c r="AI20" s="63">
        <f t="shared" si="1"/>
        <v>32.07</v>
      </c>
    </row>
    <row r="21" spans="2:35" s="21" customFormat="1" ht="32.1" customHeight="1" thickBot="1" x14ac:dyDescent="0.3">
      <c r="B21" s="68" t="s">
        <v>51</v>
      </c>
      <c r="C21" s="45">
        <v>872</v>
      </c>
      <c r="D21" s="69">
        <v>120</v>
      </c>
      <c r="E21" s="69">
        <f t="shared" si="2"/>
        <v>992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36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42">
        <v>26</v>
      </c>
      <c r="AH21" s="37"/>
      <c r="AI21" s="83">
        <f t="shared" si="1"/>
        <v>32.07</v>
      </c>
    </row>
    <row r="22" spans="2:35" s="21" customFormat="1" ht="32.1" customHeight="1" thickBot="1" x14ac:dyDescent="0.3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36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42">
        <v>26</v>
      </c>
      <c r="AH22" s="37"/>
      <c r="AI22" s="43">
        <f>AG22+AE22</f>
        <v>32.07</v>
      </c>
    </row>
    <row r="23" spans="2:35" s="21" customFormat="1" ht="32.1" customHeight="1" thickBot="1" x14ac:dyDescent="0.3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36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42">
        <v>26</v>
      </c>
      <c r="AH23" s="37"/>
      <c r="AI23" s="43">
        <f t="shared" si="1"/>
        <v>32.07</v>
      </c>
    </row>
    <row r="24" spans="2:35" s="21" customFormat="1" ht="32.1" customHeight="1" thickBot="1" x14ac:dyDescent="0.3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36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42">
        <v>26</v>
      </c>
      <c r="AH24" s="37"/>
      <c r="AI24" s="63">
        <f t="shared" si="1"/>
        <v>32.07</v>
      </c>
    </row>
    <row r="25" spans="2:35" s="21" customFormat="1" ht="32.1" customHeight="1" thickBot="1" x14ac:dyDescent="0.3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36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42">
        <v>26</v>
      </c>
      <c r="AH25" s="37"/>
      <c r="AI25" s="63">
        <f t="shared" si="1"/>
        <v>32.07</v>
      </c>
    </row>
    <row r="26" spans="2:35" s="21" customFormat="1" ht="32.1" customHeight="1" thickBot="1" x14ac:dyDescent="0.3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36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42">
        <v>26</v>
      </c>
      <c r="AH26" s="37"/>
      <c r="AI26" s="63">
        <f t="shared" si="1"/>
        <v>32.07</v>
      </c>
    </row>
    <row r="27" spans="2:35" s="21" customFormat="1" ht="32.1" customHeight="1" thickBot="1" x14ac:dyDescent="0.3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36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42">
        <v>26</v>
      </c>
      <c r="AH27" s="37"/>
      <c r="AI27" s="83">
        <f t="shared" si="1"/>
        <v>32.07</v>
      </c>
    </row>
    <row r="28" spans="2:35" s="21" customFormat="1" ht="32.1" customHeight="1" thickBot="1" x14ac:dyDescent="0.3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36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42">
        <v>26</v>
      </c>
      <c r="AH28" s="37"/>
      <c r="AI28" s="43">
        <f t="shared" si="1"/>
        <v>32.07</v>
      </c>
    </row>
    <row r="29" spans="2:35" s="21" customFormat="1" ht="32.1" customHeight="1" thickBot="1" x14ac:dyDescent="0.3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36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42">
        <v>26</v>
      </c>
      <c r="AH29" s="37"/>
      <c r="AI29" s="83">
        <f t="shared" si="1"/>
        <v>32.07</v>
      </c>
    </row>
    <row r="30" spans="2:35" s="21" customFormat="1" ht="32.1" customHeight="1" thickBot="1" x14ac:dyDescent="0.3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36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42">
        <v>26</v>
      </c>
      <c r="AH30" s="37"/>
      <c r="AI30" s="43">
        <f t="shared" si="1"/>
        <v>31.369999999999997</v>
      </c>
    </row>
    <row r="31" spans="2:35" s="21" customFormat="1" ht="32.1" customHeight="1" thickBot="1" x14ac:dyDescent="0.3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36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42">
        <v>26</v>
      </c>
      <c r="AH31" s="37"/>
      <c r="AI31" s="63">
        <f t="shared" si="1"/>
        <v>31.759999999999998</v>
      </c>
    </row>
    <row r="32" spans="2:35" s="21" customFormat="1" ht="32.1" customHeight="1" thickBot="1" x14ac:dyDescent="0.3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36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42">
        <v>26</v>
      </c>
      <c r="AH32" s="37"/>
      <c r="AI32" s="63">
        <f t="shared" si="1"/>
        <v>32.07</v>
      </c>
    </row>
    <row r="33" spans="2:35" s="21" customFormat="1" ht="32.1" customHeight="1" thickBot="1" x14ac:dyDescent="0.3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36">
        <f t="shared" si="8"/>
        <v>0</v>
      </c>
      <c r="AA33" s="37"/>
      <c r="AB33" s="58">
        <f>AB8</f>
        <v>2.67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2.98</v>
      </c>
      <c r="AF33" s="61"/>
      <c r="AG33" s="42">
        <v>26</v>
      </c>
      <c r="AH33" s="37"/>
      <c r="AI33" s="43">
        <f t="shared" si="1"/>
        <v>28.98</v>
      </c>
    </row>
    <row r="34" spans="2:35" s="21" customFormat="1" ht="32.1" customHeight="1" thickBot="1" x14ac:dyDescent="0.3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36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42">
        <v>26</v>
      </c>
      <c r="AH34" s="37"/>
      <c r="AI34" s="43">
        <f t="shared" si="1"/>
        <v>28.16</v>
      </c>
    </row>
    <row r="35" spans="2:35" s="21" customFormat="1" ht="32.1" customHeight="1" thickBot="1" x14ac:dyDescent="0.3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36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42">
        <v>26</v>
      </c>
      <c r="AH35" s="37"/>
      <c r="AI35" s="63">
        <f t="shared" si="1"/>
        <v>28.16</v>
      </c>
    </row>
    <row r="36" spans="2:35" s="21" customFormat="1" ht="32.1" customHeight="1" thickBot="1" x14ac:dyDescent="0.3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36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42">
        <v>26</v>
      </c>
      <c r="AH36" s="37"/>
      <c r="AI36" s="63">
        <f t="shared" si="1"/>
        <v>28.16</v>
      </c>
    </row>
    <row r="37" spans="2:35" s="21" customFormat="1" ht="32.1" customHeight="1" thickBot="1" x14ac:dyDescent="0.3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36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42">
        <v>26</v>
      </c>
      <c r="AH37" s="37"/>
      <c r="AI37" s="63">
        <f t="shared" si="1"/>
        <v>28.16</v>
      </c>
    </row>
    <row r="38" spans="2:35" s="21" customFormat="1" ht="32.1" customHeight="1" thickBot="1" x14ac:dyDescent="0.3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36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42">
        <v>26</v>
      </c>
      <c r="AH38" s="37"/>
      <c r="AI38" s="83">
        <f t="shared" si="1"/>
        <v>28.16</v>
      </c>
    </row>
    <row r="39" spans="2:35" s="21" customFormat="1" ht="32.1" customHeight="1" thickBot="1" x14ac:dyDescent="0.3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36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42">
        <v>26</v>
      </c>
      <c r="AH39" s="37"/>
      <c r="AI39" s="43">
        <f t="shared" si="1"/>
        <v>28.16</v>
      </c>
    </row>
    <row r="40" spans="2:35" s="21" customFormat="1" ht="32.1" customHeight="1" thickBot="1" x14ac:dyDescent="0.3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36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42">
        <v>26</v>
      </c>
      <c r="AH40" s="37"/>
      <c r="AI40" s="63">
        <f t="shared" si="1"/>
        <v>28.16</v>
      </c>
    </row>
    <row r="41" spans="2:35" s="21" customFormat="1" ht="32.1" customHeight="1" thickBot="1" x14ac:dyDescent="0.3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36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42">
        <v>26</v>
      </c>
      <c r="AH41" s="37"/>
      <c r="AI41" s="83">
        <f t="shared" si="1"/>
        <v>28.16</v>
      </c>
    </row>
    <row r="42" spans="2:35" s="21" customFormat="1" ht="32.1" customHeight="1" thickBot="1" x14ac:dyDescent="0.3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36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42">
        <v>26</v>
      </c>
      <c r="AH42" s="37"/>
      <c r="AI42" s="107">
        <f t="shared" si="1"/>
        <v>28.16</v>
      </c>
    </row>
    <row r="43" spans="2:35" s="21" customFormat="1" ht="32.1" customHeight="1" thickBot="1" x14ac:dyDescent="0.3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36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42">
        <v>26</v>
      </c>
      <c r="AH43" s="37"/>
      <c r="AI43" s="110">
        <f t="shared" si="1"/>
        <v>28.16</v>
      </c>
    </row>
    <row r="44" spans="2:35" s="21" customFormat="1" ht="32.1" customHeight="1" thickBot="1" x14ac:dyDescent="0.3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36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42">
        <v>26</v>
      </c>
      <c r="AH44" s="37"/>
      <c r="AI44" s="63">
        <f>AG44+AE44</f>
        <v>28.16</v>
      </c>
    </row>
    <row r="45" spans="2:35" s="21" customFormat="1" ht="32.1" customHeight="1" thickBot="1" x14ac:dyDescent="0.3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36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42">
        <v>26</v>
      </c>
      <c r="AH45" s="37"/>
      <c r="AI45" s="110">
        <f t="shared" si="1"/>
        <v>29.77</v>
      </c>
    </row>
    <row r="46" spans="2:35" s="21" customFormat="1" ht="32.1" customHeight="1" thickBot="1" x14ac:dyDescent="0.3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36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42">
        <v>26</v>
      </c>
      <c r="AH46" s="37"/>
      <c r="AI46" s="83">
        <f t="shared" si="1"/>
        <v>28.16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36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42">
        <v>26</v>
      </c>
      <c r="AH47" s="37"/>
      <c r="AI47" s="107">
        <f t="shared" si="1"/>
        <v>26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36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42">
        <v>26</v>
      </c>
      <c r="AH48" s="37"/>
      <c r="AI48" s="110">
        <f t="shared" si="1"/>
        <v>26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36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42">
        <v>26</v>
      </c>
      <c r="AH49" s="37"/>
      <c r="AI49" s="83">
        <f t="shared" si="1"/>
        <v>26</v>
      </c>
    </row>
    <row r="50" spans="2:35" s="21" customFormat="1" ht="32.1" customHeight="1" thickBot="1" x14ac:dyDescent="0.3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36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42">
        <v>26</v>
      </c>
      <c r="AH50" s="37"/>
      <c r="AI50" s="63">
        <f t="shared" si="1"/>
        <v>32.07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36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42">
        <v>26</v>
      </c>
      <c r="AH51" s="37"/>
      <c r="AI51" s="125">
        <f t="shared" si="1"/>
        <v>28.16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36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42">
        <v>26</v>
      </c>
      <c r="AH52" s="37"/>
      <c r="AI52" s="43">
        <f t="shared" si="1"/>
        <v>31.07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36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42">
        <v>26</v>
      </c>
      <c r="AH53" s="37"/>
      <c r="AI53" s="125">
        <f t="shared" si="1"/>
        <v>28.16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36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42">
        <v>26</v>
      </c>
      <c r="AH54" s="37"/>
      <c r="AI54" s="125">
        <f t="shared" si="1"/>
        <v>28.16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36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42">
        <v>26</v>
      </c>
      <c r="AH55" s="37"/>
      <c r="AI55" s="125">
        <f t="shared" si="1"/>
        <v>28.16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36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42">
        <v>26</v>
      </c>
      <c r="AH56" s="37"/>
      <c r="AI56" s="125">
        <f t="shared" si="1"/>
        <v>28.16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>IF($U$6="x",(F62*3.5),"")</f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26</v>
      </c>
      <c r="AH62" s="37"/>
      <c r="AI62" s="43">
        <f t="shared" si="1"/>
        <v>28.16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ref="Z63:Z68" si="17">IF($U$6="x",(F63*3.5),"")</f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26</v>
      </c>
      <c r="AH63" s="37"/>
      <c r="AI63" s="63">
        <f t="shared" si="1"/>
        <v>28.16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17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26</v>
      </c>
      <c r="AH64" s="37"/>
      <c r="AI64" s="63">
        <f t="shared" si="1"/>
        <v>28.16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17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26</v>
      </c>
      <c r="AH65" s="37"/>
      <c r="AI65" s="63">
        <f t="shared" si="1"/>
        <v>28.16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17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26</v>
      </c>
      <c r="AH66" s="37"/>
      <c r="AI66" s="63">
        <f t="shared" si="1"/>
        <v>28.16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17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26</v>
      </c>
      <c r="AH67" s="37"/>
      <c r="AI67" s="63">
        <f t="shared" si="1"/>
        <v>28.16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57">
        <f t="shared" si="17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26</v>
      </c>
      <c r="AH68" s="37"/>
      <c r="AI68" s="125">
        <f t="shared" si="1"/>
        <v>28.16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8">+D69-C69</f>
        <v>262.5</v>
      </c>
      <c r="F69" s="136"/>
      <c r="G69" s="87">
        <v>72</v>
      </c>
      <c r="H69" s="137" t="str">
        <f t="shared" ref="H69:H70" si="19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20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8"/>
        <v>262.5</v>
      </c>
      <c r="F70" s="142"/>
      <c r="G70" s="115">
        <v>72</v>
      </c>
      <c r="H70" s="143" t="str">
        <f t="shared" si="19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20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57" t="s">
        <v>101</v>
      </c>
      <c r="C71" s="257"/>
      <c r="D71" s="257"/>
      <c r="E71" s="257"/>
      <c r="F71" s="257"/>
      <c r="G71" s="257"/>
      <c r="H71" s="147" t="str">
        <f>ROUND(((F12+F30+F52+F57+F58+F59+F60+F61)/72+(F13+F16+F18)/108+(F14+SUM(F19:F29)+F31+F32+F22+F50+F45)/63+F15/96+SUM(F34:F43)/100+SUM(F47:F49)/24+SUM(F62:F68)/100+(F51+F46+F44)/100),1)&amp;" pallets"</f>
        <v>0 pallets</v>
      </c>
      <c r="I71" s="148"/>
      <c r="J71" s="149"/>
      <c r="K71" s="150"/>
      <c r="L71" s="149"/>
      <c r="M71" s="151"/>
      <c r="N71" s="152"/>
      <c r="O71" s="152"/>
      <c r="P71" s="195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37">
        <f>SUM(I12:I70)</f>
        <v>0</v>
      </c>
      <c r="G73" s="237"/>
      <c r="H73" s="237"/>
      <c r="I73" s="238"/>
      <c r="J73" s="158"/>
      <c r="K73" s="158"/>
      <c r="L73" s="158"/>
      <c r="M73" s="249" t="s">
        <v>103</v>
      </c>
      <c r="N73" s="250"/>
      <c r="O73" s="237">
        <f>SUM(Q12:Q70)</f>
        <v>203796</v>
      </c>
      <c r="P73" s="237"/>
      <c r="Q73" s="238"/>
      <c r="R73" s="152"/>
      <c r="S73" s="159" t="s">
        <v>104</v>
      </c>
      <c r="T73" s="242">
        <f>SUM(Y12:Y68)</f>
        <v>0</v>
      </c>
      <c r="U73" s="243"/>
      <c r="V73" s="160"/>
      <c r="W73" s="160"/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37">
        <f>SUM(I14:I72)</f>
        <v>0</v>
      </c>
      <c r="G75" s="237"/>
      <c r="H75" s="237"/>
      <c r="I75" s="238"/>
      <c r="J75" s="158"/>
      <c r="K75" s="158"/>
      <c r="L75" s="158"/>
      <c r="M75" s="249" t="s">
        <v>103</v>
      </c>
      <c r="N75" s="250"/>
      <c r="O75" s="237">
        <f>SUM(Q14:Q72)</f>
        <v>191808</v>
      </c>
      <c r="P75" s="237"/>
      <c r="Q75" s="238"/>
      <c r="R75" s="152"/>
      <c r="S75" s="159" t="s">
        <v>129</v>
      </c>
      <c r="T75" s="242">
        <f>SUM(Z12:Z70)</f>
        <v>0</v>
      </c>
      <c r="U75" s="243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37">
        <f>IF(U7&gt;0,"",(F73-O73-T79-P79))</f>
        <v>-203796</v>
      </c>
      <c r="G77" s="237"/>
      <c r="H77" s="237"/>
      <c r="I77" s="238"/>
      <c r="J77" s="164"/>
      <c r="K77" s="164"/>
      <c r="L77" s="164"/>
      <c r="M77" s="239" t="s">
        <v>106</v>
      </c>
      <c r="N77" s="239"/>
      <c r="O77" s="168" t="s">
        <v>107</v>
      </c>
      <c r="P77" s="240"/>
      <c r="Q77" s="241"/>
      <c r="R77" s="152"/>
      <c r="S77" s="159" t="s">
        <v>108</v>
      </c>
      <c r="T77" s="242">
        <f>IF(SUM(X12:X68)*0.15&gt;P77,P77,SUM(X12:X68)*0.15)</f>
        <v>0</v>
      </c>
      <c r="U77" s="243"/>
      <c r="V77" s="160"/>
      <c r="W77" s="244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45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37"/>
      <c r="G79" s="237"/>
      <c r="H79" s="237"/>
      <c r="I79" s="238"/>
      <c r="J79" s="164"/>
      <c r="K79" s="164"/>
      <c r="L79" s="164"/>
      <c r="M79" s="247" t="str">
        <f>IF(U6&gt;0,"",T4+30)</f>
        <v/>
      </c>
      <c r="N79" s="248"/>
      <c r="O79" s="168" t="s">
        <v>111</v>
      </c>
      <c r="P79" s="240"/>
      <c r="Q79" s="241"/>
      <c r="R79" s="152"/>
      <c r="S79" s="159" t="s">
        <v>112</v>
      </c>
      <c r="T79" s="242">
        <f>T77+T73+T75</f>
        <v>0</v>
      </c>
      <c r="U79" s="243"/>
      <c r="V79" s="160"/>
      <c r="W79" s="246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14" t="s">
        <v>113</v>
      </c>
      <c r="C81" s="215"/>
      <c r="D81" s="215"/>
      <c r="E81" s="215"/>
      <c r="F81" s="215"/>
      <c r="G81" s="215"/>
      <c r="H81" s="216"/>
      <c r="I81" s="223" t="s">
        <v>114</v>
      </c>
      <c r="J81" s="171"/>
      <c r="K81" s="171"/>
      <c r="L81" s="171"/>
      <c r="M81" s="225"/>
      <c r="N81" s="228" t="s">
        <v>115</v>
      </c>
      <c r="O81" s="231"/>
      <c r="P81" s="225"/>
      <c r="Q81" s="208" t="s">
        <v>116</v>
      </c>
      <c r="R81" s="234"/>
      <c r="S81" s="205"/>
      <c r="T81" s="208" t="s">
        <v>117</v>
      </c>
      <c r="U81" s="211"/>
    </row>
    <row r="82" spans="2:21" ht="15" customHeight="1" x14ac:dyDescent="0.25">
      <c r="B82" s="217"/>
      <c r="C82" s="218"/>
      <c r="D82" s="218"/>
      <c r="E82" s="218"/>
      <c r="F82" s="218"/>
      <c r="G82" s="218"/>
      <c r="H82" s="219"/>
      <c r="I82" s="202"/>
      <c r="J82" s="2"/>
      <c r="K82" s="2"/>
      <c r="L82" s="2"/>
      <c r="M82" s="226"/>
      <c r="N82" s="229"/>
      <c r="O82" s="232"/>
      <c r="P82" s="226"/>
      <c r="Q82" s="209"/>
      <c r="R82" s="235"/>
      <c r="S82" s="206"/>
      <c r="T82" s="209"/>
      <c r="U82" s="212"/>
    </row>
    <row r="83" spans="2:21" ht="15.75" customHeight="1" thickBot="1" x14ac:dyDescent="0.3">
      <c r="B83" s="220"/>
      <c r="C83" s="221"/>
      <c r="D83" s="221"/>
      <c r="E83" s="221"/>
      <c r="F83" s="221"/>
      <c r="G83" s="221"/>
      <c r="H83" s="222"/>
      <c r="I83" s="224"/>
      <c r="J83" s="172"/>
      <c r="K83" s="172"/>
      <c r="L83" s="172"/>
      <c r="M83" s="227"/>
      <c r="N83" s="230"/>
      <c r="O83" s="233"/>
      <c r="P83" s="227"/>
      <c r="Q83" s="210"/>
      <c r="R83" s="236"/>
      <c r="S83" s="207"/>
      <c r="T83" s="210"/>
      <c r="U83" s="213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196" t="s">
        <v>132</v>
      </c>
      <c r="C88" s="197"/>
      <c r="D88" s="197"/>
      <c r="E88" s="197"/>
      <c r="F88" s="197"/>
      <c r="G88" s="197"/>
      <c r="H88" s="197"/>
      <c r="I88" s="198"/>
      <c r="J88" s="185"/>
      <c r="K88" s="185"/>
      <c r="L88" s="185"/>
      <c r="M88" s="196"/>
      <c r="N88" s="197"/>
      <c r="O88" s="197"/>
      <c r="P88" s="197"/>
      <c r="Q88" s="198"/>
      <c r="R88" s="187"/>
      <c r="S88" s="188"/>
      <c r="T88" s="188"/>
      <c r="U88" s="189"/>
    </row>
    <row r="89" spans="2:21" ht="18" x14ac:dyDescent="0.25">
      <c r="B89" s="199" t="s">
        <v>122</v>
      </c>
      <c r="C89" s="200"/>
      <c r="D89" s="200"/>
      <c r="E89" s="200"/>
      <c r="F89" s="200"/>
      <c r="G89" s="200"/>
      <c r="H89" s="200"/>
      <c r="I89" s="201"/>
      <c r="M89" s="199" t="s">
        <v>122</v>
      </c>
      <c r="N89" s="200"/>
      <c r="O89" s="200"/>
      <c r="P89" s="200"/>
      <c r="Q89" s="201"/>
      <c r="R89" s="202" t="s">
        <v>123</v>
      </c>
      <c r="S89" s="203"/>
      <c r="T89" s="203"/>
      <c r="U89" s="204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196" t="s">
        <v>133</v>
      </c>
      <c r="C93" s="197"/>
      <c r="D93" s="197"/>
      <c r="E93" s="197"/>
      <c r="F93" s="197"/>
      <c r="G93" s="197"/>
      <c r="H93" s="197"/>
      <c r="I93" s="198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199" t="s">
        <v>126</v>
      </c>
      <c r="C94" s="200"/>
      <c r="D94" s="200"/>
      <c r="E94" s="200"/>
      <c r="F94" s="200"/>
      <c r="G94" s="200"/>
      <c r="H94" s="200"/>
      <c r="I94" s="201"/>
      <c r="M94" s="179"/>
      <c r="Q94" s="180"/>
      <c r="R94" s="202" t="s">
        <v>127</v>
      </c>
      <c r="S94" s="203"/>
      <c r="T94" s="203"/>
      <c r="U94" s="204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B9:B11"/>
    <mergeCell ref="C9:C11"/>
    <mergeCell ref="D9:D11"/>
    <mergeCell ref="E9:E11"/>
    <mergeCell ref="F9:Q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856E6-0035-46EB-895C-80A4892D69D1}">
  <sheetPr>
    <tabColor rgb="FF00B050"/>
    <pageSetUpPr fitToPage="1"/>
  </sheetPr>
  <dimension ref="A1:AJ100"/>
  <sheetViews>
    <sheetView showGridLines="0" topLeftCell="A62" zoomScale="85" zoomScaleNormal="85" workbookViewId="0">
      <pane xSplit="2" topLeftCell="C1" activePane="topRight" state="frozen"/>
      <selection activeCell="P79" sqref="P79:Q79"/>
      <selection pane="topRight" activeCell="N16" sqref="N16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9.28515625" style="3" bestFit="1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86" t="s">
        <v>130</v>
      </c>
      <c r="G2" s="286"/>
      <c r="H2" s="286"/>
      <c r="I2" s="286"/>
      <c r="J2" s="286"/>
      <c r="K2" s="286"/>
      <c r="L2" s="286"/>
      <c r="M2" s="286"/>
      <c r="N2" s="286"/>
      <c r="O2" s="286"/>
      <c r="P2" s="286"/>
      <c r="Q2" s="286"/>
      <c r="R2" s="286"/>
      <c r="S2" s="286"/>
      <c r="T2" s="6" t="s">
        <v>1</v>
      </c>
      <c r="U2" s="7"/>
      <c r="W2" s="244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45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87"/>
      <c r="G4" s="287"/>
      <c r="H4" s="287"/>
      <c r="I4" s="287"/>
      <c r="J4" s="287"/>
      <c r="K4" s="287"/>
      <c r="L4" s="287"/>
      <c r="M4" s="287"/>
      <c r="S4" s="2" t="s">
        <v>4</v>
      </c>
      <c r="T4" s="288"/>
      <c r="U4" s="288"/>
      <c r="W4" s="246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89"/>
      <c r="G6" s="289"/>
      <c r="H6" s="289"/>
      <c r="I6" s="289"/>
      <c r="J6" s="289"/>
      <c r="K6" s="289"/>
      <c r="L6" s="289"/>
      <c r="M6" s="289"/>
      <c r="S6" s="11" t="s">
        <v>6</v>
      </c>
      <c r="T6" s="195" t="s">
        <v>7</v>
      </c>
      <c r="U6" s="12" t="s">
        <v>131</v>
      </c>
      <c r="W6" s="244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89"/>
      <c r="G7" s="289"/>
      <c r="H7" s="289"/>
      <c r="I7" s="289"/>
      <c r="J7" s="289"/>
      <c r="K7" s="289"/>
      <c r="L7" s="289"/>
      <c r="M7" s="289"/>
      <c r="N7" s="14"/>
      <c r="O7" s="14"/>
      <c r="P7" s="14"/>
      <c r="Q7" s="15"/>
      <c r="S7" s="14"/>
      <c r="T7" s="195" t="s">
        <v>11</v>
      </c>
      <c r="U7" s="12"/>
      <c r="W7" s="246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2.67</v>
      </c>
      <c r="AD8" s="2">
        <v>0.31</v>
      </c>
      <c r="AE8" s="11" t="s">
        <v>13</v>
      </c>
    </row>
    <row r="9" spans="2:35" s="16" customFormat="1" ht="20.25" x14ac:dyDescent="0.25">
      <c r="B9" s="258" t="s">
        <v>14</v>
      </c>
      <c r="C9" s="261" t="s">
        <v>15</v>
      </c>
      <c r="D9" s="261" t="s">
        <v>16</v>
      </c>
      <c r="E9" s="261" t="s">
        <v>17</v>
      </c>
      <c r="F9" s="264" t="s">
        <v>18</v>
      </c>
      <c r="G9" s="265"/>
      <c r="H9" s="265"/>
      <c r="I9" s="265"/>
      <c r="J9" s="265"/>
      <c r="K9" s="265"/>
      <c r="L9" s="265"/>
      <c r="M9" s="265"/>
      <c r="N9" s="265"/>
      <c r="O9" s="265"/>
      <c r="P9" s="265"/>
      <c r="Q9" s="266"/>
      <c r="S9" s="264" t="s">
        <v>19</v>
      </c>
      <c r="T9" s="265"/>
      <c r="U9" s="266"/>
      <c r="X9" s="271" t="s">
        <v>20</v>
      </c>
      <c r="Y9" s="274" t="s">
        <v>21</v>
      </c>
      <c r="Z9" s="274" t="s">
        <v>128</v>
      </c>
      <c r="AA9" s="17"/>
      <c r="AB9" s="251" t="s">
        <v>22</v>
      </c>
      <c r="AC9" s="277" t="s">
        <v>23</v>
      </c>
      <c r="AD9" s="280" t="s">
        <v>24</v>
      </c>
      <c r="AE9" s="251" t="s">
        <v>25</v>
      </c>
      <c r="AG9" s="251" t="s">
        <v>26</v>
      </c>
      <c r="AH9" s="17"/>
      <c r="AI9" s="251" t="s">
        <v>27</v>
      </c>
    </row>
    <row r="10" spans="2:35" s="16" customFormat="1" ht="20.25" customHeight="1" x14ac:dyDescent="0.25">
      <c r="B10" s="259"/>
      <c r="C10" s="262"/>
      <c r="D10" s="262"/>
      <c r="E10" s="262"/>
      <c r="F10" s="268" t="s">
        <v>28</v>
      </c>
      <c r="G10" s="268" t="s">
        <v>29</v>
      </c>
      <c r="H10" s="268" t="s">
        <v>30</v>
      </c>
      <c r="I10" s="269" t="s">
        <v>31</v>
      </c>
      <c r="J10" s="269" t="s">
        <v>32</v>
      </c>
      <c r="K10" s="269" t="s">
        <v>33</v>
      </c>
      <c r="L10" s="269" t="s">
        <v>34</v>
      </c>
      <c r="M10" s="283" t="s">
        <v>35</v>
      </c>
      <c r="N10" s="284"/>
      <c r="O10" s="284"/>
      <c r="P10" s="284"/>
      <c r="Q10" s="285"/>
      <c r="S10" s="254" t="s">
        <v>36</v>
      </c>
      <c r="T10" s="255"/>
      <c r="U10" s="256"/>
      <c r="X10" s="272"/>
      <c r="Y10" s="275"/>
      <c r="Z10" s="275"/>
      <c r="AA10" s="17"/>
      <c r="AB10" s="252"/>
      <c r="AC10" s="278"/>
      <c r="AD10" s="281"/>
      <c r="AE10" s="252"/>
      <c r="AG10" s="252"/>
      <c r="AH10" s="17"/>
      <c r="AI10" s="252"/>
    </row>
    <row r="11" spans="2:35" s="21" customFormat="1" ht="12.75" customHeight="1" thickBot="1" x14ac:dyDescent="0.3">
      <c r="B11" s="260"/>
      <c r="C11" s="263"/>
      <c r="D11" s="263"/>
      <c r="E11" s="263"/>
      <c r="F11" s="263"/>
      <c r="G11" s="263"/>
      <c r="H11" s="263"/>
      <c r="I11" s="270"/>
      <c r="J11" s="270"/>
      <c r="K11" s="270"/>
      <c r="L11" s="270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73"/>
      <c r="Y11" s="276"/>
      <c r="Z11" s="276"/>
      <c r="AA11" s="17"/>
      <c r="AB11" s="253"/>
      <c r="AC11" s="279"/>
      <c r="AD11" s="282"/>
      <c r="AE11" s="253"/>
      <c r="AG11" s="267"/>
      <c r="AH11" s="17"/>
      <c r="AI11" s="253"/>
    </row>
    <row r="12" spans="2:35" s="21" customFormat="1" ht="32.1" customHeight="1" thickBot="1" x14ac:dyDescent="0.3">
      <c r="B12" s="23" t="s">
        <v>42</v>
      </c>
      <c r="C12" s="24">
        <v>912</v>
      </c>
      <c r="D12" s="24">
        <v>120</v>
      </c>
      <c r="E12" s="24">
        <f>C12+D12</f>
        <v>1032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IF($U$6="x",(F12*3.5),"")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26</v>
      </c>
      <c r="AH12" s="37"/>
      <c r="AI12" s="43">
        <f t="shared" ref="AI12:AI68" si="1">AG12+AE12</f>
        <v>31.369999999999997</v>
      </c>
    </row>
    <row r="13" spans="2:35" s="21" customFormat="1" ht="32.1" customHeight="1" thickBot="1" x14ac:dyDescent="0.3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>
        <v>216</v>
      </c>
      <c r="N13" s="51"/>
      <c r="O13" s="51"/>
      <c r="P13" s="52" t="str">
        <f t="shared" ref="P13:P68" si="5">IF(M13&amp;N13="","",ROUND(((M13+N13)/G13),1)&amp;" pallets")</f>
        <v>2 pallets</v>
      </c>
      <c r="Q13" s="53">
        <f t="shared" ref="Q13:Q70" si="6">(J13*M13)+(K13*N13)+(O13*L13)</f>
        <v>23976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36">
        <f t="shared" ref="Z13:Z56" si="8">IF($U$6="x",(F13*3.5),"")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42">
        <v>26</v>
      </c>
      <c r="AH13" s="37"/>
      <c r="AI13" s="63">
        <f t="shared" si="1"/>
        <v>29.64</v>
      </c>
    </row>
    <row r="14" spans="2:35" s="21" customFormat="1" ht="32.1" customHeight="1" thickBot="1" x14ac:dyDescent="0.3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36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42">
        <v>26</v>
      </c>
      <c r="AH14" s="37"/>
      <c r="AI14" s="63">
        <f t="shared" si="1"/>
        <v>32.07</v>
      </c>
    </row>
    <row r="15" spans="2:35" s="21" customFormat="1" ht="32.1" customHeight="1" thickBot="1" x14ac:dyDescent="0.3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>
        <v>96</v>
      </c>
      <c r="O15" s="51"/>
      <c r="P15" s="52" t="str">
        <f t="shared" si="5"/>
        <v>1 pallets</v>
      </c>
      <c r="Q15" s="53">
        <f t="shared" si="6"/>
        <v>8064</v>
      </c>
      <c r="S15" s="54"/>
      <c r="T15" s="54"/>
      <c r="U15" s="55"/>
      <c r="X15" s="56">
        <f t="shared" si="7"/>
        <v>0</v>
      </c>
      <c r="Y15" s="57">
        <f>F15*AI15</f>
        <v>0</v>
      </c>
      <c r="Z15" s="36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42">
        <v>26</v>
      </c>
      <c r="AH15" s="37"/>
      <c r="AI15" s="63">
        <f t="shared" si="1"/>
        <v>30.1</v>
      </c>
    </row>
    <row r="16" spans="2:35" s="21" customFormat="1" ht="32.1" customHeight="1" thickBot="1" x14ac:dyDescent="0.3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/>
      <c r="G16" s="47">
        <v>108</v>
      </c>
      <c r="H16" s="64"/>
      <c r="I16" s="49">
        <f t="shared" si="4"/>
        <v>0</v>
      </c>
      <c r="J16" s="50">
        <v>111</v>
      </c>
      <c r="K16" s="65"/>
      <c r="L16" s="50">
        <v>4.5</v>
      </c>
      <c r="M16" s="51">
        <v>1404</v>
      </c>
      <c r="N16" s="193"/>
      <c r="O16" s="51"/>
      <c r="P16" s="52" t="str">
        <f t="shared" si="5"/>
        <v>13 pallets</v>
      </c>
      <c r="Q16" s="53">
        <f t="shared" si="6"/>
        <v>155844</v>
      </c>
      <c r="S16" s="54"/>
      <c r="T16" s="67"/>
      <c r="U16" s="55"/>
      <c r="X16" s="56">
        <f t="shared" si="7"/>
        <v>0</v>
      </c>
      <c r="Y16" s="57">
        <f>F16*AI16</f>
        <v>0</v>
      </c>
      <c r="Z16" s="36">
        <f t="shared" si="8"/>
        <v>0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42">
        <v>26</v>
      </c>
      <c r="AH16" s="37"/>
      <c r="AI16" s="63">
        <f t="shared" si="1"/>
        <v>29.64</v>
      </c>
    </row>
    <row r="17" spans="2:35" s="21" customFormat="1" ht="32.1" customHeight="1" thickBot="1" x14ac:dyDescent="0.3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36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42">
        <v>26</v>
      </c>
      <c r="AH17" s="37"/>
      <c r="AI17" s="63">
        <f t="shared" si="1"/>
        <v>29.64</v>
      </c>
    </row>
    <row r="18" spans="2:35" s="21" customFormat="1" ht="32.1" customHeight="1" thickBot="1" x14ac:dyDescent="0.3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36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42">
        <v>26</v>
      </c>
      <c r="AH18" s="37"/>
      <c r="AI18" s="63">
        <f t="shared" si="1"/>
        <v>29.64</v>
      </c>
    </row>
    <row r="19" spans="2:35" s="21" customFormat="1" ht="32.1" customHeight="1" thickBot="1" x14ac:dyDescent="0.3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36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42">
        <v>26</v>
      </c>
      <c r="AH19" s="37"/>
      <c r="AI19" s="83">
        <f t="shared" si="1"/>
        <v>32.07</v>
      </c>
    </row>
    <row r="20" spans="2:35" s="21" customFormat="1" ht="32.1" customHeight="1" thickBot="1" x14ac:dyDescent="0.3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36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42">
        <v>26</v>
      </c>
      <c r="AH20" s="37"/>
      <c r="AI20" s="63">
        <f t="shared" si="1"/>
        <v>32.07</v>
      </c>
    </row>
    <row r="21" spans="2:35" s="21" customFormat="1" ht="32.1" customHeight="1" thickBot="1" x14ac:dyDescent="0.3">
      <c r="B21" s="68" t="s">
        <v>51</v>
      </c>
      <c r="C21" s="45">
        <v>872</v>
      </c>
      <c r="D21" s="69">
        <v>120</v>
      </c>
      <c r="E21" s="69">
        <f t="shared" si="2"/>
        <v>992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36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42">
        <v>26</v>
      </c>
      <c r="AH21" s="37"/>
      <c r="AI21" s="83">
        <f t="shared" si="1"/>
        <v>32.07</v>
      </c>
    </row>
    <row r="22" spans="2:35" s="21" customFormat="1" ht="32.1" customHeight="1" thickBot="1" x14ac:dyDescent="0.3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36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42">
        <v>26</v>
      </c>
      <c r="AH22" s="37"/>
      <c r="AI22" s="43">
        <f>AG22+AE22</f>
        <v>32.07</v>
      </c>
    </row>
    <row r="23" spans="2:35" s="21" customFormat="1" ht="32.1" customHeight="1" thickBot="1" x14ac:dyDescent="0.3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36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42">
        <v>26</v>
      </c>
      <c r="AH23" s="37"/>
      <c r="AI23" s="43">
        <f t="shared" si="1"/>
        <v>32.07</v>
      </c>
    </row>
    <row r="24" spans="2:35" s="21" customFormat="1" ht="32.1" customHeight="1" thickBot="1" x14ac:dyDescent="0.3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36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42">
        <v>26</v>
      </c>
      <c r="AH24" s="37"/>
      <c r="AI24" s="63">
        <f t="shared" si="1"/>
        <v>32.07</v>
      </c>
    </row>
    <row r="25" spans="2:35" s="21" customFormat="1" ht="32.1" customHeight="1" thickBot="1" x14ac:dyDescent="0.3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36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42">
        <v>26</v>
      </c>
      <c r="AH25" s="37"/>
      <c r="AI25" s="63">
        <f t="shared" si="1"/>
        <v>32.07</v>
      </c>
    </row>
    <row r="26" spans="2:35" s="21" customFormat="1" ht="32.1" customHeight="1" thickBot="1" x14ac:dyDescent="0.3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36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42">
        <v>26</v>
      </c>
      <c r="AH26" s="37"/>
      <c r="AI26" s="63">
        <f t="shared" si="1"/>
        <v>32.07</v>
      </c>
    </row>
    <row r="27" spans="2:35" s="21" customFormat="1" ht="32.1" customHeight="1" thickBot="1" x14ac:dyDescent="0.3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36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42">
        <v>26</v>
      </c>
      <c r="AH27" s="37"/>
      <c r="AI27" s="83">
        <f t="shared" si="1"/>
        <v>32.07</v>
      </c>
    </row>
    <row r="28" spans="2:35" s="21" customFormat="1" ht="32.1" customHeight="1" thickBot="1" x14ac:dyDescent="0.3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36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42">
        <v>26</v>
      </c>
      <c r="AH28" s="37"/>
      <c r="AI28" s="43">
        <f t="shared" si="1"/>
        <v>32.07</v>
      </c>
    </row>
    <row r="29" spans="2:35" s="21" customFormat="1" ht="32.1" customHeight="1" thickBot="1" x14ac:dyDescent="0.3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36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42">
        <v>26</v>
      </c>
      <c r="AH29" s="37"/>
      <c r="AI29" s="83">
        <f t="shared" si="1"/>
        <v>32.07</v>
      </c>
    </row>
    <row r="30" spans="2:35" s="21" customFormat="1" ht="32.1" customHeight="1" thickBot="1" x14ac:dyDescent="0.3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36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42">
        <v>26</v>
      </c>
      <c r="AH30" s="37"/>
      <c r="AI30" s="43">
        <f t="shared" si="1"/>
        <v>31.369999999999997</v>
      </c>
    </row>
    <row r="31" spans="2:35" s="21" customFormat="1" ht="32.1" customHeight="1" thickBot="1" x14ac:dyDescent="0.3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36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42">
        <v>26</v>
      </c>
      <c r="AH31" s="37"/>
      <c r="AI31" s="63">
        <f t="shared" si="1"/>
        <v>31.759999999999998</v>
      </c>
    </row>
    <row r="32" spans="2:35" s="21" customFormat="1" ht="32.1" customHeight="1" thickBot="1" x14ac:dyDescent="0.3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36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42">
        <v>26</v>
      </c>
      <c r="AH32" s="37"/>
      <c r="AI32" s="63">
        <f t="shared" si="1"/>
        <v>32.07</v>
      </c>
    </row>
    <row r="33" spans="2:35" s="21" customFormat="1" ht="32.1" customHeight="1" thickBot="1" x14ac:dyDescent="0.3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36">
        <f t="shared" si="8"/>
        <v>0</v>
      </c>
      <c r="AA33" s="37"/>
      <c r="AB33" s="58">
        <f>AB8</f>
        <v>2.67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2.98</v>
      </c>
      <c r="AF33" s="61"/>
      <c r="AG33" s="42">
        <v>26</v>
      </c>
      <c r="AH33" s="37"/>
      <c r="AI33" s="43">
        <f t="shared" si="1"/>
        <v>28.98</v>
      </c>
    </row>
    <row r="34" spans="2:35" s="21" customFormat="1" ht="32.1" customHeight="1" thickBot="1" x14ac:dyDescent="0.3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36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42">
        <v>26</v>
      </c>
      <c r="AH34" s="37"/>
      <c r="AI34" s="43">
        <f t="shared" si="1"/>
        <v>28.16</v>
      </c>
    </row>
    <row r="35" spans="2:35" s="21" customFormat="1" ht="32.1" customHeight="1" thickBot="1" x14ac:dyDescent="0.3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36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42">
        <v>26</v>
      </c>
      <c r="AH35" s="37"/>
      <c r="AI35" s="63">
        <f t="shared" si="1"/>
        <v>28.16</v>
      </c>
    </row>
    <row r="36" spans="2:35" s="21" customFormat="1" ht="32.1" customHeight="1" thickBot="1" x14ac:dyDescent="0.3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36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42">
        <v>26</v>
      </c>
      <c r="AH36" s="37"/>
      <c r="AI36" s="63">
        <f t="shared" si="1"/>
        <v>28.16</v>
      </c>
    </row>
    <row r="37" spans="2:35" s="21" customFormat="1" ht="32.1" customHeight="1" thickBot="1" x14ac:dyDescent="0.3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36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42">
        <v>26</v>
      </c>
      <c r="AH37" s="37"/>
      <c r="AI37" s="63">
        <f t="shared" si="1"/>
        <v>28.16</v>
      </c>
    </row>
    <row r="38" spans="2:35" s="21" customFormat="1" ht="32.1" customHeight="1" thickBot="1" x14ac:dyDescent="0.3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36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42">
        <v>26</v>
      </c>
      <c r="AH38" s="37"/>
      <c r="AI38" s="83">
        <f t="shared" si="1"/>
        <v>28.16</v>
      </c>
    </row>
    <row r="39" spans="2:35" s="21" customFormat="1" ht="32.1" customHeight="1" thickBot="1" x14ac:dyDescent="0.3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36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42">
        <v>26</v>
      </c>
      <c r="AH39" s="37"/>
      <c r="AI39" s="43">
        <f t="shared" si="1"/>
        <v>28.16</v>
      </c>
    </row>
    <row r="40" spans="2:35" s="21" customFormat="1" ht="32.1" customHeight="1" thickBot="1" x14ac:dyDescent="0.3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36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42">
        <v>26</v>
      </c>
      <c r="AH40" s="37"/>
      <c r="AI40" s="63">
        <f t="shared" si="1"/>
        <v>28.16</v>
      </c>
    </row>
    <row r="41" spans="2:35" s="21" customFormat="1" ht="32.1" customHeight="1" thickBot="1" x14ac:dyDescent="0.3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36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42">
        <v>26</v>
      </c>
      <c r="AH41" s="37"/>
      <c r="AI41" s="83">
        <f t="shared" si="1"/>
        <v>28.16</v>
      </c>
    </row>
    <row r="42" spans="2:35" s="21" customFormat="1" ht="32.1" customHeight="1" thickBot="1" x14ac:dyDescent="0.3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36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42">
        <v>26</v>
      </c>
      <c r="AH42" s="37"/>
      <c r="AI42" s="107">
        <f t="shared" si="1"/>
        <v>28.16</v>
      </c>
    </row>
    <row r="43" spans="2:35" s="21" customFormat="1" ht="32.1" customHeight="1" thickBot="1" x14ac:dyDescent="0.3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36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42">
        <v>26</v>
      </c>
      <c r="AH43" s="37"/>
      <c r="AI43" s="110">
        <f t="shared" si="1"/>
        <v>28.16</v>
      </c>
    </row>
    <row r="44" spans="2:35" s="21" customFormat="1" ht="32.1" customHeight="1" thickBot="1" x14ac:dyDescent="0.3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36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42">
        <v>26</v>
      </c>
      <c r="AH44" s="37"/>
      <c r="AI44" s="63">
        <f>AG44+AE44</f>
        <v>28.16</v>
      </c>
    </row>
    <row r="45" spans="2:35" s="21" customFormat="1" ht="32.1" customHeight="1" thickBot="1" x14ac:dyDescent="0.3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36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42">
        <v>26</v>
      </c>
      <c r="AH45" s="37"/>
      <c r="AI45" s="110">
        <f t="shared" si="1"/>
        <v>29.77</v>
      </c>
    </row>
    <row r="46" spans="2:35" s="21" customFormat="1" ht="32.1" customHeight="1" thickBot="1" x14ac:dyDescent="0.3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36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42">
        <v>26</v>
      </c>
      <c r="AH46" s="37"/>
      <c r="AI46" s="83">
        <f t="shared" si="1"/>
        <v>28.16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36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42">
        <v>26</v>
      </c>
      <c r="AH47" s="37"/>
      <c r="AI47" s="107">
        <f t="shared" si="1"/>
        <v>26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36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42">
        <v>26</v>
      </c>
      <c r="AH48" s="37"/>
      <c r="AI48" s="110">
        <f t="shared" si="1"/>
        <v>26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36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42">
        <v>26</v>
      </c>
      <c r="AH49" s="37"/>
      <c r="AI49" s="83">
        <f t="shared" si="1"/>
        <v>26</v>
      </c>
    </row>
    <row r="50" spans="2:35" s="21" customFormat="1" ht="32.1" customHeight="1" thickBot="1" x14ac:dyDescent="0.3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36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42">
        <v>26</v>
      </c>
      <c r="AH50" s="37"/>
      <c r="AI50" s="63">
        <f t="shared" si="1"/>
        <v>32.07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36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42">
        <v>26</v>
      </c>
      <c r="AH51" s="37"/>
      <c r="AI51" s="125">
        <f t="shared" si="1"/>
        <v>28.16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36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42">
        <v>26</v>
      </c>
      <c r="AH52" s="37"/>
      <c r="AI52" s="43">
        <f t="shared" si="1"/>
        <v>31.07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36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42">
        <v>26</v>
      </c>
      <c r="AH53" s="37"/>
      <c r="AI53" s="125">
        <f t="shared" si="1"/>
        <v>28.16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36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42">
        <v>26</v>
      </c>
      <c r="AH54" s="37"/>
      <c r="AI54" s="125">
        <f t="shared" si="1"/>
        <v>28.16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36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42">
        <v>26</v>
      </c>
      <c r="AH55" s="37"/>
      <c r="AI55" s="125">
        <f t="shared" si="1"/>
        <v>28.16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36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42">
        <v>26</v>
      </c>
      <c r="AH56" s="37"/>
      <c r="AI56" s="125">
        <f t="shared" si="1"/>
        <v>28.16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>IF($U$6="x",(F62*3.5),"")</f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26</v>
      </c>
      <c r="AH62" s="37"/>
      <c r="AI62" s="43">
        <f t="shared" si="1"/>
        <v>28.16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ref="Z63:Z68" si="17">IF($U$6="x",(F63*3.5),"")</f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26</v>
      </c>
      <c r="AH63" s="37"/>
      <c r="AI63" s="63">
        <f t="shared" si="1"/>
        <v>28.16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17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26</v>
      </c>
      <c r="AH64" s="37"/>
      <c r="AI64" s="63">
        <f t="shared" si="1"/>
        <v>28.16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17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26</v>
      </c>
      <c r="AH65" s="37"/>
      <c r="AI65" s="63">
        <f t="shared" si="1"/>
        <v>28.16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17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26</v>
      </c>
      <c r="AH66" s="37"/>
      <c r="AI66" s="63">
        <f t="shared" si="1"/>
        <v>28.16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17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26</v>
      </c>
      <c r="AH67" s="37"/>
      <c r="AI67" s="63">
        <f t="shared" si="1"/>
        <v>28.16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57">
        <f t="shared" si="17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26</v>
      </c>
      <c r="AH68" s="37"/>
      <c r="AI68" s="125">
        <f t="shared" si="1"/>
        <v>28.16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8">+D69-C69</f>
        <v>262.5</v>
      </c>
      <c r="F69" s="136"/>
      <c r="G69" s="87">
        <v>72</v>
      </c>
      <c r="H69" s="137" t="str">
        <f t="shared" ref="H69:H70" si="19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20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8"/>
        <v>262.5</v>
      </c>
      <c r="F70" s="142"/>
      <c r="G70" s="115">
        <v>72</v>
      </c>
      <c r="H70" s="143" t="str">
        <f t="shared" si="19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20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57" t="s">
        <v>101</v>
      </c>
      <c r="C71" s="257"/>
      <c r="D71" s="257"/>
      <c r="E71" s="257"/>
      <c r="F71" s="257"/>
      <c r="G71" s="257"/>
      <c r="H71" s="147" t="str">
        <f>ROUND(((F12+F30+F52+F57+F58+F59+F60+F61)/72+(F13+F16+F18)/108+(F14+SUM(F19:F29)+F31+F32+F22+F50+F45)/63+F15/96+SUM(F34:F43)/100+SUM(F47:F49)/24+SUM(F62:F68)/100+(F51+F46+F44)/100),1)&amp;" pallets"</f>
        <v>0 pallets</v>
      </c>
      <c r="I71" s="148"/>
      <c r="J71" s="149"/>
      <c r="K71" s="150"/>
      <c r="L71" s="149"/>
      <c r="M71" s="151"/>
      <c r="N71" s="152"/>
      <c r="O71" s="152"/>
      <c r="P71" s="195" t="str">
        <f>ROUND((((M12+N12+M30+M57+M58+M59+M60+M61+N57)/72+(M13+N13+M16+M18)/108+(M15+N15)/96+SUM(M14,M19:M29,M31:M32,M50,N14)/63)),1)&amp;" pallets"</f>
        <v>16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37">
        <f>SUM(I12:I70)</f>
        <v>0</v>
      </c>
      <c r="G73" s="237"/>
      <c r="H73" s="237"/>
      <c r="I73" s="238"/>
      <c r="J73" s="158"/>
      <c r="K73" s="158"/>
      <c r="L73" s="158"/>
      <c r="M73" s="249" t="s">
        <v>103</v>
      </c>
      <c r="N73" s="250"/>
      <c r="O73" s="237">
        <f>SUM(Q12:Q70)</f>
        <v>187884</v>
      </c>
      <c r="P73" s="237"/>
      <c r="Q73" s="238"/>
      <c r="R73" s="152"/>
      <c r="S73" s="159" t="s">
        <v>104</v>
      </c>
      <c r="T73" s="242">
        <f>SUM(Y12:Y68)</f>
        <v>0</v>
      </c>
      <c r="U73" s="243"/>
      <c r="V73" s="160"/>
      <c r="W73" s="160"/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37">
        <f>SUM(I14:I72)</f>
        <v>0</v>
      </c>
      <c r="G75" s="237"/>
      <c r="H75" s="237"/>
      <c r="I75" s="238"/>
      <c r="J75" s="158"/>
      <c r="K75" s="158"/>
      <c r="L75" s="158"/>
      <c r="M75" s="249" t="s">
        <v>103</v>
      </c>
      <c r="N75" s="250"/>
      <c r="O75" s="237">
        <f>SUM(Q14:Q72)</f>
        <v>163908</v>
      </c>
      <c r="P75" s="237"/>
      <c r="Q75" s="238"/>
      <c r="R75" s="152"/>
      <c r="S75" s="159" t="s">
        <v>129</v>
      </c>
      <c r="T75" s="242">
        <f>SUM(Z12:Z70)</f>
        <v>0</v>
      </c>
      <c r="U75" s="243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37">
        <f>IF(U7&gt;0,"",(F73-O73-T79-P79))</f>
        <v>-187884</v>
      </c>
      <c r="G77" s="237"/>
      <c r="H77" s="237"/>
      <c r="I77" s="238"/>
      <c r="J77" s="164"/>
      <c r="K77" s="164"/>
      <c r="L77" s="164"/>
      <c r="M77" s="239" t="s">
        <v>106</v>
      </c>
      <c r="N77" s="239"/>
      <c r="O77" s="168" t="s">
        <v>107</v>
      </c>
      <c r="P77" s="240"/>
      <c r="Q77" s="241"/>
      <c r="R77" s="152"/>
      <c r="S77" s="159" t="s">
        <v>108</v>
      </c>
      <c r="T77" s="242">
        <f>IF(SUM(X12:X68)*0.15&gt;P77,P77,SUM(X12:X68)*0.15)</f>
        <v>0</v>
      </c>
      <c r="U77" s="243"/>
      <c r="V77" s="160"/>
      <c r="W77" s="244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45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37"/>
      <c r="G79" s="237"/>
      <c r="H79" s="237"/>
      <c r="I79" s="238"/>
      <c r="J79" s="164"/>
      <c r="K79" s="164"/>
      <c r="L79" s="164"/>
      <c r="M79" s="247" t="str">
        <f>IF(U6&gt;0,"",T4+30)</f>
        <v/>
      </c>
      <c r="N79" s="248"/>
      <c r="O79" s="168" t="s">
        <v>111</v>
      </c>
      <c r="P79" s="240"/>
      <c r="Q79" s="241"/>
      <c r="R79" s="152"/>
      <c r="S79" s="159" t="s">
        <v>112</v>
      </c>
      <c r="T79" s="242">
        <f>T77+T73+T75</f>
        <v>0</v>
      </c>
      <c r="U79" s="243"/>
      <c r="V79" s="160"/>
      <c r="W79" s="246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14" t="s">
        <v>113</v>
      </c>
      <c r="C81" s="215"/>
      <c r="D81" s="215"/>
      <c r="E81" s="215"/>
      <c r="F81" s="215"/>
      <c r="G81" s="215"/>
      <c r="H81" s="216"/>
      <c r="I81" s="223" t="s">
        <v>114</v>
      </c>
      <c r="J81" s="171"/>
      <c r="K81" s="171"/>
      <c r="L81" s="171"/>
      <c r="M81" s="225"/>
      <c r="N81" s="228" t="s">
        <v>115</v>
      </c>
      <c r="O81" s="231"/>
      <c r="P81" s="225"/>
      <c r="Q81" s="208" t="s">
        <v>116</v>
      </c>
      <c r="R81" s="234"/>
      <c r="S81" s="205"/>
      <c r="T81" s="208" t="s">
        <v>117</v>
      </c>
      <c r="U81" s="211"/>
    </row>
    <row r="82" spans="2:21" ht="15" customHeight="1" x14ac:dyDescent="0.25">
      <c r="B82" s="217"/>
      <c r="C82" s="218"/>
      <c r="D82" s="218"/>
      <c r="E82" s="218"/>
      <c r="F82" s="218"/>
      <c r="G82" s="218"/>
      <c r="H82" s="219"/>
      <c r="I82" s="202"/>
      <c r="J82" s="2"/>
      <c r="K82" s="2"/>
      <c r="L82" s="2"/>
      <c r="M82" s="226"/>
      <c r="N82" s="229"/>
      <c r="O82" s="232"/>
      <c r="P82" s="226"/>
      <c r="Q82" s="209"/>
      <c r="R82" s="235"/>
      <c r="S82" s="206"/>
      <c r="T82" s="209"/>
      <c r="U82" s="212"/>
    </row>
    <row r="83" spans="2:21" ht="15.75" customHeight="1" thickBot="1" x14ac:dyDescent="0.3">
      <c r="B83" s="220"/>
      <c r="C83" s="221"/>
      <c r="D83" s="221"/>
      <c r="E83" s="221"/>
      <c r="F83" s="221"/>
      <c r="G83" s="221"/>
      <c r="H83" s="222"/>
      <c r="I83" s="224"/>
      <c r="J83" s="172"/>
      <c r="K83" s="172"/>
      <c r="L83" s="172"/>
      <c r="M83" s="227"/>
      <c r="N83" s="230"/>
      <c r="O83" s="233"/>
      <c r="P83" s="227"/>
      <c r="Q83" s="210"/>
      <c r="R83" s="236"/>
      <c r="S83" s="207"/>
      <c r="T83" s="210"/>
      <c r="U83" s="213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196" t="s">
        <v>132</v>
      </c>
      <c r="C88" s="197"/>
      <c r="D88" s="197"/>
      <c r="E88" s="197"/>
      <c r="F88" s="197"/>
      <c r="G88" s="197"/>
      <c r="H88" s="197"/>
      <c r="I88" s="198"/>
      <c r="J88" s="185"/>
      <c r="K88" s="185"/>
      <c r="L88" s="185"/>
      <c r="M88" s="196"/>
      <c r="N88" s="197"/>
      <c r="O88" s="197"/>
      <c r="P88" s="197"/>
      <c r="Q88" s="198"/>
      <c r="R88" s="187"/>
      <c r="S88" s="188"/>
      <c r="T88" s="188"/>
      <c r="U88" s="189"/>
    </row>
    <row r="89" spans="2:21" ht="18" x14ac:dyDescent="0.25">
      <c r="B89" s="199" t="s">
        <v>122</v>
      </c>
      <c r="C89" s="200"/>
      <c r="D89" s="200"/>
      <c r="E89" s="200"/>
      <c r="F89" s="200"/>
      <c r="G89" s="200"/>
      <c r="H89" s="200"/>
      <c r="I89" s="201"/>
      <c r="M89" s="199" t="s">
        <v>122</v>
      </c>
      <c r="N89" s="200"/>
      <c r="O89" s="200"/>
      <c r="P89" s="200"/>
      <c r="Q89" s="201"/>
      <c r="R89" s="202" t="s">
        <v>123</v>
      </c>
      <c r="S89" s="203"/>
      <c r="T89" s="203"/>
      <c r="U89" s="204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196" t="s">
        <v>133</v>
      </c>
      <c r="C93" s="197"/>
      <c r="D93" s="197"/>
      <c r="E93" s="197"/>
      <c r="F93" s="197"/>
      <c r="G93" s="197"/>
      <c r="H93" s="197"/>
      <c r="I93" s="198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199" t="s">
        <v>126</v>
      </c>
      <c r="C94" s="200"/>
      <c r="D94" s="200"/>
      <c r="E94" s="200"/>
      <c r="F94" s="200"/>
      <c r="G94" s="200"/>
      <c r="H94" s="200"/>
      <c r="I94" s="201"/>
      <c r="M94" s="179"/>
      <c r="Q94" s="180"/>
      <c r="R94" s="202" t="s">
        <v>127</v>
      </c>
      <c r="S94" s="203"/>
      <c r="T94" s="203"/>
      <c r="U94" s="204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B9:B11"/>
    <mergeCell ref="C9:C11"/>
    <mergeCell ref="D9:D11"/>
    <mergeCell ref="E9:E11"/>
    <mergeCell ref="F9:Q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85958E-6D60-4418-A57D-CE224A3C4AC0}">
  <sheetPr>
    <tabColor rgb="FF00B050"/>
    <pageSetUpPr fitToPage="1"/>
  </sheetPr>
  <dimension ref="A1:AJ100"/>
  <sheetViews>
    <sheetView showGridLines="0" topLeftCell="A63" zoomScale="85" zoomScaleNormal="85" workbookViewId="0">
      <pane xSplit="2" topLeftCell="C1" activePane="topRight" state="frozen"/>
      <selection activeCell="P79" sqref="P79:Q79"/>
      <selection pane="topRight" activeCell="N58" sqref="N58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9.28515625" style="3" bestFit="1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86" t="s">
        <v>130</v>
      </c>
      <c r="G2" s="286"/>
      <c r="H2" s="286"/>
      <c r="I2" s="286"/>
      <c r="J2" s="286"/>
      <c r="K2" s="286"/>
      <c r="L2" s="286"/>
      <c r="M2" s="286"/>
      <c r="N2" s="286"/>
      <c r="O2" s="286"/>
      <c r="P2" s="286"/>
      <c r="Q2" s="286"/>
      <c r="R2" s="286"/>
      <c r="S2" s="286"/>
      <c r="T2" s="6" t="s">
        <v>1</v>
      </c>
      <c r="U2" s="7"/>
      <c r="W2" s="244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45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87"/>
      <c r="G4" s="287"/>
      <c r="H4" s="287"/>
      <c r="I4" s="287"/>
      <c r="J4" s="287"/>
      <c r="K4" s="287"/>
      <c r="L4" s="287"/>
      <c r="M4" s="287"/>
      <c r="S4" s="2" t="s">
        <v>4</v>
      </c>
      <c r="T4" s="288"/>
      <c r="U4" s="288"/>
      <c r="W4" s="246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89"/>
      <c r="G6" s="289"/>
      <c r="H6" s="289"/>
      <c r="I6" s="289"/>
      <c r="J6" s="289"/>
      <c r="K6" s="289"/>
      <c r="L6" s="289"/>
      <c r="M6" s="289"/>
      <c r="S6" s="11" t="s">
        <v>6</v>
      </c>
      <c r="T6" s="195" t="s">
        <v>7</v>
      </c>
      <c r="U6" s="12" t="s">
        <v>131</v>
      </c>
      <c r="W6" s="244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89"/>
      <c r="G7" s="289"/>
      <c r="H7" s="289"/>
      <c r="I7" s="289"/>
      <c r="J7" s="289"/>
      <c r="K7" s="289"/>
      <c r="L7" s="289"/>
      <c r="M7" s="289"/>
      <c r="N7" s="14"/>
      <c r="O7" s="14"/>
      <c r="P7" s="14"/>
      <c r="Q7" s="15"/>
      <c r="S7" s="14"/>
      <c r="T7" s="195" t="s">
        <v>11</v>
      </c>
      <c r="U7" s="12"/>
      <c r="W7" s="246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2.67</v>
      </c>
      <c r="AD8" s="2">
        <v>0.31</v>
      </c>
      <c r="AE8" s="11" t="s">
        <v>13</v>
      </c>
    </row>
    <row r="9" spans="2:35" s="16" customFormat="1" ht="20.25" x14ac:dyDescent="0.25">
      <c r="B9" s="258" t="s">
        <v>14</v>
      </c>
      <c r="C9" s="261" t="s">
        <v>15</v>
      </c>
      <c r="D9" s="261" t="s">
        <v>16</v>
      </c>
      <c r="E9" s="261" t="s">
        <v>17</v>
      </c>
      <c r="F9" s="264" t="s">
        <v>18</v>
      </c>
      <c r="G9" s="265"/>
      <c r="H9" s="265"/>
      <c r="I9" s="265"/>
      <c r="J9" s="265"/>
      <c r="K9" s="265"/>
      <c r="L9" s="265"/>
      <c r="M9" s="265"/>
      <c r="N9" s="265"/>
      <c r="O9" s="265"/>
      <c r="P9" s="265"/>
      <c r="Q9" s="266"/>
      <c r="S9" s="264" t="s">
        <v>19</v>
      </c>
      <c r="T9" s="265"/>
      <c r="U9" s="266"/>
      <c r="X9" s="271" t="s">
        <v>20</v>
      </c>
      <c r="Y9" s="274" t="s">
        <v>21</v>
      </c>
      <c r="Z9" s="274" t="s">
        <v>128</v>
      </c>
      <c r="AA9" s="17"/>
      <c r="AB9" s="251" t="s">
        <v>22</v>
      </c>
      <c r="AC9" s="277" t="s">
        <v>23</v>
      </c>
      <c r="AD9" s="280" t="s">
        <v>24</v>
      </c>
      <c r="AE9" s="251" t="s">
        <v>25</v>
      </c>
      <c r="AG9" s="251" t="s">
        <v>26</v>
      </c>
      <c r="AH9" s="17"/>
      <c r="AI9" s="251" t="s">
        <v>27</v>
      </c>
    </row>
    <row r="10" spans="2:35" s="16" customFormat="1" ht="20.25" customHeight="1" x14ac:dyDescent="0.25">
      <c r="B10" s="259"/>
      <c r="C10" s="262"/>
      <c r="D10" s="262"/>
      <c r="E10" s="262"/>
      <c r="F10" s="268" t="s">
        <v>28</v>
      </c>
      <c r="G10" s="268" t="s">
        <v>29</v>
      </c>
      <c r="H10" s="268" t="s">
        <v>30</v>
      </c>
      <c r="I10" s="269" t="s">
        <v>31</v>
      </c>
      <c r="J10" s="269" t="s">
        <v>32</v>
      </c>
      <c r="K10" s="269" t="s">
        <v>33</v>
      </c>
      <c r="L10" s="269" t="s">
        <v>34</v>
      </c>
      <c r="M10" s="283" t="s">
        <v>35</v>
      </c>
      <c r="N10" s="284"/>
      <c r="O10" s="284"/>
      <c r="P10" s="284"/>
      <c r="Q10" s="285"/>
      <c r="S10" s="254" t="s">
        <v>36</v>
      </c>
      <c r="T10" s="255"/>
      <c r="U10" s="256"/>
      <c r="X10" s="272"/>
      <c r="Y10" s="275"/>
      <c r="Z10" s="275"/>
      <c r="AA10" s="17"/>
      <c r="AB10" s="252"/>
      <c r="AC10" s="278"/>
      <c r="AD10" s="281"/>
      <c r="AE10" s="252"/>
      <c r="AG10" s="252"/>
      <c r="AH10" s="17"/>
      <c r="AI10" s="252"/>
    </row>
    <row r="11" spans="2:35" s="21" customFormat="1" ht="12.75" customHeight="1" thickBot="1" x14ac:dyDescent="0.3">
      <c r="B11" s="260"/>
      <c r="C11" s="263"/>
      <c r="D11" s="263"/>
      <c r="E11" s="263"/>
      <c r="F11" s="263"/>
      <c r="G11" s="263"/>
      <c r="H11" s="263"/>
      <c r="I11" s="270"/>
      <c r="J11" s="270"/>
      <c r="K11" s="270"/>
      <c r="L11" s="270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73"/>
      <c r="Y11" s="276"/>
      <c r="Z11" s="276"/>
      <c r="AA11" s="17"/>
      <c r="AB11" s="253"/>
      <c r="AC11" s="279"/>
      <c r="AD11" s="282"/>
      <c r="AE11" s="253"/>
      <c r="AG11" s="267"/>
      <c r="AH11" s="17"/>
      <c r="AI11" s="253"/>
    </row>
    <row r="12" spans="2:35" s="21" customFormat="1" ht="32.1" customHeight="1" thickBot="1" x14ac:dyDescent="0.3">
      <c r="B12" s="23" t="s">
        <v>42</v>
      </c>
      <c r="C12" s="24">
        <v>912</v>
      </c>
      <c r="D12" s="24">
        <v>120</v>
      </c>
      <c r="E12" s="24">
        <f>C12+D12</f>
        <v>1032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IF($U$6="x",(F12*3.5),"")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26</v>
      </c>
      <c r="AH12" s="37"/>
      <c r="AI12" s="43">
        <f t="shared" ref="AI12:AI68" si="1">AG12+AE12</f>
        <v>31.369999999999997</v>
      </c>
    </row>
    <row r="13" spans="2:35" s="21" customFormat="1" ht="32.1" customHeight="1" thickBot="1" x14ac:dyDescent="0.3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/>
      <c r="N13" s="51"/>
      <c r="O13" s="51"/>
      <c r="P13" s="52" t="str">
        <f t="shared" ref="P13:P68" si="5">IF(M13&amp;N13="","",ROUND(((M13+N13)/G13),1)&amp;" pallets")</f>
        <v/>
      </c>
      <c r="Q13" s="53">
        <f t="shared" ref="Q13:Q70" si="6">(J13*M13)+(K13*N13)+(O13*L13)</f>
        <v>0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36">
        <f t="shared" ref="Z13:Z56" si="8">IF($U$6="x",(F13*3.5),"")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42">
        <v>26</v>
      </c>
      <c r="AH13" s="37"/>
      <c r="AI13" s="63">
        <f t="shared" si="1"/>
        <v>29.64</v>
      </c>
    </row>
    <row r="14" spans="2:35" s="21" customFormat="1" ht="32.1" customHeight="1" thickBot="1" x14ac:dyDescent="0.3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36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42">
        <v>26</v>
      </c>
      <c r="AH14" s="37"/>
      <c r="AI14" s="63">
        <f t="shared" si="1"/>
        <v>32.07</v>
      </c>
    </row>
    <row r="15" spans="2:35" s="21" customFormat="1" ht="32.1" customHeight="1" thickBot="1" x14ac:dyDescent="0.3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36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42">
        <v>26</v>
      </c>
      <c r="AH15" s="37"/>
      <c r="AI15" s="63">
        <f t="shared" si="1"/>
        <v>30.1</v>
      </c>
    </row>
    <row r="16" spans="2:35" s="21" customFormat="1" ht="32.1" customHeight="1" thickBot="1" x14ac:dyDescent="0.3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/>
      <c r="G16" s="47">
        <v>108</v>
      </c>
      <c r="H16" s="64"/>
      <c r="I16" s="49">
        <f t="shared" si="4"/>
        <v>0</v>
      </c>
      <c r="J16" s="50">
        <v>111</v>
      </c>
      <c r="K16" s="65"/>
      <c r="L16" s="50">
        <v>4.5</v>
      </c>
      <c r="M16" s="51"/>
      <c r="N16" s="193"/>
      <c r="O16" s="51"/>
      <c r="P16" s="52" t="str">
        <f t="shared" si="5"/>
        <v/>
      </c>
      <c r="Q16" s="53">
        <f t="shared" si="6"/>
        <v>0</v>
      </c>
      <c r="S16" s="54"/>
      <c r="T16" s="67"/>
      <c r="U16" s="55"/>
      <c r="X16" s="56">
        <f t="shared" si="7"/>
        <v>0</v>
      </c>
      <c r="Y16" s="57">
        <f>F16*AI16</f>
        <v>0</v>
      </c>
      <c r="Z16" s="36">
        <f t="shared" si="8"/>
        <v>0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42">
        <v>26</v>
      </c>
      <c r="AH16" s="37"/>
      <c r="AI16" s="63">
        <f t="shared" si="1"/>
        <v>29.64</v>
      </c>
    </row>
    <row r="17" spans="2:35" s="21" customFormat="1" ht="32.1" customHeight="1" thickBot="1" x14ac:dyDescent="0.3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36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42">
        <v>26</v>
      </c>
      <c r="AH17" s="37"/>
      <c r="AI17" s="63">
        <f t="shared" si="1"/>
        <v>29.64</v>
      </c>
    </row>
    <row r="18" spans="2:35" s="21" customFormat="1" ht="32.1" customHeight="1" thickBot="1" x14ac:dyDescent="0.3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36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42">
        <v>26</v>
      </c>
      <c r="AH18" s="37"/>
      <c r="AI18" s="63">
        <f t="shared" si="1"/>
        <v>29.64</v>
      </c>
    </row>
    <row r="19" spans="2:35" s="21" customFormat="1" ht="32.1" customHeight="1" thickBot="1" x14ac:dyDescent="0.3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36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42">
        <v>26</v>
      </c>
      <c r="AH19" s="37"/>
      <c r="AI19" s="83">
        <f t="shared" si="1"/>
        <v>32.07</v>
      </c>
    </row>
    <row r="20" spans="2:35" s="21" customFormat="1" ht="32.1" customHeight="1" thickBot="1" x14ac:dyDescent="0.3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36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42">
        <v>26</v>
      </c>
      <c r="AH20" s="37"/>
      <c r="AI20" s="63">
        <f t="shared" si="1"/>
        <v>32.07</v>
      </c>
    </row>
    <row r="21" spans="2:35" s="21" customFormat="1" ht="32.1" customHeight="1" thickBot="1" x14ac:dyDescent="0.3">
      <c r="B21" s="68" t="s">
        <v>51</v>
      </c>
      <c r="C21" s="45">
        <v>872</v>
      </c>
      <c r="D21" s="69">
        <v>120</v>
      </c>
      <c r="E21" s="69">
        <f t="shared" si="2"/>
        <v>992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36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42">
        <v>26</v>
      </c>
      <c r="AH21" s="37"/>
      <c r="AI21" s="83">
        <f t="shared" si="1"/>
        <v>32.07</v>
      </c>
    </row>
    <row r="22" spans="2:35" s="21" customFormat="1" ht="32.1" customHeight="1" thickBot="1" x14ac:dyDescent="0.3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36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42">
        <v>26</v>
      </c>
      <c r="AH22" s="37"/>
      <c r="AI22" s="43">
        <f>AG22+AE22</f>
        <v>32.07</v>
      </c>
    </row>
    <row r="23" spans="2:35" s="21" customFormat="1" ht="32.1" customHeight="1" thickBot="1" x14ac:dyDescent="0.3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36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42">
        <v>26</v>
      </c>
      <c r="AH23" s="37"/>
      <c r="AI23" s="43">
        <f t="shared" si="1"/>
        <v>32.07</v>
      </c>
    </row>
    <row r="24" spans="2:35" s="21" customFormat="1" ht="32.1" customHeight="1" thickBot="1" x14ac:dyDescent="0.3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36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42">
        <v>26</v>
      </c>
      <c r="AH24" s="37"/>
      <c r="AI24" s="63">
        <f t="shared" si="1"/>
        <v>32.07</v>
      </c>
    </row>
    <row r="25" spans="2:35" s="21" customFormat="1" ht="32.1" customHeight="1" thickBot="1" x14ac:dyDescent="0.3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36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42">
        <v>26</v>
      </c>
      <c r="AH25" s="37"/>
      <c r="AI25" s="63">
        <f t="shared" si="1"/>
        <v>32.07</v>
      </c>
    </row>
    <row r="26" spans="2:35" s="21" customFormat="1" ht="32.1" customHeight="1" thickBot="1" x14ac:dyDescent="0.3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36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42">
        <v>26</v>
      </c>
      <c r="AH26" s="37"/>
      <c r="AI26" s="63">
        <f t="shared" si="1"/>
        <v>32.07</v>
      </c>
    </row>
    <row r="27" spans="2:35" s="21" customFormat="1" ht="32.1" customHeight="1" thickBot="1" x14ac:dyDescent="0.3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36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42">
        <v>26</v>
      </c>
      <c r="AH27" s="37"/>
      <c r="AI27" s="83">
        <f t="shared" si="1"/>
        <v>32.07</v>
      </c>
    </row>
    <row r="28" spans="2:35" s="21" customFormat="1" ht="32.1" customHeight="1" thickBot="1" x14ac:dyDescent="0.3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36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42">
        <v>26</v>
      </c>
      <c r="AH28" s="37"/>
      <c r="AI28" s="43">
        <f t="shared" si="1"/>
        <v>32.07</v>
      </c>
    </row>
    <row r="29" spans="2:35" s="21" customFormat="1" ht="32.1" customHeight="1" thickBot="1" x14ac:dyDescent="0.3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36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42">
        <v>26</v>
      </c>
      <c r="AH29" s="37"/>
      <c r="AI29" s="83">
        <f t="shared" si="1"/>
        <v>32.07</v>
      </c>
    </row>
    <row r="30" spans="2:35" s="21" customFormat="1" ht="32.1" customHeight="1" thickBot="1" x14ac:dyDescent="0.3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36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42">
        <v>26</v>
      </c>
      <c r="AH30" s="37"/>
      <c r="AI30" s="43">
        <f t="shared" si="1"/>
        <v>31.369999999999997</v>
      </c>
    </row>
    <row r="31" spans="2:35" s="21" customFormat="1" ht="32.1" customHeight="1" thickBot="1" x14ac:dyDescent="0.3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36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42">
        <v>26</v>
      </c>
      <c r="AH31" s="37"/>
      <c r="AI31" s="63">
        <f t="shared" si="1"/>
        <v>31.759999999999998</v>
      </c>
    </row>
    <row r="32" spans="2:35" s="21" customFormat="1" ht="32.1" customHeight="1" thickBot="1" x14ac:dyDescent="0.3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36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42">
        <v>26</v>
      </c>
      <c r="AH32" s="37"/>
      <c r="AI32" s="63">
        <f t="shared" si="1"/>
        <v>32.07</v>
      </c>
    </row>
    <row r="33" spans="2:35" s="21" customFormat="1" ht="32.1" customHeight="1" thickBot="1" x14ac:dyDescent="0.3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36">
        <f t="shared" si="8"/>
        <v>0</v>
      </c>
      <c r="AA33" s="37"/>
      <c r="AB33" s="58">
        <f>AB8</f>
        <v>2.67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2.98</v>
      </c>
      <c r="AF33" s="61"/>
      <c r="AG33" s="42">
        <v>26</v>
      </c>
      <c r="AH33" s="37"/>
      <c r="AI33" s="43">
        <f t="shared" si="1"/>
        <v>28.98</v>
      </c>
    </row>
    <row r="34" spans="2:35" s="21" customFormat="1" ht="32.1" customHeight="1" thickBot="1" x14ac:dyDescent="0.3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36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42">
        <v>26</v>
      </c>
      <c r="AH34" s="37"/>
      <c r="AI34" s="43">
        <f t="shared" si="1"/>
        <v>28.16</v>
      </c>
    </row>
    <row r="35" spans="2:35" s="21" customFormat="1" ht="32.1" customHeight="1" thickBot="1" x14ac:dyDescent="0.3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36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42">
        <v>26</v>
      </c>
      <c r="AH35" s="37"/>
      <c r="AI35" s="63">
        <f t="shared" si="1"/>
        <v>28.16</v>
      </c>
    </row>
    <row r="36" spans="2:35" s="21" customFormat="1" ht="32.1" customHeight="1" thickBot="1" x14ac:dyDescent="0.3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36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42">
        <v>26</v>
      </c>
      <c r="AH36" s="37"/>
      <c r="AI36" s="63">
        <f t="shared" si="1"/>
        <v>28.16</v>
      </c>
    </row>
    <row r="37" spans="2:35" s="21" customFormat="1" ht="32.1" customHeight="1" thickBot="1" x14ac:dyDescent="0.3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36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42">
        <v>26</v>
      </c>
      <c r="AH37" s="37"/>
      <c r="AI37" s="63">
        <f t="shared" si="1"/>
        <v>28.16</v>
      </c>
    </row>
    <row r="38" spans="2:35" s="21" customFormat="1" ht="32.1" customHeight="1" thickBot="1" x14ac:dyDescent="0.3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36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42">
        <v>26</v>
      </c>
      <c r="AH38" s="37"/>
      <c r="AI38" s="83">
        <f t="shared" si="1"/>
        <v>28.16</v>
      </c>
    </row>
    <row r="39" spans="2:35" s="21" customFormat="1" ht="32.1" customHeight="1" thickBot="1" x14ac:dyDescent="0.3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36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42">
        <v>26</v>
      </c>
      <c r="AH39" s="37"/>
      <c r="AI39" s="43">
        <f t="shared" si="1"/>
        <v>28.16</v>
      </c>
    </row>
    <row r="40" spans="2:35" s="21" customFormat="1" ht="32.1" customHeight="1" thickBot="1" x14ac:dyDescent="0.3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36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42">
        <v>26</v>
      </c>
      <c r="AH40" s="37"/>
      <c r="AI40" s="63">
        <f t="shared" si="1"/>
        <v>28.16</v>
      </c>
    </row>
    <row r="41" spans="2:35" s="21" customFormat="1" ht="32.1" customHeight="1" thickBot="1" x14ac:dyDescent="0.3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36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42">
        <v>26</v>
      </c>
      <c r="AH41" s="37"/>
      <c r="AI41" s="83">
        <f t="shared" si="1"/>
        <v>28.16</v>
      </c>
    </row>
    <row r="42" spans="2:35" s="21" customFormat="1" ht="32.1" customHeight="1" thickBot="1" x14ac:dyDescent="0.3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36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42">
        <v>26</v>
      </c>
      <c r="AH42" s="37"/>
      <c r="AI42" s="107">
        <f t="shared" si="1"/>
        <v>28.16</v>
      </c>
    </row>
    <row r="43" spans="2:35" s="21" customFormat="1" ht="32.1" customHeight="1" thickBot="1" x14ac:dyDescent="0.3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36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42">
        <v>26</v>
      </c>
      <c r="AH43" s="37"/>
      <c r="AI43" s="110">
        <f t="shared" si="1"/>
        <v>28.16</v>
      </c>
    </row>
    <row r="44" spans="2:35" s="21" customFormat="1" ht="32.1" customHeight="1" thickBot="1" x14ac:dyDescent="0.3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36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42">
        <v>26</v>
      </c>
      <c r="AH44" s="37"/>
      <c r="AI44" s="63">
        <f>AG44+AE44</f>
        <v>28.16</v>
      </c>
    </row>
    <row r="45" spans="2:35" s="21" customFormat="1" ht="32.1" customHeight="1" thickBot="1" x14ac:dyDescent="0.3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36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42">
        <v>26</v>
      </c>
      <c r="AH45" s="37"/>
      <c r="AI45" s="110">
        <f t="shared" si="1"/>
        <v>29.77</v>
      </c>
    </row>
    <row r="46" spans="2:35" s="21" customFormat="1" ht="32.1" customHeight="1" thickBot="1" x14ac:dyDescent="0.3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36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42">
        <v>26</v>
      </c>
      <c r="AH46" s="37"/>
      <c r="AI46" s="83">
        <f t="shared" si="1"/>
        <v>28.16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36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42">
        <v>26</v>
      </c>
      <c r="AH47" s="37"/>
      <c r="AI47" s="107">
        <f t="shared" si="1"/>
        <v>26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36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42">
        <v>26</v>
      </c>
      <c r="AH48" s="37"/>
      <c r="AI48" s="110">
        <f t="shared" si="1"/>
        <v>26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36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42">
        <v>26</v>
      </c>
      <c r="AH49" s="37"/>
      <c r="AI49" s="83">
        <f t="shared" si="1"/>
        <v>26</v>
      </c>
    </row>
    <row r="50" spans="2:35" s="21" customFormat="1" ht="32.1" customHeight="1" thickBot="1" x14ac:dyDescent="0.3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36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42">
        <v>26</v>
      </c>
      <c r="AH50" s="37"/>
      <c r="AI50" s="63">
        <f t="shared" si="1"/>
        <v>32.07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36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42">
        <v>26</v>
      </c>
      <c r="AH51" s="37"/>
      <c r="AI51" s="125">
        <f t="shared" si="1"/>
        <v>28.16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36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42">
        <v>26</v>
      </c>
      <c r="AH52" s="37"/>
      <c r="AI52" s="43">
        <f t="shared" si="1"/>
        <v>31.07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36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42">
        <v>26</v>
      </c>
      <c r="AH53" s="37"/>
      <c r="AI53" s="125">
        <f t="shared" si="1"/>
        <v>28.16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36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42">
        <v>26</v>
      </c>
      <c r="AH54" s="37"/>
      <c r="AI54" s="125">
        <f t="shared" si="1"/>
        <v>28.16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36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42">
        <v>26</v>
      </c>
      <c r="AH55" s="37"/>
      <c r="AI55" s="125">
        <f t="shared" si="1"/>
        <v>28.16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36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42">
        <v>26</v>
      </c>
      <c r="AH56" s="37"/>
      <c r="AI56" s="125">
        <f t="shared" si="1"/>
        <v>28.16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>
        <v>135</v>
      </c>
      <c r="O57" s="51"/>
      <c r="P57" s="52" t="str">
        <f t="shared" si="5"/>
        <v>1.9 pallets</v>
      </c>
      <c r="Q57" s="53">
        <f>(J57*M57)+(K57*N57)+(O57*L57)</f>
        <v>5670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>IF($U$6="x",(F62*3.5),"")</f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26</v>
      </c>
      <c r="AH62" s="37"/>
      <c r="AI62" s="43">
        <f t="shared" si="1"/>
        <v>28.16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ref="Z63:Z68" si="17">IF($U$6="x",(F63*3.5),"")</f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26</v>
      </c>
      <c r="AH63" s="37"/>
      <c r="AI63" s="63">
        <f t="shared" si="1"/>
        <v>28.16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17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26</v>
      </c>
      <c r="AH64" s="37"/>
      <c r="AI64" s="63">
        <f t="shared" si="1"/>
        <v>28.16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17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26</v>
      </c>
      <c r="AH65" s="37"/>
      <c r="AI65" s="63">
        <f t="shared" si="1"/>
        <v>28.16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17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26</v>
      </c>
      <c r="AH66" s="37"/>
      <c r="AI66" s="63">
        <f t="shared" si="1"/>
        <v>28.16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17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26</v>
      </c>
      <c r="AH67" s="37"/>
      <c r="AI67" s="63">
        <f t="shared" si="1"/>
        <v>28.16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57">
        <f t="shared" si="17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26</v>
      </c>
      <c r="AH68" s="37"/>
      <c r="AI68" s="125">
        <f t="shared" si="1"/>
        <v>28.16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8">+D69-C69</f>
        <v>262.5</v>
      </c>
      <c r="F69" s="136"/>
      <c r="G69" s="87">
        <v>72</v>
      </c>
      <c r="H69" s="137" t="str">
        <f t="shared" ref="H69:H70" si="19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20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8"/>
        <v>262.5</v>
      </c>
      <c r="F70" s="142"/>
      <c r="G70" s="115">
        <v>72</v>
      </c>
      <c r="H70" s="143" t="str">
        <f t="shared" si="19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20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57" t="s">
        <v>101</v>
      </c>
      <c r="C71" s="257"/>
      <c r="D71" s="257"/>
      <c r="E71" s="257"/>
      <c r="F71" s="257"/>
      <c r="G71" s="257"/>
      <c r="H71" s="147" t="str">
        <f>ROUND(((F12+F30+F52+F57+F58+F59+F60+F61)/72+(F13+F16+F18)/108+(F14+SUM(F19:F29)+F31+F32+F22+F50+F45)/63+F15/96+SUM(F34:F43)/100+SUM(F47:F49)/24+SUM(F62:F68)/100+(F51+F46+F44)/100),1)&amp;" pallets"</f>
        <v>0 pallets</v>
      </c>
      <c r="I71" s="148"/>
      <c r="J71" s="149"/>
      <c r="K71" s="150"/>
      <c r="L71" s="149"/>
      <c r="M71" s="151"/>
      <c r="N71" s="152"/>
      <c r="O71" s="152"/>
      <c r="P71" s="195" t="str">
        <f>ROUND((((M12+N12+M30+M57+M58+M59+M60+M61+N57)/72+(M13+N13+M16+M18)/108+(M15+N15)/96+SUM(M14,M19:M29,M31:M32,M50,N14)/63)),1)&amp;" pallets"</f>
        <v>1.9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37">
        <f>SUM(I12:I70)</f>
        <v>0</v>
      </c>
      <c r="G73" s="237"/>
      <c r="H73" s="237"/>
      <c r="I73" s="238"/>
      <c r="J73" s="158"/>
      <c r="K73" s="158"/>
      <c r="L73" s="158"/>
      <c r="M73" s="249" t="s">
        <v>103</v>
      </c>
      <c r="N73" s="250"/>
      <c r="O73" s="237">
        <f>SUM(Q12:Q70)</f>
        <v>5670</v>
      </c>
      <c r="P73" s="237"/>
      <c r="Q73" s="238"/>
      <c r="R73" s="152"/>
      <c r="S73" s="159" t="s">
        <v>104</v>
      </c>
      <c r="T73" s="242">
        <f>SUM(Y12:Y68)</f>
        <v>0</v>
      </c>
      <c r="U73" s="243"/>
      <c r="V73" s="160"/>
      <c r="W73" s="160"/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37">
        <f>SUM(I14:I72)</f>
        <v>0</v>
      </c>
      <c r="G75" s="237"/>
      <c r="H75" s="237"/>
      <c r="I75" s="238"/>
      <c r="J75" s="158"/>
      <c r="K75" s="158"/>
      <c r="L75" s="158"/>
      <c r="M75" s="249" t="s">
        <v>103</v>
      </c>
      <c r="N75" s="250"/>
      <c r="O75" s="237">
        <f>SUM(Q14:Q72)</f>
        <v>5670</v>
      </c>
      <c r="P75" s="237"/>
      <c r="Q75" s="238"/>
      <c r="R75" s="152"/>
      <c r="S75" s="159" t="s">
        <v>129</v>
      </c>
      <c r="T75" s="242">
        <f>SUM(Z12:Z70)</f>
        <v>0</v>
      </c>
      <c r="U75" s="243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37">
        <f>IF(U7&gt;0,"",(F73-O73-T79-P79))</f>
        <v>-5670</v>
      </c>
      <c r="G77" s="237"/>
      <c r="H77" s="237"/>
      <c r="I77" s="238"/>
      <c r="J77" s="164"/>
      <c r="K77" s="164"/>
      <c r="L77" s="164"/>
      <c r="M77" s="239" t="s">
        <v>106</v>
      </c>
      <c r="N77" s="239"/>
      <c r="O77" s="168" t="s">
        <v>107</v>
      </c>
      <c r="P77" s="240"/>
      <c r="Q77" s="241"/>
      <c r="R77" s="152"/>
      <c r="S77" s="159" t="s">
        <v>108</v>
      </c>
      <c r="T77" s="242">
        <f>IF(SUM(X12:X68)*0.15&gt;P77,P77,SUM(X12:X68)*0.15)</f>
        <v>0</v>
      </c>
      <c r="U77" s="243"/>
      <c r="V77" s="160"/>
      <c r="W77" s="244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45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37"/>
      <c r="G79" s="237"/>
      <c r="H79" s="237"/>
      <c r="I79" s="238"/>
      <c r="J79" s="164"/>
      <c r="K79" s="164"/>
      <c r="L79" s="164"/>
      <c r="M79" s="247" t="str">
        <f>IF(U6&gt;0,"",T4+30)</f>
        <v/>
      </c>
      <c r="N79" s="248"/>
      <c r="O79" s="168" t="s">
        <v>111</v>
      </c>
      <c r="P79" s="240"/>
      <c r="Q79" s="241"/>
      <c r="R79" s="152"/>
      <c r="S79" s="159" t="s">
        <v>112</v>
      </c>
      <c r="T79" s="242">
        <f>T77+T73+T75</f>
        <v>0</v>
      </c>
      <c r="U79" s="243"/>
      <c r="V79" s="160"/>
      <c r="W79" s="246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14" t="s">
        <v>113</v>
      </c>
      <c r="C81" s="215"/>
      <c r="D81" s="215"/>
      <c r="E81" s="215"/>
      <c r="F81" s="215"/>
      <c r="G81" s="215"/>
      <c r="H81" s="216"/>
      <c r="I81" s="223" t="s">
        <v>114</v>
      </c>
      <c r="J81" s="171"/>
      <c r="K81" s="171"/>
      <c r="L81" s="171"/>
      <c r="M81" s="225"/>
      <c r="N81" s="228" t="s">
        <v>115</v>
      </c>
      <c r="O81" s="231"/>
      <c r="P81" s="225"/>
      <c r="Q81" s="208" t="s">
        <v>116</v>
      </c>
      <c r="R81" s="234"/>
      <c r="S81" s="205"/>
      <c r="T81" s="208" t="s">
        <v>117</v>
      </c>
      <c r="U81" s="211"/>
    </row>
    <row r="82" spans="2:21" ht="15" customHeight="1" x14ac:dyDescent="0.25">
      <c r="B82" s="217"/>
      <c r="C82" s="218"/>
      <c r="D82" s="218"/>
      <c r="E82" s="218"/>
      <c r="F82" s="218"/>
      <c r="G82" s="218"/>
      <c r="H82" s="219"/>
      <c r="I82" s="202"/>
      <c r="J82" s="2"/>
      <c r="K82" s="2"/>
      <c r="L82" s="2"/>
      <c r="M82" s="226"/>
      <c r="N82" s="229"/>
      <c r="O82" s="232"/>
      <c r="P82" s="226"/>
      <c r="Q82" s="209"/>
      <c r="R82" s="235"/>
      <c r="S82" s="206"/>
      <c r="T82" s="209"/>
      <c r="U82" s="212"/>
    </row>
    <row r="83" spans="2:21" ht="15.75" customHeight="1" thickBot="1" x14ac:dyDescent="0.3">
      <c r="B83" s="220"/>
      <c r="C83" s="221"/>
      <c r="D83" s="221"/>
      <c r="E83" s="221"/>
      <c r="F83" s="221"/>
      <c r="G83" s="221"/>
      <c r="H83" s="222"/>
      <c r="I83" s="224"/>
      <c r="J83" s="172"/>
      <c r="K83" s="172"/>
      <c r="L83" s="172"/>
      <c r="M83" s="227"/>
      <c r="N83" s="230"/>
      <c r="O83" s="233"/>
      <c r="P83" s="227"/>
      <c r="Q83" s="210"/>
      <c r="R83" s="236"/>
      <c r="S83" s="207"/>
      <c r="T83" s="210"/>
      <c r="U83" s="213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196" t="s">
        <v>132</v>
      </c>
      <c r="C88" s="197"/>
      <c r="D88" s="197"/>
      <c r="E88" s="197"/>
      <c r="F88" s="197"/>
      <c r="G88" s="197"/>
      <c r="H88" s="197"/>
      <c r="I88" s="198"/>
      <c r="J88" s="185"/>
      <c r="K88" s="185"/>
      <c r="L88" s="185"/>
      <c r="M88" s="196"/>
      <c r="N88" s="197"/>
      <c r="O88" s="197"/>
      <c r="P88" s="197"/>
      <c r="Q88" s="198"/>
      <c r="R88" s="187"/>
      <c r="S88" s="188"/>
      <c r="T88" s="188"/>
      <c r="U88" s="189"/>
    </row>
    <row r="89" spans="2:21" ht="18" x14ac:dyDescent="0.25">
      <c r="B89" s="199" t="s">
        <v>122</v>
      </c>
      <c r="C89" s="200"/>
      <c r="D89" s="200"/>
      <c r="E89" s="200"/>
      <c r="F89" s="200"/>
      <c r="G89" s="200"/>
      <c r="H89" s="200"/>
      <c r="I89" s="201"/>
      <c r="M89" s="199" t="s">
        <v>122</v>
      </c>
      <c r="N89" s="200"/>
      <c r="O89" s="200"/>
      <c r="P89" s="200"/>
      <c r="Q89" s="201"/>
      <c r="R89" s="202" t="s">
        <v>123</v>
      </c>
      <c r="S89" s="203"/>
      <c r="T89" s="203"/>
      <c r="U89" s="204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196" t="s">
        <v>133</v>
      </c>
      <c r="C93" s="197"/>
      <c r="D93" s="197"/>
      <c r="E93" s="197"/>
      <c r="F93" s="197"/>
      <c r="G93" s="197"/>
      <c r="H93" s="197"/>
      <c r="I93" s="198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199" t="s">
        <v>126</v>
      </c>
      <c r="C94" s="200"/>
      <c r="D94" s="200"/>
      <c r="E94" s="200"/>
      <c r="F94" s="200"/>
      <c r="G94" s="200"/>
      <c r="H94" s="200"/>
      <c r="I94" s="201"/>
      <c r="M94" s="179"/>
      <c r="Q94" s="180"/>
      <c r="R94" s="202" t="s">
        <v>127</v>
      </c>
      <c r="S94" s="203"/>
      <c r="T94" s="203"/>
      <c r="U94" s="204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B9:B11"/>
    <mergeCell ref="C9:C11"/>
    <mergeCell ref="D9:D11"/>
    <mergeCell ref="E9:E11"/>
    <mergeCell ref="F9:Q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6CA335-2767-440A-BFA6-D54B24C81790}">
  <sheetPr>
    <tabColor rgb="FF00B050"/>
    <pageSetUpPr fitToPage="1"/>
  </sheetPr>
  <dimension ref="A1:AJ100"/>
  <sheetViews>
    <sheetView showGridLines="0" topLeftCell="A63" zoomScale="85" zoomScaleNormal="85" workbookViewId="0">
      <pane xSplit="2" topLeftCell="C1" activePane="topRight" state="frozen"/>
      <selection activeCell="P79" sqref="P79:Q79"/>
      <selection pane="topRight" activeCell="M17" sqref="M17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9.28515625" style="3" bestFit="1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86" t="s">
        <v>130</v>
      </c>
      <c r="G2" s="286"/>
      <c r="H2" s="286"/>
      <c r="I2" s="286"/>
      <c r="J2" s="286"/>
      <c r="K2" s="286"/>
      <c r="L2" s="286"/>
      <c r="M2" s="286"/>
      <c r="N2" s="286"/>
      <c r="O2" s="286"/>
      <c r="P2" s="286"/>
      <c r="Q2" s="286"/>
      <c r="R2" s="286"/>
      <c r="S2" s="286"/>
      <c r="T2" s="6" t="s">
        <v>1</v>
      </c>
      <c r="U2" s="7"/>
      <c r="W2" s="244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45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87"/>
      <c r="G4" s="287"/>
      <c r="H4" s="287"/>
      <c r="I4" s="287"/>
      <c r="J4" s="287"/>
      <c r="K4" s="287"/>
      <c r="L4" s="287"/>
      <c r="M4" s="287"/>
      <c r="S4" s="2" t="s">
        <v>4</v>
      </c>
      <c r="T4" s="288"/>
      <c r="U4" s="288"/>
      <c r="W4" s="246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89"/>
      <c r="G6" s="289"/>
      <c r="H6" s="289"/>
      <c r="I6" s="289"/>
      <c r="J6" s="289"/>
      <c r="K6" s="289"/>
      <c r="L6" s="289"/>
      <c r="M6" s="289"/>
      <c r="S6" s="11" t="s">
        <v>6</v>
      </c>
      <c r="T6" s="195" t="s">
        <v>7</v>
      </c>
      <c r="U6" s="12" t="s">
        <v>131</v>
      </c>
      <c r="W6" s="244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89"/>
      <c r="G7" s="289"/>
      <c r="H7" s="289"/>
      <c r="I7" s="289"/>
      <c r="J7" s="289"/>
      <c r="K7" s="289"/>
      <c r="L7" s="289"/>
      <c r="M7" s="289"/>
      <c r="N7" s="14"/>
      <c r="O7" s="14"/>
      <c r="P7" s="14"/>
      <c r="Q7" s="15"/>
      <c r="S7" s="14"/>
      <c r="T7" s="195" t="s">
        <v>11</v>
      </c>
      <c r="U7" s="12"/>
      <c r="W7" s="246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2.67</v>
      </c>
      <c r="AD8" s="2">
        <v>0.31</v>
      </c>
      <c r="AE8" s="11" t="s">
        <v>13</v>
      </c>
    </row>
    <row r="9" spans="2:35" s="16" customFormat="1" ht="20.25" x14ac:dyDescent="0.25">
      <c r="B9" s="258" t="s">
        <v>14</v>
      </c>
      <c r="C9" s="261" t="s">
        <v>15</v>
      </c>
      <c r="D9" s="261" t="s">
        <v>16</v>
      </c>
      <c r="E9" s="261" t="s">
        <v>17</v>
      </c>
      <c r="F9" s="264" t="s">
        <v>18</v>
      </c>
      <c r="G9" s="265"/>
      <c r="H9" s="265"/>
      <c r="I9" s="265"/>
      <c r="J9" s="265"/>
      <c r="K9" s="265"/>
      <c r="L9" s="265"/>
      <c r="M9" s="265"/>
      <c r="N9" s="265"/>
      <c r="O9" s="265"/>
      <c r="P9" s="265"/>
      <c r="Q9" s="266"/>
      <c r="S9" s="264" t="s">
        <v>19</v>
      </c>
      <c r="T9" s="265"/>
      <c r="U9" s="266"/>
      <c r="X9" s="271" t="s">
        <v>20</v>
      </c>
      <c r="Y9" s="274" t="s">
        <v>21</v>
      </c>
      <c r="Z9" s="274" t="s">
        <v>128</v>
      </c>
      <c r="AA9" s="17"/>
      <c r="AB9" s="251" t="s">
        <v>22</v>
      </c>
      <c r="AC9" s="277" t="s">
        <v>23</v>
      </c>
      <c r="AD9" s="280" t="s">
        <v>24</v>
      </c>
      <c r="AE9" s="251" t="s">
        <v>25</v>
      </c>
      <c r="AG9" s="251" t="s">
        <v>26</v>
      </c>
      <c r="AH9" s="17"/>
      <c r="AI9" s="251" t="s">
        <v>27</v>
      </c>
    </row>
    <row r="10" spans="2:35" s="16" customFormat="1" ht="20.25" customHeight="1" x14ac:dyDescent="0.25">
      <c r="B10" s="259"/>
      <c r="C10" s="262"/>
      <c r="D10" s="262"/>
      <c r="E10" s="262"/>
      <c r="F10" s="268" t="s">
        <v>28</v>
      </c>
      <c r="G10" s="268" t="s">
        <v>29</v>
      </c>
      <c r="H10" s="268" t="s">
        <v>30</v>
      </c>
      <c r="I10" s="269" t="s">
        <v>31</v>
      </c>
      <c r="J10" s="269" t="s">
        <v>32</v>
      </c>
      <c r="K10" s="269" t="s">
        <v>33</v>
      </c>
      <c r="L10" s="269" t="s">
        <v>34</v>
      </c>
      <c r="M10" s="283" t="s">
        <v>35</v>
      </c>
      <c r="N10" s="284"/>
      <c r="O10" s="284"/>
      <c r="P10" s="284"/>
      <c r="Q10" s="285"/>
      <c r="S10" s="254" t="s">
        <v>36</v>
      </c>
      <c r="T10" s="255"/>
      <c r="U10" s="256"/>
      <c r="X10" s="272"/>
      <c r="Y10" s="275"/>
      <c r="Z10" s="275"/>
      <c r="AA10" s="17"/>
      <c r="AB10" s="252"/>
      <c r="AC10" s="278"/>
      <c r="AD10" s="281"/>
      <c r="AE10" s="252"/>
      <c r="AG10" s="252"/>
      <c r="AH10" s="17"/>
      <c r="AI10" s="252"/>
    </row>
    <row r="11" spans="2:35" s="21" customFormat="1" ht="12.75" customHeight="1" thickBot="1" x14ac:dyDescent="0.3">
      <c r="B11" s="260"/>
      <c r="C11" s="263"/>
      <c r="D11" s="263"/>
      <c r="E11" s="263"/>
      <c r="F11" s="263"/>
      <c r="G11" s="263"/>
      <c r="H11" s="263"/>
      <c r="I11" s="270"/>
      <c r="J11" s="270"/>
      <c r="K11" s="270"/>
      <c r="L11" s="270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73"/>
      <c r="Y11" s="276"/>
      <c r="Z11" s="276"/>
      <c r="AA11" s="17"/>
      <c r="AB11" s="253"/>
      <c r="AC11" s="279"/>
      <c r="AD11" s="282"/>
      <c r="AE11" s="253"/>
      <c r="AG11" s="267"/>
      <c r="AH11" s="17"/>
      <c r="AI11" s="253"/>
    </row>
    <row r="12" spans="2:35" s="21" customFormat="1" ht="32.1" customHeight="1" thickBot="1" x14ac:dyDescent="0.3">
      <c r="B12" s="23" t="s">
        <v>42</v>
      </c>
      <c r="C12" s="24">
        <v>912</v>
      </c>
      <c r="D12" s="24">
        <v>120</v>
      </c>
      <c r="E12" s="24">
        <f>C12+D12</f>
        <v>1032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IF($U$6="x",(F12*3.5),"")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26</v>
      </c>
      <c r="AH12" s="37"/>
      <c r="AI12" s="43">
        <f t="shared" ref="AI12:AI68" si="1">AG12+AE12</f>
        <v>31.369999999999997</v>
      </c>
    </row>
    <row r="13" spans="2:35" s="21" customFormat="1" ht="32.1" customHeight="1" thickBot="1" x14ac:dyDescent="0.3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>
        <v>108</v>
      </c>
      <c r="N13" s="51"/>
      <c r="O13" s="51"/>
      <c r="P13" s="52" t="str">
        <f t="shared" ref="P13:P68" si="5">IF(M13&amp;N13="","",ROUND(((M13+N13)/G13),1)&amp;" pallets")</f>
        <v>1 pallets</v>
      </c>
      <c r="Q13" s="53">
        <f t="shared" ref="Q13:Q70" si="6">(J13*M13)+(K13*N13)+(O13*L13)</f>
        <v>11988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36">
        <f t="shared" ref="Z13:Z56" si="8">IF($U$6="x",(F13*3.5),"")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42">
        <v>26</v>
      </c>
      <c r="AH13" s="37"/>
      <c r="AI13" s="63">
        <f t="shared" si="1"/>
        <v>29.64</v>
      </c>
    </row>
    <row r="14" spans="2:35" s="21" customFormat="1" ht="32.1" customHeight="1" thickBot="1" x14ac:dyDescent="0.3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36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42">
        <v>26</v>
      </c>
      <c r="AH14" s="37"/>
      <c r="AI14" s="63">
        <f t="shared" si="1"/>
        <v>32.07</v>
      </c>
    </row>
    <row r="15" spans="2:35" s="21" customFormat="1" ht="32.1" customHeight="1" thickBot="1" x14ac:dyDescent="0.3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36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42">
        <v>26</v>
      </c>
      <c r="AH15" s="37"/>
      <c r="AI15" s="63">
        <f t="shared" si="1"/>
        <v>30.1</v>
      </c>
    </row>
    <row r="16" spans="2:35" s="21" customFormat="1" ht="32.1" customHeight="1" thickBot="1" x14ac:dyDescent="0.3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/>
      <c r="G16" s="47">
        <v>108</v>
      </c>
      <c r="H16" s="64"/>
      <c r="I16" s="49">
        <f t="shared" si="4"/>
        <v>0</v>
      </c>
      <c r="J16" s="50">
        <v>111</v>
      </c>
      <c r="K16" s="65"/>
      <c r="L16" s="50">
        <v>4.5</v>
      </c>
      <c r="M16" s="51">
        <v>1620</v>
      </c>
      <c r="N16" s="193"/>
      <c r="O16" s="51"/>
      <c r="P16" s="52" t="str">
        <f t="shared" si="5"/>
        <v>15 pallets</v>
      </c>
      <c r="Q16" s="53">
        <f t="shared" si="6"/>
        <v>179820</v>
      </c>
      <c r="S16" s="54"/>
      <c r="T16" s="67"/>
      <c r="U16" s="55"/>
      <c r="X16" s="56">
        <f t="shared" si="7"/>
        <v>0</v>
      </c>
      <c r="Y16" s="57">
        <f>F16*AI16</f>
        <v>0</v>
      </c>
      <c r="Z16" s="36">
        <f t="shared" si="8"/>
        <v>0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42">
        <v>26</v>
      </c>
      <c r="AH16" s="37"/>
      <c r="AI16" s="63">
        <f t="shared" si="1"/>
        <v>29.64</v>
      </c>
    </row>
    <row r="17" spans="2:35" s="21" customFormat="1" ht="32.1" customHeight="1" thickBot="1" x14ac:dyDescent="0.3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36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42">
        <v>26</v>
      </c>
      <c r="AH17" s="37"/>
      <c r="AI17" s="63">
        <f t="shared" si="1"/>
        <v>29.64</v>
      </c>
    </row>
    <row r="18" spans="2:35" s="21" customFormat="1" ht="32.1" customHeight="1" thickBot="1" x14ac:dyDescent="0.3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36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42">
        <v>26</v>
      </c>
      <c r="AH18" s="37"/>
      <c r="AI18" s="63">
        <f t="shared" si="1"/>
        <v>29.64</v>
      </c>
    </row>
    <row r="19" spans="2:35" s="21" customFormat="1" ht="32.1" customHeight="1" thickBot="1" x14ac:dyDescent="0.3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36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42">
        <v>26</v>
      </c>
      <c r="AH19" s="37"/>
      <c r="AI19" s="83">
        <f t="shared" si="1"/>
        <v>32.07</v>
      </c>
    </row>
    <row r="20" spans="2:35" s="21" customFormat="1" ht="32.1" customHeight="1" thickBot="1" x14ac:dyDescent="0.3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36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42">
        <v>26</v>
      </c>
      <c r="AH20" s="37"/>
      <c r="AI20" s="63">
        <f t="shared" si="1"/>
        <v>32.07</v>
      </c>
    </row>
    <row r="21" spans="2:35" s="21" customFormat="1" ht="32.1" customHeight="1" thickBot="1" x14ac:dyDescent="0.3">
      <c r="B21" s="68" t="s">
        <v>51</v>
      </c>
      <c r="C21" s="45">
        <v>872</v>
      </c>
      <c r="D21" s="69">
        <v>120</v>
      </c>
      <c r="E21" s="69">
        <f t="shared" si="2"/>
        <v>992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36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42">
        <v>26</v>
      </c>
      <c r="AH21" s="37"/>
      <c r="AI21" s="83">
        <f t="shared" si="1"/>
        <v>32.07</v>
      </c>
    </row>
    <row r="22" spans="2:35" s="21" customFormat="1" ht="32.1" customHeight="1" thickBot="1" x14ac:dyDescent="0.3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36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42">
        <v>26</v>
      </c>
      <c r="AH22" s="37"/>
      <c r="AI22" s="43">
        <f>AG22+AE22</f>
        <v>32.07</v>
      </c>
    </row>
    <row r="23" spans="2:35" s="21" customFormat="1" ht="32.1" customHeight="1" thickBot="1" x14ac:dyDescent="0.3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36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42">
        <v>26</v>
      </c>
      <c r="AH23" s="37"/>
      <c r="AI23" s="43">
        <f t="shared" si="1"/>
        <v>32.07</v>
      </c>
    </row>
    <row r="24" spans="2:35" s="21" customFormat="1" ht="32.1" customHeight="1" thickBot="1" x14ac:dyDescent="0.3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36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42">
        <v>26</v>
      </c>
      <c r="AH24" s="37"/>
      <c r="AI24" s="63">
        <f t="shared" si="1"/>
        <v>32.07</v>
      </c>
    </row>
    <row r="25" spans="2:35" s="21" customFormat="1" ht="32.1" customHeight="1" thickBot="1" x14ac:dyDescent="0.3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36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42">
        <v>26</v>
      </c>
      <c r="AH25" s="37"/>
      <c r="AI25" s="63">
        <f t="shared" si="1"/>
        <v>32.07</v>
      </c>
    </row>
    <row r="26" spans="2:35" s="21" customFormat="1" ht="32.1" customHeight="1" thickBot="1" x14ac:dyDescent="0.3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36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42">
        <v>26</v>
      </c>
      <c r="AH26" s="37"/>
      <c r="AI26" s="63">
        <f t="shared" si="1"/>
        <v>32.07</v>
      </c>
    </row>
    <row r="27" spans="2:35" s="21" customFormat="1" ht="32.1" customHeight="1" thickBot="1" x14ac:dyDescent="0.3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36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42">
        <v>26</v>
      </c>
      <c r="AH27" s="37"/>
      <c r="AI27" s="83">
        <f t="shared" si="1"/>
        <v>32.07</v>
      </c>
    </row>
    <row r="28" spans="2:35" s="21" customFormat="1" ht="32.1" customHeight="1" thickBot="1" x14ac:dyDescent="0.3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36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42">
        <v>26</v>
      </c>
      <c r="AH28" s="37"/>
      <c r="AI28" s="43">
        <f t="shared" si="1"/>
        <v>32.07</v>
      </c>
    </row>
    <row r="29" spans="2:35" s="21" customFormat="1" ht="32.1" customHeight="1" thickBot="1" x14ac:dyDescent="0.3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36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42">
        <v>26</v>
      </c>
      <c r="AH29" s="37"/>
      <c r="AI29" s="83">
        <f t="shared" si="1"/>
        <v>32.07</v>
      </c>
    </row>
    <row r="30" spans="2:35" s="21" customFormat="1" ht="32.1" customHeight="1" thickBot="1" x14ac:dyDescent="0.3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36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42">
        <v>26</v>
      </c>
      <c r="AH30" s="37"/>
      <c r="AI30" s="43">
        <f t="shared" si="1"/>
        <v>31.369999999999997</v>
      </c>
    </row>
    <row r="31" spans="2:35" s="21" customFormat="1" ht="32.1" customHeight="1" thickBot="1" x14ac:dyDescent="0.3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36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42">
        <v>26</v>
      </c>
      <c r="AH31" s="37"/>
      <c r="AI31" s="63">
        <f t="shared" si="1"/>
        <v>31.759999999999998</v>
      </c>
    </row>
    <row r="32" spans="2:35" s="21" customFormat="1" ht="32.1" customHeight="1" thickBot="1" x14ac:dyDescent="0.3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36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42">
        <v>26</v>
      </c>
      <c r="AH32" s="37"/>
      <c r="AI32" s="63">
        <f t="shared" si="1"/>
        <v>32.07</v>
      </c>
    </row>
    <row r="33" spans="2:35" s="21" customFormat="1" ht="32.1" customHeight="1" thickBot="1" x14ac:dyDescent="0.3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36">
        <f t="shared" si="8"/>
        <v>0</v>
      </c>
      <c r="AA33" s="37"/>
      <c r="AB33" s="58">
        <f>AB8</f>
        <v>2.67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2.98</v>
      </c>
      <c r="AF33" s="61"/>
      <c r="AG33" s="42">
        <v>26</v>
      </c>
      <c r="AH33" s="37"/>
      <c r="AI33" s="43">
        <f t="shared" si="1"/>
        <v>28.98</v>
      </c>
    </row>
    <row r="34" spans="2:35" s="21" customFormat="1" ht="32.1" customHeight="1" thickBot="1" x14ac:dyDescent="0.3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36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42">
        <v>26</v>
      </c>
      <c r="AH34" s="37"/>
      <c r="AI34" s="43">
        <f t="shared" si="1"/>
        <v>28.16</v>
      </c>
    </row>
    <row r="35" spans="2:35" s="21" customFormat="1" ht="32.1" customHeight="1" thickBot="1" x14ac:dyDescent="0.3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36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42">
        <v>26</v>
      </c>
      <c r="AH35" s="37"/>
      <c r="AI35" s="63">
        <f t="shared" si="1"/>
        <v>28.16</v>
      </c>
    </row>
    <row r="36" spans="2:35" s="21" customFormat="1" ht="32.1" customHeight="1" thickBot="1" x14ac:dyDescent="0.3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36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42">
        <v>26</v>
      </c>
      <c r="AH36" s="37"/>
      <c r="AI36" s="63">
        <f t="shared" si="1"/>
        <v>28.16</v>
      </c>
    </row>
    <row r="37" spans="2:35" s="21" customFormat="1" ht="32.1" customHeight="1" thickBot="1" x14ac:dyDescent="0.3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36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42">
        <v>26</v>
      </c>
      <c r="AH37" s="37"/>
      <c r="AI37" s="63">
        <f t="shared" si="1"/>
        <v>28.16</v>
      </c>
    </row>
    <row r="38" spans="2:35" s="21" customFormat="1" ht="32.1" customHeight="1" thickBot="1" x14ac:dyDescent="0.3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36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42">
        <v>26</v>
      </c>
      <c r="AH38" s="37"/>
      <c r="AI38" s="83">
        <f t="shared" si="1"/>
        <v>28.16</v>
      </c>
    </row>
    <row r="39" spans="2:35" s="21" customFormat="1" ht="32.1" customHeight="1" thickBot="1" x14ac:dyDescent="0.3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36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42">
        <v>26</v>
      </c>
      <c r="AH39" s="37"/>
      <c r="AI39" s="43">
        <f t="shared" si="1"/>
        <v>28.16</v>
      </c>
    </row>
    <row r="40" spans="2:35" s="21" customFormat="1" ht="32.1" customHeight="1" thickBot="1" x14ac:dyDescent="0.3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36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42">
        <v>26</v>
      </c>
      <c r="AH40" s="37"/>
      <c r="AI40" s="63">
        <f t="shared" si="1"/>
        <v>28.16</v>
      </c>
    </row>
    <row r="41" spans="2:35" s="21" customFormat="1" ht="32.1" customHeight="1" thickBot="1" x14ac:dyDescent="0.3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36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42">
        <v>26</v>
      </c>
      <c r="AH41" s="37"/>
      <c r="AI41" s="83">
        <f t="shared" si="1"/>
        <v>28.16</v>
      </c>
    </row>
    <row r="42" spans="2:35" s="21" customFormat="1" ht="32.1" customHeight="1" thickBot="1" x14ac:dyDescent="0.3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36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42">
        <v>26</v>
      </c>
      <c r="AH42" s="37"/>
      <c r="AI42" s="107">
        <f t="shared" si="1"/>
        <v>28.16</v>
      </c>
    </row>
    <row r="43" spans="2:35" s="21" customFormat="1" ht="32.1" customHeight="1" thickBot="1" x14ac:dyDescent="0.3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36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42">
        <v>26</v>
      </c>
      <c r="AH43" s="37"/>
      <c r="AI43" s="110">
        <f t="shared" si="1"/>
        <v>28.16</v>
      </c>
    </row>
    <row r="44" spans="2:35" s="21" customFormat="1" ht="32.1" customHeight="1" thickBot="1" x14ac:dyDescent="0.3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36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42">
        <v>26</v>
      </c>
      <c r="AH44" s="37"/>
      <c r="AI44" s="63">
        <f>AG44+AE44</f>
        <v>28.16</v>
      </c>
    </row>
    <row r="45" spans="2:35" s="21" customFormat="1" ht="32.1" customHeight="1" thickBot="1" x14ac:dyDescent="0.3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36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42">
        <v>26</v>
      </c>
      <c r="AH45" s="37"/>
      <c r="AI45" s="110">
        <f t="shared" si="1"/>
        <v>29.77</v>
      </c>
    </row>
    <row r="46" spans="2:35" s="21" customFormat="1" ht="32.1" customHeight="1" thickBot="1" x14ac:dyDescent="0.3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36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42">
        <v>26</v>
      </c>
      <c r="AH46" s="37"/>
      <c r="AI46" s="83">
        <f t="shared" si="1"/>
        <v>28.16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36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42">
        <v>26</v>
      </c>
      <c r="AH47" s="37"/>
      <c r="AI47" s="107">
        <f t="shared" si="1"/>
        <v>26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36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42">
        <v>26</v>
      </c>
      <c r="AH48" s="37"/>
      <c r="AI48" s="110">
        <f t="shared" si="1"/>
        <v>26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36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42">
        <v>26</v>
      </c>
      <c r="AH49" s="37"/>
      <c r="AI49" s="83">
        <f t="shared" si="1"/>
        <v>26</v>
      </c>
    </row>
    <row r="50" spans="2:35" s="21" customFormat="1" ht="32.1" customHeight="1" thickBot="1" x14ac:dyDescent="0.3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36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42">
        <v>26</v>
      </c>
      <c r="AH50" s="37"/>
      <c r="AI50" s="63">
        <f t="shared" si="1"/>
        <v>32.07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36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42">
        <v>26</v>
      </c>
      <c r="AH51" s="37"/>
      <c r="AI51" s="125">
        <f t="shared" si="1"/>
        <v>28.16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36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42">
        <v>26</v>
      </c>
      <c r="AH52" s="37"/>
      <c r="AI52" s="43">
        <f t="shared" si="1"/>
        <v>31.07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36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42">
        <v>26</v>
      </c>
      <c r="AH53" s="37"/>
      <c r="AI53" s="125">
        <f t="shared" si="1"/>
        <v>28.16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36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42">
        <v>26</v>
      </c>
      <c r="AH54" s="37"/>
      <c r="AI54" s="125">
        <f t="shared" si="1"/>
        <v>28.16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36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42">
        <v>26</v>
      </c>
      <c r="AH55" s="37"/>
      <c r="AI55" s="125">
        <f t="shared" si="1"/>
        <v>28.16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36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42">
        <v>26</v>
      </c>
      <c r="AH56" s="37"/>
      <c r="AI56" s="125">
        <f t="shared" si="1"/>
        <v>28.16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>IF($U$6="x",(F62*3.5),"")</f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26</v>
      </c>
      <c r="AH62" s="37"/>
      <c r="AI62" s="43">
        <f t="shared" si="1"/>
        <v>28.16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ref="Z63:Z68" si="17">IF($U$6="x",(F63*3.5),"")</f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26</v>
      </c>
      <c r="AH63" s="37"/>
      <c r="AI63" s="63">
        <f t="shared" si="1"/>
        <v>28.16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17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26</v>
      </c>
      <c r="AH64" s="37"/>
      <c r="AI64" s="63">
        <f t="shared" si="1"/>
        <v>28.16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17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26</v>
      </c>
      <c r="AH65" s="37"/>
      <c r="AI65" s="63">
        <f t="shared" si="1"/>
        <v>28.16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17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26</v>
      </c>
      <c r="AH66" s="37"/>
      <c r="AI66" s="63">
        <f t="shared" si="1"/>
        <v>28.16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17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26</v>
      </c>
      <c r="AH67" s="37"/>
      <c r="AI67" s="63">
        <f t="shared" si="1"/>
        <v>28.16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57">
        <f t="shared" si="17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26</v>
      </c>
      <c r="AH68" s="37"/>
      <c r="AI68" s="125">
        <f t="shared" si="1"/>
        <v>28.16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8">+D69-C69</f>
        <v>262.5</v>
      </c>
      <c r="F69" s="136"/>
      <c r="G69" s="87">
        <v>72</v>
      </c>
      <c r="H69" s="137" t="str">
        <f t="shared" ref="H69:H70" si="19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20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8"/>
        <v>262.5</v>
      </c>
      <c r="F70" s="142"/>
      <c r="G70" s="115">
        <v>72</v>
      </c>
      <c r="H70" s="143" t="str">
        <f t="shared" si="19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20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57" t="s">
        <v>101</v>
      </c>
      <c r="C71" s="257"/>
      <c r="D71" s="257"/>
      <c r="E71" s="257"/>
      <c r="F71" s="257"/>
      <c r="G71" s="257"/>
      <c r="H71" s="147" t="str">
        <f>ROUND(((F12+F30+F52+F57+F58+F59+F60+F61)/72+(F13+F16+F18)/108+(F14+SUM(F19:F29)+F31+F32+F22+F50+F45)/63+F15/96+SUM(F34:F43)/100+SUM(F47:F49)/24+SUM(F62:F68)/100+(F51+F46+F44)/100),1)&amp;" pallets"</f>
        <v>0 pallets</v>
      </c>
      <c r="I71" s="148"/>
      <c r="J71" s="149"/>
      <c r="K71" s="150"/>
      <c r="L71" s="149"/>
      <c r="M71" s="151"/>
      <c r="N71" s="152"/>
      <c r="O71" s="152"/>
      <c r="P71" s="195" t="str">
        <f>ROUND((((M12+N12+M30+M57+M58+M59+M60+M61+N57)/72+(M13+N13+M16+M18)/108+(M15+N15)/96+SUM(M14,M19:M29,M31:M32,M50,N14)/63)),1)&amp;" pallets"</f>
        <v>16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37">
        <f>SUM(I12:I70)</f>
        <v>0</v>
      </c>
      <c r="G73" s="237"/>
      <c r="H73" s="237"/>
      <c r="I73" s="238"/>
      <c r="J73" s="158"/>
      <c r="K73" s="158"/>
      <c r="L73" s="158"/>
      <c r="M73" s="249" t="s">
        <v>103</v>
      </c>
      <c r="N73" s="250"/>
      <c r="O73" s="237">
        <f>SUM(Q12:Q70)</f>
        <v>191808</v>
      </c>
      <c r="P73" s="237"/>
      <c r="Q73" s="238"/>
      <c r="R73" s="152"/>
      <c r="S73" s="159" t="s">
        <v>104</v>
      </c>
      <c r="T73" s="242">
        <f>SUM(Y12:Y68)</f>
        <v>0</v>
      </c>
      <c r="U73" s="243"/>
      <c r="V73" s="160"/>
      <c r="W73" s="160"/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37">
        <f>SUM(I14:I72)</f>
        <v>0</v>
      </c>
      <c r="G75" s="237"/>
      <c r="H75" s="237"/>
      <c r="I75" s="238"/>
      <c r="J75" s="158"/>
      <c r="K75" s="158"/>
      <c r="L75" s="158"/>
      <c r="M75" s="249" t="s">
        <v>103</v>
      </c>
      <c r="N75" s="250"/>
      <c r="O75" s="237">
        <f>SUM(Q14:Q72)</f>
        <v>179820</v>
      </c>
      <c r="P75" s="237"/>
      <c r="Q75" s="238"/>
      <c r="R75" s="152"/>
      <c r="S75" s="159" t="s">
        <v>129</v>
      </c>
      <c r="T75" s="242">
        <f>SUM(Z12:Z70)</f>
        <v>0</v>
      </c>
      <c r="U75" s="243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37">
        <f>IF(U7&gt;0,"",(F73-O73-T79-P79))</f>
        <v>-191808</v>
      </c>
      <c r="G77" s="237"/>
      <c r="H77" s="237"/>
      <c r="I77" s="238"/>
      <c r="J77" s="164"/>
      <c r="K77" s="164"/>
      <c r="L77" s="164"/>
      <c r="M77" s="239" t="s">
        <v>106</v>
      </c>
      <c r="N77" s="239"/>
      <c r="O77" s="168" t="s">
        <v>107</v>
      </c>
      <c r="P77" s="240"/>
      <c r="Q77" s="241"/>
      <c r="R77" s="152"/>
      <c r="S77" s="159" t="s">
        <v>108</v>
      </c>
      <c r="T77" s="242">
        <f>IF(SUM(X12:X68)*0.15&gt;P77,P77,SUM(X12:X68)*0.15)</f>
        <v>0</v>
      </c>
      <c r="U77" s="243"/>
      <c r="V77" s="160"/>
      <c r="W77" s="244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45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37"/>
      <c r="G79" s="237"/>
      <c r="H79" s="237"/>
      <c r="I79" s="238"/>
      <c r="J79" s="164"/>
      <c r="K79" s="164"/>
      <c r="L79" s="164"/>
      <c r="M79" s="247" t="str">
        <f>IF(U6&gt;0,"",T4+30)</f>
        <v/>
      </c>
      <c r="N79" s="248"/>
      <c r="O79" s="168" t="s">
        <v>111</v>
      </c>
      <c r="P79" s="240"/>
      <c r="Q79" s="241"/>
      <c r="R79" s="152"/>
      <c r="S79" s="159" t="s">
        <v>112</v>
      </c>
      <c r="T79" s="242">
        <f>T77+T73+T75</f>
        <v>0</v>
      </c>
      <c r="U79" s="243"/>
      <c r="V79" s="160"/>
      <c r="W79" s="246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14" t="s">
        <v>113</v>
      </c>
      <c r="C81" s="215"/>
      <c r="D81" s="215"/>
      <c r="E81" s="215"/>
      <c r="F81" s="215"/>
      <c r="G81" s="215"/>
      <c r="H81" s="216"/>
      <c r="I81" s="223" t="s">
        <v>114</v>
      </c>
      <c r="J81" s="171"/>
      <c r="K81" s="171"/>
      <c r="L81" s="171"/>
      <c r="M81" s="225"/>
      <c r="N81" s="228" t="s">
        <v>115</v>
      </c>
      <c r="O81" s="231"/>
      <c r="P81" s="225"/>
      <c r="Q81" s="208" t="s">
        <v>116</v>
      </c>
      <c r="R81" s="234"/>
      <c r="S81" s="205"/>
      <c r="T81" s="208" t="s">
        <v>117</v>
      </c>
      <c r="U81" s="211"/>
    </row>
    <row r="82" spans="2:21" ht="15" customHeight="1" x14ac:dyDescent="0.25">
      <c r="B82" s="217"/>
      <c r="C82" s="218"/>
      <c r="D82" s="218"/>
      <c r="E82" s="218"/>
      <c r="F82" s="218"/>
      <c r="G82" s="218"/>
      <c r="H82" s="219"/>
      <c r="I82" s="202"/>
      <c r="J82" s="2"/>
      <c r="K82" s="2"/>
      <c r="L82" s="2"/>
      <c r="M82" s="226"/>
      <c r="N82" s="229"/>
      <c r="O82" s="232"/>
      <c r="P82" s="226"/>
      <c r="Q82" s="209"/>
      <c r="R82" s="235"/>
      <c r="S82" s="206"/>
      <c r="T82" s="209"/>
      <c r="U82" s="212"/>
    </row>
    <row r="83" spans="2:21" ht="15.75" customHeight="1" thickBot="1" x14ac:dyDescent="0.3">
      <c r="B83" s="220"/>
      <c r="C83" s="221"/>
      <c r="D83" s="221"/>
      <c r="E83" s="221"/>
      <c r="F83" s="221"/>
      <c r="G83" s="221"/>
      <c r="H83" s="222"/>
      <c r="I83" s="224"/>
      <c r="J83" s="172"/>
      <c r="K83" s="172"/>
      <c r="L83" s="172"/>
      <c r="M83" s="227"/>
      <c r="N83" s="230"/>
      <c r="O83" s="233"/>
      <c r="P83" s="227"/>
      <c r="Q83" s="210"/>
      <c r="R83" s="236"/>
      <c r="S83" s="207"/>
      <c r="T83" s="210"/>
      <c r="U83" s="213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196" t="s">
        <v>132</v>
      </c>
      <c r="C88" s="197"/>
      <c r="D88" s="197"/>
      <c r="E88" s="197"/>
      <c r="F88" s="197"/>
      <c r="G88" s="197"/>
      <c r="H88" s="197"/>
      <c r="I88" s="198"/>
      <c r="J88" s="185"/>
      <c r="K88" s="185"/>
      <c r="L88" s="185"/>
      <c r="M88" s="196"/>
      <c r="N88" s="197"/>
      <c r="O88" s="197"/>
      <c r="P88" s="197"/>
      <c r="Q88" s="198"/>
      <c r="R88" s="187"/>
      <c r="S88" s="188"/>
      <c r="T88" s="188"/>
      <c r="U88" s="189"/>
    </row>
    <row r="89" spans="2:21" ht="18" x14ac:dyDescent="0.25">
      <c r="B89" s="199" t="s">
        <v>122</v>
      </c>
      <c r="C89" s="200"/>
      <c r="D89" s="200"/>
      <c r="E89" s="200"/>
      <c r="F89" s="200"/>
      <c r="G89" s="200"/>
      <c r="H89" s="200"/>
      <c r="I89" s="201"/>
      <c r="M89" s="199" t="s">
        <v>122</v>
      </c>
      <c r="N89" s="200"/>
      <c r="O89" s="200"/>
      <c r="P89" s="200"/>
      <c r="Q89" s="201"/>
      <c r="R89" s="202" t="s">
        <v>123</v>
      </c>
      <c r="S89" s="203"/>
      <c r="T89" s="203"/>
      <c r="U89" s="204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196" t="s">
        <v>133</v>
      </c>
      <c r="C93" s="197"/>
      <c r="D93" s="197"/>
      <c r="E93" s="197"/>
      <c r="F93" s="197"/>
      <c r="G93" s="197"/>
      <c r="H93" s="197"/>
      <c r="I93" s="198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199" t="s">
        <v>126</v>
      </c>
      <c r="C94" s="200"/>
      <c r="D94" s="200"/>
      <c r="E94" s="200"/>
      <c r="F94" s="200"/>
      <c r="G94" s="200"/>
      <c r="H94" s="200"/>
      <c r="I94" s="201"/>
      <c r="M94" s="179"/>
      <c r="Q94" s="180"/>
      <c r="R94" s="202" t="s">
        <v>127</v>
      </c>
      <c r="S94" s="203"/>
      <c r="T94" s="203"/>
      <c r="U94" s="204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B9:B11"/>
    <mergeCell ref="C9:C11"/>
    <mergeCell ref="D9:D11"/>
    <mergeCell ref="E9:E11"/>
    <mergeCell ref="F9:Q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E14421-7E3A-4C8A-8C33-56636E02235A}">
  <sheetPr>
    <tabColor rgb="FF00B050"/>
    <pageSetUpPr fitToPage="1"/>
  </sheetPr>
  <dimension ref="A1:AJ100"/>
  <sheetViews>
    <sheetView showGridLines="0" topLeftCell="A61" zoomScale="85" zoomScaleNormal="85" workbookViewId="0">
      <pane xSplit="2" topLeftCell="C1" activePane="topRight" state="frozen"/>
      <selection activeCell="P79" sqref="P79:Q79"/>
      <selection pane="topRight" activeCell="M58" sqref="M58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9.28515625" style="3" bestFit="1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86" t="s">
        <v>130</v>
      </c>
      <c r="G2" s="286"/>
      <c r="H2" s="286"/>
      <c r="I2" s="286"/>
      <c r="J2" s="286"/>
      <c r="K2" s="286"/>
      <c r="L2" s="286"/>
      <c r="M2" s="286"/>
      <c r="N2" s="286"/>
      <c r="O2" s="286"/>
      <c r="P2" s="286"/>
      <c r="Q2" s="286"/>
      <c r="R2" s="286"/>
      <c r="S2" s="286"/>
      <c r="T2" s="6" t="s">
        <v>1</v>
      </c>
      <c r="U2" s="7"/>
      <c r="W2" s="244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45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87"/>
      <c r="G4" s="287"/>
      <c r="H4" s="287"/>
      <c r="I4" s="287"/>
      <c r="J4" s="287"/>
      <c r="K4" s="287"/>
      <c r="L4" s="287"/>
      <c r="M4" s="287"/>
      <c r="S4" s="2" t="s">
        <v>4</v>
      </c>
      <c r="T4" s="288"/>
      <c r="U4" s="288"/>
      <c r="W4" s="246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89"/>
      <c r="G6" s="289"/>
      <c r="H6" s="289"/>
      <c r="I6" s="289"/>
      <c r="J6" s="289"/>
      <c r="K6" s="289"/>
      <c r="L6" s="289"/>
      <c r="M6" s="289"/>
      <c r="S6" s="11" t="s">
        <v>6</v>
      </c>
      <c r="T6" s="195" t="s">
        <v>7</v>
      </c>
      <c r="U6" s="12" t="s">
        <v>131</v>
      </c>
      <c r="W6" s="244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89"/>
      <c r="G7" s="289"/>
      <c r="H7" s="289"/>
      <c r="I7" s="289"/>
      <c r="J7" s="289"/>
      <c r="K7" s="289"/>
      <c r="L7" s="289"/>
      <c r="M7" s="289"/>
      <c r="N7" s="14"/>
      <c r="O7" s="14"/>
      <c r="P7" s="14"/>
      <c r="Q7" s="15"/>
      <c r="S7" s="14"/>
      <c r="T7" s="195" t="s">
        <v>11</v>
      </c>
      <c r="U7" s="12"/>
      <c r="W7" s="246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2.67</v>
      </c>
      <c r="AD8" s="2">
        <v>0.31</v>
      </c>
      <c r="AE8" s="11" t="s">
        <v>13</v>
      </c>
    </row>
    <row r="9" spans="2:35" s="16" customFormat="1" ht="20.25" x14ac:dyDescent="0.25">
      <c r="B9" s="258" t="s">
        <v>14</v>
      </c>
      <c r="C9" s="261" t="s">
        <v>15</v>
      </c>
      <c r="D9" s="261" t="s">
        <v>16</v>
      </c>
      <c r="E9" s="261" t="s">
        <v>17</v>
      </c>
      <c r="F9" s="264" t="s">
        <v>18</v>
      </c>
      <c r="G9" s="265"/>
      <c r="H9" s="265"/>
      <c r="I9" s="265"/>
      <c r="J9" s="265"/>
      <c r="K9" s="265"/>
      <c r="L9" s="265"/>
      <c r="M9" s="265"/>
      <c r="N9" s="265"/>
      <c r="O9" s="265"/>
      <c r="P9" s="265"/>
      <c r="Q9" s="266"/>
      <c r="S9" s="264" t="s">
        <v>19</v>
      </c>
      <c r="T9" s="265"/>
      <c r="U9" s="266"/>
      <c r="X9" s="271" t="s">
        <v>20</v>
      </c>
      <c r="Y9" s="274" t="s">
        <v>21</v>
      </c>
      <c r="Z9" s="274" t="s">
        <v>128</v>
      </c>
      <c r="AA9" s="17"/>
      <c r="AB9" s="251" t="s">
        <v>22</v>
      </c>
      <c r="AC9" s="277" t="s">
        <v>23</v>
      </c>
      <c r="AD9" s="280" t="s">
        <v>24</v>
      </c>
      <c r="AE9" s="251" t="s">
        <v>25</v>
      </c>
      <c r="AG9" s="251" t="s">
        <v>26</v>
      </c>
      <c r="AH9" s="17"/>
      <c r="AI9" s="251" t="s">
        <v>27</v>
      </c>
    </row>
    <row r="10" spans="2:35" s="16" customFormat="1" ht="20.25" customHeight="1" x14ac:dyDescent="0.25">
      <c r="B10" s="259"/>
      <c r="C10" s="262"/>
      <c r="D10" s="262"/>
      <c r="E10" s="262"/>
      <c r="F10" s="268" t="s">
        <v>28</v>
      </c>
      <c r="G10" s="268" t="s">
        <v>29</v>
      </c>
      <c r="H10" s="268" t="s">
        <v>30</v>
      </c>
      <c r="I10" s="269" t="s">
        <v>31</v>
      </c>
      <c r="J10" s="269" t="s">
        <v>32</v>
      </c>
      <c r="K10" s="269" t="s">
        <v>33</v>
      </c>
      <c r="L10" s="269" t="s">
        <v>34</v>
      </c>
      <c r="M10" s="283" t="s">
        <v>35</v>
      </c>
      <c r="N10" s="284"/>
      <c r="O10" s="284"/>
      <c r="P10" s="284"/>
      <c r="Q10" s="285"/>
      <c r="S10" s="254" t="s">
        <v>36</v>
      </c>
      <c r="T10" s="255"/>
      <c r="U10" s="256"/>
      <c r="X10" s="272"/>
      <c r="Y10" s="275"/>
      <c r="Z10" s="275"/>
      <c r="AA10" s="17"/>
      <c r="AB10" s="252"/>
      <c r="AC10" s="278"/>
      <c r="AD10" s="281"/>
      <c r="AE10" s="252"/>
      <c r="AG10" s="252"/>
      <c r="AH10" s="17"/>
      <c r="AI10" s="252"/>
    </row>
    <row r="11" spans="2:35" s="21" customFormat="1" ht="12.75" customHeight="1" thickBot="1" x14ac:dyDescent="0.3">
      <c r="B11" s="260"/>
      <c r="C11" s="263"/>
      <c r="D11" s="263"/>
      <c r="E11" s="263"/>
      <c r="F11" s="263"/>
      <c r="G11" s="263"/>
      <c r="H11" s="263"/>
      <c r="I11" s="270"/>
      <c r="J11" s="270"/>
      <c r="K11" s="270"/>
      <c r="L11" s="270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73"/>
      <c r="Y11" s="276"/>
      <c r="Z11" s="276"/>
      <c r="AA11" s="17"/>
      <c r="AB11" s="253"/>
      <c r="AC11" s="279"/>
      <c r="AD11" s="282"/>
      <c r="AE11" s="253"/>
      <c r="AG11" s="267"/>
      <c r="AH11" s="17"/>
      <c r="AI11" s="253"/>
    </row>
    <row r="12" spans="2:35" s="21" customFormat="1" ht="32.1" customHeight="1" thickBot="1" x14ac:dyDescent="0.3">
      <c r="B12" s="23" t="s">
        <v>42</v>
      </c>
      <c r="C12" s="24">
        <v>912</v>
      </c>
      <c r="D12" s="24">
        <v>120</v>
      </c>
      <c r="E12" s="24">
        <f>C12+D12</f>
        <v>1032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IF($U$6="x",(F12*3.5),"")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26</v>
      </c>
      <c r="AH12" s="37"/>
      <c r="AI12" s="43">
        <f t="shared" ref="AI12:AI68" si="1">AG12+AE12</f>
        <v>31.369999999999997</v>
      </c>
    </row>
    <row r="13" spans="2:35" s="21" customFormat="1" ht="32.1" customHeight="1" thickBot="1" x14ac:dyDescent="0.3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/>
      <c r="N13" s="51"/>
      <c r="O13" s="51"/>
      <c r="P13" s="52" t="str">
        <f t="shared" ref="P13:P68" si="5">IF(M13&amp;N13="","",ROUND(((M13+N13)/G13),1)&amp;" pallets")</f>
        <v/>
      </c>
      <c r="Q13" s="53">
        <f t="shared" ref="Q13:Q70" si="6">(J13*M13)+(K13*N13)+(O13*L13)</f>
        <v>0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36">
        <f t="shared" ref="Z13:Z56" si="8">IF($U$6="x",(F13*3.5),"")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42">
        <v>26</v>
      </c>
      <c r="AH13" s="37"/>
      <c r="AI13" s="63">
        <f t="shared" si="1"/>
        <v>29.64</v>
      </c>
    </row>
    <row r="14" spans="2:35" s="21" customFormat="1" ht="32.1" customHeight="1" thickBot="1" x14ac:dyDescent="0.3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36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42">
        <v>26</v>
      </c>
      <c r="AH14" s="37"/>
      <c r="AI14" s="63">
        <f t="shared" si="1"/>
        <v>32.07</v>
      </c>
    </row>
    <row r="15" spans="2:35" s="21" customFormat="1" ht="32.1" customHeight="1" thickBot="1" x14ac:dyDescent="0.3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36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42">
        <v>26</v>
      </c>
      <c r="AH15" s="37"/>
      <c r="AI15" s="63">
        <f t="shared" si="1"/>
        <v>30.1</v>
      </c>
    </row>
    <row r="16" spans="2:35" s="21" customFormat="1" ht="32.1" customHeight="1" thickBot="1" x14ac:dyDescent="0.3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/>
      <c r="G16" s="47">
        <v>108</v>
      </c>
      <c r="H16" s="64"/>
      <c r="I16" s="49">
        <f t="shared" si="4"/>
        <v>0</v>
      </c>
      <c r="J16" s="50">
        <v>111</v>
      </c>
      <c r="K16" s="65"/>
      <c r="L16" s="50">
        <v>4.5</v>
      </c>
      <c r="M16" s="51"/>
      <c r="N16" s="193"/>
      <c r="O16" s="51"/>
      <c r="P16" s="52" t="str">
        <f t="shared" si="5"/>
        <v/>
      </c>
      <c r="Q16" s="53">
        <f t="shared" si="6"/>
        <v>0</v>
      </c>
      <c r="S16" s="54"/>
      <c r="T16" s="67"/>
      <c r="U16" s="55"/>
      <c r="X16" s="56">
        <f t="shared" si="7"/>
        <v>0</v>
      </c>
      <c r="Y16" s="57">
        <f>F16*AI16</f>
        <v>0</v>
      </c>
      <c r="Z16" s="36">
        <f t="shared" si="8"/>
        <v>0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42">
        <v>26</v>
      </c>
      <c r="AH16" s="37"/>
      <c r="AI16" s="63">
        <f t="shared" si="1"/>
        <v>29.64</v>
      </c>
    </row>
    <row r="17" spans="2:35" s="21" customFormat="1" ht="32.1" customHeight="1" thickBot="1" x14ac:dyDescent="0.3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36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42">
        <v>26</v>
      </c>
      <c r="AH17" s="37"/>
      <c r="AI17" s="63">
        <f t="shared" si="1"/>
        <v>29.64</v>
      </c>
    </row>
    <row r="18" spans="2:35" s="21" customFormat="1" ht="32.1" customHeight="1" thickBot="1" x14ac:dyDescent="0.3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36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42">
        <v>26</v>
      </c>
      <c r="AH18" s="37"/>
      <c r="AI18" s="63">
        <f t="shared" si="1"/>
        <v>29.64</v>
      </c>
    </row>
    <row r="19" spans="2:35" s="21" customFormat="1" ht="32.1" customHeight="1" thickBot="1" x14ac:dyDescent="0.3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36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42">
        <v>26</v>
      </c>
      <c r="AH19" s="37"/>
      <c r="AI19" s="83">
        <f t="shared" si="1"/>
        <v>32.07</v>
      </c>
    </row>
    <row r="20" spans="2:35" s="21" customFormat="1" ht="32.1" customHeight="1" thickBot="1" x14ac:dyDescent="0.3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36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42">
        <v>26</v>
      </c>
      <c r="AH20" s="37"/>
      <c r="AI20" s="63">
        <f t="shared" si="1"/>
        <v>32.07</v>
      </c>
    </row>
    <row r="21" spans="2:35" s="21" customFormat="1" ht="32.1" customHeight="1" thickBot="1" x14ac:dyDescent="0.3">
      <c r="B21" s="68" t="s">
        <v>51</v>
      </c>
      <c r="C21" s="45">
        <v>872</v>
      </c>
      <c r="D21" s="69">
        <v>120</v>
      </c>
      <c r="E21" s="69">
        <f t="shared" si="2"/>
        <v>992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36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42">
        <v>26</v>
      </c>
      <c r="AH21" s="37"/>
      <c r="AI21" s="83">
        <f t="shared" si="1"/>
        <v>32.07</v>
      </c>
    </row>
    <row r="22" spans="2:35" s="21" customFormat="1" ht="32.1" customHeight="1" thickBot="1" x14ac:dyDescent="0.3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36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42">
        <v>26</v>
      </c>
      <c r="AH22" s="37"/>
      <c r="AI22" s="43">
        <f>AG22+AE22</f>
        <v>32.07</v>
      </c>
    </row>
    <row r="23" spans="2:35" s="21" customFormat="1" ht="32.1" customHeight="1" thickBot="1" x14ac:dyDescent="0.3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36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42">
        <v>26</v>
      </c>
      <c r="AH23" s="37"/>
      <c r="AI23" s="43">
        <f t="shared" si="1"/>
        <v>32.07</v>
      </c>
    </row>
    <row r="24" spans="2:35" s="21" customFormat="1" ht="32.1" customHeight="1" thickBot="1" x14ac:dyDescent="0.3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36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42">
        <v>26</v>
      </c>
      <c r="AH24" s="37"/>
      <c r="AI24" s="63">
        <f t="shared" si="1"/>
        <v>32.07</v>
      </c>
    </row>
    <row r="25" spans="2:35" s="21" customFormat="1" ht="32.1" customHeight="1" thickBot="1" x14ac:dyDescent="0.3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36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42">
        <v>26</v>
      </c>
      <c r="AH25" s="37"/>
      <c r="AI25" s="63">
        <f t="shared" si="1"/>
        <v>32.07</v>
      </c>
    </row>
    <row r="26" spans="2:35" s="21" customFormat="1" ht="32.1" customHeight="1" thickBot="1" x14ac:dyDescent="0.3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36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42">
        <v>26</v>
      </c>
      <c r="AH26" s="37"/>
      <c r="AI26" s="63">
        <f t="shared" si="1"/>
        <v>32.07</v>
      </c>
    </row>
    <row r="27" spans="2:35" s="21" customFormat="1" ht="32.1" customHeight="1" thickBot="1" x14ac:dyDescent="0.3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36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42">
        <v>26</v>
      </c>
      <c r="AH27" s="37"/>
      <c r="AI27" s="83">
        <f t="shared" si="1"/>
        <v>32.07</v>
      </c>
    </row>
    <row r="28" spans="2:35" s="21" customFormat="1" ht="32.1" customHeight="1" thickBot="1" x14ac:dyDescent="0.3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36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42">
        <v>26</v>
      </c>
      <c r="AH28" s="37"/>
      <c r="AI28" s="43">
        <f t="shared" si="1"/>
        <v>32.07</v>
      </c>
    </row>
    <row r="29" spans="2:35" s="21" customFormat="1" ht="32.1" customHeight="1" thickBot="1" x14ac:dyDescent="0.3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36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42">
        <v>26</v>
      </c>
      <c r="AH29" s="37"/>
      <c r="AI29" s="83">
        <f t="shared" si="1"/>
        <v>32.07</v>
      </c>
    </row>
    <row r="30" spans="2:35" s="21" customFormat="1" ht="32.1" customHeight="1" thickBot="1" x14ac:dyDescent="0.3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36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42">
        <v>26</v>
      </c>
      <c r="AH30" s="37"/>
      <c r="AI30" s="43">
        <f t="shared" si="1"/>
        <v>31.369999999999997</v>
      </c>
    </row>
    <row r="31" spans="2:35" s="21" customFormat="1" ht="32.1" customHeight="1" thickBot="1" x14ac:dyDescent="0.3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36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42">
        <v>26</v>
      </c>
      <c r="AH31" s="37"/>
      <c r="AI31" s="63">
        <f t="shared" si="1"/>
        <v>31.759999999999998</v>
      </c>
    </row>
    <row r="32" spans="2:35" s="21" customFormat="1" ht="32.1" customHeight="1" thickBot="1" x14ac:dyDescent="0.3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36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42">
        <v>26</v>
      </c>
      <c r="AH32" s="37"/>
      <c r="AI32" s="63">
        <f t="shared" si="1"/>
        <v>32.07</v>
      </c>
    </row>
    <row r="33" spans="2:35" s="21" customFormat="1" ht="32.1" customHeight="1" thickBot="1" x14ac:dyDescent="0.3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36">
        <f t="shared" si="8"/>
        <v>0</v>
      </c>
      <c r="AA33" s="37"/>
      <c r="AB33" s="58">
        <f>AB8</f>
        <v>2.67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2.98</v>
      </c>
      <c r="AF33" s="61"/>
      <c r="AG33" s="42">
        <v>26</v>
      </c>
      <c r="AH33" s="37"/>
      <c r="AI33" s="43">
        <f t="shared" si="1"/>
        <v>28.98</v>
      </c>
    </row>
    <row r="34" spans="2:35" s="21" customFormat="1" ht="32.1" customHeight="1" thickBot="1" x14ac:dyDescent="0.3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36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42">
        <v>26</v>
      </c>
      <c r="AH34" s="37"/>
      <c r="AI34" s="43">
        <f t="shared" si="1"/>
        <v>28.16</v>
      </c>
    </row>
    <row r="35" spans="2:35" s="21" customFormat="1" ht="32.1" customHeight="1" thickBot="1" x14ac:dyDescent="0.3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36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42">
        <v>26</v>
      </c>
      <c r="AH35" s="37"/>
      <c r="AI35" s="63">
        <f t="shared" si="1"/>
        <v>28.16</v>
      </c>
    </row>
    <row r="36" spans="2:35" s="21" customFormat="1" ht="32.1" customHeight="1" thickBot="1" x14ac:dyDescent="0.3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36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42">
        <v>26</v>
      </c>
      <c r="AH36" s="37"/>
      <c r="AI36" s="63">
        <f t="shared" si="1"/>
        <v>28.16</v>
      </c>
    </row>
    <row r="37" spans="2:35" s="21" customFormat="1" ht="32.1" customHeight="1" thickBot="1" x14ac:dyDescent="0.3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36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42">
        <v>26</v>
      </c>
      <c r="AH37" s="37"/>
      <c r="AI37" s="63">
        <f t="shared" si="1"/>
        <v>28.16</v>
      </c>
    </row>
    <row r="38" spans="2:35" s="21" customFormat="1" ht="32.1" customHeight="1" thickBot="1" x14ac:dyDescent="0.3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36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42">
        <v>26</v>
      </c>
      <c r="AH38" s="37"/>
      <c r="AI38" s="83">
        <f t="shared" si="1"/>
        <v>28.16</v>
      </c>
    </row>
    <row r="39" spans="2:35" s="21" customFormat="1" ht="32.1" customHeight="1" thickBot="1" x14ac:dyDescent="0.3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36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42">
        <v>26</v>
      </c>
      <c r="AH39" s="37"/>
      <c r="AI39" s="43">
        <f t="shared" si="1"/>
        <v>28.16</v>
      </c>
    </row>
    <row r="40" spans="2:35" s="21" customFormat="1" ht="32.1" customHeight="1" thickBot="1" x14ac:dyDescent="0.3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36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42">
        <v>26</v>
      </c>
      <c r="AH40" s="37"/>
      <c r="AI40" s="63">
        <f t="shared" si="1"/>
        <v>28.16</v>
      </c>
    </row>
    <row r="41" spans="2:35" s="21" customFormat="1" ht="32.1" customHeight="1" thickBot="1" x14ac:dyDescent="0.3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36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42">
        <v>26</v>
      </c>
      <c r="AH41" s="37"/>
      <c r="AI41" s="83">
        <f t="shared" si="1"/>
        <v>28.16</v>
      </c>
    </row>
    <row r="42" spans="2:35" s="21" customFormat="1" ht="32.1" customHeight="1" thickBot="1" x14ac:dyDescent="0.3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36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42">
        <v>26</v>
      </c>
      <c r="AH42" s="37"/>
      <c r="AI42" s="107">
        <f t="shared" si="1"/>
        <v>28.16</v>
      </c>
    </row>
    <row r="43" spans="2:35" s="21" customFormat="1" ht="32.1" customHeight="1" thickBot="1" x14ac:dyDescent="0.3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36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42">
        <v>26</v>
      </c>
      <c r="AH43" s="37"/>
      <c r="AI43" s="110">
        <f t="shared" si="1"/>
        <v>28.16</v>
      </c>
    </row>
    <row r="44" spans="2:35" s="21" customFormat="1" ht="32.1" customHeight="1" thickBot="1" x14ac:dyDescent="0.3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36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42">
        <v>26</v>
      </c>
      <c r="AH44" s="37"/>
      <c r="AI44" s="63">
        <f>AG44+AE44</f>
        <v>28.16</v>
      </c>
    </row>
    <row r="45" spans="2:35" s="21" customFormat="1" ht="32.1" customHeight="1" thickBot="1" x14ac:dyDescent="0.3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36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42">
        <v>26</v>
      </c>
      <c r="AH45" s="37"/>
      <c r="AI45" s="110">
        <f t="shared" si="1"/>
        <v>29.77</v>
      </c>
    </row>
    <row r="46" spans="2:35" s="21" customFormat="1" ht="32.1" customHeight="1" thickBot="1" x14ac:dyDescent="0.3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36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42">
        <v>26</v>
      </c>
      <c r="AH46" s="37"/>
      <c r="AI46" s="83">
        <f t="shared" si="1"/>
        <v>28.16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36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42">
        <v>26</v>
      </c>
      <c r="AH47" s="37"/>
      <c r="AI47" s="107">
        <f t="shared" si="1"/>
        <v>26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36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42">
        <v>26</v>
      </c>
      <c r="AH48" s="37"/>
      <c r="AI48" s="110">
        <f t="shared" si="1"/>
        <v>26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36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42">
        <v>26</v>
      </c>
      <c r="AH49" s="37"/>
      <c r="AI49" s="83">
        <f t="shared" si="1"/>
        <v>26</v>
      </c>
    </row>
    <row r="50" spans="2:35" s="21" customFormat="1" ht="32.1" customHeight="1" thickBot="1" x14ac:dyDescent="0.3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36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42">
        <v>26</v>
      </c>
      <c r="AH50" s="37"/>
      <c r="AI50" s="63">
        <f t="shared" si="1"/>
        <v>32.07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36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42">
        <v>26</v>
      </c>
      <c r="AH51" s="37"/>
      <c r="AI51" s="125">
        <f t="shared" si="1"/>
        <v>28.16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36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42">
        <v>26</v>
      </c>
      <c r="AH52" s="37"/>
      <c r="AI52" s="43">
        <f t="shared" si="1"/>
        <v>31.07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36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42">
        <v>26</v>
      </c>
      <c r="AH53" s="37"/>
      <c r="AI53" s="125">
        <f t="shared" si="1"/>
        <v>28.16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36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42">
        <v>26</v>
      </c>
      <c r="AH54" s="37"/>
      <c r="AI54" s="125">
        <f t="shared" si="1"/>
        <v>28.16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36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42">
        <v>26</v>
      </c>
      <c r="AH55" s="37"/>
      <c r="AI55" s="125">
        <f t="shared" si="1"/>
        <v>28.16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36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42">
        <v>26</v>
      </c>
      <c r="AH56" s="37"/>
      <c r="AI56" s="125">
        <f t="shared" si="1"/>
        <v>28.16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>
        <v>72</v>
      </c>
      <c r="N57" s="51"/>
      <c r="O57" s="51"/>
      <c r="P57" s="52" t="str">
        <f t="shared" si="5"/>
        <v>1 pallets</v>
      </c>
      <c r="Q57" s="53">
        <f>(J57*M57)+(K57*N57)+(O57*L57)</f>
        <v>5616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>IF($U$6="x",(F62*3.5),"")</f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26</v>
      </c>
      <c r="AH62" s="37"/>
      <c r="AI62" s="43">
        <f t="shared" si="1"/>
        <v>28.16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ref="Z63:Z68" si="17">IF($U$6="x",(F63*3.5),"")</f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26</v>
      </c>
      <c r="AH63" s="37"/>
      <c r="AI63" s="63">
        <f t="shared" si="1"/>
        <v>28.16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17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26</v>
      </c>
      <c r="AH64" s="37"/>
      <c r="AI64" s="63">
        <f t="shared" si="1"/>
        <v>28.16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17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26</v>
      </c>
      <c r="AH65" s="37"/>
      <c r="AI65" s="63">
        <f t="shared" si="1"/>
        <v>28.16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17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26</v>
      </c>
      <c r="AH66" s="37"/>
      <c r="AI66" s="63">
        <f t="shared" si="1"/>
        <v>28.16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17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26</v>
      </c>
      <c r="AH67" s="37"/>
      <c r="AI67" s="63">
        <f t="shared" si="1"/>
        <v>28.16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57">
        <f t="shared" si="17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26</v>
      </c>
      <c r="AH68" s="37"/>
      <c r="AI68" s="125">
        <f t="shared" si="1"/>
        <v>28.16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8">+D69-C69</f>
        <v>262.5</v>
      </c>
      <c r="F69" s="136"/>
      <c r="G69" s="87">
        <v>72</v>
      </c>
      <c r="H69" s="137" t="str">
        <f t="shared" ref="H69:H70" si="19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20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8"/>
        <v>262.5</v>
      </c>
      <c r="F70" s="142"/>
      <c r="G70" s="115">
        <v>72</v>
      </c>
      <c r="H70" s="143" t="str">
        <f t="shared" si="19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20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57" t="s">
        <v>101</v>
      </c>
      <c r="C71" s="257"/>
      <c r="D71" s="257"/>
      <c r="E71" s="257"/>
      <c r="F71" s="257"/>
      <c r="G71" s="257"/>
      <c r="H71" s="147" t="str">
        <f>ROUND(((F12+F30+F52+F57+F58+F59+F60+F61)/72+(F13+F16+F18)/108+(F14+SUM(F19:F29)+F31+F32+F22+F50+F45)/63+F15/96+SUM(F34:F43)/100+SUM(F47:F49)/24+SUM(F62:F68)/100+(F51+F46+F44)/100),1)&amp;" pallets"</f>
        <v>0 pallets</v>
      </c>
      <c r="I71" s="148"/>
      <c r="J71" s="149"/>
      <c r="K71" s="150"/>
      <c r="L71" s="149"/>
      <c r="M71" s="151"/>
      <c r="N71" s="152"/>
      <c r="O71" s="152"/>
      <c r="P71" s="195" t="str">
        <f>ROUND((((M12+N12+M30+M57+M58+M59+M60+M61+N57)/72+(M13+N13+M16+M18)/108+(M15+N15)/96+SUM(M14,M19:M29,M31:M32,M50,N14)/63)),1)&amp;" pallets"</f>
        <v>1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37">
        <f>SUM(I12:I70)</f>
        <v>0</v>
      </c>
      <c r="G73" s="237"/>
      <c r="H73" s="237"/>
      <c r="I73" s="238"/>
      <c r="J73" s="158"/>
      <c r="K73" s="158"/>
      <c r="L73" s="158"/>
      <c r="M73" s="249" t="s">
        <v>103</v>
      </c>
      <c r="N73" s="250"/>
      <c r="O73" s="237">
        <f>SUM(Q12:Q70)</f>
        <v>5616</v>
      </c>
      <c r="P73" s="237"/>
      <c r="Q73" s="238"/>
      <c r="R73" s="152"/>
      <c r="S73" s="159" t="s">
        <v>104</v>
      </c>
      <c r="T73" s="242">
        <f>SUM(Y12:Y68)</f>
        <v>0</v>
      </c>
      <c r="U73" s="243"/>
      <c r="V73" s="160"/>
      <c r="W73" s="160"/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37">
        <f>SUM(I14:I72)</f>
        <v>0</v>
      </c>
      <c r="G75" s="237"/>
      <c r="H75" s="237"/>
      <c r="I75" s="238"/>
      <c r="J75" s="158"/>
      <c r="K75" s="158"/>
      <c r="L75" s="158"/>
      <c r="M75" s="249" t="s">
        <v>103</v>
      </c>
      <c r="N75" s="250"/>
      <c r="O75" s="237">
        <f>SUM(Q14:Q72)</f>
        <v>5616</v>
      </c>
      <c r="P75" s="237"/>
      <c r="Q75" s="238"/>
      <c r="R75" s="152"/>
      <c r="S75" s="159" t="s">
        <v>129</v>
      </c>
      <c r="T75" s="242">
        <f>SUM(Z12:Z70)</f>
        <v>0</v>
      </c>
      <c r="U75" s="243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37">
        <f>IF(U7&gt;0,"",(F73-O73-T79-P79))</f>
        <v>-5616</v>
      </c>
      <c r="G77" s="237"/>
      <c r="H77" s="237"/>
      <c r="I77" s="238"/>
      <c r="J77" s="164"/>
      <c r="K77" s="164"/>
      <c r="L77" s="164"/>
      <c r="M77" s="239" t="s">
        <v>106</v>
      </c>
      <c r="N77" s="239"/>
      <c r="O77" s="168" t="s">
        <v>107</v>
      </c>
      <c r="P77" s="240"/>
      <c r="Q77" s="241"/>
      <c r="R77" s="152"/>
      <c r="S77" s="159" t="s">
        <v>108</v>
      </c>
      <c r="T77" s="242">
        <f>IF(SUM(X12:X68)*0.15&gt;P77,P77,SUM(X12:X68)*0.15)</f>
        <v>0</v>
      </c>
      <c r="U77" s="243"/>
      <c r="V77" s="160"/>
      <c r="W77" s="244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45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37"/>
      <c r="G79" s="237"/>
      <c r="H79" s="237"/>
      <c r="I79" s="238"/>
      <c r="J79" s="164"/>
      <c r="K79" s="164"/>
      <c r="L79" s="164"/>
      <c r="M79" s="247" t="str">
        <f>IF(U6&gt;0,"",T4+30)</f>
        <v/>
      </c>
      <c r="N79" s="248"/>
      <c r="O79" s="168" t="s">
        <v>111</v>
      </c>
      <c r="P79" s="240"/>
      <c r="Q79" s="241"/>
      <c r="R79" s="152"/>
      <c r="S79" s="159" t="s">
        <v>112</v>
      </c>
      <c r="T79" s="242">
        <f>T77+T73+T75</f>
        <v>0</v>
      </c>
      <c r="U79" s="243"/>
      <c r="V79" s="160"/>
      <c r="W79" s="246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14" t="s">
        <v>113</v>
      </c>
      <c r="C81" s="215"/>
      <c r="D81" s="215"/>
      <c r="E81" s="215"/>
      <c r="F81" s="215"/>
      <c r="G81" s="215"/>
      <c r="H81" s="216"/>
      <c r="I81" s="223" t="s">
        <v>114</v>
      </c>
      <c r="J81" s="171"/>
      <c r="K81" s="171"/>
      <c r="L81" s="171"/>
      <c r="M81" s="225"/>
      <c r="N81" s="228" t="s">
        <v>115</v>
      </c>
      <c r="O81" s="231"/>
      <c r="P81" s="225"/>
      <c r="Q81" s="208" t="s">
        <v>116</v>
      </c>
      <c r="R81" s="234"/>
      <c r="S81" s="205"/>
      <c r="T81" s="208" t="s">
        <v>117</v>
      </c>
      <c r="U81" s="211"/>
    </row>
    <row r="82" spans="2:21" ht="15" customHeight="1" x14ac:dyDescent="0.25">
      <c r="B82" s="217"/>
      <c r="C82" s="218"/>
      <c r="D82" s="218"/>
      <c r="E82" s="218"/>
      <c r="F82" s="218"/>
      <c r="G82" s="218"/>
      <c r="H82" s="219"/>
      <c r="I82" s="202"/>
      <c r="J82" s="2"/>
      <c r="K82" s="2"/>
      <c r="L82" s="2"/>
      <c r="M82" s="226"/>
      <c r="N82" s="229"/>
      <c r="O82" s="232"/>
      <c r="P82" s="226"/>
      <c r="Q82" s="209"/>
      <c r="R82" s="235"/>
      <c r="S82" s="206"/>
      <c r="T82" s="209"/>
      <c r="U82" s="212"/>
    </row>
    <row r="83" spans="2:21" ht="15.75" customHeight="1" thickBot="1" x14ac:dyDescent="0.3">
      <c r="B83" s="220"/>
      <c r="C83" s="221"/>
      <c r="D83" s="221"/>
      <c r="E83" s="221"/>
      <c r="F83" s="221"/>
      <c r="G83" s="221"/>
      <c r="H83" s="222"/>
      <c r="I83" s="224"/>
      <c r="J83" s="172"/>
      <c r="K83" s="172"/>
      <c r="L83" s="172"/>
      <c r="M83" s="227"/>
      <c r="N83" s="230"/>
      <c r="O83" s="233"/>
      <c r="P83" s="227"/>
      <c r="Q83" s="210"/>
      <c r="R83" s="236"/>
      <c r="S83" s="207"/>
      <c r="T83" s="210"/>
      <c r="U83" s="213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196" t="s">
        <v>132</v>
      </c>
      <c r="C88" s="197"/>
      <c r="D88" s="197"/>
      <c r="E88" s="197"/>
      <c r="F88" s="197"/>
      <c r="G88" s="197"/>
      <c r="H88" s="197"/>
      <c r="I88" s="198"/>
      <c r="J88" s="185"/>
      <c r="K88" s="185"/>
      <c r="L88" s="185"/>
      <c r="M88" s="196"/>
      <c r="N88" s="197"/>
      <c r="O88" s="197"/>
      <c r="P88" s="197"/>
      <c r="Q88" s="198"/>
      <c r="R88" s="187"/>
      <c r="S88" s="188"/>
      <c r="T88" s="188"/>
      <c r="U88" s="189"/>
    </row>
    <row r="89" spans="2:21" ht="18" x14ac:dyDescent="0.25">
      <c r="B89" s="199" t="s">
        <v>122</v>
      </c>
      <c r="C89" s="200"/>
      <c r="D89" s="200"/>
      <c r="E89" s="200"/>
      <c r="F89" s="200"/>
      <c r="G89" s="200"/>
      <c r="H89" s="200"/>
      <c r="I89" s="201"/>
      <c r="M89" s="199" t="s">
        <v>122</v>
      </c>
      <c r="N89" s="200"/>
      <c r="O89" s="200"/>
      <c r="P89" s="200"/>
      <c r="Q89" s="201"/>
      <c r="R89" s="202" t="s">
        <v>123</v>
      </c>
      <c r="S89" s="203"/>
      <c r="T89" s="203"/>
      <c r="U89" s="204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196" t="s">
        <v>133</v>
      </c>
      <c r="C93" s="197"/>
      <c r="D93" s="197"/>
      <c r="E93" s="197"/>
      <c r="F93" s="197"/>
      <c r="G93" s="197"/>
      <c r="H93" s="197"/>
      <c r="I93" s="198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199" t="s">
        <v>126</v>
      </c>
      <c r="C94" s="200"/>
      <c r="D94" s="200"/>
      <c r="E94" s="200"/>
      <c r="F94" s="200"/>
      <c r="G94" s="200"/>
      <c r="H94" s="200"/>
      <c r="I94" s="201"/>
      <c r="M94" s="179"/>
      <c r="Q94" s="180"/>
      <c r="R94" s="202" t="s">
        <v>127</v>
      </c>
      <c r="S94" s="203"/>
      <c r="T94" s="203"/>
      <c r="U94" s="204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B9:B11"/>
    <mergeCell ref="C9:C11"/>
    <mergeCell ref="D9:D11"/>
    <mergeCell ref="E9:E11"/>
    <mergeCell ref="F9:Q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68D431-0477-446E-871B-C9DF7B366F44}">
  <sheetPr>
    <tabColor rgb="FF00B050"/>
    <pageSetUpPr fitToPage="1"/>
  </sheetPr>
  <dimension ref="A1:AJ100"/>
  <sheetViews>
    <sheetView showGridLines="0" topLeftCell="A61" zoomScale="85" zoomScaleNormal="85" workbookViewId="0">
      <pane xSplit="2" topLeftCell="C1" activePane="topRight" state="frozen"/>
      <selection activeCell="P79" sqref="P79:Q79"/>
      <selection pane="topRight" activeCell="M13" sqref="M13:M16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9.28515625" style="3" bestFit="1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86" t="s">
        <v>130</v>
      </c>
      <c r="G2" s="286"/>
      <c r="H2" s="286"/>
      <c r="I2" s="286"/>
      <c r="J2" s="286"/>
      <c r="K2" s="286"/>
      <c r="L2" s="286"/>
      <c r="M2" s="286"/>
      <c r="N2" s="286"/>
      <c r="O2" s="286"/>
      <c r="P2" s="286"/>
      <c r="Q2" s="286"/>
      <c r="R2" s="286"/>
      <c r="S2" s="286"/>
      <c r="T2" s="6" t="s">
        <v>1</v>
      </c>
      <c r="U2" s="7"/>
      <c r="W2" s="244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45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87"/>
      <c r="G4" s="287"/>
      <c r="H4" s="287"/>
      <c r="I4" s="287"/>
      <c r="J4" s="287"/>
      <c r="K4" s="287"/>
      <c r="L4" s="287"/>
      <c r="M4" s="287"/>
      <c r="S4" s="2" t="s">
        <v>4</v>
      </c>
      <c r="T4" s="288"/>
      <c r="U4" s="288"/>
      <c r="W4" s="246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89"/>
      <c r="G6" s="289"/>
      <c r="H6" s="289"/>
      <c r="I6" s="289"/>
      <c r="J6" s="289"/>
      <c r="K6" s="289"/>
      <c r="L6" s="289"/>
      <c r="M6" s="289"/>
      <c r="S6" s="11" t="s">
        <v>6</v>
      </c>
      <c r="T6" s="195" t="s">
        <v>7</v>
      </c>
      <c r="U6" s="12" t="s">
        <v>131</v>
      </c>
      <c r="W6" s="244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89"/>
      <c r="G7" s="289"/>
      <c r="H7" s="289"/>
      <c r="I7" s="289"/>
      <c r="J7" s="289"/>
      <c r="K7" s="289"/>
      <c r="L7" s="289"/>
      <c r="M7" s="289"/>
      <c r="N7" s="14"/>
      <c r="O7" s="14"/>
      <c r="P7" s="14"/>
      <c r="Q7" s="15"/>
      <c r="S7" s="14"/>
      <c r="T7" s="195" t="s">
        <v>11</v>
      </c>
      <c r="U7" s="12"/>
      <c r="W7" s="246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2.67</v>
      </c>
      <c r="AD8" s="2">
        <v>0.31</v>
      </c>
      <c r="AE8" s="11" t="s">
        <v>13</v>
      </c>
    </row>
    <row r="9" spans="2:35" s="16" customFormat="1" ht="20.25" x14ac:dyDescent="0.25">
      <c r="B9" s="258" t="s">
        <v>14</v>
      </c>
      <c r="C9" s="261" t="s">
        <v>15</v>
      </c>
      <c r="D9" s="261" t="s">
        <v>16</v>
      </c>
      <c r="E9" s="261" t="s">
        <v>17</v>
      </c>
      <c r="F9" s="264" t="s">
        <v>18</v>
      </c>
      <c r="G9" s="265"/>
      <c r="H9" s="265"/>
      <c r="I9" s="265"/>
      <c r="J9" s="265"/>
      <c r="K9" s="265"/>
      <c r="L9" s="265"/>
      <c r="M9" s="265"/>
      <c r="N9" s="265"/>
      <c r="O9" s="265"/>
      <c r="P9" s="265"/>
      <c r="Q9" s="266"/>
      <c r="S9" s="264" t="s">
        <v>19</v>
      </c>
      <c r="T9" s="265"/>
      <c r="U9" s="266"/>
      <c r="X9" s="271" t="s">
        <v>20</v>
      </c>
      <c r="Y9" s="274" t="s">
        <v>21</v>
      </c>
      <c r="Z9" s="274" t="s">
        <v>128</v>
      </c>
      <c r="AA9" s="17"/>
      <c r="AB9" s="251" t="s">
        <v>22</v>
      </c>
      <c r="AC9" s="277" t="s">
        <v>23</v>
      </c>
      <c r="AD9" s="280" t="s">
        <v>24</v>
      </c>
      <c r="AE9" s="251" t="s">
        <v>25</v>
      </c>
      <c r="AG9" s="251" t="s">
        <v>26</v>
      </c>
      <c r="AH9" s="17"/>
      <c r="AI9" s="251" t="s">
        <v>27</v>
      </c>
    </row>
    <row r="10" spans="2:35" s="16" customFormat="1" ht="20.25" customHeight="1" x14ac:dyDescent="0.25">
      <c r="B10" s="259"/>
      <c r="C10" s="262"/>
      <c r="D10" s="262"/>
      <c r="E10" s="262"/>
      <c r="F10" s="268" t="s">
        <v>28</v>
      </c>
      <c r="G10" s="268" t="s">
        <v>29</v>
      </c>
      <c r="H10" s="268" t="s">
        <v>30</v>
      </c>
      <c r="I10" s="269" t="s">
        <v>31</v>
      </c>
      <c r="J10" s="269" t="s">
        <v>32</v>
      </c>
      <c r="K10" s="269" t="s">
        <v>33</v>
      </c>
      <c r="L10" s="269" t="s">
        <v>34</v>
      </c>
      <c r="M10" s="283" t="s">
        <v>35</v>
      </c>
      <c r="N10" s="284"/>
      <c r="O10" s="284"/>
      <c r="P10" s="284"/>
      <c r="Q10" s="285"/>
      <c r="S10" s="254" t="s">
        <v>36</v>
      </c>
      <c r="T10" s="255"/>
      <c r="U10" s="256"/>
      <c r="X10" s="272"/>
      <c r="Y10" s="275"/>
      <c r="Z10" s="275"/>
      <c r="AA10" s="17"/>
      <c r="AB10" s="252"/>
      <c r="AC10" s="278"/>
      <c r="AD10" s="281"/>
      <c r="AE10" s="252"/>
      <c r="AG10" s="252"/>
      <c r="AH10" s="17"/>
      <c r="AI10" s="252"/>
    </row>
    <row r="11" spans="2:35" s="21" customFormat="1" ht="12.75" customHeight="1" thickBot="1" x14ac:dyDescent="0.3">
      <c r="B11" s="260"/>
      <c r="C11" s="263"/>
      <c r="D11" s="263"/>
      <c r="E11" s="263"/>
      <c r="F11" s="263"/>
      <c r="G11" s="263"/>
      <c r="H11" s="263"/>
      <c r="I11" s="270"/>
      <c r="J11" s="270"/>
      <c r="K11" s="270"/>
      <c r="L11" s="270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73"/>
      <c r="Y11" s="276"/>
      <c r="Z11" s="276"/>
      <c r="AA11" s="17"/>
      <c r="AB11" s="253"/>
      <c r="AC11" s="279"/>
      <c r="AD11" s="282"/>
      <c r="AE11" s="253"/>
      <c r="AG11" s="267"/>
      <c r="AH11" s="17"/>
      <c r="AI11" s="253"/>
    </row>
    <row r="12" spans="2:35" s="21" customFormat="1" ht="32.1" customHeight="1" thickBot="1" x14ac:dyDescent="0.3">
      <c r="B12" s="23" t="s">
        <v>42</v>
      </c>
      <c r="C12" s="24">
        <v>912</v>
      </c>
      <c r="D12" s="24">
        <v>120</v>
      </c>
      <c r="E12" s="24">
        <f>C12+D12</f>
        <v>1032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IF($U$6="x",(F12*3.5),"")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26</v>
      </c>
      <c r="AH12" s="37"/>
      <c r="AI12" s="43">
        <f t="shared" ref="AI12:AI68" si="1">AG12+AE12</f>
        <v>31.369999999999997</v>
      </c>
    </row>
    <row r="13" spans="2:35" s="21" customFormat="1" ht="32.1" customHeight="1" thickBot="1" x14ac:dyDescent="0.3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>
        <v>324</v>
      </c>
      <c r="N13" s="51"/>
      <c r="O13" s="51"/>
      <c r="P13" s="52" t="str">
        <f t="shared" ref="P13:P68" si="5">IF(M13&amp;N13="","",ROUND(((M13+N13)/G13),1)&amp;" pallets")</f>
        <v>3 pallets</v>
      </c>
      <c r="Q13" s="53">
        <f t="shared" ref="Q13:Q70" si="6">(J13*M13)+(K13*N13)+(O13*L13)</f>
        <v>35964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36">
        <f t="shared" ref="Z13:Z56" si="8">IF($U$6="x",(F13*3.5),"")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42">
        <v>26</v>
      </c>
      <c r="AH13" s="37"/>
      <c r="AI13" s="63">
        <f t="shared" si="1"/>
        <v>29.64</v>
      </c>
    </row>
    <row r="14" spans="2:35" s="21" customFormat="1" ht="32.1" customHeight="1" thickBot="1" x14ac:dyDescent="0.3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36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42">
        <v>26</v>
      </c>
      <c r="AH14" s="37"/>
      <c r="AI14" s="63">
        <f t="shared" si="1"/>
        <v>32.07</v>
      </c>
    </row>
    <row r="15" spans="2:35" s="21" customFormat="1" ht="32.1" customHeight="1" thickBot="1" x14ac:dyDescent="0.3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36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42">
        <v>26</v>
      </c>
      <c r="AH15" s="37"/>
      <c r="AI15" s="63">
        <f t="shared" si="1"/>
        <v>30.1</v>
      </c>
    </row>
    <row r="16" spans="2:35" s="21" customFormat="1" ht="32.1" customHeight="1" thickBot="1" x14ac:dyDescent="0.3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/>
      <c r="G16" s="47">
        <v>108</v>
      </c>
      <c r="H16" s="64"/>
      <c r="I16" s="49">
        <f t="shared" si="4"/>
        <v>0</v>
      </c>
      <c r="J16" s="50">
        <v>111</v>
      </c>
      <c r="K16" s="65"/>
      <c r="L16" s="50">
        <v>4.5</v>
      </c>
      <c r="M16" s="51">
        <v>1512</v>
      </c>
      <c r="N16" s="193"/>
      <c r="O16" s="51"/>
      <c r="P16" s="52" t="str">
        <f t="shared" si="5"/>
        <v>14 pallets</v>
      </c>
      <c r="Q16" s="53">
        <f t="shared" si="6"/>
        <v>167832</v>
      </c>
      <c r="S16" s="54"/>
      <c r="T16" s="67"/>
      <c r="U16" s="55"/>
      <c r="X16" s="56">
        <f t="shared" si="7"/>
        <v>0</v>
      </c>
      <c r="Y16" s="57">
        <f>F16*AI16</f>
        <v>0</v>
      </c>
      <c r="Z16" s="36">
        <f t="shared" si="8"/>
        <v>0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42">
        <v>26</v>
      </c>
      <c r="AH16" s="37"/>
      <c r="AI16" s="63">
        <f t="shared" si="1"/>
        <v>29.64</v>
      </c>
    </row>
    <row r="17" spans="2:35" s="21" customFormat="1" ht="32.1" customHeight="1" thickBot="1" x14ac:dyDescent="0.3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36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42">
        <v>26</v>
      </c>
      <c r="AH17" s="37"/>
      <c r="AI17" s="63">
        <f t="shared" si="1"/>
        <v>29.64</v>
      </c>
    </row>
    <row r="18" spans="2:35" s="21" customFormat="1" ht="32.1" customHeight="1" thickBot="1" x14ac:dyDescent="0.3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36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42">
        <v>26</v>
      </c>
      <c r="AH18" s="37"/>
      <c r="AI18" s="63">
        <f t="shared" si="1"/>
        <v>29.64</v>
      </c>
    </row>
    <row r="19" spans="2:35" s="21" customFormat="1" ht="32.1" customHeight="1" thickBot="1" x14ac:dyDescent="0.3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36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42">
        <v>26</v>
      </c>
      <c r="AH19" s="37"/>
      <c r="AI19" s="83">
        <f t="shared" si="1"/>
        <v>32.07</v>
      </c>
    </row>
    <row r="20" spans="2:35" s="21" customFormat="1" ht="32.1" customHeight="1" thickBot="1" x14ac:dyDescent="0.3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36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42">
        <v>26</v>
      </c>
      <c r="AH20" s="37"/>
      <c r="AI20" s="63">
        <f t="shared" si="1"/>
        <v>32.07</v>
      </c>
    </row>
    <row r="21" spans="2:35" s="21" customFormat="1" ht="32.1" customHeight="1" thickBot="1" x14ac:dyDescent="0.3">
      <c r="B21" s="68" t="s">
        <v>51</v>
      </c>
      <c r="C21" s="45">
        <v>872</v>
      </c>
      <c r="D21" s="69">
        <v>120</v>
      </c>
      <c r="E21" s="69">
        <f t="shared" si="2"/>
        <v>992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36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42">
        <v>26</v>
      </c>
      <c r="AH21" s="37"/>
      <c r="AI21" s="83">
        <f t="shared" si="1"/>
        <v>32.07</v>
      </c>
    </row>
    <row r="22" spans="2:35" s="21" customFormat="1" ht="32.1" customHeight="1" thickBot="1" x14ac:dyDescent="0.3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36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42">
        <v>26</v>
      </c>
      <c r="AH22" s="37"/>
      <c r="AI22" s="43">
        <f>AG22+AE22</f>
        <v>32.07</v>
      </c>
    </row>
    <row r="23" spans="2:35" s="21" customFormat="1" ht="32.1" customHeight="1" thickBot="1" x14ac:dyDescent="0.3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36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42">
        <v>26</v>
      </c>
      <c r="AH23" s="37"/>
      <c r="AI23" s="43">
        <f t="shared" si="1"/>
        <v>32.07</v>
      </c>
    </row>
    <row r="24" spans="2:35" s="21" customFormat="1" ht="32.1" customHeight="1" thickBot="1" x14ac:dyDescent="0.3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36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42">
        <v>26</v>
      </c>
      <c r="AH24" s="37"/>
      <c r="AI24" s="63">
        <f t="shared" si="1"/>
        <v>32.07</v>
      </c>
    </row>
    <row r="25" spans="2:35" s="21" customFormat="1" ht="32.1" customHeight="1" thickBot="1" x14ac:dyDescent="0.3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36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42">
        <v>26</v>
      </c>
      <c r="AH25" s="37"/>
      <c r="AI25" s="63">
        <f t="shared" si="1"/>
        <v>32.07</v>
      </c>
    </row>
    <row r="26" spans="2:35" s="21" customFormat="1" ht="32.1" customHeight="1" thickBot="1" x14ac:dyDescent="0.3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36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42">
        <v>26</v>
      </c>
      <c r="AH26" s="37"/>
      <c r="AI26" s="63">
        <f t="shared" si="1"/>
        <v>32.07</v>
      </c>
    </row>
    <row r="27" spans="2:35" s="21" customFormat="1" ht="32.1" customHeight="1" thickBot="1" x14ac:dyDescent="0.3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36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42">
        <v>26</v>
      </c>
      <c r="AH27" s="37"/>
      <c r="AI27" s="83">
        <f t="shared" si="1"/>
        <v>32.07</v>
      </c>
    </row>
    <row r="28" spans="2:35" s="21" customFormat="1" ht="32.1" customHeight="1" thickBot="1" x14ac:dyDescent="0.3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36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42">
        <v>26</v>
      </c>
      <c r="AH28" s="37"/>
      <c r="AI28" s="43">
        <f t="shared" si="1"/>
        <v>32.07</v>
      </c>
    </row>
    <row r="29" spans="2:35" s="21" customFormat="1" ht="32.1" customHeight="1" thickBot="1" x14ac:dyDescent="0.3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36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42">
        <v>26</v>
      </c>
      <c r="AH29" s="37"/>
      <c r="AI29" s="83">
        <f t="shared" si="1"/>
        <v>32.07</v>
      </c>
    </row>
    <row r="30" spans="2:35" s="21" customFormat="1" ht="32.1" customHeight="1" thickBot="1" x14ac:dyDescent="0.3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36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42">
        <v>26</v>
      </c>
      <c r="AH30" s="37"/>
      <c r="AI30" s="43">
        <f t="shared" si="1"/>
        <v>31.369999999999997</v>
      </c>
    </row>
    <row r="31" spans="2:35" s="21" customFormat="1" ht="32.1" customHeight="1" thickBot="1" x14ac:dyDescent="0.3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36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42">
        <v>26</v>
      </c>
      <c r="AH31" s="37"/>
      <c r="AI31" s="63">
        <f t="shared" si="1"/>
        <v>31.759999999999998</v>
      </c>
    </row>
    <row r="32" spans="2:35" s="21" customFormat="1" ht="32.1" customHeight="1" thickBot="1" x14ac:dyDescent="0.3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36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42">
        <v>26</v>
      </c>
      <c r="AH32" s="37"/>
      <c r="AI32" s="63">
        <f t="shared" si="1"/>
        <v>32.07</v>
      </c>
    </row>
    <row r="33" spans="2:35" s="21" customFormat="1" ht="32.1" customHeight="1" thickBot="1" x14ac:dyDescent="0.3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36">
        <f t="shared" si="8"/>
        <v>0</v>
      </c>
      <c r="AA33" s="37"/>
      <c r="AB33" s="58">
        <f>AB8</f>
        <v>2.67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2.98</v>
      </c>
      <c r="AF33" s="61"/>
      <c r="AG33" s="42">
        <v>26</v>
      </c>
      <c r="AH33" s="37"/>
      <c r="AI33" s="43">
        <f t="shared" si="1"/>
        <v>28.98</v>
      </c>
    </row>
    <row r="34" spans="2:35" s="21" customFormat="1" ht="32.1" customHeight="1" thickBot="1" x14ac:dyDescent="0.3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36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42">
        <v>26</v>
      </c>
      <c r="AH34" s="37"/>
      <c r="AI34" s="43">
        <f t="shared" si="1"/>
        <v>28.16</v>
      </c>
    </row>
    <row r="35" spans="2:35" s="21" customFormat="1" ht="32.1" customHeight="1" thickBot="1" x14ac:dyDescent="0.3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36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42">
        <v>26</v>
      </c>
      <c r="AH35" s="37"/>
      <c r="AI35" s="63">
        <f t="shared" si="1"/>
        <v>28.16</v>
      </c>
    </row>
    <row r="36" spans="2:35" s="21" customFormat="1" ht="32.1" customHeight="1" thickBot="1" x14ac:dyDescent="0.3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36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42">
        <v>26</v>
      </c>
      <c r="AH36" s="37"/>
      <c r="AI36" s="63">
        <f t="shared" si="1"/>
        <v>28.16</v>
      </c>
    </row>
    <row r="37" spans="2:35" s="21" customFormat="1" ht="32.1" customHeight="1" thickBot="1" x14ac:dyDescent="0.3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36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42">
        <v>26</v>
      </c>
      <c r="AH37" s="37"/>
      <c r="AI37" s="63">
        <f t="shared" si="1"/>
        <v>28.16</v>
      </c>
    </row>
    <row r="38" spans="2:35" s="21" customFormat="1" ht="32.1" customHeight="1" thickBot="1" x14ac:dyDescent="0.3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36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42">
        <v>26</v>
      </c>
      <c r="AH38" s="37"/>
      <c r="AI38" s="83">
        <f t="shared" si="1"/>
        <v>28.16</v>
      </c>
    </row>
    <row r="39" spans="2:35" s="21" customFormat="1" ht="32.1" customHeight="1" thickBot="1" x14ac:dyDescent="0.3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36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42">
        <v>26</v>
      </c>
      <c r="AH39" s="37"/>
      <c r="AI39" s="43">
        <f t="shared" si="1"/>
        <v>28.16</v>
      </c>
    </row>
    <row r="40" spans="2:35" s="21" customFormat="1" ht="32.1" customHeight="1" thickBot="1" x14ac:dyDescent="0.3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36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42">
        <v>26</v>
      </c>
      <c r="AH40" s="37"/>
      <c r="AI40" s="63">
        <f t="shared" si="1"/>
        <v>28.16</v>
      </c>
    </row>
    <row r="41" spans="2:35" s="21" customFormat="1" ht="32.1" customHeight="1" thickBot="1" x14ac:dyDescent="0.3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36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42">
        <v>26</v>
      </c>
      <c r="AH41" s="37"/>
      <c r="AI41" s="83">
        <f t="shared" si="1"/>
        <v>28.16</v>
      </c>
    </row>
    <row r="42" spans="2:35" s="21" customFormat="1" ht="32.1" customHeight="1" thickBot="1" x14ac:dyDescent="0.3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36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42">
        <v>26</v>
      </c>
      <c r="AH42" s="37"/>
      <c r="AI42" s="107">
        <f t="shared" si="1"/>
        <v>28.16</v>
      </c>
    </row>
    <row r="43" spans="2:35" s="21" customFormat="1" ht="32.1" customHeight="1" thickBot="1" x14ac:dyDescent="0.3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36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42">
        <v>26</v>
      </c>
      <c r="AH43" s="37"/>
      <c r="AI43" s="110">
        <f t="shared" si="1"/>
        <v>28.16</v>
      </c>
    </row>
    <row r="44" spans="2:35" s="21" customFormat="1" ht="32.1" customHeight="1" thickBot="1" x14ac:dyDescent="0.3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36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42">
        <v>26</v>
      </c>
      <c r="AH44" s="37"/>
      <c r="AI44" s="63">
        <f>AG44+AE44</f>
        <v>28.16</v>
      </c>
    </row>
    <row r="45" spans="2:35" s="21" customFormat="1" ht="32.1" customHeight="1" thickBot="1" x14ac:dyDescent="0.3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36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42">
        <v>26</v>
      </c>
      <c r="AH45" s="37"/>
      <c r="AI45" s="110">
        <f t="shared" si="1"/>
        <v>29.77</v>
      </c>
    </row>
    <row r="46" spans="2:35" s="21" customFormat="1" ht="32.1" customHeight="1" thickBot="1" x14ac:dyDescent="0.3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36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42">
        <v>26</v>
      </c>
      <c r="AH46" s="37"/>
      <c r="AI46" s="83">
        <f t="shared" si="1"/>
        <v>28.16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36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42">
        <v>26</v>
      </c>
      <c r="AH47" s="37"/>
      <c r="AI47" s="107">
        <f t="shared" si="1"/>
        <v>26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36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42">
        <v>26</v>
      </c>
      <c r="AH48" s="37"/>
      <c r="AI48" s="110">
        <f t="shared" si="1"/>
        <v>26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36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42">
        <v>26</v>
      </c>
      <c r="AH49" s="37"/>
      <c r="AI49" s="83">
        <f t="shared" si="1"/>
        <v>26</v>
      </c>
    </row>
    <row r="50" spans="2:35" s="21" customFormat="1" ht="32.1" customHeight="1" thickBot="1" x14ac:dyDescent="0.3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36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42">
        <v>26</v>
      </c>
      <c r="AH50" s="37"/>
      <c r="AI50" s="63">
        <f t="shared" si="1"/>
        <v>32.07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36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42">
        <v>26</v>
      </c>
      <c r="AH51" s="37"/>
      <c r="AI51" s="125">
        <f t="shared" si="1"/>
        <v>28.16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36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42">
        <v>26</v>
      </c>
      <c r="AH52" s="37"/>
      <c r="AI52" s="43">
        <f t="shared" si="1"/>
        <v>31.07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36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42">
        <v>26</v>
      </c>
      <c r="AH53" s="37"/>
      <c r="AI53" s="125">
        <f t="shared" si="1"/>
        <v>28.16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36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42">
        <v>26</v>
      </c>
      <c r="AH54" s="37"/>
      <c r="AI54" s="125">
        <f t="shared" si="1"/>
        <v>28.16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36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42">
        <v>26</v>
      </c>
      <c r="AH55" s="37"/>
      <c r="AI55" s="125">
        <f t="shared" si="1"/>
        <v>28.16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36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42">
        <v>26</v>
      </c>
      <c r="AH56" s="37"/>
      <c r="AI56" s="125">
        <f t="shared" si="1"/>
        <v>28.16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>IF($U$6="x",(F62*3.5),"")</f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26</v>
      </c>
      <c r="AH62" s="37"/>
      <c r="AI62" s="43">
        <f t="shared" si="1"/>
        <v>28.16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ref="Z63:Z68" si="17">IF($U$6="x",(F63*3.5),"")</f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26</v>
      </c>
      <c r="AH63" s="37"/>
      <c r="AI63" s="63">
        <f t="shared" si="1"/>
        <v>28.16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17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26</v>
      </c>
      <c r="AH64" s="37"/>
      <c r="AI64" s="63">
        <f t="shared" si="1"/>
        <v>28.16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17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26</v>
      </c>
      <c r="AH65" s="37"/>
      <c r="AI65" s="63">
        <f t="shared" si="1"/>
        <v>28.16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17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26</v>
      </c>
      <c r="AH66" s="37"/>
      <c r="AI66" s="63">
        <f t="shared" si="1"/>
        <v>28.16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17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26</v>
      </c>
      <c r="AH67" s="37"/>
      <c r="AI67" s="63">
        <f t="shared" si="1"/>
        <v>28.16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57">
        <f t="shared" si="17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26</v>
      </c>
      <c r="AH68" s="37"/>
      <c r="AI68" s="125">
        <f t="shared" si="1"/>
        <v>28.16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8">+D69-C69</f>
        <v>262.5</v>
      </c>
      <c r="F69" s="136"/>
      <c r="G69" s="87">
        <v>72</v>
      </c>
      <c r="H69" s="137" t="str">
        <f t="shared" ref="H69:H70" si="19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20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8"/>
        <v>262.5</v>
      </c>
      <c r="F70" s="142"/>
      <c r="G70" s="115">
        <v>72</v>
      </c>
      <c r="H70" s="143" t="str">
        <f t="shared" si="19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20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57" t="s">
        <v>101</v>
      </c>
      <c r="C71" s="257"/>
      <c r="D71" s="257"/>
      <c r="E71" s="257"/>
      <c r="F71" s="257"/>
      <c r="G71" s="257"/>
      <c r="H71" s="147" t="str">
        <f>ROUND(((F12+F30+F52+F57+F58+F59+F60+F61)/72+(F13+F16+F18)/108+(F14+SUM(F19:F29)+F31+F32+F22+F50+F45)/63+F15/96+SUM(F34:F43)/100+SUM(F47:F49)/24+SUM(F62:F68)/100+(F51+F46+F44)/100),1)&amp;" pallets"</f>
        <v>0 pallets</v>
      </c>
      <c r="I71" s="148"/>
      <c r="J71" s="149"/>
      <c r="K71" s="150"/>
      <c r="L71" s="149"/>
      <c r="M71" s="151"/>
      <c r="N71" s="152"/>
      <c r="O71" s="152"/>
      <c r="P71" s="195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37">
        <f>SUM(I12:I70)</f>
        <v>0</v>
      </c>
      <c r="G73" s="237"/>
      <c r="H73" s="237"/>
      <c r="I73" s="238"/>
      <c r="J73" s="158"/>
      <c r="K73" s="158"/>
      <c r="L73" s="158"/>
      <c r="M73" s="249" t="s">
        <v>103</v>
      </c>
      <c r="N73" s="250"/>
      <c r="O73" s="237">
        <f>SUM(Q12:Q70)</f>
        <v>203796</v>
      </c>
      <c r="P73" s="237"/>
      <c r="Q73" s="238"/>
      <c r="R73" s="152"/>
      <c r="S73" s="159" t="s">
        <v>104</v>
      </c>
      <c r="T73" s="242">
        <f>SUM(Y12:Y68)</f>
        <v>0</v>
      </c>
      <c r="U73" s="243"/>
      <c r="V73" s="160"/>
      <c r="W73" s="160"/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37">
        <f>SUM(I14:I72)</f>
        <v>0</v>
      </c>
      <c r="G75" s="237"/>
      <c r="H75" s="237"/>
      <c r="I75" s="238"/>
      <c r="J75" s="158"/>
      <c r="K75" s="158"/>
      <c r="L75" s="158"/>
      <c r="M75" s="249" t="s">
        <v>103</v>
      </c>
      <c r="N75" s="250"/>
      <c r="O75" s="237">
        <f>SUM(Q14:Q72)</f>
        <v>167832</v>
      </c>
      <c r="P75" s="237"/>
      <c r="Q75" s="238"/>
      <c r="R75" s="152"/>
      <c r="S75" s="159" t="s">
        <v>129</v>
      </c>
      <c r="T75" s="242">
        <f>SUM(Z12:Z70)</f>
        <v>0</v>
      </c>
      <c r="U75" s="243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37">
        <f>IF(U7&gt;0,"",(F73-O73-T79-P79))</f>
        <v>-203796</v>
      </c>
      <c r="G77" s="237"/>
      <c r="H77" s="237"/>
      <c r="I77" s="238"/>
      <c r="J77" s="164"/>
      <c r="K77" s="164"/>
      <c r="L77" s="164"/>
      <c r="M77" s="239" t="s">
        <v>106</v>
      </c>
      <c r="N77" s="239"/>
      <c r="O77" s="168" t="s">
        <v>107</v>
      </c>
      <c r="P77" s="240"/>
      <c r="Q77" s="241"/>
      <c r="R77" s="152"/>
      <c r="S77" s="159" t="s">
        <v>108</v>
      </c>
      <c r="T77" s="242">
        <f>IF(SUM(X12:X68)*0.15&gt;P77,P77,SUM(X12:X68)*0.15)</f>
        <v>0</v>
      </c>
      <c r="U77" s="243"/>
      <c r="V77" s="160"/>
      <c r="W77" s="244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45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37"/>
      <c r="G79" s="237"/>
      <c r="H79" s="237"/>
      <c r="I79" s="238"/>
      <c r="J79" s="164"/>
      <c r="K79" s="164"/>
      <c r="L79" s="164"/>
      <c r="M79" s="247" t="str">
        <f>IF(U6&gt;0,"",T4+30)</f>
        <v/>
      </c>
      <c r="N79" s="248"/>
      <c r="O79" s="168" t="s">
        <v>111</v>
      </c>
      <c r="P79" s="240"/>
      <c r="Q79" s="241"/>
      <c r="R79" s="152"/>
      <c r="S79" s="159" t="s">
        <v>112</v>
      </c>
      <c r="T79" s="242">
        <f>T77+T73+T75</f>
        <v>0</v>
      </c>
      <c r="U79" s="243"/>
      <c r="V79" s="160"/>
      <c r="W79" s="246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14" t="s">
        <v>113</v>
      </c>
      <c r="C81" s="215"/>
      <c r="D81" s="215"/>
      <c r="E81" s="215"/>
      <c r="F81" s="215"/>
      <c r="G81" s="215"/>
      <c r="H81" s="216"/>
      <c r="I81" s="223" t="s">
        <v>114</v>
      </c>
      <c r="J81" s="171"/>
      <c r="K81" s="171"/>
      <c r="L81" s="171"/>
      <c r="M81" s="225"/>
      <c r="N81" s="228" t="s">
        <v>115</v>
      </c>
      <c r="O81" s="231"/>
      <c r="P81" s="225"/>
      <c r="Q81" s="208" t="s">
        <v>116</v>
      </c>
      <c r="R81" s="234"/>
      <c r="S81" s="205"/>
      <c r="T81" s="208" t="s">
        <v>117</v>
      </c>
      <c r="U81" s="211"/>
    </row>
    <row r="82" spans="2:21" ht="15" customHeight="1" x14ac:dyDescent="0.25">
      <c r="B82" s="217"/>
      <c r="C82" s="218"/>
      <c r="D82" s="218"/>
      <c r="E82" s="218"/>
      <c r="F82" s="218"/>
      <c r="G82" s="218"/>
      <c r="H82" s="219"/>
      <c r="I82" s="202"/>
      <c r="J82" s="2"/>
      <c r="K82" s="2"/>
      <c r="L82" s="2"/>
      <c r="M82" s="226"/>
      <c r="N82" s="229"/>
      <c r="O82" s="232"/>
      <c r="P82" s="226"/>
      <c r="Q82" s="209"/>
      <c r="R82" s="235"/>
      <c r="S82" s="206"/>
      <c r="T82" s="209"/>
      <c r="U82" s="212"/>
    </row>
    <row r="83" spans="2:21" ht="15.75" customHeight="1" thickBot="1" x14ac:dyDescent="0.3">
      <c r="B83" s="220"/>
      <c r="C83" s="221"/>
      <c r="D83" s="221"/>
      <c r="E83" s="221"/>
      <c r="F83" s="221"/>
      <c r="G83" s="221"/>
      <c r="H83" s="222"/>
      <c r="I83" s="224"/>
      <c r="J83" s="172"/>
      <c r="K83" s="172"/>
      <c r="L83" s="172"/>
      <c r="M83" s="227"/>
      <c r="N83" s="230"/>
      <c r="O83" s="233"/>
      <c r="P83" s="227"/>
      <c r="Q83" s="210"/>
      <c r="R83" s="236"/>
      <c r="S83" s="207"/>
      <c r="T83" s="210"/>
      <c r="U83" s="213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196" t="s">
        <v>132</v>
      </c>
      <c r="C88" s="197"/>
      <c r="D88" s="197"/>
      <c r="E88" s="197"/>
      <c r="F88" s="197"/>
      <c r="G88" s="197"/>
      <c r="H88" s="197"/>
      <c r="I88" s="198"/>
      <c r="J88" s="185"/>
      <c r="K88" s="185"/>
      <c r="L88" s="185"/>
      <c r="M88" s="196"/>
      <c r="N88" s="197"/>
      <c r="O88" s="197"/>
      <c r="P88" s="197"/>
      <c r="Q88" s="198"/>
      <c r="R88" s="187"/>
      <c r="S88" s="188"/>
      <c r="T88" s="188"/>
      <c r="U88" s="189"/>
    </row>
    <row r="89" spans="2:21" ht="18" x14ac:dyDescent="0.25">
      <c r="B89" s="199" t="s">
        <v>122</v>
      </c>
      <c r="C89" s="200"/>
      <c r="D89" s="200"/>
      <c r="E89" s="200"/>
      <c r="F89" s="200"/>
      <c r="G89" s="200"/>
      <c r="H89" s="200"/>
      <c r="I89" s="201"/>
      <c r="M89" s="199" t="s">
        <v>122</v>
      </c>
      <c r="N89" s="200"/>
      <c r="O89" s="200"/>
      <c r="P89" s="200"/>
      <c r="Q89" s="201"/>
      <c r="R89" s="202" t="s">
        <v>123</v>
      </c>
      <c r="S89" s="203"/>
      <c r="T89" s="203"/>
      <c r="U89" s="204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196" t="s">
        <v>133</v>
      </c>
      <c r="C93" s="197"/>
      <c r="D93" s="197"/>
      <c r="E93" s="197"/>
      <c r="F93" s="197"/>
      <c r="G93" s="197"/>
      <c r="H93" s="197"/>
      <c r="I93" s="198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199" t="s">
        <v>126</v>
      </c>
      <c r="C94" s="200"/>
      <c r="D94" s="200"/>
      <c r="E94" s="200"/>
      <c r="F94" s="200"/>
      <c r="G94" s="200"/>
      <c r="H94" s="200"/>
      <c r="I94" s="201"/>
      <c r="M94" s="179"/>
      <c r="Q94" s="180"/>
      <c r="R94" s="202" t="s">
        <v>127</v>
      </c>
      <c r="S94" s="203"/>
      <c r="T94" s="203"/>
      <c r="U94" s="204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B9:B11"/>
    <mergeCell ref="C9:C11"/>
    <mergeCell ref="D9:D11"/>
    <mergeCell ref="E9:E11"/>
    <mergeCell ref="F9:Q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270ECF-E0F5-463C-A31A-813214E73292}">
  <sheetPr>
    <tabColor rgb="FF00B050"/>
    <pageSetUpPr fitToPage="1"/>
  </sheetPr>
  <dimension ref="A1:AJ100"/>
  <sheetViews>
    <sheetView showGridLines="0" topLeftCell="A62" zoomScale="85" zoomScaleNormal="85" workbookViewId="0">
      <pane xSplit="2" topLeftCell="C1" activePane="topRight" state="frozen"/>
      <selection activeCell="P79" sqref="P79:Q79"/>
      <selection pane="topRight" activeCell="M17" sqref="M17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9.28515625" style="3" bestFit="1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86" t="s">
        <v>130</v>
      </c>
      <c r="G2" s="286"/>
      <c r="H2" s="286"/>
      <c r="I2" s="286"/>
      <c r="J2" s="286"/>
      <c r="K2" s="286"/>
      <c r="L2" s="286"/>
      <c r="M2" s="286"/>
      <c r="N2" s="286"/>
      <c r="O2" s="286"/>
      <c r="P2" s="286"/>
      <c r="Q2" s="286"/>
      <c r="R2" s="286"/>
      <c r="S2" s="286"/>
      <c r="T2" s="6" t="s">
        <v>1</v>
      </c>
      <c r="U2" s="7"/>
      <c r="W2" s="244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45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87"/>
      <c r="G4" s="287"/>
      <c r="H4" s="287"/>
      <c r="I4" s="287"/>
      <c r="J4" s="287"/>
      <c r="K4" s="287"/>
      <c r="L4" s="287"/>
      <c r="M4" s="287"/>
      <c r="S4" s="2" t="s">
        <v>4</v>
      </c>
      <c r="T4" s="288"/>
      <c r="U4" s="288"/>
      <c r="W4" s="246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89"/>
      <c r="G6" s="289"/>
      <c r="H6" s="289"/>
      <c r="I6" s="289"/>
      <c r="J6" s="289"/>
      <c r="K6" s="289"/>
      <c r="L6" s="289"/>
      <c r="M6" s="289"/>
      <c r="S6" s="11" t="s">
        <v>6</v>
      </c>
      <c r="T6" s="195" t="s">
        <v>7</v>
      </c>
      <c r="U6" s="12" t="s">
        <v>131</v>
      </c>
      <c r="W6" s="244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89"/>
      <c r="G7" s="289"/>
      <c r="H7" s="289"/>
      <c r="I7" s="289"/>
      <c r="J7" s="289"/>
      <c r="K7" s="289"/>
      <c r="L7" s="289"/>
      <c r="M7" s="289"/>
      <c r="N7" s="14"/>
      <c r="O7" s="14"/>
      <c r="P7" s="14"/>
      <c r="Q7" s="15"/>
      <c r="S7" s="14"/>
      <c r="T7" s="195" t="s">
        <v>11</v>
      </c>
      <c r="U7" s="12"/>
      <c r="W7" s="246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2.67</v>
      </c>
      <c r="AD8" s="2">
        <v>0.31</v>
      </c>
      <c r="AE8" s="11" t="s">
        <v>13</v>
      </c>
    </row>
    <row r="9" spans="2:35" s="16" customFormat="1" ht="20.25" x14ac:dyDescent="0.25">
      <c r="B9" s="258" t="s">
        <v>14</v>
      </c>
      <c r="C9" s="261" t="s">
        <v>15</v>
      </c>
      <c r="D9" s="261" t="s">
        <v>16</v>
      </c>
      <c r="E9" s="261" t="s">
        <v>17</v>
      </c>
      <c r="F9" s="264" t="s">
        <v>18</v>
      </c>
      <c r="G9" s="265"/>
      <c r="H9" s="265"/>
      <c r="I9" s="265"/>
      <c r="J9" s="265"/>
      <c r="K9" s="265"/>
      <c r="L9" s="265"/>
      <c r="M9" s="265"/>
      <c r="N9" s="265"/>
      <c r="O9" s="265"/>
      <c r="P9" s="265"/>
      <c r="Q9" s="266"/>
      <c r="S9" s="264" t="s">
        <v>19</v>
      </c>
      <c r="T9" s="265"/>
      <c r="U9" s="266"/>
      <c r="X9" s="271" t="s">
        <v>20</v>
      </c>
      <c r="Y9" s="274" t="s">
        <v>21</v>
      </c>
      <c r="Z9" s="274" t="s">
        <v>128</v>
      </c>
      <c r="AA9" s="17"/>
      <c r="AB9" s="251" t="s">
        <v>22</v>
      </c>
      <c r="AC9" s="277" t="s">
        <v>23</v>
      </c>
      <c r="AD9" s="280" t="s">
        <v>24</v>
      </c>
      <c r="AE9" s="251" t="s">
        <v>25</v>
      </c>
      <c r="AG9" s="251" t="s">
        <v>26</v>
      </c>
      <c r="AH9" s="17"/>
      <c r="AI9" s="251" t="s">
        <v>27</v>
      </c>
    </row>
    <row r="10" spans="2:35" s="16" customFormat="1" ht="20.25" customHeight="1" x14ac:dyDescent="0.25">
      <c r="B10" s="259"/>
      <c r="C10" s="262"/>
      <c r="D10" s="262"/>
      <c r="E10" s="262"/>
      <c r="F10" s="268" t="s">
        <v>28</v>
      </c>
      <c r="G10" s="268" t="s">
        <v>29</v>
      </c>
      <c r="H10" s="268" t="s">
        <v>30</v>
      </c>
      <c r="I10" s="269" t="s">
        <v>31</v>
      </c>
      <c r="J10" s="269" t="s">
        <v>32</v>
      </c>
      <c r="K10" s="269" t="s">
        <v>33</v>
      </c>
      <c r="L10" s="269" t="s">
        <v>34</v>
      </c>
      <c r="M10" s="283" t="s">
        <v>35</v>
      </c>
      <c r="N10" s="284"/>
      <c r="O10" s="284"/>
      <c r="P10" s="284"/>
      <c r="Q10" s="285"/>
      <c r="S10" s="254" t="s">
        <v>36</v>
      </c>
      <c r="T10" s="255"/>
      <c r="U10" s="256"/>
      <c r="X10" s="272"/>
      <c r="Y10" s="275"/>
      <c r="Z10" s="275"/>
      <c r="AA10" s="17"/>
      <c r="AB10" s="252"/>
      <c r="AC10" s="278"/>
      <c r="AD10" s="281"/>
      <c r="AE10" s="252"/>
      <c r="AG10" s="252"/>
      <c r="AH10" s="17"/>
      <c r="AI10" s="252"/>
    </row>
    <row r="11" spans="2:35" s="21" customFormat="1" ht="12.75" customHeight="1" thickBot="1" x14ac:dyDescent="0.3">
      <c r="B11" s="260"/>
      <c r="C11" s="263"/>
      <c r="D11" s="263"/>
      <c r="E11" s="263"/>
      <c r="F11" s="263"/>
      <c r="G11" s="263"/>
      <c r="H11" s="263"/>
      <c r="I11" s="270"/>
      <c r="J11" s="270"/>
      <c r="K11" s="270"/>
      <c r="L11" s="270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73"/>
      <c r="Y11" s="276"/>
      <c r="Z11" s="276"/>
      <c r="AA11" s="17"/>
      <c r="AB11" s="253"/>
      <c r="AC11" s="279"/>
      <c r="AD11" s="282"/>
      <c r="AE11" s="253"/>
      <c r="AG11" s="267"/>
      <c r="AH11" s="17"/>
      <c r="AI11" s="253"/>
    </row>
    <row r="12" spans="2:35" s="21" customFormat="1" ht="32.1" customHeight="1" thickBot="1" x14ac:dyDescent="0.3">
      <c r="B12" s="23" t="s">
        <v>42</v>
      </c>
      <c r="C12" s="24">
        <v>912</v>
      </c>
      <c r="D12" s="24">
        <v>120</v>
      </c>
      <c r="E12" s="24">
        <f>C12+D12</f>
        <v>1032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IF($U$6="x",(F12*3.5),"")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26</v>
      </c>
      <c r="AH12" s="37"/>
      <c r="AI12" s="43">
        <f t="shared" ref="AI12:AI68" si="1">AG12+AE12</f>
        <v>31.369999999999997</v>
      </c>
    </row>
    <row r="13" spans="2:35" s="21" customFormat="1" ht="32.1" customHeight="1" thickBot="1" x14ac:dyDescent="0.3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>
        <v>108</v>
      </c>
      <c r="N13" s="51">
        <v>432</v>
      </c>
      <c r="O13" s="51"/>
      <c r="P13" s="52" t="str">
        <f t="shared" ref="P13:P68" si="5">IF(M13&amp;N13="","",ROUND(((M13+N13)/G13),1)&amp;" pallets")</f>
        <v>5 pallets</v>
      </c>
      <c r="Q13" s="53">
        <f t="shared" ref="Q13:Q70" si="6">(J13*M13)+(K13*N13)+(O13*L13)</f>
        <v>48276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36">
        <f t="shared" ref="Z13:Z56" si="8">IF($U$6="x",(F13*3.5),"")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42">
        <v>26</v>
      </c>
      <c r="AH13" s="37"/>
      <c r="AI13" s="63">
        <f t="shared" si="1"/>
        <v>29.64</v>
      </c>
    </row>
    <row r="14" spans="2:35" s="21" customFormat="1" ht="32.1" customHeight="1" thickBot="1" x14ac:dyDescent="0.3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36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42">
        <v>26</v>
      </c>
      <c r="AH14" s="37"/>
      <c r="AI14" s="63">
        <f t="shared" si="1"/>
        <v>32.07</v>
      </c>
    </row>
    <row r="15" spans="2:35" s="21" customFormat="1" ht="32.1" customHeight="1" thickBot="1" x14ac:dyDescent="0.3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>
        <v>96</v>
      </c>
      <c r="N15" s="51"/>
      <c r="O15" s="51"/>
      <c r="P15" s="52" t="str">
        <f t="shared" si="5"/>
        <v>1 pallets</v>
      </c>
      <c r="Q15" s="53">
        <f t="shared" si="6"/>
        <v>10656</v>
      </c>
      <c r="S15" s="54"/>
      <c r="T15" s="54"/>
      <c r="U15" s="55"/>
      <c r="X15" s="56">
        <f t="shared" si="7"/>
        <v>0</v>
      </c>
      <c r="Y15" s="57">
        <f>F15*AI15</f>
        <v>0</v>
      </c>
      <c r="Z15" s="36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42">
        <v>26</v>
      </c>
      <c r="AH15" s="37"/>
      <c r="AI15" s="63">
        <f t="shared" si="1"/>
        <v>30.1</v>
      </c>
    </row>
    <row r="16" spans="2:35" s="21" customFormat="1" ht="32.1" customHeight="1" thickBot="1" x14ac:dyDescent="0.3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/>
      <c r="G16" s="47">
        <v>108</v>
      </c>
      <c r="H16" s="64"/>
      <c r="I16" s="49">
        <f t="shared" si="4"/>
        <v>0</v>
      </c>
      <c r="J16" s="50">
        <v>111</v>
      </c>
      <c r="K16" s="65"/>
      <c r="L16" s="50">
        <v>4.5</v>
      </c>
      <c r="M16" s="51">
        <v>1188</v>
      </c>
      <c r="N16" s="193"/>
      <c r="O16" s="51"/>
      <c r="P16" s="52" t="str">
        <f t="shared" si="5"/>
        <v>11 pallets</v>
      </c>
      <c r="Q16" s="53">
        <f t="shared" si="6"/>
        <v>131868</v>
      </c>
      <c r="S16" s="54"/>
      <c r="T16" s="67"/>
      <c r="U16" s="55"/>
      <c r="X16" s="56">
        <f t="shared" si="7"/>
        <v>0</v>
      </c>
      <c r="Y16" s="57">
        <f>F16*AI16</f>
        <v>0</v>
      </c>
      <c r="Z16" s="36">
        <f t="shared" si="8"/>
        <v>0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42">
        <v>26</v>
      </c>
      <c r="AH16" s="37"/>
      <c r="AI16" s="63">
        <f t="shared" si="1"/>
        <v>29.64</v>
      </c>
    </row>
    <row r="17" spans="2:35" s="21" customFormat="1" ht="32.1" customHeight="1" thickBot="1" x14ac:dyDescent="0.3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36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42">
        <v>26</v>
      </c>
      <c r="AH17" s="37"/>
      <c r="AI17" s="63">
        <f t="shared" si="1"/>
        <v>29.64</v>
      </c>
    </row>
    <row r="18" spans="2:35" s="21" customFormat="1" ht="32.1" customHeight="1" thickBot="1" x14ac:dyDescent="0.3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36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42">
        <v>26</v>
      </c>
      <c r="AH18" s="37"/>
      <c r="AI18" s="63">
        <f t="shared" si="1"/>
        <v>29.64</v>
      </c>
    </row>
    <row r="19" spans="2:35" s="21" customFormat="1" ht="32.1" customHeight="1" thickBot="1" x14ac:dyDescent="0.3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36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42">
        <v>26</v>
      </c>
      <c r="AH19" s="37"/>
      <c r="AI19" s="83">
        <f t="shared" si="1"/>
        <v>32.07</v>
      </c>
    </row>
    <row r="20" spans="2:35" s="21" customFormat="1" ht="32.1" customHeight="1" thickBot="1" x14ac:dyDescent="0.3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36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42">
        <v>26</v>
      </c>
      <c r="AH20" s="37"/>
      <c r="AI20" s="63">
        <f t="shared" si="1"/>
        <v>32.07</v>
      </c>
    </row>
    <row r="21" spans="2:35" s="21" customFormat="1" ht="32.1" customHeight="1" thickBot="1" x14ac:dyDescent="0.3">
      <c r="B21" s="68" t="s">
        <v>51</v>
      </c>
      <c r="C21" s="45">
        <v>872</v>
      </c>
      <c r="D21" s="69">
        <v>120</v>
      </c>
      <c r="E21" s="69">
        <f t="shared" si="2"/>
        <v>992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36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42">
        <v>26</v>
      </c>
      <c r="AH21" s="37"/>
      <c r="AI21" s="83">
        <f t="shared" si="1"/>
        <v>32.07</v>
      </c>
    </row>
    <row r="22" spans="2:35" s="21" customFormat="1" ht="32.1" customHeight="1" thickBot="1" x14ac:dyDescent="0.3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36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42">
        <v>26</v>
      </c>
      <c r="AH22" s="37"/>
      <c r="AI22" s="43">
        <f>AG22+AE22</f>
        <v>32.07</v>
      </c>
    </row>
    <row r="23" spans="2:35" s="21" customFormat="1" ht="32.1" customHeight="1" thickBot="1" x14ac:dyDescent="0.3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36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42">
        <v>26</v>
      </c>
      <c r="AH23" s="37"/>
      <c r="AI23" s="43">
        <f t="shared" si="1"/>
        <v>32.07</v>
      </c>
    </row>
    <row r="24" spans="2:35" s="21" customFormat="1" ht="32.1" customHeight="1" thickBot="1" x14ac:dyDescent="0.3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36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42">
        <v>26</v>
      </c>
      <c r="AH24" s="37"/>
      <c r="AI24" s="63">
        <f t="shared" si="1"/>
        <v>32.07</v>
      </c>
    </row>
    <row r="25" spans="2:35" s="21" customFormat="1" ht="32.1" customHeight="1" thickBot="1" x14ac:dyDescent="0.3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36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42">
        <v>26</v>
      </c>
      <c r="AH25" s="37"/>
      <c r="AI25" s="63">
        <f t="shared" si="1"/>
        <v>32.07</v>
      </c>
    </row>
    <row r="26" spans="2:35" s="21" customFormat="1" ht="32.1" customHeight="1" thickBot="1" x14ac:dyDescent="0.3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36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42">
        <v>26</v>
      </c>
      <c r="AH26" s="37"/>
      <c r="AI26" s="63">
        <f t="shared" si="1"/>
        <v>32.07</v>
      </c>
    </row>
    <row r="27" spans="2:35" s="21" customFormat="1" ht="32.1" customHeight="1" thickBot="1" x14ac:dyDescent="0.3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36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42">
        <v>26</v>
      </c>
      <c r="AH27" s="37"/>
      <c r="AI27" s="83">
        <f t="shared" si="1"/>
        <v>32.07</v>
      </c>
    </row>
    <row r="28" spans="2:35" s="21" customFormat="1" ht="32.1" customHeight="1" thickBot="1" x14ac:dyDescent="0.3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36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42">
        <v>26</v>
      </c>
      <c r="AH28" s="37"/>
      <c r="AI28" s="43">
        <f t="shared" si="1"/>
        <v>32.07</v>
      </c>
    </row>
    <row r="29" spans="2:35" s="21" customFormat="1" ht="32.1" customHeight="1" thickBot="1" x14ac:dyDescent="0.3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36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42">
        <v>26</v>
      </c>
      <c r="AH29" s="37"/>
      <c r="AI29" s="83">
        <f t="shared" si="1"/>
        <v>32.07</v>
      </c>
    </row>
    <row r="30" spans="2:35" s="21" customFormat="1" ht="32.1" customHeight="1" thickBot="1" x14ac:dyDescent="0.3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36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42">
        <v>26</v>
      </c>
      <c r="AH30" s="37"/>
      <c r="AI30" s="43">
        <f t="shared" si="1"/>
        <v>31.369999999999997</v>
      </c>
    </row>
    <row r="31" spans="2:35" s="21" customFormat="1" ht="32.1" customHeight="1" thickBot="1" x14ac:dyDescent="0.3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36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42">
        <v>26</v>
      </c>
      <c r="AH31" s="37"/>
      <c r="AI31" s="63">
        <f t="shared" si="1"/>
        <v>31.759999999999998</v>
      </c>
    </row>
    <row r="32" spans="2:35" s="21" customFormat="1" ht="32.1" customHeight="1" thickBot="1" x14ac:dyDescent="0.3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36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42">
        <v>26</v>
      </c>
      <c r="AH32" s="37"/>
      <c r="AI32" s="63">
        <f t="shared" si="1"/>
        <v>32.07</v>
      </c>
    </row>
    <row r="33" spans="2:35" s="21" customFormat="1" ht="32.1" customHeight="1" thickBot="1" x14ac:dyDescent="0.3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36">
        <f t="shared" si="8"/>
        <v>0</v>
      </c>
      <c r="AA33" s="37"/>
      <c r="AB33" s="58">
        <f>AB8</f>
        <v>2.67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2.98</v>
      </c>
      <c r="AF33" s="61"/>
      <c r="AG33" s="42">
        <v>26</v>
      </c>
      <c r="AH33" s="37"/>
      <c r="AI33" s="43">
        <f t="shared" si="1"/>
        <v>28.98</v>
      </c>
    </row>
    <row r="34" spans="2:35" s="21" customFormat="1" ht="32.1" customHeight="1" thickBot="1" x14ac:dyDescent="0.3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36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42">
        <v>26</v>
      </c>
      <c r="AH34" s="37"/>
      <c r="AI34" s="43">
        <f t="shared" si="1"/>
        <v>28.16</v>
      </c>
    </row>
    <row r="35" spans="2:35" s="21" customFormat="1" ht="32.1" customHeight="1" thickBot="1" x14ac:dyDescent="0.3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36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42">
        <v>26</v>
      </c>
      <c r="AH35" s="37"/>
      <c r="AI35" s="63">
        <f t="shared" si="1"/>
        <v>28.16</v>
      </c>
    </row>
    <row r="36" spans="2:35" s="21" customFormat="1" ht="32.1" customHeight="1" thickBot="1" x14ac:dyDescent="0.3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36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42">
        <v>26</v>
      </c>
      <c r="AH36" s="37"/>
      <c r="AI36" s="63">
        <f t="shared" si="1"/>
        <v>28.16</v>
      </c>
    </row>
    <row r="37" spans="2:35" s="21" customFormat="1" ht="32.1" customHeight="1" thickBot="1" x14ac:dyDescent="0.3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36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42">
        <v>26</v>
      </c>
      <c r="AH37" s="37"/>
      <c r="AI37" s="63">
        <f t="shared" si="1"/>
        <v>28.16</v>
      </c>
    </row>
    <row r="38" spans="2:35" s="21" customFormat="1" ht="32.1" customHeight="1" thickBot="1" x14ac:dyDescent="0.3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36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42">
        <v>26</v>
      </c>
      <c r="AH38" s="37"/>
      <c r="AI38" s="83">
        <f t="shared" si="1"/>
        <v>28.16</v>
      </c>
    </row>
    <row r="39" spans="2:35" s="21" customFormat="1" ht="32.1" customHeight="1" thickBot="1" x14ac:dyDescent="0.3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36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42">
        <v>26</v>
      </c>
      <c r="AH39" s="37"/>
      <c r="AI39" s="43">
        <f t="shared" si="1"/>
        <v>28.16</v>
      </c>
    </row>
    <row r="40" spans="2:35" s="21" customFormat="1" ht="32.1" customHeight="1" thickBot="1" x14ac:dyDescent="0.3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36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42">
        <v>26</v>
      </c>
      <c r="AH40" s="37"/>
      <c r="AI40" s="63">
        <f t="shared" si="1"/>
        <v>28.16</v>
      </c>
    </row>
    <row r="41" spans="2:35" s="21" customFormat="1" ht="32.1" customHeight="1" thickBot="1" x14ac:dyDescent="0.3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36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42">
        <v>26</v>
      </c>
      <c r="AH41" s="37"/>
      <c r="AI41" s="83">
        <f t="shared" si="1"/>
        <v>28.16</v>
      </c>
    </row>
    <row r="42" spans="2:35" s="21" customFormat="1" ht="32.1" customHeight="1" thickBot="1" x14ac:dyDescent="0.3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36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42">
        <v>26</v>
      </c>
      <c r="AH42" s="37"/>
      <c r="AI42" s="107">
        <f t="shared" si="1"/>
        <v>28.16</v>
      </c>
    </row>
    <row r="43" spans="2:35" s="21" customFormat="1" ht="32.1" customHeight="1" thickBot="1" x14ac:dyDescent="0.3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36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42">
        <v>26</v>
      </c>
      <c r="AH43" s="37"/>
      <c r="AI43" s="110">
        <f t="shared" si="1"/>
        <v>28.16</v>
      </c>
    </row>
    <row r="44" spans="2:35" s="21" customFormat="1" ht="32.1" customHeight="1" thickBot="1" x14ac:dyDescent="0.3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36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42">
        <v>26</v>
      </c>
      <c r="AH44" s="37"/>
      <c r="AI44" s="63">
        <f>AG44+AE44</f>
        <v>28.16</v>
      </c>
    </row>
    <row r="45" spans="2:35" s="21" customFormat="1" ht="32.1" customHeight="1" thickBot="1" x14ac:dyDescent="0.3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36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42">
        <v>26</v>
      </c>
      <c r="AH45" s="37"/>
      <c r="AI45" s="110">
        <f t="shared" si="1"/>
        <v>29.77</v>
      </c>
    </row>
    <row r="46" spans="2:35" s="21" customFormat="1" ht="32.1" customHeight="1" thickBot="1" x14ac:dyDescent="0.3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36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42">
        <v>26</v>
      </c>
      <c r="AH46" s="37"/>
      <c r="AI46" s="83">
        <f t="shared" si="1"/>
        <v>28.16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36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42">
        <v>26</v>
      </c>
      <c r="AH47" s="37"/>
      <c r="AI47" s="107">
        <f t="shared" si="1"/>
        <v>26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36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42">
        <v>26</v>
      </c>
      <c r="AH48" s="37"/>
      <c r="AI48" s="110">
        <f t="shared" si="1"/>
        <v>26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36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42">
        <v>26</v>
      </c>
      <c r="AH49" s="37"/>
      <c r="AI49" s="83">
        <f t="shared" si="1"/>
        <v>26</v>
      </c>
    </row>
    <row r="50" spans="2:35" s="21" customFormat="1" ht="32.1" customHeight="1" thickBot="1" x14ac:dyDescent="0.3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36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42">
        <v>26</v>
      </c>
      <c r="AH50" s="37"/>
      <c r="AI50" s="63">
        <f t="shared" si="1"/>
        <v>32.07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36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42">
        <v>26</v>
      </c>
      <c r="AH51" s="37"/>
      <c r="AI51" s="125">
        <f t="shared" si="1"/>
        <v>28.16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36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42">
        <v>26</v>
      </c>
      <c r="AH52" s="37"/>
      <c r="AI52" s="43">
        <f t="shared" si="1"/>
        <v>31.07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36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42">
        <v>26</v>
      </c>
      <c r="AH53" s="37"/>
      <c r="AI53" s="125">
        <f t="shared" si="1"/>
        <v>28.16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36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42">
        <v>26</v>
      </c>
      <c r="AH54" s="37"/>
      <c r="AI54" s="125">
        <f t="shared" si="1"/>
        <v>28.16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36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42">
        <v>26</v>
      </c>
      <c r="AH55" s="37"/>
      <c r="AI55" s="125">
        <f t="shared" si="1"/>
        <v>28.16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36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42">
        <v>26</v>
      </c>
      <c r="AH56" s="37"/>
      <c r="AI56" s="125">
        <f t="shared" si="1"/>
        <v>28.16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>IF($U$6="x",(F62*3.5),"")</f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26</v>
      </c>
      <c r="AH62" s="37"/>
      <c r="AI62" s="43">
        <f t="shared" si="1"/>
        <v>28.16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ref="Z63:Z68" si="17">IF($U$6="x",(F63*3.5),"")</f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26</v>
      </c>
      <c r="AH63" s="37"/>
      <c r="AI63" s="63">
        <f t="shared" si="1"/>
        <v>28.16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17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26</v>
      </c>
      <c r="AH64" s="37"/>
      <c r="AI64" s="63">
        <f t="shared" si="1"/>
        <v>28.16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17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26</v>
      </c>
      <c r="AH65" s="37"/>
      <c r="AI65" s="63">
        <f t="shared" si="1"/>
        <v>28.16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17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26</v>
      </c>
      <c r="AH66" s="37"/>
      <c r="AI66" s="63">
        <f t="shared" si="1"/>
        <v>28.16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17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26</v>
      </c>
      <c r="AH67" s="37"/>
      <c r="AI67" s="63">
        <f t="shared" si="1"/>
        <v>28.16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57">
        <f t="shared" si="17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26</v>
      </c>
      <c r="AH68" s="37"/>
      <c r="AI68" s="125">
        <f t="shared" si="1"/>
        <v>28.16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8">+D69-C69</f>
        <v>262.5</v>
      </c>
      <c r="F69" s="136"/>
      <c r="G69" s="87">
        <v>72</v>
      </c>
      <c r="H69" s="137" t="str">
        <f t="shared" ref="H69:H70" si="19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20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8"/>
        <v>262.5</v>
      </c>
      <c r="F70" s="142"/>
      <c r="G70" s="115">
        <v>72</v>
      </c>
      <c r="H70" s="143" t="str">
        <f t="shared" si="19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20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57" t="s">
        <v>101</v>
      </c>
      <c r="C71" s="257"/>
      <c r="D71" s="257"/>
      <c r="E71" s="257"/>
      <c r="F71" s="257"/>
      <c r="G71" s="257"/>
      <c r="H71" s="147" t="str">
        <f>ROUND(((F12+F30+F52+F57+F58+F59+F60+F61)/72+(F13+F16+F18)/108+(F14+SUM(F19:F29)+F31+F32+F22+F50+F45)/63+F15/96+SUM(F34:F43)/100+SUM(F47:F49)/24+SUM(F62:F68)/100+(F51+F46+F44)/100),1)&amp;" pallets"</f>
        <v>0 pallets</v>
      </c>
      <c r="I71" s="148"/>
      <c r="J71" s="149"/>
      <c r="K71" s="150"/>
      <c r="L71" s="149"/>
      <c r="M71" s="151"/>
      <c r="N71" s="152"/>
      <c r="O71" s="152"/>
      <c r="P71" s="195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37">
        <f>SUM(I12:I70)</f>
        <v>0</v>
      </c>
      <c r="G73" s="237"/>
      <c r="H73" s="237"/>
      <c r="I73" s="238"/>
      <c r="J73" s="158"/>
      <c r="K73" s="158"/>
      <c r="L73" s="158"/>
      <c r="M73" s="249" t="s">
        <v>103</v>
      </c>
      <c r="N73" s="250"/>
      <c r="O73" s="237">
        <f>SUM(Q12:Q70)</f>
        <v>190800</v>
      </c>
      <c r="P73" s="237"/>
      <c r="Q73" s="238"/>
      <c r="R73" s="152"/>
      <c r="S73" s="159" t="s">
        <v>104</v>
      </c>
      <c r="T73" s="242">
        <f>SUM(Y12:Y68)</f>
        <v>0</v>
      </c>
      <c r="U73" s="243"/>
      <c r="V73" s="160"/>
      <c r="W73" s="160"/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37">
        <f>SUM(I14:I72)</f>
        <v>0</v>
      </c>
      <c r="G75" s="237"/>
      <c r="H75" s="237"/>
      <c r="I75" s="238"/>
      <c r="J75" s="158"/>
      <c r="K75" s="158"/>
      <c r="L75" s="158"/>
      <c r="M75" s="249" t="s">
        <v>103</v>
      </c>
      <c r="N75" s="250"/>
      <c r="O75" s="237">
        <f>SUM(Q14:Q72)</f>
        <v>142524</v>
      </c>
      <c r="P75" s="237"/>
      <c r="Q75" s="238"/>
      <c r="R75" s="152"/>
      <c r="S75" s="159" t="s">
        <v>129</v>
      </c>
      <c r="T75" s="242">
        <f>SUM(Z12:Z70)</f>
        <v>0</v>
      </c>
      <c r="U75" s="243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37">
        <f>IF(U7&gt;0,"",(F73-O73-T79-P79))</f>
        <v>-190800</v>
      </c>
      <c r="G77" s="237"/>
      <c r="H77" s="237"/>
      <c r="I77" s="238"/>
      <c r="J77" s="164"/>
      <c r="K77" s="164"/>
      <c r="L77" s="164"/>
      <c r="M77" s="239" t="s">
        <v>106</v>
      </c>
      <c r="N77" s="239"/>
      <c r="O77" s="168" t="s">
        <v>107</v>
      </c>
      <c r="P77" s="240"/>
      <c r="Q77" s="241"/>
      <c r="R77" s="152"/>
      <c r="S77" s="159" t="s">
        <v>108</v>
      </c>
      <c r="T77" s="242">
        <f>IF(SUM(X12:X68)*0.15&gt;P77,P77,SUM(X12:X68)*0.15)</f>
        <v>0</v>
      </c>
      <c r="U77" s="243"/>
      <c r="V77" s="160"/>
      <c r="W77" s="244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45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37"/>
      <c r="G79" s="237"/>
      <c r="H79" s="237"/>
      <c r="I79" s="238"/>
      <c r="J79" s="164"/>
      <c r="K79" s="164"/>
      <c r="L79" s="164"/>
      <c r="M79" s="247" t="str">
        <f>IF(U6&gt;0,"",T4+30)</f>
        <v/>
      </c>
      <c r="N79" s="248"/>
      <c r="O79" s="168" t="s">
        <v>111</v>
      </c>
      <c r="P79" s="240"/>
      <c r="Q79" s="241"/>
      <c r="R79" s="152"/>
      <c r="S79" s="159" t="s">
        <v>112</v>
      </c>
      <c r="T79" s="242">
        <f>T77+T73+T75</f>
        <v>0</v>
      </c>
      <c r="U79" s="243"/>
      <c r="V79" s="160"/>
      <c r="W79" s="246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14" t="s">
        <v>113</v>
      </c>
      <c r="C81" s="215"/>
      <c r="D81" s="215"/>
      <c r="E81" s="215"/>
      <c r="F81" s="215"/>
      <c r="G81" s="215"/>
      <c r="H81" s="216"/>
      <c r="I81" s="223" t="s">
        <v>114</v>
      </c>
      <c r="J81" s="171"/>
      <c r="K81" s="171"/>
      <c r="L81" s="171"/>
      <c r="M81" s="225"/>
      <c r="N81" s="228" t="s">
        <v>115</v>
      </c>
      <c r="O81" s="231"/>
      <c r="P81" s="225"/>
      <c r="Q81" s="208" t="s">
        <v>116</v>
      </c>
      <c r="R81" s="234"/>
      <c r="S81" s="205"/>
      <c r="T81" s="208" t="s">
        <v>117</v>
      </c>
      <c r="U81" s="211"/>
    </row>
    <row r="82" spans="2:21" ht="15" customHeight="1" x14ac:dyDescent="0.25">
      <c r="B82" s="217"/>
      <c r="C82" s="218"/>
      <c r="D82" s="218"/>
      <c r="E82" s="218"/>
      <c r="F82" s="218"/>
      <c r="G82" s="218"/>
      <c r="H82" s="219"/>
      <c r="I82" s="202"/>
      <c r="J82" s="2"/>
      <c r="K82" s="2"/>
      <c r="L82" s="2"/>
      <c r="M82" s="226"/>
      <c r="N82" s="229"/>
      <c r="O82" s="232"/>
      <c r="P82" s="226"/>
      <c r="Q82" s="209"/>
      <c r="R82" s="235"/>
      <c r="S82" s="206"/>
      <c r="T82" s="209"/>
      <c r="U82" s="212"/>
    </row>
    <row r="83" spans="2:21" ht="15.75" customHeight="1" thickBot="1" x14ac:dyDescent="0.3">
      <c r="B83" s="220"/>
      <c r="C83" s="221"/>
      <c r="D83" s="221"/>
      <c r="E83" s="221"/>
      <c r="F83" s="221"/>
      <c r="G83" s="221"/>
      <c r="H83" s="222"/>
      <c r="I83" s="224"/>
      <c r="J83" s="172"/>
      <c r="K83" s="172"/>
      <c r="L83" s="172"/>
      <c r="M83" s="227"/>
      <c r="N83" s="230"/>
      <c r="O83" s="233"/>
      <c r="P83" s="227"/>
      <c r="Q83" s="210"/>
      <c r="R83" s="236"/>
      <c r="S83" s="207"/>
      <c r="T83" s="210"/>
      <c r="U83" s="213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196" t="s">
        <v>132</v>
      </c>
      <c r="C88" s="197"/>
      <c r="D88" s="197"/>
      <c r="E88" s="197"/>
      <c r="F88" s="197"/>
      <c r="G88" s="197"/>
      <c r="H88" s="197"/>
      <c r="I88" s="198"/>
      <c r="J88" s="185"/>
      <c r="K88" s="185"/>
      <c r="L88" s="185"/>
      <c r="M88" s="196"/>
      <c r="N88" s="197"/>
      <c r="O88" s="197"/>
      <c r="P88" s="197"/>
      <c r="Q88" s="198"/>
      <c r="R88" s="187"/>
      <c r="S88" s="188"/>
      <c r="T88" s="188"/>
      <c r="U88" s="189"/>
    </row>
    <row r="89" spans="2:21" ht="18" x14ac:dyDescent="0.25">
      <c r="B89" s="199" t="s">
        <v>122</v>
      </c>
      <c r="C89" s="200"/>
      <c r="D89" s="200"/>
      <c r="E89" s="200"/>
      <c r="F89" s="200"/>
      <c r="G89" s="200"/>
      <c r="H89" s="200"/>
      <c r="I89" s="201"/>
      <c r="M89" s="199" t="s">
        <v>122</v>
      </c>
      <c r="N89" s="200"/>
      <c r="O89" s="200"/>
      <c r="P89" s="200"/>
      <c r="Q89" s="201"/>
      <c r="R89" s="202" t="s">
        <v>123</v>
      </c>
      <c r="S89" s="203"/>
      <c r="T89" s="203"/>
      <c r="U89" s="204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196" t="s">
        <v>133</v>
      </c>
      <c r="C93" s="197"/>
      <c r="D93" s="197"/>
      <c r="E93" s="197"/>
      <c r="F93" s="197"/>
      <c r="G93" s="197"/>
      <c r="H93" s="197"/>
      <c r="I93" s="198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199" t="s">
        <v>126</v>
      </c>
      <c r="C94" s="200"/>
      <c r="D94" s="200"/>
      <c r="E94" s="200"/>
      <c r="F94" s="200"/>
      <c r="G94" s="200"/>
      <c r="H94" s="200"/>
      <c r="I94" s="201"/>
      <c r="M94" s="179"/>
      <c r="Q94" s="180"/>
      <c r="R94" s="202" t="s">
        <v>127</v>
      </c>
      <c r="S94" s="203"/>
      <c r="T94" s="203"/>
      <c r="U94" s="204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B9:B11"/>
    <mergeCell ref="C9:C11"/>
    <mergeCell ref="D9:D11"/>
    <mergeCell ref="E9:E11"/>
    <mergeCell ref="F9:Q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4E21CF-DBC1-4B3D-A040-B80AC75BFEF5}">
  <sheetPr>
    <tabColor rgb="FF00B050"/>
    <pageSetUpPr fitToPage="1"/>
  </sheetPr>
  <dimension ref="A1:AJ100"/>
  <sheetViews>
    <sheetView showGridLines="0" topLeftCell="A63" zoomScale="85" zoomScaleNormal="85" workbookViewId="0">
      <pane xSplit="2" topLeftCell="C1" activePane="topRight" state="frozen"/>
      <selection activeCell="P79" sqref="P79:Q79"/>
      <selection pane="topRight" activeCell="M13" sqref="M13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9.28515625" style="3" bestFit="1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86" t="s">
        <v>130</v>
      </c>
      <c r="G2" s="286"/>
      <c r="H2" s="286"/>
      <c r="I2" s="286"/>
      <c r="J2" s="286"/>
      <c r="K2" s="286"/>
      <c r="L2" s="286"/>
      <c r="M2" s="286"/>
      <c r="N2" s="286"/>
      <c r="O2" s="286"/>
      <c r="P2" s="286"/>
      <c r="Q2" s="286"/>
      <c r="R2" s="286"/>
      <c r="S2" s="286"/>
      <c r="T2" s="6" t="s">
        <v>1</v>
      </c>
      <c r="U2" s="7"/>
      <c r="W2" s="244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45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87"/>
      <c r="G4" s="287"/>
      <c r="H4" s="287"/>
      <c r="I4" s="287"/>
      <c r="J4" s="287"/>
      <c r="K4" s="287"/>
      <c r="L4" s="287"/>
      <c r="M4" s="287"/>
      <c r="S4" s="2" t="s">
        <v>4</v>
      </c>
      <c r="T4" s="288"/>
      <c r="U4" s="288"/>
      <c r="W4" s="246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89"/>
      <c r="G6" s="289"/>
      <c r="H6" s="289"/>
      <c r="I6" s="289"/>
      <c r="J6" s="289"/>
      <c r="K6" s="289"/>
      <c r="L6" s="289"/>
      <c r="M6" s="289"/>
      <c r="S6" s="11" t="s">
        <v>6</v>
      </c>
      <c r="T6" s="195" t="s">
        <v>7</v>
      </c>
      <c r="U6" s="12" t="s">
        <v>131</v>
      </c>
      <c r="W6" s="244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89"/>
      <c r="G7" s="289"/>
      <c r="H7" s="289"/>
      <c r="I7" s="289"/>
      <c r="J7" s="289"/>
      <c r="K7" s="289"/>
      <c r="L7" s="289"/>
      <c r="M7" s="289"/>
      <c r="N7" s="14"/>
      <c r="O7" s="14"/>
      <c r="P7" s="14"/>
      <c r="Q7" s="15"/>
      <c r="S7" s="14"/>
      <c r="T7" s="195" t="s">
        <v>11</v>
      </c>
      <c r="U7" s="12"/>
      <c r="W7" s="246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2.67</v>
      </c>
      <c r="AD8" s="2">
        <v>0.31</v>
      </c>
      <c r="AE8" s="11" t="s">
        <v>13</v>
      </c>
    </row>
    <row r="9" spans="2:35" s="16" customFormat="1" ht="20.25" x14ac:dyDescent="0.25">
      <c r="B9" s="258" t="s">
        <v>14</v>
      </c>
      <c r="C9" s="261" t="s">
        <v>15</v>
      </c>
      <c r="D9" s="261" t="s">
        <v>16</v>
      </c>
      <c r="E9" s="261" t="s">
        <v>17</v>
      </c>
      <c r="F9" s="264" t="s">
        <v>18</v>
      </c>
      <c r="G9" s="265"/>
      <c r="H9" s="265"/>
      <c r="I9" s="265"/>
      <c r="J9" s="265"/>
      <c r="K9" s="265"/>
      <c r="L9" s="265"/>
      <c r="M9" s="265"/>
      <c r="N9" s="265"/>
      <c r="O9" s="265"/>
      <c r="P9" s="265"/>
      <c r="Q9" s="266"/>
      <c r="S9" s="264" t="s">
        <v>19</v>
      </c>
      <c r="T9" s="265"/>
      <c r="U9" s="266"/>
      <c r="X9" s="271" t="s">
        <v>20</v>
      </c>
      <c r="Y9" s="274" t="s">
        <v>21</v>
      </c>
      <c r="Z9" s="274" t="s">
        <v>128</v>
      </c>
      <c r="AA9" s="17"/>
      <c r="AB9" s="251" t="s">
        <v>22</v>
      </c>
      <c r="AC9" s="277" t="s">
        <v>23</v>
      </c>
      <c r="AD9" s="280" t="s">
        <v>24</v>
      </c>
      <c r="AE9" s="251" t="s">
        <v>25</v>
      </c>
      <c r="AG9" s="251" t="s">
        <v>26</v>
      </c>
      <c r="AH9" s="17"/>
      <c r="AI9" s="251" t="s">
        <v>27</v>
      </c>
    </row>
    <row r="10" spans="2:35" s="16" customFormat="1" ht="20.25" customHeight="1" x14ac:dyDescent="0.25">
      <c r="B10" s="259"/>
      <c r="C10" s="262"/>
      <c r="D10" s="262"/>
      <c r="E10" s="262"/>
      <c r="F10" s="268" t="s">
        <v>28</v>
      </c>
      <c r="G10" s="268" t="s">
        <v>29</v>
      </c>
      <c r="H10" s="268" t="s">
        <v>30</v>
      </c>
      <c r="I10" s="269" t="s">
        <v>31</v>
      </c>
      <c r="J10" s="269" t="s">
        <v>32</v>
      </c>
      <c r="K10" s="269" t="s">
        <v>33</v>
      </c>
      <c r="L10" s="269" t="s">
        <v>34</v>
      </c>
      <c r="M10" s="283" t="s">
        <v>35</v>
      </c>
      <c r="N10" s="284"/>
      <c r="O10" s="284"/>
      <c r="P10" s="284"/>
      <c r="Q10" s="285"/>
      <c r="S10" s="254" t="s">
        <v>36</v>
      </c>
      <c r="T10" s="255"/>
      <c r="U10" s="256"/>
      <c r="X10" s="272"/>
      <c r="Y10" s="275"/>
      <c r="Z10" s="275"/>
      <c r="AA10" s="17"/>
      <c r="AB10" s="252"/>
      <c r="AC10" s="278"/>
      <c r="AD10" s="281"/>
      <c r="AE10" s="252"/>
      <c r="AG10" s="252"/>
      <c r="AH10" s="17"/>
      <c r="AI10" s="252"/>
    </row>
    <row r="11" spans="2:35" s="21" customFormat="1" ht="12.75" customHeight="1" thickBot="1" x14ac:dyDescent="0.3">
      <c r="B11" s="260"/>
      <c r="C11" s="263"/>
      <c r="D11" s="263"/>
      <c r="E11" s="263"/>
      <c r="F11" s="263"/>
      <c r="G11" s="263"/>
      <c r="H11" s="263"/>
      <c r="I11" s="270"/>
      <c r="J11" s="270"/>
      <c r="K11" s="270"/>
      <c r="L11" s="270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73"/>
      <c r="Y11" s="276"/>
      <c r="Z11" s="276"/>
      <c r="AA11" s="17"/>
      <c r="AB11" s="253"/>
      <c r="AC11" s="279"/>
      <c r="AD11" s="282"/>
      <c r="AE11" s="253"/>
      <c r="AG11" s="267"/>
      <c r="AH11" s="17"/>
      <c r="AI11" s="253"/>
    </row>
    <row r="12" spans="2:35" s="21" customFormat="1" ht="32.1" customHeight="1" thickBot="1" x14ac:dyDescent="0.3">
      <c r="B12" s="23" t="s">
        <v>42</v>
      </c>
      <c r="C12" s="24">
        <v>912</v>
      </c>
      <c r="D12" s="24">
        <v>120</v>
      </c>
      <c r="E12" s="24">
        <f>C12+D12</f>
        <v>1032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IF($U$6="x",(F12*3.5),"")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26</v>
      </c>
      <c r="AH12" s="37"/>
      <c r="AI12" s="43">
        <f t="shared" ref="AI12:AI68" si="1">AG12+AE12</f>
        <v>31.369999999999997</v>
      </c>
    </row>
    <row r="13" spans="2:35" s="21" customFormat="1" ht="32.1" customHeight="1" thickBot="1" x14ac:dyDescent="0.3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>
        <v>108</v>
      </c>
      <c r="N13" s="51">
        <v>324</v>
      </c>
      <c r="O13" s="51"/>
      <c r="P13" s="52" t="str">
        <f t="shared" ref="P13:P68" si="5">IF(M13&amp;N13="","",ROUND(((M13+N13)/G13),1)&amp;" pallets")</f>
        <v>4 pallets</v>
      </c>
      <c r="Q13" s="53">
        <f t="shared" ref="Q13:Q70" si="6">(J13*M13)+(K13*N13)+(O13*L13)</f>
        <v>39204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36">
        <f t="shared" ref="Z13:Z56" si="8">IF($U$6="x",(F13*3.5),"")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42">
        <v>26</v>
      </c>
      <c r="AH13" s="37"/>
      <c r="AI13" s="63">
        <f t="shared" si="1"/>
        <v>29.64</v>
      </c>
    </row>
    <row r="14" spans="2:35" s="21" customFormat="1" ht="32.1" customHeight="1" thickBot="1" x14ac:dyDescent="0.3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>
        <v>63</v>
      </c>
      <c r="N14" s="51">
        <v>126</v>
      </c>
      <c r="O14" s="51"/>
      <c r="P14" s="52" t="str">
        <f t="shared" si="5"/>
        <v>3 pallets</v>
      </c>
      <c r="Q14" s="53">
        <f t="shared" si="6"/>
        <v>18144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36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42">
        <v>26</v>
      </c>
      <c r="AH14" s="37"/>
      <c r="AI14" s="63">
        <f t="shared" si="1"/>
        <v>32.07</v>
      </c>
    </row>
    <row r="15" spans="2:35" s="21" customFormat="1" ht="32.1" customHeight="1" thickBot="1" x14ac:dyDescent="0.3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>
        <v>96</v>
      </c>
      <c r="O15" s="51"/>
      <c r="P15" s="52" t="str">
        <f t="shared" si="5"/>
        <v>1 pallets</v>
      </c>
      <c r="Q15" s="53">
        <f t="shared" si="6"/>
        <v>8064</v>
      </c>
      <c r="S15" s="54"/>
      <c r="T15" s="54"/>
      <c r="U15" s="55"/>
      <c r="X15" s="56">
        <f t="shared" si="7"/>
        <v>0</v>
      </c>
      <c r="Y15" s="57">
        <f>F15*AI15</f>
        <v>0</v>
      </c>
      <c r="Z15" s="36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42">
        <v>26</v>
      </c>
      <c r="AH15" s="37"/>
      <c r="AI15" s="63">
        <f t="shared" si="1"/>
        <v>30.1</v>
      </c>
    </row>
    <row r="16" spans="2:35" s="21" customFormat="1" ht="32.1" customHeight="1" thickBot="1" x14ac:dyDescent="0.3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/>
      <c r="G16" s="47">
        <v>108</v>
      </c>
      <c r="H16" s="64"/>
      <c r="I16" s="49">
        <f t="shared" si="4"/>
        <v>0</v>
      </c>
      <c r="J16" s="50">
        <v>111</v>
      </c>
      <c r="K16" s="65"/>
      <c r="L16" s="50">
        <v>4.5</v>
      </c>
      <c r="M16" s="51">
        <v>756</v>
      </c>
      <c r="N16" s="193"/>
      <c r="O16" s="51"/>
      <c r="P16" s="52" t="str">
        <f t="shared" si="5"/>
        <v>7 pallets</v>
      </c>
      <c r="Q16" s="53">
        <f t="shared" si="6"/>
        <v>83916</v>
      </c>
      <c r="S16" s="54"/>
      <c r="T16" s="67"/>
      <c r="U16" s="55"/>
      <c r="X16" s="56">
        <f t="shared" si="7"/>
        <v>0</v>
      </c>
      <c r="Y16" s="57">
        <f>F16*AI16</f>
        <v>0</v>
      </c>
      <c r="Z16" s="36">
        <f t="shared" si="8"/>
        <v>0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42">
        <v>26</v>
      </c>
      <c r="AH16" s="37"/>
      <c r="AI16" s="63">
        <f t="shared" si="1"/>
        <v>29.64</v>
      </c>
    </row>
    <row r="17" spans="2:35" s="21" customFormat="1" ht="32.1" customHeight="1" thickBot="1" x14ac:dyDescent="0.3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36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42">
        <v>26</v>
      </c>
      <c r="AH17" s="37"/>
      <c r="AI17" s="63">
        <f t="shared" si="1"/>
        <v>29.64</v>
      </c>
    </row>
    <row r="18" spans="2:35" s="21" customFormat="1" ht="32.1" customHeight="1" thickBot="1" x14ac:dyDescent="0.3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36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42">
        <v>26</v>
      </c>
      <c r="AH18" s="37"/>
      <c r="AI18" s="63">
        <f t="shared" si="1"/>
        <v>29.64</v>
      </c>
    </row>
    <row r="19" spans="2:35" s="21" customFormat="1" ht="32.1" customHeight="1" thickBot="1" x14ac:dyDescent="0.3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36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42">
        <v>26</v>
      </c>
      <c r="AH19" s="37"/>
      <c r="AI19" s="83">
        <f t="shared" si="1"/>
        <v>32.07</v>
      </c>
    </row>
    <row r="20" spans="2:35" s="21" customFormat="1" ht="32.1" customHeight="1" thickBot="1" x14ac:dyDescent="0.3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36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42">
        <v>26</v>
      </c>
      <c r="AH20" s="37"/>
      <c r="AI20" s="63">
        <f t="shared" si="1"/>
        <v>32.07</v>
      </c>
    </row>
    <row r="21" spans="2:35" s="21" customFormat="1" ht="32.1" customHeight="1" thickBot="1" x14ac:dyDescent="0.3">
      <c r="B21" s="68" t="s">
        <v>51</v>
      </c>
      <c r="C21" s="45">
        <v>872</v>
      </c>
      <c r="D21" s="69">
        <v>120</v>
      </c>
      <c r="E21" s="69">
        <f t="shared" si="2"/>
        <v>992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36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42">
        <v>26</v>
      </c>
      <c r="AH21" s="37"/>
      <c r="AI21" s="83">
        <f t="shared" si="1"/>
        <v>32.07</v>
      </c>
    </row>
    <row r="22" spans="2:35" s="21" customFormat="1" ht="32.1" customHeight="1" thickBot="1" x14ac:dyDescent="0.3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36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42">
        <v>26</v>
      </c>
      <c r="AH22" s="37"/>
      <c r="AI22" s="43">
        <f>AG22+AE22</f>
        <v>32.07</v>
      </c>
    </row>
    <row r="23" spans="2:35" s="21" customFormat="1" ht="32.1" customHeight="1" thickBot="1" x14ac:dyDescent="0.3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36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42">
        <v>26</v>
      </c>
      <c r="AH23" s="37"/>
      <c r="AI23" s="43">
        <f t="shared" si="1"/>
        <v>32.07</v>
      </c>
    </row>
    <row r="24" spans="2:35" s="21" customFormat="1" ht="32.1" customHeight="1" thickBot="1" x14ac:dyDescent="0.3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36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42">
        <v>26</v>
      </c>
      <c r="AH24" s="37"/>
      <c r="AI24" s="63">
        <f t="shared" si="1"/>
        <v>32.07</v>
      </c>
    </row>
    <row r="25" spans="2:35" s="21" customFormat="1" ht="32.1" customHeight="1" thickBot="1" x14ac:dyDescent="0.3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36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42">
        <v>26</v>
      </c>
      <c r="AH25" s="37"/>
      <c r="AI25" s="63">
        <f t="shared" si="1"/>
        <v>32.07</v>
      </c>
    </row>
    <row r="26" spans="2:35" s="21" customFormat="1" ht="32.1" customHeight="1" thickBot="1" x14ac:dyDescent="0.3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36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42">
        <v>26</v>
      </c>
      <c r="AH26" s="37"/>
      <c r="AI26" s="63">
        <f t="shared" si="1"/>
        <v>32.07</v>
      </c>
    </row>
    <row r="27" spans="2:35" s="21" customFormat="1" ht="32.1" customHeight="1" thickBot="1" x14ac:dyDescent="0.3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36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42">
        <v>26</v>
      </c>
      <c r="AH27" s="37"/>
      <c r="AI27" s="83">
        <f t="shared" si="1"/>
        <v>32.07</v>
      </c>
    </row>
    <row r="28" spans="2:35" s="21" customFormat="1" ht="32.1" customHeight="1" thickBot="1" x14ac:dyDescent="0.3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36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42">
        <v>26</v>
      </c>
      <c r="AH28" s="37"/>
      <c r="AI28" s="43">
        <f t="shared" si="1"/>
        <v>32.07</v>
      </c>
    </row>
    <row r="29" spans="2:35" s="21" customFormat="1" ht="32.1" customHeight="1" thickBot="1" x14ac:dyDescent="0.3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36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42">
        <v>26</v>
      </c>
      <c r="AH29" s="37"/>
      <c r="AI29" s="83">
        <f t="shared" si="1"/>
        <v>32.07</v>
      </c>
    </row>
    <row r="30" spans="2:35" s="21" customFormat="1" ht="32.1" customHeight="1" thickBot="1" x14ac:dyDescent="0.3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36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42">
        <v>26</v>
      </c>
      <c r="AH30" s="37"/>
      <c r="AI30" s="43">
        <f t="shared" si="1"/>
        <v>31.369999999999997</v>
      </c>
    </row>
    <row r="31" spans="2:35" s="21" customFormat="1" ht="32.1" customHeight="1" thickBot="1" x14ac:dyDescent="0.3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36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42">
        <v>26</v>
      </c>
      <c r="AH31" s="37"/>
      <c r="AI31" s="63">
        <f t="shared" si="1"/>
        <v>31.759999999999998</v>
      </c>
    </row>
    <row r="32" spans="2:35" s="21" customFormat="1" ht="32.1" customHeight="1" thickBot="1" x14ac:dyDescent="0.3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36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42">
        <v>26</v>
      </c>
      <c r="AH32" s="37"/>
      <c r="AI32" s="63">
        <f t="shared" si="1"/>
        <v>32.07</v>
      </c>
    </row>
    <row r="33" spans="2:35" s="21" customFormat="1" ht="32.1" customHeight="1" thickBot="1" x14ac:dyDescent="0.3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36">
        <f t="shared" si="8"/>
        <v>0</v>
      </c>
      <c r="AA33" s="37"/>
      <c r="AB33" s="58">
        <f>AB8</f>
        <v>2.67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2.98</v>
      </c>
      <c r="AF33" s="61"/>
      <c r="AG33" s="42">
        <v>26</v>
      </c>
      <c r="AH33" s="37"/>
      <c r="AI33" s="43">
        <f t="shared" si="1"/>
        <v>28.98</v>
      </c>
    </row>
    <row r="34" spans="2:35" s="21" customFormat="1" ht="32.1" customHeight="1" thickBot="1" x14ac:dyDescent="0.3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36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42">
        <v>26</v>
      </c>
      <c r="AH34" s="37"/>
      <c r="AI34" s="43">
        <f t="shared" si="1"/>
        <v>28.16</v>
      </c>
    </row>
    <row r="35" spans="2:35" s="21" customFormat="1" ht="32.1" customHeight="1" thickBot="1" x14ac:dyDescent="0.3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36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42">
        <v>26</v>
      </c>
      <c r="AH35" s="37"/>
      <c r="AI35" s="63">
        <f t="shared" si="1"/>
        <v>28.16</v>
      </c>
    </row>
    <row r="36" spans="2:35" s="21" customFormat="1" ht="32.1" customHeight="1" thickBot="1" x14ac:dyDescent="0.3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36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42">
        <v>26</v>
      </c>
      <c r="AH36" s="37"/>
      <c r="AI36" s="63">
        <f t="shared" si="1"/>
        <v>28.16</v>
      </c>
    </row>
    <row r="37" spans="2:35" s="21" customFormat="1" ht="32.1" customHeight="1" thickBot="1" x14ac:dyDescent="0.3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36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42">
        <v>26</v>
      </c>
      <c r="AH37" s="37"/>
      <c r="AI37" s="63">
        <f t="shared" si="1"/>
        <v>28.16</v>
      </c>
    </row>
    <row r="38" spans="2:35" s="21" customFormat="1" ht="32.1" customHeight="1" thickBot="1" x14ac:dyDescent="0.3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36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42">
        <v>26</v>
      </c>
      <c r="AH38" s="37"/>
      <c r="AI38" s="83">
        <f t="shared" si="1"/>
        <v>28.16</v>
      </c>
    </row>
    <row r="39" spans="2:35" s="21" customFormat="1" ht="32.1" customHeight="1" thickBot="1" x14ac:dyDescent="0.3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36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42">
        <v>26</v>
      </c>
      <c r="AH39" s="37"/>
      <c r="AI39" s="43">
        <f t="shared" si="1"/>
        <v>28.16</v>
      </c>
    </row>
    <row r="40" spans="2:35" s="21" customFormat="1" ht="32.1" customHeight="1" thickBot="1" x14ac:dyDescent="0.3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36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42">
        <v>26</v>
      </c>
      <c r="AH40" s="37"/>
      <c r="AI40" s="63">
        <f t="shared" si="1"/>
        <v>28.16</v>
      </c>
    </row>
    <row r="41" spans="2:35" s="21" customFormat="1" ht="32.1" customHeight="1" thickBot="1" x14ac:dyDescent="0.3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36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42">
        <v>26</v>
      </c>
      <c r="AH41" s="37"/>
      <c r="AI41" s="83">
        <f t="shared" si="1"/>
        <v>28.16</v>
      </c>
    </row>
    <row r="42" spans="2:35" s="21" customFormat="1" ht="32.1" customHeight="1" thickBot="1" x14ac:dyDescent="0.3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36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42">
        <v>26</v>
      </c>
      <c r="AH42" s="37"/>
      <c r="AI42" s="107">
        <f t="shared" si="1"/>
        <v>28.16</v>
      </c>
    </row>
    <row r="43" spans="2:35" s="21" customFormat="1" ht="32.1" customHeight="1" thickBot="1" x14ac:dyDescent="0.3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36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42">
        <v>26</v>
      </c>
      <c r="AH43" s="37"/>
      <c r="AI43" s="110">
        <f t="shared" si="1"/>
        <v>28.16</v>
      </c>
    </row>
    <row r="44" spans="2:35" s="21" customFormat="1" ht="32.1" customHeight="1" thickBot="1" x14ac:dyDescent="0.3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36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42">
        <v>26</v>
      </c>
      <c r="AH44" s="37"/>
      <c r="AI44" s="63">
        <f>AG44+AE44</f>
        <v>28.16</v>
      </c>
    </row>
    <row r="45" spans="2:35" s="21" customFormat="1" ht="32.1" customHeight="1" thickBot="1" x14ac:dyDescent="0.3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36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42">
        <v>26</v>
      </c>
      <c r="AH45" s="37"/>
      <c r="AI45" s="110">
        <f t="shared" si="1"/>
        <v>29.77</v>
      </c>
    </row>
    <row r="46" spans="2:35" s="21" customFormat="1" ht="32.1" customHeight="1" thickBot="1" x14ac:dyDescent="0.3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36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42">
        <v>26</v>
      </c>
      <c r="AH46" s="37"/>
      <c r="AI46" s="83">
        <f t="shared" si="1"/>
        <v>28.16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36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42">
        <v>26</v>
      </c>
      <c r="AH47" s="37"/>
      <c r="AI47" s="107">
        <f t="shared" si="1"/>
        <v>26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36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42">
        <v>26</v>
      </c>
      <c r="AH48" s="37"/>
      <c r="AI48" s="110">
        <f t="shared" si="1"/>
        <v>26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36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42">
        <v>26</v>
      </c>
      <c r="AH49" s="37"/>
      <c r="AI49" s="83">
        <f t="shared" si="1"/>
        <v>26</v>
      </c>
    </row>
    <row r="50" spans="2:35" s="21" customFormat="1" ht="32.1" customHeight="1" thickBot="1" x14ac:dyDescent="0.3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36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42">
        <v>26</v>
      </c>
      <c r="AH50" s="37"/>
      <c r="AI50" s="63">
        <f t="shared" si="1"/>
        <v>32.07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36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42">
        <v>26</v>
      </c>
      <c r="AH51" s="37"/>
      <c r="AI51" s="125">
        <f t="shared" si="1"/>
        <v>28.16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36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42">
        <v>26</v>
      </c>
      <c r="AH52" s="37"/>
      <c r="AI52" s="43">
        <f t="shared" si="1"/>
        <v>31.07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36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42">
        <v>26</v>
      </c>
      <c r="AH53" s="37"/>
      <c r="AI53" s="125">
        <f t="shared" si="1"/>
        <v>28.16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36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42">
        <v>26</v>
      </c>
      <c r="AH54" s="37"/>
      <c r="AI54" s="125">
        <f t="shared" si="1"/>
        <v>28.16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36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42">
        <v>26</v>
      </c>
      <c r="AH55" s="37"/>
      <c r="AI55" s="125">
        <f t="shared" si="1"/>
        <v>28.16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36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42">
        <v>26</v>
      </c>
      <c r="AH56" s="37"/>
      <c r="AI56" s="125">
        <f t="shared" si="1"/>
        <v>28.16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>IF($U$6="x",(F62*3.5),"")</f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26</v>
      </c>
      <c r="AH62" s="37"/>
      <c r="AI62" s="43">
        <f t="shared" si="1"/>
        <v>28.16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ref="Z63:Z68" si="17">IF($U$6="x",(F63*3.5),"")</f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26</v>
      </c>
      <c r="AH63" s="37"/>
      <c r="AI63" s="63">
        <f t="shared" si="1"/>
        <v>28.16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17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26</v>
      </c>
      <c r="AH64" s="37"/>
      <c r="AI64" s="63">
        <f t="shared" si="1"/>
        <v>28.16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17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26</v>
      </c>
      <c r="AH65" s="37"/>
      <c r="AI65" s="63">
        <f t="shared" si="1"/>
        <v>28.16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17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26</v>
      </c>
      <c r="AH66" s="37"/>
      <c r="AI66" s="63">
        <f t="shared" si="1"/>
        <v>28.16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17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26</v>
      </c>
      <c r="AH67" s="37"/>
      <c r="AI67" s="63">
        <f t="shared" si="1"/>
        <v>28.16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57">
        <f t="shared" si="17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26</v>
      </c>
      <c r="AH68" s="37"/>
      <c r="AI68" s="125">
        <f t="shared" si="1"/>
        <v>28.16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8">+D69-C69</f>
        <v>262.5</v>
      </c>
      <c r="F69" s="136"/>
      <c r="G69" s="87">
        <v>72</v>
      </c>
      <c r="H69" s="137" t="str">
        <f t="shared" ref="H69:H70" si="19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20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8"/>
        <v>262.5</v>
      </c>
      <c r="F70" s="142"/>
      <c r="G70" s="115">
        <v>72</v>
      </c>
      <c r="H70" s="143" t="str">
        <f t="shared" si="19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20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57" t="s">
        <v>101</v>
      </c>
      <c r="C71" s="257"/>
      <c r="D71" s="257"/>
      <c r="E71" s="257"/>
      <c r="F71" s="257"/>
      <c r="G71" s="257"/>
      <c r="H71" s="147" t="str">
        <f>ROUND(((F12+F30+F52+F57+F58+F59+F60+F61)/72+(F13+F16+F18)/108+(F14+SUM(F19:F29)+F31+F32+F22+F50+F45)/63+F15/96+SUM(F34:F43)/100+SUM(F47:F49)/24+SUM(F62:F68)/100+(F51+F46+F44)/100),1)&amp;" pallets"</f>
        <v>0 pallets</v>
      </c>
      <c r="I71" s="148"/>
      <c r="J71" s="149"/>
      <c r="K71" s="150"/>
      <c r="L71" s="149"/>
      <c r="M71" s="151"/>
      <c r="N71" s="152"/>
      <c r="O71" s="152"/>
      <c r="P71" s="195" t="str">
        <f>ROUND((((M12+N12+M30+M57+M58+M59+M60+M61+N57)/72+(M13+N13+M16+M18)/108+(M15+N15)/96+SUM(M14,M19:M29,M31:M32,M50,N14)/63)),1)&amp;" pallets"</f>
        <v>15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37">
        <f>SUM(I12:I70)</f>
        <v>0</v>
      </c>
      <c r="G73" s="237"/>
      <c r="H73" s="237"/>
      <c r="I73" s="238"/>
      <c r="J73" s="158"/>
      <c r="K73" s="158"/>
      <c r="L73" s="158"/>
      <c r="M73" s="249" t="s">
        <v>103</v>
      </c>
      <c r="N73" s="250"/>
      <c r="O73" s="237">
        <f>SUM(Q12:Q70)</f>
        <v>149328</v>
      </c>
      <c r="P73" s="237"/>
      <c r="Q73" s="238"/>
      <c r="R73" s="152"/>
      <c r="S73" s="159" t="s">
        <v>104</v>
      </c>
      <c r="T73" s="242">
        <f>SUM(Y12:Y68)</f>
        <v>0</v>
      </c>
      <c r="U73" s="243"/>
      <c r="V73" s="160"/>
      <c r="W73" s="160"/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37">
        <f>SUM(I14:I72)</f>
        <v>0</v>
      </c>
      <c r="G75" s="237"/>
      <c r="H75" s="237"/>
      <c r="I75" s="238"/>
      <c r="J75" s="158"/>
      <c r="K75" s="158"/>
      <c r="L75" s="158"/>
      <c r="M75" s="249" t="s">
        <v>103</v>
      </c>
      <c r="N75" s="250"/>
      <c r="O75" s="237">
        <f>SUM(Q14:Q72)</f>
        <v>110124</v>
      </c>
      <c r="P75" s="237"/>
      <c r="Q75" s="238"/>
      <c r="R75" s="152"/>
      <c r="S75" s="159" t="s">
        <v>129</v>
      </c>
      <c r="T75" s="242">
        <f>SUM(Z12:Z70)</f>
        <v>0</v>
      </c>
      <c r="U75" s="243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37">
        <f>IF(U7&gt;0,"",(F73-O73-T79-P79))</f>
        <v>-149328</v>
      </c>
      <c r="G77" s="237"/>
      <c r="H77" s="237"/>
      <c r="I77" s="238"/>
      <c r="J77" s="164"/>
      <c r="K77" s="164"/>
      <c r="L77" s="164"/>
      <c r="M77" s="239" t="s">
        <v>106</v>
      </c>
      <c r="N77" s="239"/>
      <c r="O77" s="168" t="s">
        <v>107</v>
      </c>
      <c r="P77" s="240"/>
      <c r="Q77" s="241"/>
      <c r="R77" s="152"/>
      <c r="S77" s="159" t="s">
        <v>108</v>
      </c>
      <c r="T77" s="242">
        <f>IF(SUM(X12:X68)*0.15&gt;P77,P77,SUM(X12:X68)*0.15)</f>
        <v>0</v>
      </c>
      <c r="U77" s="243"/>
      <c r="V77" s="160"/>
      <c r="W77" s="244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45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37"/>
      <c r="G79" s="237"/>
      <c r="H79" s="237"/>
      <c r="I79" s="238"/>
      <c r="J79" s="164"/>
      <c r="K79" s="164"/>
      <c r="L79" s="164"/>
      <c r="M79" s="247" t="str">
        <f>IF(U6&gt;0,"",T4+30)</f>
        <v/>
      </c>
      <c r="N79" s="248"/>
      <c r="O79" s="168" t="s">
        <v>111</v>
      </c>
      <c r="P79" s="240"/>
      <c r="Q79" s="241"/>
      <c r="R79" s="152"/>
      <c r="S79" s="159" t="s">
        <v>112</v>
      </c>
      <c r="T79" s="242">
        <f>T77+T73+T75</f>
        <v>0</v>
      </c>
      <c r="U79" s="243"/>
      <c r="V79" s="160"/>
      <c r="W79" s="246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14" t="s">
        <v>113</v>
      </c>
      <c r="C81" s="215"/>
      <c r="D81" s="215"/>
      <c r="E81" s="215"/>
      <c r="F81" s="215"/>
      <c r="G81" s="215"/>
      <c r="H81" s="216"/>
      <c r="I81" s="223" t="s">
        <v>114</v>
      </c>
      <c r="J81" s="171"/>
      <c r="K81" s="171"/>
      <c r="L81" s="171"/>
      <c r="M81" s="225"/>
      <c r="N81" s="228" t="s">
        <v>115</v>
      </c>
      <c r="O81" s="231"/>
      <c r="P81" s="225"/>
      <c r="Q81" s="208" t="s">
        <v>116</v>
      </c>
      <c r="R81" s="234"/>
      <c r="S81" s="205"/>
      <c r="T81" s="208" t="s">
        <v>117</v>
      </c>
      <c r="U81" s="211"/>
    </row>
    <row r="82" spans="2:21" ht="15" customHeight="1" x14ac:dyDescent="0.25">
      <c r="B82" s="217"/>
      <c r="C82" s="218"/>
      <c r="D82" s="218"/>
      <c r="E82" s="218"/>
      <c r="F82" s="218"/>
      <c r="G82" s="218"/>
      <c r="H82" s="219"/>
      <c r="I82" s="202"/>
      <c r="J82" s="2"/>
      <c r="K82" s="2"/>
      <c r="L82" s="2"/>
      <c r="M82" s="226"/>
      <c r="N82" s="229"/>
      <c r="O82" s="232"/>
      <c r="P82" s="226"/>
      <c r="Q82" s="209"/>
      <c r="R82" s="235"/>
      <c r="S82" s="206"/>
      <c r="T82" s="209"/>
      <c r="U82" s="212"/>
    </row>
    <row r="83" spans="2:21" ht="15.75" customHeight="1" thickBot="1" x14ac:dyDescent="0.3">
      <c r="B83" s="220"/>
      <c r="C83" s="221"/>
      <c r="D83" s="221"/>
      <c r="E83" s="221"/>
      <c r="F83" s="221"/>
      <c r="G83" s="221"/>
      <c r="H83" s="222"/>
      <c r="I83" s="224"/>
      <c r="J83" s="172"/>
      <c r="K83" s="172"/>
      <c r="L83" s="172"/>
      <c r="M83" s="227"/>
      <c r="N83" s="230"/>
      <c r="O83" s="233"/>
      <c r="P83" s="227"/>
      <c r="Q83" s="210"/>
      <c r="R83" s="236"/>
      <c r="S83" s="207"/>
      <c r="T83" s="210"/>
      <c r="U83" s="213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196" t="s">
        <v>132</v>
      </c>
      <c r="C88" s="197"/>
      <c r="D88" s="197"/>
      <c r="E88" s="197"/>
      <c r="F88" s="197"/>
      <c r="G88" s="197"/>
      <c r="H88" s="197"/>
      <c r="I88" s="198"/>
      <c r="J88" s="185"/>
      <c r="K88" s="185"/>
      <c r="L88" s="185"/>
      <c r="M88" s="196"/>
      <c r="N88" s="197"/>
      <c r="O88" s="197"/>
      <c r="P88" s="197"/>
      <c r="Q88" s="198"/>
      <c r="R88" s="187"/>
      <c r="S88" s="188"/>
      <c r="T88" s="188"/>
      <c r="U88" s="189"/>
    </row>
    <row r="89" spans="2:21" ht="18" x14ac:dyDescent="0.25">
      <c r="B89" s="199" t="s">
        <v>122</v>
      </c>
      <c r="C89" s="200"/>
      <c r="D89" s="200"/>
      <c r="E89" s="200"/>
      <c r="F89" s="200"/>
      <c r="G89" s="200"/>
      <c r="H89" s="200"/>
      <c r="I89" s="201"/>
      <c r="M89" s="199" t="s">
        <v>122</v>
      </c>
      <c r="N89" s="200"/>
      <c r="O89" s="200"/>
      <c r="P89" s="200"/>
      <c r="Q89" s="201"/>
      <c r="R89" s="202" t="s">
        <v>123</v>
      </c>
      <c r="S89" s="203"/>
      <c r="T89" s="203"/>
      <c r="U89" s="204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196" t="s">
        <v>133</v>
      </c>
      <c r="C93" s="197"/>
      <c r="D93" s="197"/>
      <c r="E93" s="197"/>
      <c r="F93" s="197"/>
      <c r="G93" s="197"/>
      <c r="H93" s="197"/>
      <c r="I93" s="198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199" t="s">
        <v>126</v>
      </c>
      <c r="C94" s="200"/>
      <c r="D94" s="200"/>
      <c r="E94" s="200"/>
      <c r="F94" s="200"/>
      <c r="G94" s="200"/>
      <c r="H94" s="200"/>
      <c r="I94" s="201"/>
      <c r="M94" s="179"/>
      <c r="Q94" s="180"/>
      <c r="R94" s="202" t="s">
        <v>127</v>
      </c>
      <c r="S94" s="203"/>
      <c r="T94" s="203"/>
      <c r="U94" s="204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B9:B11"/>
    <mergeCell ref="C9:C11"/>
    <mergeCell ref="D9:D11"/>
    <mergeCell ref="E9:E11"/>
    <mergeCell ref="F9:Q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F287DE-4772-4C1C-B80A-A06DECD4B4AA}">
  <sheetPr>
    <tabColor rgb="FF00B050"/>
    <pageSetUpPr fitToPage="1"/>
  </sheetPr>
  <dimension ref="A1:AJ100"/>
  <sheetViews>
    <sheetView showGridLines="0" topLeftCell="A65" zoomScale="85" zoomScaleNormal="85" workbookViewId="0">
      <pane xSplit="2" topLeftCell="C1" activePane="topRight" state="frozen"/>
      <selection activeCell="P79" sqref="P79:Q79"/>
      <selection pane="topRight" activeCell="M58" sqref="M58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9.28515625" style="3" bestFit="1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86" t="s">
        <v>130</v>
      </c>
      <c r="G2" s="286"/>
      <c r="H2" s="286"/>
      <c r="I2" s="286"/>
      <c r="J2" s="286"/>
      <c r="K2" s="286"/>
      <c r="L2" s="286"/>
      <c r="M2" s="286"/>
      <c r="N2" s="286"/>
      <c r="O2" s="286"/>
      <c r="P2" s="286"/>
      <c r="Q2" s="286"/>
      <c r="R2" s="286"/>
      <c r="S2" s="286"/>
      <c r="T2" s="6" t="s">
        <v>1</v>
      </c>
      <c r="U2" s="7"/>
      <c r="W2" s="244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45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87"/>
      <c r="G4" s="287"/>
      <c r="H4" s="287"/>
      <c r="I4" s="287"/>
      <c r="J4" s="287"/>
      <c r="K4" s="287"/>
      <c r="L4" s="287"/>
      <c r="M4" s="287"/>
      <c r="S4" s="2" t="s">
        <v>4</v>
      </c>
      <c r="T4" s="288"/>
      <c r="U4" s="288"/>
      <c r="W4" s="246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89"/>
      <c r="G6" s="289"/>
      <c r="H6" s="289"/>
      <c r="I6" s="289"/>
      <c r="J6" s="289"/>
      <c r="K6" s="289"/>
      <c r="L6" s="289"/>
      <c r="M6" s="289"/>
      <c r="S6" s="11" t="s">
        <v>6</v>
      </c>
      <c r="T6" s="195" t="s">
        <v>7</v>
      </c>
      <c r="U6" s="12" t="s">
        <v>131</v>
      </c>
      <c r="W6" s="244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89"/>
      <c r="G7" s="289"/>
      <c r="H7" s="289"/>
      <c r="I7" s="289"/>
      <c r="J7" s="289"/>
      <c r="K7" s="289"/>
      <c r="L7" s="289"/>
      <c r="M7" s="289"/>
      <c r="N7" s="14"/>
      <c r="O7" s="14"/>
      <c r="P7" s="14"/>
      <c r="Q7" s="15"/>
      <c r="S7" s="14"/>
      <c r="T7" s="195" t="s">
        <v>11</v>
      </c>
      <c r="U7" s="12"/>
      <c r="W7" s="246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2.67</v>
      </c>
      <c r="AD8" s="2">
        <v>0.31</v>
      </c>
      <c r="AE8" s="11" t="s">
        <v>13</v>
      </c>
    </row>
    <row r="9" spans="2:35" s="16" customFormat="1" ht="20.25" x14ac:dyDescent="0.25">
      <c r="B9" s="258" t="s">
        <v>14</v>
      </c>
      <c r="C9" s="261" t="s">
        <v>15</v>
      </c>
      <c r="D9" s="261" t="s">
        <v>16</v>
      </c>
      <c r="E9" s="261" t="s">
        <v>17</v>
      </c>
      <c r="F9" s="264" t="s">
        <v>18</v>
      </c>
      <c r="G9" s="265"/>
      <c r="H9" s="265"/>
      <c r="I9" s="265"/>
      <c r="J9" s="265"/>
      <c r="K9" s="265"/>
      <c r="L9" s="265"/>
      <c r="M9" s="265"/>
      <c r="N9" s="265"/>
      <c r="O9" s="265"/>
      <c r="P9" s="265"/>
      <c r="Q9" s="266"/>
      <c r="S9" s="264" t="s">
        <v>19</v>
      </c>
      <c r="T9" s="265"/>
      <c r="U9" s="266"/>
      <c r="X9" s="271" t="s">
        <v>20</v>
      </c>
      <c r="Y9" s="274" t="s">
        <v>21</v>
      </c>
      <c r="Z9" s="274" t="s">
        <v>128</v>
      </c>
      <c r="AA9" s="17"/>
      <c r="AB9" s="251" t="s">
        <v>22</v>
      </c>
      <c r="AC9" s="277" t="s">
        <v>23</v>
      </c>
      <c r="AD9" s="280" t="s">
        <v>24</v>
      </c>
      <c r="AE9" s="251" t="s">
        <v>25</v>
      </c>
      <c r="AG9" s="251" t="s">
        <v>26</v>
      </c>
      <c r="AH9" s="17"/>
      <c r="AI9" s="251" t="s">
        <v>27</v>
      </c>
    </row>
    <row r="10" spans="2:35" s="16" customFormat="1" ht="20.25" customHeight="1" x14ac:dyDescent="0.25">
      <c r="B10" s="259"/>
      <c r="C10" s="262"/>
      <c r="D10" s="262"/>
      <c r="E10" s="262"/>
      <c r="F10" s="268" t="s">
        <v>28</v>
      </c>
      <c r="G10" s="268" t="s">
        <v>29</v>
      </c>
      <c r="H10" s="268" t="s">
        <v>30</v>
      </c>
      <c r="I10" s="269" t="s">
        <v>31</v>
      </c>
      <c r="J10" s="269" t="s">
        <v>32</v>
      </c>
      <c r="K10" s="269" t="s">
        <v>33</v>
      </c>
      <c r="L10" s="269" t="s">
        <v>34</v>
      </c>
      <c r="M10" s="283" t="s">
        <v>35</v>
      </c>
      <c r="N10" s="284"/>
      <c r="O10" s="284"/>
      <c r="P10" s="284"/>
      <c r="Q10" s="285"/>
      <c r="S10" s="254" t="s">
        <v>36</v>
      </c>
      <c r="T10" s="255"/>
      <c r="U10" s="256"/>
      <c r="X10" s="272"/>
      <c r="Y10" s="275"/>
      <c r="Z10" s="275"/>
      <c r="AA10" s="17"/>
      <c r="AB10" s="252"/>
      <c r="AC10" s="278"/>
      <c r="AD10" s="281"/>
      <c r="AE10" s="252"/>
      <c r="AG10" s="252"/>
      <c r="AH10" s="17"/>
      <c r="AI10" s="252"/>
    </row>
    <row r="11" spans="2:35" s="21" customFormat="1" ht="12.75" customHeight="1" thickBot="1" x14ac:dyDescent="0.3">
      <c r="B11" s="260"/>
      <c r="C11" s="263"/>
      <c r="D11" s="263"/>
      <c r="E11" s="263"/>
      <c r="F11" s="263"/>
      <c r="G11" s="263"/>
      <c r="H11" s="263"/>
      <c r="I11" s="270"/>
      <c r="J11" s="270"/>
      <c r="K11" s="270"/>
      <c r="L11" s="270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73"/>
      <c r="Y11" s="276"/>
      <c r="Z11" s="276"/>
      <c r="AA11" s="17"/>
      <c r="AB11" s="253"/>
      <c r="AC11" s="279"/>
      <c r="AD11" s="282"/>
      <c r="AE11" s="253"/>
      <c r="AG11" s="267"/>
      <c r="AH11" s="17"/>
      <c r="AI11" s="253"/>
    </row>
    <row r="12" spans="2:35" s="21" customFormat="1" ht="32.1" customHeight="1" thickBot="1" x14ac:dyDescent="0.3">
      <c r="B12" s="23" t="s">
        <v>42</v>
      </c>
      <c r="C12" s="24">
        <v>912</v>
      </c>
      <c r="D12" s="24">
        <v>120</v>
      </c>
      <c r="E12" s="24">
        <f>C12+D12</f>
        <v>1032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IF($U$6="x",(F12*3.5),"")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26</v>
      </c>
      <c r="AH12" s="37"/>
      <c r="AI12" s="43">
        <f t="shared" ref="AI12:AI68" si="1">AG12+AE12</f>
        <v>31.369999999999997</v>
      </c>
    </row>
    <row r="13" spans="2:35" s="21" customFormat="1" ht="32.1" customHeight="1" thickBot="1" x14ac:dyDescent="0.3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/>
      <c r="N13" s="51"/>
      <c r="O13" s="51"/>
      <c r="P13" s="52" t="str">
        <f t="shared" ref="P13:P68" si="5">IF(M13&amp;N13="","",ROUND(((M13+N13)/G13),1)&amp;" pallets")</f>
        <v/>
      </c>
      <c r="Q13" s="53">
        <f t="shared" ref="Q13:Q70" si="6">(J13*M13)+(K13*N13)+(O13*L13)</f>
        <v>0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36">
        <f t="shared" ref="Z13:Z56" si="8">IF($U$6="x",(F13*3.5),"")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42">
        <v>26</v>
      </c>
      <c r="AH13" s="37"/>
      <c r="AI13" s="63">
        <f t="shared" si="1"/>
        <v>29.64</v>
      </c>
    </row>
    <row r="14" spans="2:35" s="21" customFormat="1" ht="32.1" customHeight="1" thickBot="1" x14ac:dyDescent="0.3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36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42">
        <v>26</v>
      </c>
      <c r="AH14" s="37"/>
      <c r="AI14" s="63">
        <f t="shared" si="1"/>
        <v>32.07</v>
      </c>
    </row>
    <row r="15" spans="2:35" s="21" customFormat="1" ht="32.1" customHeight="1" thickBot="1" x14ac:dyDescent="0.3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36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42">
        <v>26</v>
      </c>
      <c r="AH15" s="37"/>
      <c r="AI15" s="63">
        <f t="shared" si="1"/>
        <v>30.1</v>
      </c>
    </row>
    <row r="16" spans="2:35" s="21" customFormat="1" ht="32.1" customHeight="1" thickBot="1" x14ac:dyDescent="0.3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/>
      <c r="G16" s="47">
        <v>108</v>
      </c>
      <c r="H16" s="64"/>
      <c r="I16" s="49">
        <f t="shared" si="4"/>
        <v>0</v>
      </c>
      <c r="J16" s="50">
        <v>111</v>
      </c>
      <c r="K16" s="65"/>
      <c r="L16" s="50">
        <v>4.5</v>
      </c>
      <c r="M16" s="51"/>
      <c r="N16" s="193"/>
      <c r="O16" s="51"/>
      <c r="P16" s="52" t="str">
        <f t="shared" si="5"/>
        <v/>
      </c>
      <c r="Q16" s="53">
        <f t="shared" si="6"/>
        <v>0</v>
      </c>
      <c r="S16" s="54"/>
      <c r="T16" s="67"/>
      <c r="U16" s="55"/>
      <c r="X16" s="56">
        <f t="shared" si="7"/>
        <v>0</v>
      </c>
      <c r="Y16" s="57">
        <f>F16*AI16</f>
        <v>0</v>
      </c>
      <c r="Z16" s="36">
        <f t="shared" si="8"/>
        <v>0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42">
        <v>26</v>
      </c>
      <c r="AH16" s="37"/>
      <c r="AI16" s="63">
        <f t="shared" si="1"/>
        <v>29.64</v>
      </c>
    </row>
    <row r="17" spans="2:35" s="21" customFormat="1" ht="32.1" customHeight="1" thickBot="1" x14ac:dyDescent="0.3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36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42">
        <v>26</v>
      </c>
      <c r="AH17" s="37"/>
      <c r="AI17" s="63">
        <f t="shared" si="1"/>
        <v>29.64</v>
      </c>
    </row>
    <row r="18" spans="2:35" s="21" customFormat="1" ht="32.1" customHeight="1" thickBot="1" x14ac:dyDescent="0.3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36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42">
        <v>26</v>
      </c>
      <c r="AH18" s="37"/>
      <c r="AI18" s="63">
        <f t="shared" si="1"/>
        <v>29.64</v>
      </c>
    </row>
    <row r="19" spans="2:35" s="21" customFormat="1" ht="32.1" customHeight="1" thickBot="1" x14ac:dyDescent="0.3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36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42">
        <v>26</v>
      </c>
      <c r="AH19" s="37"/>
      <c r="AI19" s="83">
        <f t="shared" si="1"/>
        <v>32.07</v>
      </c>
    </row>
    <row r="20" spans="2:35" s="21" customFormat="1" ht="32.1" customHeight="1" thickBot="1" x14ac:dyDescent="0.3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36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42">
        <v>26</v>
      </c>
      <c r="AH20" s="37"/>
      <c r="AI20" s="63">
        <f t="shared" si="1"/>
        <v>32.07</v>
      </c>
    </row>
    <row r="21" spans="2:35" s="21" customFormat="1" ht="32.1" customHeight="1" thickBot="1" x14ac:dyDescent="0.3">
      <c r="B21" s="68" t="s">
        <v>51</v>
      </c>
      <c r="C21" s="45">
        <v>872</v>
      </c>
      <c r="D21" s="69">
        <v>120</v>
      </c>
      <c r="E21" s="69">
        <f t="shared" si="2"/>
        <v>992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36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42">
        <v>26</v>
      </c>
      <c r="AH21" s="37"/>
      <c r="AI21" s="83">
        <f t="shared" si="1"/>
        <v>32.07</v>
      </c>
    </row>
    <row r="22" spans="2:35" s="21" customFormat="1" ht="32.1" customHeight="1" thickBot="1" x14ac:dyDescent="0.3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36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42">
        <v>26</v>
      </c>
      <c r="AH22" s="37"/>
      <c r="AI22" s="43">
        <f>AG22+AE22</f>
        <v>32.07</v>
      </c>
    </row>
    <row r="23" spans="2:35" s="21" customFormat="1" ht="32.1" customHeight="1" thickBot="1" x14ac:dyDescent="0.3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36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42">
        <v>26</v>
      </c>
      <c r="AH23" s="37"/>
      <c r="AI23" s="43">
        <f t="shared" si="1"/>
        <v>32.07</v>
      </c>
    </row>
    <row r="24" spans="2:35" s="21" customFormat="1" ht="32.1" customHeight="1" thickBot="1" x14ac:dyDescent="0.3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36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42">
        <v>26</v>
      </c>
      <c r="AH24" s="37"/>
      <c r="AI24" s="63">
        <f t="shared" si="1"/>
        <v>32.07</v>
      </c>
    </row>
    <row r="25" spans="2:35" s="21" customFormat="1" ht="32.1" customHeight="1" thickBot="1" x14ac:dyDescent="0.3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36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42">
        <v>26</v>
      </c>
      <c r="AH25" s="37"/>
      <c r="AI25" s="63">
        <f t="shared" si="1"/>
        <v>32.07</v>
      </c>
    </row>
    <row r="26" spans="2:35" s="21" customFormat="1" ht="32.1" customHeight="1" thickBot="1" x14ac:dyDescent="0.3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36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42">
        <v>26</v>
      </c>
      <c r="AH26" s="37"/>
      <c r="AI26" s="63">
        <f t="shared" si="1"/>
        <v>32.07</v>
      </c>
    </row>
    <row r="27" spans="2:35" s="21" customFormat="1" ht="32.1" customHeight="1" thickBot="1" x14ac:dyDescent="0.3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36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42">
        <v>26</v>
      </c>
      <c r="AH27" s="37"/>
      <c r="AI27" s="83">
        <f t="shared" si="1"/>
        <v>32.07</v>
      </c>
    </row>
    <row r="28" spans="2:35" s="21" customFormat="1" ht="32.1" customHeight="1" thickBot="1" x14ac:dyDescent="0.3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36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42">
        <v>26</v>
      </c>
      <c r="AH28" s="37"/>
      <c r="AI28" s="43">
        <f t="shared" si="1"/>
        <v>32.07</v>
      </c>
    </row>
    <row r="29" spans="2:35" s="21" customFormat="1" ht="32.1" customHeight="1" thickBot="1" x14ac:dyDescent="0.3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36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42">
        <v>26</v>
      </c>
      <c r="AH29" s="37"/>
      <c r="AI29" s="83">
        <f t="shared" si="1"/>
        <v>32.07</v>
      </c>
    </row>
    <row r="30" spans="2:35" s="21" customFormat="1" ht="32.1" customHeight="1" thickBot="1" x14ac:dyDescent="0.3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36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42">
        <v>26</v>
      </c>
      <c r="AH30" s="37"/>
      <c r="AI30" s="43">
        <f t="shared" si="1"/>
        <v>31.369999999999997</v>
      </c>
    </row>
    <row r="31" spans="2:35" s="21" customFormat="1" ht="32.1" customHeight="1" thickBot="1" x14ac:dyDescent="0.3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36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42">
        <v>26</v>
      </c>
      <c r="AH31" s="37"/>
      <c r="AI31" s="63">
        <f t="shared" si="1"/>
        <v>31.759999999999998</v>
      </c>
    </row>
    <row r="32" spans="2:35" s="21" customFormat="1" ht="32.1" customHeight="1" thickBot="1" x14ac:dyDescent="0.3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36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42">
        <v>26</v>
      </c>
      <c r="AH32" s="37"/>
      <c r="AI32" s="63">
        <f t="shared" si="1"/>
        <v>32.07</v>
      </c>
    </row>
    <row r="33" spans="2:35" s="21" customFormat="1" ht="32.1" customHeight="1" thickBot="1" x14ac:dyDescent="0.3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36">
        <f t="shared" si="8"/>
        <v>0</v>
      </c>
      <c r="AA33" s="37"/>
      <c r="AB33" s="58">
        <f>AB8</f>
        <v>2.67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2.98</v>
      </c>
      <c r="AF33" s="61"/>
      <c r="AG33" s="42">
        <v>26</v>
      </c>
      <c r="AH33" s="37"/>
      <c r="AI33" s="43">
        <f t="shared" si="1"/>
        <v>28.98</v>
      </c>
    </row>
    <row r="34" spans="2:35" s="21" customFormat="1" ht="32.1" customHeight="1" thickBot="1" x14ac:dyDescent="0.3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36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42">
        <v>26</v>
      </c>
      <c r="AH34" s="37"/>
      <c r="AI34" s="43">
        <f t="shared" si="1"/>
        <v>28.16</v>
      </c>
    </row>
    <row r="35" spans="2:35" s="21" customFormat="1" ht="32.1" customHeight="1" thickBot="1" x14ac:dyDescent="0.3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36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42">
        <v>26</v>
      </c>
      <c r="AH35" s="37"/>
      <c r="AI35" s="63">
        <f t="shared" si="1"/>
        <v>28.16</v>
      </c>
    </row>
    <row r="36" spans="2:35" s="21" customFormat="1" ht="32.1" customHeight="1" thickBot="1" x14ac:dyDescent="0.3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36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42">
        <v>26</v>
      </c>
      <c r="AH36" s="37"/>
      <c r="AI36" s="63">
        <f t="shared" si="1"/>
        <v>28.16</v>
      </c>
    </row>
    <row r="37" spans="2:35" s="21" customFormat="1" ht="32.1" customHeight="1" thickBot="1" x14ac:dyDescent="0.3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36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42">
        <v>26</v>
      </c>
      <c r="AH37" s="37"/>
      <c r="AI37" s="63">
        <f t="shared" si="1"/>
        <v>28.16</v>
      </c>
    </row>
    <row r="38" spans="2:35" s="21" customFormat="1" ht="32.1" customHeight="1" thickBot="1" x14ac:dyDescent="0.3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36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42">
        <v>26</v>
      </c>
      <c r="AH38" s="37"/>
      <c r="AI38" s="83">
        <f t="shared" si="1"/>
        <v>28.16</v>
      </c>
    </row>
    <row r="39" spans="2:35" s="21" customFormat="1" ht="32.1" customHeight="1" thickBot="1" x14ac:dyDescent="0.3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36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42">
        <v>26</v>
      </c>
      <c r="AH39" s="37"/>
      <c r="AI39" s="43">
        <f t="shared" si="1"/>
        <v>28.16</v>
      </c>
    </row>
    <row r="40" spans="2:35" s="21" customFormat="1" ht="32.1" customHeight="1" thickBot="1" x14ac:dyDescent="0.3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36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42">
        <v>26</v>
      </c>
      <c r="AH40" s="37"/>
      <c r="AI40" s="63">
        <f t="shared" si="1"/>
        <v>28.16</v>
      </c>
    </row>
    <row r="41" spans="2:35" s="21" customFormat="1" ht="32.1" customHeight="1" thickBot="1" x14ac:dyDescent="0.3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36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42">
        <v>26</v>
      </c>
      <c r="AH41" s="37"/>
      <c r="AI41" s="83">
        <f t="shared" si="1"/>
        <v>28.16</v>
      </c>
    </row>
    <row r="42" spans="2:35" s="21" customFormat="1" ht="32.1" customHeight="1" thickBot="1" x14ac:dyDescent="0.3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36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42">
        <v>26</v>
      </c>
      <c r="AH42" s="37"/>
      <c r="AI42" s="107">
        <f t="shared" si="1"/>
        <v>28.16</v>
      </c>
    </row>
    <row r="43" spans="2:35" s="21" customFormat="1" ht="32.1" customHeight="1" thickBot="1" x14ac:dyDescent="0.3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36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42">
        <v>26</v>
      </c>
      <c r="AH43" s="37"/>
      <c r="AI43" s="110">
        <f t="shared" si="1"/>
        <v>28.16</v>
      </c>
    </row>
    <row r="44" spans="2:35" s="21" customFormat="1" ht="32.1" customHeight="1" thickBot="1" x14ac:dyDescent="0.3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36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42">
        <v>26</v>
      </c>
      <c r="AH44" s="37"/>
      <c r="AI44" s="63">
        <f>AG44+AE44</f>
        <v>28.16</v>
      </c>
    </row>
    <row r="45" spans="2:35" s="21" customFormat="1" ht="32.1" customHeight="1" thickBot="1" x14ac:dyDescent="0.3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36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42">
        <v>26</v>
      </c>
      <c r="AH45" s="37"/>
      <c r="AI45" s="110">
        <f t="shared" si="1"/>
        <v>29.77</v>
      </c>
    </row>
    <row r="46" spans="2:35" s="21" customFormat="1" ht="32.1" customHeight="1" thickBot="1" x14ac:dyDescent="0.3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36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42">
        <v>26</v>
      </c>
      <c r="AH46" s="37"/>
      <c r="AI46" s="83">
        <f t="shared" si="1"/>
        <v>28.16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36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42">
        <v>26</v>
      </c>
      <c r="AH47" s="37"/>
      <c r="AI47" s="107">
        <f t="shared" si="1"/>
        <v>26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36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42">
        <v>26</v>
      </c>
      <c r="AH48" s="37"/>
      <c r="AI48" s="110">
        <f t="shared" si="1"/>
        <v>26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36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42">
        <v>26</v>
      </c>
      <c r="AH49" s="37"/>
      <c r="AI49" s="83">
        <f t="shared" si="1"/>
        <v>26</v>
      </c>
    </row>
    <row r="50" spans="2:35" s="21" customFormat="1" ht="32.1" customHeight="1" thickBot="1" x14ac:dyDescent="0.3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36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42">
        <v>26</v>
      </c>
      <c r="AH50" s="37"/>
      <c r="AI50" s="63">
        <f t="shared" si="1"/>
        <v>32.07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36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42">
        <v>26</v>
      </c>
      <c r="AH51" s="37"/>
      <c r="AI51" s="125">
        <f t="shared" si="1"/>
        <v>28.16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36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42">
        <v>26</v>
      </c>
      <c r="AH52" s="37"/>
      <c r="AI52" s="43">
        <f t="shared" si="1"/>
        <v>31.07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36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42">
        <v>26</v>
      </c>
      <c r="AH53" s="37"/>
      <c r="AI53" s="125">
        <f t="shared" si="1"/>
        <v>28.16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36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42">
        <v>26</v>
      </c>
      <c r="AH54" s="37"/>
      <c r="AI54" s="125">
        <f t="shared" si="1"/>
        <v>28.16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36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42">
        <v>26</v>
      </c>
      <c r="AH55" s="37"/>
      <c r="AI55" s="125">
        <f t="shared" si="1"/>
        <v>28.16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36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42">
        <v>26</v>
      </c>
      <c r="AH56" s="37"/>
      <c r="AI56" s="125">
        <f t="shared" si="1"/>
        <v>28.16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>
        <v>72</v>
      </c>
      <c r="N57" s="51">
        <v>135</v>
      </c>
      <c r="O57" s="51"/>
      <c r="P57" s="52" t="str">
        <f t="shared" si="5"/>
        <v>2.9 pallets</v>
      </c>
      <c r="Q57" s="53">
        <f>(J57*M57)+(K57*N57)+(O57*L57)</f>
        <v>11286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>IF($U$6="x",(F62*3.5),"")</f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26</v>
      </c>
      <c r="AH62" s="37"/>
      <c r="AI62" s="43">
        <f t="shared" si="1"/>
        <v>28.16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ref="Z63:Z68" si="17">IF($U$6="x",(F63*3.5),"")</f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26</v>
      </c>
      <c r="AH63" s="37"/>
      <c r="AI63" s="63">
        <f t="shared" si="1"/>
        <v>28.16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17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26</v>
      </c>
      <c r="AH64" s="37"/>
      <c r="AI64" s="63">
        <f t="shared" si="1"/>
        <v>28.16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17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26</v>
      </c>
      <c r="AH65" s="37"/>
      <c r="AI65" s="63">
        <f t="shared" si="1"/>
        <v>28.16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17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26</v>
      </c>
      <c r="AH66" s="37"/>
      <c r="AI66" s="63">
        <f t="shared" si="1"/>
        <v>28.16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17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26</v>
      </c>
      <c r="AH67" s="37"/>
      <c r="AI67" s="63">
        <f t="shared" si="1"/>
        <v>28.16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57">
        <f t="shared" si="17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26</v>
      </c>
      <c r="AH68" s="37"/>
      <c r="AI68" s="125">
        <f t="shared" si="1"/>
        <v>28.16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8">+D69-C69</f>
        <v>262.5</v>
      </c>
      <c r="F69" s="136"/>
      <c r="G69" s="87">
        <v>72</v>
      </c>
      <c r="H69" s="137" t="str">
        <f t="shared" ref="H69:H70" si="19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20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8"/>
        <v>262.5</v>
      </c>
      <c r="F70" s="142"/>
      <c r="G70" s="115">
        <v>72</v>
      </c>
      <c r="H70" s="143" t="str">
        <f t="shared" si="19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20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57" t="s">
        <v>101</v>
      </c>
      <c r="C71" s="257"/>
      <c r="D71" s="257"/>
      <c r="E71" s="257"/>
      <c r="F71" s="257"/>
      <c r="G71" s="257"/>
      <c r="H71" s="147" t="str">
        <f>ROUND(((F12+F30+F52+F57+F58+F59+F60+F61)/72+(F13+F16+F18)/108+(F14+SUM(F19:F29)+F31+F32+F22+F50+F45)/63+F15/96+SUM(F34:F43)/100+SUM(F47:F49)/24+SUM(F62:F68)/100+(F51+F46+F44)/100),1)&amp;" pallets"</f>
        <v>0 pallets</v>
      </c>
      <c r="I71" s="148"/>
      <c r="J71" s="149"/>
      <c r="K71" s="150"/>
      <c r="L71" s="149"/>
      <c r="M71" s="151"/>
      <c r="N71" s="152"/>
      <c r="O71" s="152"/>
      <c r="P71" s="195" t="str">
        <f>ROUND((((M12+N12+M30+M57+M58+M59+M60+M61+N57)/72+(M13+N13+M16+M18)/108+(M15+N15)/96+SUM(M14,M19:M29,M31:M32,M50,N14)/63)),1)&amp;" pallets"</f>
        <v>2.9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37">
        <f>SUM(I12:I70)</f>
        <v>0</v>
      </c>
      <c r="G73" s="237"/>
      <c r="H73" s="237"/>
      <c r="I73" s="238"/>
      <c r="J73" s="158"/>
      <c r="K73" s="158"/>
      <c r="L73" s="158"/>
      <c r="M73" s="249" t="s">
        <v>103</v>
      </c>
      <c r="N73" s="250"/>
      <c r="O73" s="237">
        <f>SUM(Q12:Q70)</f>
        <v>11286</v>
      </c>
      <c r="P73" s="237"/>
      <c r="Q73" s="238"/>
      <c r="R73" s="152"/>
      <c r="S73" s="159" t="s">
        <v>104</v>
      </c>
      <c r="T73" s="242">
        <f>SUM(Y12:Y68)</f>
        <v>0</v>
      </c>
      <c r="U73" s="243"/>
      <c r="V73" s="160"/>
      <c r="W73" s="160"/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37">
        <f>SUM(I14:I72)</f>
        <v>0</v>
      </c>
      <c r="G75" s="237"/>
      <c r="H75" s="237"/>
      <c r="I75" s="238"/>
      <c r="J75" s="158"/>
      <c r="K75" s="158"/>
      <c r="L75" s="158"/>
      <c r="M75" s="249" t="s">
        <v>103</v>
      </c>
      <c r="N75" s="250"/>
      <c r="O75" s="237">
        <f>SUM(Q14:Q72)</f>
        <v>11286</v>
      </c>
      <c r="P75" s="237"/>
      <c r="Q75" s="238"/>
      <c r="R75" s="152"/>
      <c r="S75" s="159" t="s">
        <v>129</v>
      </c>
      <c r="T75" s="242">
        <f>SUM(Z12:Z70)</f>
        <v>0</v>
      </c>
      <c r="U75" s="243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37">
        <f>IF(U7&gt;0,"",(F73-O73-T79-P79))</f>
        <v>-11286</v>
      </c>
      <c r="G77" s="237"/>
      <c r="H77" s="237"/>
      <c r="I77" s="238"/>
      <c r="J77" s="164"/>
      <c r="K77" s="164"/>
      <c r="L77" s="164"/>
      <c r="M77" s="239" t="s">
        <v>106</v>
      </c>
      <c r="N77" s="239"/>
      <c r="O77" s="168" t="s">
        <v>107</v>
      </c>
      <c r="P77" s="240"/>
      <c r="Q77" s="241"/>
      <c r="R77" s="152"/>
      <c r="S77" s="159" t="s">
        <v>108</v>
      </c>
      <c r="T77" s="242">
        <f>IF(SUM(X12:X68)*0.15&gt;P77,P77,SUM(X12:X68)*0.15)</f>
        <v>0</v>
      </c>
      <c r="U77" s="243"/>
      <c r="V77" s="160"/>
      <c r="W77" s="244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45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37"/>
      <c r="G79" s="237"/>
      <c r="H79" s="237"/>
      <c r="I79" s="238"/>
      <c r="J79" s="164"/>
      <c r="K79" s="164"/>
      <c r="L79" s="164"/>
      <c r="M79" s="247" t="str">
        <f>IF(U6&gt;0,"",T4+30)</f>
        <v/>
      </c>
      <c r="N79" s="248"/>
      <c r="O79" s="168" t="s">
        <v>111</v>
      </c>
      <c r="P79" s="240"/>
      <c r="Q79" s="241"/>
      <c r="R79" s="152"/>
      <c r="S79" s="159" t="s">
        <v>112</v>
      </c>
      <c r="T79" s="242">
        <f>T77+T73+T75</f>
        <v>0</v>
      </c>
      <c r="U79" s="243"/>
      <c r="V79" s="160"/>
      <c r="W79" s="246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14" t="s">
        <v>113</v>
      </c>
      <c r="C81" s="215"/>
      <c r="D81" s="215"/>
      <c r="E81" s="215"/>
      <c r="F81" s="215"/>
      <c r="G81" s="215"/>
      <c r="H81" s="216"/>
      <c r="I81" s="223" t="s">
        <v>114</v>
      </c>
      <c r="J81" s="171"/>
      <c r="K81" s="171"/>
      <c r="L81" s="171"/>
      <c r="M81" s="225"/>
      <c r="N81" s="228" t="s">
        <v>115</v>
      </c>
      <c r="O81" s="231"/>
      <c r="P81" s="225"/>
      <c r="Q81" s="208" t="s">
        <v>116</v>
      </c>
      <c r="R81" s="234"/>
      <c r="S81" s="205"/>
      <c r="T81" s="208" t="s">
        <v>117</v>
      </c>
      <c r="U81" s="211"/>
    </row>
    <row r="82" spans="2:21" ht="15" customHeight="1" x14ac:dyDescent="0.25">
      <c r="B82" s="217"/>
      <c r="C82" s="218"/>
      <c r="D82" s="218"/>
      <c r="E82" s="218"/>
      <c r="F82" s="218"/>
      <c r="G82" s="218"/>
      <c r="H82" s="219"/>
      <c r="I82" s="202"/>
      <c r="J82" s="2"/>
      <c r="K82" s="2"/>
      <c r="L82" s="2"/>
      <c r="M82" s="226"/>
      <c r="N82" s="229"/>
      <c r="O82" s="232"/>
      <c r="P82" s="226"/>
      <c r="Q82" s="209"/>
      <c r="R82" s="235"/>
      <c r="S82" s="206"/>
      <c r="T82" s="209"/>
      <c r="U82" s="212"/>
    </row>
    <row r="83" spans="2:21" ht="15.75" customHeight="1" thickBot="1" x14ac:dyDescent="0.3">
      <c r="B83" s="220"/>
      <c r="C83" s="221"/>
      <c r="D83" s="221"/>
      <c r="E83" s="221"/>
      <c r="F83" s="221"/>
      <c r="G83" s="221"/>
      <c r="H83" s="222"/>
      <c r="I83" s="224"/>
      <c r="J83" s="172"/>
      <c r="K83" s="172"/>
      <c r="L83" s="172"/>
      <c r="M83" s="227"/>
      <c r="N83" s="230"/>
      <c r="O83" s="233"/>
      <c r="P83" s="227"/>
      <c r="Q83" s="210"/>
      <c r="R83" s="236"/>
      <c r="S83" s="207"/>
      <c r="T83" s="210"/>
      <c r="U83" s="213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196" t="s">
        <v>132</v>
      </c>
      <c r="C88" s="197"/>
      <c r="D88" s="197"/>
      <c r="E88" s="197"/>
      <c r="F88" s="197"/>
      <c r="G88" s="197"/>
      <c r="H88" s="197"/>
      <c r="I88" s="198"/>
      <c r="J88" s="185"/>
      <c r="K88" s="185"/>
      <c r="L88" s="185"/>
      <c r="M88" s="196"/>
      <c r="N88" s="197"/>
      <c r="O88" s="197"/>
      <c r="P88" s="197"/>
      <c r="Q88" s="198"/>
      <c r="R88" s="187"/>
      <c r="S88" s="188"/>
      <c r="T88" s="188"/>
      <c r="U88" s="189"/>
    </row>
    <row r="89" spans="2:21" ht="18" x14ac:dyDescent="0.25">
      <c r="B89" s="199" t="s">
        <v>122</v>
      </c>
      <c r="C89" s="200"/>
      <c r="D89" s="200"/>
      <c r="E89" s="200"/>
      <c r="F89" s="200"/>
      <c r="G89" s="200"/>
      <c r="H89" s="200"/>
      <c r="I89" s="201"/>
      <c r="M89" s="199" t="s">
        <v>122</v>
      </c>
      <c r="N89" s="200"/>
      <c r="O89" s="200"/>
      <c r="P89" s="200"/>
      <c r="Q89" s="201"/>
      <c r="R89" s="202" t="s">
        <v>123</v>
      </c>
      <c r="S89" s="203"/>
      <c r="T89" s="203"/>
      <c r="U89" s="204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196" t="s">
        <v>133</v>
      </c>
      <c r="C93" s="197"/>
      <c r="D93" s="197"/>
      <c r="E93" s="197"/>
      <c r="F93" s="197"/>
      <c r="G93" s="197"/>
      <c r="H93" s="197"/>
      <c r="I93" s="198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199" t="s">
        <v>126</v>
      </c>
      <c r="C94" s="200"/>
      <c r="D94" s="200"/>
      <c r="E94" s="200"/>
      <c r="F94" s="200"/>
      <c r="G94" s="200"/>
      <c r="H94" s="200"/>
      <c r="I94" s="201"/>
      <c r="M94" s="179"/>
      <c r="Q94" s="180"/>
      <c r="R94" s="202" t="s">
        <v>127</v>
      </c>
      <c r="S94" s="203"/>
      <c r="T94" s="203"/>
      <c r="U94" s="204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B9:B11"/>
    <mergeCell ref="C9:C11"/>
    <mergeCell ref="D9:D11"/>
    <mergeCell ref="E9:E11"/>
    <mergeCell ref="F9:Q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F7EAF2-83CE-496B-B892-8129FC3CC7D2}">
  <sheetPr>
    <tabColor rgb="FF00B050"/>
    <pageSetUpPr fitToPage="1"/>
  </sheetPr>
  <dimension ref="A1:AJ100"/>
  <sheetViews>
    <sheetView showGridLines="0" tabSelected="1" topLeftCell="A56" zoomScale="85" zoomScaleNormal="85" workbookViewId="0">
      <pane xSplit="2" topLeftCell="C1" activePane="topRight" state="frozen"/>
      <selection activeCell="P79" sqref="P79:Q79"/>
      <selection pane="topRight" activeCell="P79" sqref="P79:Q79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9.28515625" style="3" bestFit="1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86" t="s">
        <v>130</v>
      </c>
      <c r="G2" s="286"/>
      <c r="H2" s="286"/>
      <c r="I2" s="286"/>
      <c r="J2" s="286"/>
      <c r="K2" s="286"/>
      <c r="L2" s="286"/>
      <c r="M2" s="286"/>
      <c r="N2" s="286"/>
      <c r="O2" s="286"/>
      <c r="P2" s="286"/>
      <c r="Q2" s="286"/>
      <c r="R2" s="286"/>
      <c r="S2" s="286"/>
      <c r="T2" s="6" t="s">
        <v>1</v>
      </c>
      <c r="U2" s="7"/>
      <c r="W2" s="244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45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87"/>
      <c r="G4" s="287"/>
      <c r="H4" s="287"/>
      <c r="I4" s="287"/>
      <c r="J4" s="287"/>
      <c r="K4" s="287"/>
      <c r="L4" s="287"/>
      <c r="M4" s="287"/>
      <c r="S4" s="2" t="s">
        <v>4</v>
      </c>
      <c r="T4" s="288"/>
      <c r="U4" s="288"/>
      <c r="W4" s="246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89"/>
      <c r="G6" s="289"/>
      <c r="H6" s="289"/>
      <c r="I6" s="289"/>
      <c r="J6" s="289"/>
      <c r="K6" s="289"/>
      <c r="L6" s="289"/>
      <c r="M6" s="289"/>
      <c r="S6" s="11" t="s">
        <v>6</v>
      </c>
      <c r="T6" s="195" t="s">
        <v>7</v>
      </c>
      <c r="U6" s="12" t="s">
        <v>131</v>
      </c>
      <c r="W6" s="244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89"/>
      <c r="G7" s="289"/>
      <c r="H7" s="289"/>
      <c r="I7" s="289"/>
      <c r="J7" s="289"/>
      <c r="K7" s="289"/>
      <c r="L7" s="289"/>
      <c r="M7" s="289"/>
      <c r="N7" s="14"/>
      <c r="O7" s="14"/>
      <c r="P7" s="14"/>
      <c r="Q7" s="15"/>
      <c r="S7" s="14"/>
      <c r="T7" s="195" t="s">
        <v>11</v>
      </c>
      <c r="U7" s="12"/>
      <c r="W7" s="246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2.67</v>
      </c>
      <c r="AD8" s="2">
        <v>0.31</v>
      </c>
      <c r="AE8" s="11" t="s">
        <v>13</v>
      </c>
    </row>
    <row r="9" spans="2:35" s="16" customFormat="1" ht="20.25" x14ac:dyDescent="0.25">
      <c r="B9" s="258" t="s">
        <v>14</v>
      </c>
      <c r="C9" s="261" t="s">
        <v>15</v>
      </c>
      <c r="D9" s="261" t="s">
        <v>16</v>
      </c>
      <c r="E9" s="261" t="s">
        <v>17</v>
      </c>
      <c r="F9" s="264" t="s">
        <v>18</v>
      </c>
      <c r="G9" s="265"/>
      <c r="H9" s="265"/>
      <c r="I9" s="265"/>
      <c r="J9" s="265"/>
      <c r="K9" s="265"/>
      <c r="L9" s="265"/>
      <c r="M9" s="265"/>
      <c r="N9" s="265"/>
      <c r="O9" s="265"/>
      <c r="P9" s="265"/>
      <c r="Q9" s="266"/>
      <c r="S9" s="264" t="s">
        <v>19</v>
      </c>
      <c r="T9" s="265"/>
      <c r="U9" s="266"/>
      <c r="X9" s="271" t="s">
        <v>20</v>
      </c>
      <c r="Y9" s="274" t="s">
        <v>21</v>
      </c>
      <c r="Z9" s="274" t="s">
        <v>128</v>
      </c>
      <c r="AA9" s="17"/>
      <c r="AB9" s="251" t="s">
        <v>22</v>
      </c>
      <c r="AC9" s="277" t="s">
        <v>23</v>
      </c>
      <c r="AD9" s="280" t="s">
        <v>24</v>
      </c>
      <c r="AE9" s="251" t="s">
        <v>25</v>
      </c>
      <c r="AG9" s="251" t="s">
        <v>26</v>
      </c>
      <c r="AH9" s="17"/>
      <c r="AI9" s="251" t="s">
        <v>27</v>
      </c>
    </row>
    <row r="10" spans="2:35" s="16" customFormat="1" ht="20.25" customHeight="1" x14ac:dyDescent="0.25">
      <c r="B10" s="259"/>
      <c r="C10" s="262"/>
      <c r="D10" s="262"/>
      <c r="E10" s="262"/>
      <c r="F10" s="268" t="s">
        <v>28</v>
      </c>
      <c r="G10" s="268" t="s">
        <v>29</v>
      </c>
      <c r="H10" s="268" t="s">
        <v>30</v>
      </c>
      <c r="I10" s="269" t="s">
        <v>31</v>
      </c>
      <c r="J10" s="269" t="s">
        <v>32</v>
      </c>
      <c r="K10" s="269" t="s">
        <v>33</v>
      </c>
      <c r="L10" s="269" t="s">
        <v>34</v>
      </c>
      <c r="M10" s="283" t="s">
        <v>35</v>
      </c>
      <c r="N10" s="284"/>
      <c r="O10" s="284"/>
      <c r="P10" s="284"/>
      <c r="Q10" s="285"/>
      <c r="S10" s="254" t="s">
        <v>36</v>
      </c>
      <c r="T10" s="255"/>
      <c r="U10" s="256"/>
      <c r="X10" s="272"/>
      <c r="Y10" s="275"/>
      <c r="Z10" s="275"/>
      <c r="AA10" s="17"/>
      <c r="AB10" s="252"/>
      <c r="AC10" s="278"/>
      <c r="AD10" s="281"/>
      <c r="AE10" s="252"/>
      <c r="AG10" s="252"/>
      <c r="AH10" s="17"/>
      <c r="AI10" s="252"/>
    </row>
    <row r="11" spans="2:35" s="21" customFormat="1" ht="12.75" customHeight="1" thickBot="1" x14ac:dyDescent="0.3">
      <c r="B11" s="260"/>
      <c r="C11" s="263"/>
      <c r="D11" s="263"/>
      <c r="E11" s="263"/>
      <c r="F11" s="263"/>
      <c r="G11" s="263"/>
      <c r="H11" s="263"/>
      <c r="I11" s="270"/>
      <c r="J11" s="270"/>
      <c r="K11" s="270"/>
      <c r="L11" s="270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73"/>
      <c r="Y11" s="276"/>
      <c r="Z11" s="276"/>
      <c r="AA11" s="17"/>
      <c r="AB11" s="253"/>
      <c r="AC11" s="279"/>
      <c r="AD11" s="282"/>
      <c r="AE11" s="253"/>
      <c r="AG11" s="267"/>
      <c r="AH11" s="17"/>
      <c r="AI11" s="253"/>
    </row>
    <row r="12" spans="2:35" s="21" customFormat="1" ht="32.1" customHeight="1" thickBot="1" x14ac:dyDescent="0.3">
      <c r="B12" s="23" t="s">
        <v>42</v>
      </c>
      <c r="C12" s="24">
        <v>912</v>
      </c>
      <c r="D12" s="24">
        <v>120</v>
      </c>
      <c r="E12" s="24">
        <f>C12+D12</f>
        <v>1032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IF($U$6="x",(F12*3.5),"")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26</v>
      </c>
      <c r="AH12" s="37"/>
      <c r="AI12" s="43">
        <f t="shared" ref="AI12:AI68" si="1">AG12+AE12</f>
        <v>31.369999999999997</v>
      </c>
    </row>
    <row r="13" spans="2:35" s="21" customFormat="1" ht="32.1" customHeight="1" thickBot="1" x14ac:dyDescent="0.3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>
        <v>108</v>
      </c>
      <c r="N13" s="51"/>
      <c r="O13" s="51"/>
      <c r="P13" s="52" t="str">
        <f t="shared" ref="P13:P68" si="5">IF(M13&amp;N13="","",ROUND(((M13+N13)/G13),1)&amp;" pallets")</f>
        <v>1 pallets</v>
      </c>
      <c r="Q13" s="53">
        <f t="shared" ref="Q13:Q70" si="6">(J13*M13)+(K13*N13)+(O13*L13)</f>
        <v>11988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36">
        <f t="shared" ref="Z13:Z56" si="8">IF($U$6="x",(F13*3.5),"")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42">
        <v>26</v>
      </c>
      <c r="AH13" s="37"/>
      <c r="AI13" s="63">
        <f t="shared" si="1"/>
        <v>29.64</v>
      </c>
    </row>
    <row r="14" spans="2:35" s="21" customFormat="1" ht="32.1" customHeight="1" thickBot="1" x14ac:dyDescent="0.3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>
        <v>252</v>
      </c>
      <c r="G14" s="47">
        <v>63</v>
      </c>
      <c r="H14" s="64" t="str">
        <f>IF(F14="","",(ROUND((F14/G14),1)&amp;" pallets"))</f>
        <v>4 pallets</v>
      </c>
      <c r="I14" s="49">
        <f t="shared" si="4"/>
        <v>275436</v>
      </c>
      <c r="J14" s="50">
        <v>120</v>
      </c>
      <c r="K14" s="50">
        <v>84</v>
      </c>
      <c r="L14" s="50">
        <v>1.5</v>
      </c>
      <c r="M14" s="51">
        <v>63</v>
      </c>
      <c r="N14" s="51"/>
      <c r="O14" s="51"/>
      <c r="P14" s="52" t="str">
        <f t="shared" si="5"/>
        <v>1 pallets</v>
      </c>
      <c r="Q14" s="53">
        <f t="shared" si="6"/>
        <v>7560</v>
      </c>
      <c r="S14" s="54"/>
      <c r="T14" s="54"/>
      <c r="U14" s="55"/>
      <c r="X14" s="56">
        <f t="shared" si="7"/>
        <v>245196</v>
      </c>
      <c r="Y14" s="57">
        <f t="shared" si="0"/>
        <v>8081.64</v>
      </c>
      <c r="Z14" s="36">
        <f t="shared" si="8"/>
        <v>882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42">
        <v>26</v>
      </c>
      <c r="AH14" s="37"/>
      <c r="AI14" s="63">
        <f t="shared" si="1"/>
        <v>32.07</v>
      </c>
    </row>
    <row r="15" spans="2:35" s="21" customFormat="1" ht="32.1" customHeight="1" thickBot="1" x14ac:dyDescent="0.3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>
        <v>384</v>
      </c>
      <c r="G15" s="47">
        <v>96</v>
      </c>
      <c r="H15" s="64"/>
      <c r="I15" s="49">
        <f t="shared" si="4"/>
        <v>299904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257280</v>
      </c>
      <c r="Y15" s="57">
        <f>F15*AI15</f>
        <v>11558.400000000001</v>
      </c>
      <c r="Z15" s="36">
        <f t="shared" si="8"/>
        <v>1344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42">
        <v>26</v>
      </c>
      <c r="AH15" s="37"/>
      <c r="AI15" s="63">
        <f t="shared" si="1"/>
        <v>30.1</v>
      </c>
    </row>
    <row r="16" spans="2:35" s="21" customFormat="1" ht="32.1" customHeight="1" thickBot="1" x14ac:dyDescent="0.3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>
        <v>972</v>
      </c>
      <c r="G16" s="47">
        <v>108</v>
      </c>
      <c r="H16" s="64"/>
      <c r="I16" s="49">
        <f t="shared" si="4"/>
        <v>739692</v>
      </c>
      <c r="J16" s="50">
        <v>111</v>
      </c>
      <c r="K16" s="65"/>
      <c r="L16" s="50">
        <v>4.5</v>
      </c>
      <c r="M16" s="51">
        <v>1296</v>
      </c>
      <c r="N16" s="193"/>
      <c r="O16" s="51"/>
      <c r="P16" s="52" t="str">
        <f t="shared" si="5"/>
        <v>12 pallets</v>
      </c>
      <c r="Q16" s="53">
        <f t="shared" si="6"/>
        <v>143856</v>
      </c>
      <c r="S16" s="54"/>
      <c r="T16" s="67"/>
      <c r="U16" s="55"/>
      <c r="X16" s="56">
        <f t="shared" si="7"/>
        <v>631800</v>
      </c>
      <c r="Y16" s="57">
        <f>F16*AI16</f>
        <v>28810.080000000002</v>
      </c>
      <c r="Z16" s="36">
        <f t="shared" si="8"/>
        <v>3402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42">
        <v>26</v>
      </c>
      <c r="AH16" s="37"/>
      <c r="AI16" s="63">
        <f t="shared" si="1"/>
        <v>29.64</v>
      </c>
    </row>
    <row r="17" spans="2:35" s="21" customFormat="1" ht="32.1" customHeight="1" thickBot="1" x14ac:dyDescent="0.3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36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42">
        <v>26</v>
      </c>
      <c r="AH17" s="37"/>
      <c r="AI17" s="63">
        <f t="shared" si="1"/>
        <v>29.64</v>
      </c>
    </row>
    <row r="18" spans="2:35" s="21" customFormat="1" ht="32.1" customHeight="1" thickBot="1" x14ac:dyDescent="0.3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36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42">
        <v>26</v>
      </c>
      <c r="AH18" s="37"/>
      <c r="AI18" s="63">
        <f t="shared" si="1"/>
        <v>29.64</v>
      </c>
    </row>
    <row r="19" spans="2:35" s="21" customFormat="1" ht="32.1" customHeight="1" thickBot="1" x14ac:dyDescent="0.3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36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42">
        <v>26</v>
      </c>
      <c r="AH19" s="37"/>
      <c r="AI19" s="83">
        <f t="shared" si="1"/>
        <v>32.07</v>
      </c>
    </row>
    <row r="20" spans="2:35" s="21" customFormat="1" ht="32.1" customHeight="1" thickBot="1" x14ac:dyDescent="0.3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36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42">
        <v>26</v>
      </c>
      <c r="AH20" s="37"/>
      <c r="AI20" s="63">
        <f t="shared" si="1"/>
        <v>32.07</v>
      </c>
    </row>
    <row r="21" spans="2:35" s="21" customFormat="1" ht="32.1" customHeight="1" thickBot="1" x14ac:dyDescent="0.3">
      <c r="B21" s="68" t="s">
        <v>51</v>
      </c>
      <c r="C21" s="45">
        <v>872</v>
      </c>
      <c r="D21" s="69">
        <v>120</v>
      </c>
      <c r="E21" s="69">
        <f t="shared" si="2"/>
        <v>992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36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42">
        <v>26</v>
      </c>
      <c r="AH21" s="37"/>
      <c r="AI21" s="83">
        <f t="shared" si="1"/>
        <v>32.07</v>
      </c>
    </row>
    <row r="22" spans="2:35" s="21" customFormat="1" ht="32.1" customHeight="1" thickBot="1" x14ac:dyDescent="0.3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36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42">
        <v>26</v>
      </c>
      <c r="AH22" s="37"/>
      <c r="AI22" s="43">
        <f>AG22+AE22</f>
        <v>32.07</v>
      </c>
    </row>
    <row r="23" spans="2:35" s="21" customFormat="1" ht="32.1" customHeight="1" thickBot="1" x14ac:dyDescent="0.3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36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42">
        <v>26</v>
      </c>
      <c r="AH23" s="37"/>
      <c r="AI23" s="43">
        <f t="shared" si="1"/>
        <v>32.07</v>
      </c>
    </row>
    <row r="24" spans="2:35" s="21" customFormat="1" ht="32.1" customHeight="1" thickBot="1" x14ac:dyDescent="0.3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36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42">
        <v>26</v>
      </c>
      <c r="AH24" s="37"/>
      <c r="AI24" s="63">
        <f t="shared" si="1"/>
        <v>32.07</v>
      </c>
    </row>
    <row r="25" spans="2:35" s="21" customFormat="1" ht="32.1" customHeight="1" thickBot="1" x14ac:dyDescent="0.3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36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42">
        <v>26</v>
      </c>
      <c r="AH25" s="37"/>
      <c r="AI25" s="63">
        <f t="shared" si="1"/>
        <v>32.07</v>
      </c>
    </row>
    <row r="26" spans="2:35" s="21" customFormat="1" ht="32.1" customHeight="1" thickBot="1" x14ac:dyDescent="0.3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36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42">
        <v>26</v>
      </c>
      <c r="AH26" s="37"/>
      <c r="AI26" s="63">
        <f t="shared" si="1"/>
        <v>32.07</v>
      </c>
    </row>
    <row r="27" spans="2:35" s="21" customFormat="1" ht="32.1" customHeight="1" thickBot="1" x14ac:dyDescent="0.3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36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42">
        <v>26</v>
      </c>
      <c r="AH27" s="37"/>
      <c r="AI27" s="83">
        <f t="shared" si="1"/>
        <v>32.07</v>
      </c>
    </row>
    <row r="28" spans="2:35" s="21" customFormat="1" ht="32.1" customHeight="1" thickBot="1" x14ac:dyDescent="0.3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36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42">
        <v>26</v>
      </c>
      <c r="AH28" s="37"/>
      <c r="AI28" s="43">
        <f t="shared" si="1"/>
        <v>32.07</v>
      </c>
    </row>
    <row r="29" spans="2:35" s="21" customFormat="1" ht="32.1" customHeight="1" thickBot="1" x14ac:dyDescent="0.3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36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42">
        <v>26</v>
      </c>
      <c r="AH29" s="37"/>
      <c r="AI29" s="83">
        <f t="shared" si="1"/>
        <v>32.07</v>
      </c>
    </row>
    <row r="30" spans="2:35" s="21" customFormat="1" ht="32.1" customHeight="1" thickBot="1" x14ac:dyDescent="0.3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36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42">
        <v>26</v>
      </c>
      <c r="AH30" s="37"/>
      <c r="AI30" s="43">
        <f t="shared" si="1"/>
        <v>31.369999999999997</v>
      </c>
    </row>
    <row r="31" spans="2:35" s="21" customFormat="1" ht="32.1" customHeight="1" thickBot="1" x14ac:dyDescent="0.3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36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42">
        <v>26</v>
      </c>
      <c r="AH31" s="37"/>
      <c r="AI31" s="63">
        <f t="shared" si="1"/>
        <v>31.759999999999998</v>
      </c>
    </row>
    <row r="32" spans="2:35" s="21" customFormat="1" ht="32.1" customHeight="1" thickBot="1" x14ac:dyDescent="0.3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36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42">
        <v>26</v>
      </c>
      <c r="AH32" s="37"/>
      <c r="AI32" s="63">
        <f t="shared" si="1"/>
        <v>32.07</v>
      </c>
    </row>
    <row r="33" spans="2:35" s="21" customFormat="1" ht="32.1" customHeight="1" thickBot="1" x14ac:dyDescent="0.3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36">
        <f t="shared" si="8"/>
        <v>0</v>
      </c>
      <c r="AA33" s="37"/>
      <c r="AB33" s="58">
        <f>AB8</f>
        <v>2.67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2.98</v>
      </c>
      <c r="AF33" s="61"/>
      <c r="AG33" s="42">
        <v>26</v>
      </c>
      <c r="AH33" s="37"/>
      <c r="AI33" s="43">
        <f t="shared" si="1"/>
        <v>28.98</v>
      </c>
    </row>
    <row r="34" spans="2:35" s="21" customFormat="1" ht="32.1" customHeight="1" thickBot="1" x14ac:dyDescent="0.3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36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42">
        <v>26</v>
      </c>
      <c r="AH34" s="37"/>
      <c r="AI34" s="43">
        <f t="shared" si="1"/>
        <v>28.16</v>
      </c>
    </row>
    <row r="35" spans="2:35" s="21" customFormat="1" ht="32.1" customHeight="1" thickBot="1" x14ac:dyDescent="0.3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36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42">
        <v>26</v>
      </c>
      <c r="AH35" s="37"/>
      <c r="AI35" s="63">
        <f t="shared" si="1"/>
        <v>28.16</v>
      </c>
    </row>
    <row r="36" spans="2:35" s="21" customFormat="1" ht="32.1" customHeight="1" thickBot="1" x14ac:dyDescent="0.3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36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42">
        <v>26</v>
      </c>
      <c r="AH36" s="37"/>
      <c r="AI36" s="63">
        <f t="shared" si="1"/>
        <v>28.16</v>
      </c>
    </row>
    <row r="37" spans="2:35" s="21" customFormat="1" ht="32.1" customHeight="1" thickBot="1" x14ac:dyDescent="0.3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36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42">
        <v>26</v>
      </c>
      <c r="AH37" s="37"/>
      <c r="AI37" s="63">
        <f t="shared" si="1"/>
        <v>28.16</v>
      </c>
    </row>
    <row r="38" spans="2:35" s="21" customFormat="1" ht="32.1" customHeight="1" thickBot="1" x14ac:dyDescent="0.3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36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42">
        <v>26</v>
      </c>
      <c r="AH38" s="37"/>
      <c r="AI38" s="83">
        <f t="shared" si="1"/>
        <v>28.16</v>
      </c>
    </row>
    <row r="39" spans="2:35" s="21" customFormat="1" ht="32.1" customHeight="1" thickBot="1" x14ac:dyDescent="0.3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36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42">
        <v>26</v>
      </c>
      <c r="AH39" s="37"/>
      <c r="AI39" s="43">
        <f t="shared" si="1"/>
        <v>28.16</v>
      </c>
    </row>
    <row r="40" spans="2:35" s="21" customFormat="1" ht="32.1" customHeight="1" thickBot="1" x14ac:dyDescent="0.3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36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42">
        <v>26</v>
      </c>
      <c r="AH40" s="37"/>
      <c r="AI40" s="63">
        <f t="shared" si="1"/>
        <v>28.16</v>
      </c>
    </row>
    <row r="41" spans="2:35" s="21" customFormat="1" ht="32.1" customHeight="1" thickBot="1" x14ac:dyDescent="0.3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36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42">
        <v>26</v>
      </c>
      <c r="AH41" s="37"/>
      <c r="AI41" s="83">
        <f t="shared" si="1"/>
        <v>28.16</v>
      </c>
    </row>
    <row r="42" spans="2:35" s="21" customFormat="1" ht="32.1" customHeight="1" thickBot="1" x14ac:dyDescent="0.3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36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42">
        <v>26</v>
      </c>
      <c r="AH42" s="37"/>
      <c r="AI42" s="107">
        <f t="shared" si="1"/>
        <v>28.16</v>
      </c>
    </row>
    <row r="43" spans="2:35" s="21" customFormat="1" ht="32.1" customHeight="1" thickBot="1" x14ac:dyDescent="0.3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36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42">
        <v>26</v>
      </c>
      <c r="AH43" s="37"/>
      <c r="AI43" s="110">
        <f t="shared" si="1"/>
        <v>28.16</v>
      </c>
    </row>
    <row r="44" spans="2:35" s="21" customFormat="1" ht="32.1" customHeight="1" thickBot="1" x14ac:dyDescent="0.3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36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42">
        <v>26</v>
      </c>
      <c r="AH44" s="37"/>
      <c r="AI44" s="63">
        <f>AG44+AE44</f>
        <v>28.16</v>
      </c>
    </row>
    <row r="45" spans="2:35" s="21" customFormat="1" ht="32.1" customHeight="1" thickBot="1" x14ac:dyDescent="0.3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36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42">
        <v>26</v>
      </c>
      <c r="AH45" s="37"/>
      <c r="AI45" s="110">
        <f t="shared" si="1"/>
        <v>29.77</v>
      </c>
    </row>
    <row r="46" spans="2:35" s="21" customFormat="1" ht="32.1" customHeight="1" thickBot="1" x14ac:dyDescent="0.3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36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42">
        <v>26</v>
      </c>
      <c r="AH46" s="37"/>
      <c r="AI46" s="83">
        <f t="shared" si="1"/>
        <v>28.16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36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42">
        <v>26</v>
      </c>
      <c r="AH47" s="37"/>
      <c r="AI47" s="107">
        <f t="shared" si="1"/>
        <v>26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36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42">
        <v>26</v>
      </c>
      <c r="AH48" s="37"/>
      <c r="AI48" s="110">
        <f t="shared" si="1"/>
        <v>26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36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42">
        <v>26</v>
      </c>
      <c r="AH49" s="37"/>
      <c r="AI49" s="83">
        <f t="shared" si="1"/>
        <v>26</v>
      </c>
    </row>
    <row r="50" spans="2:35" s="21" customFormat="1" ht="32.1" customHeight="1" thickBot="1" x14ac:dyDescent="0.3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36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42">
        <v>26</v>
      </c>
      <c r="AH50" s="37"/>
      <c r="AI50" s="63">
        <f t="shared" si="1"/>
        <v>32.07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36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42">
        <v>26</v>
      </c>
      <c r="AH51" s="37"/>
      <c r="AI51" s="125">
        <f t="shared" si="1"/>
        <v>28.16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36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42">
        <v>26</v>
      </c>
      <c r="AH52" s="37"/>
      <c r="AI52" s="43">
        <f t="shared" si="1"/>
        <v>31.07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36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42">
        <v>26</v>
      </c>
      <c r="AH53" s="37"/>
      <c r="AI53" s="125">
        <f t="shared" si="1"/>
        <v>28.16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36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42">
        <v>26</v>
      </c>
      <c r="AH54" s="37"/>
      <c r="AI54" s="125">
        <f t="shared" si="1"/>
        <v>28.16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36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42">
        <v>26</v>
      </c>
      <c r="AH55" s="37"/>
      <c r="AI55" s="125">
        <f t="shared" si="1"/>
        <v>28.16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36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42">
        <v>26</v>
      </c>
      <c r="AH56" s="37"/>
      <c r="AI56" s="125">
        <f t="shared" si="1"/>
        <v>28.16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>IF($U$6="x",(F62*3.5),"")</f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26</v>
      </c>
      <c r="AH62" s="37"/>
      <c r="AI62" s="43">
        <f t="shared" si="1"/>
        <v>28.16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ref="Z63:Z68" si="17">IF($U$6="x",(F63*3.5),"")</f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26</v>
      </c>
      <c r="AH63" s="37"/>
      <c r="AI63" s="63">
        <f t="shared" si="1"/>
        <v>28.16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17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26</v>
      </c>
      <c r="AH64" s="37"/>
      <c r="AI64" s="63">
        <f t="shared" si="1"/>
        <v>28.16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17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26</v>
      </c>
      <c r="AH65" s="37"/>
      <c r="AI65" s="63">
        <f t="shared" si="1"/>
        <v>28.16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17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26</v>
      </c>
      <c r="AH66" s="37"/>
      <c r="AI66" s="63">
        <f t="shared" si="1"/>
        <v>28.16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17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26</v>
      </c>
      <c r="AH67" s="37"/>
      <c r="AI67" s="63">
        <f t="shared" si="1"/>
        <v>28.16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57">
        <f t="shared" si="17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26</v>
      </c>
      <c r="AH68" s="37"/>
      <c r="AI68" s="125">
        <f t="shared" si="1"/>
        <v>28.16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8">+D69-C69</f>
        <v>262.5</v>
      </c>
      <c r="F69" s="136"/>
      <c r="G69" s="87">
        <v>72</v>
      </c>
      <c r="H69" s="137" t="str">
        <f t="shared" ref="H69:H70" si="19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20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8"/>
        <v>262.5</v>
      </c>
      <c r="F70" s="142"/>
      <c r="G70" s="115">
        <v>72</v>
      </c>
      <c r="H70" s="143" t="str">
        <f t="shared" si="19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20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57" t="s">
        <v>101</v>
      </c>
      <c r="C71" s="257"/>
      <c r="D71" s="257"/>
      <c r="E71" s="257"/>
      <c r="F71" s="257"/>
      <c r="G71" s="257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195" t="str">
        <f>ROUND((((M12+N12+M30+M57+M58+M59+M60+M61+N57)/72+(M13+N13+M16+M18)/108+(M15+N15)/96+SUM(M14,M19:M29,M31:M32,M50,N14)/63)),1)&amp;" pallets"</f>
        <v>14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37">
        <f>SUM(I12:I70)</f>
        <v>1315032</v>
      </c>
      <c r="G73" s="237"/>
      <c r="H73" s="237"/>
      <c r="I73" s="238"/>
      <c r="J73" s="158"/>
      <c r="K73" s="158"/>
      <c r="L73" s="158"/>
      <c r="M73" s="249" t="s">
        <v>103</v>
      </c>
      <c r="N73" s="250"/>
      <c r="O73" s="237">
        <f>SUM(Q12:Q70)</f>
        <v>163404</v>
      </c>
      <c r="P73" s="237"/>
      <c r="Q73" s="238"/>
      <c r="R73" s="152"/>
      <c r="S73" s="159" t="s">
        <v>104</v>
      </c>
      <c r="T73" s="242">
        <f>SUM(Y12:Y68)</f>
        <v>48450.12</v>
      </c>
      <c r="U73" s="243"/>
      <c r="V73" s="160"/>
      <c r="W73" s="160"/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37">
        <f>SUM(I14:I72)</f>
        <v>1315032</v>
      </c>
      <c r="G75" s="237"/>
      <c r="H75" s="237"/>
      <c r="I75" s="238"/>
      <c r="J75" s="158"/>
      <c r="K75" s="158"/>
      <c r="L75" s="158"/>
      <c r="M75" s="249" t="s">
        <v>103</v>
      </c>
      <c r="N75" s="250"/>
      <c r="O75" s="237">
        <f>SUM(Q14:Q72)</f>
        <v>151416</v>
      </c>
      <c r="P75" s="237"/>
      <c r="Q75" s="238"/>
      <c r="R75" s="152"/>
      <c r="S75" s="159" t="s">
        <v>129</v>
      </c>
      <c r="T75" s="242">
        <f>SUM(Z12:Z70)</f>
        <v>5628</v>
      </c>
      <c r="U75" s="243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37">
        <f>IF(U7&gt;0,"",(F73-O73-T79-P79))</f>
        <v>878596.32000000007</v>
      </c>
      <c r="G77" s="237"/>
      <c r="H77" s="237"/>
      <c r="I77" s="238"/>
      <c r="J77" s="164"/>
      <c r="K77" s="164"/>
      <c r="L77" s="164"/>
      <c r="M77" s="239" t="s">
        <v>106</v>
      </c>
      <c r="N77" s="239"/>
      <c r="O77" s="168" t="s">
        <v>107</v>
      </c>
      <c r="P77" s="240">
        <f>1036.48+23193.08</f>
        <v>24229.56</v>
      </c>
      <c r="Q77" s="241"/>
      <c r="R77" s="152"/>
      <c r="S77" s="159" t="s">
        <v>108</v>
      </c>
      <c r="T77" s="242">
        <f>IF(SUM(X12:X68)*0.15&gt;P77,P77,SUM(X12:X68)*0.15)</f>
        <v>24229.56</v>
      </c>
      <c r="U77" s="243"/>
      <c r="V77" s="160"/>
      <c r="W77" s="244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45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37"/>
      <c r="G79" s="237"/>
      <c r="H79" s="237"/>
      <c r="I79" s="238"/>
      <c r="J79" s="164"/>
      <c r="K79" s="164"/>
      <c r="L79" s="164"/>
      <c r="M79" s="247" t="str">
        <f>IF(U6&gt;0,"",T4+30)</f>
        <v/>
      </c>
      <c r="N79" s="248"/>
      <c r="O79" s="168" t="s">
        <v>111</v>
      </c>
      <c r="P79" s="240">
        <f>194724</f>
        <v>194724</v>
      </c>
      <c r="Q79" s="241"/>
      <c r="R79" s="152"/>
      <c r="S79" s="159" t="s">
        <v>112</v>
      </c>
      <c r="T79" s="242">
        <f>T77+T73+T75</f>
        <v>78307.680000000008</v>
      </c>
      <c r="U79" s="243"/>
      <c r="V79" s="160"/>
      <c r="W79" s="246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14" t="s">
        <v>113</v>
      </c>
      <c r="C81" s="215"/>
      <c r="D81" s="215"/>
      <c r="E81" s="215"/>
      <c r="F81" s="215"/>
      <c r="G81" s="215"/>
      <c r="H81" s="216"/>
      <c r="I81" s="223" t="s">
        <v>114</v>
      </c>
      <c r="J81" s="171"/>
      <c r="K81" s="171"/>
      <c r="L81" s="171"/>
      <c r="M81" s="225"/>
      <c r="N81" s="228" t="s">
        <v>115</v>
      </c>
      <c r="O81" s="231"/>
      <c r="P81" s="225"/>
      <c r="Q81" s="208" t="s">
        <v>116</v>
      </c>
      <c r="R81" s="234"/>
      <c r="S81" s="205"/>
      <c r="T81" s="208" t="s">
        <v>117</v>
      </c>
      <c r="U81" s="211"/>
    </row>
    <row r="82" spans="2:21" ht="15" customHeight="1" x14ac:dyDescent="0.25">
      <c r="B82" s="217"/>
      <c r="C82" s="218"/>
      <c r="D82" s="218"/>
      <c r="E82" s="218"/>
      <c r="F82" s="218"/>
      <c r="G82" s="218"/>
      <c r="H82" s="219"/>
      <c r="I82" s="202"/>
      <c r="J82" s="2"/>
      <c r="K82" s="2"/>
      <c r="L82" s="2"/>
      <c r="M82" s="226"/>
      <c r="N82" s="229"/>
      <c r="O82" s="232"/>
      <c r="P82" s="226"/>
      <c r="Q82" s="209"/>
      <c r="R82" s="235"/>
      <c r="S82" s="206"/>
      <c r="T82" s="209"/>
      <c r="U82" s="212"/>
    </row>
    <row r="83" spans="2:21" ht="15.75" customHeight="1" thickBot="1" x14ac:dyDescent="0.3">
      <c r="B83" s="220"/>
      <c r="C83" s="221"/>
      <c r="D83" s="221"/>
      <c r="E83" s="221"/>
      <c r="F83" s="221"/>
      <c r="G83" s="221"/>
      <c r="H83" s="222"/>
      <c r="I83" s="224"/>
      <c r="J83" s="172"/>
      <c r="K83" s="172"/>
      <c r="L83" s="172"/>
      <c r="M83" s="227"/>
      <c r="N83" s="230"/>
      <c r="O83" s="233"/>
      <c r="P83" s="227"/>
      <c r="Q83" s="210"/>
      <c r="R83" s="236"/>
      <c r="S83" s="207"/>
      <c r="T83" s="210"/>
      <c r="U83" s="213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196" t="s">
        <v>132</v>
      </c>
      <c r="C88" s="197"/>
      <c r="D88" s="197"/>
      <c r="E88" s="197"/>
      <c r="F88" s="197"/>
      <c r="G88" s="197"/>
      <c r="H88" s="197"/>
      <c r="I88" s="198"/>
      <c r="J88" s="185"/>
      <c r="K88" s="185"/>
      <c r="L88" s="185"/>
      <c r="M88" s="196"/>
      <c r="N88" s="197"/>
      <c r="O88" s="197"/>
      <c r="P88" s="197"/>
      <c r="Q88" s="198"/>
      <c r="R88" s="187"/>
      <c r="S88" s="188"/>
      <c r="T88" s="188"/>
      <c r="U88" s="189"/>
    </row>
    <row r="89" spans="2:21" ht="18" x14ac:dyDescent="0.25">
      <c r="B89" s="199" t="s">
        <v>122</v>
      </c>
      <c r="C89" s="200"/>
      <c r="D89" s="200"/>
      <c r="E89" s="200"/>
      <c r="F89" s="200"/>
      <c r="G89" s="200"/>
      <c r="H89" s="200"/>
      <c r="I89" s="201"/>
      <c r="M89" s="199" t="s">
        <v>122</v>
      </c>
      <c r="N89" s="200"/>
      <c r="O89" s="200"/>
      <c r="P89" s="200"/>
      <c r="Q89" s="201"/>
      <c r="R89" s="202" t="s">
        <v>123</v>
      </c>
      <c r="S89" s="203"/>
      <c r="T89" s="203"/>
      <c r="U89" s="204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196" t="s">
        <v>133</v>
      </c>
      <c r="C93" s="197"/>
      <c r="D93" s="197"/>
      <c r="E93" s="197"/>
      <c r="F93" s="197"/>
      <c r="G93" s="197"/>
      <c r="H93" s="197"/>
      <c r="I93" s="198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199" t="s">
        <v>126</v>
      </c>
      <c r="C94" s="200"/>
      <c r="D94" s="200"/>
      <c r="E94" s="200"/>
      <c r="F94" s="200"/>
      <c r="G94" s="200"/>
      <c r="H94" s="200"/>
      <c r="I94" s="201"/>
      <c r="M94" s="179"/>
      <c r="Q94" s="180"/>
      <c r="R94" s="202" t="s">
        <v>127</v>
      </c>
      <c r="S94" s="203"/>
      <c r="T94" s="203"/>
      <c r="U94" s="204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B9:B11"/>
    <mergeCell ref="C9:C11"/>
    <mergeCell ref="D9:D11"/>
    <mergeCell ref="E9:E11"/>
    <mergeCell ref="F9:Q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15</vt:i4>
      </vt:variant>
    </vt:vector>
  </HeadingPairs>
  <TitlesOfParts>
    <vt:vector size="30" baseType="lpstr">
      <vt:lpstr>06-01-2026</vt:lpstr>
      <vt:lpstr>06-01-2026 (2)</vt:lpstr>
      <vt:lpstr>06-08-2026</vt:lpstr>
      <vt:lpstr>06-09-2026</vt:lpstr>
      <vt:lpstr>06-09-2026 (2)</vt:lpstr>
      <vt:lpstr>06-10-2026</vt:lpstr>
      <vt:lpstr>06-11-2026</vt:lpstr>
      <vt:lpstr>06-11-2026 (2)</vt:lpstr>
      <vt:lpstr>06-11-2026 (3)</vt:lpstr>
      <vt:lpstr>06-11-2026 (4)</vt:lpstr>
      <vt:lpstr>06-12-2026</vt:lpstr>
      <vt:lpstr>06-13-2026</vt:lpstr>
      <vt:lpstr>06-15-2026</vt:lpstr>
      <vt:lpstr>06-15-2026 (2)</vt:lpstr>
      <vt:lpstr>06-16-2026</vt:lpstr>
      <vt:lpstr>'06-01-2026'!Print_Area</vt:lpstr>
      <vt:lpstr>'06-01-2026 (2)'!Print_Area</vt:lpstr>
      <vt:lpstr>'06-08-2026'!Print_Area</vt:lpstr>
      <vt:lpstr>'06-09-2026'!Print_Area</vt:lpstr>
      <vt:lpstr>'06-09-2026 (2)'!Print_Area</vt:lpstr>
      <vt:lpstr>'06-10-2026'!Print_Area</vt:lpstr>
      <vt:lpstr>'06-11-2026'!Print_Area</vt:lpstr>
      <vt:lpstr>'06-11-2026 (2)'!Print_Area</vt:lpstr>
      <vt:lpstr>'06-11-2026 (3)'!Print_Area</vt:lpstr>
      <vt:lpstr>'06-11-2026 (4)'!Print_Area</vt:lpstr>
      <vt:lpstr>'06-12-2026'!Print_Area</vt:lpstr>
      <vt:lpstr>'06-13-2026'!Print_Area</vt:lpstr>
      <vt:lpstr>'06-15-2026'!Print_Area</vt:lpstr>
      <vt:lpstr>'06-15-2026 (2)'!Print_Area</vt:lpstr>
      <vt:lpstr>'06-16-2026'!Print_Area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User</cp:lastModifiedBy>
  <cp:lastPrinted>2025-09-25T07:06:23Z</cp:lastPrinted>
  <dcterms:created xsi:type="dcterms:W3CDTF">2025-03-06T18:27:26Z</dcterms:created>
  <dcterms:modified xsi:type="dcterms:W3CDTF">2026-06-17T06:29:50Z</dcterms:modified>
</cp:coreProperties>
</file>