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3450609-734B-4638-B935-BD0042DEBA07}" xr6:coauthVersionLast="45" xr6:coauthVersionMax="47" xr10:uidLastSave="{00000000-0000-0000-0000-000000000000}"/>
  <bookViews>
    <workbookView xWindow="-120" yWindow="-120" windowWidth="29040" windowHeight="15840" firstSheet="9" activeTab="15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4" i="218" l="1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77" i="218" l="1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<sst xmlns="http://schemas.openxmlformats.org/spreadsheetml/2006/main" count="2397" uniqueCount="134">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</sst>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105480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57204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-105480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33804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33804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-33804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199368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175392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-199368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11340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11340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-11340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177156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153180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-177156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203796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191808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-203796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187884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163908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-187884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5670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5670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-5670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191808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179820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-191808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5616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5616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-5616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203796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167832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-203796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190800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142524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-190800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149328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110124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-149328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11286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11286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-11286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5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5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1315032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163404</v>
      </c>
      <c r="P73" s="238"/>
      <c r="Q73" s="239"/>
      <c r="R73" s="152"/>
      <c r="S73" s="159" t="s">
        <v>104</v>
      </c>
      <c r="T73" s="243">
        <f>SUM(Y12:Y68)</f>
        <v>48450.12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1315032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151416</v>
      </c>
      <c r="P75" s="238"/>
      <c r="Q75" s="239"/>
      <c r="R75" s="152"/>
      <c r="S75" s="159" t="s">
        <v>129</v>
      </c>
      <c r="T75" s="243">
        <f>SUM(Z12:Z70)</f>
        <v>5628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878596.32000000007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>
        <f>1036.48+23193.08</f>
        <v>24229.56</v>
      </c>
      <c r="Q77" s="242"/>
      <c r="R77" s="152"/>
      <c r="S77" s="159" t="s">
        <v>108</v>
      </c>
      <c r="T77" s="243">
        <f>IF(SUM(X12:X68)*0.15&gt;P77,P77,SUM(X12:X68)*0.15)</f>
        <v>24229.56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>
        <f>194724</f>
        <v>194724</v>
      </c>
      <c r="Q79" s="242"/>
      <c r="R79" s="152"/>
      <c r="S79" s="159" t="s">
        <v>112</v>
      </c>
      <c r="T79" s="243">
        <f>T77+T73+T75</f>
        <v>78307.680000000008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1412471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191808</v>
      </c>
      <c r="P73" s="238"/>
      <c r="Q73" s="239"/>
      <c r="R73" s="152"/>
      <c r="S73" s="159" t="s">
        <v>104</v>
      </c>
      <c r="T73" s="243">
        <f>SUM(Y12:Y68)</f>
        <v>54785.120000000003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1412471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167832</v>
      </c>
      <c r="P75" s="238"/>
      <c r="Q75" s="239"/>
      <c r="R75" s="152"/>
      <c r="S75" s="159" t="s">
        <v>129</v>
      </c>
      <c r="T75" s="243">
        <f>SUM(Z12:Z70)</f>
        <v>6471.5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1159406.3799999999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61256.62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7"/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/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1" t="s">
        <v>6</v>
      </c>
      <c r="T6" s="196" t="s">
        <v>7</v>
      </c>
      <c r="U6" s="12" t="s">
        <v>131</v>
      </c>
      <c r="W6" s="24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0"/>
      <c r="G7" s="290"/>
      <c r="H7" s="290"/>
      <c r="I7" s="290"/>
      <c r="J7" s="290"/>
      <c r="K7" s="290"/>
      <c r="L7" s="290"/>
      <c r="M7" s="290"/>
      <c r="N7" s="14"/>
      <c r="O7" s="14"/>
      <c r="P7" s="14"/>
      <c r="Q7" s="15"/>
      <c r="S7" s="14"/>
      <c r="T7" s="196" t="s">
        <v>11</v>
      </c>
      <c r="U7" s="12"/>
      <c r="W7" s="24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7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7"/>
      <c r="AI9" s="252" t="s">
        <v>27</v>
      </c>
    </row>
    <row r="10" spans="2:35" s="16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7"/>
      <c r="AB10" s="253"/>
      <c r="AC10" s="279"/>
      <c r="AD10" s="282"/>
      <c r="AE10" s="253"/>
      <c r="AG10" s="253"/>
      <c r="AH10" s="17"/>
      <c r="AI10" s="253"/>
    </row>
    <row r="11" spans="2:35" s="21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4"/>
      <c r="Y11" s="277"/>
      <c r="Z11" s="277"/>
      <c r="AA11" s="17"/>
      <c r="AB11" s="254"/>
      <c r="AC11" s="280"/>
      <c r="AD11" s="283"/>
      <c r="AE11" s="254"/>
      <c r="AG11" s="268"/>
      <c r="AH11" s="17"/>
      <c r="AI11" s="25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8" t="s">
        <v>101</v>
      </c>
      <c r="C71" s="258"/>
      <c r="D71" s="258"/>
      <c r="E71" s="258"/>
      <c r="F71" s="258"/>
      <c r="G71" s="25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8">
        <f>SUM(I12:I70)</f>
        <v>0</v>
      </c>
      <c r="G73" s="238"/>
      <c r="H73" s="238"/>
      <c r="I73" s="239"/>
      <c r="J73" s="158"/>
      <c r="K73" s="158"/>
      <c r="L73" s="158"/>
      <c r="M73" s="250" t="s">
        <v>103</v>
      </c>
      <c r="N73" s="251"/>
      <c r="O73" s="238">
        <f>SUM(Q12:Q70)</f>
        <v>5616</v>
      </c>
      <c r="P73" s="238"/>
      <c r="Q73" s="239"/>
      <c r="R73" s="152"/>
      <c r="S73" s="159" t="s">
        <v>104</v>
      </c>
      <c r="T73" s="243">
        <f>SUM(Y12:Y68)</f>
        <v>0</v>
      </c>
      <c r="U73" s="24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8">
        <f>SUM(I14:I72)</f>
        <v>0</v>
      </c>
      <c r="G75" s="238"/>
      <c r="H75" s="238"/>
      <c r="I75" s="239"/>
      <c r="J75" s="158"/>
      <c r="K75" s="158"/>
      <c r="L75" s="158"/>
      <c r="M75" s="250" t="s">
        <v>103</v>
      </c>
      <c r="N75" s="251"/>
      <c r="O75" s="238">
        <f>SUM(Q14:Q72)</f>
        <v>5616</v>
      </c>
      <c r="P75" s="238"/>
      <c r="Q75" s="239"/>
      <c r="R75" s="152"/>
      <c r="S75" s="159" t="s">
        <v>129</v>
      </c>
      <c r="T75" s="243">
        <f>SUM(Z12:Z70)</f>
        <v>0</v>
      </c>
      <c r="U75" s="24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8">
        <f>IF(U7&gt;0,"",(F73-O73-T79-P79))</f>
        <v>-5616</v>
      </c>
      <c r="G77" s="238"/>
      <c r="H77" s="238"/>
      <c r="I77" s="239"/>
      <c r="J77" s="164"/>
      <c r="K77" s="164"/>
      <c r="L77" s="164"/>
      <c r="M77" s="240" t="s">
        <v>106</v>
      </c>
      <c r="N77" s="240"/>
      <c r="O77" s="168" t="s">
        <v>107</v>
      </c>
      <c r="P77" s="241"/>
      <c r="Q77" s="242"/>
      <c r="R77" s="152"/>
      <c r="S77" s="159" t="s">
        <v>108</v>
      </c>
      <c r="T77" s="243">
        <f>IF(SUM(X12:X68)*0.15&gt;P77,P77,SUM(X12:X68)*0.15)</f>
        <v>0</v>
      </c>
      <c r="U77" s="244"/>
      <c r="V77" s="160"/>
      <c r="W77" s="24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8"/>
      <c r="G79" s="238"/>
      <c r="H79" s="238"/>
      <c r="I79" s="239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41"/>
      <c r="Q79" s="242"/>
      <c r="R79" s="152"/>
      <c r="S79" s="159" t="s">
        <v>112</v>
      </c>
      <c r="T79" s="243">
        <f>T77+T73+T75</f>
        <v>0</v>
      </c>
      <c r="U79" s="244"/>
      <c r="V79" s="160"/>
      <c r="W79" s="24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5" t="s">
        <v>113</v>
      </c>
      <c r="C81" s="216"/>
      <c r="D81" s="216"/>
      <c r="E81" s="216"/>
      <c r="F81" s="216"/>
      <c r="G81" s="216"/>
      <c r="H81" s="217"/>
      <c r="I81" s="224" t="s">
        <v>114</v>
      </c>
      <c r="J81" s="171"/>
      <c r="K81" s="171"/>
      <c r="L81" s="171"/>
      <c r="M81" s="226"/>
      <c r="N81" s="229" t="s">
        <v>115</v>
      </c>
      <c r="O81" s="232"/>
      <c r="P81" s="226"/>
      <c r="Q81" s="209" t="s">
        <v>116</v>
      </c>
      <c r="R81" s="235"/>
      <c r="S81" s="206"/>
      <c r="T81" s="209" t="s">
        <v>117</v>
      </c>
      <c r="U81" s="212"/>
    </row>
    <row r="82" spans="2:21" ht="15" customHeight="1" x14ac:dyDescent="0.25">
      <c r="B82" s="218"/>
      <c r="C82" s="219"/>
      <c r="D82" s="219"/>
      <c r="E82" s="219"/>
      <c r="F82" s="219"/>
      <c r="G82" s="219"/>
      <c r="H82" s="220"/>
      <c r="I82" s="203"/>
      <c r="J82" s="2"/>
      <c r="K82" s="2"/>
      <c r="L82" s="2"/>
      <c r="M82" s="227"/>
      <c r="N82" s="230"/>
      <c r="O82" s="233"/>
      <c r="P82" s="227"/>
      <c r="Q82" s="210"/>
      <c r="R82" s="236"/>
      <c r="S82" s="207"/>
      <c r="T82" s="210"/>
      <c r="U82" s="213"/>
    </row>
    <row r="83" spans="2:21" ht="15.75" customHeight="1" thickBot="1" x14ac:dyDescent="0.3">
      <c r="B83" s="221"/>
      <c r="C83" s="222"/>
      <c r="D83" s="222"/>
      <c r="E83" s="222"/>
      <c r="F83" s="222"/>
      <c r="G83" s="222"/>
      <c r="H83" s="223"/>
      <c r="I83" s="225"/>
      <c r="J83" s="172"/>
      <c r="K83" s="172"/>
      <c r="L83" s="172"/>
      <c r="M83" s="228"/>
      <c r="N83" s="231"/>
      <c r="O83" s="234"/>
      <c r="P83" s="228"/>
      <c r="Q83" s="211"/>
      <c r="R83" s="237"/>
      <c r="S83" s="208"/>
      <c r="T83" s="211"/>
      <c r="U83" s="21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7" t="s">
        <v>132</v>
      </c>
      <c r="C88" s="198"/>
      <c r="D88" s="198"/>
      <c r="E88" s="198"/>
      <c r="F88" s="198"/>
      <c r="G88" s="198"/>
      <c r="H88" s="198"/>
      <c r="I88" s="199"/>
      <c r="J88" s="185"/>
      <c r="K88" s="185"/>
      <c r="L88" s="185"/>
      <c r="M88" s="197"/>
      <c r="N88" s="198"/>
      <c r="O88" s="198"/>
      <c r="P88" s="198"/>
      <c r="Q88" s="199"/>
      <c r="R88" s="187"/>
      <c r="S88" s="188"/>
      <c r="T88" s="188"/>
      <c r="U88" s="189"/>
    </row>
    <row r="89" spans="2:21" ht="18" x14ac:dyDescent="0.25">
      <c r="B89" s="200" t="s">
        <v>122</v>
      </c>
      <c r="C89" s="201"/>
      <c r="D89" s="201"/>
      <c r="E89" s="201"/>
      <c r="F89" s="201"/>
      <c r="G89" s="201"/>
      <c r="H89" s="201"/>
      <c r="I89" s="202"/>
      <c r="M89" s="200" t="s">
        <v>122</v>
      </c>
      <c r="N89" s="201"/>
      <c r="O89" s="201"/>
      <c r="P89" s="201"/>
      <c r="Q89" s="202"/>
      <c r="R89" s="203" t="s">
        <v>123</v>
      </c>
      <c r="S89" s="204"/>
      <c r="T89" s="204"/>
      <c r="U89" s="20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7" t="s">
        <v>133</v>
      </c>
      <c r="C93" s="198"/>
      <c r="D93" s="198"/>
      <c r="E93" s="198"/>
      <c r="F93" s="198"/>
      <c r="G93" s="198"/>
      <c r="H93" s="198"/>
      <c r="I93" s="19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0" t="s">
        <v>126</v>
      </c>
      <c r="C94" s="201"/>
      <c r="D94" s="201"/>
      <c r="E94" s="201"/>
      <c r="F94" s="201"/>
      <c r="G94" s="201"/>
      <c r="H94" s="201"/>
      <c r="I94" s="202"/>
      <c r="M94" s="179"/>
      <c r="Q94" s="180"/>
      <c r="R94" s="203" t="s">
        <v>127</v>
      </c>
      <c r="S94" s="204"/>
      <c r="T94" s="204"/>
      <c r="U94" s="20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2026-06-18T00:35:52Z</dcterms:modified>
</cp:coreProperties>
</file>