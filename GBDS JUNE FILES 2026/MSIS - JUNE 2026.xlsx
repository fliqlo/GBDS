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792FECA5-6DC7-480E-8C7A-4F9726885DAD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512" i="2" l="1"/>
  <c r="U512" i="2"/>
  <c r="Q512" i="2"/>
  <c r="P512" i="2"/>
  <c r="S512" i="2" s="1"/>
  <c r="O512" i="2"/>
  <c r="P511" i="2"/>
  <c r="S511" i="2" s="1"/>
  <c r="W511" i="2" s="1"/>
  <c r="P510" i="2"/>
  <c r="S510" i="2" s="1"/>
  <c r="W510" i="2" s="1"/>
  <c r="U509" i="2"/>
  <c r="P509" i="2"/>
  <c r="S509" i="2" s="1"/>
  <c r="V508" i="2"/>
  <c r="P508" i="2"/>
  <c r="S508" i="2" s="1"/>
  <c r="W508" i="2" s="1"/>
  <c r="P507" i="2"/>
  <c r="R550" i="2"/>
  <c r="W548" i="2"/>
  <c r="S547" i="2"/>
  <c r="W547" i="2" s="1"/>
  <c r="W546" i="2"/>
  <c r="W545" i="2"/>
  <c r="S545" i="2"/>
  <c r="S544" i="2"/>
  <c r="W544" i="2" s="1"/>
  <c r="W543" i="2"/>
  <c r="S543" i="2"/>
  <c r="W542" i="2"/>
  <c r="S542" i="2"/>
  <c r="S541" i="2"/>
  <c r="W541" i="2" s="1"/>
  <c r="W540" i="2"/>
  <c r="S540" i="2"/>
  <c r="S539" i="2"/>
  <c r="W539" i="2" s="1"/>
  <c r="S538" i="2"/>
  <c r="W538" i="2" s="1"/>
  <c r="S537" i="2"/>
  <c r="W537" i="2" s="1"/>
  <c r="S536" i="2"/>
  <c r="W536" i="2" s="1"/>
  <c r="W535" i="2"/>
  <c r="S535" i="2"/>
  <c r="W534" i="2"/>
  <c r="S534" i="2"/>
  <c r="S533" i="2"/>
  <c r="W533" i="2" s="1"/>
  <c r="W532" i="2"/>
  <c r="S532" i="2"/>
  <c r="S531" i="2"/>
  <c r="W531" i="2" s="1"/>
  <c r="W530" i="2"/>
  <c r="S530" i="2"/>
  <c r="S529" i="2"/>
  <c r="W529" i="2" s="1"/>
  <c r="S528" i="2"/>
  <c r="W528" i="2" s="1"/>
  <c r="W527" i="2"/>
  <c r="S527" i="2"/>
  <c r="W526" i="2"/>
  <c r="S526" i="2"/>
  <c r="S525" i="2"/>
  <c r="W525" i="2" s="1"/>
  <c r="W524" i="2"/>
  <c r="S524" i="2"/>
  <c r="S523" i="2"/>
  <c r="W523" i="2" s="1"/>
  <c r="S522" i="2"/>
  <c r="W522" i="2" s="1"/>
  <c r="S521" i="2"/>
  <c r="W521" i="2" s="1"/>
  <c r="S520" i="2"/>
  <c r="W520" i="2" s="1"/>
  <c r="W519" i="2"/>
  <c r="S519" i="2"/>
  <c r="W518" i="2"/>
  <c r="S518" i="2"/>
  <c r="S517" i="2"/>
  <c r="W517" i="2" s="1"/>
  <c r="W516" i="2"/>
  <c r="S516" i="2"/>
  <c r="S515" i="2"/>
  <c r="W515" i="2" s="1"/>
  <c r="S514" i="2"/>
  <c r="W514" i="2" s="1"/>
  <c r="S513" i="2"/>
  <c r="W513" i="2" s="1"/>
  <c r="Q550" i="2"/>
  <c r="O508" i="2"/>
  <c r="O509" i="2" s="1"/>
  <c r="O510" i="2" s="1"/>
  <c r="O511" i="2" s="1"/>
  <c r="S507" i="2"/>
  <c r="I512" i="2"/>
  <c r="D512" i="2"/>
  <c r="I511" i="2"/>
  <c r="E511" i="2"/>
  <c r="E550" i="2" s="1"/>
  <c r="D511" i="2"/>
  <c r="D510" i="2"/>
  <c r="D509" i="2"/>
  <c r="G509" i="2" s="1"/>
  <c r="K509" i="2" s="1"/>
  <c r="D508" i="2"/>
  <c r="D507" i="2"/>
  <c r="G507" i="2" s="1"/>
  <c r="I507" i="2"/>
  <c r="J550" i="2"/>
  <c r="F550" i="2"/>
  <c r="G547" i="2"/>
  <c r="K547" i="2" s="1"/>
  <c r="G540" i="2"/>
  <c r="K540" i="2" s="1"/>
  <c r="G539" i="2"/>
  <c r="K539" i="2" s="1"/>
  <c r="G538" i="2"/>
  <c r="K538" i="2" s="1"/>
  <c r="G537" i="2"/>
  <c r="K537" i="2" s="1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G529" i="2"/>
  <c r="K529" i="2" s="1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K518" i="2"/>
  <c r="G518" i="2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G511" i="2"/>
  <c r="K511" i="2" s="1"/>
  <c r="G510" i="2"/>
  <c r="K510" i="2" s="1"/>
  <c r="G508" i="2"/>
  <c r="K508" i="2" s="1"/>
  <c r="C508" i="2"/>
  <c r="C509" i="2" s="1"/>
  <c r="C510" i="2" s="1"/>
  <c r="C511" i="2" s="1"/>
  <c r="C512" i="2" s="1"/>
  <c r="V550" i="2" l="1"/>
  <c r="U550" i="2"/>
  <c r="W512" i="2"/>
  <c r="W509" i="2"/>
  <c r="W507" i="2"/>
  <c r="S550" i="2"/>
  <c r="P550" i="2"/>
  <c r="I550" i="2"/>
  <c r="K512" i="2"/>
  <c r="D550" i="2"/>
  <c r="G550" i="2"/>
  <c r="K507" i="2"/>
  <c r="K550" i="2" s="1"/>
  <c r="AB460" i="2"/>
  <c r="AE460" i="2" s="1"/>
  <c r="AI460" i="2" s="1"/>
  <c r="AC459" i="2"/>
  <c r="AB459" i="2"/>
  <c r="AE459" i="2" s="1"/>
  <c r="AI459" i="2" s="1"/>
  <c r="AC458" i="2"/>
  <c r="AB458" i="2"/>
  <c r="AE458" i="2" s="1"/>
  <c r="AI458" i="2" s="1"/>
  <c r="AC457" i="2"/>
  <c r="AC495" i="2" s="1"/>
  <c r="AB457" i="2"/>
  <c r="AH456" i="2"/>
  <c r="AH495" i="2" s="1"/>
  <c r="AB456" i="2"/>
  <c r="AE456" i="2" s="1"/>
  <c r="AB455" i="2"/>
  <c r="AE455" i="2" s="1"/>
  <c r="AI455" i="2" s="1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E461" i="2"/>
  <c r="AI461" i="2" s="1"/>
  <c r="AE462" i="2"/>
  <c r="AI462" i="2" s="1"/>
  <c r="AE463" i="2"/>
  <c r="AI463" i="2"/>
  <c r="AE464" i="2"/>
  <c r="AI464" i="2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/>
  <c r="AE473" i="2"/>
  <c r="AI473" i="2"/>
  <c r="AE474" i="2"/>
  <c r="AI474" i="2" s="1"/>
  <c r="AE475" i="2"/>
  <c r="AI475" i="2" s="1"/>
  <c r="AE476" i="2"/>
  <c r="AI476" i="2"/>
  <c r="AE477" i="2"/>
  <c r="AI477" i="2"/>
  <c r="AE478" i="2"/>
  <c r="AI478" i="2" s="1"/>
  <c r="AE479" i="2"/>
  <c r="AI479" i="2"/>
  <c r="AE480" i="2"/>
  <c r="AI480" i="2"/>
  <c r="AE481" i="2"/>
  <c r="AI481" i="2" s="1"/>
  <c r="AE482" i="2"/>
  <c r="AI482" i="2" s="1"/>
  <c r="AE483" i="2"/>
  <c r="AI483" i="2" s="1"/>
  <c r="AE484" i="2"/>
  <c r="AI484" i="2"/>
  <c r="AE485" i="2"/>
  <c r="AI485" i="2"/>
  <c r="AE486" i="2"/>
  <c r="AI486" i="2" s="1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D495" i="2"/>
  <c r="P456" i="2"/>
  <c r="S456" i="2" s="1"/>
  <c r="W456" i="2" s="1"/>
  <c r="P455" i="2"/>
  <c r="S455" i="2" s="1"/>
  <c r="W455" i="2" s="1"/>
  <c r="U454" i="2"/>
  <c r="U495" i="2" s="1"/>
  <c r="V454" i="2"/>
  <c r="V495" i="2" s="1"/>
  <c r="Q454" i="2"/>
  <c r="Q495" i="2" s="1"/>
  <c r="P454" i="2"/>
  <c r="S454" i="2" s="1"/>
  <c r="W454" i="2" s="1"/>
  <c r="P453" i="2"/>
  <c r="S453" i="2" s="1"/>
  <c r="W453" i="2" s="1"/>
  <c r="P452" i="2"/>
  <c r="S452" i="2" s="1"/>
  <c r="R495" i="2"/>
  <c r="W493" i="2"/>
  <c r="W492" i="2"/>
  <c r="S492" i="2"/>
  <c r="W491" i="2"/>
  <c r="S490" i="2"/>
  <c r="W490" i="2" s="1"/>
  <c r="S489" i="2"/>
  <c r="W489" i="2" s="1"/>
  <c r="S488" i="2"/>
  <c r="W488" i="2" s="1"/>
  <c r="S487" i="2"/>
  <c r="W487" i="2" s="1"/>
  <c r="S486" i="2"/>
  <c r="W486" i="2" s="1"/>
  <c r="S485" i="2"/>
  <c r="W485" i="2" s="1"/>
  <c r="S484" i="2"/>
  <c r="W484" i="2" s="1"/>
  <c r="S483" i="2"/>
  <c r="W483" i="2" s="1"/>
  <c r="S482" i="2"/>
  <c r="W482" i="2" s="1"/>
  <c r="S481" i="2"/>
  <c r="W481" i="2" s="1"/>
  <c r="W480" i="2"/>
  <c r="S480" i="2"/>
  <c r="S479" i="2"/>
  <c r="W479" i="2" s="1"/>
  <c r="S478" i="2"/>
  <c r="W478" i="2" s="1"/>
  <c r="S477" i="2"/>
  <c r="W477" i="2" s="1"/>
  <c r="S476" i="2"/>
  <c r="W476" i="2" s="1"/>
  <c r="S475" i="2"/>
  <c r="W475" i="2" s="1"/>
  <c r="S474" i="2"/>
  <c r="W474" i="2" s="1"/>
  <c r="S473" i="2"/>
  <c r="W473" i="2" s="1"/>
  <c r="W472" i="2"/>
  <c r="S472" i="2"/>
  <c r="S471" i="2"/>
  <c r="W471" i="2" s="1"/>
  <c r="S470" i="2"/>
  <c r="W470" i="2" s="1"/>
  <c r="S469" i="2"/>
  <c r="W469" i="2" s="1"/>
  <c r="S468" i="2"/>
  <c r="W468" i="2" s="1"/>
  <c r="S467" i="2"/>
  <c r="W467" i="2" s="1"/>
  <c r="S466" i="2"/>
  <c r="W466" i="2" s="1"/>
  <c r="S465" i="2"/>
  <c r="W465" i="2" s="1"/>
  <c r="S464" i="2"/>
  <c r="W464" i="2" s="1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S457" i="2"/>
  <c r="W457" i="2" s="1"/>
  <c r="O453" i="2"/>
  <c r="O454" i="2" s="1"/>
  <c r="O455" i="2" s="1"/>
  <c r="O456" i="2" s="1"/>
  <c r="W550" i="2" l="1"/>
  <c r="AE457" i="2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G401" i="2"/>
  <c r="AC401" i="2"/>
  <c r="AC440" i="2" s="1"/>
  <c r="AB401" i="2"/>
  <c r="AE401" i="2" s="1"/>
  <c r="AB400" i="2"/>
  <c r="AE400" i="2" s="1"/>
  <c r="AI400" i="2" s="1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E431" i="2"/>
  <c r="AI431" i="2" s="1"/>
  <c r="AE430" i="2"/>
  <c r="AI430" i="2" s="1"/>
  <c r="AE429" i="2"/>
  <c r="AI429" i="2" s="1"/>
  <c r="AE428" i="2"/>
  <c r="AI428" i="2" s="1"/>
  <c r="AE427" i="2"/>
  <c r="AI427" i="2" s="1"/>
  <c r="AE426" i="2"/>
  <c r="AI426" i="2" s="1"/>
  <c r="AE425" i="2"/>
  <c r="AI425" i="2" s="1"/>
  <c r="AE424" i="2"/>
  <c r="AI424" i="2" s="1"/>
  <c r="AE423" i="2"/>
  <c r="AI423" i="2" s="1"/>
  <c r="AE422" i="2"/>
  <c r="AI422" i="2" s="1"/>
  <c r="AI421" i="2"/>
  <c r="AE421" i="2"/>
  <c r="AE420" i="2"/>
  <c r="AI420" i="2" s="1"/>
  <c r="AE419" i="2"/>
  <c r="AI419" i="2" s="1"/>
  <c r="AE418" i="2"/>
  <c r="AI418" i="2" s="1"/>
  <c r="AE417" i="2"/>
  <c r="AI417" i="2" s="1"/>
  <c r="AE416" i="2"/>
  <c r="AI416" i="2" s="1"/>
  <c r="AE415" i="2"/>
  <c r="AI415" i="2" s="1"/>
  <c r="AE414" i="2"/>
  <c r="AI414" i="2" s="1"/>
  <c r="AE413" i="2"/>
  <c r="AI413" i="2" s="1"/>
  <c r="AE412" i="2"/>
  <c r="AI412" i="2" s="1"/>
  <c r="AE411" i="2"/>
  <c r="AI411" i="2" s="1"/>
  <c r="AE410" i="2"/>
  <c r="AI410" i="2" s="1"/>
  <c r="AE409" i="2"/>
  <c r="AI409" i="2" s="1"/>
  <c r="AE408" i="2"/>
  <c r="AI408" i="2" s="1"/>
  <c r="AE407" i="2"/>
  <c r="AI407" i="2" s="1"/>
  <c r="AE406" i="2"/>
  <c r="AI406" i="2" s="1"/>
  <c r="AE405" i="2"/>
  <c r="AI405" i="2" s="1"/>
  <c r="AE404" i="2"/>
  <c r="AI404" i="2" s="1"/>
  <c r="AE403" i="2"/>
  <c r="AI403" i="2" s="1"/>
  <c r="AE402" i="2"/>
  <c r="AI402" i="2" s="1"/>
  <c r="AA398" i="2"/>
  <c r="AA399" i="2" s="1"/>
  <c r="AA400" i="2" s="1"/>
  <c r="AA401" i="2" s="1"/>
  <c r="AA402" i="2" s="1"/>
  <c r="AA403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I397" i="2"/>
  <c r="I440" i="2" s="1"/>
  <c r="D397" i="2"/>
  <c r="J440" i="2"/>
  <c r="F440" i="2"/>
  <c r="E440" i="2"/>
  <c r="G437" i="2"/>
  <c r="K437" i="2" s="1"/>
  <c r="G430" i="2"/>
  <c r="K430" i="2" s="1"/>
  <c r="K429" i="2"/>
  <c r="G429" i="2"/>
  <c r="G428" i="2"/>
  <c r="K428" i="2" s="1"/>
  <c r="K427" i="2"/>
  <c r="G427" i="2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/>
  <c r="G404" i="2"/>
  <c r="K404" i="2" s="1"/>
  <c r="AG344" i="2"/>
  <c r="K440" i="2" l="1"/>
  <c r="G440" i="2"/>
  <c r="AB346" i="2"/>
  <c r="AC345" i="2"/>
  <c r="AB345" i="2"/>
  <c r="AE345" i="2" s="1"/>
  <c r="AI345" i="2" s="1"/>
  <c r="AC344" i="2"/>
  <c r="AB344" i="2"/>
  <c r="AB343" i="2"/>
  <c r="AB342" i="2"/>
  <c r="AA343" i="2"/>
  <c r="AA344" i="2" s="1"/>
  <c r="AA345" i="2" s="1"/>
  <c r="AA346" i="2" s="1"/>
  <c r="AE342" i="2"/>
  <c r="AG385" i="2"/>
  <c r="AH385" i="2"/>
  <c r="AE344" i="2"/>
  <c r="AI344" i="2" s="1"/>
  <c r="AE346" i="2"/>
  <c r="AI346" i="2"/>
  <c r="AE347" i="2"/>
  <c r="AI347" i="2" s="1"/>
  <c r="AE348" i="2"/>
  <c r="AI348" i="2"/>
  <c r="AE349" i="2"/>
  <c r="AI349" i="2"/>
  <c r="AE350" i="2"/>
  <c r="AI350" i="2" s="1"/>
  <c r="AE351" i="2"/>
  <c r="AI351" i="2"/>
  <c r="AE352" i="2"/>
  <c r="AI352" i="2"/>
  <c r="AE353" i="2"/>
  <c r="AI353" i="2" s="1"/>
  <c r="AE354" i="2"/>
  <c r="AI354" i="2"/>
  <c r="AE355" i="2"/>
  <c r="AI355" i="2" s="1"/>
  <c r="AE356" i="2"/>
  <c r="AI356" i="2" s="1"/>
  <c r="AE357" i="2"/>
  <c r="AI357" i="2"/>
  <c r="AE358" i="2"/>
  <c r="AI358" i="2"/>
  <c r="AE359" i="2"/>
  <c r="AI359" i="2" s="1"/>
  <c r="AE360" i="2"/>
  <c r="AI360" i="2"/>
  <c r="AE361" i="2"/>
  <c r="AI361" i="2" s="1"/>
  <c r="AE362" i="2"/>
  <c r="AI362" i="2"/>
  <c r="AE363" i="2"/>
  <c r="AI363" i="2" s="1"/>
  <c r="AE364" i="2"/>
  <c r="AI364" i="2" s="1"/>
  <c r="AE365" i="2"/>
  <c r="AI365" i="2" s="1"/>
  <c r="AE366" i="2"/>
  <c r="AI366" i="2"/>
  <c r="AE367" i="2"/>
  <c r="AI367" i="2"/>
  <c r="AE368" i="2"/>
  <c r="AI368" i="2" s="1"/>
  <c r="AE369" i="2"/>
  <c r="AI369" i="2" s="1"/>
  <c r="AE370" i="2"/>
  <c r="AI370" i="2"/>
  <c r="AE371" i="2"/>
  <c r="AI371" i="2" s="1"/>
  <c r="AE372" i="2"/>
  <c r="AI372" i="2"/>
  <c r="AE373" i="2"/>
  <c r="AI373" i="2" s="1"/>
  <c r="AE374" i="2"/>
  <c r="AI374" i="2" s="1"/>
  <c r="AE375" i="2"/>
  <c r="AI375" i="2"/>
  <c r="AE376" i="2"/>
  <c r="AI376" i="2"/>
  <c r="AE377" i="2"/>
  <c r="AI377" i="2" s="1"/>
  <c r="AE378" i="2"/>
  <c r="AI378" i="2"/>
  <c r="AE379" i="2"/>
  <c r="AI379" i="2" s="1"/>
  <c r="AE380" i="2"/>
  <c r="AI380" i="2" s="1"/>
  <c r="AI381" i="2"/>
  <c r="AE382" i="2"/>
  <c r="AI382" i="2" s="1"/>
  <c r="AI383" i="2"/>
  <c r="AD385" i="2"/>
  <c r="P346" i="2"/>
  <c r="S346" i="2" s="1"/>
  <c r="W346" i="2" s="1"/>
  <c r="V345" i="2"/>
  <c r="Q345" i="2"/>
  <c r="P345" i="2"/>
  <c r="S345" i="2" s="1"/>
  <c r="W345" i="2" s="1"/>
  <c r="U344" i="2"/>
  <c r="U385" i="2" s="1"/>
  <c r="P344" i="2"/>
  <c r="S344" i="2" s="1"/>
  <c r="P343" i="2"/>
  <c r="S343" i="2" s="1"/>
  <c r="W343" i="2" s="1"/>
  <c r="P342" i="2"/>
  <c r="O343" i="2"/>
  <c r="V385" i="2"/>
  <c r="O344" i="2"/>
  <c r="Q385" i="2"/>
  <c r="O345" i="2"/>
  <c r="O346" i="2" s="1"/>
  <c r="S347" i="2"/>
  <c r="W347" i="2" s="1"/>
  <c r="S348" i="2"/>
  <c r="W348" i="2" s="1"/>
  <c r="S349" i="2"/>
  <c r="W349" i="2" s="1"/>
  <c r="S350" i="2"/>
  <c r="W350" i="2"/>
  <c r="S351" i="2"/>
  <c r="W351" i="2"/>
  <c r="S352" i="2"/>
  <c r="W352" i="2"/>
  <c r="S353" i="2"/>
  <c r="W353" i="2"/>
  <c r="S354" i="2"/>
  <c r="W354" i="2" s="1"/>
  <c r="S355" i="2"/>
  <c r="W355" i="2"/>
  <c r="S356" i="2"/>
  <c r="W356" i="2"/>
  <c r="S357" i="2"/>
  <c r="W357" i="2" s="1"/>
  <c r="S358" i="2"/>
  <c r="W358" i="2"/>
  <c r="S359" i="2"/>
  <c r="W359" i="2"/>
  <c r="S360" i="2"/>
  <c r="W360" i="2" s="1"/>
  <c r="S361" i="2"/>
  <c r="W361" i="2" s="1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 s="1"/>
  <c r="S372" i="2"/>
  <c r="W372" i="2"/>
  <c r="S373" i="2"/>
  <c r="W373" i="2" s="1"/>
  <c r="S374" i="2"/>
  <c r="W374" i="2" s="1"/>
  <c r="S375" i="2"/>
  <c r="W375" i="2" s="1"/>
  <c r="S376" i="2"/>
  <c r="W376" i="2"/>
  <c r="S377" i="2"/>
  <c r="W377" i="2" s="1"/>
  <c r="S378" i="2"/>
  <c r="W378" i="2" s="1"/>
  <c r="S379" i="2"/>
  <c r="W379" i="2"/>
  <c r="S380" i="2"/>
  <c r="W380" i="2"/>
  <c r="W381" i="2"/>
  <c r="S382" i="2"/>
  <c r="W382" i="2"/>
  <c r="W383" i="2"/>
  <c r="R385" i="2"/>
  <c r="D353" i="2"/>
  <c r="D352" i="2"/>
  <c r="G352" i="2"/>
  <c r="K352" i="2" s="1"/>
  <c r="D351" i="2"/>
  <c r="G351" i="2" s="1"/>
  <c r="K351" i="2" s="1"/>
  <c r="D350" i="2"/>
  <c r="G350" i="2" s="1"/>
  <c r="K350" i="2" s="1"/>
  <c r="D349" i="2"/>
  <c r="G349" i="2" s="1"/>
  <c r="K349" i="2" s="1"/>
  <c r="I348" i="2"/>
  <c r="D348" i="2"/>
  <c r="G348" i="2" s="1"/>
  <c r="K348" i="2" s="1"/>
  <c r="I347" i="2"/>
  <c r="I385" i="2" s="1"/>
  <c r="D347" i="2"/>
  <c r="G347" i="2" s="1"/>
  <c r="K347" i="2" s="1"/>
  <c r="D346" i="2"/>
  <c r="G346" i="2" s="1"/>
  <c r="K346" i="2" s="1"/>
  <c r="D345" i="2"/>
  <c r="G345" i="2" s="1"/>
  <c r="K345" i="2" s="1"/>
  <c r="D344" i="2"/>
  <c r="G344" i="2" s="1"/>
  <c r="K344" i="2" s="1"/>
  <c r="D343" i="2"/>
  <c r="D342" i="2"/>
  <c r="G342" i="2" s="1"/>
  <c r="J385" i="2"/>
  <c r="F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G353" i="2"/>
  <c r="K353" i="2" s="1"/>
  <c r="E385" i="2"/>
  <c r="G343" i="2"/>
  <c r="K343" i="2" s="1"/>
  <c r="C343" i="2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AB385" i="2" l="1"/>
  <c r="AC385" i="2"/>
  <c r="AI342" i="2"/>
  <c r="AE343" i="2"/>
  <c r="AI343" i="2" s="1"/>
  <c r="W344" i="2"/>
  <c r="P385" i="2"/>
  <c r="S342" i="2"/>
  <c r="S385" i="2" s="1"/>
  <c r="G385" i="2"/>
  <c r="K342" i="2"/>
  <c r="K385" i="2" s="1"/>
  <c r="D385" i="2"/>
  <c r="AB291" i="2"/>
  <c r="AE291" i="2" s="1"/>
  <c r="AI291" i="2" s="1"/>
  <c r="AC290" i="2"/>
  <c r="AC330" i="2" s="1"/>
  <c r="AB290" i="2"/>
  <c r="AE290" i="2" s="1"/>
  <c r="AI290" i="2" s="1"/>
  <c r="AH289" i="2"/>
  <c r="AH330" i="2" s="1"/>
  <c r="AB289" i="2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2" i="2"/>
  <c r="AI292" i="2" s="1"/>
  <c r="AE289" i="2"/>
  <c r="AE288" i="2"/>
  <c r="AA288" i="2"/>
  <c r="AA289" i="2" s="1"/>
  <c r="AA290" i="2" s="1"/>
  <c r="AA291" i="2" s="1"/>
  <c r="V290" i="2"/>
  <c r="U290" i="2"/>
  <c r="Q290" i="2"/>
  <c r="P290" i="2"/>
  <c r="U289" i="2"/>
  <c r="Q289" i="2"/>
  <c r="P289" i="2"/>
  <c r="V288" i="2"/>
  <c r="P288" i="2"/>
  <c r="S288" i="2" s="1"/>
  <c r="Q287" i="2"/>
  <c r="P287" i="2"/>
  <c r="R330" i="2"/>
  <c r="W328" i="2"/>
  <c r="S327" i="2"/>
  <c r="W327" i="2" s="1"/>
  <c r="W326" i="2"/>
  <c r="S325" i="2"/>
  <c r="W325" i="2" s="1"/>
  <c r="S324" i="2"/>
  <c r="W324" i="2" s="1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W305" i="2"/>
  <c r="S305" i="2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S287" i="2"/>
  <c r="W342" i="2" l="1"/>
  <c r="W385" i="2" s="1"/>
  <c r="U330" i="2"/>
  <c r="S290" i="2"/>
  <c r="AI385" i="2"/>
  <c r="AE385" i="2"/>
  <c r="AB330" i="2"/>
  <c r="AI289" i="2"/>
  <c r="AI288" i="2"/>
  <c r="AG330" i="2"/>
  <c r="AE287" i="2"/>
  <c r="AE330" i="2"/>
  <c r="AI287" i="2"/>
  <c r="W290" i="2"/>
  <c r="V330" i="2"/>
  <c r="Q330" i="2"/>
  <c r="S289" i="2"/>
  <c r="W289" i="2" s="1"/>
  <c r="W288" i="2"/>
  <c r="W287" i="2"/>
  <c r="P330" i="2"/>
  <c r="AH237" i="2"/>
  <c r="AB237" i="2"/>
  <c r="AE237" i="2" s="1"/>
  <c r="AI237" i="2" s="1"/>
  <c r="AB236" i="2"/>
  <c r="AE236" i="2" s="1"/>
  <c r="AI236" i="2" s="1"/>
  <c r="AG235" i="2"/>
  <c r="AB235" i="2"/>
  <c r="AE235" i="2" s="1"/>
  <c r="AB234" i="2"/>
  <c r="AE234" i="2" s="1"/>
  <c r="AI234" i="2" s="1"/>
  <c r="AG233" i="2"/>
  <c r="AC233" i="2"/>
  <c r="AC275" i="2" s="1"/>
  <c r="AB233" i="2"/>
  <c r="AE233" i="2" s="1"/>
  <c r="AI233" i="2" s="1"/>
  <c r="AH232" i="2"/>
  <c r="AH275" i="2" s="1"/>
  <c r="AB232" i="2"/>
  <c r="AE232" i="2" s="1"/>
  <c r="AA236" i="2"/>
  <c r="AA237" i="2" s="1"/>
  <c r="AA233" i="2"/>
  <c r="AA234" i="2" s="1"/>
  <c r="AA235" i="2" s="1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/>
  <c r="AE244" i="2"/>
  <c r="AI244" i="2" s="1"/>
  <c r="AE245" i="2"/>
  <c r="AI245" i="2" s="1"/>
  <c r="AE246" i="2"/>
  <c r="AI246" i="2"/>
  <c r="AE247" i="2"/>
  <c r="AI247" i="2"/>
  <c r="AE248" i="2"/>
  <c r="AI248" i="2" s="1"/>
  <c r="AE249" i="2"/>
  <c r="AI249" i="2"/>
  <c r="AE250" i="2"/>
  <c r="AI250" i="2"/>
  <c r="AE251" i="2"/>
  <c r="AI251" i="2"/>
  <c r="AE252" i="2"/>
  <c r="AI252" i="2" s="1"/>
  <c r="AE253" i="2"/>
  <c r="AI253" i="2" s="1"/>
  <c r="AE254" i="2"/>
  <c r="AI254" i="2"/>
  <c r="AE255" i="2"/>
  <c r="AI255" i="2"/>
  <c r="AE256" i="2"/>
  <c r="AI256" i="2"/>
  <c r="AE257" i="2"/>
  <c r="AI257" i="2" s="1"/>
  <c r="AE258" i="2"/>
  <c r="AI258" i="2"/>
  <c r="AE259" i="2"/>
  <c r="AI259" i="2"/>
  <c r="AE260" i="2"/>
  <c r="AI260" i="2" s="1"/>
  <c r="AE261" i="2"/>
  <c r="AI261" i="2" s="1"/>
  <c r="AE262" i="2"/>
  <c r="AI262" i="2"/>
  <c r="AE263" i="2"/>
  <c r="AI263" i="2" s="1"/>
  <c r="AE264" i="2"/>
  <c r="AI264" i="2"/>
  <c r="AE265" i="2"/>
  <c r="AI265" i="2"/>
  <c r="AE266" i="2"/>
  <c r="AI266" i="2" s="1"/>
  <c r="AE267" i="2"/>
  <c r="AI267" i="2"/>
  <c r="AE268" i="2"/>
  <c r="AI268" i="2" s="1"/>
  <c r="AE269" i="2"/>
  <c r="AI269" i="2" s="1"/>
  <c r="AE270" i="2"/>
  <c r="AI270" i="2"/>
  <c r="AI271" i="2"/>
  <c r="AE272" i="2"/>
  <c r="AI272" i="2" s="1"/>
  <c r="AI273" i="2"/>
  <c r="AD275" i="2"/>
  <c r="P237" i="2"/>
  <c r="P236" i="2"/>
  <c r="S236" i="2" s="1"/>
  <c r="W236" i="2" s="1"/>
  <c r="U275" i="2"/>
  <c r="S235" i="2"/>
  <c r="W235" i="2" s="1"/>
  <c r="P234" i="2"/>
  <c r="S234" i="2" s="1"/>
  <c r="W234" i="2" s="1"/>
  <c r="V233" i="2"/>
  <c r="P233" i="2"/>
  <c r="S233" i="2" s="1"/>
  <c r="W233" i="2" s="1"/>
  <c r="P232" i="2"/>
  <c r="O233" i="2"/>
  <c r="O234" i="2"/>
  <c r="O235" i="2" s="1"/>
  <c r="O236" i="2" s="1"/>
  <c r="O237" i="2" s="1"/>
  <c r="S237" i="2"/>
  <c r="W237" i="2" s="1"/>
  <c r="S238" i="2"/>
  <c r="W238" i="2" s="1"/>
  <c r="S239" i="2"/>
  <c r="W239" i="2" s="1"/>
  <c r="S240" i="2"/>
  <c r="W240" i="2"/>
  <c r="S241" i="2"/>
  <c r="W241" i="2"/>
  <c r="S242" i="2"/>
  <c r="W242" i="2" s="1"/>
  <c r="S243" i="2"/>
  <c r="W243" i="2" s="1"/>
  <c r="S244" i="2"/>
  <c r="W244" i="2"/>
  <c r="S245" i="2"/>
  <c r="W245" i="2"/>
  <c r="S246" i="2"/>
  <c r="W246" i="2"/>
  <c r="S247" i="2"/>
  <c r="W247" i="2"/>
  <c r="S248" i="2"/>
  <c r="W248" i="2" s="1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/>
  <c r="S256" i="2"/>
  <c r="W256" i="2" s="1"/>
  <c r="S257" i="2"/>
  <c r="W257" i="2" s="1"/>
  <c r="S258" i="2"/>
  <c r="W258" i="2" s="1"/>
  <c r="S259" i="2"/>
  <c r="W259" i="2"/>
  <c r="S260" i="2"/>
  <c r="W260" i="2"/>
  <c r="S261" i="2"/>
  <c r="W261" i="2"/>
  <c r="S262" i="2"/>
  <c r="W262" i="2"/>
  <c r="S263" i="2"/>
  <c r="W263" i="2"/>
  <c r="S264" i="2"/>
  <c r="W264" i="2"/>
  <c r="S265" i="2"/>
  <c r="W265" i="2" s="1"/>
  <c r="S266" i="2"/>
  <c r="W266" i="2" s="1"/>
  <c r="S267" i="2"/>
  <c r="W267" i="2"/>
  <c r="S268" i="2"/>
  <c r="W268" i="2"/>
  <c r="S269" i="2"/>
  <c r="W269" i="2" s="1"/>
  <c r="S270" i="2"/>
  <c r="W270" i="2"/>
  <c r="W271" i="2"/>
  <c r="S272" i="2"/>
  <c r="W272" i="2"/>
  <c r="W273" i="2"/>
  <c r="R275" i="2"/>
  <c r="V275" i="2"/>
  <c r="S330" i="2" l="1"/>
  <c r="AI330" i="2"/>
  <c r="W330" i="2"/>
  <c r="AG275" i="2"/>
  <c r="AI235" i="2"/>
  <c r="AI232" i="2"/>
  <c r="AE275" i="2"/>
  <c r="AB275" i="2"/>
  <c r="Q275" i="2"/>
  <c r="P275" i="2"/>
  <c r="S232" i="2"/>
  <c r="S275" i="2" s="1"/>
  <c r="W232" i="2"/>
  <c r="W275" i="2" s="1"/>
  <c r="AH180" i="2"/>
  <c r="AH220" i="2" s="1"/>
  <c r="AC180" i="2"/>
  <c r="AB180" i="2"/>
  <c r="AE180" i="2" s="1"/>
  <c r="AH179" i="2"/>
  <c r="AB179" i="2"/>
  <c r="AB178" i="2"/>
  <c r="AE178" i="2" s="1"/>
  <c r="AI178" i="2" s="1"/>
  <c r="AC177" i="2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E214" i="2"/>
  <c r="AI214" i="2" s="1"/>
  <c r="AE213" i="2"/>
  <c r="AI213" i="2" s="1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E205" i="2"/>
  <c r="AI205" i="2" s="1"/>
  <c r="AE204" i="2"/>
  <c r="AI204" i="2" s="1"/>
  <c r="AE203" i="2"/>
  <c r="AI203" i="2" s="1"/>
  <c r="AE202" i="2"/>
  <c r="AI202" i="2" s="1"/>
  <c r="AE201" i="2"/>
  <c r="AI201" i="2" s="1"/>
  <c r="AI200" i="2"/>
  <c r="AE200" i="2"/>
  <c r="AE199" i="2"/>
  <c r="AI199" i="2" s="1"/>
  <c r="AE198" i="2"/>
  <c r="AI198" i="2" s="1"/>
  <c r="AE197" i="2"/>
  <c r="AI197" i="2" s="1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E189" i="2"/>
  <c r="AI189" i="2" s="1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79" i="2"/>
  <c r="AI179" i="2" s="1"/>
  <c r="V179" i="2"/>
  <c r="P179" i="2"/>
  <c r="U178" i="2"/>
  <c r="Q178" i="2"/>
  <c r="P178" i="2"/>
  <c r="V177" i="2"/>
  <c r="V220" i="2" s="1"/>
  <c r="U177" i="2"/>
  <c r="Q177" i="2"/>
  <c r="P177" i="2"/>
  <c r="R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S179" i="2"/>
  <c r="P220" i="2"/>
  <c r="O178" i="2"/>
  <c r="O179" i="2" s="1"/>
  <c r="D184" i="2"/>
  <c r="D183" i="2"/>
  <c r="G183" i="2" s="1"/>
  <c r="K183" i="2" s="1"/>
  <c r="J182" i="2"/>
  <c r="J220" i="2" s="1"/>
  <c r="I182" i="2"/>
  <c r="E182" i="2"/>
  <c r="E220" i="2" s="1"/>
  <c r="D182" i="2"/>
  <c r="G182" i="2" s="1"/>
  <c r="K182" i="2" s="1"/>
  <c r="I181" i="2"/>
  <c r="D181" i="2"/>
  <c r="G181" i="2" s="1"/>
  <c r="K181" i="2" s="1"/>
  <c r="D180" i="2"/>
  <c r="D179" i="2"/>
  <c r="D178" i="2"/>
  <c r="G178" i="2" s="1"/>
  <c r="K178" i="2" s="1"/>
  <c r="I177" i="2"/>
  <c r="D177" i="2"/>
  <c r="G177" i="2" s="1"/>
  <c r="C180" i="2"/>
  <c r="C181" i="2" s="1"/>
  <c r="C182" i="2" s="1"/>
  <c r="C183" i="2" s="1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G203" i="2"/>
  <c r="K203" i="2" s="1"/>
  <c r="G202" i="2"/>
  <c r="K202" i="2" s="1"/>
  <c r="K201" i="2"/>
  <c r="G201" i="2"/>
  <c r="G200" i="2"/>
  <c r="K200" i="2" s="1"/>
  <c r="G199" i="2"/>
  <c r="K199" i="2" s="1"/>
  <c r="G198" i="2"/>
  <c r="K198" i="2" s="1"/>
  <c r="G197" i="2"/>
  <c r="K197" i="2" s="1"/>
  <c r="G196" i="2"/>
  <c r="K196" i="2" s="1"/>
  <c r="G195" i="2"/>
  <c r="K195" i="2" s="1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G187" i="2"/>
  <c r="K187" i="2" s="1"/>
  <c r="G186" i="2"/>
  <c r="K186" i="2" s="1"/>
  <c r="G185" i="2"/>
  <c r="K185" i="2" s="1"/>
  <c r="G184" i="2"/>
  <c r="K184" i="2" s="1"/>
  <c r="G180" i="2"/>
  <c r="K180" i="2" s="1"/>
  <c r="G179" i="2"/>
  <c r="K179" i="2" s="1"/>
  <c r="C178" i="2"/>
  <c r="C179" i="2" s="1"/>
  <c r="Q220" i="2" l="1"/>
  <c r="AI275" i="2"/>
  <c r="AC220" i="2"/>
  <c r="S177" i="2"/>
  <c r="AI180" i="2"/>
  <c r="AE177" i="2"/>
  <c r="AE220" i="2"/>
  <c r="AI177" i="2"/>
  <c r="AI220" i="2" s="1"/>
  <c r="AB220" i="2"/>
  <c r="W179" i="2"/>
  <c r="U220" i="2"/>
  <c r="W177" i="2"/>
  <c r="S178" i="2"/>
  <c r="W178" i="2" s="1"/>
  <c r="I220" i="2"/>
  <c r="G220" i="2"/>
  <c r="K177" i="2"/>
  <c r="K220" i="2" s="1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/>
  <c r="G127" i="2"/>
  <c r="K127" i="2" s="1"/>
  <c r="G128" i="2"/>
  <c r="K128" i="2" s="1"/>
  <c r="G129" i="2"/>
  <c r="K129" i="2" s="1"/>
  <c r="G130" i="2"/>
  <c r="K130" i="2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/>
  <c r="G138" i="2"/>
  <c r="K138" i="2"/>
  <c r="G139" i="2"/>
  <c r="K139" i="2" s="1"/>
  <c r="G140" i="2"/>
  <c r="K140" i="2" s="1"/>
  <c r="G141" i="2"/>
  <c r="K141" i="2" s="1"/>
  <c r="G142" i="2"/>
  <c r="K142" i="2"/>
  <c r="G143" i="2"/>
  <c r="K143" i="2"/>
  <c r="G144" i="2"/>
  <c r="K144" i="2" s="1"/>
  <c r="G145" i="2"/>
  <c r="K145" i="2"/>
  <c r="G146" i="2"/>
  <c r="K146" i="2"/>
  <c r="G147" i="2"/>
  <c r="K147" i="2" s="1"/>
  <c r="G148" i="2"/>
  <c r="K148" i="2" s="1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W220" i="2" l="1"/>
  <c r="S220" i="2"/>
  <c r="D165" i="2"/>
  <c r="K122" i="2"/>
  <c r="K165" i="2" s="1"/>
  <c r="G165" i="2"/>
  <c r="AG69" i="2"/>
  <c r="AB69" i="2" l="1"/>
  <c r="AH69" i="2" l="1"/>
  <c r="AH71" i="2" l="1"/>
  <c r="AB71" i="2"/>
  <c r="AB70" i="2"/>
  <c r="AE70" i="2"/>
  <c r="AI70" i="2" s="1"/>
  <c r="AH68" i="2"/>
  <c r="AH110" i="2" s="1"/>
  <c r="AB68" i="2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I90" i="2"/>
  <c r="AE90" i="2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I74" i="2"/>
  <c r="AE74" i="2"/>
  <c r="AE73" i="2"/>
  <c r="AI73" i="2" s="1"/>
  <c r="AE72" i="2"/>
  <c r="AI72" i="2" s="1"/>
  <c r="AE71" i="2"/>
  <c r="AI71" i="2" s="1"/>
  <c r="AG110" i="2"/>
  <c r="AE68" i="2"/>
  <c r="AI68" i="2" s="1"/>
  <c r="AA68" i="2"/>
  <c r="AA69" i="2" s="1"/>
  <c r="AA70" i="2" s="1"/>
  <c r="AA71" i="2" s="1"/>
  <c r="P70" i="2"/>
  <c r="S70" i="2" s="1"/>
  <c r="W70" i="2" s="1"/>
  <c r="P69" i="2"/>
  <c r="S69" i="2" s="1"/>
  <c r="W69" i="2" s="1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S105" i="2"/>
  <c r="W105" i="2" s="1"/>
  <c r="S104" i="2"/>
  <c r="W104" i="2" s="1"/>
  <c r="S103" i="2"/>
  <c r="W103" i="2" s="1"/>
  <c r="S102" i="2"/>
  <c r="W102" i="2" s="1"/>
  <c r="S101" i="2"/>
  <c r="W101" i="2" s="1"/>
  <c r="S100" i="2"/>
  <c r="W100" i="2" s="1"/>
  <c r="S99" i="2"/>
  <c r="W99" i="2" s="1"/>
  <c r="S98" i="2"/>
  <c r="W98" i="2" s="1"/>
  <c r="S97" i="2"/>
  <c r="W97" i="2" s="1"/>
  <c r="S96" i="2"/>
  <c r="W96" i="2" s="1"/>
  <c r="S95" i="2"/>
  <c r="W95" i="2" s="1"/>
  <c r="S94" i="2"/>
  <c r="W94" i="2" s="1"/>
  <c r="S93" i="2"/>
  <c r="W93" i="2" s="1"/>
  <c r="S92" i="2"/>
  <c r="W92" i="2" s="1"/>
  <c r="S91" i="2"/>
  <c r="W91" i="2" s="1"/>
  <c r="S90" i="2"/>
  <c r="W90" i="2" s="1"/>
  <c r="S89" i="2"/>
  <c r="W89" i="2" s="1"/>
  <c r="S88" i="2"/>
  <c r="W88" i="2" s="1"/>
  <c r="S87" i="2"/>
  <c r="W87" i="2" s="1"/>
  <c r="S86" i="2"/>
  <c r="W86" i="2" s="1"/>
  <c r="S85" i="2"/>
  <c r="W85" i="2" s="1"/>
  <c r="S84" i="2"/>
  <c r="W84" i="2" s="1"/>
  <c r="S83" i="2"/>
  <c r="W83" i="2" s="1"/>
  <c r="S82" i="2"/>
  <c r="W82" i="2" s="1"/>
  <c r="S81" i="2"/>
  <c r="W81" i="2" s="1"/>
  <c r="S80" i="2"/>
  <c r="W80" i="2" s="1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O68" i="2"/>
  <c r="O69" i="2" s="1"/>
  <c r="O70" i="2" s="1"/>
  <c r="D77" i="2"/>
  <c r="E76" i="2"/>
  <c r="E110" i="2" s="1"/>
  <c r="D76" i="2"/>
  <c r="G76" i="2" s="1"/>
  <c r="K76" i="2" s="1"/>
  <c r="D75" i="2"/>
  <c r="G75" i="2" s="1"/>
  <c r="K75" i="2" s="1"/>
  <c r="I74" i="2"/>
  <c r="I110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G69" i="2" s="1"/>
  <c r="K69" i="2" s="1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J110" i="2"/>
  <c r="G77" i="2"/>
  <c r="K77" i="2" s="1"/>
  <c r="G78" i="2"/>
  <c r="K78" i="2" s="1"/>
  <c r="G79" i="2"/>
  <c r="K79" i="2"/>
  <c r="G80" i="2"/>
  <c r="K80" i="2"/>
  <c r="G81" i="2"/>
  <c r="K81" i="2"/>
  <c r="G82" i="2"/>
  <c r="K82" i="2"/>
  <c r="G83" i="2"/>
  <c r="K83" i="2"/>
  <c r="G84" i="2"/>
  <c r="K84" i="2"/>
  <c r="G85" i="2"/>
  <c r="K85" i="2" s="1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 s="1"/>
  <c r="G94" i="2"/>
  <c r="K94" i="2" s="1"/>
  <c r="G95" i="2"/>
  <c r="K95" i="2"/>
  <c r="G96" i="2"/>
  <c r="K96" i="2"/>
  <c r="G97" i="2"/>
  <c r="K97" i="2"/>
  <c r="G98" i="2"/>
  <c r="K98" i="2"/>
  <c r="G99" i="2"/>
  <c r="K99" i="2"/>
  <c r="G100" i="2"/>
  <c r="K100" i="2"/>
  <c r="G107" i="2"/>
  <c r="K107" i="2" s="1"/>
  <c r="F110" i="2"/>
  <c r="AB110" i="2" l="1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D29" i="1" s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1" i="1"/>
  <c r="D39" i="1"/>
  <c r="J11" i="1" l="1"/>
  <c r="D11" i="1" s="1"/>
  <c r="J22" i="1" l="1"/>
  <c r="D22" i="1" s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O22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1" authorId="0" shapeId="0" xr:uid="{1B8B8B60-302F-460C-8138-C23FBC5DC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DAY OFF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507" authorId="0" shapeId="0" xr:uid="{966FE771-25E2-4D04-A7DF-BE2D01D9B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507" authorId="0" shapeId="0" xr:uid="{3E929339-D46B-4947-A522-1784A4605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</t>
        </r>
      </text>
    </comment>
    <comment ref="C508" authorId="0" shapeId="0" xr:uid="{D8AB0B90-490F-4A95-886B-A3F0D14A8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508" authorId="0" shapeId="0" xr:uid="{81234CA3-9154-44A4-ACC3-E353E0E15B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C509" authorId="0" shapeId="0" xr:uid="{C4F9E90C-3426-4075-BEE1-E06EEAB3F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POB. SIAYAN</t>
        </r>
      </text>
    </comment>
    <comment ref="O509" authorId="0" shapeId="0" xr:uid="{85A42D93-F405-4B76-8979-D1604B265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C510" authorId="0" shapeId="0" xr:uid="{1E89947C-90C6-4A5C-8017-EBA7CADC6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510" authorId="0" shapeId="0" xr:uid="{608C213A-2512-46A6-9C8C-7F1F98D3A58A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DINIEGA STORE
TALINGA SINDANGAN</t>
        </r>
      </text>
    </comment>
    <comment ref="C511" authorId="0" shapeId="0" xr:uid="{A2864229-8BC8-4807-B330-F7C6242EC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511" authorId="0" shapeId="0" xr:uid="{3FEDB232-D455-419D-906C-B74093FAE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</t>
        </r>
      </text>
    </comment>
    <comment ref="C512" authorId="0" shapeId="0" xr:uid="{B6CEA163-C8AD-4ACE-9586-BA8BA0B905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O512" authorId="0" shapeId="0" xr:uid="{6F25F9C0-D42B-4929-9B95-07E91E1C4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</commentList>
</comments>
</file>

<file path=xl/sharedStrings.xml><?xml version="1.0" encoding="utf-8"?>
<sst xmlns="http://schemas.openxmlformats.org/spreadsheetml/2006/main" count="522" uniqueCount="65">
  <si>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</si>
  <si>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</si>
  <si>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</si>
  <si>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</si>
  <si>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</si>
  <si>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</si>
  <si>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</si>
  <si>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</si>
  <si>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</si>
  <si>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</si>
  <si>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</si>
  <si>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</si>
  <si>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</si>
  <si>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</si>
  <si>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</si>
  <si>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</si>
  <si>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</si>
  <si>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</si>
  <si>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</si>
  <si>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</si>
  <si>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</si>
  <si>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</si>
  <si>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</si>
  <si>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</si>
  <si>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</si>
  <si>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</si>
  <si>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</si>
  <si>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</si>
  <si>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</si>
  <si>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</si>
  <si>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</si>
  <si>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</si>
  <si>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</si>
  <si>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</si>
  <si>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</si>
  <si>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</si>
  <si>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</si>
  <si>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</si>
  <si>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</si>
  <si>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</si>
  <si>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</si>
  <si>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</si>
  <si>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</si>
  <si>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</si>
  <si>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</si>
  <si>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</si>
  <si>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</si>
  <si>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</si>
  <si>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</si>
  <si>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</si>
  <si>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</si>
  <si>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</si>
  <si>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</si>
  <si>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</si>
  <si>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</si>
  <si>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</si>
  <si>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</si>
  <si>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</si>
  <si>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</si>
  <si>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</si>
  <si>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</si>
  <si>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</si>
  <si>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</si>
  <si>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</si>
  <si>
    <t>10939-10944/10881-10886/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</si>
</sst>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4" zoomScaleNormal="100" workbookViewId="0">
      <selection activeCell="C22" sqref="C2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5" t="s">
        <v>36</v>
      </c>
      <c r="B6" s="10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9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44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47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50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53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54</v>
      </c>
      <c r="D15" s="55" t="s">
        <v>54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56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58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60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 t="s">
        <v>64</v>
      </c>
      <c r="D21" s="16">
        <f t="shared" si="0"/>
        <v>578861</v>
      </c>
      <c r="F21" s="14">
        <v>346521</v>
      </c>
      <c r="G21" s="14">
        <v>232340</v>
      </c>
      <c r="H21" s="14"/>
      <c r="I21" s="14"/>
      <c r="J21" s="17">
        <f t="shared" si="1"/>
        <v>578861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9" si="3">F25+G25+H25</f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3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0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si="0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ref="D31:D33" si="4">J31</f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6" t="s">
        <v>10</v>
      </c>
      <c r="B42" s="107"/>
      <c r="C42" s="108"/>
      <c r="D42" s="48">
        <f>SUM(D2:D41)</f>
        <v>6727663.9400000004</v>
      </c>
      <c r="J42" s="49">
        <f>SUM(J10:J41)</f>
        <v>6727663.9400000004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7"/>
  <sheetViews>
    <sheetView tabSelected="1" topLeftCell="E521" zoomScaleNormal="100" workbookViewId="0">
      <selection activeCell="O541" sqref="O54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2" t="s">
        <v>17</v>
      </c>
      <c r="E10" s="112"/>
      <c r="F10" s="75"/>
      <c r="G10" s="27"/>
      <c r="I10" s="110" t="s">
        <v>18</v>
      </c>
      <c r="J10" s="111"/>
      <c r="K10" s="114" t="s">
        <v>19</v>
      </c>
      <c r="N10" s="25"/>
      <c r="O10" s="26"/>
      <c r="P10" s="112" t="s">
        <v>17</v>
      </c>
      <c r="Q10" s="112"/>
      <c r="R10" s="75"/>
      <c r="S10" s="27"/>
      <c r="U10" s="110" t="s">
        <v>18</v>
      </c>
      <c r="V10" s="111"/>
      <c r="W10" s="114" t="s">
        <v>19</v>
      </c>
      <c r="Z10" s="25"/>
      <c r="AA10" s="26"/>
      <c r="AB10" s="112" t="s">
        <v>17</v>
      </c>
      <c r="AC10" s="112"/>
      <c r="AD10" s="75"/>
      <c r="AE10" s="27"/>
      <c r="AG10" s="110" t="s">
        <v>18</v>
      </c>
      <c r="AH10" s="111"/>
      <c r="AI10" s="114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15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5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5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43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2" t="s">
        <v>17</v>
      </c>
      <c r="E65" s="112"/>
      <c r="F65" s="92"/>
      <c r="G65" s="27"/>
      <c r="I65" s="110" t="s">
        <v>18</v>
      </c>
      <c r="J65" s="111"/>
      <c r="K65" s="114" t="s">
        <v>19</v>
      </c>
      <c r="N65" s="25"/>
      <c r="O65" s="26"/>
      <c r="P65" s="112" t="s">
        <v>17</v>
      </c>
      <c r="Q65" s="112"/>
      <c r="R65" s="92"/>
      <c r="S65" s="27"/>
      <c r="U65" s="110" t="s">
        <v>18</v>
      </c>
      <c r="V65" s="111"/>
      <c r="W65" s="114" t="s">
        <v>19</v>
      </c>
      <c r="Z65" s="25"/>
      <c r="AA65" s="26"/>
      <c r="AB65" s="112" t="s">
        <v>17</v>
      </c>
      <c r="AC65" s="112"/>
      <c r="AD65" s="92"/>
      <c r="AE65" s="27"/>
      <c r="AG65" s="110" t="s">
        <v>18</v>
      </c>
      <c r="AH65" s="111"/>
      <c r="AI65" s="114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5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15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5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13"/>
      <c r="AO67" s="113"/>
      <c r="AP67" s="86"/>
      <c r="AQ67" s="62"/>
      <c r="AR67" s="113"/>
      <c r="AS67" s="113"/>
      <c r="AT67" s="10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43</v>
      </c>
      <c r="K118" s="24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2" t="s">
        <v>17</v>
      </c>
      <c r="E120" s="112"/>
      <c r="F120" s="93"/>
      <c r="G120" s="27"/>
      <c r="I120" s="110" t="s">
        <v>18</v>
      </c>
      <c r="J120" s="111"/>
      <c r="K120" s="114" t="s">
        <v>19</v>
      </c>
      <c r="M120" s="62"/>
      <c r="N120" s="65"/>
      <c r="O120" s="90"/>
      <c r="P120" s="113"/>
      <c r="Q120" s="113"/>
      <c r="R120" s="90"/>
      <c r="S120" s="90"/>
      <c r="T120" s="62"/>
      <c r="U120" s="113"/>
      <c r="V120" s="113"/>
      <c r="W120" s="109"/>
      <c r="X120" s="62"/>
      <c r="Y120" s="62"/>
      <c r="Z120" s="65"/>
      <c r="AA120" s="90"/>
      <c r="AB120" s="113"/>
      <c r="AC120" s="113"/>
      <c r="AD120" s="90"/>
      <c r="AE120" s="90"/>
      <c r="AF120" s="62"/>
      <c r="AG120" s="113"/>
      <c r="AH120" s="113"/>
      <c r="AI120" s="109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5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109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109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43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2" t="s">
        <v>17</v>
      </c>
      <c r="E175" s="112"/>
      <c r="F175" s="94"/>
      <c r="G175" s="27"/>
      <c r="I175" s="110" t="s">
        <v>18</v>
      </c>
      <c r="J175" s="111"/>
      <c r="K175" s="114" t="s">
        <v>19</v>
      </c>
      <c r="N175" s="25"/>
      <c r="O175" s="26"/>
      <c r="P175" s="112" t="s">
        <v>17</v>
      </c>
      <c r="Q175" s="112"/>
      <c r="R175" s="94"/>
      <c r="S175" s="27"/>
      <c r="U175" s="110" t="s">
        <v>18</v>
      </c>
      <c r="V175" s="111"/>
      <c r="W175" s="114" t="s">
        <v>19</v>
      </c>
      <c r="Z175" s="25"/>
      <c r="AA175" s="26"/>
      <c r="AB175" s="112" t="s">
        <v>17</v>
      </c>
      <c r="AC175" s="112"/>
      <c r="AD175" s="94"/>
      <c r="AE175" s="27"/>
      <c r="AG175" s="110" t="s">
        <v>18</v>
      </c>
      <c r="AH175" s="111"/>
      <c r="AI175" s="114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5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5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5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13"/>
      <c r="AO181" s="113"/>
      <c r="AP181" s="86"/>
      <c r="AQ181" s="62"/>
      <c r="AR181" s="113"/>
      <c r="AS181" s="113"/>
      <c r="AT181" s="10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6"/>
      <c r="C222" s="96"/>
      <c r="D222" s="96"/>
      <c r="E222" s="96"/>
      <c r="F222" s="96"/>
      <c r="G222" s="96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6"/>
      <c r="C223" s="96"/>
      <c r="D223" s="96"/>
      <c r="E223" s="96"/>
      <c r="F223" s="96"/>
      <c r="G223" s="96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6"/>
      <c r="C224" s="96"/>
      <c r="D224" s="96"/>
      <c r="E224" s="96"/>
      <c r="F224" s="96"/>
      <c r="G224" s="96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6"/>
      <c r="C225" s="96"/>
      <c r="D225" s="96"/>
      <c r="E225" s="96"/>
      <c r="F225" s="96"/>
      <c r="G225" s="96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6"/>
      <c r="C226" s="96"/>
      <c r="D226" s="96"/>
      <c r="E226" s="96"/>
      <c r="F226" s="96"/>
      <c r="G226" s="96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6"/>
      <c r="C227" s="96"/>
      <c r="D227" s="96"/>
      <c r="E227" s="96"/>
      <c r="F227" s="96"/>
      <c r="G227" s="96"/>
      <c r="H227" s="62"/>
      <c r="I227" s="96"/>
      <c r="J227" s="73"/>
      <c r="K227" s="62"/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6"/>
      <c r="C228" s="96"/>
      <c r="D228" s="96"/>
      <c r="E228" s="96"/>
      <c r="F228" s="96"/>
      <c r="G228" s="96"/>
      <c r="H228" s="62"/>
      <c r="I228" s="65"/>
      <c r="J228" s="65"/>
      <c r="K228" s="62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6"/>
      <c r="C229" s="96"/>
      <c r="D229" s="96"/>
      <c r="E229" s="96"/>
      <c r="F229" s="96"/>
      <c r="G229" s="96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6"/>
      <c r="D230" s="113"/>
      <c r="E230" s="113"/>
      <c r="F230" s="96"/>
      <c r="G230" s="96"/>
      <c r="H230" s="62"/>
      <c r="I230" s="113"/>
      <c r="J230" s="113"/>
      <c r="K230" s="109"/>
      <c r="N230" s="25"/>
      <c r="O230" s="26"/>
      <c r="P230" s="112" t="s">
        <v>17</v>
      </c>
      <c r="Q230" s="112"/>
      <c r="R230" s="97"/>
      <c r="S230" s="27"/>
      <c r="U230" s="110" t="s">
        <v>18</v>
      </c>
      <c r="V230" s="111"/>
      <c r="W230" s="114" t="s">
        <v>19</v>
      </c>
      <c r="Z230" s="25"/>
      <c r="AA230" s="26"/>
      <c r="AB230" s="112" t="s">
        <v>17</v>
      </c>
      <c r="AC230" s="112"/>
      <c r="AD230" s="97"/>
      <c r="AE230" s="27"/>
      <c r="AG230" s="110" t="s">
        <v>18</v>
      </c>
      <c r="AH230" s="111"/>
      <c r="AI230" s="11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6"/>
      <c r="C231" s="96"/>
      <c r="D231" s="79"/>
      <c r="E231" s="80"/>
      <c r="F231" s="81"/>
      <c r="G231" s="81"/>
      <c r="H231" s="62"/>
      <c r="I231" s="95"/>
      <c r="J231" s="95"/>
      <c r="K231" s="109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5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5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6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6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6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6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6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6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6"/>
      <c r="C274" s="96"/>
      <c r="D274" s="96"/>
      <c r="E274" s="96"/>
      <c r="F274" s="96"/>
      <c r="G274" s="96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6"/>
      <c r="C275" s="96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M282" t="s">
        <v>51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M283" s="21" t="s">
        <v>52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52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113"/>
      <c r="E285" s="113"/>
      <c r="F285" s="90"/>
      <c r="G285" s="90"/>
      <c r="H285" s="62"/>
      <c r="I285" s="113"/>
      <c r="J285" s="113"/>
      <c r="K285" s="109"/>
      <c r="N285" s="25"/>
      <c r="O285" s="26"/>
      <c r="P285" s="112" t="s">
        <v>17</v>
      </c>
      <c r="Q285" s="112"/>
      <c r="R285" s="98"/>
      <c r="S285" s="27"/>
      <c r="U285" s="110" t="s">
        <v>18</v>
      </c>
      <c r="V285" s="111"/>
      <c r="W285" s="114" t="s">
        <v>19</v>
      </c>
      <c r="Z285" s="25"/>
      <c r="AA285" s="26"/>
      <c r="AB285" s="112" t="s">
        <v>17</v>
      </c>
      <c r="AC285" s="112"/>
      <c r="AD285" s="98"/>
      <c r="AE285" s="27"/>
      <c r="AG285" s="110" t="s">
        <v>18</v>
      </c>
      <c r="AH285" s="111"/>
      <c r="AI285" s="11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109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5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57</v>
      </c>
      <c r="B338" s="20"/>
      <c r="C338" s="57"/>
      <c r="D338" s="57"/>
      <c r="E338" s="57"/>
      <c r="G338" s="57"/>
      <c r="I338" s="22" t="s">
        <v>16</v>
      </c>
      <c r="J338" s="23" t="s">
        <v>43</v>
      </c>
      <c r="K338" s="24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55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2" t="s">
        <v>17</v>
      </c>
      <c r="E340" s="112"/>
      <c r="F340" s="99"/>
      <c r="G340" s="27"/>
      <c r="I340" s="110" t="s">
        <v>18</v>
      </c>
      <c r="J340" s="111"/>
      <c r="K340" s="114" t="s">
        <v>19</v>
      </c>
      <c r="N340" s="25"/>
      <c r="O340" s="26"/>
      <c r="P340" s="112" t="s">
        <v>17</v>
      </c>
      <c r="Q340" s="112"/>
      <c r="R340" s="99"/>
      <c r="S340" s="27"/>
      <c r="U340" s="110" t="s">
        <v>18</v>
      </c>
      <c r="V340" s="111"/>
      <c r="W340" s="114" t="s">
        <v>19</v>
      </c>
      <c r="Z340" s="25"/>
      <c r="AA340" s="26"/>
      <c r="AB340" s="112" t="s">
        <v>17</v>
      </c>
      <c r="AC340" s="112"/>
      <c r="AD340" s="99"/>
      <c r="AE340" s="27"/>
      <c r="AG340" s="110" t="s">
        <v>18</v>
      </c>
      <c r="AH340" s="111"/>
      <c r="AI340" s="11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5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5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3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3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3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3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3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3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3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3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3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3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3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3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43</v>
      </c>
      <c r="K393" s="24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59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2" t="s">
        <v>17</v>
      </c>
      <c r="E395" s="112"/>
      <c r="F395" s="100"/>
      <c r="G395" s="27"/>
      <c r="I395" s="110" t="s">
        <v>18</v>
      </c>
      <c r="J395" s="111"/>
      <c r="K395" s="114" t="s">
        <v>19</v>
      </c>
      <c r="M395" s="62"/>
      <c r="N395" s="65"/>
      <c r="O395" s="90"/>
      <c r="P395" s="113"/>
      <c r="Q395" s="113"/>
      <c r="R395" s="90"/>
      <c r="S395" s="90"/>
      <c r="T395" s="62"/>
      <c r="U395" s="113"/>
      <c r="V395" s="113"/>
      <c r="W395" s="109"/>
      <c r="Z395" s="25"/>
      <c r="AA395" s="26"/>
      <c r="AB395" s="112" t="s">
        <v>17</v>
      </c>
      <c r="AC395" s="112"/>
      <c r="AD395" s="100"/>
      <c r="AE395" s="27"/>
      <c r="AG395" s="110" t="s">
        <v>18</v>
      </c>
      <c r="AH395" s="111"/>
      <c r="AI395" s="11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15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109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3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3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3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3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3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3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3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43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13"/>
      <c r="E450" s="113"/>
      <c r="F450" s="90"/>
      <c r="G450" s="90"/>
      <c r="H450" s="62"/>
      <c r="I450" s="113"/>
      <c r="J450" s="113"/>
      <c r="K450" s="109"/>
      <c r="N450" s="25"/>
      <c r="O450" s="26"/>
      <c r="P450" s="112" t="s">
        <v>17</v>
      </c>
      <c r="Q450" s="112"/>
      <c r="R450" s="101"/>
      <c r="S450" s="27"/>
      <c r="U450" s="110" t="s">
        <v>18</v>
      </c>
      <c r="V450" s="111"/>
      <c r="W450" s="114" t="s">
        <v>19</v>
      </c>
      <c r="Z450" s="25"/>
      <c r="AA450" s="26"/>
      <c r="AB450" s="112" t="s">
        <v>17</v>
      </c>
      <c r="AC450" s="112"/>
      <c r="AD450" s="101"/>
      <c r="AE450" s="27"/>
      <c r="AG450" s="110" t="s">
        <v>18</v>
      </c>
      <c r="AH450" s="111"/>
      <c r="AI450" s="11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109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5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5" si="118">SUM(AB453:AC453)</f>
        <v>27605</v>
      </c>
      <c r="AF453" s="12"/>
      <c r="AG453" s="12">
        <f>4.5*29</f>
        <v>130.5</v>
      </c>
      <c r="AH453" s="12"/>
      <c r="AI453" s="12">
        <f t="shared" ref="AI453:AI493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5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6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84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103"/>
      <c r="AA497" s="103"/>
      <c r="AB497" s="103"/>
      <c r="AC497" s="103"/>
      <c r="AD497" s="103"/>
      <c r="AE497" s="10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103"/>
      <c r="AA498" s="103"/>
      <c r="AB498" s="103"/>
      <c r="AC498" s="103"/>
      <c r="AD498" s="103"/>
      <c r="AE498" s="10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3"/>
      <c r="Z499" s="103"/>
      <c r="AA499" s="103"/>
      <c r="AB499" s="103"/>
      <c r="AC499" s="103"/>
      <c r="AD499" s="103"/>
      <c r="AE499" s="10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2"/>
      <c r="Z500" s="103"/>
      <c r="AA500" s="103"/>
      <c r="AB500" s="103"/>
      <c r="AC500" s="103"/>
      <c r="AD500" s="103"/>
      <c r="AE500" s="10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103"/>
      <c r="AA501" s="103"/>
      <c r="AB501" s="103"/>
      <c r="AC501" s="103"/>
      <c r="AD501" s="103"/>
      <c r="AE501" s="103"/>
      <c r="AF501" s="62"/>
      <c r="AG501" s="103"/>
      <c r="AH501" s="103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45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48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4"/>
      <c r="Z502" s="103"/>
      <c r="AA502" s="103"/>
      <c r="AB502" s="103"/>
      <c r="AC502" s="103"/>
      <c r="AD502" s="103"/>
      <c r="AE502" s="103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61</v>
      </c>
      <c r="B503" s="20"/>
      <c r="C503" s="57"/>
      <c r="D503" s="57"/>
      <c r="E503" s="57"/>
      <c r="G503" s="57"/>
      <c r="I503" s="22" t="s">
        <v>16</v>
      </c>
      <c r="J503" s="23" t="s">
        <v>43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62"/>
      <c r="Z503" s="103"/>
      <c r="AA503" s="103"/>
      <c r="AB503" s="103"/>
      <c r="AC503" s="103"/>
      <c r="AD503" s="103"/>
      <c r="AE503" s="103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65"/>
      <c r="AA504" s="103"/>
      <c r="AB504" s="113"/>
      <c r="AC504" s="113"/>
      <c r="AD504" s="103"/>
      <c r="AE504" s="103"/>
      <c r="AF504" s="62"/>
      <c r="AG504" s="113"/>
      <c r="AH504" s="113"/>
      <c r="AI504" s="109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2" t="s">
        <v>17</v>
      </c>
      <c r="E505" s="112"/>
      <c r="F505" s="104"/>
      <c r="G505" s="27"/>
      <c r="I505" s="110" t="s">
        <v>18</v>
      </c>
      <c r="J505" s="111"/>
      <c r="K505" s="114" t="s">
        <v>19</v>
      </c>
      <c r="N505" s="25"/>
      <c r="O505" s="26"/>
      <c r="P505" s="112" t="s">
        <v>17</v>
      </c>
      <c r="Q505" s="112"/>
      <c r="R505" s="104"/>
      <c r="S505" s="27"/>
      <c r="U505" s="110" t="s">
        <v>18</v>
      </c>
      <c r="V505" s="111"/>
      <c r="W505" s="114" t="s">
        <v>19</v>
      </c>
      <c r="Y505" s="62"/>
      <c r="Z505" s="103"/>
      <c r="AA505" s="103"/>
      <c r="AB505" s="79"/>
      <c r="AC505" s="81"/>
      <c r="AD505" s="81"/>
      <c r="AE505" s="81"/>
      <c r="AF505" s="62"/>
      <c r="AG505" s="102"/>
      <c r="AH505" s="102"/>
      <c r="AI505" s="109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5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5"/>
      <c r="Y506" s="62"/>
      <c r="Z506" s="66"/>
      <c r="AA506" s="103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46362</v>
      </c>
      <c r="C507" s="83">
        <v>10939</v>
      </c>
      <c r="D507" s="32">
        <f>650*90+670*4+622*20+500*4</f>
        <v>75620</v>
      </c>
      <c r="E507" s="32"/>
      <c r="F507" s="32"/>
      <c r="G507" s="32">
        <f t="shared" ref="G507:G540" si="126">SUM(D507:E507)</f>
        <v>75620</v>
      </c>
      <c r="H507" s="12"/>
      <c r="I507" s="12">
        <f>1.5*24</f>
        <v>36</v>
      </c>
      <c r="J507" s="12"/>
      <c r="K507" s="12">
        <f t="shared" ref="K507:K540" si="127">SUM(G507:J507)</f>
        <v>75656</v>
      </c>
      <c r="M507" s="10">
        <v>1</v>
      </c>
      <c r="N507" s="30">
        <v>46362</v>
      </c>
      <c r="O507" s="31">
        <v>10881</v>
      </c>
      <c r="P507" s="32">
        <f>622*36</f>
        <v>22392</v>
      </c>
      <c r="Q507" s="32"/>
      <c r="R507" s="32"/>
      <c r="S507" s="32">
        <f>SUM(P507:Q507)</f>
        <v>22392</v>
      </c>
      <c r="T507" s="12"/>
      <c r="U507" s="12"/>
      <c r="V507" s="12"/>
      <c r="W507" s="12">
        <f>SUM(S507:V507)</f>
        <v>22392</v>
      </c>
      <c r="Y507" s="62"/>
      <c r="Z507" s="66"/>
      <c r="AA507" s="10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46362</v>
      </c>
      <c r="C508" s="83">
        <f>C507+1</f>
        <v>10940</v>
      </c>
      <c r="D508" s="32">
        <f>650*20</f>
        <v>13000</v>
      </c>
      <c r="E508" s="32"/>
      <c r="F508" s="32"/>
      <c r="G508" s="32">
        <f t="shared" si="126"/>
        <v>13000</v>
      </c>
      <c r="H508" s="12"/>
      <c r="I508" s="12"/>
      <c r="J508" s="12"/>
      <c r="K508" s="12">
        <f t="shared" si="127"/>
        <v>13000</v>
      </c>
      <c r="M508" s="10">
        <v>2</v>
      </c>
      <c r="N508" s="30">
        <v>46362</v>
      </c>
      <c r="O508" s="31">
        <f>O507+1</f>
        <v>10882</v>
      </c>
      <c r="P508" s="32">
        <f>650*50+670*3+622*10+500+872+229*4+650</f>
        <v>43668</v>
      </c>
      <c r="Q508" s="32"/>
      <c r="R508" s="32"/>
      <c r="S508" s="32">
        <f t="shared" ref="S508:S545" si="128">SUM(P508:Q508)</f>
        <v>43668</v>
      </c>
      <c r="T508" s="12"/>
      <c r="U508" s="12"/>
      <c r="V508" s="12">
        <f>-111*11</f>
        <v>-1221</v>
      </c>
      <c r="W508" s="12">
        <f t="shared" ref="W508:W548" si="129">SUM(S508:V508)</f>
        <v>42447</v>
      </c>
      <c r="Y508" s="62"/>
      <c r="Z508" s="66"/>
      <c r="AA508" s="10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46362</v>
      </c>
      <c r="C509" s="83">
        <f t="shared" ref="C509:C512" si="130">C508+1</f>
        <v>10941</v>
      </c>
      <c r="D509" s="33">
        <f>650*178+622*10+229*5</f>
        <v>123065</v>
      </c>
      <c r="E509" s="33"/>
      <c r="F509" s="33"/>
      <c r="G509" s="33">
        <f t="shared" si="126"/>
        <v>123065</v>
      </c>
      <c r="H509" s="34"/>
      <c r="I509" s="34"/>
      <c r="J509" s="34"/>
      <c r="K509" s="34">
        <f t="shared" si="127"/>
        <v>123065</v>
      </c>
      <c r="M509" s="10">
        <v>3</v>
      </c>
      <c r="N509" s="30">
        <v>46362</v>
      </c>
      <c r="O509" s="31">
        <f t="shared" ref="O509:O512" si="131">O508+1</f>
        <v>10883</v>
      </c>
      <c r="P509" s="32">
        <f>650*10+872+650</f>
        <v>8022</v>
      </c>
      <c r="Q509" s="32"/>
      <c r="R509" s="32"/>
      <c r="S509" s="32">
        <f t="shared" si="128"/>
        <v>8022</v>
      </c>
      <c r="T509" s="12"/>
      <c r="U509" s="12">
        <f>4.5*12</f>
        <v>54</v>
      </c>
      <c r="V509" s="12"/>
      <c r="W509" s="12">
        <f t="shared" si="129"/>
        <v>8076</v>
      </c>
      <c r="Y509" s="62"/>
      <c r="Z509" s="66"/>
      <c r="AA509" s="103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46362</v>
      </c>
      <c r="C510" s="83">
        <f t="shared" si="130"/>
        <v>10942</v>
      </c>
      <c r="D510" s="32">
        <f>650*5+650*2</f>
        <v>4550</v>
      </c>
      <c r="E510" s="32"/>
      <c r="F510" s="32"/>
      <c r="G510" s="32">
        <f t="shared" si="126"/>
        <v>4550</v>
      </c>
      <c r="H510" s="12"/>
      <c r="I510" s="12"/>
      <c r="J510" s="12"/>
      <c r="K510" s="12">
        <f t="shared" si="127"/>
        <v>4550</v>
      </c>
      <c r="M510" s="10">
        <v>4</v>
      </c>
      <c r="N510" s="30">
        <v>46362</v>
      </c>
      <c r="O510" s="31">
        <f t="shared" si="131"/>
        <v>10884</v>
      </c>
      <c r="P510" s="32">
        <f>650*43+622*2+670+650</f>
        <v>30514</v>
      </c>
      <c r="Q510" s="32"/>
      <c r="R510" s="32"/>
      <c r="S510" s="32">
        <f t="shared" si="128"/>
        <v>30514</v>
      </c>
      <c r="T510" s="12"/>
      <c r="U510" s="12"/>
      <c r="V510" s="12"/>
      <c r="W510" s="12">
        <f t="shared" si="129"/>
        <v>30514</v>
      </c>
      <c r="Y510" s="62"/>
      <c r="Z510" s="66"/>
      <c r="AA510" s="103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46362</v>
      </c>
      <c r="C511" s="83">
        <f t="shared" si="130"/>
        <v>10943</v>
      </c>
      <c r="D511" s="32">
        <f>650*108+622*71+229*6</f>
        <v>115736</v>
      </c>
      <c r="E511" s="32">
        <f>-179*6</f>
        <v>-1074</v>
      </c>
      <c r="F511" s="32"/>
      <c r="G511" s="32">
        <f t="shared" si="126"/>
        <v>114662</v>
      </c>
      <c r="H511" s="12"/>
      <c r="I511" s="12">
        <f>111*179+78*6</f>
        <v>20337</v>
      </c>
      <c r="J511" s="12"/>
      <c r="K511" s="12">
        <f t="shared" si="127"/>
        <v>134999</v>
      </c>
      <c r="M511" s="10">
        <v>5</v>
      </c>
      <c r="N511" s="30">
        <v>46362</v>
      </c>
      <c r="O511" s="31">
        <f t="shared" si="131"/>
        <v>10885</v>
      </c>
      <c r="P511" s="32">
        <f>650*4+670</f>
        <v>3270</v>
      </c>
      <c r="Q511" s="32"/>
      <c r="R511" s="32"/>
      <c r="S511" s="32">
        <f t="shared" si="128"/>
        <v>3270</v>
      </c>
      <c r="T511" s="12"/>
      <c r="U511" s="12"/>
      <c r="V511" s="12"/>
      <c r="W511" s="12">
        <f t="shared" si="129"/>
        <v>3270</v>
      </c>
      <c r="Y511" s="62"/>
      <c r="Z511" s="66"/>
      <c r="AA511" s="103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46362</v>
      </c>
      <c r="C512" s="83">
        <f t="shared" si="130"/>
        <v>10944</v>
      </c>
      <c r="D512" s="32">
        <f>650*18+670*4+622*2</f>
        <v>15624</v>
      </c>
      <c r="E512" s="32"/>
      <c r="F512" s="32"/>
      <c r="G512" s="32">
        <f t="shared" si="126"/>
        <v>15624</v>
      </c>
      <c r="H512" s="12"/>
      <c r="I512" s="12">
        <f>4.5*28</f>
        <v>126</v>
      </c>
      <c r="J512" s="12"/>
      <c r="K512" s="12">
        <f t="shared" si="127"/>
        <v>15750</v>
      </c>
      <c r="M512" s="10">
        <v>6</v>
      </c>
      <c r="N512" s="30">
        <v>46362</v>
      </c>
      <c r="O512" s="31">
        <f t="shared" si="131"/>
        <v>10886</v>
      </c>
      <c r="P512" s="32">
        <f>650*170+622*20+229*6+650*2</f>
        <v>125614</v>
      </c>
      <c r="Q512" s="32">
        <f>-190*6</f>
        <v>-1140</v>
      </c>
      <c r="R512" s="32"/>
      <c r="S512" s="32">
        <f t="shared" si="128"/>
        <v>124474</v>
      </c>
      <c r="T512" s="12"/>
      <c r="U512" s="12">
        <f>78*4</f>
        <v>312</v>
      </c>
      <c r="V512" s="10">
        <f>-120*5+-111*42+-42*4</f>
        <v>-5430</v>
      </c>
      <c r="W512" s="12">
        <f t="shared" si="129"/>
        <v>119356</v>
      </c>
      <c r="Y512" s="62"/>
      <c r="Z512" s="66"/>
      <c r="AA512" s="103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11" t="s">
        <v>27</v>
      </c>
      <c r="D513" s="32"/>
      <c r="E513" s="32"/>
      <c r="F513" s="32"/>
      <c r="G513" s="32">
        <f t="shared" si="126"/>
        <v>0</v>
      </c>
      <c r="H513" s="12"/>
      <c r="I513" s="12"/>
      <c r="J513" s="12"/>
      <c r="K513" s="12">
        <f t="shared" si="127"/>
        <v>0</v>
      </c>
      <c r="M513" s="10">
        <v>7</v>
      </c>
      <c r="N513" s="30"/>
      <c r="O513" s="11" t="s">
        <v>27</v>
      </c>
      <c r="P513" s="32"/>
      <c r="Q513" s="32"/>
      <c r="R513" s="32"/>
      <c r="S513" s="32">
        <f t="shared" si="128"/>
        <v>0</v>
      </c>
      <c r="T513" s="12"/>
      <c r="U513" s="12"/>
      <c r="V513" s="12"/>
      <c r="W513" s="12">
        <f t="shared" si="129"/>
        <v>0</v>
      </c>
      <c r="Y513" s="62"/>
      <c r="Z513" s="66"/>
      <c r="AA513" s="103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26"/>
        <v>0</v>
      </c>
      <c r="H514" s="12"/>
      <c r="I514" s="12"/>
      <c r="J514" s="12"/>
      <c r="K514" s="12">
        <f t="shared" si="127"/>
        <v>0</v>
      </c>
      <c r="M514" s="10">
        <v>8</v>
      </c>
      <c r="N514" s="30"/>
      <c r="P514" s="32"/>
      <c r="Q514" s="32"/>
      <c r="R514" s="32"/>
      <c r="S514" s="32">
        <f t="shared" si="128"/>
        <v>0</v>
      </c>
      <c r="T514" s="12"/>
      <c r="U514" s="12"/>
      <c r="V514" s="12"/>
      <c r="W514" s="12">
        <f t="shared" si="129"/>
        <v>0</v>
      </c>
      <c r="Y514" s="62"/>
      <c r="Z514" s="66"/>
      <c r="AA514" s="103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57"/>
      <c r="D515" s="32"/>
      <c r="E515" s="32"/>
      <c r="F515" s="32"/>
      <c r="G515" s="32">
        <f t="shared" si="126"/>
        <v>0</v>
      </c>
      <c r="H515" s="12"/>
      <c r="I515" s="12"/>
      <c r="J515" s="12"/>
      <c r="K515" s="12">
        <f t="shared" si="127"/>
        <v>0</v>
      </c>
      <c r="M515" s="10">
        <v>9</v>
      </c>
      <c r="N515" s="30"/>
      <c r="O515" s="31"/>
      <c r="P515" s="32"/>
      <c r="Q515" s="32"/>
      <c r="R515" s="32"/>
      <c r="S515" s="32">
        <f t="shared" si="128"/>
        <v>0</v>
      </c>
      <c r="T515" s="12"/>
      <c r="U515" s="12"/>
      <c r="V515" s="12"/>
      <c r="W515" s="12">
        <f t="shared" si="129"/>
        <v>0</v>
      </c>
      <c r="Y515" s="62"/>
      <c r="Z515" s="66"/>
      <c r="AA515" s="10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26"/>
        <v>0</v>
      </c>
      <c r="H516" s="12"/>
      <c r="I516" s="12"/>
      <c r="J516" s="12"/>
      <c r="K516" s="12">
        <f t="shared" si="127"/>
        <v>0</v>
      </c>
      <c r="M516" s="10">
        <v>10</v>
      </c>
      <c r="N516" s="30"/>
      <c r="O516" s="31"/>
      <c r="P516" s="32"/>
      <c r="Q516" s="32"/>
      <c r="R516" s="32"/>
      <c r="S516" s="32">
        <f t="shared" si="128"/>
        <v>0</v>
      </c>
      <c r="T516" s="12"/>
      <c r="U516" s="12"/>
      <c r="V516" s="12"/>
      <c r="W516" s="12">
        <f t="shared" si="129"/>
        <v>0</v>
      </c>
      <c r="Y516" s="62"/>
      <c r="Z516" s="66"/>
      <c r="AA516" s="10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26"/>
        <v>0</v>
      </c>
      <c r="H517" s="12"/>
      <c r="I517" s="12"/>
      <c r="J517" s="12"/>
      <c r="K517" s="12">
        <f t="shared" si="127"/>
        <v>0</v>
      </c>
      <c r="M517" s="10">
        <v>11</v>
      </c>
      <c r="N517" s="30"/>
      <c r="O517" s="31"/>
      <c r="P517" s="32"/>
      <c r="Q517" s="32"/>
      <c r="R517" s="32"/>
      <c r="S517" s="32">
        <f t="shared" si="128"/>
        <v>0</v>
      </c>
      <c r="T517" s="12"/>
      <c r="U517" s="12"/>
      <c r="V517" s="12"/>
      <c r="W517" s="12">
        <f t="shared" si="129"/>
        <v>0</v>
      </c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26"/>
        <v>0</v>
      </c>
      <c r="H518" s="12"/>
      <c r="I518" s="12"/>
      <c r="J518" s="10"/>
      <c r="K518" s="12">
        <f t="shared" si="127"/>
        <v>0</v>
      </c>
      <c r="M518" s="10">
        <v>12</v>
      </c>
      <c r="N518" s="30"/>
      <c r="O518" s="31"/>
      <c r="P518" s="32"/>
      <c r="Q518" s="32"/>
      <c r="R518" s="32"/>
      <c r="S518" s="32">
        <f t="shared" si="128"/>
        <v>0</v>
      </c>
      <c r="T518" s="12"/>
      <c r="U518" s="12"/>
      <c r="V518" s="12"/>
      <c r="W518" s="12">
        <f t="shared" si="129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57"/>
      <c r="D519" s="32"/>
      <c r="E519" s="32"/>
      <c r="F519" s="32"/>
      <c r="G519" s="32">
        <f t="shared" si="126"/>
        <v>0</v>
      </c>
      <c r="H519" s="12"/>
      <c r="I519" s="12"/>
      <c r="J519" s="12"/>
      <c r="K519" s="12">
        <f t="shared" si="127"/>
        <v>0</v>
      </c>
      <c r="M519" s="10">
        <v>13</v>
      </c>
      <c r="N519" s="30"/>
      <c r="O519" s="31"/>
      <c r="P519" s="32"/>
      <c r="Q519" s="32"/>
      <c r="R519" s="32"/>
      <c r="S519" s="32">
        <f t="shared" si="128"/>
        <v>0</v>
      </c>
      <c r="T519" s="12"/>
      <c r="U519" s="12"/>
      <c r="V519" s="12"/>
      <c r="W519" s="12">
        <f t="shared" si="129"/>
        <v>0</v>
      </c>
      <c r="Y519" s="62"/>
      <c r="Z519" s="66"/>
      <c r="AA519" s="10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26"/>
        <v>0</v>
      </c>
      <c r="H520" s="12"/>
      <c r="I520" s="12"/>
      <c r="J520" s="12"/>
      <c r="K520" s="12">
        <f t="shared" si="127"/>
        <v>0</v>
      </c>
      <c r="M520" s="10">
        <v>14</v>
      </c>
      <c r="N520" s="30"/>
      <c r="O520" s="31"/>
      <c r="P520" s="32"/>
      <c r="Q520" s="32"/>
      <c r="R520" s="32"/>
      <c r="S520" s="32">
        <f t="shared" si="128"/>
        <v>0</v>
      </c>
      <c r="T520" s="12"/>
      <c r="U520" s="12"/>
      <c r="V520" s="12"/>
      <c r="W520" s="12">
        <f t="shared" si="129"/>
        <v>0</v>
      </c>
      <c r="Y520" s="62"/>
      <c r="Z520" s="66"/>
      <c r="AA520" s="10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26"/>
        <v>0</v>
      </c>
      <c r="H521" s="12"/>
      <c r="I521" s="12"/>
      <c r="J521" s="12"/>
      <c r="K521" s="12">
        <f t="shared" si="127"/>
        <v>0</v>
      </c>
      <c r="M521" s="10">
        <v>15</v>
      </c>
      <c r="N521" s="30"/>
      <c r="O521" s="31"/>
      <c r="P521" s="32"/>
      <c r="Q521" s="32"/>
      <c r="R521" s="32"/>
      <c r="S521" s="32">
        <f t="shared" si="128"/>
        <v>0</v>
      </c>
      <c r="T521" s="12"/>
      <c r="U521" s="12"/>
      <c r="V521" s="12"/>
      <c r="W521" s="12">
        <f t="shared" si="129"/>
        <v>0</v>
      </c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26"/>
        <v>0</v>
      </c>
      <c r="H522" s="12"/>
      <c r="I522" s="12"/>
      <c r="J522" s="12"/>
      <c r="K522" s="12">
        <f t="shared" si="127"/>
        <v>0</v>
      </c>
      <c r="M522" s="10">
        <v>16</v>
      </c>
      <c r="N522" s="30"/>
      <c r="O522" s="11"/>
      <c r="P522" s="32"/>
      <c r="Q522" s="32"/>
      <c r="R522" s="32"/>
      <c r="S522" s="32">
        <f t="shared" si="128"/>
        <v>0</v>
      </c>
      <c r="T522" s="12"/>
      <c r="U522" s="12"/>
      <c r="V522" s="12"/>
      <c r="W522" s="12">
        <f t="shared" si="129"/>
        <v>0</v>
      </c>
      <c r="Y522" s="62"/>
      <c r="Z522" s="66"/>
      <c r="AA522" s="10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26"/>
        <v>0</v>
      </c>
      <c r="H523" s="12"/>
      <c r="I523" s="12"/>
      <c r="J523" s="12"/>
      <c r="K523" s="12">
        <f t="shared" si="127"/>
        <v>0</v>
      </c>
      <c r="M523" s="10">
        <v>17</v>
      </c>
      <c r="N523" s="30"/>
      <c r="O523" s="31"/>
      <c r="P523" s="35"/>
      <c r="Q523" s="32"/>
      <c r="R523" s="32"/>
      <c r="S523" s="32">
        <f t="shared" si="128"/>
        <v>0</v>
      </c>
      <c r="T523" s="12"/>
      <c r="U523" s="12"/>
      <c r="V523" s="12"/>
      <c r="W523" s="12">
        <f t="shared" si="129"/>
        <v>0</v>
      </c>
      <c r="Y523" s="62"/>
      <c r="Z523" s="66"/>
      <c r="AA523" s="10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26"/>
        <v>0</v>
      </c>
      <c r="H524" s="12"/>
      <c r="I524" s="12"/>
      <c r="J524" s="12"/>
      <c r="K524" s="12">
        <f t="shared" si="127"/>
        <v>0</v>
      </c>
      <c r="M524" s="10">
        <v>18</v>
      </c>
      <c r="N524" s="30"/>
      <c r="O524" s="31"/>
      <c r="P524" s="32"/>
      <c r="Q524" s="32"/>
      <c r="R524" s="32"/>
      <c r="S524" s="32">
        <f t="shared" si="128"/>
        <v>0</v>
      </c>
      <c r="T524" s="12"/>
      <c r="U524" s="12"/>
      <c r="V524" s="12"/>
      <c r="W524" s="12">
        <f t="shared" si="129"/>
        <v>0</v>
      </c>
      <c r="Y524" s="62"/>
      <c r="Z524" s="66"/>
      <c r="AA524" s="10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26"/>
        <v>0</v>
      </c>
      <c r="H525" s="12"/>
      <c r="I525" s="12"/>
      <c r="J525" s="12"/>
      <c r="K525" s="12">
        <f t="shared" si="127"/>
        <v>0</v>
      </c>
      <c r="M525" s="10">
        <v>19</v>
      </c>
      <c r="N525" s="30"/>
      <c r="O525" s="31"/>
      <c r="P525" s="32"/>
      <c r="Q525" s="32"/>
      <c r="R525" s="32"/>
      <c r="S525" s="32">
        <f t="shared" si="128"/>
        <v>0</v>
      </c>
      <c r="T525" s="12"/>
      <c r="U525" s="12"/>
      <c r="V525" s="12"/>
      <c r="W525" s="12">
        <f t="shared" si="129"/>
        <v>0</v>
      </c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26"/>
        <v>0</v>
      </c>
      <c r="H526" s="12"/>
      <c r="I526" s="12"/>
      <c r="J526" s="12"/>
      <c r="K526" s="12">
        <f t="shared" si="127"/>
        <v>0</v>
      </c>
      <c r="M526" s="10">
        <v>20</v>
      </c>
      <c r="N526" s="30"/>
      <c r="O526" s="31"/>
      <c r="P526" s="32"/>
      <c r="Q526" s="32"/>
      <c r="R526" s="32"/>
      <c r="S526" s="32">
        <f t="shared" si="128"/>
        <v>0</v>
      </c>
      <c r="T526" s="12"/>
      <c r="U526" s="12"/>
      <c r="V526" s="12"/>
      <c r="W526" s="12">
        <f t="shared" si="129"/>
        <v>0</v>
      </c>
      <c r="Y526" s="62"/>
      <c r="Z526" s="66"/>
      <c r="AA526" s="103"/>
      <c r="AB526" s="67"/>
      <c r="AC526" s="103"/>
      <c r="AD526" s="103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26"/>
        <v>0</v>
      </c>
      <c r="H527" s="10"/>
      <c r="I527" s="10"/>
      <c r="J527" s="10"/>
      <c r="K527" s="12">
        <f t="shared" si="127"/>
        <v>0</v>
      </c>
      <c r="M527" s="10">
        <v>21</v>
      </c>
      <c r="N527" s="30"/>
      <c r="O527" s="31"/>
      <c r="P527" s="46"/>
      <c r="Q527" s="31"/>
      <c r="R527" s="31"/>
      <c r="S527" s="32">
        <f t="shared" si="128"/>
        <v>0</v>
      </c>
      <c r="T527" s="10"/>
      <c r="U527" s="10"/>
      <c r="V527" s="10"/>
      <c r="W527" s="12">
        <f t="shared" si="129"/>
        <v>0</v>
      </c>
      <c r="Y527" s="62"/>
      <c r="Z527" s="66"/>
      <c r="AA527" s="103"/>
      <c r="AB527" s="68"/>
      <c r="AC527" s="103"/>
      <c r="AD527" s="10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26"/>
        <v>0</v>
      </c>
      <c r="H528" s="10"/>
      <c r="I528" s="10"/>
      <c r="J528" s="10"/>
      <c r="K528" s="12">
        <f t="shared" si="127"/>
        <v>0</v>
      </c>
      <c r="M528" s="10">
        <v>22</v>
      </c>
      <c r="N528" s="30"/>
      <c r="O528" s="31"/>
      <c r="P528" s="45"/>
      <c r="Q528" s="31"/>
      <c r="R528" s="31"/>
      <c r="S528" s="32">
        <f t="shared" si="128"/>
        <v>0</v>
      </c>
      <c r="T528" s="10"/>
      <c r="U528" s="10"/>
      <c r="V528" s="10"/>
      <c r="W528" s="12">
        <f t="shared" si="129"/>
        <v>0</v>
      </c>
      <c r="Y528" s="62"/>
      <c r="Z528" s="66"/>
      <c r="AA528" s="103"/>
      <c r="AB528" s="69"/>
      <c r="AC528" s="103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26"/>
        <v>0</v>
      </c>
      <c r="H529" s="10"/>
      <c r="I529" s="10"/>
      <c r="J529" s="12"/>
      <c r="K529" s="12">
        <f t="shared" si="127"/>
        <v>0</v>
      </c>
      <c r="M529" s="10">
        <v>23</v>
      </c>
      <c r="N529" s="30"/>
      <c r="O529" s="31"/>
      <c r="P529" s="47"/>
      <c r="Q529" s="31"/>
      <c r="S529" s="32">
        <f t="shared" si="128"/>
        <v>0</v>
      </c>
      <c r="T529" s="10"/>
      <c r="U529" s="10"/>
      <c r="V529" s="10"/>
      <c r="W529" s="12">
        <f t="shared" si="129"/>
        <v>0</v>
      </c>
      <c r="Y529" s="62"/>
      <c r="Z529" s="66"/>
      <c r="AA529" s="103"/>
      <c r="AB529" s="69"/>
      <c r="AC529" s="103"/>
      <c r="AD529" s="103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26"/>
        <v>0</v>
      </c>
      <c r="H530" s="10"/>
      <c r="I530" s="10"/>
      <c r="J530" s="10"/>
      <c r="K530" s="12">
        <f t="shared" si="127"/>
        <v>0</v>
      </c>
      <c r="M530" s="10">
        <v>24</v>
      </c>
      <c r="N530" s="30"/>
      <c r="O530" s="31"/>
      <c r="P530" s="47"/>
      <c r="Q530" s="31"/>
      <c r="R530" s="31"/>
      <c r="S530" s="32">
        <f t="shared" si="128"/>
        <v>0</v>
      </c>
      <c r="T530" s="10"/>
      <c r="U530" s="10"/>
      <c r="V530" s="10"/>
      <c r="W530" s="12">
        <f t="shared" si="129"/>
        <v>0</v>
      </c>
      <c r="Y530" s="62"/>
      <c r="Z530" s="66"/>
      <c r="AA530" s="103"/>
      <c r="AB530" s="69"/>
      <c r="AC530" s="103"/>
      <c r="AD530" s="10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26"/>
        <v>0</v>
      </c>
      <c r="H531" s="10"/>
      <c r="I531" s="10"/>
      <c r="J531" s="10"/>
      <c r="K531" s="12">
        <f t="shared" si="127"/>
        <v>0</v>
      </c>
      <c r="M531" s="10">
        <v>25</v>
      </c>
      <c r="N531" s="30"/>
      <c r="O531" s="31"/>
      <c r="P531" s="47"/>
      <c r="Q531" s="31"/>
      <c r="R531" s="31"/>
      <c r="S531" s="32">
        <f t="shared" si="128"/>
        <v>0</v>
      </c>
      <c r="T531" s="10"/>
      <c r="U531" s="10"/>
      <c r="V531" s="10"/>
      <c r="W531" s="12">
        <f t="shared" si="129"/>
        <v>0</v>
      </c>
      <c r="Y531" s="62"/>
      <c r="Z531" s="66"/>
      <c r="AA531" s="103"/>
      <c r="AB531" s="69"/>
      <c r="AC531" s="103"/>
      <c r="AD531" s="10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26"/>
        <v>0</v>
      </c>
      <c r="H532" s="10"/>
      <c r="I532" s="10"/>
      <c r="J532" s="10"/>
      <c r="K532" s="12">
        <f t="shared" si="127"/>
        <v>0</v>
      </c>
      <c r="M532" s="10">
        <v>26</v>
      </c>
      <c r="N532" s="30"/>
      <c r="O532" s="31"/>
      <c r="P532" s="47"/>
      <c r="Q532" s="31"/>
      <c r="R532" s="31"/>
      <c r="S532" s="32">
        <f t="shared" si="128"/>
        <v>0</v>
      </c>
      <c r="T532" s="10"/>
      <c r="U532" s="10"/>
      <c r="V532" s="10"/>
      <c r="W532" s="12">
        <f t="shared" si="129"/>
        <v>0</v>
      </c>
      <c r="Y532" s="62"/>
      <c r="Z532" s="66"/>
      <c r="AA532" s="103"/>
      <c r="AB532" s="69"/>
      <c r="AC532" s="103"/>
      <c r="AD532" s="10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26"/>
        <v>0</v>
      </c>
      <c r="H533" s="10"/>
      <c r="I533" s="10"/>
      <c r="J533" s="10"/>
      <c r="K533" s="12">
        <f t="shared" si="127"/>
        <v>0</v>
      </c>
      <c r="M533" s="10">
        <v>27</v>
      </c>
      <c r="N533" s="30"/>
      <c r="O533" s="31"/>
      <c r="P533" s="47"/>
      <c r="Q533" s="31"/>
      <c r="R533" s="31"/>
      <c r="S533" s="32">
        <f t="shared" si="128"/>
        <v>0</v>
      </c>
      <c r="T533" s="10"/>
      <c r="U533" s="10"/>
      <c r="V533" s="10"/>
      <c r="W533" s="12">
        <f t="shared" si="129"/>
        <v>0</v>
      </c>
      <c r="Y533" s="62"/>
      <c r="Z533" s="66"/>
      <c r="AA533" s="103"/>
      <c r="AB533" s="69"/>
      <c r="AC533" s="103"/>
      <c r="AD533" s="10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26"/>
        <v>0</v>
      </c>
      <c r="H534" s="10"/>
      <c r="I534" s="10"/>
      <c r="J534" s="10"/>
      <c r="K534" s="12">
        <f t="shared" si="127"/>
        <v>0</v>
      </c>
      <c r="M534" s="10">
        <v>28</v>
      </c>
      <c r="N534" s="30"/>
      <c r="O534" s="31"/>
      <c r="P534" s="47"/>
      <c r="Q534" s="31"/>
      <c r="R534" s="31"/>
      <c r="S534" s="32">
        <f t="shared" si="128"/>
        <v>0</v>
      </c>
      <c r="T534" s="10"/>
      <c r="U534" s="10"/>
      <c r="V534" s="10"/>
      <c r="W534" s="12">
        <f t="shared" si="129"/>
        <v>0</v>
      </c>
      <c r="Y534" s="62"/>
      <c r="Z534" s="66"/>
      <c r="AA534" s="103"/>
      <c r="AB534" s="69"/>
      <c r="AC534" s="103"/>
      <c r="AD534" s="10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26"/>
        <v>0</v>
      </c>
      <c r="H535" s="10"/>
      <c r="I535" s="10"/>
      <c r="J535" s="10"/>
      <c r="K535" s="12">
        <f t="shared" si="127"/>
        <v>0</v>
      </c>
      <c r="M535" s="10">
        <v>29</v>
      </c>
      <c r="N535" s="30"/>
      <c r="O535" s="31"/>
      <c r="P535" s="47"/>
      <c r="Q535" s="31"/>
      <c r="R535" s="31"/>
      <c r="S535" s="32">
        <f t="shared" si="128"/>
        <v>0</v>
      </c>
      <c r="T535" s="10"/>
      <c r="U535" s="10"/>
      <c r="V535" s="10"/>
      <c r="W535" s="12">
        <f t="shared" si="129"/>
        <v>0</v>
      </c>
      <c r="Y535" s="62"/>
      <c r="Z535" s="66"/>
      <c r="AA535" s="103"/>
      <c r="AB535" s="69"/>
      <c r="AC535" s="103"/>
      <c r="AD535" s="10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26"/>
        <v>0</v>
      </c>
      <c r="H536" s="10"/>
      <c r="I536" s="10"/>
      <c r="J536" s="10"/>
      <c r="K536" s="12">
        <f t="shared" si="127"/>
        <v>0</v>
      </c>
      <c r="M536" s="10">
        <v>30</v>
      </c>
      <c r="N536" s="30"/>
      <c r="O536" s="31"/>
      <c r="P536" s="47"/>
      <c r="Q536" s="31"/>
      <c r="R536" s="31"/>
      <c r="S536" s="32">
        <f t="shared" si="128"/>
        <v>0</v>
      </c>
      <c r="T536" s="10"/>
      <c r="U536" s="10"/>
      <c r="V536" s="10"/>
      <c r="W536" s="12">
        <f t="shared" si="129"/>
        <v>0</v>
      </c>
      <c r="Y536" s="62"/>
      <c r="Z536" s="66"/>
      <c r="AA536" s="103"/>
      <c r="AB536" s="69"/>
      <c r="AC536" s="103"/>
      <c r="AD536" s="10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26"/>
        <v>0</v>
      </c>
      <c r="H537" s="10"/>
      <c r="I537" s="10"/>
      <c r="J537" s="10"/>
      <c r="K537" s="12">
        <f t="shared" si="127"/>
        <v>0</v>
      </c>
      <c r="M537" s="10">
        <v>31</v>
      </c>
      <c r="N537" s="30"/>
      <c r="O537" s="31"/>
      <c r="P537" s="47"/>
      <c r="Q537" s="31"/>
      <c r="R537" s="31"/>
      <c r="S537" s="32">
        <f t="shared" si="128"/>
        <v>0</v>
      </c>
      <c r="T537" s="10"/>
      <c r="U537" s="10"/>
      <c r="V537" s="10"/>
      <c r="W537" s="12">
        <f t="shared" si="129"/>
        <v>0</v>
      </c>
      <c r="Y537" s="62"/>
      <c r="Z537" s="66"/>
      <c r="AA537" s="103"/>
      <c r="AB537" s="69"/>
      <c r="AC537" s="103"/>
      <c r="AD537" s="10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26"/>
        <v>0</v>
      </c>
      <c r="H538" s="10"/>
      <c r="I538" s="10"/>
      <c r="J538" s="10"/>
      <c r="K538" s="12">
        <f t="shared" si="127"/>
        <v>0</v>
      </c>
      <c r="M538" s="10">
        <v>32</v>
      </c>
      <c r="N538" s="30"/>
      <c r="O538" s="31"/>
      <c r="P538" s="47"/>
      <c r="Q538" s="31"/>
      <c r="R538" s="31"/>
      <c r="S538" s="32">
        <f t="shared" si="128"/>
        <v>0</v>
      </c>
      <c r="T538" s="10"/>
      <c r="U538" s="10"/>
      <c r="V538" s="10"/>
      <c r="W538" s="12">
        <f t="shared" si="129"/>
        <v>0</v>
      </c>
      <c r="Y538" s="62"/>
      <c r="Z538" s="66"/>
      <c r="AA538" s="103"/>
      <c r="AB538" s="69"/>
      <c r="AC538" s="103"/>
      <c r="AD538" s="10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26"/>
        <v>0</v>
      </c>
      <c r="H539" s="10"/>
      <c r="I539" s="10"/>
      <c r="J539" s="10"/>
      <c r="K539" s="12">
        <f t="shared" si="127"/>
        <v>0</v>
      </c>
      <c r="M539" s="10">
        <v>33</v>
      </c>
      <c r="N539" s="30"/>
      <c r="O539" s="31"/>
      <c r="P539" s="47"/>
      <c r="Q539" s="31"/>
      <c r="R539" s="31"/>
      <c r="S539" s="32">
        <f t="shared" si="128"/>
        <v>0</v>
      </c>
      <c r="T539" s="10"/>
      <c r="U539" s="10"/>
      <c r="V539" s="10"/>
      <c r="W539" s="12">
        <f t="shared" si="129"/>
        <v>0</v>
      </c>
      <c r="Y539" s="62"/>
      <c r="Z539" s="66"/>
      <c r="AA539" s="103"/>
      <c r="AB539" s="69"/>
      <c r="AC539" s="103"/>
      <c r="AD539" s="10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26"/>
        <v>0</v>
      </c>
      <c r="H540" s="10"/>
      <c r="I540" s="10"/>
      <c r="J540" s="10"/>
      <c r="K540" s="12">
        <f t="shared" si="127"/>
        <v>0</v>
      </c>
      <c r="M540" s="10">
        <v>34</v>
      </c>
      <c r="N540" s="30"/>
      <c r="O540" s="31"/>
      <c r="P540" s="47"/>
      <c r="Q540" s="31"/>
      <c r="R540" s="31"/>
      <c r="S540" s="32">
        <f t="shared" si="128"/>
        <v>0</v>
      </c>
      <c r="T540" s="10"/>
      <c r="U540" s="10"/>
      <c r="V540" s="10"/>
      <c r="W540" s="12">
        <f t="shared" si="129"/>
        <v>0</v>
      </c>
      <c r="Y540" s="62"/>
      <c r="Z540" s="66"/>
      <c r="AA540" s="103"/>
      <c r="AB540" s="69"/>
      <c r="AC540" s="103"/>
      <c r="AD540" s="10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28"/>
        <v>0</v>
      </c>
      <c r="T541" s="10"/>
      <c r="U541" s="10"/>
      <c r="V541" s="10"/>
      <c r="W541" s="12">
        <f t="shared" si="129"/>
        <v>0</v>
      </c>
      <c r="Y541" s="62"/>
      <c r="Z541" s="66"/>
      <c r="AA541" s="103"/>
      <c r="AB541" s="69"/>
      <c r="AC541" s="103"/>
      <c r="AD541" s="10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28"/>
        <v>0</v>
      </c>
      <c r="T542" s="10"/>
      <c r="U542" s="10"/>
      <c r="V542" s="10"/>
      <c r="W542" s="12">
        <f t="shared" si="129"/>
        <v>0</v>
      </c>
      <c r="Y542" s="62"/>
      <c r="Z542" s="66"/>
      <c r="AA542" s="103"/>
      <c r="AB542" s="69"/>
      <c r="AC542" s="103"/>
      <c r="AD542" s="10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28"/>
        <v>0</v>
      </c>
      <c r="T543" s="10"/>
      <c r="U543" s="10"/>
      <c r="V543" s="10"/>
      <c r="W543" s="12">
        <f t="shared" si="129"/>
        <v>0</v>
      </c>
      <c r="Y543" s="62"/>
      <c r="Z543" s="66"/>
      <c r="AA543" s="103"/>
      <c r="AB543" s="69"/>
      <c r="AC543" s="103"/>
      <c r="AD543" s="10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28"/>
        <v>0</v>
      </c>
      <c r="T544" s="10"/>
      <c r="U544" s="10"/>
      <c r="V544" s="10"/>
      <c r="W544" s="12">
        <f t="shared" si="129"/>
        <v>0</v>
      </c>
      <c r="Y544" s="62"/>
      <c r="Z544" s="66"/>
      <c r="AA544" s="103"/>
      <c r="AB544" s="69"/>
      <c r="AC544" s="103"/>
      <c r="AD544" s="10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28"/>
        <v>0</v>
      </c>
      <c r="T545" s="10"/>
      <c r="U545" s="10"/>
      <c r="V545" s="10"/>
      <c r="W545" s="12">
        <f t="shared" si="129"/>
        <v>0</v>
      </c>
      <c r="Y545" s="62"/>
      <c r="Z545" s="66"/>
      <c r="AA545" s="62"/>
      <c r="AB545" s="69"/>
      <c r="AC545" s="103"/>
      <c r="AD545" s="10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29"/>
        <v>0</v>
      </c>
      <c r="Y546" s="62"/>
      <c r="Z546" s="66"/>
      <c r="AA546" s="103"/>
      <c r="AB546" s="69"/>
      <c r="AC546" s="103"/>
      <c r="AD546" s="10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2">SUM(D547:E547)</f>
        <v>0</v>
      </c>
      <c r="H547" s="10"/>
      <c r="I547" s="10"/>
      <c r="J547" s="10"/>
      <c r="K547" s="12">
        <f t="shared" ref="K547" si="133">SUM(G547:J547)</f>
        <v>0</v>
      </c>
      <c r="M547" s="10"/>
      <c r="N547" s="30"/>
      <c r="O547" s="31"/>
      <c r="P547" s="47"/>
      <c r="Q547" s="31"/>
      <c r="R547" s="31"/>
      <c r="S547" s="32">
        <f t="shared" ref="S547" si="134">SUM(P547:Q547)</f>
        <v>0</v>
      </c>
      <c r="T547" s="10"/>
      <c r="U547" s="10"/>
      <c r="V547" s="10"/>
      <c r="W547" s="12">
        <f t="shared" si="129"/>
        <v>0</v>
      </c>
      <c r="Y547" s="62"/>
      <c r="Z547" s="103"/>
      <c r="AA547" s="103"/>
      <c r="AB547" s="103"/>
      <c r="AC547" s="103"/>
      <c r="AD547" s="103"/>
      <c r="AE547" s="103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29"/>
        <v>0</v>
      </c>
      <c r="Y548" s="62"/>
      <c r="Z548" s="103"/>
      <c r="AA548" s="103"/>
      <c r="AB548" s="103"/>
      <c r="AC548" s="103"/>
      <c r="AD548" s="103"/>
      <c r="AE548" s="103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103"/>
      <c r="AA549" s="103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347595</v>
      </c>
      <c r="E550" s="38">
        <f t="shared" ref="E550:F550" si="135">SUM(E507:E547)</f>
        <v>-1074</v>
      </c>
      <c r="F550" s="38">
        <f t="shared" si="135"/>
        <v>0</v>
      </c>
      <c r="G550" s="38">
        <f>SUM(G507:G549)</f>
        <v>346521</v>
      </c>
      <c r="H550" s="4"/>
      <c r="I550" s="39">
        <f>SUM(I507:I549)</f>
        <v>20499</v>
      </c>
      <c r="J550" s="39">
        <f>SUM(J507:J549)</f>
        <v>0</v>
      </c>
      <c r="K550" s="40">
        <f>SUM(K507:K549)</f>
        <v>367020</v>
      </c>
      <c r="N550" s="57"/>
      <c r="O550" s="57"/>
      <c r="P550" s="38">
        <f>SUM(P507:P549)</f>
        <v>233480</v>
      </c>
      <c r="Q550" s="38">
        <f>SUM(Q507:Q531)</f>
        <v>-1140</v>
      </c>
      <c r="R550" s="38">
        <f>SUM(R507:R531)</f>
        <v>0</v>
      </c>
      <c r="S550" s="38">
        <f>SUM(S507:S549)</f>
        <v>232340</v>
      </c>
      <c r="T550" s="4"/>
      <c r="U550" s="41">
        <f>SUM(U507:U549)</f>
        <v>366</v>
      </c>
      <c r="V550" s="41">
        <f>SUM(V507:V531)</f>
        <v>-6651</v>
      </c>
      <c r="W550" s="42">
        <f>SUM(W507:W549)</f>
        <v>226055</v>
      </c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62"/>
      <c r="Z551" s="103"/>
      <c r="AA551" s="103"/>
      <c r="AB551" s="103"/>
      <c r="AC551" s="103"/>
      <c r="AD551" s="103"/>
      <c r="AE551" s="103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0"/>
      <c r="C552" s="90"/>
      <c r="D552" s="90"/>
      <c r="E552" s="90"/>
      <c r="F552" s="90"/>
      <c r="G552" s="90"/>
      <c r="H552" s="62"/>
      <c r="I552" s="62"/>
      <c r="J552" s="62"/>
      <c r="K552" s="62"/>
      <c r="L552" s="62"/>
      <c r="M552" s="62"/>
      <c r="N552" s="90"/>
      <c r="O552" s="90"/>
      <c r="P552" s="90"/>
      <c r="Q552" s="90"/>
      <c r="R552" s="90"/>
      <c r="S552" s="90"/>
      <c r="T552" s="62"/>
      <c r="U552" s="62"/>
      <c r="V552" s="62"/>
      <c r="W552" s="62"/>
      <c r="X552" s="62"/>
      <c r="Y552" s="62"/>
      <c r="Z552" s="90"/>
      <c r="AA552" s="90"/>
      <c r="AB552" s="90"/>
      <c r="AC552" s="90"/>
      <c r="AD552" s="90"/>
      <c r="AE552" s="90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0"/>
      <c r="C553" s="90"/>
      <c r="D553" s="90"/>
      <c r="E553" s="90"/>
      <c r="F553" s="90"/>
      <c r="G553" s="90"/>
      <c r="H553" s="62"/>
      <c r="I553" s="62"/>
      <c r="J553" s="62"/>
      <c r="K553" s="62"/>
      <c r="L553" s="62"/>
      <c r="M553" s="62"/>
      <c r="N553" s="90"/>
      <c r="O553" s="90"/>
      <c r="P553" s="90"/>
      <c r="Q553" s="90"/>
      <c r="R553" s="90"/>
      <c r="S553" s="90"/>
      <c r="T553" s="62"/>
      <c r="U553" s="62"/>
      <c r="V553" s="62"/>
      <c r="W553" s="62"/>
      <c r="X553" s="62"/>
      <c r="Y553" s="62"/>
      <c r="Z553" s="90"/>
      <c r="AA553" s="90"/>
      <c r="AB553" s="90"/>
      <c r="AC553" s="90"/>
      <c r="AD553" s="90"/>
      <c r="AE553" s="90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3"/>
      <c r="B554" s="90"/>
      <c r="C554" s="90"/>
      <c r="D554" s="90"/>
      <c r="E554" s="90"/>
      <c r="F554" s="90"/>
      <c r="G554" s="90"/>
      <c r="H554" s="62"/>
      <c r="I554" s="62"/>
      <c r="J554" s="62"/>
      <c r="K554" s="62"/>
      <c r="L554" s="62"/>
      <c r="M554" s="63"/>
      <c r="N554" s="90"/>
      <c r="O554" s="90"/>
      <c r="P554" s="90"/>
      <c r="Q554" s="90"/>
      <c r="R554" s="90"/>
      <c r="S554" s="90"/>
      <c r="T554" s="62"/>
      <c r="U554" s="62"/>
      <c r="V554" s="62"/>
      <c r="W554" s="62"/>
      <c r="X554" s="62"/>
      <c r="Y554" s="63"/>
      <c r="Z554" s="90"/>
      <c r="AA554" s="90"/>
      <c r="AB554" s="90"/>
      <c r="AC554" s="90"/>
      <c r="AD554" s="90"/>
      <c r="AE554" s="90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2"/>
      <c r="B555" s="90"/>
      <c r="C555" s="90"/>
      <c r="D555" s="90"/>
      <c r="E555" s="90"/>
      <c r="F555" s="90"/>
      <c r="G555" s="90"/>
      <c r="H555" s="62"/>
      <c r="I555" s="62"/>
      <c r="J555" s="62"/>
      <c r="K555" s="62"/>
      <c r="L555" s="62"/>
      <c r="M555" s="62"/>
      <c r="N555" s="90"/>
      <c r="O555" s="90"/>
      <c r="P555" s="90"/>
      <c r="Q555" s="90"/>
      <c r="R555" s="90"/>
      <c r="S555" s="90"/>
      <c r="T555" s="62"/>
      <c r="U555" s="62"/>
      <c r="V555" s="62"/>
      <c r="W555" s="62"/>
      <c r="X555" s="62"/>
      <c r="Y555" s="62"/>
      <c r="Z555" s="90"/>
      <c r="AA555" s="90"/>
      <c r="AB555" s="90"/>
      <c r="AC555" s="90"/>
      <c r="AD555" s="90"/>
      <c r="AE555" s="90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ht="15.75" x14ac:dyDescent="0.25">
      <c r="A556" s="62"/>
      <c r="B556" s="90"/>
      <c r="C556" s="90"/>
      <c r="D556" s="90"/>
      <c r="E556" s="90"/>
      <c r="F556" s="90"/>
      <c r="G556" s="90"/>
      <c r="H556" s="62"/>
      <c r="I556" s="90"/>
      <c r="J556" s="73"/>
      <c r="K556" s="62"/>
      <c r="L556" s="62"/>
      <c r="M556" s="62"/>
      <c r="N556" s="90"/>
      <c r="O556" s="90"/>
      <c r="P556" s="90"/>
      <c r="Q556" s="90"/>
      <c r="R556" s="90"/>
      <c r="S556" s="90"/>
      <c r="T556" s="62"/>
      <c r="U556" s="90"/>
      <c r="V556" s="73"/>
      <c r="W556" s="62"/>
      <c r="X556" s="62"/>
      <c r="Y556" s="62"/>
      <c r="Z556" s="90"/>
      <c r="AA556" s="90"/>
      <c r="AB556" s="90"/>
      <c r="AC556" s="90"/>
      <c r="AD556" s="90"/>
      <c r="AE556" s="90"/>
      <c r="AF556" s="62"/>
      <c r="AG556" s="90"/>
      <c r="AH556" s="90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x14ac:dyDescent="0.25">
      <c r="A557" s="64"/>
      <c r="B557" s="90"/>
      <c r="C557" s="90"/>
      <c r="D557" s="90"/>
      <c r="E557" s="90"/>
      <c r="F557" s="90"/>
      <c r="G557" s="90"/>
      <c r="H557" s="62"/>
      <c r="I557" s="65"/>
      <c r="J557" s="65"/>
      <c r="K557" s="62"/>
      <c r="L557" s="62"/>
      <c r="M557" s="64"/>
      <c r="N557" s="90"/>
      <c r="O557" s="90"/>
      <c r="P557" s="90"/>
      <c r="Q557" s="90"/>
      <c r="R557" s="90"/>
      <c r="S557" s="90"/>
      <c r="T557" s="62"/>
      <c r="U557" s="65"/>
      <c r="V557" s="65"/>
      <c r="W557" s="62"/>
      <c r="X557" s="62"/>
      <c r="Y557" s="64"/>
      <c r="Z557" s="90"/>
      <c r="AA557" s="90"/>
      <c r="AB557" s="90"/>
      <c r="AC557" s="90"/>
      <c r="AD557" s="90"/>
      <c r="AE557" s="90"/>
      <c r="AF557" s="62"/>
      <c r="AG557" s="65"/>
      <c r="AH557" s="65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2"/>
      <c r="B558" s="90"/>
      <c r="C558" s="90"/>
      <c r="D558" s="90"/>
      <c r="E558" s="90"/>
      <c r="F558" s="90"/>
      <c r="G558" s="90"/>
      <c r="H558" s="62"/>
      <c r="I558" s="62"/>
      <c r="J558" s="62"/>
      <c r="K558" s="62"/>
      <c r="L558" s="62"/>
      <c r="M558" s="62"/>
      <c r="N558" s="90"/>
      <c r="O558" s="90"/>
      <c r="P558" s="90"/>
      <c r="Q558" s="90"/>
      <c r="R558" s="90"/>
      <c r="S558" s="90"/>
      <c r="T558" s="62"/>
      <c r="U558" s="62"/>
      <c r="V558" s="62"/>
      <c r="W558" s="62"/>
      <c r="X558" s="62"/>
      <c r="Y558" s="62"/>
      <c r="Z558" s="90"/>
      <c r="AA558" s="90"/>
      <c r="AB558" s="90"/>
      <c r="AC558" s="90"/>
      <c r="AD558" s="90"/>
      <c r="AE558" s="90"/>
      <c r="AF558" s="62"/>
      <c r="AG558" s="62"/>
      <c r="AH558" s="62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A559" s="62"/>
      <c r="B559" s="65"/>
      <c r="C559" s="90"/>
      <c r="D559" s="113"/>
      <c r="E559" s="113"/>
      <c r="F559" s="90"/>
      <c r="G559" s="90"/>
      <c r="H559" s="62"/>
      <c r="I559" s="113"/>
      <c r="J559" s="113"/>
      <c r="K559" s="109"/>
      <c r="L559" s="62"/>
      <c r="M559" s="62"/>
      <c r="N559" s="65"/>
      <c r="O559" s="90"/>
      <c r="P559" s="113"/>
      <c r="Q559" s="113"/>
      <c r="R559" s="90"/>
      <c r="S559" s="90"/>
      <c r="T559" s="62"/>
      <c r="U559" s="113"/>
      <c r="V559" s="113"/>
      <c r="W559" s="109"/>
      <c r="X559" s="62"/>
      <c r="Y559" s="62"/>
      <c r="Z559" s="65"/>
      <c r="AA559" s="90"/>
      <c r="AB559" s="113"/>
      <c r="AC559" s="113"/>
      <c r="AD559" s="90"/>
      <c r="AE559" s="90"/>
      <c r="AF559" s="62"/>
      <c r="AG559" s="113"/>
      <c r="AH559" s="113"/>
      <c r="AI559" s="109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A560" s="62"/>
      <c r="B560" s="90"/>
      <c r="C560" s="90"/>
      <c r="D560" s="79"/>
      <c r="E560" s="80"/>
      <c r="F560" s="81"/>
      <c r="G560" s="81"/>
      <c r="H560" s="62"/>
      <c r="I560" s="91"/>
      <c r="J560" s="91"/>
      <c r="K560" s="109"/>
      <c r="L560" s="62"/>
      <c r="M560" s="62"/>
      <c r="N560" s="90"/>
      <c r="O560" s="90"/>
      <c r="P560" s="79"/>
      <c r="Q560" s="81"/>
      <c r="R560" s="81"/>
      <c r="S560" s="81"/>
      <c r="T560" s="62"/>
      <c r="U560" s="91"/>
      <c r="V560" s="91"/>
      <c r="W560" s="109"/>
      <c r="X560" s="62"/>
      <c r="Y560" s="62"/>
      <c r="Z560" s="90"/>
      <c r="AA560" s="90"/>
      <c r="AB560" s="79"/>
      <c r="AC560" s="81"/>
      <c r="AD560" s="81"/>
      <c r="AE560" s="81"/>
      <c r="AF560" s="62"/>
      <c r="AG560" s="91"/>
      <c r="AH560" s="91"/>
      <c r="AI560" s="109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66"/>
      <c r="C561" s="84"/>
      <c r="D561" s="60"/>
      <c r="E561" s="60"/>
      <c r="F561" s="60"/>
      <c r="G561" s="60"/>
      <c r="H561" s="61"/>
      <c r="I561" s="61"/>
      <c r="J561" s="61"/>
      <c r="K561" s="61"/>
      <c r="L561" s="62"/>
      <c r="M561" s="62"/>
      <c r="N561" s="66"/>
      <c r="O561" s="90"/>
      <c r="P561" s="60"/>
      <c r="Q561" s="60"/>
      <c r="R561" s="60"/>
      <c r="S561" s="60"/>
      <c r="T561" s="61"/>
      <c r="U561" s="61"/>
      <c r="V561" s="61"/>
      <c r="W561" s="61"/>
      <c r="X561" s="62"/>
      <c r="Y561" s="62"/>
      <c r="Z561" s="66"/>
      <c r="AA561" s="90"/>
      <c r="AB561" s="60"/>
      <c r="AC561" s="60"/>
      <c r="AD561" s="60"/>
      <c r="AE561" s="60"/>
      <c r="AF561" s="61"/>
      <c r="AG561" s="61"/>
      <c r="AH561" s="61"/>
      <c r="AI561" s="61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0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0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0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0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0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0"/>
      <c r="AB564" s="60"/>
      <c r="AC564" s="60"/>
      <c r="AD564" s="60"/>
      <c r="AE564" s="60"/>
      <c r="AF564" s="61"/>
      <c r="AG564" s="62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0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0"/>
      <c r="AB565" s="60"/>
      <c r="AC565" s="60"/>
      <c r="AD565" s="60"/>
      <c r="AE565" s="60"/>
      <c r="AF565" s="61"/>
      <c r="AG565" s="61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65"/>
      <c r="P566" s="60"/>
      <c r="Q566" s="60"/>
      <c r="R566" s="60"/>
      <c r="S566" s="60"/>
      <c r="T566" s="61"/>
      <c r="U566" s="61"/>
      <c r="V566" s="62"/>
      <c r="W566" s="61"/>
      <c r="X566" s="62"/>
      <c r="Y566" s="62"/>
      <c r="Z566" s="66"/>
      <c r="AA566" s="90"/>
      <c r="AB566" s="60"/>
      <c r="AC566" s="60"/>
      <c r="AD566" s="60"/>
      <c r="AE566" s="60"/>
      <c r="AF566" s="61"/>
      <c r="AG566" s="61"/>
      <c r="AH566" s="62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65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0"/>
      <c r="P567" s="60"/>
      <c r="Q567" s="60"/>
      <c r="R567" s="60"/>
      <c r="S567" s="60"/>
      <c r="T567" s="61"/>
      <c r="U567" s="61"/>
      <c r="V567" s="61"/>
      <c r="W567" s="61"/>
      <c r="X567" s="62"/>
      <c r="Y567" s="62"/>
      <c r="Z567" s="66"/>
      <c r="AA567" s="90"/>
      <c r="AB567" s="60"/>
      <c r="AC567" s="60"/>
      <c r="AD567" s="60"/>
      <c r="AE567" s="60"/>
      <c r="AF567" s="61"/>
      <c r="AG567" s="61"/>
      <c r="AH567" s="61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0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0"/>
      <c r="AB568" s="60"/>
      <c r="AC568" s="60"/>
      <c r="AD568" s="62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0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0"/>
      <c r="AB569" s="60"/>
      <c r="AC569" s="60"/>
      <c r="AD569" s="60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0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0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0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5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2"/>
      <c r="K572" s="61"/>
      <c r="L572" s="62"/>
      <c r="M572" s="62"/>
      <c r="N572" s="66"/>
      <c r="O572" s="90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0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1"/>
      <c r="K573" s="61"/>
      <c r="L573" s="62"/>
      <c r="M573" s="62"/>
      <c r="N573" s="66"/>
      <c r="O573" s="90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0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0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0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0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0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65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2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0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90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0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0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0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0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0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62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0"/>
      <c r="D581" s="60"/>
      <c r="E581" s="60"/>
      <c r="F581" s="60"/>
      <c r="G581" s="60"/>
      <c r="H581" s="62"/>
      <c r="I581" s="62"/>
      <c r="J581" s="62"/>
      <c r="K581" s="61"/>
      <c r="L581" s="62"/>
      <c r="M581" s="62"/>
      <c r="N581" s="66"/>
      <c r="O581" s="65"/>
      <c r="P581" s="67"/>
      <c r="Q581" s="90"/>
      <c r="R581" s="90"/>
      <c r="S581" s="60"/>
      <c r="T581" s="62"/>
      <c r="U581" s="62"/>
      <c r="V581" s="62"/>
      <c r="W581" s="61"/>
      <c r="X581" s="62"/>
      <c r="Y581" s="62"/>
      <c r="Z581" s="66"/>
      <c r="AA581" s="90"/>
      <c r="AB581" s="67"/>
      <c r="AC581" s="90"/>
      <c r="AD581" s="90"/>
      <c r="AE581" s="60"/>
      <c r="AF581" s="62"/>
      <c r="AG581" s="62"/>
      <c r="AH581" s="62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0"/>
      <c r="P582" s="68"/>
      <c r="Q582" s="90"/>
      <c r="R582" s="90"/>
      <c r="S582" s="60"/>
      <c r="T582" s="62"/>
      <c r="U582" s="62"/>
      <c r="V582" s="62"/>
      <c r="W582" s="61"/>
      <c r="X582" s="62"/>
      <c r="Y582" s="62"/>
      <c r="Z582" s="66"/>
      <c r="AA582" s="90"/>
      <c r="AB582" s="68"/>
      <c r="AC582" s="90"/>
      <c r="AD582" s="90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1"/>
      <c r="K583" s="61"/>
      <c r="L583" s="62"/>
      <c r="M583" s="62"/>
      <c r="N583" s="66"/>
      <c r="O583" s="90"/>
      <c r="P583" s="69"/>
      <c r="Q583" s="62"/>
      <c r="R583" s="62"/>
      <c r="S583" s="60"/>
      <c r="T583" s="62"/>
      <c r="U583" s="62"/>
      <c r="V583" s="62"/>
      <c r="W583" s="61"/>
      <c r="X583" s="62"/>
      <c r="Y583" s="62"/>
      <c r="Z583" s="66"/>
      <c r="AA583" s="90"/>
      <c r="AB583" s="69"/>
      <c r="AC583" s="90"/>
      <c r="AD583" s="62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2"/>
      <c r="K584" s="61"/>
      <c r="L584" s="62"/>
      <c r="M584" s="62"/>
      <c r="N584" s="66"/>
      <c r="O584" s="90"/>
      <c r="P584" s="69"/>
      <c r="Q584" s="90"/>
      <c r="R584" s="90"/>
      <c r="S584" s="60"/>
      <c r="T584" s="62"/>
      <c r="U584" s="62"/>
      <c r="V584" s="62"/>
      <c r="W584" s="61"/>
      <c r="X584" s="62"/>
      <c r="Y584" s="62"/>
      <c r="Z584" s="66"/>
      <c r="AA584" s="90"/>
      <c r="AB584" s="69"/>
      <c r="AC584" s="90"/>
      <c r="AD584" s="90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0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0"/>
      <c r="P585" s="69"/>
      <c r="Q585" s="90"/>
      <c r="R585" s="90"/>
      <c r="S585" s="60"/>
      <c r="T585" s="62"/>
      <c r="U585" s="62"/>
      <c r="V585" s="62"/>
      <c r="W585" s="61"/>
      <c r="X585" s="62"/>
      <c r="Y585" s="62"/>
      <c r="Z585" s="66"/>
      <c r="AA585" s="90"/>
      <c r="AB585" s="69"/>
      <c r="AC585" s="90"/>
      <c r="AD585" s="90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0"/>
      <c r="P586" s="69"/>
      <c r="Q586" s="90"/>
      <c r="R586" s="90"/>
      <c r="S586" s="60"/>
      <c r="T586" s="62"/>
      <c r="U586" s="62"/>
      <c r="V586" s="62"/>
      <c r="W586" s="61"/>
      <c r="X586" s="62"/>
      <c r="Y586" s="62"/>
      <c r="Z586" s="66"/>
      <c r="AA586" s="90"/>
      <c r="AB586" s="69"/>
      <c r="AC586" s="90"/>
      <c r="AD586" s="90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0"/>
      <c r="P587" s="69"/>
      <c r="Q587" s="90"/>
      <c r="R587" s="90"/>
      <c r="S587" s="60"/>
      <c r="T587" s="62"/>
      <c r="U587" s="62"/>
      <c r="V587" s="62"/>
      <c r="W587" s="61"/>
      <c r="X587" s="62"/>
      <c r="Y587" s="62"/>
      <c r="Z587" s="66"/>
      <c r="AA587" s="90"/>
      <c r="AB587" s="69"/>
      <c r="AC587" s="90"/>
      <c r="AD587" s="90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0"/>
      <c r="P588" s="69"/>
      <c r="Q588" s="90"/>
      <c r="R588" s="90"/>
      <c r="S588" s="60"/>
      <c r="T588" s="62"/>
      <c r="U588" s="62"/>
      <c r="V588" s="62"/>
      <c r="W588" s="61"/>
      <c r="X588" s="62"/>
      <c r="Y588" s="62"/>
      <c r="Z588" s="66"/>
      <c r="AA588" s="90"/>
      <c r="AB588" s="69"/>
      <c r="AC588" s="90"/>
      <c r="AD588" s="90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0"/>
      <c r="P589" s="69"/>
      <c r="Q589" s="90"/>
      <c r="R589" s="90"/>
      <c r="S589" s="60"/>
      <c r="T589" s="62"/>
      <c r="U589" s="62"/>
      <c r="V589" s="62"/>
      <c r="W589" s="61"/>
      <c r="X589" s="62"/>
      <c r="Y589" s="62"/>
      <c r="Z589" s="66"/>
      <c r="AA589" s="90"/>
      <c r="AB589" s="69"/>
      <c r="AC589" s="90"/>
      <c r="AD589" s="90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0"/>
      <c r="P590" s="69"/>
      <c r="Q590" s="90"/>
      <c r="R590" s="90"/>
      <c r="S590" s="60"/>
      <c r="T590" s="62"/>
      <c r="U590" s="62"/>
      <c r="V590" s="62"/>
      <c r="W590" s="61"/>
      <c r="X590" s="62"/>
      <c r="Y590" s="62"/>
      <c r="Z590" s="66"/>
      <c r="AA590" s="90"/>
      <c r="AB590" s="69"/>
      <c r="AC590" s="90"/>
      <c r="AD590" s="90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0"/>
      <c r="P591" s="69"/>
      <c r="Q591" s="90"/>
      <c r="R591" s="90"/>
      <c r="S591" s="60"/>
      <c r="T591" s="62"/>
      <c r="U591" s="62"/>
      <c r="V591" s="62"/>
      <c r="W591" s="61"/>
      <c r="X591" s="62"/>
      <c r="Y591" s="62"/>
      <c r="Z591" s="66"/>
      <c r="AA591" s="90"/>
      <c r="AB591" s="69"/>
      <c r="AC591" s="90"/>
      <c r="AD591" s="90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0"/>
      <c r="P592" s="69"/>
      <c r="Q592" s="90"/>
      <c r="R592" s="90"/>
      <c r="S592" s="60"/>
      <c r="T592" s="62"/>
      <c r="U592" s="62"/>
      <c r="V592" s="62"/>
      <c r="W592" s="61"/>
      <c r="X592" s="62"/>
      <c r="Y592" s="62"/>
      <c r="Z592" s="66"/>
      <c r="AA592" s="90"/>
      <c r="AB592" s="69"/>
      <c r="AC592" s="90"/>
      <c r="AD592" s="90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0"/>
      <c r="P593" s="69"/>
      <c r="Q593" s="90"/>
      <c r="R593" s="90"/>
      <c r="S593" s="60"/>
      <c r="T593" s="62"/>
      <c r="U593" s="62"/>
      <c r="V593" s="62"/>
      <c r="W593" s="61"/>
      <c r="X593" s="62"/>
      <c r="Y593" s="62"/>
      <c r="Z593" s="66"/>
      <c r="AA593" s="90"/>
      <c r="AB593" s="69"/>
      <c r="AC593" s="90"/>
      <c r="AD593" s="90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0"/>
      <c r="P594" s="69"/>
      <c r="Q594" s="90"/>
      <c r="R594" s="90"/>
      <c r="S594" s="60"/>
      <c r="T594" s="62"/>
      <c r="U594" s="62"/>
      <c r="V594" s="62"/>
      <c r="W594" s="61"/>
      <c r="X594" s="62"/>
      <c r="Y594" s="62"/>
      <c r="Z594" s="66"/>
      <c r="AA594" s="90"/>
      <c r="AB594" s="69"/>
      <c r="AC594" s="90"/>
      <c r="AD594" s="90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0"/>
      <c r="P595" s="69"/>
      <c r="Q595" s="90"/>
      <c r="R595" s="90"/>
      <c r="S595" s="60"/>
      <c r="T595" s="62"/>
      <c r="U595" s="62"/>
      <c r="V595" s="62"/>
      <c r="W595" s="61"/>
      <c r="X595" s="62"/>
      <c r="Y595" s="62"/>
      <c r="Z595" s="66"/>
      <c r="AA595" s="90"/>
      <c r="AB595" s="69"/>
      <c r="AC595" s="90"/>
      <c r="AD595" s="90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0"/>
      <c r="P596" s="69"/>
      <c r="Q596" s="90"/>
      <c r="R596" s="90"/>
      <c r="S596" s="60"/>
      <c r="T596" s="62"/>
      <c r="U596" s="62"/>
      <c r="V596" s="62"/>
      <c r="W596" s="61"/>
      <c r="X596" s="62"/>
      <c r="Y596" s="62"/>
      <c r="Z596" s="66"/>
      <c r="AA596" s="90"/>
      <c r="AB596" s="69"/>
      <c r="AC596" s="90"/>
      <c r="AD596" s="90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0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62"/>
      <c r="P597" s="69"/>
      <c r="Q597" s="90"/>
      <c r="R597" s="90"/>
      <c r="S597" s="60"/>
      <c r="T597" s="62"/>
      <c r="U597" s="62"/>
      <c r="V597" s="62"/>
      <c r="W597" s="61"/>
      <c r="X597" s="62"/>
      <c r="Y597" s="62"/>
      <c r="Z597" s="66"/>
      <c r="AA597" s="90"/>
      <c r="AB597" s="69"/>
      <c r="AC597" s="90"/>
      <c r="AD597" s="90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0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90"/>
      <c r="P598" s="69"/>
      <c r="Q598" s="90"/>
      <c r="R598" s="90"/>
      <c r="S598" s="60"/>
      <c r="T598" s="62"/>
      <c r="U598" s="62"/>
      <c r="V598" s="62"/>
      <c r="W598" s="61"/>
      <c r="X598" s="62"/>
      <c r="Y598" s="62"/>
      <c r="Z598" s="66"/>
      <c r="AA598" s="90"/>
      <c r="AB598" s="69"/>
      <c r="AC598" s="90"/>
      <c r="AD598" s="90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0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0"/>
      <c r="P599" s="69"/>
      <c r="Q599" s="90"/>
      <c r="R599" s="90"/>
      <c r="S599" s="60"/>
      <c r="T599" s="62"/>
      <c r="U599" s="62"/>
      <c r="V599" s="62"/>
      <c r="W599" s="61"/>
      <c r="X599" s="62"/>
      <c r="Y599" s="62"/>
      <c r="Z599" s="66"/>
      <c r="AA599" s="90"/>
      <c r="AB599" s="69"/>
      <c r="AC599" s="90"/>
      <c r="AD599" s="90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0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62"/>
      <c r="P600" s="69"/>
      <c r="Q600" s="90"/>
      <c r="R600" s="90"/>
      <c r="S600" s="60"/>
      <c r="T600" s="62"/>
      <c r="U600" s="62"/>
      <c r="V600" s="62"/>
      <c r="W600" s="61"/>
      <c r="X600" s="62"/>
      <c r="Y600" s="62"/>
      <c r="Z600" s="66"/>
      <c r="AA600" s="62"/>
      <c r="AB600" s="69"/>
      <c r="AC600" s="90"/>
      <c r="AD600" s="90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0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90"/>
      <c r="P601" s="69"/>
      <c r="Q601" s="90"/>
      <c r="R601" s="90"/>
      <c r="S601" s="60"/>
      <c r="T601" s="62"/>
      <c r="U601" s="62"/>
      <c r="V601" s="62"/>
      <c r="W601" s="61"/>
      <c r="X601" s="62"/>
      <c r="Y601" s="62"/>
      <c r="Z601" s="66"/>
      <c r="AA601" s="90"/>
      <c r="AB601" s="69"/>
      <c r="AC601" s="90"/>
      <c r="AD601" s="90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66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90"/>
      <c r="O602" s="90"/>
      <c r="P602" s="90"/>
      <c r="Q602" s="90"/>
      <c r="R602" s="90"/>
      <c r="S602" s="90"/>
      <c r="T602" s="62"/>
      <c r="U602" s="62"/>
      <c r="V602" s="62"/>
      <c r="W602" s="61"/>
      <c r="X602" s="62"/>
      <c r="Y602" s="62"/>
      <c r="Z602" s="90"/>
      <c r="AA602" s="90"/>
      <c r="AB602" s="90"/>
      <c r="AC602" s="90"/>
      <c r="AD602" s="90"/>
      <c r="AE602" s="9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90"/>
      <c r="C603" s="90"/>
      <c r="D603" s="90"/>
      <c r="E603" s="90"/>
      <c r="F603" s="90"/>
      <c r="G603" s="90"/>
      <c r="H603" s="62"/>
      <c r="I603" s="62"/>
      <c r="J603" s="62"/>
      <c r="K603" s="62"/>
      <c r="L603" s="62"/>
      <c r="M603" s="62"/>
      <c r="N603" s="90"/>
      <c r="O603" s="90"/>
      <c r="P603" s="90"/>
      <c r="Q603" s="90"/>
      <c r="R603" s="90"/>
      <c r="S603" s="90"/>
      <c r="T603" s="62"/>
      <c r="U603" s="62"/>
      <c r="V603" s="62"/>
      <c r="W603" s="62"/>
      <c r="X603" s="62"/>
      <c r="Y603" s="62"/>
      <c r="Z603" s="90"/>
      <c r="AA603" s="90"/>
      <c r="AB603" s="90"/>
      <c r="AC603" s="90"/>
      <c r="AD603" s="90"/>
      <c r="AE603" s="90"/>
      <c r="AF603" s="62"/>
      <c r="AG603" s="62"/>
      <c r="AH603" s="62"/>
      <c r="AI603" s="62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0"/>
      <c r="C604" s="90"/>
      <c r="D604" s="70"/>
      <c r="E604" s="70"/>
      <c r="F604" s="70"/>
      <c r="G604" s="70"/>
      <c r="H604" s="63"/>
      <c r="I604" s="70"/>
      <c r="J604" s="70"/>
      <c r="K604" s="70"/>
      <c r="L604" s="62"/>
      <c r="M604" s="62"/>
      <c r="N604" s="90"/>
      <c r="O604" s="90"/>
      <c r="P604" s="70"/>
      <c r="Q604" s="70"/>
      <c r="R604" s="70"/>
      <c r="S604" s="70"/>
      <c r="T604" s="63"/>
      <c r="U604" s="71"/>
      <c r="V604" s="71"/>
      <c r="W604" s="71"/>
      <c r="X604" s="62"/>
      <c r="Y604" s="62"/>
      <c r="Z604" s="90"/>
      <c r="AA604" s="90"/>
      <c r="AB604" s="70"/>
      <c r="AC604" s="70"/>
      <c r="AD604" s="70"/>
      <c r="AE604" s="70"/>
      <c r="AF604" s="63"/>
      <c r="AG604" s="71"/>
      <c r="AH604" s="71"/>
      <c r="AI604" s="71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90"/>
      <c r="C606" s="90"/>
      <c r="D606" s="90"/>
      <c r="E606" s="90"/>
      <c r="F606" s="90"/>
      <c r="G606" s="90"/>
      <c r="H606" s="62"/>
      <c r="I606" s="62"/>
      <c r="J606" s="62"/>
      <c r="K606" s="62"/>
      <c r="L606" s="62"/>
      <c r="M606" s="62"/>
      <c r="N606" s="90"/>
      <c r="O606" s="90"/>
      <c r="P606" s="90"/>
      <c r="Q606" s="90"/>
      <c r="R606" s="90"/>
      <c r="S606" s="90"/>
      <c r="T606" s="62"/>
      <c r="U606" s="62"/>
      <c r="V606" s="62"/>
      <c r="W606" s="62"/>
      <c r="X606" s="62"/>
      <c r="Y606" s="62"/>
      <c r="Z606" s="90"/>
      <c r="AA606" s="90"/>
      <c r="AB606" s="90"/>
      <c r="AC606" s="90"/>
      <c r="AD606" s="90"/>
      <c r="AE606" s="90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0"/>
      <c r="C607" s="90"/>
      <c r="D607" s="90"/>
      <c r="E607" s="90"/>
      <c r="F607" s="90"/>
      <c r="G607" s="90"/>
      <c r="H607" s="62"/>
      <c r="I607" s="62"/>
      <c r="J607" s="62"/>
      <c r="K607" s="62"/>
      <c r="L607" s="62"/>
      <c r="M607" s="62"/>
      <c r="N607" s="90"/>
      <c r="O607" s="90"/>
      <c r="P607" s="90"/>
      <c r="Q607" s="90"/>
      <c r="R607" s="90"/>
      <c r="S607" s="90"/>
      <c r="T607" s="62"/>
      <c r="U607" s="62"/>
      <c r="V607" s="62"/>
      <c r="W607" s="62"/>
      <c r="X607" s="62"/>
      <c r="Y607" s="62"/>
      <c r="Z607" s="90"/>
      <c r="AA607" s="90"/>
      <c r="AB607" s="90"/>
      <c r="AC607" s="90"/>
      <c r="AD607" s="90"/>
      <c r="AE607" s="90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0"/>
      <c r="C608" s="90"/>
      <c r="D608" s="90"/>
      <c r="E608" s="90"/>
      <c r="F608" s="90"/>
      <c r="G608" s="90"/>
      <c r="H608" s="62"/>
      <c r="I608" s="62"/>
      <c r="J608" s="62"/>
      <c r="K608" s="62"/>
      <c r="L608" s="62"/>
      <c r="M608" s="62"/>
      <c r="N608" s="90"/>
      <c r="O608" s="90"/>
      <c r="P608" s="90"/>
      <c r="Q608" s="90"/>
      <c r="R608" s="90"/>
      <c r="S608" s="90"/>
      <c r="T608" s="62"/>
      <c r="U608" s="62"/>
      <c r="V608" s="62"/>
      <c r="W608" s="62"/>
      <c r="X608" s="62"/>
      <c r="Y608" s="62"/>
      <c r="Z608" s="90"/>
      <c r="AA608" s="90"/>
      <c r="AB608" s="90"/>
      <c r="AC608" s="90"/>
      <c r="AD608" s="90"/>
      <c r="AE608" s="90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3"/>
      <c r="B609" s="90"/>
      <c r="C609" s="90"/>
      <c r="D609" s="90"/>
      <c r="E609" s="90"/>
      <c r="F609" s="90"/>
      <c r="G609" s="90"/>
      <c r="H609" s="62"/>
      <c r="I609" s="62"/>
      <c r="J609" s="62"/>
      <c r="K609" s="62"/>
      <c r="L609" s="62"/>
      <c r="M609" s="63"/>
      <c r="N609" s="90"/>
      <c r="O609" s="90"/>
      <c r="P609" s="90"/>
      <c r="Q609" s="90"/>
      <c r="R609" s="90"/>
      <c r="S609" s="90"/>
      <c r="T609" s="62"/>
      <c r="U609" s="62"/>
      <c r="V609" s="62"/>
      <c r="W609" s="62"/>
      <c r="X609" s="62"/>
      <c r="Y609" s="63"/>
      <c r="Z609" s="90"/>
      <c r="AA609" s="90"/>
      <c r="AB609" s="90"/>
      <c r="AC609" s="90"/>
      <c r="AD609" s="90"/>
      <c r="AE609" s="90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2"/>
      <c r="B610" s="90"/>
      <c r="C610" s="90"/>
      <c r="D610" s="90"/>
      <c r="E610" s="90"/>
      <c r="F610" s="90"/>
      <c r="G610" s="90"/>
      <c r="H610" s="62"/>
      <c r="I610" s="62"/>
      <c r="J610" s="62"/>
      <c r="K610" s="62"/>
      <c r="L610" s="62"/>
      <c r="M610" s="62"/>
      <c r="N610" s="90"/>
      <c r="O610" s="90"/>
      <c r="P610" s="90"/>
      <c r="Q610" s="90"/>
      <c r="R610" s="90"/>
      <c r="S610" s="90"/>
      <c r="T610" s="62"/>
      <c r="U610" s="62"/>
      <c r="V610" s="62"/>
      <c r="W610" s="62"/>
      <c r="X610" s="62"/>
      <c r="Y610" s="62"/>
      <c r="Z610" s="90"/>
      <c r="AA610" s="90"/>
      <c r="AB610" s="90"/>
      <c r="AC610" s="90"/>
      <c r="AD610" s="90"/>
      <c r="AE610" s="90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ht="15.75" x14ac:dyDescent="0.25">
      <c r="A611" s="62"/>
      <c r="B611" s="90"/>
      <c r="C611" s="90"/>
      <c r="D611" s="90"/>
      <c r="E611" s="90"/>
      <c r="F611" s="90"/>
      <c r="G611" s="90"/>
      <c r="H611" s="62"/>
      <c r="I611" s="90"/>
      <c r="J611" s="73"/>
      <c r="K611" s="62"/>
      <c r="L611" s="62"/>
      <c r="M611" s="62"/>
      <c r="N611" s="90"/>
      <c r="O611" s="90"/>
      <c r="P611" s="90"/>
      <c r="Q611" s="90"/>
      <c r="R611" s="90"/>
      <c r="S611" s="90"/>
      <c r="T611" s="62"/>
      <c r="U611" s="90"/>
      <c r="V611" s="73"/>
      <c r="W611" s="62"/>
      <c r="X611" s="62"/>
      <c r="Y611" s="62"/>
      <c r="Z611" s="90"/>
      <c r="AA611" s="90"/>
      <c r="AB611" s="90"/>
      <c r="AC611" s="90"/>
      <c r="AD611" s="90"/>
      <c r="AE611" s="90"/>
      <c r="AF611" s="62"/>
      <c r="AG611" s="90"/>
      <c r="AH611" s="90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x14ac:dyDescent="0.25">
      <c r="A612" s="64"/>
      <c r="B612" s="90"/>
      <c r="C612" s="90"/>
      <c r="D612" s="90"/>
      <c r="E612" s="90"/>
      <c r="F612" s="90"/>
      <c r="G612" s="90"/>
      <c r="H612" s="62"/>
      <c r="I612" s="65"/>
      <c r="J612" s="65"/>
      <c r="K612" s="62"/>
      <c r="L612" s="62"/>
      <c r="M612" s="64"/>
      <c r="N612" s="90"/>
      <c r="O612" s="90"/>
      <c r="P612" s="90"/>
      <c r="Q612" s="90"/>
      <c r="R612" s="90"/>
      <c r="S612" s="90"/>
      <c r="T612" s="62"/>
      <c r="U612" s="65"/>
      <c r="V612" s="65"/>
      <c r="W612" s="62"/>
      <c r="X612" s="62"/>
      <c r="Y612" s="64"/>
      <c r="Z612" s="90"/>
      <c r="AA612" s="90"/>
      <c r="AB612" s="90"/>
      <c r="AC612" s="90"/>
      <c r="AD612" s="90"/>
      <c r="AE612" s="90"/>
      <c r="AF612" s="62"/>
      <c r="AG612" s="65"/>
      <c r="AH612" s="65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2"/>
      <c r="B613" s="90"/>
      <c r="C613" s="90"/>
      <c r="D613" s="90"/>
      <c r="E613" s="90"/>
      <c r="F613" s="90"/>
      <c r="G613" s="90"/>
      <c r="H613" s="62"/>
      <c r="I613" s="62"/>
      <c r="J613" s="62"/>
      <c r="K613" s="62"/>
      <c r="L613" s="62"/>
      <c r="M613" s="62"/>
      <c r="N613" s="90"/>
      <c r="O613" s="90"/>
      <c r="P613" s="90"/>
      <c r="Q613" s="90"/>
      <c r="R613" s="90"/>
      <c r="S613" s="90"/>
      <c r="T613" s="62"/>
      <c r="U613" s="62"/>
      <c r="V613" s="62"/>
      <c r="W613" s="62"/>
      <c r="X613" s="62"/>
      <c r="Y613" s="62"/>
      <c r="Z613" s="90"/>
      <c r="AA613" s="90"/>
      <c r="AB613" s="90"/>
      <c r="AC613" s="90"/>
      <c r="AD613" s="90"/>
      <c r="AE613" s="90"/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A614" s="62"/>
      <c r="B614" s="65"/>
      <c r="C614" s="90"/>
      <c r="D614" s="113"/>
      <c r="E614" s="113"/>
      <c r="F614" s="90"/>
      <c r="G614" s="90"/>
      <c r="H614" s="62"/>
      <c r="I614" s="113"/>
      <c r="J614" s="113"/>
      <c r="K614" s="109"/>
      <c r="L614" s="62"/>
      <c r="M614" s="62"/>
      <c r="N614" s="65"/>
      <c r="O614" s="90"/>
      <c r="P614" s="113"/>
      <c r="Q614" s="113"/>
      <c r="R614" s="90"/>
      <c r="S614" s="90"/>
      <c r="T614" s="62"/>
      <c r="U614" s="113"/>
      <c r="V614" s="113"/>
      <c r="W614" s="109"/>
      <c r="X614" s="62"/>
      <c r="Y614" s="62"/>
      <c r="Z614" s="65"/>
      <c r="AA614" s="90"/>
      <c r="AB614" s="113"/>
      <c r="AC614" s="113"/>
      <c r="AD614" s="90"/>
      <c r="AE614" s="90"/>
      <c r="AF614" s="62"/>
      <c r="AG614" s="113"/>
      <c r="AH614" s="113"/>
      <c r="AI614" s="109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A615" s="62"/>
      <c r="B615" s="90"/>
      <c r="C615" s="90"/>
      <c r="D615" s="79"/>
      <c r="E615" s="80"/>
      <c r="F615" s="81"/>
      <c r="G615" s="81"/>
      <c r="H615" s="62"/>
      <c r="I615" s="91"/>
      <c r="J615" s="91"/>
      <c r="K615" s="109"/>
      <c r="L615" s="62"/>
      <c r="M615" s="62"/>
      <c r="N615" s="90"/>
      <c r="O615" s="90"/>
      <c r="P615" s="79"/>
      <c r="Q615" s="81"/>
      <c r="R615" s="81"/>
      <c r="S615" s="81"/>
      <c r="T615" s="62"/>
      <c r="U615" s="91"/>
      <c r="V615" s="91"/>
      <c r="W615" s="109"/>
      <c r="X615" s="62"/>
      <c r="Y615" s="62"/>
      <c r="Z615" s="90"/>
      <c r="AA615" s="90"/>
      <c r="AB615" s="79"/>
      <c r="AC615" s="81"/>
      <c r="AD615" s="81"/>
      <c r="AE615" s="81"/>
      <c r="AF615" s="62"/>
      <c r="AG615" s="91"/>
      <c r="AH615" s="91"/>
      <c r="AI615" s="109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66"/>
      <c r="C616" s="84"/>
      <c r="D616" s="60"/>
      <c r="E616" s="60"/>
      <c r="F616" s="60"/>
      <c r="G616" s="60"/>
      <c r="H616" s="61"/>
      <c r="I616" s="61"/>
      <c r="J616" s="61"/>
      <c r="K616" s="61"/>
      <c r="L616" s="62"/>
      <c r="M616" s="62"/>
      <c r="N616" s="66"/>
      <c r="O616" s="90"/>
      <c r="P616" s="60"/>
      <c r="Q616" s="60"/>
      <c r="R616" s="60"/>
      <c r="S616" s="60"/>
      <c r="T616" s="61"/>
      <c r="U616" s="61"/>
      <c r="V616" s="61"/>
      <c r="W616" s="61"/>
      <c r="X616" s="62"/>
      <c r="Y616" s="62"/>
      <c r="Z616" s="66"/>
      <c r="AA616" s="90"/>
      <c r="AB616" s="60"/>
      <c r="AC616" s="60"/>
      <c r="AD616" s="60"/>
      <c r="AE616" s="60"/>
      <c r="AF616" s="61"/>
      <c r="AG616" s="61"/>
      <c r="AH616" s="61"/>
      <c r="AI616" s="61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0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0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0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0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65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0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0"/>
      <c r="AB619" s="60"/>
      <c r="AC619" s="60"/>
      <c r="AD619" s="60"/>
      <c r="AE619" s="60"/>
      <c r="AF619" s="61"/>
      <c r="AG619" s="62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0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0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0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0"/>
      <c r="P621" s="60"/>
      <c r="Q621" s="60"/>
      <c r="R621" s="60"/>
      <c r="S621" s="60"/>
      <c r="T621" s="61"/>
      <c r="U621" s="61"/>
      <c r="V621" s="62"/>
      <c r="W621" s="61"/>
      <c r="X621" s="62"/>
      <c r="Y621" s="62"/>
      <c r="Z621" s="66"/>
      <c r="AA621" s="90"/>
      <c r="AB621" s="60"/>
      <c r="AC621" s="60"/>
      <c r="AD621" s="60"/>
      <c r="AE621" s="60"/>
      <c r="AF621" s="61"/>
      <c r="AG621" s="61"/>
      <c r="AH621" s="62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0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0"/>
      <c r="P622" s="60"/>
      <c r="Q622" s="60"/>
      <c r="R622" s="60"/>
      <c r="S622" s="60"/>
      <c r="T622" s="61"/>
      <c r="U622" s="61"/>
      <c r="V622" s="61"/>
      <c r="W622" s="61"/>
      <c r="X622" s="62"/>
      <c r="Y622" s="62"/>
      <c r="Z622" s="66"/>
      <c r="AA622" s="90"/>
      <c r="AB622" s="60"/>
      <c r="AC622" s="60"/>
      <c r="AD622" s="60"/>
      <c r="AE622" s="60"/>
      <c r="AF622" s="61"/>
      <c r="AG622" s="61"/>
      <c r="AH622" s="61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0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65"/>
      <c r="AB623" s="60"/>
      <c r="AC623" s="60"/>
      <c r="AD623" s="62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0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0"/>
      <c r="AB624" s="60"/>
      <c r="AC624" s="60"/>
      <c r="AD624" s="60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0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0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0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65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62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2"/>
      <c r="K627" s="61"/>
      <c r="L627" s="62"/>
      <c r="M627" s="62"/>
      <c r="N627" s="66"/>
      <c r="O627" s="90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0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1"/>
      <c r="K628" s="61"/>
      <c r="L628" s="62"/>
      <c r="M628" s="62"/>
      <c r="N628" s="66"/>
      <c r="O628" s="90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0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0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0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0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0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0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62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90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65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0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0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0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62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62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0"/>
      <c r="D636" s="60"/>
      <c r="E636" s="60"/>
      <c r="F636" s="60"/>
      <c r="G636" s="60"/>
      <c r="H636" s="62"/>
      <c r="I636" s="62"/>
      <c r="J636" s="62"/>
      <c r="K636" s="61"/>
      <c r="L636" s="62"/>
      <c r="M636" s="62"/>
      <c r="N636" s="66"/>
      <c r="O636" s="90"/>
      <c r="P636" s="67"/>
      <c r="Q636" s="90"/>
      <c r="R636" s="90"/>
      <c r="S636" s="60"/>
      <c r="T636" s="62"/>
      <c r="U636" s="62"/>
      <c r="V636" s="62"/>
      <c r="W636" s="61"/>
      <c r="X636" s="62"/>
      <c r="Y636" s="62"/>
      <c r="Z636" s="66"/>
      <c r="AA636" s="90"/>
      <c r="AB636" s="67"/>
      <c r="AC636" s="90"/>
      <c r="AD636" s="90"/>
      <c r="AE636" s="60"/>
      <c r="AF636" s="62"/>
      <c r="AG636" s="62"/>
      <c r="AH636" s="62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0"/>
      <c r="P637" s="68"/>
      <c r="Q637" s="90"/>
      <c r="R637" s="90"/>
      <c r="S637" s="60"/>
      <c r="T637" s="62"/>
      <c r="U637" s="62"/>
      <c r="V637" s="62"/>
      <c r="W637" s="61"/>
      <c r="X637" s="62"/>
      <c r="Y637" s="62"/>
      <c r="Z637" s="66"/>
      <c r="AA637" s="90"/>
      <c r="AB637" s="68"/>
      <c r="AC637" s="90"/>
      <c r="AD637" s="90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1"/>
      <c r="K638" s="61"/>
      <c r="L638" s="62"/>
      <c r="M638" s="62"/>
      <c r="N638" s="66"/>
      <c r="O638" s="90"/>
      <c r="P638" s="69"/>
      <c r="Q638" s="62"/>
      <c r="R638" s="62"/>
      <c r="S638" s="60"/>
      <c r="T638" s="62"/>
      <c r="U638" s="62"/>
      <c r="V638" s="62"/>
      <c r="W638" s="61"/>
      <c r="X638" s="62"/>
      <c r="Y638" s="62"/>
      <c r="Z638" s="66"/>
      <c r="AA638" s="90"/>
      <c r="AB638" s="69"/>
      <c r="AC638" s="90"/>
      <c r="AD638" s="62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2"/>
      <c r="K639" s="61"/>
      <c r="L639" s="62"/>
      <c r="M639" s="62"/>
      <c r="N639" s="66"/>
      <c r="O639" s="90"/>
      <c r="P639" s="69"/>
      <c r="Q639" s="90"/>
      <c r="R639" s="90"/>
      <c r="S639" s="60"/>
      <c r="T639" s="62"/>
      <c r="U639" s="62"/>
      <c r="V639" s="62"/>
      <c r="W639" s="61"/>
      <c r="X639" s="62"/>
      <c r="Y639" s="62"/>
      <c r="Z639" s="66"/>
      <c r="AA639" s="90"/>
      <c r="AB639" s="69"/>
      <c r="AC639" s="90"/>
      <c r="AD639" s="90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90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0"/>
      <c r="P640" s="69"/>
      <c r="Q640" s="90"/>
      <c r="R640" s="90"/>
      <c r="S640" s="60"/>
      <c r="T640" s="62"/>
      <c r="U640" s="62"/>
      <c r="V640" s="62"/>
      <c r="W640" s="61"/>
      <c r="X640" s="62"/>
      <c r="Y640" s="62"/>
      <c r="Z640" s="66"/>
      <c r="AA640" s="90"/>
      <c r="AB640" s="69"/>
      <c r="AC640" s="90"/>
      <c r="AD640" s="90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0"/>
      <c r="P641" s="69"/>
      <c r="Q641" s="90"/>
      <c r="R641" s="90"/>
      <c r="S641" s="60"/>
      <c r="T641" s="62"/>
      <c r="U641" s="62"/>
      <c r="V641" s="62"/>
      <c r="W641" s="61"/>
      <c r="X641" s="62"/>
      <c r="Y641" s="62"/>
      <c r="Z641" s="66"/>
      <c r="AA641" s="90"/>
      <c r="AB641" s="69"/>
      <c r="AC641" s="90"/>
      <c r="AD641" s="90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0"/>
      <c r="P642" s="69"/>
      <c r="Q642" s="90"/>
      <c r="R642" s="90"/>
      <c r="S642" s="60"/>
      <c r="T642" s="62"/>
      <c r="U642" s="62"/>
      <c r="V642" s="62"/>
      <c r="W642" s="61"/>
      <c r="X642" s="62"/>
      <c r="Y642" s="62"/>
      <c r="Z642" s="66"/>
      <c r="AA642" s="90"/>
      <c r="AB642" s="69"/>
      <c r="AC642" s="90"/>
      <c r="AD642" s="90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0"/>
      <c r="P643" s="69"/>
      <c r="Q643" s="90"/>
      <c r="R643" s="90"/>
      <c r="S643" s="60"/>
      <c r="T643" s="62"/>
      <c r="U643" s="62"/>
      <c r="V643" s="62"/>
      <c r="W643" s="61"/>
      <c r="X643" s="62"/>
      <c r="Y643" s="62"/>
      <c r="Z643" s="66"/>
      <c r="AA643" s="90"/>
      <c r="AB643" s="69"/>
      <c r="AC643" s="90"/>
      <c r="AD643" s="90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0"/>
      <c r="P644" s="69"/>
      <c r="Q644" s="90"/>
      <c r="R644" s="90"/>
      <c r="S644" s="60"/>
      <c r="T644" s="62"/>
      <c r="U644" s="62"/>
      <c r="V644" s="62"/>
      <c r="W644" s="61"/>
      <c r="X644" s="62"/>
      <c r="Y644" s="62"/>
      <c r="Z644" s="66"/>
      <c r="AA644" s="90"/>
      <c r="AB644" s="69"/>
      <c r="AC644" s="90"/>
      <c r="AD644" s="90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0"/>
      <c r="P645" s="69"/>
      <c r="Q645" s="90"/>
      <c r="R645" s="90"/>
      <c r="S645" s="60"/>
      <c r="T645" s="62"/>
      <c r="U645" s="62"/>
      <c r="V645" s="62"/>
      <c r="W645" s="61"/>
      <c r="X645" s="62"/>
      <c r="Y645" s="62"/>
      <c r="Z645" s="66"/>
      <c r="AA645" s="90"/>
      <c r="AB645" s="69"/>
      <c r="AC645" s="90"/>
      <c r="AD645" s="90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0"/>
      <c r="P646" s="69"/>
      <c r="Q646" s="90"/>
      <c r="R646" s="90"/>
      <c r="S646" s="60"/>
      <c r="T646" s="62"/>
      <c r="U646" s="62"/>
      <c r="V646" s="62"/>
      <c r="W646" s="61"/>
      <c r="X646" s="62"/>
      <c r="Y646" s="62"/>
      <c r="Z646" s="66"/>
      <c r="AA646" s="90"/>
      <c r="AB646" s="69"/>
      <c r="AC646" s="90"/>
      <c r="AD646" s="90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0"/>
      <c r="P647" s="69"/>
      <c r="Q647" s="90"/>
      <c r="R647" s="90"/>
      <c r="S647" s="60"/>
      <c r="T647" s="62"/>
      <c r="U647" s="62"/>
      <c r="V647" s="62"/>
      <c r="W647" s="61"/>
      <c r="X647" s="62"/>
      <c r="Y647" s="62"/>
      <c r="Z647" s="66"/>
      <c r="AA647" s="90"/>
      <c r="AB647" s="69"/>
      <c r="AC647" s="90"/>
      <c r="AD647" s="90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0"/>
      <c r="P648" s="69"/>
      <c r="Q648" s="90"/>
      <c r="R648" s="90"/>
      <c r="S648" s="60"/>
      <c r="T648" s="62"/>
      <c r="U648" s="62"/>
      <c r="V648" s="62"/>
      <c r="W648" s="61"/>
      <c r="X648" s="62"/>
      <c r="Y648" s="62"/>
      <c r="Z648" s="66"/>
      <c r="AA648" s="90"/>
      <c r="AB648" s="69"/>
      <c r="AC648" s="90"/>
      <c r="AD648" s="90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0"/>
      <c r="P649" s="69"/>
      <c r="Q649" s="90"/>
      <c r="R649" s="90"/>
      <c r="S649" s="60"/>
      <c r="T649" s="62"/>
      <c r="U649" s="62"/>
      <c r="V649" s="62"/>
      <c r="W649" s="61"/>
      <c r="X649" s="62"/>
      <c r="Y649" s="62"/>
      <c r="Z649" s="66"/>
      <c r="AA649" s="90"/>
      <c r="AB649" s="69"/>
      <c r="AC649" s="90"/>
      <c r="AD649" s="90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0"/>
      <c r="P650" s="69"/>
      <c r="Q650" s="90"/>
      <c r="R650" s="90"/>
      <c r="S650" s="60"/>
      <c r="T650" s="62"/>
      <c r="U650" s="62"/>
      <c r="V650" s="62"/>
      <c r="W650" s="61"/>
      <c r="X650" s="62"/>
      <c r="Y650" s="62"/>
      <c r="Z650" s="66"/>
      <c r="AA650" s="90"/>
      <c r="AB650" s="69"/>
      <c r="AC650" s="90"/>
      <c r="AD650" s="90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0"/>
      <c r="P651" s="69"/>
      <c r="Q651" s="90"/>
      <c r="R651" s="90"/>
      <c r="S651" s="60"/>
      <c r="T651" s="62"/>
      <c r="U651" s="62"/>
      <c r="V651" s="62"/>
      <c r="W651" s="61"/>
      <c r="X651" s="62"/>
      <c r="Y651" s="62"/>
      <c r="Z651" s="66"/>
      <c r="AA651" s="90"/>
      <c r="AB651" s="69"/>
      <c r="AC651" s="90"/>
      <c r="AD651" s="90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0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62"/>
      <c r="P652" s="69"/>
      <c r="Q652" s="90"/>
      <c r="R652" s="90"/>
      <c r="S652" s="60"/>
      <c r="T652" s="62"/>
      <c r="U652" s="62"/>
      <c r="V652" s="62"/>
      <c r="W652" s="61"/>
      <c r="X652" s="62"/>
      <c r="Y652" s="62"/>
      <c r="Z652" s="66"/>
      <c r="AA652" s="90"/>
      <c r="AB652" s="69"/>
      <c r="AC652" s="90"/>
      <c r="AD652" s="90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0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0"/>
      <c r="P653" s="69"/>
      <c r="Q653" s="90"/>
      <c r="R653" s="90"/>
      <c r="S653" s="60"/>
      <c r="T653" s="62"/>
      <c r="U653" s="62"/>
      <c r="V653" s="62"/>
      <c r="W653" s="61"/>
      <c r="X653" s="62"/>
      <c r="Y653" s="62"/>
      <c r="Z653" s="66"/>
      <c r="AA653" s="90"/>
      <c r="AB653" s="69"/>
      <c r="AC653" s="90"/>
      <c r="AD653" s="90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0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0"/>
      <c r="P654" s="69"/>
      <c r="Q654" s="90"/>
      <c r="R654" s="90"/>
      <c r="S654" s="60"/>
      <c r="T654" s="62"/>
      <c r="U654" s="62"/>
      <c r="V654" s="62"/>
      <c r="W654" s="61"/>
      <c r="X654" s="62"/>
      <c r="Y654" s="62"/>
      <c r="Z654" s="66"/>
      <c r="AA654" s="90"/>
      <c r="AB654" s="69"/>
      <c r="AC654" s="90"/>
      <c r="AD654" s="90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0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62"/>
      <c r="P655" s="69"/>
      <c r="Q655" s="90"/>
      <c r="R655" s="90"/>
      <c r="S655" s="60"/>
      <c r="T655" s="62"/>
      <c r="U655" s="62"/>
      <c r="V655" s="62"/>
      <c r="W655" s="61"/>
      <c r="X655" s="62"/>
      <c r="Y655" s="62"/>
      <c r="Z655" s="66"/>
      <c r="AA655" s="62"/>
      <c r="AB655" s="69"/>
      <c r="AC655" s="90"/>
      <c r="AD655" s="90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0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90"/>
      <c r="P656" s="69"/>
      <c r="Q656" s="90"/>
      <c r="R656" s="90"/>
      <c r="S656" s="60"/>
      <c r="T656" s="62"/>
      <c r="U656" s="62"/>
      <c r="V656" s="62"/>
      <c r="W656" s="61"/>
      <c r="X656" s="62"/>
      <c r="Y656" s="62"/>
      <c r="Z656" s="66"/>
      <c r="AA656" s="90"/>
      <c r="AB656" s="69"/>
      <c r="AC656" s="90"/>
      <c r="AD656" s="90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66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90"/>
      <c r="O657" s="90"/>
      <c r="P657" s="90"/>
      <c r="Q657" s="90"/>
      <c r="R657" s="90"/>
      <c r="S657" s="90"/>
      <c r="T657" s="62"/>
      <c r="U657" s="62"/>
      <c r="V657" s="62"/>
      <c r="W657" s="61"/>
      <c r="X657" s="62"/>
      <c r="Y657" s="62"/>
      <c r="Z657" s="90"/>
      <c r="AA657" s="90"/>
      <c r="AB657" s="90"/>
      <c r="AC657" s="90"/>
      <c r="AD657" s="90"/>
      <c r="AE657" s="9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90"/>
      <c r="C658" s="90"/>
      <c r="D658" s="90"/>
      <c r="E658" s="90"/>
      <c r="F658" s="90"/>
      <c r="G658" s="90"/>
      <c r="H658" s="62"/>
      <c r="I658" s="62"/>
      <c r="J658" s="62"/>
      <c r="K658" s="62"/>
      <c r="L658" s="62"/>
      <c r="M658" s="62"/>
      <c r="N658" s="90"/>
      <c r="O658" s="90"/>
      <c r="P658" s="90"/>
      <c r="Q658" s="90"/>
      <c r="R658" s="90"/>
      <c r="S658" s="90"/>
      <c r="T658" s="62"/>
      <c r="U658" s="62"/>
      <c r="V658" s="62"/>
      <c r="W658" s="62"/>
      <c r="X658" s="62"/>
      <c r="Y658" s="62"/>
      <c r="Z658" s="90"/>
      <c r="AA658" s="90"/>
      <c r="AB658" s="90"/>
      <c r="AC658" s="90"/>
      <c r="AD658" s="90"/>
      <c r="AE658" s="90"/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0"/>
      <c r="C659" s="90"/>
      <c r="D659" s="70"/>
      <c r="E659" s="70"/>
      <c r="F659" s="70"/>
      <c r="G659" s="70"/>
      <c r="H659" s="63"/>
      <c r="I659" s="70"/>
      <c r="J659" s="70"/>
      <c r="K659" s="70"/>
      <c r="L659" s="62"/>
      <c r="M659" s="62"/>
      <c r="N659" s="90"/>
      <c r="O659" s="90"/>
      <c r="P659" s="70"/>
      <c r="Q659" s="70"/>
      <c r="R659" s="70"/>
      <c r="S659" s="70"/>
      <c r="T659" s="63"/>
      <c r="U659" s="71"/>
      <c r="V659" s="71"/>
      <c r="W659" s="71"/>
      <c r="X659" s="62"/>
      <c r="Y659" s="62"/>
      <c r="Z659" s="90"/>
      <c r="AA659" s="90"/>
      <c r="AB659" s="70"/>
      <c r="AC659" s="70"/>
      <c r="AD659" s="70"/>
      <c r="AE659" s="70"/>
      <c r="AF659" s="63"/>
      <c r="AG659" s="71"/>
      <c r="AH659" s="71"/>
      <c r="AI659" s="71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90"/>
      <c r="C661" s="90"/>
      <c r="D661" s="90"/>
      <c r="E661" s="90"/>
      <c r="F661" s="90"/>
      <c r="G661" s="90"/>
      <c r="H661" s="62"/>
      <c r="I661" s="62"/>
      <c r="J661" s="62"/>
      <c r="K661" s="62"/>
      <c r="L661" s="62"/>
      <c r="M661" s="62"/>
      <c r="N661" s="90"/>
      <c r="O661" s="90"/>
      <c r="P661" s="90"/>
      <c r="Q661" s="90"/>
      <c r="R661" s="90"/>
      <c r="S661" s="90"/>
      <c r="T661" s="62"/>
      <c r="U661" s="62"/>
      <c r="V661" s="62"/>
      <c r="W661" s="62"/>
      <c r="X661" s="62"/>
      <c r="Y661" s="62"/>
      <c r="Z661" s="90"/>
      <c r="AA661" s="90"/>
      <c r="AB661" s="90"/>
      <c r="AC661" s="90"/>
      <c r="AD661" s="90"/>
      <c r="AE661" s="90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0"/>
      <c r="C662" s="90"/>
      <c r="D662" s="90"/>
      <c r="E662" s="90"/>
      <c r="F662" s="90"/>
      <c r="G662" s="90"/>
      <c r="H662" s="62"/>
      <c r="I662" s="62"/>
      <c r="J662" s="62"/>
      <c r="K662" s="62"/>
      <c r="L662" s="62"/>
      <c r="M662" s="62"/>
      <c r="N662" s="90"/>
      <c r="O662" s="90"/>
      <c r="P662" s="90"/>
      <c r="Q662" s="90"/>
      <c r="R662" s="90"/>
      <c r="S662" s="90"/>
      <c r="T662" s="62"/>
      <c r="U662" s="62"/>
      <c r="V662" s="62"/>
      <c r="W662" s="62"/>
      <c r="X662" s="62"/>
      <c r="Y662" s="62"/>
      <c r="Z662" s="90"/>
      <c r="AA662" s="90"/>
      <c r="AB662" s="90"/>
      <c r="AC662" s="90"/>
      <c r="AD662" s="90"/>
      <c r="AE662" s="90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0"/>
      <c r="C663" s="90"/>
      <c r="D663" s="90"/>
      <c r="E663" s="90"/>
      <c r="F663" s="90"/>
      <c r="G663" s="90"/>
      <c r="H663" s="62"/>
      <c r="I663" s="62"/>
      <c r="J663" s="62"/>
      <c r="K663" s="62"/>
      <c r="L663" s="62"/>
      <c r="M663" s="62"/>
      <c r="N663" s="90"/>
      <c r="O663" s="90"/>
      <c r="P663" s="90"/>
      <c r="Q663" s="90"/>
      <c r="R663" s="90"/>
      <c r="S663" s="90"/>
      <c r="T663" s="62"/>
      <c r="U663" s="62"/>
      <c r="V663" s="62"/>
      <c r="W663" s="62"/>
      <c r="X663" s="62"/>
      <c r="Y663" s="62"/>
      <c r="Z663" s="90"/>
      <c r="AA663" s="90"/>
      <c r="AB663" s="90"/>
      <c r="AC663" s="90"/>
      <c r="AD663" s="90"/>
      <c r="AE663" s="90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3"/>
      <c r="B664" s="90"/>
      <c r="C664" s="90"/>
      <c r="D664" s="90"/>
      <c r="E664" s="90"/>
      <c r="F664" s="90"/>
      <c r="G664" s="90"/>
      <c r="H664" s="62"/>
      <c r="I664" s="62"/>
      <c r="J664" s="62"/>
      <c r="K664" s="62"/>
      <c r="L664" s="62"/>
      <c r="M664" s="63"/>
      <c r="N664" s="90"/>
      <c r="O664" s="90"/>
      <c r="P664" s="90"/>
      <c r="Q664" s="90"/>
      <c r="R664" s="90"/>
      <c r="S664" s="90"/>
      <c r="T664" s="62"/>
      <c r="U664" s="62"/>
      <c r="V664" s="62"/>
      <c r="W664" s="62"/>
      <c r="X664" s="62"/>
      <c r="Y664" s="63"/>
      <c r="Z664" s="90"/>
      <c r="AA664" s="90"/>
      <c r="AB664" s="90"/>
      <c r="AC664" s="90"/>
      <c r="AD664" s="90"/>
      <c r="AE664" s="90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2"/>
      <c r="B665" s="90"/>
      <c r="C665" s="90"/>
      <c r="D665" s="90"/>
      <c r="E665" s="90"/>
      <c r="F665" s="90"/>
      <c r="G665" s="90"/>
      <c r="H665" s="62"/>
      <c r="I665" s="62"/>
      <c r="J665" s="62"/>
      <c r="K665" s="62"/>
      <c r="L665" s="62"/>
      <c r="M665" s="62"/>
      <c r="N665" s="90"/>
      <c r="O665" s="90"/>
      <c r="P665" s="90"/>
      <c r="Q665" s="90"/>
      <c r="R665" s="90"/>
      <c r="S665" s="90"/>
      <c r="T665" s="62"/>
      <c r="U665" s="62"/>
      <c r="V665" s="62"/>
      <c r="W665" s="62"/>
      <c r="X665" s="62"/>
      <c r="Y665" s="62"/>
      <c r="Z665" s="90"/>
      <c r="AA665" s="90"/>
      <c r="AB665" s="90"/>
      <c r="AC665" s="90"/>
      <c r="AD665" s="90"/>
      <c r="AE665" s="90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ht="15.75" x14ac:dyDescent="0.25">
      <c r="A666" s="62"/>
      <c r="B666" s="90"/>
      <c r="C666" s="90"/>
      <c r="D666" s="90"/>
      <c r="E666" s="90"/>
      <c r="F666" s="90"/>
      <c r="G666" s="90"/>
      <c r="H666" s="62"/>
      <c r="I666" s="90"/>
      <c r="J666" s="73"/>
      <c r="K666" s="62"/>
      <c r="L666" s="62"/>
      <c r="M666" s="62"/>
      <c r="N666" s="90"/>
      <c r="O666" s="90"/>
      <c r="P666" s="90"/>
      <c r="Q666" s="90"/>
      <c r="R666" s="90"/>
      <c r="S666" s="90"/>
      <c r="T666" s="62"/>
      <c r="U666" s="90"/>
      <c r="V666" s="73"/>
      <c r="W666" s="62"/>
      <c r="X666" s="62"/>
      <c r="Y666" s="62"/>
      <c r="Z666" s="90"/>
      <c r="AA666" s="90"/>
      <c r="AB666" s="90"/>
      <c r="AC666" s="90"/>
      <c r="AD666" s="90"/>
      <c r="AE666" s="90"/>
      <c r="AF666" s="62"/>
      <c r="AG666" s="90"/>
      <c r="AH666" s="90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x14ac:dyDescent="0.25">
      <c r="A667" s="64"/>
      <c r="B667" s="90"/>
      <c r="C667" s="90"/>
      <c r="D667" s="90"/>
      <c r="E667" s="90"/>
      <c r="F667" s="90"/>
      <c r="G667" s="90"/>
      <c r="H667" s="62"/>
      <c r="I667" s="65"/>
      <c r="J667" s="65"/>
      <c r="K667" s="62"/>
      <c r="L667" s="62"/>
      <c r="M667" s="64"/>
      <c r="N667" s="90"/>
      <c r="O667" s="90"/>
      <c r="P667" s="90"/>
      <c r="Q667" s="90"/>
      <c r="R667" s="90"/>
      <c r="S667" s="90"/>
      <c r="T667" s="62"/>
      <c r="U667" s="65"/>
      <c r="V667" s="65"/>
      <c r="W667" s="62"/>
      <c r="X667" s="62"/>
      <c r="Y667" s="64"/>
      <c r="Z667" s="90"/>
      <c r="AA667" s="90"/>
      <c r="AB667" s="90"/>
      <c r="AC667" s="90"/>
      <c r="AD667" s="90"/>
      <c r="AE667" s="90"/>
      <c r="AF667" s="62"/>
      <c r="AG667" s="65"/>
      <c r="AH667" s="65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2"/>
      <c r="B668" s="90"/>
      <c r="C668" s="90"/>
      <c r="D668" s="90"/>
      <c r="E668" s="90"/>
      <c r="F668" s="90"/>
      <c r="G668" s="90"/>
      <c r="H668" s="62"/>
      <c r="I668" s="62"/>
      <c r="J668" s="62"/>
      <c r="K668" s="62"/>
      <c r="L668" s="62"/>
      <c r="M668" s="62"/>
      <c r="N668" s="90"/>
      <c r="O668" s="90"/>
      <c r="P668" s="90"/>
      <c r="Q668" s="90"/>
      <c r="R668" s="90"/>
      <c r="S668" s="90"/>
      <c r="T668" s="62"/>
      <c r="U668" s="62"/>
      <c r="V668" s="62"/>
      <c r="W668" s="62"/>
      <c r="X668" s="62"/>
      <c r="Y668" s="62"/>
      <c r="Z668" s="90"/>
      <c r="AA668" s="90"/>
      <c r="AB668" s="90"/>
      <c r="AC668" s="90"/>
      <c r="AD668" s="90"/>
      <c r="AE668" s="90"/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65"/>
      <c r="C669" s="90"/>
      <c r="D669" s="113"/>
      <c r="E669" s="113"/>
      <c r="F669" s="90"/>
      <c r="G669" s="90"/>
      <c r="H669" s="62"/>
      <c r="I669" s="113"/>
      <c r="J669" s="113"/>
      <c r="K669" s="109"/>
      <c r="L669" s="62"/>
      <c r="M669" s="62"/>
      <c r="N669" s="65"/>
      <c r="O669" s="90"/>
      <c r="P669" s="113"/>
      <c r="Q669" s="113"/>
      <c r="R669" s="90"/>
      <c r="S669" s="90"/>
      <c r="T669" s="62"/>
      <c r="U669" s="113"/>
      <c r="V669" s="113"/>
      <c r="W669" s="109"/>
      <c r="X669" s="62"/>
      <c r="Y669" s="62"/>
      <c r="Z669" s="65"/>
      <c r="AA669" s="90"/>
      <c r="AB669" s="113"/>
      <c r="AC669" s="113"/>
      <c r="AD669" s="90"/>
      <c r="AE669" s="90"/>
      <c r="AF669" s="62"/>
      <c r="AG669" s="113"/>
      <c r="AH669" s="113"/>
      <c r="AI669" s="109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90"/>
      <c r="C670" s="90"/>
      <c r="D670" s="79"/>
      <c r="E670" s="80"/>
      <c r="F670" s="81"/>
      <c r="G670" s="81"/>
      <c r="H670" s="62"/>
      <c r="I670" s="91"/>
      <c r="J670" s="91"/>
      <c r="K670" s="109"/>
      <c r="L670" s="62"/>
      <c r="M670" s="62"/>
      <c r="N670" s="90"/>
      <c r="O670" s="90"/>
      <c r="P670" s="79"/>
      <c r="Q670" s="81"/>
      <c r="R670" s="81"/>
      <c r="S670" s="81"/>
      <c r="T670" s="62"/>
      <c r="U670" s="91"/>
      <c r="V670" s="91"/>
      <c r="W670" s="109"/>
      <c r="X670" s="62"/>
      <c r="Y670" s="62"/>
      <c r="Z670" s="90"/>
      <c r="AA670" s="90"/>
      <c r="AB670" s="79"/>
      <c r="AC670" s="81"/>
      <c r="AD670" s="81"/>
      <c r="AE670" s="81"/>
      <c r="AF670" s="62"/>
      <c r="AG670" s="91"/>
      <c r="AH670" s="91"/>
      <c r="AI670" s="109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66"/>
      <c r="C671" s="84"/>
      <c r="D671" s="60"/>
      <c r="E671" s="60"/>
      <c r="F671" s="60"/>
      <c r="G671" s="60"/>
      <c r="H671" s="61"/>
      <c r="I671" s="61"/>
      <c r="J671" s="61"/>
      <c r="K671" s="61"/>
      <c r="L671" s="62"/>
      <c r="M671" s="62"/>
      <c r="N671" s="66"/>
      <c r="O671" s="90"/>
      <c r="P671" s="60"/>
      <c r="Q671" s="60"/>
      <c r="R671" s="60"/>
      <c r="S671" s="60"/>
      <c r="T671" s="61"/>
      <c r="U671" s="61"/>
      <c r="V671" s="61"/>
      <c r="W671" s="61"/>
      <c r="X671" s="62"/>
      <c r="Y671" s="62"/>
      <c r="Z671" s="66"/>
      <c r="AA671" s="90"/>
      <c r="AB671" s="60"/>
      <c r="AC671" s="60"/>
      <c r="AD671" s="60"/>
      <c r="AE671" s="60"/>
      <c r="AF671" s="61"/>
      <c r="AG671" s="61"/>
      <c r="AH671" s="61"/>
      <c r="AI671" s="61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0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0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0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0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65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0"/>
      <c r="AB674" s="60"/>
      <c r="AC674" s="60"/>
      <c r="AD674" s="60"/>
      <c r="AE674" s="60"/>
      <c r="AF674" s="61"/>
      <c r="AG674" s="62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0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0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0"/>
      <c r="P676" s="60"/>
      <c r="Q676" s="60"/>
      <c r="R676" s="60"/>
      <c r="S676" s="60"/>
      <c r="T676" s="61"/>
      <c r="U676" s="61"/>
      <c r="V676" s="62"/>
      <c r="W676" s="61"/>
      <c r="X676" s="62"/>
      <c r="Y676" s="62"/>
      <c r="Z676" s="66"/>
      <c r="AA676" s="90"/>
      <c r="AB676" s="60"/>
      <c r="AC676" s="60"/>
      <c r="AD676" s="60"/>
      <c r="AE676" s="60"/>
      <c r="AF676" s="61"/>
      <c r="AG676" s="61"/>
      <c r="AH676" s="62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0"/>
      <c r="P677" s="60"/>
      <c r="Q677" s="60"/>
      <c r="R677" s="60"/>
      <c r="S677" s="60"/>
      <c r="T677" s="61"/>
      <c r="U677" s="61"/>
      <c r="V677" s="61"/>
      <c r="W677" s="61"/>
      <c r="X677" s="62"/>
      <c r="Y677" s="62"/>
      <c r="Z677" s="66"/>
      <c r="AA677" s="90"/>
      <c r="AB677" s="60"/>
      <c r="AC677" s="60"/>
      <c r="AD677" s="60"/>
      <c r="AE677" s="60"/>
      <c r="AF677" s="61"/>
      <c r="AG677" s="61"/>
      <c r="AH677" s="61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0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0"/>
      <c r="AB678" s="60"/>
      <c r="AC678" s="60"/>
      <c r="AD678" s="62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0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65"/>
      <c r="AB679" s="60"/>
      <c r="AC679" s="60"/>
      <c r="AD679" s="60"/>
      <c r="AE679" s="60"/>
      <c r="AF679" s="61"/>
      <c r="AG679" s="62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0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2"/>
      <c r="AB680" s="60"/>
      <c r="AC680" s="60"/>
      <c r="AD680" s="60"/>
      <c r="AE680" s="60"/>
      <c r="AF680" s="61"/>
      <c r="AG680" s="61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65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62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0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2"/>
      <c r="K682" s="61"/>
      <c r="L682" s="62"/>
      <c r="M682" s="62"/>
      <c r="N682" s="66"/>
      <c r="O682" s="90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0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1"/>
      <c r="K683" s="61"/>
      <c r="L683" s="62"/>
      <c r="M683" s="62"/>
      <c r="N683" s="66"/>
      <c r="O683" s="90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0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0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0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0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0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0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0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2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62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90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65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0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0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0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62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62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2"/>
      <c r="I691" s="62"/>
      <c r="J691" s="62"/>
      <c r="K691" s="61"/>
      <c r="L691" s="62"/>
      <c r="M691" s="62"/>
      <c r="N691" s="66"/>
      <c r="O691" s="90"/>
      <c r="P691" s="67"/>
      <c r="Q691" s="90"/>
      <c r="R691" s="90"/>
      <c r="S691" s="60"/>
      <c r="T691" s="62"/>
      <c r="U691" s="62"/>
      <c r="V691" s="62"/>
      <c r="W691" s="61"/>
      <c r="X691" s="62"/>
      <c r="Y691" s="62"/>
      <c r="Z691" s="66"/>
      <c r="AA691" s="90"/>
      <c r="AB691" s="67"/>
      <c r="AC691" s="90"/>
      <c r="AD691" s="90"/>
      <c r="AE691" s="60"/>
      <c r="AF691" s="62"/>
      <c r="AG691" s="62"/>
      <c r="AH691" s="62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0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0"/>
      <c r="P692" s="68"/>
      <c r="Q692" s="90"/>
      <c r="R692" s="90"/>
      <c r="S692" s="60"/>
      <c r="T692" s="62"/>
      <c r="U692" s="62"/>
      <c r="V692" s="62"/>
      <c r="W692" s="61"/>
      <c r="X692" s="62"/>
      <c r="Y692" s="62"/>
      <c r="Z692" s="66"/>
      <c r="AA692" s="90"/>
      <c r="AB692" s="68"/>
      <c r="AC692" s="90"/>
      <c r="AD692" s="90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1"/>
      <c r="K693" s="61"/>
      <c r="L693" s="62"/>
      <c r="M693" s="62"/>
      <c r="N693" s="66"/>
      <c r="O693" s="90"/>
      <c r="P693" s="69"/>
      <c r="Q693" s="68"/>
      <c r="R693" s="62"/>
      <c r="S693" s="60"/>
      <c r="T693" s="62"/>
      <c r="U693" s="62"/>
      <c r="V693" s="62"/>
      <c r="W693" s="61"/>
      <c r="X693" s="62"/>
      <c r="Y693" s="62"/>
      <c r="Z693" s="66"/>
      <c r="AA693" s="90"/>
      <c r="AB693" s="69"/>
      <c r="AC693" s="90"/>
      <c r="AD693" s="62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2"/>
      <c r="K694" s="61"/>
      <c r="L694" s="62"/>
      <c r="M694" s="62"/>
      <c r="N694" s="66"/>
      <c r="O694" s="90"/>
      <c r="P694" s="69"/>
      <c r="Q694" s="90"/>
      <c r="R694" s="90"/>
      <c r="S694" s="60"/>
      <c r="T694" s="62"/>
      <c r="U694" s="62"/>
      <c r="V694" s="62"/>
      <c r="W694" s="61"/>
      <c r="X694" s="62"/>
      <c r="Y694" s="62"/>
      <c r="Z694" s="66"/>
      <c r="AA694" s="90"/>
      <c r="AB694" s="69"/>
      <c r="AC694" s="90"/>
      <c r="AD694" s="90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0"/>
      <c r="P695" s="69"/>
      <c r="Q695" s="90"/>
      <c r="R695" s="90"/>
      <c r="S695" s="60"/>
      <c r="T695" s="62"/>
      <c r="U695" s="62"/>
      <c r="V695" s="62"/>
      <c r="W695" s="61"/>
      <c r="X695" s="62"/>
      <c r="Y695" s="62"/>
      <c r="Z695" s="66"/>
      <c r="AA695" s="90"/>
      <c r="AB695" s="69"/>
      <c r="AC695" s="90"/>
      <c r="AD695" s="90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0"/>
      <c r="P696" s="69"/>
      <c r="Q696" s="90"/>
      <c r="R696" s="90"/>
      <c r="S696" s="60"/>
      <c r="T696" s="62"/>
      <c r="U696" s="62"/>
      <c r="V696" s="62"/>
      <c r="W696" s="61"/>
      <c r="X696" s="62"/>
      <c r="Y696" s="62"/>
      <c r="Z696" s="66"/>
      <c r="AA696" s="90"/>
      <c r="AB696" s="69"/>
      <c r="AC696" s="90"/>
      <c r="AD696" s="90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0"/>
      <c r="P697" s="69"/>
      <c r="Q697" s="90"/>
      <c r="R697" s="90"/>
      <c r="S697" s="60"/>
      <c r="T697" s="62"/>
      <c r="U697" s="62"/>
      <c r="V697" s="62"/>
      <c r="W697" s="61"/>
      <c r="X697" s="62"/>
      <c r="Y697" s="62"/>
      <c r="Z697" s="66"/>
      <c r="AA697" s="90"/>
      <c r="AB697" s="69"/>
      <c r="AC697" s="90"/>
      <c r="AD697" s="90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0"/>
      <c r="P698" s="69"/>
      <c r="Q698" s="90"/>
      <c r="R698" s="90"/>
      <c r="S698" s="60"/>
      <c r="T698" s="62"/>
      <c r="U698" s="62"/>
      <c r="V698" s="62"/>
      <c r="W698" s="61"/>
      <c r="X698" s="62"/>
      <c r="Y698" s="62"/>
      <c r="Z698" s="66"/>
      <c r="AA698" s="90"/>
      <c r="AB698" s="69"/>
      <c r="AC698" s="90"/>
      <c r="AD698" s="90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0"/>
      <c r="P699" s="69"/>
      <c r="Q699" s="90"/>
      <c r="R699" s="90"/>
      <c r="S699" s="60"/>
      <c r="T699" s="62"/>
      <c r="U699" s="62"/>
      <c r="V699" s="62"/>
      <c r="W699" s="61"/>
      <c r="X699" s="62"/>
      <c r="Y699" s="62"/>
      <c r="Z699" s="66"/>
      <c r="AA699" s="90"/>
      <c r="AB699" s="69"/>
      <c r="AC699" s="90"/>
      <c r="AD699" s="90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0"/>
      <c r="P700" s="69"/>
      <c r="Q700" s="90"/>
      <c r="R700" s="90"/>
      <c r="S700" s="60"/>
      <c r="T700" s="62"/>
      <c r="U700" s="62"/>
      <c r="V700" s="62"/>
      <c r="W700" s="61"/>
      <c r="X700" s="62"/>
      <c r="Y700" s="62"/>
      <c r="Z700" s="66"/>
      <c r="AA700" s="90"/>
      <c r="AB700" s="69"/>
      <c r="AC700" s="90"/>
      <c r="AD700" s="90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65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0"/>
      <c r="P701" s="69"/>
      <c r="Q701" s="90"/>
      <c r="R701" s="90"/>
      <c r="S701" s="60"/>
      <c r="T701" s="62"/>
      <c r="U701" s="62"/>
      <c r="V701" s="62"/>
      <c r="W701" s="61"/>
      <c r="X701" s="62"/>
      <c r="Y701" s="62"/>
      <c r="Z701" s="66"/>
      <c r="AA701" s="90"/>
      <c r="AB701" s="69"/>
      <c r="AC701" s="90"/>
      <c r="AD701" s="90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0"/>
      <c r="P702" s="69"/>
      <c r="Q702" s="90"/>
      <c r="R702" s="90"/>
      <c r="S702" s="60"/>
      <c r="T702" s="62"/>
      <c r="U702" s="62"/>
      <c r="V702" s="62"/>
      <c r="W702" s="61"/>
      <c r="X702" s="62"/>
      <c r="Y702" s="62"/>
      <c r="Z702" s="66"/>
      <c r="AA702" s="90"/>
      <c r="AB702" s="69"/>
      <c r="AC702" s="90"/>
      <c r="AD702" s="90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0"/>
      <c r="P703" s="69"/>
      <c r="Q703" s="90"/>
      <c r="R703" s="90"/>
      <c r="S703" s="60"/>
      <c r="T703" s="62"/>
      <c r="U703" s="62"/>
      <c r="V703" s="62"/>
      <c r="W703" s="61"/>
      <c r="X703" s="62"/>
      <c r="Y703" s="62"/>
      <c r="Z703" s="66"/>
      <c r="AA703" s="90"/>
      <c r="AB703" s="69"/>
      <c r="AC703" s="90"/>
      <c r="AD703" s="90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0"/>
      <c r="P704" s="69"/>
      <c r="Q704" s="90"/>
      <c r="R704" s="90"/>
      <c r="S704" s="60"/>
      <c r="T704" s="62"/>
      <c r="U704" s="62"/>
      <c r="V704" s="62"/>
      <c r="W704" s="61"/>
      <c r="X704" s="62"/>
      <c r="Y704" s="62"/>
      <c r="Z704" s="66"/>
      <c r="AA704" s="90"/>
      <c r="AB704" s="69"/>
      <c r="AC704" s="90"/>
      <c r="AD704" s="90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0"/>
      <c r="P705" s="69"/>
      <c r="Q705" s="90"/>
      <c r="R705" s="90"/>
      <c r="S705" s="60"/>
      <c r="T705" s="62"/>
      <c r="U705" s="62"/>
      <c r="V705" s="62"/>
      <c r="W705" s="61"/>
      <c r="X705" s="62"/>
      <c r="Y705" s="62"/>
      <c r="Z705" s="66"/>
      <c r="AA705" s="90"/>
      <c r="AB705" s="69"/>
      <c r="AC705" s="90"/>
      <c r="AD705" s="90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0"/>
      <c r="P706" s="69"/>
      <c r="Q706" s="90"/>
      <c r="R706" s="90"/>
      <c r="S706" s="60"/>
      <c r="T706" s="62"/>
      <c r="U706" s="62"/>
      <c r="V706" s="62"/>
      <c r="W706" s="61"/>
      <c r="X706" s="62"/>
      <c r="Y706" s="62"/>
      <c r="Z706" s="66"/>
      <c r="AA706" s="90"/>
      <c r="AB706" s="69"/>
      <c r="AC706" s="90"/>
      <c r="AD706" s="90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0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62"/>
      <c r="P707" s="69"/>
      <c r="Q707" s="90"/>
      <c r="R707" s="90"/>
      <c r="S707" s="60"/>
      <c r="T707" s="62"/>
      <c r="U707" s="62"/>
      <c r="V707" s="62"/>
      <c r="W707" s="61"/>
      <c r="X707" s="62"/>
      <c r="Y707" s="62"/>
      <c r="Z707" s="66"/>
      <c r="AA707" s="90"/>
      <c r="AB707" s="69"/>
      <c r="AC707" s="90"/>
      <c r="AD707" s="90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0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0"/>
      <c r="P708" s="69"/>
      <c r="Q708" s="90"/>
      <c r="R708" s="90"/>
      <c r="S708" s="60"/>
      <c r="T708" s="62"/>
      <c r="U708" s="62"/>
      <c r="V708" s="62"/>
      <c r="W708" s="61"/>
      <c r="X708" s="62"/>
      <c r="Y708" s="62"/>
      <c r="Z708" s="66"/>
      <c r="AA708" s="90"/>
      <c r="AB708" s="69"/>
      <c r="AC708" s="90"/>
      <c r="AD708" s="90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0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0"/>
      <c r="P709" s="69"/>
      <c r="Q709" s="90"/>
      <c r="R709" s="90"/>
      <c r="S709" s="60"/>
      <c r="T709" s="62"/>
      <c r="U709" s="62"/>
      <c r="V709" s="62"/>
      <c r="W709" s="61"/>
      <c r="X709" s="62"/>
      <c r="Y709" s="62"/>
      <c r="Z709" s="66"/>
      <c r="AA709" s="90"/>
      <c r="AB709" s="69"/>
      <c r="AC709" s="90"/>
      <c r="AD709" s="90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0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62"/>
      <c r="P710" s="69"/>
      <c r="Q710" s="90"/>
      <c r="R710" s="90"/>
      <c r="S710" s="60"/>
      <c r="T710" s="62"/>
      <c r="U710" s="62"/>
      <c r="V710" s="62"/>
      <c r="W710" s="61"/>
      <c r="X710" s="62"/>
      <c r="Y710" s="62"/>
      <c r="Z710" s="66"/>
      <c r="AA710" s="62"/>
      <c r="AB710" s="69"/>
      <c r="AC710" s="90"/>
      <c r="AD710" s="90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0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90"/>
      <c r="P711" s="69"/>
      <c r="Q711" s="90"/>
      <c r="R711" s="90"/>
      <c r="S711" s="60"/>
      <c r="T711" s="62"/>
      <c r="U711" s="62"/>
      <c r="V711" s="62"/>
      <c r="W711" s="61"/>
      <c r="X711" s="62"/>
      <c r="Y711" s="62"/>
      <c r="Z711" s="66"/>
      <c r="AA711" s="90"/>
      <c r="AB711" s="69"/>
      <c r="AC711" s="90"/>
      <c r="AD711" s="90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6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90"/>
      <c r="O712" s="90"/>
      <c r="P712" s="90"/>
      <c r="Q712" s="90"/>
      <c r="R712" s="90"/>
      <c r="S712" s="90"/>
      <c r="T712" s="62"/>
      <c r="U712" s="62"/>
      <c r="V712" s="62"/>
      <c r="W712" s="61"/>
      <c r="X712" s="62"/>
      <c r="Y712" s="62"/>
      <c r="Z712" s="90"/>
      <c r="AA712" s="90"/>
      <c r="AB712" s="90"/>
      <c r="AC712" s="90"/>
      <c r="AD712" s="90"/>
      <c r="AE712" s="9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90"/>
      <c r="C713" s="90"/>
      <c r="D713" s="90"/>
      <c r="E713" s="90"/>
      <c r="F713" s="90"/>
      <c r="G713" s="90"/>
      <c r="H713" s="62"/>
      <c r="I713" s="62"/>
      <c r="J713" s="62"/>
      <c r="K713" s="62"/>
      <c r="L713" s="62"/>
      <c r="M713" s="62"/>
      <c r="N713" s="90"/>
      <c r="O713" s="90"/>
      <c r="P713" s="90"/>
      <c r="Q713" s="90"/>
      <c r="R713" s="90"/>
      <c r="S713" s="90"/>
      <c r="T713" s="62"/>
      <c r="U713" s="62"/>
      <c r="V713" s="62"/>
      <c r="W713" s="62"/>
      <c r="X713" s="62"/>
      <c r="Y713" s="62"/>
      <c r="Z713" s="90"/>
      <c r="AA713" s="90"/>
      <c r="AB713" s="90"/>
      <c r="AC713" s="90"/>
      <c r="AD713" s="90"/>
      <c r="AE713" s="90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0"/>
      <c r="C714" s="90"/>
      <c r="D714" s="70"/>
      <c r="E714" s="70"/>
      <c r="F714" s="70"/>
      <c r="G714" s="70"/>
      <c r="H714" s="63"/>
      <c r="I714" s="70"/>
      <c r="J714" s="70"/>
      <c r="K714" s="70"/>
      <c r="L714" s="62"/>
      <c r="M714" s="62"/>
      <c r="N714" s="90"/>
      <c r="O714" s="90"/>
      <c r="P714" s="70"/>
      <c r="Q714" s="70"/>
      <c r="R714" s="70"/>
      <c r="S714" s="70"/>
      <c r="T714" s="63"/>
      <c r="U714" s="71"/>
      <c r="V714" s="71"/>
      <c r="W714" s="71"/>
      <c r="X714" s="62"/>
      <c r="Y714" s="62"/>
      <c r="Z714" s="90"/>
      <c r="AA714" s="90"/>
      <c r="AB714" s="70"/>
      <c r="AC714" s="70"/>
      <c r="AD714" s="70"/>
      <c r="AE714" s="70"/>
      <c r="AF714" s="63"/>
      <c r="AG714" s="71"/>
      <c r="AH714" s="71"/>
      <c r="AI714" s="71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90"/>
      <c r="C716" s="90"/>
      <c r="D716" s="90"/>
      <c r="E716" s="90"/>
      <c r="F716" s="90"/>
      <c r="G716" s="90"/>
      <c r="H716" s="62"/>
      <c r="I716" s="62"/>
      <c r="J716" s="62"/>
      <c r="K716" s="62"/>
      <c r="L716" s="62"/>
      <c r="M716" s="62"/>
      <c r="N716" s="90"/>
      <c r="O716" s="90"/>
      <c r="P716" s="90"/>
      <c r="Q716" s="90"/>
      <c r="R716" s="90"/>
      <c r="S716" s="90"/>
      <c r="T716" s="62"/>
      <c r="U716" s="62"/>
      <c r="V716" s="62"/>
      <c r="W716" s="62"/>
      <c r="X716" s="62"/>
      <c r="Y716" s="62"/>
      <c r="Z716" s="90"/>
      <c r="AA716" s="90"/>
      <c r="AB716" s="90"/>
      <c r="AC716" s="90"/>
      <c r="AD716" s="90"/>
      <c r="AE716" s="90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0"/>
      <c r="C717" s="90"/>
      <c r="D717" s="90"/>
      <c r="E717" s="90"/>
      <c r="F717" s="90"/>
      <c r="G717" s="90"/>
      <c r="H717" s="62"/>
      <c r="I717" s="62"/>
      <c r="J717" s="62"/>
      <c r="K717" s="62"/>
      <c r="L717" s="62"/>
      <c r="M717" s="62"/>
      <c r="N717" s="90"/>
      <c r="O717" s="90"/>
      <c r="P717" s="90"/>
      <c r="Q717" s="90"/>
      <c r="R717" s="90"/>
      <c r="S717" s="90"/>
      <c r="T717" s="62"/>
      <c r="U717" s="62"/>
      <c r="V717" s="62"/>
      <c r="W717" s="62"/>
      <c r="X717" s="62"/>
      <c r="Y717" s="62"/>
      <c r="Z717" s="90"/>
      <c r="AA717" s="90"/>
      <c r="AB717" s="90"/>
      <c r="AC717" s="90"/>
      <c r="AD717" s="90"/>
      <c r="AE717" s="90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0"/>
      <c r="C718" s="90"/>
      <c r="D718" s="90"/>
      <c r="E718" s="90"/>
      <c r="F718" s="90"/>
      <c r="G718" s="90"/>
      <c r="H718" s="62"/>
      <c r="I718" s="62"/>
      <c r="J718" s="62"/>
      <c r="K718" s="62"/>
      <c r="L718" s="62"/>
      <c r="M718" s="62"/>
      <c r="N718" s="90"/>
      <c r="O718" s="90"/>
      <c r="P718" s="90"/>
      <c r="Q718" s="90"/>
      <c r="R718" s="90"/>
      <c r="S718" s="90"/>
      <c r="T718" s="62"/>
      <c r="U718" s="62"/>
      <c r="V718" s="62"/>
      <c r="W718" s="62"/>
      <c r="X718" s="62"/>
      <c r="Y718" s="62"/>
      <c r="Z718" s="90"/>
      <c r="AA718" s="90"/>
      <c r="AB718" s="90"/>
      <c r="AC718" s="90"/>
      <c r="AD718" s="90"/>
      <c r="AE718" s="90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3"/>
      <c r="B719" s="90"/>
      <c r="C719" s="90"/>
      <c r="D719" s="90"/>
      <c r="E719" s="90"/>
      <c r="F719" s="90"/>
      <c r="G719" s="90"/>
      <c r="H719" s="62"/>
      <c r="I719" s="62"/>
      <c r="J719" s="62"/>
      <c r="K719" s="62"/>
      <c r="L719" s="62"/>
      <c r="M719" s="63"/>
      <c r="N719" s="90"/>
      <c r="O719" s="90"/>
      <c r="P719" s="90"/>
      <c r="Q719" s="90"/>
      <c r="R719" s="90"/>
      <c r="S719" s="90"/>
      <c r="T719" s="62"/>
      <c r="U719" s="62"/>
      <c r="V719" s="62"/>
      <c r="W719" s="62"/>
      <c r="X719" s="62"/>
      <c r="Y719" s="63"/>
      <c r="Z719" s="90"/>
      <c r="AA719" s="90"/>
      <c r="AB719" s="90"/>
      <c r="AC719" s="90"/>
      <c r="AD719" s="90"/>
      <c r="AE719" s="90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2"/>
      <c r="B720" s="90"/>
      <c r="C720" s="90"/>
      <c r="D720" s="90"/>
      <c r="E720" s="90"/>
      <c r="F720" s="90"/>
      <c r="G720" s="90"/>
      <c r="H720" s="62"/>
      <c r="I720" s="62"/>
      <c r="J720" s="62"/>
      <c r="K720" s="62"/>
      <c r="L720" s="62"/>
      <c r="M720" s="62"/>
      <c r="N720" s="90"/>
      <c r="O720" s="90"/>
      <c r="P720" s="90"/>
      <c r="Q720" s="90"/>
      <c r="R720" s="90"/>
      <c r="S720" s="90"/>
      <c r="T720" s="62"/>
      <c r="U720" s="62"/>
      <c r="V720" s="62"/>
      <c r="W720" s="62"/>
      <c r="X720" s="62"/>
      <c r="Y720" s="62"/>
      <c r="Z720" s="90"/>
      <c r="AA720" s="90"/>
      <c r="AB720" s="90"/>
      <c r="AC720" s="90"/>
      <c r="AD720" s="90"/>
      <c r="AE720" s="90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ht="15.75" x14ac:dyDescent="0.25">
      <c r="A721" s="62"/>
      <c r="B721" s="90"/>
      <c r="C721" s="90"/>
      <c r="D721" s="90"/>
      <c r="E721" s="90"/>
      <c r="F721" s="90"/>
      <c r="G721" s="90"/>
      <c r="H721" s="62"/>
      <c r="I721" s="90"/>
      <c r="J721" s="73"/>
      <c r="K721" s="62"/>
      <c r="L721" s="62"/>
      <c r="M721" s="62"/>
      <c r="N721" s="90"/>
      <c r="O721" s="90"/>
      <c r="P721" s="90"/>
      <c r="Q721" s="90"/>
      <c r="R721" s="90"/>
      <c r="S721" s="90"/>
      <c r="T721" s="62"/>
      <c r="U721" s="90"/>
      <c r="V721" s="73"/>
      <c r="W721" s="62"/>
      <c r="X721" s="62"/>
      <c r="Y721" s="62"/>
      <c r="Z721" s="90"/>
      <c r="AA721" s="90"/>
      <c r="AB721" s="90"/>
      <c r="AC721" s="90"/>
      <c r="AD721" s="90"/>
      <c r="AE721" s="90"/>
      <c r="AF721" s="62"/>
      <c r="AG721" s="90"/>
      <c r="AH721" s="90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x14ac:dyDescent="0.25">
      <c r="A722" s="64"/>
      <c r="B722" s="90"/>
      <c r="C722" s="90"/>
      <c r="D722" s="90"/>
      <c r="E722" s="90"/>
      <c r="F722" s="90"/>
      <c r="G722" s="90"/>
      <c r="H722" s="62"/>
      <c r="I722" s="65"/>
      <c r="J722" s="65"/>
      <c r="K722" s="62"/>
      <c r="L722" s="62"/>
      <c r="M722" s="64"/>
      <c r="N722" s="90"/>
      <c r="O722" s="90"/>
      <c r="P722" s="90"/>
      <c r="Q722" s="90"/>
      <c r="R722" s="90"/>
      <c r="S722" s="90"/>
      <c r="T722" s="62"/>
      <c r="U722" s="65"/>
      <c r="V722" s="65"/>
      <c r="W722" s="62"/>
      <c r="X722" s="62"/>
      <c r="Y722" s="64"/>
      <c r="Z722" s="90"/>
      <c r="AA722" s="90"/>
      <c r="AB722" s="90"/>
      <c r="AC722" s="90"/>
      <c r="AD722" s="90"/>
      <c r="AE722" s="90"/>
      <c r="AF722" s="62"/>
      <c r="AG722" s="65"/>
      <c r="AH722" s="65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2"/>
      <c r="B723" s="90"/>
      <c r="C723" s="90"/>
      <c r="D723" s="90"/>
      <c r="E723" s="90"/>
      <c r="F723" s="90"/>
      <c r="G723" s="90"/>
      <c r="H723" s="62"/>
      <c r="I723" s="62"/>
      <c r="J723" s="62"/>
      <c r="K723" s="62"/>
      <c r="L723" s="62"/>
      <c r="M723" s="62"/>
      <c r="N723" s="90"/>
      <c r="O723" s="90"/>
      <c r="P723" s="90"/>
      <c r="Q723" s="90"/>
      <c r="R723" s="90"/>
      <c r="S723" s="90"/>
      <c r="T723" s="62"/>
      <c r="U723" s="62"/>
      <c r="V723" s="62"/>
      <c r="W723" s="62"/>
      <c r="X723" s="62"/>
      <c r="Y723" s="62"/>
      <c r="Z723" s="90"/>
      <c r="AA723" s="90"/>
      <c r="AB723" s="90"/>
      <c r="AC723" s="90"/>
      <c r="AD723" s="90"/>
      <c r="AE723" s="90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65"/>
      <c r="C724" s="90"/>
      <c r="D724" s="113"/>
      <c r="E724" s="113"/>
      <c r="F724" s="90"/>
      <c r="G724" s="90"/>
      <c r="H724" s="62"/>
      <c r="I724" s="113"/>
      <c r="J724" s="113"/>
      <c r="K724" s="109"/>
      <c r="L724" s="62"/>
      <c r="M724" s="62"/>
      <c r="N724" s="65"/>
      <c r="O724" s="90"/>
      <c r="P724" s="113"/>
      <c r="Q724" s="113"/>
      <c r="R724" s="90"/>
      <c r="S724" s="90"/>
      <c r="T724" s="62"/>
      <c r="U724" s="113"/>
      <c r="V724" s="113"/>
      <c r="W724" s="109"/>
      <c r="X724" s="62"/>
      <c r="Y724" s="62"/>
      <c r="Z724" s="65"/>
      <c r="AA724" s="90"/>
      <c r="AB724" s="113"/>
      <c r="AC724" s="113"/>
      <c r="AD724" s="90"/>
      <c r="AE724" s="90"/>
      <c r="AF724" s="62"/>
      <c r="AG724" s="113"/>
      <c r="AH724" s="113"/>
      <c r="AI724" s="109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90"/>
      <c r="C725" s="90"/>
      <c r="D725" s="79"/>
      <c r="E725" s="80"/>
      <c r="F725" s="81"/>
      <c r="G725" s="81"/>
      <c r="H725" s="62"/>
      <c r="I725" s="91"/>
      <c r="J725" s="91"/>
      <c r="K725" s="109"/>
      <c r="L725" s="62"/>
      <c r="M725" s="62"/>
      <c r="N725" s="90"/>
      <c r="O725" s="90"/>
      <c r="P725" s="79"/>
      <c r="Q725" s="81"/>
      <c r="R725" s="81"/>
      <c r="S725" s="81"/>
      <c r="T725" s="62"/>
      <c r="U725" s="91"/>
      <c r="V725" s="91"/>
      <c r="W725" s="109"/>
      <c r="X725" s="62"/>
      <c r="Y725" s="62"/>
      <c r="Z725" s="90"/>
      <c r="AA725" s="90"/>
      <c r="AB725" s="79"/>
      <c r="AC725" s="81"/>
      <c r="AD725" s="81"/>
      <c r="AE725" s="81"/>
      <c r="AF725" s="62"/>
      <c r="AG725" s="91"/>
      <c r="AH725" s="91"/>
      <c r="AI725" s="109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66"/>
      <c r="C726" s="84"/>
      <c r="D726" s="60"/>
      <c r="E726" s="60"/>
      <c r="F726" s="60"/>
      <c r="G726" s="60"/>
      <c r="H726" s="61"/>
      <c r="I726" s="61"/>
      <c r="J726" s="61"/>
      <c r="K726" s="61"/>
      <c r="L726" s="62"/>
      <c r="M726" s="62"/>
      <c r="N726" s="66"/>
      <c r="O726" s="90"/>
      <c r="P726" s="60"/>
      <c r="Q726" s="60"/>
      <c r="R726" s="60"/>
      <c r="S726" s="60"/>
      <c r="T726" s="61"/>
      <c r="U726" s="61"/>
      <c r="V726" s="61"/>
      <c r="W726" s="61"/>
      <c r="X726" s="62"/>
      <c r="Y726" s="62"/>
      <c r="Z726" s="66"/>
      <c r="AA726" s="90"/>
      <c r="AB726" s="60"/>
      <c r="AC726" s="60"/>
      <c r="AD726" s="60"/>
      <c r="AE726" s="60"/>
      <c r="AF726" s="61"/>
      <c r="AG726" s="61"/>
      <c r="AH726" s="61"/>
      <c r="AI726" s="61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0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0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0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0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65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0"/>
      <c r="AB729" s="60"/>
      <c r="AC729" s="60"/>
      <c r="AD729" s="60"/>
      <c r="AE729" s="60"/>
      <c r="AF729" s="61"/>
      <c r="AG729" s="62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0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0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0"/>
      <c r="P731" s="60"/>
      <c r="Q731" s="60"/>
      <c r="R731" s="60"/>
      <c r="S731" s="60"/>
      <c r="T731" s="61"/>
      <c r="U731" s="61"/>
      <c r="V731" s="62"/>
      <c r="W731" s="61"/>
      <c r="X731" s="62"/>
      <c r="Y731" s="62"/>
      <c r="Z731" s="66"/>
      <c r="AA731" s="65"/>
      <c r="AB731" s="60"/>
      <c r="AC731" s="60"/>
      <c r="AD731" s="60"/>
      <c r="AE731" s="60"/>
      <c r="AF731" s="61"/>
      <c r="AG731" s="61"/>
      <c r="AH731" s="62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0"/>
      <c r="P732" s="60"/>
      <c r="Q732" s="60"/>
      <c r="R732" s="60"/>
      <c r="S732" s="60"/>
      <c r="T732" s="61"/>
      <c r="U732" s="61"/>
      <c r="V732" s="61"/>
      <c r="W732" s="61"/>
      <c r="X732" s="62"/>
      <c r="Y732" s="62"/>
      <c r="Z732" s="66"/>
      <c r="AA732" s="90"/>
      <c r="AB732" s="60"/>
      <c r="AC732" s="60"/>
      <c r="AD732" s="60"/>
      <c r="AE732" s="60"/>
      <c r="AF732" s="61"/>
      <c r="AG732" s="61"/>
      <c r="AH732" s="61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0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62"/>
      <c r="AB733" s="60"/>
      <c r="AC733" s="60"/>
      <c r="AD733" s="62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0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2"/>
      <c r="AB734" s="60"/>
      <c r="AC734" s="60"/>
      <c r="AD734" s="60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0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0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2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2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0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1"/>
      <c r="K738" s="61"/>
      <c r="L738" s="62"/>
      <c r="M738" s="62"/>
      <c r="N738" s="66"/>
      <c r="O738" s="90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0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0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0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0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0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65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0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62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0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65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0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0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0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62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2"/>
      <c r="I746" s="62"/>
      <c r="J746" s="62"/>
      <c r="K746" s="61"/>
      <c r="L746" s="62"/>
      <c r="M746" s="62"/>
      <c r="N746" s="66"/>
      <c r="O746" s="90"/>
      <c r="P746" s="67"/>
      <c r="Q746" s="90"/>
      <c r="R746" s="90"/>
      <c r="S746" s="60"/>
      <c r="T746" s="62"/>
      <c r="U746" s="62"/>
      <c r="V746" s="62"/>
      <c r="W746" s="61"/>
      <c r="X746" s="62"/>
      <c r="Y746" s="62"/>
      <c r="Z746" s="66"/>
      <c r="AA746" s="90"/>
      <c r="AB746" s="67"/>
      <c r="AC746" s="90"/>
      <c r="AD746" s="90"/>
      <c r="AE746" s="60"/>
      <c r="AF746" s="62"/>
      <c r="AG746" s="62"/>
      <c r="AH746" s="62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0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0"/>
      <c r="P747" s="68"/>
      <c r="Q747" s="90"/>
      <c r="R747" s="90"/>
      <c r="S747" s="60"/>
      <c r="T747" s="62"/>
      <c r="U747" s="62"/>
      <c r="V747" s="62"/>
      <c r="W747" s="61"/>
      <c r="X747" s="62"/>
      <c r="Y747" s="62"/>
      <c r="Z747" s="66"/>
      <c r="AA747" s="90"/>
      <c r="AB747" s="68"/>
      <c r="AC747" s="90"/>
      <c r="AD747" s="90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1"/>
      <c r="K748" s="61"/>
      <c r="L748" s="62"/>
      <c r="M748" s="62"/>
      <c r="N748" s="66"/>
      <c r="O748" s="90"/>
      <c r="P748" s="69"/>
      <c r="Q748" s="68"/>
      <c r="R748" s="62"/>
      <c r="S748" s="60"/>
      <c r="T748" s="62"/>
      <c r="U748" s="62"/>
      <c r="V748" s="62"/>
      <c r="W748" s="61"/>
      <c r="X748" s="62"/>
      <c r="Y748" s="62"/>
      <c r="Z748" s="66"/>
      <c r="AA748" s="90"/>
      <c r="AB748" s="69"/>
      <c r="AC748" s="90"/>
      <c r="AD748" s="62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2"/>
      <c r="K749" s="61"/>
      <c r="L749" s="62"/>
      <c r="M749" s="62"/>
      <c r="N749" s="66"/>
      <c r="O749" s="90"/>
      <c r="P749" s="69"/>
      <c r="Q749" s="90"/>
      <c r="R749" s="90"/>
      <c r="S749" s="60"/>
      <c r="T749" s="62"/>
      <c r="U749" s="62"/>
      <c r="V749" s="62"/>
      <c r="W749" s="61"/>
      <c r="X749" s="62"/>
      <c r="Y749" s="62"/>
      <c r="Z749" s="66"/>
      <c r="AA749" s="90"/>
      <c r="AB749" s="69"/>
      <c r="AC749" s="90"/>
      <c r="AD749" s="90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0"/>
      <c r="P750" s="69"/>
      <c r="Q750" s="90"/>
      <c r="R750" s="90"/>
      <c r="S750" s="60"/>
      <c r="T750" s="62"/>
      <c r="U750" s="62"/>
      <c r="V750" s="62"/>
      <c r="W750" s="61"/>
      <c r="X750" s="62"/>
      <c r="Y750" s="62"/>
      <c r="Z750" s="66"/>
      <c r="AA750" s="90"/>
      <c r="AB750" s="69"/>
      <c r="AC750" s="90"/>
      <c r="AD750" s="90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0"/>
      <c r="P751" s="69"/>
      <c r="Q751" s="90"/>
      <c r="R751" s="90"/>
      <c r="S751" s="60"/>
      <c r="T751" s="62"/>
      <c r="U751" s="62"/>
      <c r="V751" s="62"/>
      <c r="W751" s="61"/>
      <c r="X751" s="62"/>
      <c r="Y751" s="62"/>
      <c r="Z751" s="66"/>
      <c r="AA751" s="90"/>
      <c r="AB751" s="69"/>
      <c r="AC751" s="90"/>
      <c r="AD751" s="90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0"/>
      <c r="P752" s="69"/>
      <c r="Q752" s="90"/>
      <c r="R752" s="90"/>
      <c r="S752" s="60"/>
      <c r="T752" s="62"/>
      <c r="U752" s="62"/>
      <c r="V752" s="62"/>
      <c r="W752" s="61"/>
      <c r="X752" s="62"/>
      <c r="Y752" s="62"/>
      <c r="Z752" s="66"/>
      <c r="AA752" s="90"/>
      <c r="AB752" s="69"/>
      <c r="AC752" s="90"/>
      <c r="AD752" s="90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0"/>
      <c r="P753" s="69"/>
      <c r="Q753" s="90"/>
      <c r="R753" s="90"/>
      <c r="S753" s="60"/>
      <c r="T753" s="62"/>
      <c r="U753" s="62"/>
      <c r="V753" s="62"/>
      <c r="W753" s="61"/>
      <c r="X753" s="62"/>
      <c r="Y753" s="62"/>
      <c r="Z753" s="66"/>
      <c r="AA753" s="90"/>
      <c r="AB753" s="69"/>
      <c r="AC753" s="90"/>
      <c r="AD753" s="90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0"/>
      <c r="P754" s="69"/>
      <c r="Q754" s="90"/>
      <c r="R754" s="90"/>
      <c r="S754" s="60"/>
      <c r="T754" s="62"/>
      <c r="U754" s="62"/>
      <c r="V754" s="62"/>
      <c r="W754" s="61"/>
      <c r="X754" s="62"/>
      <c r="Y754" s="62"/>
      <c r="Z754" s="66"/>
      <c r="AA754" s="90"/>
      <c r="AB754" s="69"/>
      <c r="AC754" s="90"/>
      <c r="AD754" s="90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0"/>
      <c r="P755" s="69"/>
      <c r="Q755" s="90"/>
      <c r="R755" s="90"/>
      <c r="S755" s="60"/>
      <c r="T755" s="62"/>
      <c r="U755" s="62"/>
      <c r="V755" s="62"/>
      <c r="W755" s="61"/>
      <c r="X755" s="62"/>
      <c r="Y755" s="62"/>
      <c r="Z755" s="66"/>
      <c r="AA755" s="90"/>
      <c r="AB755" s="69"/>
      <c r="AC755" s="90"/>
      <c r="AD755" s="90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0"/>
      <c r="P756" s="69"/>
      <c r="Q756" s="90"/>
      <c r="R756" s="90"/>
      <c r="S756" s="60"/>
      <c r="T756" s="62"/>
      <c r="U756" s="62"/>
      <c r="V756" s="62"/>
      <c r="W756" s="61"/>
      <c r="X756" s="62"/>
      <c r="Y756" s="62"/>
      <c r="Z756" s="66"/>
      <c r="AA756" s="90"/>
      <c r="AB756" s="69"/>
      <c r="AC756" s="90"/>
      <c r="AD756" s="90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0"/>
      <c r="P757" s="69"/>
      <c r="Q757" s="90"/>
      <c r="R757" s="90"/>
      <c r="S757" s="60"/>
      <c r="T757" s="62"/>
      <c r="U757" s="62"/>
      <c r="V757" s="62"/>
      <c r="W757" s="61"/>
      <c r="X757" s="62"/>
      <c r="Y757" s="62"/>
      <c r="Z757" s="66"/>
      <c r="AA757" s="90"/>
      <c r="AB757" s="69"/>
      <c r="AC757" s="90"/>
      <c r="AD757" s="90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0"/>
      <c r="P758" s="69"/>
      <c r="Q758" s="90"/>
      <c r="R758" s="90"/>
      <c r="S758" s="60"/>
      <c r="T758" s="62"/>
      <c r="U758" s="62"/>
      <c r="V758" s="62"/>
      <c r="W758" s="61"/>
      <c r="X758" s="62"/>
      <c r="Y758" s="62"/>
      <c r="Z758" s="66"/>
      <c r="AA758" s="90"/>
      <c r="AB758" s="69"/>
      <c r="AC758" s="90"/>
      <c r="AD758" s="90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0"/>
      <c r="P759" s="69"/>
      <c r="Q759" s="90"/>
      <c r="R759" s="90"/>
      <c r="S759" s="60"/>
      <c r="T759" s="62"/>
      <c r="U759" s="62"/>
      <c r="V759" s="62"/>
      <c r="W759" s="61"/>
      <c r="X759" s="62"/>
      <c r="Y759" s="62"/>
      <c r="Z759" s="66"/>
      <c r="AA759" s="90"/>
      <c r="AB759" s="69"/>
      <c r="AC759" s="90"/>
      <c r="AD759" s="90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0"/>
      <c r="P760" s="69"/>
      <c r="Q760" s="90"/>
      <c r="R760" s="90"/>
      <c r="S760" s="60"/>
      <c r="T760" s="62"/>
      <c r="U760" s="62"/>
      <c r="V760" s="62"/>
      <c r="W760" s="61"/>
      <c r="X760" s="62"/>
      <c r="Y760" s="62"/>
      <c r="Z760" s="66"/>
      <c r="AA760" s="90"/>
      <c r="AB760" s="69"/>
      <c r="AC760" s="90"/>
      <c r="AD760" s="90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0"/>
      <c r="P761" s="69"/>
      <c r="Q761" s="90"/>
      <c r="R761" s="90"/>
      <c r="S761" s="60"/>
      <c r="T761" s="62"/>
      <c r="U761" s="62"/>
      <c r="V761" s="62"/>
      <c r="W761" s="61"/>
      <c r="X761" s="62"/>
      <c r="Y761" s="62"/>
      <c r="Z761" s="66"/>
      <c r="AA761" s="90"/>
      <c r="AB761" s="69"/>
      <c r="AC761" s="90"/>
      <c r="AD761" s="90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0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62"/>
      <c r="P762" s="69"/>
      <c r="Q762" s="90"/>
      <c r="R762" s="90"/>
      <c r="S762" s="60"/>
      <c r="T762" s="62"/>
      <c r="U762" s="62"/>
      <c r="V762" s="62"/>
      <c r="W762" s="61"/>
      <c r="X762" s="62"/>
      <c r="Y762" s="62"/>
      <c r="Z762" s="66"/>
      <c r="AA762" s="90"/>
      <c r="AB762" s="69"/>
      <c r="AC762" s="90"/>
      <c r="AD762" s="90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0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0"/>
      <c r="P763" s="69"/>
      <c r="Q763" s="90"/>
      <c r="R763" s="90"/>
      <c r="S763" s="60"/>
      <c r="T763" s="62"/>
      <c r="U763" s="62"/>
      <c r="V763" s="62"/>
      <c r="W763" s="61"/>
      <c r="X763" s="62"/>
      <c r="Y763" s="62"/>
      <c r="Z763" s="66"/>
      <c r="AA763" s="90"/>
      <c r="AB763" s="69"/>
      <c r="AC763" s="90"/>
      <c r="AD763" s="90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0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0"/>
      <c r="P764" s="69"/>
      <c r="Q764" s="90"/>
      <c r="R764" s="90"/>
      <c r="S764" s="60"/>
      <c r="T764" s="62"/>
      <c r="U764" s="62"/>
      <c r="V764" s="62"/>
      <c r="W764" s="61"/>
      <c r="X764" s="62"/>
      <c r="Y764" s="62"/>
      <c r="Z764" s="66"/>
      <c r="AA764" s="90"/>
      <c r="AB764" s="69"/>
      <c r="AC764" s="90"/>
      <c r="AD764" s="90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0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62"/>
      <c r="P765" s="69"/>
      <c r="Q765" s="90"/>
      <c r="R765" s="90"/>
      <c r="S765" s="60"/>
      <c r="T765" s="62"/>
      <c r="U765" s="62"/>
      <c r="V765" s="62"/>
      <c r="W765" s="61"/>
      <c r="X765" s="62"/>
      <c r="Y765" s="62"/>
      <c r="Z765" s="66"/>
      <c r="AA765" s="62"/>
      <c r="AB765" s="69"/>
      <c r="AC765" s="90"/>
      <c r="AD765" s="90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0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90"/>
      <c r="P766" s="69"/>
      <c r="Q766" s="90"/>
      <c r="R766" s="90"/>
      <c r="S766" s="60"/>
      <c r="T766" s="62"/>
      <c r="U766" s="62"/>
      <c r="V766" s="62"/>
      <c r="W766" s="61"/>
      <c r="X766" s="62"/>
      <c r="Y766" s="62"/>
      <c r="Z766" s="66"/>
      <c r="AA766" s="90"/>
      <c r="AB766" s="69"/>
      <c r="AC766" s="90"/>
      <c r="AD766" s="90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6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90"/>
      <c r="O767" s="90"/>
      <c r="P767" s="90"/>
      <c r="Q767" s="90"/>
      <c r="R767" s="90"/>
      <c r="S767" s="90"/>
      <c r="T767" s="62"/>
      <c r="U767" s="62"/>
      <c r="V767" s="62"/>
      <c r="W767" s="61"/>
      <c r="X767" s="62"/>
      <c r="Y767" s="62"/>
      <c r="Z767" s="90"/>
      <c r="AA767" s="90"/>
      <c r="AB767" s="90"/>
      <c r="AC767" s="90"/>
      <c r="AD767" s="90"/>
      <c r="AE767" s="9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90"/>
      <c r="C768" s="90"/>
      <c r="D768" s="90"/>
      <c r="E768" s="90"/>
      <c r="F768" s="90"/>
      <c r="G768" s="90"/>
      <c r="H768" s="62"/>
      <c r="I768" s="62"/>
      <c r="J768" s="62"/>
      <c r="K768" s="62"/>
      <c r="L768" s="62"/>
      <c r="M768" s="62"/>
      <c r="N768" s="90"/>
      <c r="O768" s="90"/>
      <c r="P768" s="90"/>
      <c r="Q768" s="90"/>
      <c r="R768" s="90"/>
      <c r="S768" s="90"/>
      <c r="T768" s="62"/>
      <c r="U768" s="62"/>
      <c r="V768" s="62"/>
      <c r="W768" s="62"/>
      <c r="X768" s="62"/>
      <c r="Y768" s="62"/>
      <c r="Z768" s="90"/>
      <c r="AA768" s="90"/>
      <c r="AB768" s="90"/>
      <c r="AC768" s="90"/>
      <c r="AD768" s="90"/>
      <c r="AE768" s="90"/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0"/>
      <c r="C769" s="90"/>
      <c r="D769" s="70"/>
      <c r="E769" s="70"/>
      <c r="F769" s="70"/>
      <c r="G769" s="70"/>
      <c r="H769" s="63"/>
      <c r="I769" s="70"/>
      <c r="J769" s="70"/>
      <c r="K769" s="70"/>
      <c r="L769" s="62"/>
      <c r="M769" s="62"/>
      <c r="N769" s="90"/>
      <c r="O769" s="90"/>
      <c r="P769" s="70"/>
      <c r="Q769" s="70"/>
      <c r="R769" s="70"/>
      <c r="S769" s="70"/>
      <c r="T769" s="63"/>
      <c r="U769" s="71"/>
      <c r="V769" s="71"/>
      <c r="W769" s="71"/>
      <c r="X769" s="62"/>
      <c r="Y769" s="62"/>
      <c r="Z769" s="90"/>
      <c r="AA769" s="90"/>
      <c r="AB769" s="70"/>
      <c r="AC769" s="70"/>
      <c r="AD769" s="70"/>
      <c r="AE769" s="70"/>
      <c r="AF769" s="63"/>
      <c r="AG769" s="71"/>
      <c r="AH769" s="71"/>
      <c r="AI769" s="71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0"/>
      <c r="C772" s="90"/>
      <c r="D772" s="90"/>
      <c r="E772" s="90"/>
      <c r="F772" s="90"/>
      <c r="G772" s="90"/>
      <c r="H772" s="62"/>
      <c r="I772" s="62"/>
      <c r="J772" s="62"/>
      <c r="K772" s="62"/>
      <c r="L772" s="62"/>
      <c r="M772" s="62"/>
      <c r="N772" s="90"/>
      <c r="O772" s="90"/>
      <c r="P772" s="90"/>
      <c r="Q772" s="90"/>
      <c r="R772" s="90"/>
      <c r="S772" s="90"/>
      <c r="T772" s="62"/>
      <c r="U772" s="62"/>
      <c r="V772" s="62"/>
      <c r="W772" s="62"/>
      <c r="X772" s="62"/>
      <c r="Y772" s="62"/>
      <c r="Z772" s="90"/>
      <c r="AA772" s="90"/>
      <c r="AB772" s="90"/>
      <c r="AC772" s="90"/>
      <c r="AD772" s="90"/>
      <c r="AE772" s="90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0"/>
      <c r="C773" s="90"/>
      <c r="D773" s="90"/>
      <c r="E773" s="90"/>
      <c r="F773" s="90"/>
      <c r="G773" s="90"/>
      <c r="H773" s="62"/>
      <c r="I773" s="62"/>
      <c r="J773" s="62"/>
      <c r="K773" s="62"/>
      <c r="L773" s="62"/>
      <c r="M773" s="62"/>
      <c r="N773" s="90"/>
      <c r="O773" s="90"/>
      <c r="P773" s="90"/>
      <c r="Q773" s="90"/>
      <c r="R773" s="90"/>
      <c r="S773" s="90"/>
      <c r="T773" s="62"/>
      <c r="U773" s="62"/>
      <c r="V773" s="62"/>
      <c r="W773" s="62"/>
      <c r="X773" s="62"/>
      <c r="Y773" s="62"/>
      <c r="Z773" s="90"/>
      <c r="AA773" s="90"/>
      <c r="AB773" s="90"/>
      <c r="AC773" s="90"/>
      <c r="AD773" s="90"/>
      <c r="AE773" s="90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0"/>
      <c r="C774" s="90"/>
      <c r="D774" s="90"/>
      <c r="E774" s="90"/>
      <c r="F774" s="90"/>
      <c r="G774" s="90"/>
      <c r="H774" s="62"/>
      <c r="I774" s="62"/>
      <c r="J774" s="62"/>
      <c r="K774" s="62"/>
      <c r="L774" s="62"/>
      <c r="M774" s="62"/>
      <c r="N774" s="90"/>
      <c r="O774" s="90"/>
      <c r="P774" s="90"/>
      <c r="Q774" s="90"/>
      <c r="R774" s="90"/>
      <c r="S774" s="90"/>
      <c r="T774" s="62"/>
      <c r="U774" s="62"/>
      <c r="V774" s="62"/>
      <c r="W774" s="62"/>
      <c r="X774" s="62"/>
      <c r="Y774" s="62"/>
      <c r="Z774" s="90"/>
      <c r="AA774" s="90"/>
      <c r="AB774" s="90"/>
      <c r="AC774" s="90"/>
      <c r="AD774" s="90"/>
      <c r="AE774" s="90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0"/>
      <c r="C775" s="90"/>
      <c r="D775" s="90"/>
      <c r="E775" s="90"/>
      <c r="F775" s="90"/>
      <c r="G775" s="90"/>
      <c r="H775" s="62"/>
      <c r="I775" s="62"/>
      <c r="J775" s="62"/>
      <c r="K775" s="62"/>
      <c r="L775" s="62"/>
      <c r="M775" s="63"/>
      <c r="N775" s="90"/>
      <c r="O775" s="90"/>
      <c r="P775" s="90"/>
      <c r="Q775" s="90"/>
      <c r="R775" s="90"/>
      <c r="S775" s="90"/>
      <c r="T775" s="62"/>
      <c r="U775" s="62"/>
      <c r="V775" s="62"/>
      <c r="W775" s="62"/>
      <c r="X775" s="62"/>
      <c r="Y775" s="63"/>
      <c r="Z775" s="90"/>
      <c r="AA775" s="90"/>
      <c r="AB775" s="90"/>
      <c r="AC775" s="90"/>
      <c r="AD775" s="90"/>
      <c r="AE775" s="90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0"/>
      <c r="C776" s="90"/>
      <c r="D776" s="90"/>
      <c r="E776" s="90"/>
      <c r="F776" s="90"/>
      <c r="G776" s="90"/>
      <c r="H776" s="62"/>
      <c r="I776" s="62"/>
      <c r="J776" s="62"/>
      <c r="K776" s="62"/>
      <c r="L776" s="62"/>
      <c r="M776" s="62"/>
      <c r="N776" s="90"/>
      <c r="O776" s="90"/>
      <c r="P776" s="90"/>
      <c r="Q776" s="90"/>
      <c r="R776" s="90"/>
      <c r="S776" s="90"/>
      <c r="T776" s="62"/>
      <c r="U776" s="62"/>
      <c r="V776" s="62"/>
      <c r="W776" s="62"/>
      <c r="X776" s="62"/>
      <c r="Y776" s="62"/>
      <c r="Z776" s="90"/>
      <c r="AA776" s="90"/>
      <c r="AB776" s="90"/>
      <c r="AC776" s="90"/>
      <c r="AD776" s="90"/>
      <c r="AE776" s="90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0"/>
      <c r="C777" s="90"/>
      <c r="D777" s="90"/>
      <c r="E777" s="90"/>
      <c r="F777" s="90"/>
      <c r="G777" s="90"/>
      <c r="H777" s="62"/>
      <c r="I777" s="90"/>
      <c r="J777" s="73"/>
      <c r="K777" s="62"/>
      <c r="L777" s="62"/>
      <c r="M777" s="62"/>
      <c r="N777" s="90"/>
      <c r="O777" s="90"/>
      <c r="P777" s="90"/>
      <c r="Q777" s="90"/>
      <c r="R777" s="90"/>
      <c r="S777" s="90"/>
      <c r="T777" s="62"/>
      <c r="U777" s="90"/>
      <c r="V777" s="73"/>
      <c r="W777" s="62"/>
      <c r="X777" s="62"/>
      <c r="Y777" s="62"/>
      <c r="Z777" s="90"/>
      <c r="AA777" s="90"/>
      <c r="AB777" s="90"/>
      <c r="AC777" s="90"/>
      <c r="AD777" s="90"/>
      <c r="AE777" s="90"/>
      <c r="AF777" s="62"/>
      <c r="AG777" s="90"/>
      <c r="AH777" s="90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0"/>
      <c r="C778" s="90"/>
      <c r="D778" s="90"/>
      <c r="E778" s="90"/>
      <c r="F778" s="90"/>
      <c r="G778" s="90"/>
      <c r="H778" s="62"/>
      <c r="I778" s="65"/>
      <c r="J778" s="65"/>
      <c r="K778" s="62"/>
      <c r="L778" s="62"/>
      <c r="M778" s="64"/>
      <c r="N778" s="90"/>
      <c r="O778" s="90"/>
      <c r="P778" s="90"/>
      <c r="Q778" s="90"/>
      <c r="R778" s="90"/>
      <c r="S778" s="90"/>
      <c r="T778" s="62"/>
      <c r="U778" s="65"/>
      <c r="V778" s="65"/>
      <c r="W778" s="62"/>
      <c r="X778" s="62"/>
      <c r="Y778" s="64"/>
      <c r="Z778" s="90"/>
      <c r="AA778" s="90"/>
      <c r="AB778" s="90"/>
      <c r="AC778" s="90"/>
      <c r="AD778" s="90"/>
      <c r="AE778" s="90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0"/>
      <c r="C779" s="90"/>
      <c r="D779" s="90"/>
      <c r="E779" s="90"/>
      <c r="F779" s="90"/>
      <c r="G779" s="90"/>
      <c r="H779" s="62"/>
      <c r="I779" s="62"/>
      <c r="J779" s="62"/>
      <c r="K779" s="62"/>
      <c r="L779" s="62"/>
      <c r="M779" s="62"/>
      <c r="N779" s="90"/>
      <c r="O779" s="90"/>
      <c r="P779" s="90"/>
      <c r="Q779" s="90"/>
      <c r="R779" s="90"/>
      <c r="S779" s="90"/>
      <c r="T779" s="62"/>
      <c r="U779" s="62"/>
      <c r="V779" s="62"/>
      <c r="W779" s="62"/>
      <c r="X779" s="62"/>
      <c r="Y779" s="62"/>
      <c r="Z779" s="90"/>
      <c r="AA779" s="90"/>
      <c r="AB779" s="90"/>
      <c r="AC779" s="90"/>
      <c r="AD779" s="90"/>
      <c r="AE779" s="90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0"/>
      <c r="D780" s="113"/>
      <c r="E780" s="113"/>
      <c r="F780" s="90"/>
      <c r="G780" s="90"/>
      <c r="H780" s="62"/>
      <c r="I780" s="113"/>
      <c r="J780" s="113"/>
      <c r="K780" s="109"/>
      <c r="L780" s="62"/>
      <c r="M780" s="62"/>
      <c r="N780" s="65"/>
      <c r="O780" s="90"/>
      <c r="P780" s="113"/>
      <c r="Q780" s="113"/>
      <c r="R780" s="90"/>
      <c r="S780" s="90"/>
      <c r="T780" s="62"/>
      <c r="U780" s="113"/>
      <c r="V780" s="113"/>
      <c r="W780" s="109"/>
      <c r="X780" s="62"/>
      <c r="Y780" s="62"/>
      <c r="Z780" s="65"/>
      <c r="AA780" s="90"/>
      <c r="AB780" s="113"/>
      <c r="AC780" s="113"/>
      <c r="AD780" s="90"/>
      <c r="AE780" s="90"/>
      <c r="AF780" s="62"/>
      <c r="AG780" s="113"/>
      <c r="AH780" s="113"/>
      <c r="AI780" s="109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0"/>
      <c r="C781" s="90"/>
      <c r="D781" s="79"/>
      <c r="E781" s="80"/>
      <c r="F781" s="81"/>
      <c r="G781" s="81"/>
      <c r="H781" s="62"/>
      <c r="I781" s="91"/>
      <c r="J781" s="91"/>
      <c r="K781" s="109"/>
      <c r="L781" s="62"/>
      <c r="M781" s="62"/>
      <c r="N781" s="90"/>
      <c r="O781" s="90"/>
      <c r="P781" s="79"/>
      <c r="Q781" s="81"/>
      <c r="R781" s="81"/>
      <c r="S781" s="81"/>
      <c r="T781" s="62"/>
      <c r="U781" s="91"/>
      <c r="V781" s="91"/>
      <c r="W781" s="109"/>
      <c r="X781" s="62"/>
      <c r="Y781" s="62"/>
      <c r="Z781" s="90"/>
      <c r="AA781" s="90"/>
      <c r="AB781" s="79"/>
      <c r="AC781" s="81"/>
      <c r="AD781" s="81"/>
      <c r="AE781" s="81"/>
      <c r="AF781" s="62"/>
      <c r="AG781" s="91"/>
      <c r="AH781" s="91"/>
      <c r="AI781" s="109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0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0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0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0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0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0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0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0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0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0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0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2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0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0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0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0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62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65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62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0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0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0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62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0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0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0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0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0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0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0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0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62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0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0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0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0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62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0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0"/>
      <c r="P802" s="67"/>
      <c r="Q802" s="90"/>
      <c r="R802" s="90"/>
      <c r="S802" s="60"/>
      <c r="T802" s="62"/>
      <c r="U802" s="62"/>
      <c r="V802" s="62"/>
      <c r="W802" s="61"/>
      <c r="X802" s="62"/>
      <c r="Y802" s="62"/>
      <c r="Z802" s="66"/>
      <c r="AA802" s="90"/>
      <c r="AB802" s="67"/>
      <c r="AC802" s="90"/>
      <c r="AD802" s="90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0"/>
      <c r="P803" s="68"/>
      <c r="Q803" s="90"/>
      <c r="R803" s="90"/>
      <c r="S803" s="60"/>
      <c r="T803" s="62"/>
      <c r="U803" s="62"/>
      <c r="V803" s="62"/>
      <c r="W803" s="61"/>
      <c r="X803" s="62"/>
      <c r="Y803" s="62"/>
      <c r="Z803" s="66"/>
      <c r="AA803" s="90"/>
      <c r="AB803" s="68"/>
      <c r="AC803" s="90"/>
      <c r="AD803" s="90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0"/>
      <c r="P804" s="69"/>
      <c r="Q804" s="68"/>
      <c r="R804" s="62"/>
      <c r="S804" s="60"/>
      <c r="T804" s="62"/>
      <c r="U804" s="62"/>
      <c r="V804" s="62"/>
      <c r="W804" s="61"/>
      <c r="X804" s="62"/>
      <c r="Y804" s="62"/>
      <c r="Z804" s="66"/>
      <c r="AA804" s="90"/>
      <c r="AB804" s="69"/>
      <c r="AC804" s="90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0"/>
      <c r="P805" s="69"/>
      <c r="Q805" s="90"/>
      <c r="R805" s="90"/>
      <c r="S805" s="60"/>
      <c r="T805" s="62"/>
      <c r="U805" s="62"/>
      <c r="V805" s="62"/>
      <c r="W805" s="61"/>
      <c r="X805" s="62"/>
      <c r="Y805" s="62"/>
      <c r="Z805" s="66"/>
      <c r="AA805" s="90"/>
      <c r="AB805" s="69"/>
      <c r="AC805" s="90"/>
      <c r="AD805" s="90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0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0"/>
      <c r="P806" s="69"/>
      <c r="Q806" s="90"/>
      <c r="R806" s="90"/>
      <c r="S806" s="60"/>
      <c r="T806" s="62"/>
      <c r="U806" s="62"/>
      <c r="V806" s="62"/>
      <c r="W806" s="61"/>
      <c r="X806" s="62"/>
      <c r="Y806" s="62"/>
      <c r="Z806" s="66"/>
      <c r="AA806" s="90"/>
      <c r="AB806" s="69"/>
      <c r="AC806" s="90"/>
      <c r="AD806" s="90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0"/>
      <c r="P807" s="69"/>
      <c r="Q807" s="90"/>
      <c r="R807" s="90"/>
      <c r="S807" s="60"/>
      <c r="T807" s="62"/>
      <c r="U807" s="62"/>
      <c r="V807" s="62"/>
      <c r="W807" s="61"/>
      <c r="X807" s="62"/>
      <c r="Y807" s="62"/>
      <c r="Z807" s="66"/>
      <c r="AA807" s="90"/>
      <c r="AB807" s="69"/>
      <c r="AC807" s="90"/>
      <c r="AD807" s="90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0"/>
      <c r="P808" s="69"/>
      <c r="Q808" s="90"/>
      <c r="R808" s="90"/>
      <c r="S808" s="60"/>
      <c r="T808" s="62"/>
      <c r="U808" s="62"/>
      <c r="V808" s="62"/>
      <c r="W808" s="61"/>
      <c r="X808" s="62"/>
      <c r="Y808" s="62"/>
      <c r="Z808" s="66"/>
      <c r="AA808" s="90"/>
      <c r="AB808" s="69"/>
      <c r="AC808" s="90"/>
      <c r="AD808" s="90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0"/>
      <c r="P809" s="69"/>
      <c r="Q809" s="90"/>
      <c r="R809" s="90"/>
      <c r="S809" s="60"/>
      <c r="T809" s="62"/>
      <c r="U809" s="62"/>
      <c r="V809" s="62"/>
      <c r="W809" s="61"/>
      <c r="X809" s="62"/>
      <c r="Y809" s="62"/>
      <c r="Z809" s="66"/>
      <c r="AA809" s="90"/>
      <c r="AB809" s="69"/>
      <c r="AC809" s="90"/>
      <c r="AD809" s="90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0"/>
      <c r="P810" s="69"/>
      <c r="Q810" s="90"/>
      <c r="R810" s="90"/>
      <c r="S810" s="60"/>
      <c r="T810" s="62"/>
      <c r="U810" s="62"/>
      <c r="V810" s="62"/>
      <c r="W810" s="61"/>
      <c r="X810" s="62"/>
      <c r="Y810" s="62"/>
      <c r="Z810" s="66"/>
      <c r="AA810" s="90"/>
      <c r="AB810" s="69"/>
      <c r="AC810" s="90"/>
      <c r="AD810" s="90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0"/>
      <c r="P811" s="69"/>
      <c r="Q811" s="90"/>
      <c r="R811" s="90"/>
      <c r="S811" s="60"/>
      <c r="T811" s="62"/>
      <c r="U811" s="62"/>
      <c r="V811" s="62"/>
      <c r="W811" s="61"/>
      <c r="X811" s="62"/>
      <c r="Y811" s="62"/>
      <c r="Z811" s="66"/>
      <c r="AA811" s="90"/>
      <c r="AB811" s="69"/>
      <c r="AC811" s="90"/>
      <c r="AD811" s="90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0"/>
      <c r="P812" s="69"/>
      <c r="Q812" s="90"/>
      <c r="R812" s="90"/>
      <c r="S812" s="60"/>
      <c r="T812" s="62"/>
      <c r="U812" s="62"/>
      <c r="V812" s="62"/>
      <c r="W812" s="61"/>
      <c r="X812" s="62"/>
      <c r="Y812" s="62"/>
      <c r="Z812" s="66"/>
      <c r="AA812" s="90"/>
      <c r="AB812" s="69"/>
      <c r="AC812" s="90"/>
      <c r="AD812" s="90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0"/>
      <c r="P813" s="69"/>
      <c r="Q813" s="90"/>
      <c r="R813" s="90"/>
      <c r="S813" s="60"/>
      <c r="T813" s="62"/>
      <c r="U813" s="62"/>
      <c r="V813" s="62"/>
      <c r="W813" s="61"/>
      <c r="X813" s="62"/>
      <c r="Y813" s="62"/>
      <c r="Z813" s="66"/>
      <c r="AA813" s="90"/>
      <c r="AB813" s="69"/>
      <c r="AC813" s="90"/>
      <c r="AD813" s="90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0"/>
      <c r="P814" s="69"/>
      <c r="Q814" s="90"/>
      <c r="R814" s="90"/>
      <c r="S814" s="60"/>
      <c r="T814" s="62"/>
      <c r="U814" s="62"/>
      <c r="V814" s="62"/>
      <c r="W814" s="61"/>
      <c r="X814" s="62"/>
      <c r="Y814" s="62"/>
      <c r="Z814" s="66"/>
      <c r="AA814" s="90"/>
      <c r="AB814" s="69"/>
      <c r="AC814" s="90"/>
      <c r="AD814" s="90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0"/>
      <c r="P815" s="69"/>
      <c r="Q815" s="90"/>
      <c r="R815" s="90"/>
      <c r="S815" s="60"/>
      <c r="T815" s="62"/>
      <c r="U815" s="62"/>
      <c r="V815" s="62"/>
      <c r="W815" s="61"/>
      <c r="X815" s="62"/>
      <c r="Y815" s="62"/>
      <c r="Z815" s="66"/>
      <c r="AA815" s="90"/>
      <c r="AB815" s="69"/>
      <c r="AC815" s="90"/>
      <c r="AD815" s="90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0"/>
      <c r="P816" s="69"/>
      <c r="Q816" s="90"/>
      <c r="R816" s="90"/>
      <c r="S816" s="60"/>
      <c r="T816" s="62"/>
      <c r="U816" s="62"/>
      <c r="V816" s="62"/>
      <c r="W816" s="61"/>
      <c r="X816" s="62"/>
      <c r="Y816" s="62"/>
      <c r="Z816" s="66"/>
      <c r="AA816" s="90"/>
      <c r="AB816" s="69"/>
      <c r="AC816" s="90"/>
      <c r="AD816" s="90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0"/>
      <c r="P817" s="69"/>
      <c r="Q817" s="90"/>
      <c r="R817" s="90"/>
      <c r="S817" s="60"/>
      <c r="T817" s="62"/>
      <c r="U817" s="62"/>
      <c r="V817" s="62"/>
      <c r="W817" s="61"/>
      <c r="X817" s="62"/>
      <c r="Y817" s="62"/>
      <c r="Z817" s="66"/>
      <c r="AA817" s="90"/>
      <c r="AB817" s="69"/>
      <c r="AC817" s="90"/>
      <c r="AD817" s="90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0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0"/>
      <c r="R818" s="90"/>
      <c r="S818" s="60"/>
      <c r="T818" s="62"/>
      <c r="U818" s="62"/>
      <c r="V818" s="62"/>
      <c r="W818" s="61"/>
      <c r="X818" s="62"/>
      <c r="Y818" s="62"/>
      <c r="Z818" s="66"/>
      <c r="AA818" s="90"/>
      <c r="AB818" s="69"/>
      <c r="AC818" s="90"/>
      <c r="AD818" s="90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0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0"/>
      <c r="P819" s="69"/>
      <c r="Q819" s="90"/>
      <c r="R819" s="90"/>
      <c r="S819" s="60"/>
      <c r="T819" s="62"/>
      <c r="U819" s="62"/>
      <c r="V819" s="62"/>
      <c r="W819" s="61"/>
      <c r="X819" s="62"/>
      <c r="Y819" s="62"/>
      <c r="Z819" s="66"/>
      <c r="AA819" s="90"/>
      <c r="AB819" s="69"/>
      <c r="AC819" s="90"/>
      <c r="AD819" s="90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0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0"/>
      <c r="P820" s="69"/>
      <c r="Q820" s="90"/>
      <c r="R820" s="90"/>
      <c r="S820" s="60"/>
      <c r="T820" s="62"/>
      <c r="U820" s="62"/>
      <c r="V820" s="62"/>
      <c r="W820" s="61"/>
      <c r="X820" s="62"/>
      <c r="Y820" s="62"/>
      <c r="Z820" s="66"/>
      <c r="AA820" s="90"/>
      <c r="AB820" s="69"/>
      <c r="AC820" s="90"/>
      <c r="AD820" s="90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0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0"/>
      <c r="R821" s="90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0"/>
      <c r="AD821" s="90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0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0"/>
      <c r="P822" s="69"/>
      <c r="Q822" s="90"/>
      <c r="R822" s="90"/>
      <c r="S822" s="60"/>
      <c r="T822" s="62"/>
      <c r="U822" s="62"/>
      <c r="V822" s="62"/>
      <c r="W822" s="61"/>
      <c r="X822" s="62"/>
      <c r="Y822" s="62"/>
      <c r="Z822" s="66"/>
      <c r="AA822" s="90"/>
      <c r="AB822" s="69"/>
      <c r="AC822" s="90"/>
      <c r="AD822" s="90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0"/>
      <c r="O823" s="90"/>
      <c r="P823" s="90"/>
      <c r="Q823" s="90"/>
      <c r="R823" s="90"/>
      <c r="S823" s="90"/>
      <c r="T823" s="62"/>
      <c r="U823" s="62"/>
      <c r="V823" s="62"/>
      <c r="W823" s="61"/>
      <c r="X823" s="62"/>
      <c r="Y823" s="62"/>
      <c r="Z823" s="90"/>
      <c r="AA823" s="90"/>
      <c r="AB823" s="90"/>
      <c r="AC823" s="90"/>
      <c r="AD823" s="90"/>
      <c r="AE823" s="90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0"/>
      <c r="C824" s="90"/>
      <c r="D824" s="90"/>
      <c r="E824" s="90"/>
      <c r="F824" s="90"/>
      <c r="G824" s="90"/>
      <c r="H824" s="62"/>
      <c r="I824" s="62"/>
      <c r="J824" s="62"/>
      <c r="K824" s="62"/>
      <c r="L824" s="62"/>
      <c r="M824" s="62"/>
      <c r="N824" s="90"/>
      <c r="O824" s="90"/>
      <c r="P824" s="90"/>
      <c r="Q824" s="90"/>
      <c r="R824" s="90"/>
      <c r="S824" s="90"/>
      <c r="T824" s="62"/>
      <c r="U824" s="62"/>
      <c r="V824" s="62"/>
      <c r="W824" s="62"/>
      <c r="X824" s="62"/>
      <c r="Y824" s="62"/>
      <c r="Z824" s="90"/>
      <c r="AA824" s="90"/>
      <c r="AB824" s="90"/>
      <c r="AC824" s="90"/>
      <c r="AD824" s="90"/>
      <c r="AE824" s="90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0"/>
      <c r="C825" s="90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0"/>
      <c r="O825" s="90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0"/>
      <c r="AA825" s="90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3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3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3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2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2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2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ht="15.75" x14ac:dyDescent="0.25">
      <c r="A831" s="62"/>
      <c r="B831" s="89"/>
      <c r="C831" s="89"/>
      <c r="D831" s="89"/>
      <c r="E831" s="89"/>
      <c r="F831" s="89"/>
      <c r="G831" s="89"/>
      <c r="H831" s="62"/>
      <c r="I831" s="89"/>
      <c r="J831" s="73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89"/>
      <c r="V831" s="73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89"/>
      <c r="AH831" s="89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A832" s="64"/>
      <c r="B832" s="89"/>
      <c r="C832" s="89"/>
      <c r="D832" s="89"/>
      <c r="E832" s="89"/>
      <c r="F832" s="89"/>
      <c r="G832" s="89"/>
      <c r="H832" s="62"/>
      <c r="I832" s="65"/>
      <c r="J832" s="65"/>
      <c r="K832" s="62"/>
      <c r="L832" s="62"/>
      <c r="M832" s="64"/>
      <c r="N832" s="89"/>
      <c r="O832" s="89"/>
      <c r="P832" s="89"/>
      <c r="Q832" s="89"/>
      <c r="R832" s="89"/>
      <c r="S832" s="89"/>
      <c r="T832" s="62"/>
      <c r="U832" s="65"/>
      <c r="V832" s="65"/>
      <c r="W832" s="62"/>
      <c r="X832" s="62"/>
      <c r="Y832" s="64"/>
      <c r="Z832" s="89"/>
      <c r="AA832" s="89"/>
      <c r="AB832" s="89"/>
      <c r="AC832" s="89"/>
      <c r="AD832" s="89"/>
      <c r="AE832" s="89"/>
      <c r="AF832" s="62"/>
      <c r="AG832" s="65"/>
      <c r="AH832" s="65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2"/>
      <c r="B833" s="89"/>
      <c r="C833" s="89"/>
      <c r="D833" s="89"/>
      <c r="E833" s="89"/>
      <c r="F833" s="89"/>
      <c r="G833" s="89"/>
      <c r="H833" s="62"/>
      <c r="I833" s="62"/>
      <c r="J833" s="62"/>
      <c r="K833" s="62"/>
      <c r="L833" s="62"/>
      <c r="M833" s="62"/>
      <c r="N833" s="89"/>
      <c r="O833" s="89"/>
      <c r="P833" s="89"/>
      <c r="Q833" s="89"/>
      <c r="R833" s="89"/>
      <c r="S833" s="89"/>
      <c r="T833" s="62"/>
      <c r="U833" s="62"/>
      <c r="V833" s="62"/>
      <c r="W833" s="62"/>
      <c r="X833" s="62"/>
      <c r="Y833" s="62"/>
      <c r="Z833" s="89"/>
      <c r="AA833" s="89"/>
      <c r="AB833" s="89"/>
      <c r="AC833" s="89"/>
      <c r="AD833" s="89"/>
      <c r="AE833" s="89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65"/>
      <c r="C834" s="89"/>
      <c r="D834" s="113"/>
      <c r="E834" s="113"/>
      <c r="F834" s="89"/>
      <c r="G834" s="89"/>
      <c r="H834" s="62"/>
      <c r="I834" s="113"/>
      <c r="J834" s="113"/>
      <c r="K834" s="109"/>
      <c r="L834" s="62"/>
      <c r="M834" s="62"/>
      <c r="N834" s="65"/>
      <c r="O834" s="89"/>
      <c r="P834" s="113"/>
      <c r="Q834" s="113"/>
      <c r="R834" s="89"/>
      <c r="S834" s="89"/>
      <c r="T834" s="62"/>
      <c r="U834" s="113"/>
      <c r="V834" s="113"/>
      <c r="W834" s="109"/>
      <c r="X834" s="62"/>
      <c r="Y834" s="62"/>
      <c r="Z834" s="65"/>
      <c r="AA834" s="89"/>
      <c r="AB834" s="113"/>
      <c r="AC834" s="113"/>
      <c r="AD834" s="89"/>
      <c r="AE834" s="89"/>
      <c r="AF834" s="62"/>
      <c r="AG834" s="113"/>
      <c r="AH834" s="113"/>
      <c r="AI834" s="109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89"/>
      <c r="C835" s="89"/>
      <c r="D835" s="79"/>
      <c r="E835" s="80"/>
      <c r="F835" s="81"/>
      <c r="G835" s="81"/>
      <c r="H835" s="62"/>
      <c r="I835" s="88"/>
      <c r="J835" s="88"/>
      <c r="K835" s="109"/>
      <c r="L835" s="62"/>
      <c r="M835" s="62"/>
      <c r="N835" s="89"/>
      <c r="O835" s="89"/>
      <c r="P835" s="79"/>
      <c r="Q835" s="81"/>
      <c r="R835" s="81"/>
      <c r="S835" s="81"/>
      <c r="T835" s="62"/>
      <c r="U835" s="88"/>
      <c r="V835" s="88"/>
      <c r="W835" s="109"/>
      <c r="X835" s="62"/>
      <c r="Y835" s="62"/>
      <c r="Z835" s="89"/>
      <c r="AA835" s="89"/>
      <c r="AB835" s="79"/>
      <c r="AC835" s="81"/>
      <c r="AD835" s="81"/>
      <c r="AE835" s="81"/>
      <c r="AF835" s="62"/>
      <c r="AG835" s="88"/>
      <c r="AH835" s="88"/>
      <c r="AI835" s="109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66"/>
      <c r="C836" s="84"/>
      <c r="D836" s="60"/>
      <c r="E836" s="60"/>
      <c r="F836" s="60"/>
      <c r="G836" s="60"/>
      <c r="H836" s="61"/>
      <c r="I836" s="61"/>
      <c r="J836" s="61"/>
      <c r="K836" s="61"/>
      <c r="L836" s="62"/>
      <c r="M836" s="62"/>
      <c r="N836" s="66"/>
      <c r="O836" s="89"/>
      <c r="P836" s="60"/>
      <c r="Q836" s="60"/>
      <c r="R836" s="60"/>
      <c r="S836" s="60"/>
      <c r="T836" s="61"/>
      <c r="U836" s="61"/>
      <c r="V836" s="61"/>
      <c r="W836" s="61"/>
      <c r="X836" s="62"/>
      <c r="Y836" s="62"/>
      <c r="Z836" s="66"/>
      <c r="AA836" s="89"/>
      <c r="AB836" s="60"/>
      <c r="AC836" s="60"/>
      <c r="AD836" s="60"/>
      <c r="AE836" s="60"/>
      <c r="AF836" s="61"/>
      <c r="AG836" s="61"/>
      <c r="AH836" s="61"/>
      <c r="AI836" s="61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2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2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2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1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1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65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2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0"/>
      <c r="AE844" s="60"/>
      <c r="AF844" s="61"/>
      <c r="AG844" s="62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65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2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1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9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65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2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9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62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2"/>
      <c r="I856" s="62"/>
      <c r="J856" s="62"/>
      <c r="K856" s="61"/>
      <c r="L856" s="62"/>
      <c r="M856" s="62"/>
      <c r="N856" s="66"/>
      <c r="O856" s="65"/>
      <c r="P856" s="67"/>
      <c r="Q856" s="89"/>
      <c r="R856" s="89"/>
      <c r="S856" s="60"/>
      <c r="T856" s="62"/>
      <c r="U856" s="62"/>
      <c r="V856" s="62"/>
      <c r="W856" s="61"/>
      <c r="X856" s="62"/>
      <c r="Y856" s="62"/>
      <c r="Z856" s="66"/>
      <c r="AA856" s="89"/>
      <c r="AB856" s="67"/>
      <c r="AC856" s="89"/>
      <c r="AD856" s="89"/>
      <c r="AE856" s="60"/>
      <c r="AF856" s="62"/>
      <c r="AG856" s="62"/>
      <c r="AH856" s="62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9"/>
      <c r="P857" s="68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8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1"/>
      <c r="K858" s="61"/>
      <c r="L858" s="62"/>
      <c r="M858" s="62"/>
      <c r="N858" s="66"/>
      <c r="O858" s="89"/>
      <c r="P858" s="69"/>
      <c r="Q858" s="62"/>
      <c r="R858" s="62"/>
      <c r="S858" s="60"/>
      <c r="T858" s="62"/>
      <c r="U858" s="62"/>
      <c r="V858" s="62"/>
      <c r="W858" s="61"/>
      <c r="X858" s="62"/>
      <c r="Y858" s="62"/>
      <c r="Z858" s="66"/>
      <c r="AA858" s="89"/>
      <c r="AB858" s="69"/>
      <c r="AC858" s="89"/>
      <c r="AD858" s="62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2"/>
      <c r="K859" s="61"/>
      <c r="L859" s="62"/>
      <c r="M859" s="62"/>
      <c r="N859" s="66"/>
      <c r="O859" s="89"/>
      <c r="P859" s="69"/>
      <c r="Q859" s="89"/>
      <c r="R859" s="89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89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5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9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62"/>
      <c r="B872" s="66"/>
      <c r="C872" s="89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62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89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62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62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89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89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6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89"/>
      <c r="O877" s="89"/>
      <c r="P877" s="89"/>
      <c r="Q877" s="89"/>
      <c r="R877" s="89"/>
      <c r="S877" s="89"/>
      <c r="T877" s="62"/>
      <c r="U877" s="62"/>
      <c r="V877" s="62"/>
      <c r="W877" s="61"/>
      <c r="X877" s="62"/>
      <c r="Y877" s="62"/>
      <c r="Z877" s="89"/>
      <c r="AA877" s="89"/>
      <c r="AB877" s="89"/>
      <c r="AC877" s="89"/>
      <c r="AD877" s="89"/>
      <c r="AE877" s="89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89"/>
      <c r="C878" s="89"/>
      <c r="D878" s="89"/>
      <c r="E878" s="89"/>
      <c r="F878" s="89"/>
      <c r="G878" s="89"/>
      <c r="H878" s="62"/>
      <c r="I878" s="62"/>
      <c r="J878" s="62"/>
      <c r="K878" s="62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2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70"/>
      <c r="E879" s="70"/>
      <c r="F879" s="70"/>
      <c r="G879" s="70"/>
      <c r="H879" s="63"/>
      <c r="I879" s="70"/>
      <c r="J879" s="70"/>
      <c r="K879" s="70"/>
      <c r="L879" s="62"/>
      <c r="M879" s="62"/>
      <c r="N879" s="89"/>
      <c r="O879" s="89"/>
      <c r="P879" s="70"/>
      <c r="Q879" s="70"/>
      <c r="R879" s="70"/>
      <c r="S879" s="70"/>
      <c r="T879" s="63"/>
      <c r="U879" s="71"/>
      <c r="V879" s="71"/>
      <c r="W879" s="71"/>
      <c r="X879" s="62"/>
      <c r="Y879" s="62"/>
      <c r="Z879" s="89"/>
      <c r="AA879" s="89"/>
      <c r="AB879" s="70"/>
      <c r="AC879" s="70"/>
      <c r="AD879" s="70"/>
      <c r="AE879" s="70"/>
      <c r="AF879" s="63"/>
      <c r="AG879" s="71"/>
      <c r="AH879" s="71"/>
      <c r="AI879" s="71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89"/>
      <c r="C881" s="89"/>
      <c r="D881" s="89"/>
      <c r="E881" s="89"/>
      <c r="F881" s="89"/>
      <c r="G881" s="89"/>
      <c r="H881" s="62"/>
      <c r="I881" s="62"/>
      <c r="J881" s="62"/>
      <c r="K881" s="62"/>
      <c r="L881" s="62"/>
      <c r="M881" s="62"/>
      <c r="N881" s="89"/>
      <c r="O881" s="89"/>
      <c r="P881" s="89"/>
      <c r="Q881" s="89"/>
      <c r="R881" s="89"/>
      <c r="S881" s="89"/>
      <c r="T881" s="62"/>
      <c r="U881" s="62"/>
      <c r="V881" s="62"/>
      <c r="W881" s="62"/>
      <c r="X881" s="62"/>
      <c r="Y881" s="62"/>
      <c r="Z881" s="89"/>
      <c r="AA881" s="89"/>
      <c r="AB881" s="89"/>
      <c r="AC881" s="89"/>
      <c r="AD881" s="89"/>
      <c r="AE881" s="89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3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3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3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2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2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2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ht="15.75" x14ac:dyDescent="0.25">
      <c r="A886" s="62"/>
      <c r="B886" s="89"/>
      <c r="C886" s="89"/>
      <c r="D886" s="89"/>
      <c r="E886" s="89"/>
      <c r="F886" s="89"/>
      <c r="G886" s="89"/>
      <c r="H886" s="62"/>
      <c r="I886" s="89"/>
      <c r="J886" s="73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89"/>
      <c r="V886" s="73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89"/>
      <c r="AH886" s="89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A887" s="64"/>
      <c r="B887" s="89"/>
      <c r="C887" s="89"/>
      <c r="D887" s="89"/>
      <c r="E887" s="89"/>
      <c r="F887" s="89"/>
      <c r="G887" s="89"/>
      <c r="H887" s="62"/>
      <c r="I887" s="65"/>
      <c r="J887" s="65"/>
      <c r="K887" s="62"/>
      <c r="L887" s="62"/>
      <c r="M887" s="64"/>
      <c r="N887" s="89"/>
      <c r="O887" s="89"/>
      <c r="P887" s="89"/>
      <c r="Q887" s="89"/>
      <c r="R887" s="89"/>
      <c r="S887" s="89"/>
      <c r="T887" s="62"/>
      <c r="U887" s="65"/>
      <c r="V887" s="65"/>
      <c r="W887" s="62"/>
      <c r="X887" s="62"/>
      <c r="Y887" s="64"/>
      <c r="Z887" s="89"/>
      <c r="AA887" s="89"/>
      <c r="AB887" s="89"/>
      <c r="AC887" s="89"/>
      <c r="AD887" s="89"/>
      <c r="AE887" s="89"/>
      <c r="AF887" s="62"/>
      <c r="AG887" s="65"/>
      <c r="AH887" s="65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2"/>
      <c r="B888" s="89"/>
      <c r="C888" s="89"/>
      <c r="D888" s="89"/>
      <c r="E888" s="89"/>
      <c r="F888" s="89"/>
      <c r="G888" s="89"/>
      <c r="H888" s="62"/>
      <c r="I888" s="62"/>
      <c r="J888" s="62"/>
      <c r="K888" s="62"/>
      <c r="L888" s="62"/>
      <c r="M888" s="62"/>
      <c r="N888" s="89"/>
      <c r="O888" s="89"/>
      <c r="P888" s="89"/>
      <c r="Q888" s="89"/>
      <c r="R888" s="89"/>
      <c r="S888" s="89"/>
      <c r="T888" s="62"/>
      <c r="U888" s="62"/>
      <c r="V888" s="62"/>
      <c r="W888" s="62"/>
      <c r="X888" s="62"/>
      <c r="Y888" s="62"/>
      <c r="Z888" s="89"/>
      <c r="AA888" s="89"/>
      <c r="AB888" s="89"/>
      <c r="AC888" s="89"/>
      <c r="AD888" s="89"/>
      <c r="AE888" s="89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65"/>
      <c r="C889" s="89"/>
      <c r="D889" s="113"/>
      <c r="E889" s="113"/>
      <c r="F889" s="89"/>
      <c r="G889" s="89"/>
      <c r="H889" s="62"/>
      <c r="I889" s="113"/>
      <c r="J889" s="113"/>
      <c r="K889" s="109"/>
      <c r="L889" s="62"/>
      <c r="M889" s="62"/>
      <c r="N889" s="65"/>
      <c r="O889" s="89"/>
      <c r="P889" s="113"/>
      <c r="Q889" s="113"/>
      <c r="R889" s="89"/>
      <c r="S889" s="89"/>
      <c r="T889" s="62"/>
      <c r="U889" s="113"/>
      <c r="V889" s="113"/>
      <c r="W889" s="109"/>
      <c r="X889" s="62"/>
      <c r="Y889" s="62"/>
      <c r="Z889" s="65"/>
      <c r="AA889" s="89"/>
      <c r="AB889" s="113"/>
      <c r="AC889" s="113"/>
      <c r="AD889" s="89"/>
      <c r="AE889" s="89"/>
      <c r="AF889" s="62"/>
      <c r="AG889" s="113"/>
      <c r="AH889" s="113"/>
      <c r="AI889" s="109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89"/>
      <c r="C890" s="89"/>
      <c r="D890" s="79"/>
      <c r="E890" s="80"/>
      <c r="F890" s="81"/>
      <c r="G890" s="81"/>
      <c r="H890" s="62"/>
      <c r="I890" s="88"/>
      <c r="J890" s="88"/>
      <c r="K890" s="109"/>
      <c r="L890" s="62"/>
      <c r="M890" s="62"/>
      <c r="N890" s="89"/>
      <c r="O890" s="89"/>
      <c r="P890" s="79"/>
      <c r="Q890" s="81"/>
      <c r="R890" s="81"/>
      <c r="S890" s="81"/>
      <c r="T890" s="62"/>
      <c r="U890" s="88"/>
      <c r="V890" s="88"/>
      <c r="W890" s="109"/>
      <c r="X890" s="62"/>
      <c r="Y890" s="62"/>
      <c r="Z890" s="89"/>
      <c r="AA890" s="89"/>
      <c r="AB890" s="79"/>
      <c r="AC890" s="81"/>
      <c r="AD890" s="81"/>
      <c r="AE890" s="81"/>
      <c r="AF890" s="62"/>
      <c r="AG890" s="88"/>
      <c r="AH890" s="88"/>
      <c r="AI890" s="10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66"/>
      <c r="C891" s="84"/>
      <c r="D891" s="60"/>
      <c r="E891" s="60"/>
      <c r="F891" s="60"/>
      <c r="G891" s="60"/>
      <c r="H891" s="61"/>
      <c r="I891" s="61"/>
      <c r="J891" s="61"/>
      <c r="K891" s="61"/>
      <c r="L891" s="62"/>
      <c r="M891" s="62"/>
      <c r="N891" s="66"/>
      <c r="O891" s="89"/>
      <c r="P891" s="60"/>
      <c r="Q891" s="60"/>
      <c r="R891" s="60"/>
      <c r="S891" s="60"/>
      <c r="T891" s="61"/>
      <c r="U891" s="61"/>
      <c r="V891" s="61"/>
      <c r="W891" s="61"/>
      <c r="X891" s="62"/>
      <c r="Y891" s="62"/>
      <c r="Z891" s="66"/>
      <c r="AA891" s="89"/>
      <c r="AB891" s="60"/>
      <c r="AC891" s="60"/>
      <c r="AD891" s="60"/>
      <c r="AE891" s="60"/>
      <c r="AF891" s="61"/>
      <c r="AG891" s="61"/>
      <c r="AH891" s="61"/>
      <c r="AI891" s="6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2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2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2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1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1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65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2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0"/>
      <c r="AE899" s="60"/>
      <c r="AF899" s="61"/>
      <c r="AG899" s="62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2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1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65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65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2"/>
      <c r="AA906" s="65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9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9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62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62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2"/>
      <c r="I911" s="62"/>
      <c r="J911" s="62"/>
      <c r="K911" s="61"/>
      <c r="L911" s="62"/>
      <c r="M911" s="62"/>
      <c r="N911" s="66"/>
      <c r="O911" s="65"/>
      <c r="P911" s="67"/>
      <c r="Q911" s="89"/>
      <c r="R911" s="89"/>
      <c r="S911" s="60"/>
      <c r="T911" s="62"/>
      <c r="U911" s="62"/>
      <c r="V911" s="62"/>
      <c r="W911" s="61"/>
      <c r="X911" s="62"/>
      <c r="Y911" s="62"/>
      <c r="Z911" s="66"/>
      <c r="AA911" s="89"/>
      <c r="AB911" s="67"/>
      <c r="AC911" s="89"/>
      <c r="AD911" s="89"/>
      <c r="AE911" s="60"/>
      <c r="AF911" s="62"/>
      <c r="AG911" s="62"/>
      <c r="AH911" s="62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9"/>
      <c r="P912" s="68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8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1"/>
      <c r="K913" s="61"/>
      <c r="L913" s="62"/>
      <c r="M913" s="62"/>
      <c r="N913" s="66"/>
      <c r="O913" s="89"/>
      <c r="P913" s="69"/>
      <c r="Q913" s="62"/>
      <c r="R913" s="62"/>
      <c r="S913" s="60"/>
      <c r="T913" s="62"/>
      <c r="U913" s="62"/>
      <c r="V913" s="62"/>
      <c r="W913" s="61"/>
      <c r="X913" s="62"/>
      <c r="Y913" s="62"/>
      <c r="Z913" s="66"/>
      <c r="AA913" s="89"/>
      <c r="AB913" s="69"/>
      <c r="AC913" s="89"/>
      <c r="AD913" s="62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2"/>
      <c r="K914" s="61"/>
      <c r="L914" s="62"/>
      <c r="M914" s="62"/>
      <c r="N914" s="66"/>
      <c r="O914" s="89"/>
      <c r="P914" s="69"/>
      <c r="Q914" s="89"/>
      <c r="R914" s="89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89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5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9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9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62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89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62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62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89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89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6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89"/>
      <c r="O932" s="89"/>
      <c r="P932" s="89"/>
      <c r="Q932" s="89"/>
      <c r="R932" s="89"/>
      <c r="S932" s="89"/>
      <c r="T932" s="62"/>
      <c r="U932" s="62"/>
      <c r="V932" s="62"/>
      <c r="W932" s="61"/>
      <c r="X932" s="62"/>
      <c r="Y932" s="62"/>
      <c r="Z932" s="89"/>
      <c r="AA932" s="89"/>
      <c r="AB932" s="89"/>
      <c r="AC932" s="89"/>
      <c r="AD932" s="89"/>
      <c r="AE932" s="89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89"/>
      <c r="C933" s="89"/>
      <c r="D933" s="89"/>
      <c r="E933" s="89"/>
      <c r="F933" s="89"/>
      <c r="G933" s="89"/>
      <c r="H933" s="62"/>
      <c r="I933" s="62"/>
      <c r="J933" s="62"/>
      <c r="K933" s="62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2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70"/>
      <c r="E934" s="70"/>
      <c r="F934" s="70"/>
      <c r="G934" s="70"/>
      <c r="H934" s="63"/>
      <c r="I934" s="70"/>
      <c r="J934" s="70"/>
      <c r="K934" s="70"/>
      <c r="L934" s="62"/>
      <c r="M934" s="62"/>
      <c r="N934" s="89"/>
      <c r="O934" s="89"/>
      <c r="P934" s="70"/>
      <c r="Q934" s="70"/>
      <c r="R934" s="70"/>
      <c r="S934" s="70"/>
      <c r="T934" s="63"/>
      <c r="U934" s="71"/>
      <c r="V934" s="71"/>
      <c r="W934" s="71"/>
      <c r="X934" s="62"/>
      <c r="Y934" s="62"/>
      <c r="Z934" s="89"/>
      <c r="AA934" s="89"/>
      <c r="AB934" s="70"/>
      <c r="AC934" s="70"/>
      <c r="AD934" s="70"/>
      <c r="AE934" s="70"/>
      <c r="AF934" s="63"/>
      <c r="AG934" s="71"/>
      <c r="AH934" s="71"/>
      <c r="AI934" s="71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89"/>
      <c r="C936" s="89"/>
      <c r="D936" s="89"/>
      <c r="E936" s="89"/>
      <c r="F936" s="89"/>
      <c r="G936" s="89"/>
      <c r="H936" s="62"/>
      <c r="I936" s="62"/>
      <c r="J936" s="62"/>
      <c r="K936" s="62"/>
      <c r="L936" s="62"/>
      <c r="M936" s="62"/>
      <c r="N936" s="89"/>
      <c r="O936" s="89"/>
      <c r="P936" s="89"/>
      <c r="Q936" s="89"/>
      <c r="R936" s="89"/>
      <c r="S936" s="89"/>
      <c r="T936" s="62"/>
      <c r="U936" s="62"/>
      <c r="V936" s="62"/>
      <c r="W936" s="62"/>
      <c r="X936" s="62"/>
      <c r="Y936" s="62"/>
      <c r="Z936" s="89"/>
      <c r="AA936" s="89"/>
      <c r="AB936" s="89"/>
      <c r="AC936" s="89"/>
      <c r="AD936" s="89"/>
      <c r="AE936" s="89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3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3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3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3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2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2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2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ht="15.75" x14ac:dyDescent="0.25">
      <c r="A941" s="62"/>
      <c r="B941" s="89"/>
      <c r="C941" s="89"/>
      <c r="D941" s="89"/>
      <c r="E941" s="89"/>
      <c r="F941" s="89"/>
      <c r="G941" s="89"/>
      <c r="H941" s="62"/>
      <c r="I941" s="89"/>
      <c r="J941" s="73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89"/>
      <c r="V941" s="73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89"/>
      <c r="AH941" s="89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86"/>
      <c r="AT941" s="86"/>
      <c r="AU941" s="62"/>
      <c r="AV941" s="62"/>
      <c r="AW941" s="62"/>
      <c r="AX941" s="62"/>
      <c r="AY941" s="62"/>
      <c r="AZ941" s="62"/>
    </row>
    <row r="942" spans="1:52" x14ac:dyDescent="0.25">
      <c r="A942" s="64"/>
      <c r="B942" s="89"/>
      <c r="C942" s="89"/>
      <c r="D942" s="89"/>
      <c r="E942" s="89"/>
      <c r="F942" s="89"/>
      <c r="G942" s="89"/>
      <c r="H942" s="62"/>
      <c r="I942" s="65"/>
      <c r="J942" s="65"/>
      <c r="K942" s="62"/>
      <c r="L942" s="62"/>
      <c r="M942" s="64"/>
      <c r="N942" s="89"/>
      <c r="O942" s="89"/>
      <c r="P942" s="89"/>
      <c r="Q942" s="89"/>
      <c r="R942" s="89"/>
      <c r="S942" s="89"/>
      <c r="T942" s="62"/>
      <c r="U942" s="65"/>
      <c r="V942" s="65"/>
      <c r="W942" s="62"/>
      <c r="X942" s="62"/>
      <c r="Y942" s="64"/>
      <c r="Z942" s="89"/>
      <c r="AA942" s="89"/>
      <c r="AB942" s="89"/>
      <c r="AC942" s="89"/>
      <c r="AD942" s="89"/>
      <c r="AE942" s="89"/>
      <c r="AF942" s="62"/>
      <c r="AG942" s="65"/>
      <c r="AH942" s="65"/>
      <c r="AI942" s="62"/>
      <c r="AJ942" s="62"/>
      <c r="AK942" s="64"/>
      <c r="AL942" s="86"/>
      <c r="AM942" s="86"/>
      <c r="AN942" s="86"/>
      <c r="AO942" s="86"/>
      <c r="AP942" s="86"/>
      <c r="AQ942" s="86"/>
      <c r="AR942" s="62"/>
      <c r="AS942" s="65"/>
      <c r="AT942" s="65"/>
      <c r="AU942" s="62"/>
      <c r="AV942" s="62"/>
      <c r="AW942" s="62"/>
      <c r="AX942" s="62"/>
      <c r="AY942" s="62"/>
      <c r="AZ942" s="62"/>
    </row>
    <row r="943" spans="1:52" x14ac:dyDescent="0.25">
      <c r="A943" s="62"/>
      <c r="B943" s="89"/>
      <c r="C943" s="89"/>
      <c r="D943" s="89"/>
      <c r="E943" s="89"/>
      <c r="F943" s="89"/>
      <c r="G943" s="89"/>
      <c r="H943" s="62"/>
      <c r="I943" s="62"/>
      <c r="J943" s="62"/>
      <c r="K943" s="62"/>
      <c r="L943" s="62"/>
      <c r="M943" s="62"/>
      <c r="N943" s="89"/>
      <c r="O943" s="89"/>
      <c r="P943" s="89"/>
      <c r="Q943" s="89"/>
      <c r="R943" s="89"/>
      <c r="S943" s="89"/>
      <c r="T943" s="62"/>
      <c r="U943" s="62"/>
      <c r="V943" s="62"/>
      <c r="W943" s="62"/>
      <c r="X943" s="62"/>
      <c r="Y943" s="62"/>
      <c r="Z943" s="89"/>
      <c r="AA943" s="89"/>
      <c r="AB943" s="89"/>
      <c r="AC943" s="89"/>
      <c r="AD943" s="89"/>
      <c r="AE943" s="89"/>
      <c r="AF943" s="62"/>
      <c r="AG943" s="62"/>
      <c r="AH943" s="62"/>
      <c r="AI943" s="62"/>
      <c r="AJ943" s="62"/>
      <c r="AK943" s="62"/>
      <c r="AL943" s="86"/>
      <c r="AM943" s="86"/>
      <c r="AN943" s="86"/>
      <c r="AO943" s="86"/>
      <c r="AP943" s="86"/>
      <c r="AQ943" s="86"/>
      <c r="AR943" s="62"/>
      <c r="AS943" s="62"/>
      <c r="AT943" s="62"/>
      <c r="AU943" s="62"/>
      <c r="AV943" s="62"/>
      <c r="AW943" s="62"/>
      <c r="AX943" s="62"/>
      <c r="AY943" s="62"/>
      <c r="AZ943" s="62"/>
    </row>
    <row r="944" spans="1:52" ht="15" customHeight="1" x14ac:dyDescent="0.25">
      <c r="A944" s="62"/>
      <c r="B944" s="65"/>
      <c r="C944" s="89"/>
      <c r="D944" s="113"/>
      <c r="E944" s="113"/>
      <c r="F944" s="89"/>
      <c r="G944" s="89"/>
      <c r="H944" s="62"/>
      <c r="I944" s="113"/>
      <c r="J944" s="113"/>
      <c r="K944" s="109"/>
      <c r="L944" s="62"/>
      <c r="M944" s="62"/>
      <c r="N944" s="65"/>
      <c r="O944" s="89"/>
      <c r="P944" s="113"/>
      <c r="Q944" s="113"/>
      <c r="R944" s="89"/>
      <c r="S944" s="89"/>
      <c r="T944" s="62"/>
      <c r="U944" s="113"/>
      <c r="V944" s="113"/>
      <c r="W944" s="109"/>
      <c r="X944" s="62"/>
      <c r="Y944" s="62"/>
      <c r="Z944" s="65"/>
      <c r="AA944" s="89"/>
      <c r="AB944" s="113"/>
      <c r="AC944" s="113"/>
      <c r="AD944" s="89"/>
      <c r="AE944" s="89"/>
      <c r="AF944" s="62"/>
      <c r="AG944" s="113"/>
      <c r="AH944" s="113"/>
      <c r="AI944" s="109"/>
      <c r="AJ944" s="62"/>
      <c r="AK944" s="62"/>
      <c r="AL944" s="65"/>
      <c r="AM944" s="86"/>
      <c r="AN944" s="113"/>
      <c r="AO944" s="113"/>
      <c r="AP944" s="86"/>
      <c r="AQ944" s="86"/>
      <c r="AR944" s="62"/>
      <c r="AS944" s="113"/>
      <c r="AT944" s="113"/>
      <c r="AU944" s="109"/>
      <c r="AV944" s="62"/>
      <c r="AW944" s="62"/>
      <c r="AX944" s="62"/>
      <c r="AY944" s="62"/>
      <c r="AZ944" s="62"/>
    </row>
    <row r="945" spans="1:52" x14ac:dyDescent="0.25">
      <c r="A945" s="62"/>
      <c r="B945" s="89"/>
      <c r="C945" s="89"/>
      <c r="D945" s="79"/>
      <c r="E945" s="80"/>
      <c r="F945" s="81"/>
      <c r="G945" s="81"/>
      <c r="H945" s="62"/>
      <c r="I945" s="88"/>
      <c r="J945" s="88"/>
      <c r="K945" s="109"/>
      <c r="L945" s="62"/>
      <c r="M945" s="62"/>
      <c r="N945" s="89"/>
      <c r="O945" s="89"/>
      <c r="P945" s="79"/>
      <c r="Q945" s="81"/>
      <c r="R945" s="81"/>
      <c r="S945" s="81"/>
      <c r="T945" s="62"/>
      <c r="U945" s="88"/>
      <c r="V945" s="88"/>
      <c r="W945" s="109"/>
      <c r="X945" s="62"/>
      <c r="Y945" s="62"/>
      <c r="Z945" s="89"/>
      <c r="AA945" s="89"/>
      <c r="AB945" s="79"/>
      <c r="AC945" s="81"/>
      <c r="AD945" s="81"/>
      <c r="AE945" s="81"/>
      <c r="AF945" s="62"/>
      <c r="AG945" s="88"/>
      <c r="AH945" s="88"/>
      <c r="AI945" s="109"/>
      <c r="AJ945" s="62"/>
      <c r="AK945" s="62"/>
      <c r="AL945" s="86"/>
      <c r="AM945" s="86"/>
      <c r="AN945" s="79"/>
      <c r="AO945" s="81"/>
      <c r="AP945" s="81"/>
      <c r="AQ945" s="81"/>
      <c r="AR945" s="62"/>
      <c r="AS945" s="85"/>
      <c r="AT945" s="85"/>
      <c r="AU945" s="109"/>
      <c r="AV945" s="62"/>
      <c r="AW945" s="62"/>
      <c r="AX945" s="62"/>
      <c r="AY945" s="62"/>
      <c r="AZ945" s="62"/>
    </row>
    <row r="946" spans="1:52" x14ac:dyDescent="0.25">
      <c r="A946" s="62"/>
      <c r="B946" s="66"/>
      <c r="C946" s="84"/>
      <c r="D946" s="60"/>
      <c r="E946" s="60"/>
      <c r="F946" s="60"/>
      <c r="G946" s="60"/>
      <c r="H946" s="61"/>
      <c r="I946" s="61"/>
      <c r="J946" s="61"/>
      <c r="K946" s="61"/>
      <c r="L946" s="62"/>
      <c r="M946" s="62"/>
      <c r="N946" s="66"/>
      <c r="O946" s="89"/>
      <c r="P946" s="60"/>
      <c r="Q946" s="60"/>
      <c r="R946" s="60"/>
      <c r="S946" s="60"/>
      <c r="T946" s="61"/>
      <c r="U946" s="61"/>
      <c r="V946" s="61"/>
      <c r="W946" s="61"/>
      <c r="X946" s="62"/>
      <c r="Y946" s="62"/>
      <c r="Z946" s="66"/>
      <c r="AA946" s="89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2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2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1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1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2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2"/>
      <c r="AI951" s="61"/>
      <c r="AJ951" s="62"/>
      <c r="AK951" s="62"/>
      <c r="AL951" s="66"/>
      <c r="AM951" s="65"/>
      <c r="AN951" s="60"/>
      <c r="AO951" s="60"/>
      <c r="AP951" s="60"/>
      <c r="AQ951" s="60"/>
      <c r="AR951" s="61"/>
      <c r="AS951" s="61"/>
      <c r="AT951" s="62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1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1"/>
      <c r="AI952" s="61"/>
      <c r="AJ952" s="62"/>
      <c r="AK952" s="62"/>
      <c r="AL952" s="66"/>
      <c r="AM952" s="86"/>
      <c r="AN952" s="60"/>
      <c r="AO952" s="60"/>
      <c r="AP952" s="60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65"/>
      <c r="AB953" s="60"/>
      <c r="AC953" s="60"/>
      <c r="AD953" s="62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2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0"/>
      <c r="AE954" s="60"/>
      <c r="AF954" s="61"/>
      <c r="AG954" s="62"/>
      <c r="AH954" s="61"/>
      <c r="AI954" s="61"/>
      <c r="AJ954" s="62"/>
      <c r="AK954" s="62"/>
      <c r="AL954" s="66"/>
      <c r="AM954" s="86"/>
      <c r="AN954" s="62"/>
      <c r="AO954" s="60"/>
      <c r="AP954" s="60"/>
      <c r="AQ954" s="60"/>
      <c r="AR954" s="61"/>
      <c r="AS954" s="62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62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2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1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2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62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2"/>
      <c r="I966" s="62"/>
      <c r="J966" s="62"/>
      <c r="K966" s="61"/>
      <c r="L966" s="62"/>
      <c r="M966" s="62"/>
      <c r="N966" s="66"/>
      <c r="O966" s="89"/>
      <c r="P966" s="87"/>
      <c r="Q966" s="89"/>
      <c r="R966" s="89"/>
      <c r="S966" s="60"/>
      <c r="T966" s="62"/>
      <c r="U966" s="62"/>
      <c r="V966" s="62"/>
      <c r="W966" s="61"/>
      <c r="X966" s="62"/>
      <c r="Y966" s="62"/>
      <c r="Z966" s="66"/>
      <c r="AA966" s="89"/>
      <c r="AB966" s="67"/>
      <c r="AC966" s="89"/>
      <c r="AD966" s="89"/>
      <c r="AE966" s="60"/>
      <c r="AF966" s="62"/>
      <c r="AG966" s="62"/>
      <c r="AH966" s="62"/>
      <c r="AI966" s="61"/>
      <c r="AJ966" s="62"/>
      <c r="AK966" s="62"/>
      <c r="AL966" s="66"/>
      <c r="AM966" s="86"/>
      <c r="AN966" s="67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8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8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1"/>
      <c r="K968" s="61"/>
      <c r="L968" s="62"/>
      <c r="M968" s="62"/>
      <c r="N968" s="66"/>
      <c r="O968" s="89"/>
      <c r="P968" s="69"/>
      <c r="Q968" s="89"/>
      <c r="R968" s="62"/>
      <c r="S968" s="60"/>
      <c r="T968" s="62"/>
      <c r="U968" s="62"/>
      <c r="V968" s="62"/>
      <c r="W968" s="61"/>
      <c r="X968" s="62"/>
      <c r="Y968" s="62"/>
      <c r="Z968" s="66"/>
      <c r="AA968" s="89"/>
      <c r="AB968" s="69"/>
      <c r="AC968" s="89"/>
      <c r="AD968" s="62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62"/>
      <c r="AP968" s="62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2"/>
      <c r="K969" s="61"/>
      <c r="L969" s="62"/>
      <c r="M969" s="62"/>
      <c r="N969" s="66"/>
      <c r="O969" s="62"/>
      <c r="P969" s="69"/>
      <c r="Q969" s="89"/>
      <c r="R969" s="89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89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65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62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62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62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89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62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62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62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89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89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86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6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89"/>
      <c r="O987" s="89"/>
      <c r="P987" s="89"/>
      <c r="Q987" s="89"/>
      <c r="R987" s="89"/>
      <c r="S987" s="89"/>
      <c r="T987" s="62"/>
      <c r="U987" s="62"/>
      <c r="V987" s="62"/>
      <c r="W987" s="61"/>
      <c r="X987" s="62"/>
      <c r="Y987" s="62"/>
      <c r="Z987" s="89"/>
      <c r="AA987" s="89"/>
      <c r="AB987" s="89"/>
      <c r="AC987" s="89"/>
      <c r="AD987" s="89"/>
      <c r="AE987" s="89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89"/>
      <c r="C988" s="89"/>
      <c r="D988" s="89"/>
      <c r="E988" s="89"/>
      <c r="F988" s="89"/>
      <c r="G988" s="89"/>
      <c r="H988" s="62"/>
      <c r="I988" s="62"/>
      <c r="J988" s="62"/>
      <c r="K988" s="62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2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2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2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70"/>
      <c r="E989" s="70"/>
      <c r="F989" s="70"/>
      <c r="G989" s="70"/>
      <c r="H989" s="63"/>
      <c r="I989" s="70"/>
      <c r="J989" s="70"/>
      <c r="K989" s="70"/>
      <c r="L989" s="62"/>
      <c r="M989" s="62"/>
      <c r="N989" s="89"/>
      <c r="O989" s="89"/>
      <c r="P989" s="70"/>
      <c r="Q989" s="70"/>
      <c r="R989" s="70"/>
      <c r="S989" s="70"/>
      <c r="T989" s="63"/>
      <c r="U989" s="71"/>
      <c r="V989" s="71"/>
      <c r="W989" s="71"/>
      <c r="X989" s="62"/>
      <c r="Y989" s="62"/>
      <c r="Z989" s="89"/>
      <c r="AA989" s="89"/>
      <c r="AB989" s="70"/>
      <c r="AC989" s="70"/>
      <c r="AD989" s="70"/>
      <c r="AE989" s="70"/>
      <c r="AF989" s="63"/>
      <c r="AG989" s="71"/>
      <c r="AH989" s="71"/>
      <c r="AI989" s="71"/>
      <c r="AJ989" s="62"/>
      <c r="AK989" s="62"/>
      <c r="AL989" s="86"/>
      <c r="AM989" s="86"/>
      <c r="AN989" s="70"/>
      <c r="AO989" s="70"/>
      <c r="AP989" s="70"/>
      <c r="AQ989" s="70"/>
      <c r="AR989" s="63"/>
      <c r="AS989" s="71"/>
      <c r="AT989" s="71"/>
      <c r="AU989" s="71"/>
      <c r="AV989" s="62"/>
      <c r="AW989" s="62"/>
      <c r="AX989" s="62"/>
      <c r="AY989" s="62"/>
      <c r="AZ989" s="62"/>
    </row>
    <row r="990" spans="1:52" x14ac:dyDescent="0.25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86"/>
      <c r="C991" s="86"/>
      <c r="D991" s="86"/>
      <c r="E991" s="86"/>
      <c r="F991" s="86"/>
      <c r="G991" s="86"/>
      <c r="H991" s="62"/>
      <c r="I991" s="62"/>
      <c r="J991" s="62"/>
      <c r="K991" s="62"/>
      <c r="L991" s="62"/>
      <c r="M991" s="62"/>
      <c r="N991" s="86"/>
      <c r="O991" s="86"/>
      <c r="P991" s="86"/>
      <c r="Q991" s="86"/>
      <c r="R991" s="86"/>
      <c r="S991" s="86"/>
      <c r="T991" s="62"/>
      <c r="U991" s="62"/>
      <c r="V991" s="62"/>
      <c r="W991" s="62"/>
      <c r="X991" s="62"/>
      <c r="Y991" s="62"/>
      <c r="Z991" s="86"/>
      <c r="AA991" s="86"/>
      <c r="AB991" s="86"/>
      <c r="AC991" s="86"/>
      <c r="AD991" s="86"/>
      <c r="AE991" s="86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3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3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3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2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ht="15.75" x14ac:dyDescent="0.25">
      <c r="A996" s="62"/>
      <c r="B996" s="86"/>
      <c r="C996" s="86"/>
      <c r="D996" s="86"/>
      <c r="E996" s="86"/>
      <c r="F996" s="86"/>
      <c r="G996" s="86"/>
      <c r="H996" s="62"/>
      <c r="I996" s="86"/>
      <c r="J996" s="73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86"/>
      <c r="V996" s="73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86"/>
      <c r="AH996" s="86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4"/>
      <c r="B997" s="86"/>
      <c r="C997" s="86"/>
      <c r="D997" s="86"/>
      <c r="E997" s="86"/>
      <c r="F997" s="86"/>
      <c r="G997" s="86"/>
      <c r="H997" s="62"/>
      <c r="I997" s="65"/>
      <c r="J997" s="65"/>
      <c r="K997" s="62"/>
      <c r="L997" s="62"/>
      <c r="M997" s="64"/>
      <c r="N997" s="86"/>
      <c r="O997" s="86"/>
      <c r="P997" s="86"/>
      <c r="Q997" s="86"/>
      <c r="R997" s="86"/>
      <c r="S997" s="86"/>
      <c r="T997" s="62"/>
      <c r="U997" s="65"/>
      <c r="V997" s="65"/>
      <c r="W997" s="62"/>
      <c r="X997" s="62"/>
      <c r="Y997" s="64"/>
      <c r="Z997" s="86"/>
      <c r="AA997" s="86"/>
      <c r="AB997" s="86"/>
      <c r="AC997" s="86"/>
      <c r="AD997" s="86"/>
      <c r="AE997" s="86"/>
      <c r="AF997" s="62"/>
      <c r="AG997" s="65"/>
      <c r="AH997" s="65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86"/>
      <c r="C998" s="86"/>
      <c r="D998" s="86"/>
      <c r="E998" s="86"/>
      <c r="F998" s="86"/>
      <c r="G998" s="86"/>
      <c r="H998" s="62"/>
      <c r="I998" s="62"/>
      <c r="J998" s="62"/>
      <c r="K998" s="62"/>
      <c r="L998" s="62"/>
      <c r="M998" s="62"/>
      <c r="N998" s="86"/>
      <c r="O998" s="86"/>
      <c r="P998" s="86"/>
      <c r="Q998" s="86"/>
      <c r="R998" s="86"/>
      <c r="S998" s="86"/>
      <c r="T998" s="62"/>
      <c r="U998" s="62"/>
      <c r="V998" s="62"/>
      <c r="W998" s="62"/>
      <c r="X998" s="62"/>
      <c r="Y998" s="62"/>
      <c r="Z998" s="86"/>
      <c r="AA998" s="86"/>
      <c r="AB998" s="86"/>
      <c r="AC998" s="86"/>
      <c r="AD998" s="86"/>
      <c r="AE998" s="86"/>
      <c r="AF998" s="62"/>
      <c r="AG998" s="62"/>
      <c r="AH998" s="62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65"/>
      <c r="C999" s="86"/>
      <c r="D999" s="113"/>
      <c r="E999" s="113"/>
      <c r="F999" s="86"/>
      <c r="G999" s="86"/>
      <c r="H999" s="62"/>
      <c r="I999" s="113"/>
      <c r="J999" s="113"/>
      <c r="K999" s="109"/>
      <c r="L999" s="62"/>
      <c r="M999" s="62"/>
      <c r="N999" s="65"/>
      <c r="O999" s="86"/>
      <c r="P999" s="113"/>
      <c r="Q999" s="113"/>
      <c r="R999" s="86"/>
      <c r="S999" s="86"/>
      <c r="T999" s="62"/>
      <c r="U999" s="113"/>
      <c r="V999" s="113"/>
      <c r="W999" s="109"/>
      <c r="X999" s="62"/>
      <c r="Y999" s="62"/>
      <c r="Z999" s="65"/>
      <c r="AA999" s="86"/>
      <c r="AB999" s="113"/>
      <c r="AC999" s="113"/>
      <c r="AD999" s="86"/>
      <c r="AE999" s="86"/>
      <c r="AF999" s="62"/>
      <c r="AG999" s="113"/>
      <c r="AH999" s="113"/>
      <c r="AI999" s="109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86"/>
      <c r="C1000" s="86"/>
      <c r="D1000" s="79"/>
      <c r="E1000" s="80"/>
      <c r="F1000" s="81"/>
      <c r="G1000" s="81"/>
      <c r="H1000" s="62"/>
      <c r="I1000" s="85"/>
      <c r="J1000" s="85"/>
      <c r="K1000" s="109"/>
      <c r="L1000" s="62"/>
      <c r="M1000" s="62"/>
      <c r="N1000" s="86"/>
      <c r="O1000" s="86"/>
      <c r="P1000" s="79"/>
      <c r="Q1000" s="81"/>
      <c r="R1000" s="81"/>
      <c r="S1000" s="81"/>
      <c r="T1000" s="62"/>
      <c r="U1000" s="85"/>
      <c r="V1000" s="85"/>
      <c r="W1000" s="109"/>
      <c r="X1000" s="62"/>
      <c r="Y1000" s="62"/>
      <c r="Z1000" s="86"/>
      <c r="AA1000" s="86"/>
      <c r="AB1000" s="79"/>
      <c r="AC1000" s="81"/>
      <c r="AD1000" s="81"/>
      <c r="AE1000" s="81"/>
      <c r="AF1000" s="62"/>
      <c r="AG1000" s="85"/>
      <c r="AH1000" s="85"/>
      <c r="AI1000" s="10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4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65"/>
      <c r="AB1004" s="60"/>
      <c r="AC1004" s="60"/>
      <c r="AD1004" s="60"/>
      <c r="AE1004" s="60"/>
      <c r="AF1004" s="61"/>
      <c r="AG1004" s="62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2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2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2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2"/>
      <c r="AC1009" s="60"/>
      <c r="AD1009" s="60"/>
      <c r="AE1009" s="60"/>
      <c r="AF1009" s="61"/>
      <c r="AG1009" s="62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62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2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65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62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7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7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8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8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1"/>
      <c r="K1023" s="61"/>
      <c r="L1023" s="62"/>
      <c r="M1023" s="62"/>
      <c r="N1023" s="66"/>
      <c r="O1023" s="86"/>
      <c r="P1023" s="69"/>
      <c r="Q1023" s="86"/>
      <c r="R1023" s="62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62"/>
      <c r="AD1023" s="62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5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6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62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62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62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62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86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86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6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1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86"/>
      <c r="E1043" s="86"/>
      <c r="F1043" s="86"/>
      <c r="G1043" s="86"/>
      <c r="H1043" s="62"/>
      <c r="I1043" s="62"/>
      <c r="J1043" s="62"/>
      <c r="K1043" s="62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2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2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70"/>
      <c r="E1044" s="70"/>
      <c r="F1044" s="70"/>
      <c r="G1044" s="70"/>
      <c r="H1044" s="63"/>
      <c r="I1044" s="70"/>
      <c r="J1044" s="70"/>
      <c r="K1044" s="70"/>
      <c r="L1044" s="62"/>
      <c r="M1044" s="62"/>
      <c r="N1044" s="86"/>
      <c r="O1044" s="86"/>
      <c r="P1044" s="70"/>
      <c r="Q1044" s="70"/>
      <c r="R1044" s="70"/>
      <c r="S1044" s="70"/>
      <c r="T1044" s="63"/>
      <c r="U1044" s="71"/>
      <c r="V1044" s="71"/>
      <c r="W1044" s="71"/>
      <c r="X1044" s="62"/>
      <c r="Y1044" s="62"/>
      <c r="Z1044" s="86"/>
      <c r="AA1044" s="86"/>
      <c r="AB1044" s="70"/>
      <c r="AC1044" s="70"/>
      <c r="AD1044" s="70"/>
      <c r="AE1044" s="70"/>
      <c r="AF1044" s="63"/>
      <c r="AG1044" s="71"/>
      <c r="AH1044" s="71"/>
      <c r="AI1044" s="71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62"/>
      <c r="C1045" s="62"/>
      <c r="D1045" s="62"/>
      <c r="E1045" s="62"/>
      <c r="F1045" s="62"/>
      <c r="G1045" s="62"/>
      <c r="H1045" s="62"/>
      <c r="I1045" s="62"/>
      <c r="J1045" s="62"/>
      <c r="K1045" s="62"/>
      <c r="L1045" s="62"/>
      <c r="M1045" s="62"/>
      <c r="N1045" s="62"/>
      <c r="O1045" s="62"/>
      <c r="P1045" s="62"/>
      <c r="Q1045" s="62"/>
      <c r="R1045" s="62"/>
      <c r="S1045" s="62"/>
      <c r="T1045" s="62"/>
      <c r="U1045" s="62"/>
      <c r="V1045" s="62"/>
      <c r="W1045" s="62"/>
      <c r="X1045" s="62"/>
      <c r="Y1045" s="62"/>
      <c r="Z1045" s="62"/>
      <c r="AA1045" s="62"/>
      <c r="AB1045" s="62"/>
      <c r="AC1045" s="62"/>
      <c r="AD1045" s="62"/>
      <c r="AE1045" s="62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3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3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3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2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ht="15.75" x14ac:dyDescent="0.25">
      <c r="A1051" s="62"/>
      <c r="B1051" s="86"/>
      <c r="C1051" s="86"/>
      <c r="D1051" s="86"/>
      <c r="E1051" s="86"/>
      <c r="F1051" s="86"/>
      <c r="G1051" s="86"/>
      <c r="H1051" s="62"/>
      <c r="I1051" s="86"/>
      <c r="J1051" s="73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86"/>
      <c r="V1051" s="73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86"/>
      <c r="AH1051" s="86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4"/>
      <c r="B1052" s="86"/>
      <c r="C1052" s="86"/>
      <c r="D1052" s="86"/>
      <c r="E1052" s="86"/>
      <c r="F1052" s="86"/>
      <c r="G1052" s="86"/>
      <c r="H1052" s="62"/>
      <c r="I1052" s="65"/>
      <c r="J1052" s="65"/>
      <c r="K1052" s="62"/>
      <c r="L1052" s="62"/>
      <c r="M1052" s="64"/>
      <c r="N1052" s="86"/>
      <c r="O1052" s="86"/>
      <c r="P1052" s="86"/>
      <c r="Q1052" s="86"/>
      <c r="R1052" s="86"/>
      <c r="S1052" s="86"/>
      <c r="T1052" s="62"/>
      <c r="U1052" s="65"/>
      <c r="V1052" s="65"/>
      <c r="W1052" s="62"/>
      <c r="X1052" s="62"/>
      <c r="Y1052" s="64"/>
      <c r="Z1052" s="86"/>
      <c r="AA1052" s="86"/>
      <c r="AB1052" s="86"/>
      <c r="AC1052" s="86"/>
      <c r="AD1052" s="86"/>
      <c r="AE1052" s="86"/>
      <c r="AF1052" s="62"/>
      <c r="AG1052" s="65"/>
      <c r="AH1052" s="65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86"/>
      <c r="C1053" s="86"/>
      <c r="D1053" s="86"/>
      <c r="E1053" s="86"/>
      <c r="F1053" s="86"/>
      <c r="G1053" s="86"/>
      <c r="H1053" s="62"/>
      <c r="I1053" s="62"/>
      <c r="J1053" s="62"/>
      <c r="K1053" s="62"/>
      <c r="L1053" s="62"/>
      <c r="M1053" s="62"/>
      <c r="N1053" s="86"/>
      <c r="O1053" s="86"/>
      <c r="P1053" s="86"/>
      <c r="Q1053" s="86"/>
      <c r="R1053" s="86"/>
      <c r="S1053" s="86"/>
      <c r="T1053" s="62"/>
      <c r="U1053" s="62"/>
      <c r="V1053" s="62"/>
      <c r="W1053" s="62"/>
      <c r="X1053" s="62"/>
      <c r="Y1053" s="62"/>
      <c r="Z1053" s="86"/>
      <c r="AA1053" s="86"/>
      <c r="AB1053" s="86"/>
      <c r="AC1053" s="86"/>
      <c r="AD1053" s="86"/>
      <c r="AE1053" s="86"/>
      <c r="AF1053" s="62"/>
      <c r="AG1053" s="62"/>
      <c r="AH1053" s="62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65"/>
      <c r="C1054" s="86"/>
      <c r="D1054" s="113"/>
      <c r="E1054" s="113"/>
      <c r="F1054" s="86"/>
      <c r="G1054" s="86"/>
      <c r="H1054" s="62"/>
      <c r="I1054" s="113"/>
      <c r="J1054" s="113"/>
      <c r="K1054" s="109"/>
      <c r="L1054" s="62"/>
      <c r="M1054" s="62"/>
      <c r="N1054" s="65"/>
      <c r="O1054" s="86"/>
      <c r="P1054" s="113"/>
      <c r="Q1054" s="113"/>
      <c r="R1054" s="86"/>
      <c r="S1054" s="86"/>
      <c r="T1054" s="62"/>
      <c r="U1054" s="113"/>
      <c r="V1054" s="113"/>
      <c r="W1054" s="109"/>
      <c r="X1054" s="62"/>
      <c r="Y1054" s="62"/>
      <c r="Z1054" s="65"/>
      <c r="AA1054" s="86"/>
      <c r="AB1054" s="113"/>
      <c r="AC1054" s="113"/>
      <c r="AD1054" s="86"/>
      <c r="AE1054" s="86"/>
      <c r="AF1054" s="62"/>
      <c r="AG1054" s="113"/>
      <c r="AH1054" s="113"/>
      <c r="AI1054" s="109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86"/>
      <c r="C1055" s="86"/>
      <c r="D1055" s="79"/>
      <c r="E1055" s="80"/>
      <c r="F1055" s="81"/>
      <c r="G1055" s="81"/>
      <c r="H1055" s="62"/>
      <c r="I1055" s="85"/>
      <c r="J1055" s="85"/>
      <c r="K1055" s="109"/>
      <c r="L1055" s="62"/>
      <c r="M1055" s="62"/>
      <c r="N1055" s="86"/>
      <c r="O1055" s="86"/>
      <c r="P1055" s="79"/>
      <c r="Q1055" s="81"/>
      <c r="R1055" s="81"/>
      <c r="S1055" s="81"/>
      <c r="T1055" s="62"/>
      <c r="U1055" s="85"/>
      <c r="V1055" s="85"/>
      <c r="W1055" s="109"/>
      <c r="X1055" s="62"/>
      <c r="Y1055" s="62"/>
      <c r="Z1055" s="86"/>
      <c r="AA1055" s="86"/>
      <c r="AB1055" s="79"/>
      <c r="AC1055" s="81"/>
      <c r="AD1055" s="81"/>
      <c r="AE1055" s="81"/>
      <c r="AF1055" s="62"/>
      <c r="AG1055" s="85"/>
      <c r="AH1055" s="85"/>
      <c r="AI1055" s="10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4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2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2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2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65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2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2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2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5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7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62"/>
      <c r="AB1076" s="67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8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86"/>
      <c r="AB1077" s="68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1"/>
      <c r="K1078" s="61"/>
      <c r="L1078" s="62"/>
      <c r="M1078" s="62"/>
      <c r="N1078" s="66"/>
      <c r="O1078" s="86"/>
      <c r="P1078" s="69"/>
      <c r="Q1078" s="86"/>
      <c r="R1078" s="62"/>
      <c r="S1078" s="60"/>
      <c r="T1078" s="62"/>
      <c r="U1078" s="62"/>
      <c r="V1078" s="62"/>
      <c r="W1078" s="61"/>
      <c r="X1078" s="62"/>
      <c r="Y1078" s="62"/>
      <c r="Z1078" s="66"/>
      <c r="AA1078" s="62"/>
      <c r="AB1078" s="69"/>
      <c r="AC1078" s="86"/>
      <c r="AD1078" s="62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6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62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62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62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86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86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6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1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86"/>
      <c r="E1098" s="86"/>
      <c r="F1098" s="86"/>
      <c r="G1098" s="86"/>
      <c r="H1098" s="62"/>
      <c r="I1098" s="62"/>
      <c r="J1098" s="62"/>
      <c r="K1098" s="62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2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2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70"/>
      <c r="E1099" s="70"/>
      <c r="F1099" s="70"/>
      <c r="G1099" s="70"/>
      <c r="H1099" s="63"/>
      <c r="I1099" s="70"/>
      <c r="J1099" s="70"/>
      <c r="K1099" s="70"/>
      <c r="L1099" s="62"/>
      <c r="M1099" s="62"/>
      <c r="N1099" s="86"/>
      <c r="O1099" s="86"/>
      <c r="P1099" s="70"/>
      <c r="Q1099" s="70"/>
      <c r="R1099" s="70"/>
      <c r="S1099" s="70"/>
      <c r="T1099" s="63"/>
      <c r="U1099" s="71"/>
      <c r="V1099" s="71"/>
      <c r="W1099" s="71"/>
      <c r="X1099" s="62"/>
      <c r="Y1099" s="62"/>
      <c r="Z1099" s="86"/>
      <c r="AA1099" s="86"/>
      <c r="AB1099" s="70"/>
      <c r="AC1099" s="70"/>
      <c r="AD1099" s="70"/>
      <c r="AE1099" s="70"/>
      <c r="AF1099" s="63"/>
      <c r="AG1099" s="71"/>
      <c r="AH1099" s="71"/>
      <c r="AI1099" s="71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62"/>
      <c r="C1100" s="62"/>
      <c r="D1100" s="62"/>
      <c r="E1100" s="62"/>
      <c r="F1100" s="62"/>
      <c r="G1100" s="62"/>
      <c r="H1100" s="62"/>
      <c r="I1100" s="62"/>
      <c r="J1100" s="62"/>
      <c r="K1100" s="62"/>
      <c r="L1100" s="62"/>
      <c r="M1100" s="62"/>
      <c r="N1100" s="62"/>
      <c r="O1100" s="62"/>
      <c r="P1100" s="62"/>
      <c r="Q1100" s="62"/>
      <c r="R1100" s="62"/>
      <c r="S1100" s="62"/>
      <c r="T1100" s="62"/>
      <c r="U1100" s="62"/>
      <c r="V1100" s="62"/>
      <c r="W1100" s="62"/>
      <c r="X1100" s="62"/>
      <c r="Y1100" s="62"/>
      <c r="Z1100" s="62"/>
      <c r="AA1100" s="62"/>
      <c r="AB1100" s="62"/>
      <c r="AC1100" s="62"/>
      <c r="AD1100" s="62"/>
      <c r="AE1100" s="62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3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3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3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2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ht="15.75" x14ac:dyDescent="0.25">
      <c r="A1106" s="62"/>
      <c r="B1106" s="86"/>
      <c r="C1106" s="86"/>
      <c r="D1106" s="86"/>
      <c r="E1106" s="86"/>
      <c r="F1106" s="86"/>
      <c r="G1106" s="86"/>
      <c r="H1106" s="62"/>
      <c r="I1106" s="86"/>
      <c r="J1106" s="73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86"/>
      <c r="V1106" s="73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86"/>
      <c r="AH1106" s="86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4"/>
      <c r="B1107" s="86"/>
      <c r="C1107" s="86"/>
      <c r="D1107" s="86"/>
      <c r="E1107" s="86"/>
      <c r="F1107" s="86"/>
      <c r="G1107" s="86"/>
      <c r="H1107" s="62"/>
      <c r="I1107" s="65"/>
      <c r="J1107" s="65"/>
      <c r="K1107" s="62"/>
      <c r="L1107" s="62"/>
      <c r="M1107" s="64"/>
      <c r="N1107" s="86"/>
      <c r="O1107" s="86"/>
      <c r="P1107" s="86"/>
      <c r="Q1107" s="86"/>
      <c r="R1107" s="86"/>
      <c r="S1107" s="86"/>
      <c r="T1107" s="62"/>
      <c r="U1107" s="65"/>
      <c r="V1107" s="65"/>
      <c r="W1107" s="62"/>
      <c r="X1107" s="62"/>
      <c r="Y1107" s="64"/>
      <c r="Z1107" s="86"/>
      <c r="AA1107" s="86"/>
      <c r="AB1107" s="86"/>
      <c r="AC1107" s="86"/>
      <c r="AD1107" s="86"/>
      <c r="AE1107" s="86"/>
      <c r="AF1107" s="62"/>
      <c r="AG1107" s="65"/>
      <c r="AH1107" s="65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86"/>
      <c r="C1108" s="86"/>
      <c r="D1108" s="86"/>
      <c r="E1108" s="86"/>
      <c r="F1108" s="86"/>
      <c r="G1108" s="86"/>
      <c r="H1108" s="62"/>
      <c r="I1108" s="62"/>
      <c r="J1108" s="62"/>
      <c r="K1108" s="62"/>
      <c r="L1108" s="62"/>
      <c r="M1108" s="62"/>
      <c r="N1108" s="86"/>
      <c r="O1108" s="86"/>
      <c r="P1108" s="86"/>
      <c r="Q1108" s="86"/>
      <c r="R1108" s="86"/>
      <c r="S1108" s="86"/>
      <c r="T1108" s="62"/>
      <c r="U1108" s="62"/>
      <c r="V1108" s="62"/>
      <c r="W1108" s="62"/>
      <c r="X1108" s="62"/>
      <c r="Y1108" s="62"/>
      <c r="Z1108" s="86"/>
      <c r="AA1108" s="86"/>
      <c r="AB1108" s="86"/>
      <c r="AC1108" s="86"/>
      <c r="AD1108" s="86"/>
      <c r="AE1108" s="86"/>
      <c r="AF1108" s="62"/>
      <c r="AG1108" s="62"/>
      <c r="AH1108" s="62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65"/>
      <c r="C1109" s="86"/>
      <c r="D1109" s="113"/>
      <c r="E1109" s="113"/>
      <c r="F1109" s="86"/>
      <c r="G1109" s="86"/>
      <c r="H1109" s="62"/>
      <c r="I1109" s="113"/>
      <c r="J1109" s="113"/>
      <c r="K1109" s="109"/>
      <c r="L1109" s="62"/>
      <c r="M1109" s="62"/>
      <c r="N1109" s="65"/>
      <c r="O1109" s="86"/>
      <c r="P1109" s="113"/>
      <c r="Q1109" s="113"/>
      <c r="R1109" s="86"/>
      <c r="S1109" s="86"/>
      <c r="T1109" s="62"/>
      <c r="U1109" s="113"/>
      <c r="V1109" s="113"/>
      <c r="W1109" s="109"/>
      <c r="X1109" s="62"/>
      <c r="Y1109" s="62"/>
      <c r="Z1109" s="65"/>
      <c r="AA1109" s="86"/>
      <c r="AB1109" s="113"/>
      <c r="AC1109" s="113"/>
      <c r="AD1109" s="86"/>
      <c r="AE1109" s="86"/>
      <c r="AF1109" s="62"/>
      <c r="AG1109" s="113"/>
      <c r="AH1109" s="113"/>
      <c r="AI1109" s="109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86"/>
      <c r="C1110" s="86"/>
      <c r="D1110" s="79"/>
      <c r="E1110" s="80"/>
      <c r="F1110" s="81"/>
      <c r="G1110" s="81"/>
      <c r="H1110" s="62"/>
      <c r="I1110" s="85"/>
      <c r="J1110" s="85"/>
      <c r="K1110" s="109"/>
      <c r="L1110" s="62"/>
      <c r="M1110" s="62"/>
      <c r="N1110" s="86"/>
      <c r="O1110" s="86"/>
      <c r="P1110" s="79"/>
      <c r="Q1110" s="81"/>
      <c r="R1110" s="81"/>
      <c r="S1110" s="81"/>
      <c r="T1110" s="62"/>
      <c r="U1110" s="85"/>
      <c r="V1110" s="85"/>
      <c r="W1110" s="109"/>
      <c r="X1110" s="62"/>
      <c r="Y1110" s="62"/>
      <c r="Z1110" s="86"/>
      <c r="AA1110" s="86"/>
      <c r="AB1110" s="79"/>
      <c r="AC1110" s="81"/>
      <c r="AD1110" s="81"/>
      <c r="AE1110" s="81"/>
      <c r="AF1110" s="62"/>
      <c r="AG1110" s="85"/>
      <c r="AH1110" s="85"/>
      <c r="AI1110" s="10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4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65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2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1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2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2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0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62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2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2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65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2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7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62"/>
      <c r="AB1131" s="67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8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86"/>
      <c r="AB1132" s="68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1"/>
      <c r="K1133" s="61"/>
      <c r="L1133" s="62"/>
      <c r="M1133" s="62"/>
      <c r="N1133" s="66"/>
      <c r="O1133" s="86"/>
      <c r="P1133" s="69"/>
      <c r="Q1133" s="86"/>
      <c r="R1133" s="62"/>
      <c r="S1133" s="60"/>
      <c r="T1133" s="62"/>
      <c r="U1133" s="62"/>
      <c r="V1133" s="62"/>
      <c r="W1133" s="61"/>
      <c r="X1133" s="62"/>
      <c r="Y1133" s="62"/>
      <c r="Z1133" s="66"/>
      <c r="AA1133" s="62"/>
      <c r="AB1133" s="69"/>
      <c r="AC1133" s="86"/>
      <c r="AD1133" s="62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6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62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62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62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86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86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6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1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86"/>
      <c r="E1153" s="86"/>
      <c r="F1153" s="86"/>
      <c r="G1153" s="86"/>
      <c r="H1153" s="62"/>
      <c r="I1153" s="62"/>
      <c r="J1153" s="62"/>
      <c r="K1153" s="62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2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2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70"/>
      <c r="E1154" s="70"/>
      <c r="F1154" s="70"/>
      <c r="G1154" s="70"/>
      <c r="H1154" s="63"/>
      <c r="I1154" s="70"/>
      <c r="J1154" s="70"/>
      <c r="K1154" s="70"/>
      <c r="L1154" s="62"/>
      <c r="M1154" s="62"/>
      <c r="N1154" s="86"/>
      <c r="O1154" s="86"/>
      <c r="P1154" s="70"/>
      <c r="Q1154" s="70"/>
      <c r="R1154" s="70"/>
      <c r="S1154" s="70"/>
      <c r="T1154" s="63"/>
      <c r="U1154" s="71"/>
      <c r="V1154" s="71"/>
      <c r="W1154" s="71"/>
      <c r="X1154" s="62"/>
      <c r="Y1154" s="62"/>
      <c r="Z1154" s="86"/>
      <c r="AA1154" s="86"/>
      <c r="AB1154" s="70"/>
      <c r="AC1154" s="70"/>
      <c r="AD1154" s="70"/>
      <c r="AE1154" s="70"/>
      <c r="AF1154" s="63"/>
      <c r="AG1154" s="71"/>
      <c r="AH1154" s="71"/>
      <c r="AI1154" s="71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62"/>
      <c r="C1155" s="62"/>
      <c r="D1155" s="62"/>
      <c r="E1155" s="62"/>
      <c r="F1155" s="62"/>
      <c r="G1155" s="62"/>
      <c r="H1155" s="62"/>
      <c r="I1155" s="62"/>
      <c r="J1155" s="62"/>
      <c r="K1155" s="62"/>
      <c r="L1155" s="62"/>
      <c r="M1155" s="62"/>
      <c r="N1155" s="62"/>
      <c r="O1155" s="62"/>
      <c r="P1155" s="62"/>
      <c r="Q1155" s="62"/>
      <c r="R1155" s="62"/>
      <c r="S1155" s="62"/>
      <c r="T1155" s="62"/>
      <c r="U1155" s="62"/>
      <c r="V1155" s="62"/>
      <c r="W1155" s="62"/>
      <c r="X1155" s="62"/>
      <c r="Y1155" s="62"/>
      <c r="Z1155" s="62"/>
      <c r="AA1155" s="62"/>
      <c r="AB1155" s="62"/>
      <c r="AC1155" s="62"/>
      <c r="AD1155" s="62"/>
      <c r="AE1155" s="62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3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3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3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2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ht="15.75" x14ac:dyDescent="0.25">
      <c r="A1161" s="62"/>
      <c r="B1161" s="86"/>
      <c r="C1161" s="86"/>
      <c r="D1161" s="86"/>
      <c r="E1161" s="86"/>
      <c r="F1161" s="86"/>
      <c r="G1161" s="86"/>
      <c r="H1161" s="62"/>
      <c r="I1161" s="86"/>
      <c r="J1161" s="73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86"/>
      <c r="V1161" s="73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86"/>
      <c r="AH1161" s="86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4"/>
      <c r="B1162" s="86"/>
      <c r="C1162" s="86"/>
      <c r="D1162" s="86"/>
      <c r="E1162" s="86"/>
      <c r="F1162" s="86"/>
      <c r="G1162" s="86"/>
      <c r="H1162" s="62"/>
      <c r="I1162" s="65"/>
      <c r="J1162" s="65"/>
      <c r="K1162" s="62"/>
      <c r="L1162" s="62"/>
      <c r="M1162" s="64"/>
      <c r="N1162" s="86"/>
      <c r="O1162" s="86"/>
      <c r="P1162" s="86"/>
      <c r="Q1162" s="86"/>
      <c r="R1162" s="86"/>
      <c r="S1162" s="86"/>
      <c r="T1162" s="62"/>
      <c r="U1162" s="65"/>
      <c r="V1162" s="65"/>
      <c r="W1162" s="62"/>
      <c r="X1162" s="62"/>
      <c r="Y1162" s="64"/>
      <c r="Z1162" s="86"/>
      <c r="AA1162" s="86"/>
      <c r="AB1162" s="86"/>
      <c r="AC1162" s="86"/>
      <c r="AD1162" s="86"/>
      <c r="AE1162" s="86"/>
      <c r="AF1162" s="62"/>
      <c r="AG1162" s="65"/>
      <c r="AH1162" s="65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86"/>
      <c r="C1163" s="86"/>
      <c r="D1163" s="86"/>
      <c r="E1163" s="86"/>
      <c r="F1163" s="86"/>
      <c r="G1163" s="86"/>
      <c r="H1163" s="62"/>
      <c r="I1163" s="62"/>
      <c r="J1163" s="62"/>
      <c r="K1163" s="62"/>
      <c r="L1163" s="62"/>
      <c r="M1163" s="62"/>
      <c r="N1163" s="86"/>
      <c r="O1163" s="86"/>
      <c r="P1163" s="86"/>
      <c r="Q1163" s="86"/>
      <c r="R1163" s="86"/>
      <c r="S1163" s="86"/>
      <c r="T1163" s="62"/>
      <c r="U1163" s="62"/>
      <c r="V1163" s="62"/>
      <c r="W1163" s="62"/>
      <c r="X1163" s="62"/>
      <c r="Y1163" s="62"/>
      <c r="Z1163" s="86"/>
      <c r="AA1163" s="86"/>
      <c r="AB1163" s="86"/>
      <c r="AC1163" s="86"/>
      <c r="AD1163" s="86"/>
      <c r="AE1163" s="86"/>
      <c r="AF1163" s="62"/>
      <c r="AG1163" s="62"/>
      <c r="AH1163" s="62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65"/>
      <c r="C1164" s="86"/>
      <c r="D1164" s="113"/>
      <c r="E1164" s="113"/>
      <c r="F1164" s="86"/>
      <c r="G1164" s="86"/>
      <c r="H1164" s="62"/>
      <c r="I1164" s="113"/>
      <c r="J1164" s="113"/>
      <c r="K1164" s="109"/>
      <c r="L1164" s="62"/>
      <c r="M1164" s="62"/>
      <c r="N1164" s="65"/>
      <c r="O1164" s="86"/>
      <c r="P1164" s="113"/>
      <c r="Q1164" s="113"/>
      <c r="R1164" s="86"/>
      <c r="S1164" s="86"/>
      <c r="T1164" s="62"/>
      <c r="U1164" s="113"/>
      <c r="V1164" s="113"/>
      <c r="W1164" s="109"/>
      <c r="X1164" s="62"/>
      <c r="Y1164" s="62"/>
      <c r="Z1164" s="65"/>
      <c r="AA1164" s="86"/>
      <c r="AB1164" s="113"/>
      <c r="AC1164" s="113"/>
      <c r="AD1164" s="86"/>
      <c r="AE1164" s="86"/>
      <c r="AF1164" s="62"/>
      <c r="AG1164" s="113"/>
      <c r="AH1164" s="113"/>
      <c r="AI1164" s="109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86"/>
      <c r="C1165" s="86"/>
      <c r="D1165" s="79"/>
      <c r="E1165" s="80"/>
      <c r="F1165" s="81"/>
      <c r="G1165" s="81"/>
      <c r="H1165" s="62"/>
      <c r="I1165" s="85"/>
      <c r="J1165" s="85"/>
      <c r="K1165" s="109"/>
      <c r="L1165" s="62"/>
      <c r="M1165" s="62"/>
      <c r="N1165" s="86"/>
      <c r="O1165" s="86"/>
      <c r="P1165" s="79"/>
      <c r="Q1165" s="81"/>
      <c r="R1165" s="81"/>
      <c r="S1165" s="81"/>
      <c r="T1165" s="62"/>
      <c r="U1165" s="85"/>
      <c r="V1165" s="85"/>
      <c r="W1165" s="109"/>
      <c r="X1165" s="62"/>
      <c r="Y1165" s="62"/>
      <c r="Z1165" s="86"/>
      <c r="AA1165" s="86"/>
      <c r="AB1165" s="79"/>
      <c r="AC1165" s="81"/>
      <c r="AD1165" s="81"/>
      <c r="AE1165" s="81"/>
      <c r="AF1165" s="62"/>
      <c r="AG1165" s="85"/>
      <c r="AH1165" s="85"/>
      <c r="AI1165" s="10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2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65"/>
      <c r="P1171" s="60"/>
      <c r="Q1171" s="60"/>
      <c r="R1171" s="60"/>
      <c r="S1171" s="60"/>
      <c r="T1171" s="61"/>
      <c r="U1171" s="61"/>
      <c r="V1171" s="62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2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65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2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82"/>
      <c r="AC1174" s="60"/>
      <c r="AD1174" s="60"/>
      <c r="AE1174" s="60"/>
      <c r="AF1174" s="61"/>
      <c r="AG1174" s="62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62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5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2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2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62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62"/>
      <c r="P1186" s="67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7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86"/>
      <c r="P1187" s="68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8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1"/>
      <c r="K1188" s="61"/>
      <c r="L1188" s="62"/>
      <c r="M1188" s="62"/>
      <c r="N1188" s="66"/>
      <c r="O1188" s="86"/>
      <c r="P1188" s="69"/>
      <c r="Q1188" s="86"/>
      <c r="R1188" s="62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62"/>
      <c r="AD1188" s="62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62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62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62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62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62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86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86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6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1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86"/>
      <c r="E1208" s="86"/>
      <c r="F1208" s="86"/>
      <c r="G1208" s="86"/>
      <c r="H1208" s="62"/>
      <c r="I1208" s="62"/>
      <c r="J1208" s="62"/>
      <c r="K1208" s="62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2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2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70"/>
      <c r="E1209" s="70"/>
      <c r="F1209" s="70"/>
      <c r="G1209" s="70"/>
      <c r="H1209" s="63"/>
      <c r="I1209" s="70"/>
      <c r="J1209" s="70"/>
      <c r="K1209" s="70"/>
      <c r="L1209" s="62"/>
      <c r="M1209" s="62"/>
      <c r="N1209" s="86"/>
      <c r="O1209" s="86"/>
      <c r="P1209" s="70"/>
      <c r="Q1209" s="70"/>
      <c r="R1209" s="70"/>
      <c r="S1209" s="70"/>
      <c r="T1209" s="63"/>
      <c r="U1209" s="71"/>
      <c r="V1209" s="71"/>
      <c r="W1209" s="71"/>
      <c r="X1209" s="62"/>
      <c r="Y1209" s="62"/>
      <c r="Z1209" s="86"/>
      <c r="AA1209" s="86"/>
      <c r="AB1209" s="70"/>
      <c r="AC1209" s="70"/>
      <c r="AD1209" s="70"/>
      <c r="AE1209" s="70"/>
      <c r="AF1209" s="63"/>
      <c r="AG1209" s="71"/>
      <c r="AH1209" s="71"/>
      <c r="AI1209" s="71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3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3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3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2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s="62"/>
      <c r="B1217" s="86"/>
      <c r="C1217" s="86"/>
      <c r="D1217" s="86"/>
      <c r="E1217" s="86"/>
      <c r="F1217" s="86"/>
      <c r="G1217" s="86"/>
      <c r="H1217" s="62"/>
      <c r="I1217" s="86"/>
      <c r="J1217" s="73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86"/>
      <c r="V1217" s="73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86"/>
      <c r="AH1217" s="86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4"/>
      <c r="B1218" s="86"/>
      <c r="C1218" s="86"/>
      <c r="D1218" s="86"/>
      <c r="E1218" s="86"/>
      <c r="F1218" s="86"/>
      <c r="G1218" s="86"/>
      <c r="H1218" s="62"/>
      <c r="I1218" s="65"/>
      <c r="J1218" s="65"/>
      <c r="K1218" s="62"/>
      <c r="L1218" s="62"/>
      <c r="M1218" s="64"/>
      <c r="N1218" s="86"/>
      <c r="O1218" s="86"/>
      <c r="P1218" s="86"/>
      <c r="Q1218" s="86"/>
      <c r="R1218" s="86"/>
      <c r="S1218" s="86"/>
      <c r="T1218" s="62"/>
      <c r="U1218" s="65"/>
      <c r="V1218" s="65"/>
      <c r="W1218" s="62"/>
      <c r="X1218" s="62"/>
      <c r="Y1218" s="64"/>
      <c r="Z1218" s="86"/>
      <c r="AA1218" s="86"/>
      <c r="AB1218" s="86"/>
      <c r="AC1218" s="86"/>
      <c r="AD1218" s="86"/>
      <c r="AE1218" s="86"/>
      <c r="AF1218" s="62"/>
      <c r="AG1218" s="65"/>
      <c r="AH1218" s="65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86"/>
      <c r="C1219" s="86"/>
      <c r="D1219" s="86"/>
      <c r="E1219" s="86"/>
      <c r="F1219" s="86"/>
      <c r="G1219" s="86"/>
      <c r="H1219" s="62"/>
      <c r="I1219" s="62"/>
      <c r="J1219" s="62"/>
      <c r="K1219" s="62"/>
      <c r="L1219" s="62"/>
      <c r="M1219" s="62"/>
      <c r="N1219" s="86"/>
      <c r="O1219" s="86"/>
      <c r="P1219" s="86"/>
      <c r="Q1219" s="86"/>
      <c r="R1219" s="86"/>
      <c r="S1219" s="86"/>
      <c r="T1219" s="62"/>
      <c r="U1219" s="62"/>
      <c r="V1219" s="62"/>
      <c r="W1219" s="62"/>
      <c r="X1219" s="62"/>
      <c r="Y1219" s="62"/>
      <c r="Z1219" s="86"/>
      <c r="AA1219" s="86"/>
      <c r="AB1219" s="86"/>
      <c r="AC1219" s="86"/>
      <c r="AD1219" s="86"/>
      <c r="AE1219" s="86"/>
      <c r="AF1219" s="62"/>
      <c r="AG1219" s="62"/>
      <c r="AH1219" s="62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65"/>
      <c r="C1220" s="86"/>
      <c r="D1220" s="113"/>
      <c r="E1220" s="113"/>
      <c r="F1220" s="86"/>
      <c r="G1220" s="86"/>
      <c r="H1220" s="62"/>
      <c r="I1220" s="113"/>
      <c r="J1220" s="113"/>
      <c r="K1220" s="109"/>
      <c r="L1220" s="62"/>
      <c r="M1220" s="62"/>
      <c r="N1220" s="65"/>
      <c r="O1220" s="86"/>
      <c r="P1220" s="113"/>
      <c r="Q1220" s="113"/>
      <c r="R1220" s="86"/>
      <c r="S1220" s="86"/>
      <c r="T1220" s="62"/>
      <c r="U1220" s="113"/>
      <c r="V1220" s="113"/>
      <c r="W1220" s="109"/>
      <c r="X1220" s="62"/>
      <c r="Y1220" s="62"/>
      <c r="Z1220" s="65"/>
      <c r="AA1220" s="86"/>
      <c r="AB1220" s="113"/>
      <c r="AC1220" s="113"/>
      <c r="AD1220" s="86"/>
      <c r="AE1220" s="86"/>
      <c r="AF1220" s="62"/>
      <c r="AG1220" s="113"/>
      <c r="AH1220" s="113"/>
      <c r="AI1220" s="109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86"/>
      <c r="C1221" s="86"/>
      <c r="D1221" s="79"/>
      <c r="E1221" s="80"/>
      <c r="F1221" s="81"/>
      <c r="G1221" s="81"/>
      <c r="H1221" s="62"/>
      <c r="I1221" s="85"/>
      <c r="J1221" s="85"/>
      <c r="K1221" s="109"/>
      <c r="L1221" s="62"/>
      <c r="M1221" s="62"/>
      <c r="N1221" s="86"/>
      <c r="O1221" s="86"/>
      <c r="P1221" s="79"/>
      <c r="Q1221" s="81"/>
      <c r="R1221" s="81"/>
      <c r="S1221" s="81"/>
      <c r="T1221" s="62"/>
      <c r="U1221" s="85"/>
      <c r="V1221" s="85"/>
      <c r="W1221" s="109"/>
      <c r="X1221" s="62"/>
      <c r="Y1221" s="62"/>
      <c r="Z1221" s="86"/>
      <c r="AA1221" s="86"/>
      <c r="AB1221" s="79"/>
      <c r="AC1221" s="80"/>
      <c r="AD1221" s="81"/>
      <c r="AE1221" s="81"/>
      <c r="AF1221" s="62"/>
      <c r="AG1221" s="85"/>
      <c r="AH1221" s="85"/>
      <c r="AI1221" s="10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5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2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2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65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2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2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7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62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65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8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1"/>
      <c r="K1244" s="61"/>
      <c r="L1244" s="62"/>
      <c r="M1244" s="62"/>
      <c r="N1244" s="66"/>
      <c r="O1244" s="62"/>
      <c r="P1244" s="69"/>
      <c r="Q1244" s="62"/>
      <c r="R1244" s="62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1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62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62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65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62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86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6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1"/>
      <c r="X1271" s="62"/>
      <c r="Y1271" s="62"/>
      <c r="Z1271" s="66"/>
      <c r="AA1271" s="6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86"/>
      <c r="E1272" s="86"/>
      <c r="F1272" s="86"/>
      <c r="G1272" s="86"/>
      <c r="H1272" s="62"/>
      <c r="I1272" s="62"/>
      <c r="J1272" s="62"/>
      <c r="K1272" s="62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2"/>
      <c r="X1272" s="62"/>
      <c r="Y1272" s="62"/>
      <c r="Z1272" s="86"/>
      <c r="AA1272" s="86"/>
      <c r="AB1272" s="86"/>
      <c r="AC1272" s="86"/>
      <c r="AD1272" s="86"/>
      <c r="AE1272" s="86"/>
      <c r="AF1272" s="62"/>
      <c r="AG1272" s="62"/>
      <c r="AH1272" s="62"/>
      <c r="AI1272" s="62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70"/>
      <c r="E1273" s="70"/>
      <c r="F1273" s="70"/>
      <c r="G1273" s="70"/>
      <c r="H1273" s="63"/>
      <c r="I1273" s="70"/>
      <c r="J1273" s="70"/>
      <c r="K1273" s="70"/>
      <c r="L1273" s="62"/>
      <c r="M1273" s="62"/>
      <c r="N1273" s="86"/>
      <c r="O1273" s="86"/>
      <c r="P1273" s="70"/>
      <c r="Q1273" s="70"/>
      <c r="R1273" s="70"/>
      <c r="S1273" s="70"/>
      <c r="T1273" s="63"/>
      <c r="U1273" s="71"/>
      <c r="V1273" s="71"/>
      <c r="W1273" s="71"/>
      <c r="X1273" s="62"/>
      <c r="Y1273" s="62"/>
      <c r="Z1273" s="86"/>
      <c r="AA1273" s="86"/>
      <c r="AB1273" s="70"/>
      <c r="AC1273" s="70"/>
      <c r="AD1273" s="70"/>
      <c r="AE1273" s="70"/>
      <c r="AF1273" s="63"/>
      <c r="AG1273" s="70"/>
      <c r="AH1273" s="70"/>
      <c r="AI1273" s="70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62"/>
      <c r="C1274" s="62"/>
      <c r="D1274" s="62"/>
      <c r="E1274" s="62"/>
      <c r="F1274" s="62"/>
      <c r="G1274" s="62"/>
      <c r="H1274" s="62"/>
      <c r="I1274" s="62"/>
      <c r="J1274" s="62"/>
      <c r="K1274" s="62"/>
      <c r="L1274" s="62"/>
      <c r="M1274" s="62"/>
      <c r="N1274" s="62"/>
      <c r="O1274" s="62"/>
      <c r="P1274" s="62"/>
      <c r="Q1274" s="62"/>
      <c r="R1274" s="62"/>
      <c r="S1274" s="62"/>
      <c r="T1274" s="62"/>
      <c r="U1274" s="62"/>
      <c r="V1274" s="62"/>
      <c r="W1274" s="62"/>
      <c r="X1274" s="62"/>
      <c r="Y1274" s="62"/>
      <c r="Z1274" s="62"/>
      <c r="AA1274" s="62"/>
      <c r="AB1274" s="62"/>
      <c r="AC1274" s="62"/>
      <c r="AD1274" s="62"/>
      <c r="AE1274" s="62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3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3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3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2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ht="15.75" x14ac:dyDescent="0.25">
      <c r="A1279" s="62"/>
      <c r="B1279" s="86"/>
      <c r="C1279" s="86"/>
      <c r="D1279" s="86"/>
      <c r="E1279" s="86"/>
      <c r="F1279" s="86"/>
      <c r="G1279" s="86"/>
      <c r="H1279" s="62"/>
      <c r="I1279" s="86"/>
      <c r="J1279" s="73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86"/>
      <c r="V1279" s="73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86"/>
      <c r="AH1279" s="86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4"/>
      <c r="B1280" s="86"/>
      <c r="C1280" s="86"/>
      <c r="D1280" s="86"/>
      <c r="E1280" s="86"/>
      <c r="F1280" s="86"/>
      <c r="G1280" s="86"/>
      <c r="H1280" s="62"/>
      <c r="I1280" s="65"/>
      <c r="J1280" s="65"/>
      <c r="K1280" s="62"/>
      <c r="L1280" s="62"/>
      <c r="M1280" s="64"/>
      <c r="N1280" s="86"/>
      <c r="O1280" s="86"/>
      <c r="P1280" s="86"/>
      <c r="Q1280" s="86"/>
      <c r="R1280" s="86"/>
      <c r="S1280" s="86"/>
      <c r="T1280" s="62"/>
      <c r="U1280" s="65"/>
      <c r="V1280" s="65"/>
      <c r="W1280" s="62"/>
      <c r="X1280" s="62"/>
      <c r="Y1280" s="64"/>
      <c r="Z1280" s="86"/>
      <c r="AA1280" s="86"/>
      <c r="AB1280" s="86"/>
      <c r="AC1280" s="86"/>
      <c r="AD1280" s="86"/>
      <c r="AE1280" s="86"/>
      <c r="AF1280" s="62"/>
      <c r="AG1280" s="65"/>
      <c r="AH1280" s="65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86"/>
      <c r="C1281" s="86"/>
      <c r="D1281" s="86"/>
      <c r="E1281" s="86"/>
      <c r="F1281" s="86"/>
      <c r="G1281" s="86"/>
      <c r="H1281" s="62"/>
      <c r="I1281" s="62"/>
      <c r="J1281" s="62"/>
      <c r="K1281" s="62"/>
      <c r="L1281" s="62"/>
      <c r="M1281" s="62"/>
      <c r="N1281" s="86"/>
      <c r="O1281" s="86"/>
      <c r="P1281" s="86"/>
      <c r="Q1281" s="86"/>
      <c r="R1281" s="86"/>
      <c r="S1281" s="86"/>
      <c r="T1281" s="62"/>
      <c r="U1281" s="62"/>
      <c r="V1281" s="62"/>
      <c r="W1281" s="62"/>
      <c r="X1281" s="62"/>
      <c r="Y1281" s="62"/>
      <c r="Z1281" s="86"/>
      <c r="AA1281" s="86"/>
      <c r="AB1281" s="86"/>
      <c r="AC1281" s="86"/>
      <c r="AD1281" s="86"/>
      <c r="AE1281" s="86"/>
      <c r="AF1281" s="62"/>
      <c r="AG1281" s="62"/>
      <c r="AH1281" s="62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65"/>
      <c r="C1282" s="86"/>
      <c r="D1282" s="113"/>
      <c r="E1282" s="113"/>
      <c r="F1282" s="86"/>
      <c r="G1282" s="86"/>
      <c r="H1282" s="62"/>
      <c r="I1282" s="113"/>
      <c r="J1282" s="113"/>
      <c r="K1282" s="109"/>
      <c r="L1282" s="62"/>
      <c r="M1282" s="62"/>
      <c r="N1282" s="65"/>
      <c r="O1282" s="86"/>
      <c r="P1282" s="113"/>
      <c r="Q1282" s="113"/>
      <c r="R1282" s="86"/>
      <c r="S1282" s="86"/>
      <c r="T1282" s="62"/>
      <c r="U1282" s="113"/>
      <c r="V1282" s="113"/>
      <c r="W1282" s="109"/>
      <c r="X1282" s="62"/>
      <c r="Y1282" s="62"/>
      <c r="Z1282" s="65"/>
      <c r="AA1282" s="86"/>
      <c r="AB1282" s="113"/>
      <c r="AC1282" s="113"/>
      <c r="AD1282" s="86"/>
      <c r="AE1282" s="86"/>
      <c r="AF1282" s="62"/>
      <c r="AG1282" s="113"/>
      <c r="AH1282" s="113"/>
      <c r="AI1282" s="109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86"/>
      <c r="C1283" s="86"/>
      <c r="D1283" s="86"/>
      <c r="E1283" s="85"/>
      <c r="F1283" s="85"/>
      <c r="G1283" s="85"/>
      <c r="H1283" s="62"/>
      <c r="I1283" s="85"/>
      <c r="J1283" s="85"/>
      <c r="K1283" s="109"/>
      <c r="L1283" s="62"/>
      <c r="M1283" s="62"/>
      <c r="N1283" s="86"/>
      <c r="O1283" s="86"/>
      <c r="P1283" s="86"/>
      <c r="Q1283" s="85"/>
      <c r="R1283" s="85"/>
      <c r="S1283" s="85"/>
      <c r="T1283" s="62"/>
      <c r="U1283" s="85"/>
      <c r="V1283" s="85"/>
      <c r="W1283" s="109"/>
      <c r="X1283" s="62"/>
      <c r="Y1283" s="62"/>
      <c r="Z1283" s="86"/>
      <c r="AA1283" s="86"/>
      <c r="AB1283" s="86"/>
      <c r="AC1283" s="85"/>
      <c r="AD1283" s="85"/>
      <c r="AE1283" s="85"/>
      <c r="AF1283" s="62"/>
      <c r="AG1283" s="85"/>
      <c r="AH1283" s="85"/>
      <c r="AI1283" s="10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2"/>
      <c r="AC1287" s="60"/>
      <c r="AD1287" s="60"/>
      <c r="AE1287" s="60"/>
      <c r="AF1287" s="61"/>
      <c r="AG1287" s="62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2"/>
      <c r="Q1289" s="60"/>
      <c r="R1289" s="60"/>
      <c r="S1289" s="60"/>
      <c r="T1289" s="61"/>
      <c r="U1289" s="61"/>
      <c r="V1289" s="62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2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2"/>
      <c r="AD1291" s="62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2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2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86"/>
      <c r="E1294" s="60"/>
      <c r="F1294" s="60"/>
      <c r="G1294" s="60"/>
      <c r="H1294" s="61"/>
      <c r="I1294" s="61"/>
      <c r="J1294" s="61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1"/>
      <c r="J1295" s="62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2"/>
      <c r="J1296" s="61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6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86"/>
      <c r="F1297" s="86"/>
      <c r="G1297" s="60"/>
      <c r="H1297" s="61"/>
      <c r="I1297" s="61"/>
      <c r="J1297" s="62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6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86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7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62"/>
      <c r="AB1304" s="67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8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8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1"/>
      <c r="K1306" s="61"/>
      <c r="L1306" s="62"/>
      <c r="M1306" s="62"/>
      <c r="N1306" s="66"/>
      <c r="O1306" s="65"/>
      <c r="P1306" s="69"/>
      <c r="Q1306" s="62"/>
      <c r="R1306" s="62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62"/>
      <c r="AD1306" s="62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62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62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62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62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86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86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6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1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86"/>
      <c r="E1326" s="86"/>
      <c r="F1326" s="86"/>
      <c r="G1326" s="86"/>
      <c r="H1326" s="62"/>
      <c r="I1326" s="62"/>
      <c r="J1326" s="62"/>
      <c r="K1326" s="62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2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2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70"/>
      <c r="E1327" s="70"/>
      <c r="F1327" s="70"/>
      <c r="G1327" s="70"/>
      <c r="H1327" s="63"/>
      <c r="I1327" s="70"/>
      <c r="J1327" s="70"/>
      <c r="K1327" s="70"/>
      <c r="L1327" s="62"/>
      <c r="M1327" s="62"/>
      <c r="N1327" s="86"/>
      <c r="O1327" s="86"/>
      <c r="P1327" s="70"/>
      <c r="Q1327" s="70"/>
      <c r="R1327" s="70"/>
      <c r="S1327" s="70"/>
      <c r="T1327" s="63"/>
      <c r="U1327" s="71"/>
      <c r="V1327" s="71"/>
      <c r="W1327" s="71"/>
      <c r="X1327" s="62"/>
      <c r="Y1327" s="62"/>
      <c r="Z1327" s="86"/>
      <c r="AA1327" s="86"/>
      <c r="AB1327" s="70"/>
      <c r="AC1327" s="70"/>
      <c r="AD1327" s="70"/>
      <c r="AE1327" s="74"/>
      <c r="AF1327" s="63"/>
      <c r="AG1327" s="71"/>
      <c r="AH1327" s="71"/>
      <c r="AI1327" s="71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62"/>
      <c r="C1328" s="62"/>
      <c r="D1328" s="62"/>
      <c r="E1328" s="62"/>
      <c r="F1328" s="62"/>
      <c r="G1328" s="62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</sheetData>
  <mergeCells count="225">
    <mergeCell ref="AI889:AI890"/>
    <mergeCell ref="AG889:AH889"/>
    <mergeCell ref="AB889:AC889"/>
    <mergeCell ref="AI944:AI945"/>
    <mergeCell ref="AB834:AC834"/>
    <mergeCell ref="AG834:AH834"/>
    <mergeCell ref="K944:K945"/>
    <mergeCell ref="I944:J944"/>
    <mergeCell ref="W944:W945"/>
    <mergeCell ref="AG944:AH944"/>
    <mergeCell ref="AB944:AC944"/>
    <mergeCell ref="W834:W835"/>
    <mergeCell ref="U834:V834"/>
    <mergeCell ref="P834:Q834"/>
    <mergeCell ref="K889:K890"/>
    <mergeCell ref="I889:J889"/>
    <mergeCell ref="W889:W890"/>
    <mergeCell ref="U889:V889"/>
    <mergeCell ref="P889:Q889"/>
    <mergeCell ref="K834:K835"/>
    <mergeCell ref="AI834:AI835"/>
    <mergeCell ref="AU944:AU945"/>
    <mergeCell ref="AS944:AT944"/>
    <mergeCell ref="AN944:AO944"/>
    <mergeCell ref="W1054:W1055"/>
    <mergeCell ref="U1054:V1054"/>
    <mergeCell ref="P1054:Q1054"/>
    <mergeCell ref="AI1054:AI1055"/>
    <mergeCell ref="AG1054:AH1054"/>
    <mergeCell ref="AB1054:AC1054"/>
    <mergeCell ref="W999:W1000"/>
    <mergeCell ref="U999:V999"/>
    <mergeCell ref="P999:Q999"/>
    <mergeCell ref="D889:E889"/>
    <mergeCell ref="D724:E724"/>
    <mergeCell ref="AG559:AH559"/>
    <mergeCell ref="AB559:AC559"/>
    <mergeCell ref="K614:K615"/>
    <mergeCell ref="K559:K560"/>
    <mergeCell ref="P614:Q614"/>
    <mergeCell ref="I669:J669"/>
    <mergeCell ref="K724:K725"/>
    <mergeCell ref="I724:J724"/>
    <mergeCell ref="AG669:AH669"/>
    <mergeCell ref="AB669:AC669"/>
    <mergeCell ref="K669:K670"/>
    <mergeCell ref="D669:E669"/>
    <mergeCell ref="W669:W670"/>
    <mergeCell ref="U669:V669"/>
    <mergeCell ref="AB780:AC780"/>
    <mergeCell ref="AG780:AH780"/>
    <mergeCell ref="U724:V724"/>
    <mergeCell ref="P724:Q724"/>
    <mergeCell ref="AB724:AC724"/>
    <mergeCell ref="AG724:AH724"/>
    <mergeCell ref="D834:E834"/>
    <mergeCell ref="I834:J834"/>
    <mergeCell ref="D450:E450"/>
    <mergeCell ref="K450:K451"/>
    <mergeCell ref="AI504:AI505"/>
    <mergeCell ref="I614:J614"/>
    <mergeCell ref="D614:E614"/>
    <mergeCell ref="W614:W615"/>
    <mergeCell ref="U614:V614"/>
    <mergeCell ref="AI559:AI560"/>
    <mergeCell ref="AI450:AI451"/>
    <mergeCell ref="AG450:AH450"/>
    <mergeCell ref="AB450:AC450"/>
    <mergeCell ref="AI614:AI615"/>
    <mergeCell ref="AG614:AH614"/>
    <mergeCell ref="AB614:AC614"/>
    <mergeCell ref="D505:E505"/>
    <mergeCell ref="I505:J505"/>
    <mergeCell ref="K505:K506"/>
    <mergeCell ref="P505:Q505"/>
    <mergeCell ref="U505:V505"/>
    <mergeCell ref="AI780:AI781"/>
    <mergeCell ref="I559:J559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K1282:K1283"/>
    <mergeCell ref="I1282:J1282"/>
    <mergeCell ref="D1282:E1282"/>
    <mergeCell ref="W1282:W1283"/>
    <mergeCell ref="U1282:V1282"/>
    <mergeCell ref="P1282:Q1282"/>
    <mergeCell ref="U120:V120"/>
    <mergeCell ref="U340:V340"/>
    <mergeCell ref="U944:V944"/>
    <mergeCell ref="D1109:E1109"/>
    <mergeCell ref="W1109:W1110"/>
    <mergeCell ref="U1109:V1109"/>
    <mergeCell ref="P1109:Q1109"/>
    <mergeCell ref="K1220:K1221"/>
    <mergeCell ref="I1220:J1220"/>
    <mergeCell ref="D1220:E1220"/>
    <mergeCell ref="K1164:K1165"/>
    <mergeCell ref="I1164:J1164"/>
    <mergeCell ref="D1164:E1164"/>
    <mergeCell ref="K1109:K1110"/>
    <mergeCell ref="I1109:J1109"/>
    <mergeCell ref="K1054:K1055"/>
    <mergeCell ref="I1054:J1054"/>
    <mergeCell ref="D1054:E1054"/>
    <mergeCell ref="AI1282:AI1283"/>
    <mergeCell ref="AG1282:AH1282"/>
    <mergeCell ref="AB1282:AC1282"/>
    <mergeCell ref="AI999:AI1000"/>
    <mergeCell ref="AG999:AH999"/>
    <mergeCell ref="AB999:AC999"/>
    <mergeCell ref="W1220:W1221"/>
    <mergeCell ref="U1220:V1220"/>
    <mergeCell ref="P1220:Q1220"/>
    <mergeCell ref="AI1220:AI1221"/>
    <mergeCell ref="AG1220:AH1220"/>
    <mergeCell ref="AB1220:AC1220"/>
    <mergeCell ref="W1164:W1165"/>
    <mergeCell ref="U1164:V1164"/>
    <mergeCell ref="P1164:Q1164"/>
    <mergeCell ref="AI1164:AI1165"/>
    <mergeCell ref="AG1164:AH1164"/>
    <mergeCell ref="AB1164:AC1164"/>
    <mergeCell ref="AI1109:AI1110"/>
    <mergeCell ref="AG1109:AH1109"/>
    <mergeCell ref="AB1109:AC1109"/>
    <mergeCell ref="K999:K1000"/>
    <mergeCell ref="I999:J999"/>
    <mergeCell ref="D999:E999"/>
    <mergeCell ref="P944:Q944"/>
    <mergeCell ref="D944:E944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D559:E559"/>
    <mergeCell ref="W559:W560"/>
    <mergeCell ref="U559:V559"/>
    <mergeCell ref="P559:Q559"/>
    <mergeCell ref="W450:W451"/>
    <mergeCell ref="D175:E17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AI669:AI670"/>
    <mergeCell ref="W724:W725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AI724:AI725"/>
    <mergeCell ref="P669:Q669"/>
    <mergeCell ref="W505:W50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2026-06-13T00:47:20Z</dcterms:modified>
</cp:coreProperties>
</file>